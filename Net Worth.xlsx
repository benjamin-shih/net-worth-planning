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" yWindow="1440" windowWidth="29440" windowHeight="17800" tabRatio="600" firstSheet="0" activeTab="2" autoFilterDateGrouping="1"/>
  </bookViews>
  <sheets>
    <sheet name="Financial Dashboard" sheetId="1" state="visible" r:id="rId1"/>
    <sheet name="Scenario Analysis" sheetId="2" state="visible" r:id="rId2"/>
    <sheet name="Scenario Pivot Lab" sheetId="3" state="visible" r:id="rId3"/>
    <sheet name="Model Inputs" sheetId="4" state="visible" r:id="rId4"/>
    <sheet name="Savings Projection" sheetId="5" state="visible" r:id="rId5"/>
    <sheet name="Scenario Lab" sheetId="6" state="visible" r:id="rId6"/>
    <sheet name="IC Switch Scenarios" sheetId="7" state="visible" r:id="rId7"/>
    <sheet name="PM After Switch" sheetId="8" state="visible" r:id="rId8"/>
    <sheet name="Scenario Results" sheetId="9" state="visible" r:id="rId9"/>
    <sheet name="Tax Assumptions" sheetId="10" state="visible" r:id="rId10"/>
  </sheets>
  <definedNames>
    <definedName name="ScenarioResultKeys">'Scenario Results'!$A$5:$A$64</definedName>
    <definedName name="DashboardScenarioResultKey">'Financial Dashboard'!$B$103</definedName>
    <definedName name="DashboardSelectedProjectionRow">'Financial Dashboard'!$J$65</definedName>
    <definedName name="AnalysisPrimaryScenario">'Scenario Analysis'!$B$5</definedName>
    <definedName name="AnalysisComparisonScenario">'Scenario Analysis'!$B$6</definedName>
    <definedName name="AnalysisSelectedHorizon">'Scenario Analysis'!$G$5</definedName>
    <definedName name="AnalysisSelectedMetric">'Scenario Analysis'!$G$6</definedName>
    <definedName name="AnalysisMetricIndex">'Scenario Analysis'!$N$7</definedName>
    <definedName name="AnalysisPrimaryResultRow">'Scenario Analysis'!$K$8</definedName>
    <definedName name="AnalysisComparisonResultRow">'Scenario Analysis'!$K$10</definedName>
    <definedName name="DashboardScenarioResultRow">'Financial Dashboard'!$P$104</definedName>
  </definedNames>
  <calcPr calcId="191029" calcMode="auto" fullCalcOnLoad="1" forceFullCalc="1"/>
  <pivotCaches>
    <pivotCache cacheId="1" r:id="rId11"/>
  </pivotCaches>
</workbook>
</file>

<file path=xl/styles.xml><?xml version="1.0" encoding="utf-8"?>
<styleSheet xmlns="http://schemas.openxmlformats.org/spreadsheetml/2006/main">
  <numFmts count="12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\$#,##0;[Red]\(\$#,##0\);\-"/>
    <numFmt numFmtId="170" formatCode="\$0.0,,&quot;M&quot;"/>
    <numFmt numFmtId="171" formatCode="0.0\x"/>
    <numFmt numFmtId="172" formatCode="0.0"/>
    <numFmt numFmtId="173" formatCode="&quot;$&quot;#,##0;[Red]\(&quot;$&quot;#,##0\);\-"/>
    <numFmt numFmtId="174" formatCode="$#,##0;[Red]($#,##0);-"/>
    <numFmt numFmtId="175" formatCode="0.0x"/>
  </numFmts>
  <fonts count="61">
    <font>
      <name val="Calibri"/>
      <family val="2"/>
      <color theme="1"/>
      <sz val="11"/>
      <scheme val="minor"/>
    </font>
    <font>
      <name val="Aptos"/>
      <i val="1"/>
      <color rgb="FF536274"/>
      <sz val="10"/>
    </font>
    <font>
      <name val="Aptos"/>
      <b val="1"/>
      <color rgb="FFFFFDF9"/>
      <sz val="10"/>
    </font>
    <font>
      <name val="Aptos"/>
      <b val="1"/>
      <color rgb="FF536274"/>
      <sz val="11"/>
    </font>
    <font>
      <name val="Aptos"/>
      <b val="1"/>
      <color rgb="FF1C2B3C"/>
      <sz val="11"/>
    </font>
    <font>
      <name val="Aptos"/>
      <b val="1"/>
      <color rgb="FFFFFDF9"/>
      <sz val="11"/>
    </font>
    <font>
      <name val="Aptos"/>
      <color rgb="FF496A86"/>
      <sz val="11"/>
      <u val="single"/>
    </font>
    <font>
      <name val="Aptos"/>
      <i val="1"/>
      <color rgb="FF536274"/>
      <sz val="11"/>
    </font>
    <font>
      <name val="Aptos"/>
      <b val="1"/>
      <color rgb="FF496A86"/>
      <sz val="11"/>
    </font>
    <font>
      <name val="Aptos"/>
      <b val="1"/>
      <color rgb="FF617B63"/>
      <sz val="11"/>
    </font>
    <font>
      <name val="Aptos"/>
      <color rgb="FF536274"/>
      <sz val="10"/>
    </font>
    <font>
      <name val="Aptos Display"/>
      <b val="1"/>
      <color rgb="FF1C2B3C"/>
      <sz val="19"/>
    </font>
    <font>
      <name val="Aptos Display"/>
      <b val="1"/>
      <color rgb="FFFFFDF9"/>
      <sz val="14"/>
    </font>
    <font>
      <name val="Aptos"/>
      <b val="1"/>
      <color rgb="FFFFFDF9"/>
      <sz val="9"/>
    </font>
    <font>
      <name val="Aptos"/>
      <b val="1"/>
      <color rgb="FFFFFDF9"/>
      <sz val="12"/>
    </font>
    <font>
      <name val="Aptos"/>
      <color rgb="FF1C2B3C"/>
      <sz val="11"/>
    </font>
    <font>
      <name val="Aptos Display"/>
      <b val="1"/>
      <color rgb="FFFFFDF9"/>
      <sz val="12"/>
    </font>
    <font>
      <name val="Aptos Display"/>
      <b val="1"/>
      <color rgb="FF1C2B3C"/>
      <sz val="16"/>
    </font>
    <font>
      <name val="Aptos"/>
      <b val="1"/>
      <color rgb="FF000000"/>
      <sz val="11"/>
    </font>
    <font>
      <name val="Calibri"/>
      <family val="2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rgb="FF1F4E79"/>
      <sz val="11"/>
    </font>
    <font>
      <name val="Calibri"/>
      <family val="2"/>
      <i val="1"/>
      <color rgb="FF9C5700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color rgb="FF0000FF"/>
      <sz val="11"/>
    </font>
    <font>
      <name val="Calibri"/>
      <family val="2"/>
      <color theme="10"/>
      <sz val="12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2"/>
    </font>
    <font>
      <name val="Aptos"/>
      <color rgb="FF2F5496"/>
      <sz val="11"/>
      <u val="single"/>
    </font>
    <font>
      <name val="Calibri"/>
      <family val="2"/>
      <b val="1"/>
      <color rgb="FF000000"/>
      <sz val="11"/>
    </font>
    <font>
      <name val="Aptos"/>
      <b val="1"/>
      <color rgb="FFFFFFFF"/>
      <sz val="15"/>
    </font>
    <font>
      <name val="Aptos"/>
      <color rgb="FF1C2B3C"/>
      <sz val="10"/>
    </font>
    <font>
      <name val="Aptos"/>
      <b val="1"/>
      <color rgb="FF1C2B3C"/>
      <sz val="10"/>
    </font>
    <font>
      <name val="Aptos"/>
      <b val="1"/>
      <color rgb="FFFFFFFF"/>
      <sz val="10"/>
    </font>
    <font>
      <name val="Aptos"/>
      <color rgb="FF2F5496"/>
      <sz val="10"/>
    </font>
    <font>
      <name val="Aptos"/>
      <color rgb="FF2F5496"/>
      <sz val="11"/>
    </font>
    <font>
      <name val="Aptos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Aptos"/>
      <color rgb="FFFFFFFF"/>
      <sz val="8"/>
    </font>
    <font>
      <name val="Calibri"/>
      <family val="2"/>
      <color rgb="FF000000"/>
      <sz val="11"/>
    </font>
    <font>
      <b val="1"/>
      <color rgb="00FFFFFF"/>
      <sz val="14"/>
    </font>
    <font>
      <b val="1"/>
      <color rgb="00FFFFFF"/>
    </font>
    <font>
      <b val="1"/>
    </font>
    <font>
      <b val="1"/>
      <color rgb="00FFFFFF"/>
      <sz val="12"/>
    </font>
    <font>
      <color rgb="000000FF"/>
    </font>
    <font>
      <name val="Aptos"/>
      <color rgb="002F5496"/>
      <u val="single"/>
    </font>
    <font>
      <name val="Aptos"/>
      <color rgb="001C2B3C"/>
      <sz val="10"/>
    </font>
    <font>
      <name val="Aptos"/>
      <b val="1"/>
      <color rgb="001C2B3C"/>
      <sz val="10"/>
    </font>
    <font>
      <b val="1"/>
      <color rgb="00000000"/>
      <sz val="11"/>
    </font>
    <font>
      <name val="Aptos"/>
      <b val="1"/>
      <color rgb="00FFFFFF"/>
      <sz val="15"/>
    </font>
    <font>
      <name val="Aptos"/>
      <b val="1"/>
      <color rgb="00FFFFFF"/>
      <sz val="10"/>
    </font>
    <font>
      <name val="Aptos"/>
      <color rgb="002F5496"/>
      <sz val="10"/>
    </font>
    <font>
      <name val="Aptos"/>
      <color rgb="002F5496"/>
    </font>
    <font>
      <name val="Aptos"/>
      <b val="1"/>
      <color rgb="00FFFFFF"/>
    </font>
    <font>
      <name val="Aptos"/>
      <color rgb="00FFFFFF"/>
      <sz val="8"/>
    </font>
    <font>
      <color rgb="00000000"/>
    </font>
  </fonts>
  <fills count="50">
    <fill>
      <patternFill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F7F9FC"/>
      </patternFill>
    </fill>
    <fill>
      <patternFill patternType="solid">
        <fgColor rgb="FFF3F7FB"/>
      </patternFill>
    </fill>
    <fill>
      <patternFill patternType="solid">
        <fgColor rgb="FFFFFFFF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D9EAF7"/>
      </patternFill>
    </fill>
    <fill>
      <patternFill patternType="solid">
        <fgColor rgb="00F7F9FC"/>
      </patternFill>
    </fill>
    <fill>
      <patternFill patternType="solid">
        <fgColor rgb="00F3F7FB"/>
      </patternFill>
    </fill>
    <fill>
      <patternFill patternType="solid">
        <fgColor rgb="00FFFFFF"/>
      </patternFill>
    </fill>
  </fills>
  <borders count="110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4E7672"/>
      </top>
      <bottom/>
      <diagonal/>
    </border>
    <border>
      <left/>
      <right style="thin">
        <color rgb="FFDDD5CA"/>
      </right>
      <top style="medium">
        <color rgb="FF4E7672"/>
      </top>
      <bottom/>
      <diagonal/>
    </border>
    <border>
      <left/>
      <right/>
      <top style="medium">
        <color rgb="FF496A86"/>
      </top>
      <bottom/>
      <diagonal/>
    </border>
    <border>
      <left/>
      <right style="thin">
        <color rgb="FFDDD5CA"/>
      </right>
      <top style="medium">
        <color rgb="FF496A86"/>
      </top>
      <bottom/>
      <diagonal/>
    </border>
    <border>
      <left style="medium">
        <color rgb="FF1C2B3C"/>
      </left>
      <right/>
      <top/>
      <bottom/>
      <diagonal/>
    </border>
    <border>
      <left style="medium">
        <color rgb="FFA7834A"/>
      </left>
      <right/>
      <top/>
      <bottom/>
      <diagonal/>
    </border>
    <border>
      <left style="medium">
        <color rgb="FF496A86"/>
      </left>
      <right/>
      <top/>
      <bottom/>
      <diagonal/>
    </border>
    <border>
      <left style="medium">
        <color rgb="FF4E7672"/>
      </left>
      <right/>
      <top/>
      <bottom/>
      <diagonal/>
    </border>
    <border>
      <left/>
      <right/>
      <top style="medium">
        <color rgb="FFA7834A"/>
      </top>
      <bottom/>
      <diagonal/>
    </border>
    <border>
      <left/>
      <right style="thin">
        <color rgb="FFDDD5CA"/>
      </right>
      <top style="medium">
        <color rgb="FFA7834A"/>
      </top>
      <bottom/>
      <diagonal/>
    </border>
    <border>
      <left/>
      <right/>
      <top style="medium">
        <color rgb="FF617B63"/>
      </top>
      <bottom/>
      <diagonal/>
    </border>
    <border>
      <left/>
      <right style="thin">
        <color rgb="FFDDD5CA"/>
      </right>
      <top style="medium">
        <color rgb="FF617B63"/>
      </top>
      <bottom/>
      <diagonal/>
    </border>
    <border>
      <left style="medium">
        <color rgb="FF617B63"/>
      </left>
      <right/>
      <top/>
      <bottom/>
      <diagonal/>
    </border>
    <border>
      <left/>
      <right/>
      <top style="medium">
        <color rgb="FF1C2B3C"/>
      </top>
      <bottom/>
      <diagonal/>
    </border>
    <border>
      <left/>
      <right style="thin">
        <color rgb="FFDDD5CA"/>
      </right>
      <top style="medium">
        <color rgb="FF1C2B3C"/>
      </top>
      <bottom/>
      <diagonal/>
    </border>
    <border>
      <left/>
      <right/>
      <top style="medium">
        <color rgb="FF8E5A50"/>
      </top>
      <bottom/>
      <diagonal/>
    </border>
    <border>
      <left/>
      <right style="thin">
        <color rgb="FFDDD5CA"/>
      </right>
      <top style="medium">
        <color rgb="FF8E5A50"/>
      </top>
      <bottom/>
      <diagonal/>
    </border>
    <border>
      <left style="medium">
        <color rgb="FF8E5A50"/>
      </left>
      <right/>
      <top/>
      <bottom/>
      <diagonal/>
    </border>
    <border>
      <bottom style="thin">
        <color rgb="00A6A6A6"/>
      </bottom>
    </border>
  </borders>
  <cellStyleXfs count="2">
    <xf numFmtId="0" fontId="0" fillId="0" borderId="0"/>
    <xf numFmtId="0" fontId="28" fillId="0" borderId="0"/>
  </cellStyleXfs>
  <cellXfs count="511"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10" borderId="0" pivotButton="0" quotePrefix="0" xfId="0"/>
    <xf numFmtId="0" fontId="0" fillId="0" borderId="5" pivotButton="0" quotePrefix="0" xfId="0"/>
    <xf numFmtId="0" fontId="2" fillId="13" borderId="1" applyAlignment="1" pivotButton="0" quotePrefix="0" xfId="0">
      <alignment horizontal="left" vertical="center"/>
    </xf>
    <xf numFmtId="0" fontId="3" fillId="10" borderId="4" pivotButton="0" quotePrefix="0" xfId="0"/>
    <xf numFmtId="164" fontId="0" fillId="10" borderId="5" pivotButton="0" quotePrefix="0" xfId="0"/>
    <xf numFmtId="165" fontId="0" fillId="10" borderId="6" pivotButton="0" quotePrefix="0" xfId="0"/>
    <xf numFmtId="0" fontId="0" fillId="0" borderId="6" pivotButton="0" quotePrefix="0" xfId="0"/>
    <xf numFmtId="0" fontId="0" fillId="10" borderId="7" pivotButton="0" quotePrefix="0" xfId="0"/>
    <xf numFmtId="164" fontId="0" fillId="10" borderId="8" pivotButton="0" quotePrefix="0" xfId="0"/>
    <xf numFmtId="0" fontId="0" fillId="10" borderId="9" pivotButton="0" quotePrefix="0" xfId="0"/>
    <xf numFmtId="0" fontId="3" fillId="10" borderId="7" pivotButton="0" quotePrefix="0" xfId="0"/>
    <xf numFmtId="0" fontId="5" fillId="6" borderId="1" applyAlignment="1" pivotButton="0" quotePrefix="0" xfId="0">
      <alignment horizontal="center"/>
    </xf>
    <xf numFmtId="0" fontId="5" fillId="9" borderId="2" applyAlignment="1" pivotButton="0" quotePrefix="0" xfId="0">
      <alignment horizontal="center"/>
    </xf>
    <xf numFmtId="0" fontId="5" fillId="6" borderId="2" applyAlignment="1" pivotButton="0" quotePrefix="0" xfId="0">
      <alignment horizontal="center"/>
    </xf>
    <xf numFmtId="0" fontId="5" fillId="15" borderId="3" applyAlignment="1" pivotButton="0" quotePrefix="0" xfId="0">
      <alignment horizontal="center"/>
    </xf>
    <xf numFmtId="165" fontId="4" fillId="10" borderId="5" pivotButton="0" quotePrefix="0" xfId="0"/>
    <xf numFmtId="165" fontId="4" fillId="10" borderId="6" pivotButton="0" quotePrefix="0" xfId="0"/>
    <xf numFmtId="164" fontId="4" fillId="10" borderId="5" pivotButton="0" quotePrefix="0" xfId="0"/>
    <xf numFmtId="164" fontId="4" fillId="10" borderId="6" pivotButton="0" quotePrefix="0" xfId="0"/>
    <xf numFmtId="1" fontId="4" fillId="10" borderId="5" pivotButton="0" quotePrefix="0" xfId="0"/>
    <xf numFmtId="1" fontId="4" fillId="10" borderId="6" pivotButton="0" quotePrefix="0" xfId="0"/>
    <xf numFmtId="1" fontId="4" fillId="10" borderId="8" pivotButton="0" quotePrefix="0" xfId="0"/>
    <xf numFmtId="1" fontId="4" fillId="10" borderId="9" pivotButton="0" quotePrefix="0" xfId="0"/>
    <xf numFmtId="0" fontId="3" fillId="10" borderId="0" pivotButton="0" quotePrefix="0" xfId="0"/>
    <xf numFmtId="164" fontId="4" fillId="10" borderId="0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10" borderId="3" pivotButton="0" quotePrefix="0" xfId="0"/>
    <xf numFmtId="0" fontId="0" fillId="10" borderId="2" pivotButton="0" quotePrefix="0" xfId="0"/>
    <xf numFmtId="165" fontId="8" fillId="5" borderId="5" pivotButton="0" quotePrefix="0" xfId="0"/>
    <xf numFmtId="164" fontId="8" fillId="5" borderId="6" pivotButton="0" quotePrefix="0" xfId="0"/>
    <xf numFmtId="164" fontId="8" fillId="5" borderId="5" pivotButton="0" quotePrefix="0" xfId="0"/>
    <xf numFmtId="0" fontId="2" fillId="9" borderId="1" applyAlignment="1" pivotButton="0" quotePrefix="0" xfId="0">
      <alignment horizontal="left" vertical="center"/>
    </xf>
    <xf numFmtId="0" fontId="3" fillId="0" borderId="4" pivotButton="0" quotePrefix="0" xfId="0"/>
    <xf numFmtId="0" fontId="3" fillId="0" borderId="7" pivotButton="0" quotePrefix="0" xfId="0"/>
    <xf numFmtId="0" fontId="0" fillId="14" borderId="5" pivotButton="0" quotePrefix="0" xfId="0"/>
    <xf numFmtId="164" fontId="0" fillId="14" borderId="5" pivotButton="0" quotePrefix="0" xfId="0"/>
    <xf numFmtId="166" fontId="0" fillId="14" borderId="5" pivotButton="0" quotePrefix="0" xfId="0"/>
    <xf numFmtId="164" fontId="0" fillId="7" borderId="5" pivotButton="0" quotePrefix="0" xfId="0"/>
    <xf numFmtId="165" fontId="0" fillId="14" borderId="5" pivotButton="0" quotePrefix="0" xfId="0"/>
    <xf numFmtId="0" fontId="0" fillId="2" borderId="5" pivotButton="0" quotePrefix="0" xfId="0"/>
    <xf numFmtId="164" fontId="0" fillId="2" borderId="5" pivotButton="0" quotePrefix="0" xfId="0"/>
    <xf numFmtId="166" fontId="0" fillId="2" borderId="5" pivotButton="0" quotePrefix="0" xfId="0"/>
    <xf numFmtId="165" fontId="0" fillId="2" borderId="5" pivotButton="0" quotePrefix="0" xfId="0"/>
    <xf numFmtId="0" fontId="4" fillId="12" borderId="10" pivotButton="0" quotePrefix="0" xfId="0"/>
    <xf numFmtId="164" fontId="4" fillId="12" borderId="10" pivotButton="0" quotePrefix="0" xfId="0"/>
    <xf numFmtId="165" fontId="4" fillId="12" borderId="10" pivotButton="0" quotePrefix="0" xfId="0"/>
    <xf numFmtId="0" fontId="9" fillId="7" borderId="5" pivotButton="0" quotePrefix="0" xfId="0"/>
    <xf numFmtId="0" fontId="9" fillId="7" borderId="6" pivotButton="0" quotePrefix="0" xfId="0"/>
    <xf numFmtId="0" fontId="5" fillId="6" borderId="4" applyAlignment="1" pivotButton="0" quotePrefix="0" xfId="0">
      <alignment horizontal="center"/>
    </xf>
    <xf numFmtId="0" fontId="5" fillId="9" borderId="5" applyAlignment="1" pivotButton="0" quotePrefix="0" xfId="0">
      <alignment horizontal="center"/>
    </xf>
    <xf numFmtId="0" fontId="5" fillId="6" borderId="5" applyAlignment="1" pivotButton="0" quotePrefix="0" xfId="0">
      <alignment horizontal="center"/>
    </xf>
    <xf numFmtId="0" fontId="5" fillId="15" borderId="6" applyAlignment="1" pivotButton="0" quotePrefix="0" xfId="0">
      <alignment horizontal="center"/>
    </xf>
    <xf numFmtId="165" fontId="9" fillId="7" borderId="5" pivotButton="0" quotePrefix="0" xfId="0"/>
    <xf numFmtId="165" fontId="9" fillId="7" borderId="6" pivotButton="0" quotePrefix="0" xfId="0"/>
    <xf numFmtId="165" fontId="0" fillId="10" borderId="5" pivotButton="0" quotePrefix="0" xfId="0"/>
    <xf numFmtId="164" fontId="0" fillId="10" borderId="6" pivotButton="0" quotePrefix="0" xfId="0"/>
    <xf numFmtId="1" fontId="0" fillId="10" borderId="5" pivotButton="0" quotePrefix="0" xfId="0"/>
    <xf numFmtId="1" fontId="0" fillId="10" borderId="6" pivotButton="0" quotePrefix="0" xfId="0"/>
    <xf numFmtId="1" fontId="9" fillId="7" borderId="5" pivotButton="0" quotePrefix="0" xfId="0"/>
    <xf numFmtId="1" fontId="9" fillId="7" borderId="6" pivotButton="0" quotePrefix="0" xfId="0"/>
    <xf numFmtId="164" fontId="9" fillId="7" borderId="5" pivotButton="0" quotePrefix="0" xfId="0"/>
    <xf numFmtId="164" fontId="9" fillId="7" borderId="6" pivotButton="0" quotePrefix="0" xfId="0"/>
    <xf numFmtId="165" fontId="9" fillId="7" borderId="8" pivotButton="0" quotePrefix="0" xfId="0"/>
    <xf numFmtId="165" fontId="9" fillId="7" borderId="9" pivotButton="0" quotePrefix="0" xfId="0"/>
    <xf numFmtId="164" fontId="0" fillId="10" borderId="9" pivotButton="0" quotePrefix="0" xfId="0"/>
    <xf numFmtId="0" fontId="0" fillId="3" borderId="12" pivotButton="0" quotePrefix="0" xfId="0"/>
    <xf numFmtId="0" fontId="0" fillId="3" borderId="5" pivotButton="0" quotePrefix="0" xfId="0"/>
    <xf numFmtId="164" fontId="0" fillId="3" borderId="5" pivotButton="0" quotePrefix="0" xfId="0"/>
    <xf numFmtId="165" fontId="0" fillId="3" borderId="5" pivotButton="0" quotePrefix="0" xfId="0"/>
    <xf numFmtId="164" fontId="0" fillId="7" borderId="13" pivotButton="0" quotePrefix="0" xfId="0"/>
    <xf numFmtId="0" fontId="0" fillId="14" borderId="12" pivotButton="0" quotePrefix="0" xfId="0"/>
    <xf numFmtId="164" fontId="0" fillId="14" borderId="13" pivotButton="0" quotePrefix="0" xfId="0"/>
    <xf numFmtId="0" fontId="4" fillId="7" borderId="14" pivotButton="0" quotePrefix="0" xfId="0"/>
    <xf numFmtId="0" fontId="4" fillId="7" borderId="15" pivotButton="0" quotePrefix="0" xfId="0"/>
    <xf numFmtId="164" fontId="4" fillId="7" borderId="15" pivotButton="0" quotePrefix="0" xfId="0"/>
    <xf numFmtId="165" fontId="4" fillId="7" borderId="15" pivotButton="0" quotePrefix="0" xfId="0"/>
    <xf numFmtId="164" fontId="4" fillId="7" borderId="16" pivotButton="0" quotePrefix="0" xfId="0"/>
    <xf numFmtId="0" fontId="13" fillId="6" borderId="5" applyAlignment="1" pivotButton="0" quotePrefix="0" xfId="0">
      <alignment horizontal="center" vertical="center" wrapText="1"/>
    </xf>
    <xf numFmtId="0" fontId="0" fillId="3" borderId="18" pivotButton="0" quotePrefix="0" xfId="0"/>
    <xf numFmtId="164" fontId="0" fillId="7" borderId="19" pivotButton="0" quotePrefix="0" xfId="0"/>
    <xf numFmtId="0" fontId="0" fillId="14" borderId="18" pivotButton="0" quotePrefix="0" xfId="0"/>
    <xf numFmtId="164" fontId="0" fillId="14" borderId="19" pivotButton="0" quotePrefix="0" xfId="0"/>
    <xf numFmtId="0" fontId="4" fillId="7" borderId="20" pivotButton="0" quotePrefix="0" xfId="0"/>
    <xf numFmtId="0" fontId="4" fillId="7" borderId="21" pivotButton="0" quotePrefix="0" xfId="0"/>
    <xf numFmtId="164" fontId="4" fillId="7" borderId="21" pivotButton="0" quotePrefix="0" xfId="0"/>
    <xf numFmtId="165" fontId="4" fillId="7" borderId="21" pivotButton="0" quotePrefix="0" xfId="0"/>
    <xf numFmtId="164" fontId="4" fillId="7" borderId="22" pivotButton="0" quotePrefix="0" xfId="0"/>
    <xf numFmtId="0" fontId="0" fillId="3" borderId="24" pivotButton="0" quotePrefix="0" xfId="0"/>
    <xf numFmtId="164" fontId="0" fillId="7" borderId="25" pivotButton="0" quotePrefix="0" xfId="0"/>
    <xf numFmtId="0" fontId="0" fillId="14" borderId="24" pivotButton="0" quotePrefix="0" xfId="0"/>
    <xf numFmtId="164" fontId="0" fillId="14" borderId="25" pivotButton="0" quotePrefix="0" xfId="0"/>
    <xf numFmtId="0" fontId="4" fillId="7" borderId="26" pivotButton="0" quotePrefix="0" xfId="0"/>
    <xf numFmtId="0" fontId="4" fillId="7" borderId="27" pivotButton="0" quotePrefix="0" xfId="0"/>
    <xf numFmtId="164" fontId="4" fillId="7" borderId="27" pivotButton="0" quotePrefix="0" xfId="0"/>
    <xf numFmtId="165" fontId="4" fillId="7" borderId="27" pivotButton="0" quotePrefix="0" xfId="0"/>
    <xf numFmtId="164" fontId="4" fillId="7" borderId="28" pivotButton="0" quotePrefix="0" xfId="0"/>
    <xf numFmtId="0" fontId="0" fillId="10" borderId="4" pivotButton="0" quotePrefix="0" xfId="0"/>
    <xf numFmtId="0" fontId="0" fillId="10" borderId="5" pivotButton="0" quotePrefix="0" xfId="0"/>
    <xf numFmtId="0" fontId="0" fillId="10" borderId="6" pivotButton="0" quotePrefix="0" xfId="0"/>
    <xf numFmtId="0" fontId="5" fillId="6" borderId="4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9" fontId="5" fillId="6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9" fontId="5" fillId="6" borderId="4" applyAlignment="1" pivotButton="0" quotePrefix="0" xfId="0">
      <alignment horizontal="center" vertical="center"/>
    </xf>
    <xf numFmtId="164" fontId="4" fillId="8" borderId="5" applyAlignment="1" pivotButton="0" quotePrefix="0" xfId="0">
      <alignment horizontal="right" vertical="center"/>
    </xf>
    <xf numFmtId="167" fontId="4" fillId="10" borderId="5" applyAlignment="1" pivotButton="0" quotePrefix="0" xfId="0">
      <alignment horizontal="center" vertical="center"/>
    </xf>
    <xf numFmtId="9" fontId="5" fillId="6" borderId="7" applyAlignment="1" pivotButton="0" quotePrefix="0" xfId="0">
      <alignment horizontal="center" vertical="center"/>
    </xf>
    <xf numFmtId="164" fontId="4" fillId="8" borderId="8" applyAlignment="1" pivotButton="0" quotePrefix="0" xfId="0">
      <alignment horizontal="right" vertical="center"/>
    </xf>
    <xf numFmtId="167" fontId="4" fillId="10" borderId="8" applyAlignment="1" pivotButton="0" quotePrefix="0" xfId="0">
      <alignment horizontal="center" vertical="center"/>
    </xf>
    <xf numFmtId="0" fontId="0" fillId="10" borderId="8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15" fillId="3" borderId="4" pivotButton="0" quotePrefix="0" xfId="0"/>
    <xf numFmtId="9" fontId="15" fillId="3" borderId="5" pivotButton="0" quotePrefix="0" xfId="0"/>
    <xf numFmtId="167" fontId="15" fillId="3" borderId="5" pivotButton="0" quotePrefix="0" xfId="0"/>
    <xf numFmtId="1" fontId="15" fillId="3" borderId="5" pivotButton="0" quotePrefix="0" xfId="0"/>
    <xf numFmtId="167" fontId="15" fillId="3" borderId="6" pivotButton="0" quotePrefix="0" xfId="0"/>
    <xf numFmtId="0" fontId="15" fillId="14" borderId="4" pivotButton="0" quotePrefix="0" xfId="0"/>
    <xf numFmtId="9" fontId="15" fillId="14" borderId="5" pivotButton="0" quotePrefix="0" xfId="0"/>
    <xf numFmtId="167" fontId="15" fillId="14" borderId="5" pivotButton="0" quotePrefix="0" xfId="0"/>
    <xf numFmtId="1" fontId="15" fillId="14" borderId="5" pivotButton="0" quotePrefix="0" xfId="0"/>
    <xf numFmtId="167" fontId="15" fillId="14" borderId="6" pivotButton="0" quotePrefix="0" xfId="0"/>
    <xf numFmtId="0" fontId="15" fillId="3" borderId="7" pivotButton="0" quotePrefix="0" xfId="0"/>
    <xf numFmtId="9" fontId="15" fillId="3" borderId="8" pivotButton="0" quotePrefix="0" xfId="0"/>
    <xf numFmtId="167" fontId="15" fillId="3" borderId="8" pivotButton="0" quotePrefix="0" xfId="0"/>
    <xf numFmtId="1" fontId="15" fillId="3" borderId="8" pivotButton="0" quotePrefix="0" xfId="0"/>
    <xf numFmtId="167" fontId="15" fillId="3" borderId="9" pivotButton="0" quotePrefix="0" xfId="0"/>
    <xf numFmtId="0" fontId="13" fillId="6" borderId="30" applyAlignment="1" pivotButton="0" quotePrefix="0" xfId="0">
      <alignment horizontal="center" vertical="center" wrapText="1"/>
    </xf>
    <xf numFmtId="0" fontId="13" fillId="6" borderId="31" applyAlignment="1" pivotButton="0" quotePrefix="0" xfId="0">
      <alignment horizontal="center" vertical="center" wrapText="1"/>
    </xf>
    <xf numFmtId="0" fontId="0" fillId="3" borderId="30" pivotButton="0" quotePrefix="0" xfId="0"/>
    <xf numFmtId="167" fontId="0" fillId="3" borderId="5" pivotButton="0" quotePrefix="0" xfId="0"/>
    <xf numFmtId="167" fontId="0" fillId="8" borderId="5" pivotButton="0" quotePrefix="0" xfId="0"/>
    <xf numFmtId="167" fontId="0" fillId="3" borderId="31" pivotButton="0" quotePrefix="0" xfId="0"/>
    <xf numFmtId="0" fontId="0" fillId="14" borderId="30" pivotButton="0" quotePrefix="0" xfId="0"/>
    <xf numFmtId="167" fontId="0" fillId="14" borderId="5" pivotButton="0" quotePrefix="0" xfId="0"/>
    <xf numFmtId="167" fontId="0" fillId="14" borderId="31" pivotButton="0" quotePrefix="0" xfId="0"/>
    <xf numFmtId="0" fontId="4" fillId="8" borderId="32" pivotButton="0" quotePrefix="0" xfId="0"/>
    <xf numFmtId="0" fontId="4" fillId="8" borderId="33" pivotButton="0" quotePrefix="0" xfId="0"/>
    <xf numFmtId="167" fontId="4" fillId="8" borderId="33" pivotButton="0" quotePrefix="0" xfId="0"/>
    <xf numFmtId="167" fontId="4" fillId="8" borderId="34" pivotButton="0" quotePrefix="0" xfId="0"/>
    <xf numFmtId="164" fontId="0" fillId="0" borderId="5" pivotButton="0" quotePrefix="0" xfId="0"/>
    <xf numFmtId="164" fontId="0" fillId="0" borderId="4" pivotButton="0" quotePrefix="0" xfId="0"/>
    <xf numFmtId="10" fontId="0" fillId="0" borderId="5" pivotButton="0" quotePrefix="0" xfId="0"/>
    <xf numFmtId="164" fontId="0" fillId="0" borderId="6" pivotButton="0" quotePrefix="0" xfId="0"/>
    <xf numFmtId="165" fontId="0" fillId="0" borderId="5" pivotButton="0" quotePrefix="0" xfId="0"/>
    <xf numFmtId="164" fontId="0" fillId="3" borderId="4" pivotButton="0" quotePrefix="0" xfId="0"/>
    <xf numFmtId="10" fontId="0" fillId="3" borderId="5" pivotButton="0" quotePrefix="0" xfId="0"/>
    <xf numFmtId="164" fontId="0" fillId="3" borderId="6" pivotButton="0" quotePrefix="0" xfId="0"/>
    <xf numFmtId="164" fontId="0" fillId="3" borderId="7" pivotButton="0" quotePrefix="0" xfId="0"/>
    <xf numFmtId="164" fontId="0" fillId="3" borderId="8" pivotButton="0" quotePrefix="0" xfId="0"/>
    <xf numFmtId="10" fontId="0" fillId="3" borderId="8" pivotButton="0" quotePrefix="0" xfId="0"/>
    <xf numFmtId="164" fontId="0" fillId="3" borderId="9" pivotButton="0" quotePrefix="0" xfId="0"/>
    <xf numFmtId="168" fontId="0" fillId="0" borderId="5" pivotButton="0" quotePrefix="0" xfId="0"/>
    <xf numFmtId="164" fontId="0" fillId="0" borderId="7" pivotButton="0" quotePrefix="0" xfId="0"/>
    <xf numFmtId="164" fontId="0" fillId="0" borderId="8" pivotButton="0" quotePrefix="0" xfId="0"/>
    <xf numFmtId="10" fontId="0" fillId="0" borderId="8" pivotButton="0" quotePrefix="0" xfId="0"/>
    <xf numFmtId="164" fontId="0" fillId="0" borderId="9" pivotButton="0" quotePrefix="0" xfId="0"/>
    <xf numFmtId="166" fontId="0" fillId="0" borderId="5" pivotButton="0" quotePrefix="0" xfId="0"/>
    <xf numFmtId="0" fontId="3" fillId="3" borderId="4" pivotButton="0" quotePrefix="0" xfId="0"/>
    <xf numFmtId="0" fontId="6" fillId="3" borderId="5" applyAlignment="1" pivotButton="0" quotePrefix="0" xfId="0">
      <alignment wrapText="1"/>
    </xf>
    <xf numFmtId="0" fontId="3" fillId="3" borderId="7" pivotButton="0" quotePrefix="0" xfId="0"/>
    <xf numFmtId="0" fontId="6" fillId="3" borderId="8" applyAlignment="1" pivotButton="0" quotePrefix="0" xfId="0">
      <alignment wrapText="1"/>
    </xf>
    <xf numFmtId="1" fontId="0" fillId="14" borderId="5" pivotButton="0" quotePrefix="0" xfId="0"/>
    <xf numFmtId="1" fontId="0" fillId="10" borderId="8" pivotButton="0" quotePrefix="0" xfId="0"/>
    <xf numFmtId="165" fontId="0" fillId="10" borderId="8" pivotButton="0" quotePrefix="0" xfId="0"/>
    <xf numFmtId="169" fontId="18" fillId="5" borderId="5" applyAlignment="1" pivotButton="0" quotePrefix="0" xfId="0">
      <alignment horizontal="right" vertical="center"/>
    </xf>
    <xf numFmtId="0" fontId="19" fillId="0" borderId="72" applyAlignment="1" pivotButton="0" quotePrefix="0" xfId="0">
      <alignment vertical="top"/>
    </xf>
    <xf numFmtId="0" fontId="0" fillId="0" borderId="72" applyAlignment="1" pivotButton="0" quotePrefix="0" xfId="0">
      <alignment vertical="top"/>
    </xf>
    <xf numFmtId="0" fontId="21" fillId="18" borderId="72" applyAlignment="1" pivotButton="0" quotePrefix="0" xfId="0">
      <alignment vertical="top"/>
    </xf>
    <xf numFmtId="170" fontId="0" fillId="19" borderId="72" applyAlignment="1" pivotButton="0" quotePrefix="0" xfId="0">
      <alignment vertical="top"/>
    </xf>
    <xf numFmtId="165" fontId="0" fillId="19" borderId="72" applyAlignment="1" pivotButton="0" quotePrefix="0" xfId="0">
      <alignment vertical="top"/>
    </xf>
    <xf numFmtId="170" fontId="0" fillId="0" borderId="72" applyAlignment="1" pivotButton="0" quotePrefix="0" xfId="0">
      <alignment vertical="top"/>
    </xf>
    <xf numFmtId="171" fontId="0" fillId="0" borderId="72" applyAlignment="1" pivotButton="0" quotePrefix="0" xfId="0">
      <alignment vertical="top"/>
    </xf>
    <xf numFmtId="165" fontId="0" fillId="0" borderId="72" applyAlignment="1" pivotButton="0" quotePrefix="0" xfId="0">
      <alignment vertical="top"/>
    </xf>
    <xf numFmtId="0" fontId="0" fillId="0" borderId="74" applyAlignment="1" pivotButton="0" quotePrefix="0" xfId="0">
      <alignment vertical="top"/>
    </xf>
    <xf numFmtId="0" fontId="19" fillId="0" borderId="74" applyAlignment="1" pivotButton="0" quotePrefix="0" xfId="0">
      <alignment vertical="top"/>
    </xf>
    <xf numFmtId="0" fontId="22" fillId="22" borderId="74" applyAlignment="1" pivotButton="0" quotePrefix="0" xfId="0">
      <alignment vertical="top"/>
    </xf>
    <xf numFmtId="164" fontId="0" fillId="0" borderId="74" applyAlignment="1" pivotButton="0" quotePrefix="0" xfId="0">
      <alignment vertical="top"/>
    </xf>
    <xf numFmtId="9" fontId="0" fillId="20" borderId="74" applyAlignment="1" pivotButton="0" quotePrefix="0" xfId="0">
      <alignment vertical="top"/>
    </xf>
    <xf numFmtId="0" fontId="0" fillId="21" borderId="74" applyAlignment="1" pivotButton="0" quotePrefix="0" xfId="0">
      <alignment vertical="top"/>
    </xf>
    <xf numFmtId="171" fontId="0" fillId="0" borderId="74" applyAlignment="1" pivotButton="0" quotePrefix="0" xfId="0">
      <alignment vertical="top"/>
    </xf>
    <xf numFmtId="165" fontId="0" fillId="0" borderId="74" applyAlignment="1" pivotButton="0" quotePrefix="0" xfId="0">
      <alignment vertical="top"/>
    </xf>
    <xf numFmtId="164" fontId="0" fillId="0" borderId="72" applyAlignment="1" pivotButton="0" quotePrefix="0" xfId="0">
      <alignment vertical="top"/>
    </xf>
    <xf numFmtId="164" fontId="0" fillId="20" borderId="74" applyAlignment="1" pivotButton="0" quotePrefix="0" xfId="0">
      <alignment vertical="top"/>
    </xf>
    <xf numFmtId="1" fontId="0" fillId="0" borderId="74" applyAlignment="1" pivotButton="0" quotePrefix="0" xfId="0">
      <alignment vertical="top"/>
    </xf>
    <xf numFmtId="164" fontId="0" fillId="21" borderId="74" applyAlignment="1" pivotButton="0" quotePrefix="0" xfId="0">
      <alignment vertical="top"/>
    </xf>
    <xf numFmtId="1" fontId="0" fillId="0" borderId="72" applyAlignment="1" pivotButton="0" quotePrefix="0" xfId="0">
      <alignment vertical="top"/>
    </xf>
    <xf numFmtId="1" fontId="23" fillId="23" borderId="5" pivotButton="0" quotePrefix="0" xfId="0"/>
    <xf numFmtId="164" fontId="23" fillId="23" borderId="5" pivotButton="0" quotePrefix="0" xfId="0"/>
    <xf numFmtId="1" fontId="23" fillId="23" borderId="6" pivotButton="0" quotePrefix="0" xfId="0"/>
    <xf numFmtId="165" fontId="23" fillId="23" borderId="5" pivotButton="0" quotePrefix="0" xfId="0"/>
    <xf numFmtId="165" fontId="23" fillId="23" borderId="6" pivotButton="0" quotePrefix="0" xfId="0"/>
    <xf numFmtId="172" fontId="23" fillId="23" borderId="6" pivotButton="0" quotePrefix="0" xfId="0"/>
    <xf numFmtId="169" fontId="23" fillId="23" borderId="5" applyAlignment="1" pivotButton="0" quotePrefix="0" xfId="0">
      <alignment horizontal="left" vertical="center"/>
    </xf>
    <xf numFmtId="0" fontId="23" fillId="23" borderId="5" applyAlignment="1" pivotButton="0" quotePrefix="0" xfId="0">
      <alignment horizontal="center" vertical="center"/>
    </xf>
    <xf numFmtId="0" fontId="23" fillId="23" borderId="5" applyAlignment="1" pivotButton="0" quotePrefix="0" xfId="0">
      <alignment horizontal="left" vertical="center"/>
    </xf>
    <xf numFmtId="1" fontId="23" fillId="24" borderId="74" applyAlignment="1" pivotButton="0" quotePrefix="0" xfId="0">
      <alignment vertical="top"/>
    </xf>
    <xf numFmtId="164" fontId="23" fillId="24" borderId="74" applyAlignment="1" pivotButton="0" quotePrefix="0" xfId="0">
      <alignment vertical="top"/>
    </xf>
    <xf numFmtId="171" fontId="23" fillId="24" borderId="74" applyAlignment="1" pivotButton="0" quotePrefix="0" xfId="0">
      <alignment vertical="top"/>
    </xf>
    <xf numFmtId="165" fontId="23" fillId="24" borderId="74" applyAlignment="1" pivotButton="0" quotePrefix="0" xfId="0">
      <alignment vertical="top"/>
    </xf>
    <xf numFmtId="0" fontId="25" fillId="28" borderId="0" applyAlignment="1" pivotButton="0" quotePrefix="0" xfId="0">
      <alignment horizontal="left" vertical="center" wrapText="1"/>
    </xf>
    <xf numFmtId="0" fontId="0" fillId="10" borderId="75" applyAlignment="1" pivotButton="0" quotePrefix="0" xfId="0">
      <alignment horizontal="left" vertical="center" wrapText="1"/>
    </xf>
    <xf numFmtId="169" fontId="0" fillId="10" borderId="75" applyAlignment="1" pivotButton="0" quotePrefix="0" xfId="0">
      <alignment horizontal="right" vertical="center" wrapText="1"/>
    </xf>
    <xf numFmtId="1" fontId="0" fillId="10" borderId="75" applyAlignment="1" pivotButton="0" quotePrefix="0" xfId="0">
      <alignment horizontal="left" vertical="center" wrapText="1"/>
    </xf>
    <xf numFmtId="171" fontId="0" fillId="10" borderId="75" applyAlignment="1" pivotButton="0" quotePrefix="0" xfId="0">
      <alignment horizontal="left" vertical="center" wrapText="1"/>
    </xf>
    <xf numFmtId="0" fontId="0" fillId="10" borderId="75" applyAlignment="1" pivotButton="0" quotePrefix="0" xfId="0">
      <alignment horizontal="right" vertical="center" wrapText="1"/>
    </xf>
    <xf numFmtId="0" fontId="0" fillId="0" borderId="75" applyAlignment="1" pivotButton="0" quotePrefix="0" xfId="0">
      <alignment horizontal="left" vertical="center" wrapText="1"/>
    </xf>
    <xf numFmtId="1" fontId="0" fillId="0" borderId="75" applyAlignment="1" pivotButton="0" quotePrefix="0" xfId="0">
      <alignment horizontal="center"/>
    </xf>
    <xf numFmtId="171" fontId="0" fillId="0" borderId="75" applyAlignment="1" pivotButton="0" quotePrefix="0" xfId="0">
      <alignment horizontal="center"/>
    </xf>
    <xf numFmtId="0" fontId="0" fillId="0" borderId="75" applyAlignment="1" pivotButton="0" quotePrefix="0" xfId="0">
      <alignment horizontal="center"/>
    </xf>
    <xf numFmtId="169" fontId="0" fillId="0" borderId="75" applyAlignment="1" pivotButton="0" quotePrefix="0" xfId="0">
      <alignment horizontal="left" vertical="center" wrapText="1"/>
    </xf>
    <xf numFmtId="0" fontId="30" fillId="31" borderId="0" applyAlignment="1" pivotButton="0" quotePrefix="0" xfId="0">
      <alignment horizontal="center" vertical="center" wrapText="1"/>
    </xf>
    <xf numFmtId="0" fontId="0" fillId="32" borderId="76" pivotButton="0" quotePrefix="0" xfId="0"/>
    <xf numFmtId="0" fontId="29" fillId="33" borderId="0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vertical="center" wrapText="1"/>
    </xf>
    <xf numFmtId="1" fontId="0" fillId="0" borderId="76" applyAlignment="1" pivotButton="0" quotePrefix="0" xfId="0">
      <alignment horizontal="left" vertical="center" wrapText="1"/>
    </xf>
    <xf numFmtId="169" fontId="0" fillId="0" borderId="76" applyAlignment="1" pivotButton="0" quotePrefix="0" xfId="0">
      <alignment horizontal="left" vertical="center" wrapText="1"/>
    </xf>
    <xf numFmtId="169" fontId="0" fillId="0" borderId="76" applyAlignment="1" pivotButton="0" quotePrefix="0" xfId="0">
      <alignment horizontal="right" vertical="center"/>
    </xf>
    <xf numFmtId="1" fontId="0" fillId="0" borderId="76" applyAlignment="1" pivotButton="0" quotePrefix="0" xfId="0">
      <alignment horizontal="right" vertical="center"/>
    </xf>
    <xf numFmtId="169" fontId="0" fillId="0" borderId="76" pivotButton="0" quotePrefix="0" xfId="0"/>
    <xf numFmtId="1" fontId="0" fillId="0" borderId="76" pivotButton="0" quotePrefix="0" xfId="0"/>
    <xf numFmtId="1" fontId="0" fillId="10" borderId="76" pivotButton="0" quotePrefix="0" xfId="0"/>
    <xf numFmtId="0" fontId="0" fillId="0" borderId="77" pivotButton="0" quotePrefix="0" xfId="0"/>
    <xf numFmtId="0" fontId="0" fillId="0" borderId="78" pivotButton="0" quotePrefix="0" xfId="0"/>
    <xf numFmtId="0" fontId="0" fillId="0" borderId="79" pivotButton="0" quotePrefix="0" xfId="0"/>
    <xf numFmtId="0" fontId="0" fillId="0" borderId="77" pivotButton="1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0" fillId="0" borderId="84" pivotButton="0" quotePrefix="0" xfId="0"/>
    <xf numFmtId="173" fontId="0" fillId="0" borderId="84" pivotButton="0" quotePrefix="0" xfId="0"/>
    <xf numFmtId="173" fontId="0" fillId="0" borderId="85" pivotButton="0" quotePrefix="0" xfId="0"/>
    <xf numFmtId="173" fontId="0" fillId="0" borderId="86" pivotButton="0" quotePrefix="0" xfId="0"/>
    <xf numFmtId="0" fontId="0" fillId="0" borderId="79" pivotButton="1" quotePrefix="0" xfId="0"/>
    <xf numFmtId="0" fontId="0" fillId="0" borderId="87" pivotButton="0" quotePrefix="0" xfId="0"/>
    <xf numFmtId="0" fontId="0" fillId="0" borderId="88" pivotButton="0" quotePrefix="0" xfId="0"/>
    <xf numFmtId="173" fontId="0" fillId="0" borderId="88" pivotButton="0" quotePrefix="0" xfId="0"/>
    <xf numFmtId="173" fontId="0" fillId="0" borderId="0" pivotButton="0" quotePrefix="0" xfId="0"/>
    <xf numFmtId="173" fontId="0" fillId="0" borderId="89" pivotButton="0" quotePrefix="0" xfId="0"/>
    <xf numFmtId="0" fontId="37" fillId="34" borderId="0" applyAlignment="1" pivotButton="0" quotePrefix="0" xfId="0">
      <alignment horizontal="center" vertical="center" wrapText="1"/>
    </xf>
    <xf numFmtId="0" fontId="32" fillId="0" borderId="0" applyAlignment="1" pivotButton="0" quotePrefix="0" xfId="1">
      <alignment horizontal="center" vertical="center"/>
    </xf>
    <xf numFmtId="0" fontId="34" fillId="34" borderId="0" applyAlignment="1" pivotButton="0" quotePrefix="0" xfId="0">
      <alignment horizontal="left" vertical="center" wrapText="1"/>
    </xf>
    <xf numFmtId="0" fontId="35" fillId="35" borderId="0" applyAlignment="1" pivotButton="0" quotePrefix="0" xfId="0">
      <alignment horizontal="left" vertical="center" wrapText="1"/>
    </xf>
    <xf numFmtId="0" fontId="32" fillId="0" borderId="0" applyAlignment="1" pivotButton="0" quotePrefix="0" xfId="1">
      <alignment horizontal="left" vertical="center"/>
    </xf>
    <xf numFmtId="0" fontId="35" fillId="39" borderId="0" applyAlignment="1" pivotButton="0" quotePrefix="0" xfId="0">
      <alignment horizontal="left" vertical="center" wrapText="1"/>
    </xf>
    <xf numFmtId="0" fontId="39" fillId="38" borderId="90" applyAlignment="1" pivotButton="0" quotePrefix="0" xfId="0">
      <alignment horizontal="left" vertical="center"/>
    </xf>
    <xf numFmtId="0" fontId="35" fillId="39" borderId="76" applyAlignment="1" pivotButton="0" quotePrefix="0" xfId="0">
      <alignment horizontal="left" vertical="center" wrapText="1"/>
    </xf>
    <xf numFmtId="1" fontId="35" fillId="39" borderId="76" applyAlignment="1" pivotButton="0" quotePrefix="0" xfId="0">
      <alignment horizontal="left" vertical="center" wrapText="1"/>
    </xf>
    <xf numFmtId="0" fontId="36" fillId="37" borderId="0" applyAlignment="1" pivotButton="0" quotePrefix="0" xfId="0">
      <alignment horizontal="left" vertical="center" wrapText="1"/>
    </xf>
    <xf numFmtId="0" fontId="37" fillId="34" borderId="1" applyAlignment="1" pivotButton="0" quotePrefix="0" xfId="0">
      <alignment horizontal="center" vertical="center" wrapText="1"/>
    </xf>
    <xf numFmtId="0" fontId="37" fillId="34" borderId="3" applyAlignment="1" pivotButton="0" quotePrefix="0" xfId="0">
      <alignment horizontal="center" vertical="center" wrapText="1"/>
    </xf>
    <xf numFmtId="0" fontId="37" fillId="34" borderId="2" applyAlignment="1" pivotButton="0" quotePrefix="0" xfId="0">
      <alignment horizontal="center" vertical="center" wrapText="1"/>
    </xf>
    <xf numFmtId="0" fontId="38" fillId="38" borderId="6" applyAlignment="1" pivotButton="0" quotePrefix="0" xfId="0">
      <alignment horizontal="left" vertical="center"/>
    </xf>
    <xf numFmtId="0" fontId="38" fillId="38" borderId="5" applyAlignment="1" pivotButton="0" quotePrefix="0" xfId="0">
      <alignment horizontal="left" vertical="center"/>
    </xf>
    <xf numFmtId="165" fontId="38" fillId="38" borderId="5" applyAlignment="1" pivotButton="0" quotePrefix="0" xfId="0">
      <alignment horizontal="left" vertical="center"/>
    </xf>
    <xf numFmtId="165" fontId="38" fillId="38" borderId="6" applyAlignment="1" pivotButton="0" quotePrefix="0" xfId="0">
      <alignment horizontal="left" vertical="center"/>
    </xf>
    <xf numFmtId="164" fontId="38" fillId="38" borderId="6" applyAlignment="1" pivotButton="0" quotePrefix="0" xfId="0">
      <alignment horizontal="left" vertical="center"/>
    </xf>
    <xf numFmtId="1" fontId="38" fillId="38" borderId="5" applyAlignment="1" pivotButton="0" quotePrefix="0" xfId="0">
      <alignment horizontal="left" vertical="center"/>
    </xf>
    <xf numFmtId="164" fontId="38" fillId="38" borderId="5" applyAlignment="1" pivotButton="0" quotePrefix="0" xfId="0">
      <alignment horizontal="left" vertical="center"/>
    </xf>
    <xf numFmtId="1" fontId="38" fillId="38" borderId="6" applyAlignment="1" pivotButton="0" quotePrefix="0" xfId="0">
      <alignment horizontal="left" vertical="center"/>
    </xf>
    <xf numFmtId="1" fontId="38" fillId="38" borderId="9" applyAlignment="1" pivotButton="0" quotePrefix="0" xfId="0">
      <alignment horizontal="left" vertical="center"/>
    </xf>
    <xf numFmtId="0" fontId="38" fillId="38" borderId="0" applyAlignment="1" pivotButton="0" quotePrefix="0" xfId="0">
      <alignment horizontal="left" vertical="center"/>
    </xf>
    <xf numFmtId="165" fontId="38" fillId="38" borderId="8" applyAlignment="1" pivotButton="0" quotePrefix="0" xfId="0">
      <alignment horizontal="left" vertical="center"/>
    </xf>
    <xf numFmtId="165" fontId="38" fillId="38" borderId="9" applyAlignment="1" pivotButton="0" quotePrefix="0" xfId="0">
      <alignment horizontal="left" vertical="center"/>
    </xf>
    <xf numFmtId="1" fontId="38" fillId="38" borderId="8" applyAlignment="1" pivotButton="0" quotePrefix="0" xfId="0">
      <alignment horizontal="left" vertical="center"/>
    </xf>
    <xf numFmtId="0" fontId="37" fillId="34" borderId="10" applyAlignment="1" pivotButton="0" quotePrefix="0" xfId="0">
      <alignment horizontal="center" vertical="center" wrapText="1"/>
    </xf>
    <xf numFmtId="0" fontId="36" fillId="37" borderId="4" applyAlignment="1" pivotButton="0" quotePrefix="0" xfId="0">
      <alignment horizontal="left" vertical="center" wrapText="1"/>
    </xf>
    <xf numFmtId="0" fontId="37" fillId="34" borderId="12" applyAlignment="1" pivotButton="0" quotePrefix="0" xfId="0">
      <alignment horizontal="center" vertical="center" wrapText="1"/>
    </xf>
    <xf numFmtId="0" fontId="37" fillId="34" borderId="5" applyAlignment="1" pivotButton="0" quotePrefix="0" xfId="0">
      <alignment horizontal="center" vertical="center" wrapText="1"/>
    </xf>
    <xf numFmtId="0" fontId="37" fillId="34" borderId="13" applyAlignment="1" pivotButton="0" quotePrefix="0" xfId="0">
      <alignment horizontal="center" vertical="center" wrapText="1"/>
    </xf>
    <xf numFmtId="0" fontId="37" fillId="34" borderId="18" applyAlignment="1" pivotButton="0" quotePrefix="0" xfId="0">
      <alignment horizontal="center" vertical="center" wrapText="1"/>
    </xf>
    <xf numFmtId="0" fontId="37" fillId="34" borderId="19" applyAlignment="1" pivotButton="0" quotePrefix="0" xfId="0">
      <alignment horizontal="center" vertical="center" wrapText="1"/>
    </xf>
    <xf numFmtId="0" fontId="37" fillId="34" borderId="24" applyAlignment="1" pivotButton="0" quotePrefix="0" xfId="0">
      <alignment horizontal="center" vertical="center" wrapText="1"/>
    </xf>
    <xf numFmtId="0" fontId="37" fillId="34" borderId="25" applyAlignment="1" pivotButton="0" quotePrefix="0" xfId="0">
      <alignment horizontal="center" vertical="center" wrapText="1"/>
    </xf>
    <xf numFmtId="0" fontId="37" fillId="34" borderId="74" applyAlignment="1" pivotButton="0" quotePrefix="0" xfId="0">
      <alignment horizontal="center" vertical="center" wrapText="1"/>
    </xf>
    <xf numFmtId="0" fontId="36" fillId="37" borderId="72" applyAlignment="1" pivotButton="0" quotePrefix="0" xfId="0">
      <alignment horizontal="left" vertical="center" wrapText="1"/>
    </xf>
    <xf numFmtId="0" fontId="36" fillId="37" borderId="74" applyAlignment="1" pivotButton="0" quotePrefix="0" xfId="0">
      <alignment horizontal="left" vertical="center" wrapText="1"/>
    </xf>
    <xf numFmtId="1" fontId="36" fillId="37" borderId="74" applyAlignment="1" pivotButton="0" quotePrefix="0" xfId="0">
      <alignment horizontal="left" vertical="center" wrapText="1"/>
    </xf>
    <xf numFmtId="164" fontId="36" fillId="37" borderId="74" applyAlignment="1" pivotButton="0" quotePrefix="0" xfId="0">
      <alignment horizontal="left" vertical="center" wrapText="1"/>
    </xf>
    <xf numFmtId="0" fontId="37" fillId="34" borderId="72" applyAlignment="1" pivotButton="0" quotePrefix="0" xfId="0">
      <alignment horizontal="center" vertical="center" wrapText="1"/>
    </xf>
    <xf numFmtId="0" fontId="37" fillId="34" borderId="73" applyAlignment="1" pivotButton="0" quotePrefix="0" xfId="0">
      <alignment horizontal="center" vertical="center" wrapText="1"/>
    </xf>
    <xf numFmtId="171" fontId="36" fillId="37" borderId="74" applyAlignment="1" pivotButton="0" quotePrefix="0" xfId="0">
      <alignment horizontal="left" vertical="center" wrapText="1"/>
    </xf>
    <xf numFmtId="165" fontId="36" fillId="37" borderId="74" applyAlignment="1" pivotButton="0" quotePrefix="0" xfId="0">
      <alignment horizontal="left" vertical="center" wrapText="1"/>
    </xf>
    <xf numFmtId="0" fontId="42" fillId="35" borderId="90" applyAlignment="1" pivotButton="0" quotePrefix="0" xfId="0">
      <alignment horizontal="center" vertical="center"/>
    </xf>
    <xf numFmtId="0" fontId="41" fillId="34" borderId="0" applyAlignment="1" pivotButton="0" quotePrefix="0" xfId="0">
      <alignment horizontal="center" vertical="center" wrapText="1"/>
    </xf>
    <xf numFmtId="0" fontId="0" fillId="40" borderId="90" pivotButton="0" quotePrefix="0" xfId="0"/>
    <xf numFmtId="169" fontId="43" fillId="41" borderId="90" pivotButton="0" quotePrefix="0" xfId="0"/>
    <xf numFmtId="0" fontId="44" fillId="0" borderId="0" pivotButton="0" quotePrefix="0" xfId="0"/>
    <xf numFmtId="0" fontId="37" fillId="34" borderId="4" applyAlignment="1" pivotButton="0" quotePrefix="0" xfId="0">
      <alignment horizontal="center" vertical="center" wrapText="1"/>
    </xf>
    <xf numFmtId="164" fontId="37" fillId="34" borderId="5" applyAlignment="1" pivotButton="0" quotePrefix="0" xfId="0">
      <alignment horizontal="center" vertical="center" wrapText="1"/>
    </xf>
    <xf numFmtId="0" fontId="37" fillId="34" borderId="6" applyAlignment="1" pivotButton="0" quotePrefix="0" xfId="0">
      <alignment horizontal="center" vertical="center" wrapText="1"/>
    </xf>
    <xf numFmtId="164" fontId="4" fillId="10" borderId="5" applyAlignment="1" pivotButton="0" quotePrefix="0" xfId="0">
      <alignment horizontal="right" vertical="center"/>
    </xf>
    <xf numFmtId="0" fontId="0" fillId="0" borderId="45" pivotButton="0" quotePrefix="0" xfId="0"/>
    <xf numFmtId="0" fontId="0" fillId="0" borderId="46" pivotButton="0" quotePrefix="0" xfId="0"/>
    <xf numFmtId="0" fontId="36" fillId="37" borderId="37" applyAlignment="1" pivotButton="0" quotePrefix="0" xfId="0">
      <alignment horizontal="center" vertical="center" wrapText="1"/>
    </xf>
    <xf numFmtId="0" fontId="0" fillId="0" borderId="47" pivotButton="0" quotePrefix="0" xfId="0"/>
    <xf numFmtId="0" fontId="0" fillId="0" borderId="48" pivotButton="0" quotePrefix="0" xfId="0"/>
    <xf numFmtId="0" fontId="2" fillId="11" borderId="1" applyAlignment="1" pivotButton="0" quotePrefix="0" xfId="0">
      <alignment horizontal="left" vertical="center"/>
    </xf>
    <xf numFmtId="0" fontId="0" fillId="0" borderId="56" pivotButton="0" quotePrefix="0" xfId="0"/>
    <xf numFmtId="0" fontId="0" fillId="0" borderId="57" pivotButton="0" quotePrefix="0" xfId="0"/>
    <xf numFmtId="0" fontId="3" fillId="10" borderId="4" applyAlignment="1" pivotButton="0" quotePrefix="0" xfId="0">
      <alignment horizontal="left" vertical="center"/>
    </xf>
    <xf numFmtId="0" fontId="13" fillId="9" borderId="11" applyAlignment="1" pivotButton="0" quotePrefix="0" xfId="0">
      <alignment horizontal="left" vertical="center" indent="1"/>
    </xf>
    <xf numFmtId="0" fontId="0" fillId="0" borderId="67" pivotButton="0" quotePrefix="0" xfId="0"/>
    <xf numFmtId="0" fontId="0" fillId="0" borderId="68" pivotButton="0" quotePrefix="0" xfId="0"/>
    <xf numFmtId="0" fontId="3" fillId="10" borderId="4" pivotButton="0" quotePrefix="0" xfId="0"/>
    <xf numFmtId="0" fontId="3" fillId="10" borderId="8" pivotButton="0" quotePrefix="0" xfId="0"/>
    <xf numFmtId="0" fontId="0" fillId="0" borderId="41" pivotButton="0" quotePrefix="0" xfId="0"/>
    <xf numFmtId="0" fontId="0" fillId="0" borderId="42" pivotButton="0" quotePrefix="0" xfId="0"/>
    <xf numFmtId="164" fontId="17" fillId="3" borderId="30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0" borderId="66" pivotButton="0" quotePrefix="0" xfId="0"/>
    <xf numFmtId="0" fontId="0" fillId="0" borderId="51" pivotButton="0" quotePrefix="0" xfId="0"/>
    <xf numFmtId="0" fontId="0" fillId="0" borderId="52" pivotButton="0" quotePrefix="0" xfId="0"/>
    <xf numFmtId="0" fontId="10" fillId="3" borderId="1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60" pivotButton="0" quotePrefix="0" xfId="0"/>
    <xf numFmtId="0" fontId="0" fillId="0" borderId="0" pivotButton="0" quotePrefix="0" xfId="0"/>
    <xf numFmtId="0" fontId="0" fillId="0" borderId="49" pivotButton="0" quotePrefix="0" xfId="0"/>
    <xf numFmtId="0" fontId="0" fillId="0" borderId="61" pivotButton="0" quotePrefix="0" xfId="0"/>
    <xf numFmtId="0" fontId="2" fillId="13" borderId="1" applyAlignment="1" pivotButton="0" quotePrefix="0" xfId="0">
      <alignment horizontal="left" vertical="center"/>
    </xf>
    <xf numFmtId="167" fontId="4" fillId="10" borderId="5" applyAlignment="1" pivotButton="0" quotePrefix="0" xfId="0">
      <alignment horizontal="right" vertical="center"/>
    </xf>
    <xf numFmtId="0" fontId="2" fillId="15" borderId="0" applyAlignment="1" pivotButton="0" quotePrefix="0" xfId="0">
      <alignment horizontal="left" vertical="center"/>
    </xf>
    <xf numFmtId="0" fontId="3" fillId="10" borderId="7" applyAlignment="1" pivotButton="0" quotePrefix="0" xfId="0">
      <alignment horizontal="left" vertical="center"/>
    </xf>
    <xf numFmtId="165" fontId="17" fillId="3" borderId="12" applyAlignment="1" pivotButton="0" quotePrefix="0" xfId="0">
      <alignment horizontal="center" vertical="center"/>
    </xf>
    <xf numFmtId="0" fontId="0" fillId="0" borderId="69" pivotButton="0" quotePrefix="0" xfId="0"/>
    <xf numFmtId="0" fontId="13" fillId="6" borderId="17" applyAlignment="1" pivotButton="0" quotePrefix="0" xfId="0">
      <alignment horizontal="left" vertical="center" indent="1"/>
    </xf>
    <xf numFmtId="0" fontId="0" fillId="0" borderId="70" pivotButton="0" quotePrefix="0" xfId="0"/>
    <xf numFmtId="0" fontId="0" fillId="0" borderId="71" pivotButton="0" quotePrefix="0" xfId="0"/>
    <xf numFmtId="0" fontId="2" fillId="16" borderId="1" applyAlignment="1" pivotButton="0" quotePrefix="0" xfId="0">
      <alignment horizontal="left" vertical="center"/>
    </xf>
    <xf numFmtId="0" fontId="3" fillId="10" borderId="7" pivotButton="0" quotePrefix="0" xfId="0"/>
    <xf numFmtId="0" fontId="26" fillId="26" borderId="0" applyAlignment="1" pivotButton="0" quotePrefix="0" xfId="0">
      <alignment horizontal="left" vertical="center"/>
    </xf>
    <xf numFmtId="164" fontId="4" fillId="10" borderId="8" applyAlignment="1" pivotButton="0" quotePrefix="0" xfId="0">
      <alignment horizontal="right" vertical="center"/>
    </xf>
    <xf numFmtId="49" fontId="4" fillId="10" borderId="5" applyAlignment="1" pivotButton="0" quotePrefix="0" xfId="0">
      <alignment horizontal="right" vertical="center"/>
    </xf>
    <xf numFmtId="0" fontId="34" fillId="34" borderId="1" applyAlignment="1" pivotButton="0" quotePrefix="0" xfId="0">
      <alignment horizontal="left" vertical="center" wrapText="1"/>
    </xf>
    <xf numFmtId="0" fontId="36" fillId="37" borderId="29" applyAlignment="1" pivotButton="0" quotePrefix="0" xfId="0">
      <alignment horizontal="center" vertical="center" wrapText="1"/>
    </xf>
    <xf numFmtId="0" fontId="0" fillId="0" borderId="58" pivotButton="0" quotePrefix="0" xfId="0"/>
    <xf numFmtId="0" fontId="0" fillId="0" borderId="59" pivotButton="0" quotePrefix="0" xfId="0"/>
    <xf numFmtId="165" fontId="4" fillId="10" borderId="5" applyAlignment="1" pivotButton="0" quotePrefix="0" xfId="0">
      <alignment horizontal="right" vertical="center"/>
    </xf>
    <xf numFmtId="0" fontId="0" fillId="27" borderId="0" applyAlignment="1" pivotButton="0" quotePrefix="0" xfId="0">
      <alignment horizontal="left" vertical="center" wrapText="1"/>
    </xf>
    <xf numFmtId="0" fontId="3" fillId="10" borderId="5" pivotButton="0" quotePrefix="0" xfId="0"/>
    <xf numFmtId="0" fontId="10" fillId="3" borderId="4" applyAlignment="1" pivotButton="0" quotePrefix="0" xfId="0">
      <alignment horizontal="left" vertical="center" wrapText="1"/>
    </xf>
    <xf numFmtId="0" fontId="36" fillId="37" borderId="23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3" pivotButton="0" quotePrefix="0" xfId="0"/>
    <xf numFmtId="164" fontId="17" fillId="3" borderId="24" applyAlignment="1" pivotButton="0" quotePrefix="0" xfId="0">
      <alignment horizontal="center" vertical="center"/>
    </xf>
    <xf numFmtId="0" fontId="0" fillId="0" borderId="64" pivotButton="0" quotePrefix="0" xfId="0"/>
    <xf numFmtId="164" fontId="17" fillId="3" borderId="38" applyAlignment="1" pivotButton="0" quotePrefix="0" xfId="0">
      <alignment horizontal="center" vertical="center"/>
    </xf>
    <xf numFmtId="0" fontId="0" fillId="0" borderId="65" pivotButton="0" quotePrefix="0" xfId="0"/>
    <xf numFmtId="0" fontId="27" fillId="29" borderId="0" applyAlignment="1" pivotButton="0" quotePrefix="0" xfId="0">
      <alignment horizontal="left" vertical="center" wrapText="1"/>
    </xf>
    <xf numFmtId="1" fontId="4" fillId="10" borderId="5" applyAlignment="1" pivotButton="0" quotePrefix="0" xfId="0">
      <alignment horizontal="right" vertical="center"/>
    </xf>
    <xf numFmtId="0" fontId="36" fillId="37" borderId="35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4" pivotButton="0" quotePrefix="0" xfId="0"/>
    <xf numFmtId="1" fontId="17" fillId="3" borderId="36" applyAlignment="1" pivotButton="0" quotePrefix="0" xfId="0">
      <alignment horizontal="center" vertical="center"/>
    </xf>
    <xf numFmtId="0" fontId="0" fillId="0" borderId="53" pivotButton="0" quotePrefix="0" xfId="0"/>
    <xf numFmtId="0" fontId="2" fillId="4" borderId="0" applyAlignment="1" pivotButton="0" quotePrefix="0" xfId="0">
      <alignment horizontal="left" vertical="center"/>
    </xf>
    <xf numFmtId="0" fontId="2" fillId="11" borderId="0" applyAlignment="1" pivotButton="0" quotePrefix="0" xfId="0">
      <alignment horizontal="left" vertical="center"/>
    </xf>
    <xf numFmtId="164" fontId="17" fillId="3" borderId="36" applyAlignment="1" pivotButton="0" quotePrefix="0" xfId="0">
      <alignment horizontal="center" vertical="center"/>
    </xf>
    <xf numFmtId="0" fontId="37" fillId="34" borderId="0" applyAlignment="1" pivotButton="0" quotePrefix="0" xfId="0">
      <alignment horizontal="center" vertical="center" wrapText="1"/>
    </xf>
    <xf numFmtId="0" fontId="31" fillId="3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center"/>
    </xf>
    <xf numFmtId="164" fontId="17" fillId="3" borderId="18" applyAlignment="1" pivotButton="0" quotePrefix="0" xfId="0">
      <alignment horizontal="center" vertical="center"/>
    </xf>
    <xf numFmtId="0" fontId="0" fillId="0" borderId="50" pivotButton="0" quotePrefix="0" xfId="0"/>
    <xf numFmtId="0" fontId="35" fillId="35" borderId="7" applyAlignment="1" pivotButton="0" quotePrefix="0" xfId="0">
      <alignment horizontal="left" vertical="center" wrapText="1"/>
    </xf>
    <xf numFmtId="0" fontId="35" fillId="39" borderId="0" applyAlignment="1" pivotButton="0" quotePrefix="0" xfId="0">
      <alignment horizontal="left" vertical="center" wrapText="1"/>
    </xf>
    <xf numFmtId="0" fontId="40" fillId="34" borderId="0" applyAlignment="1" pivotButton="0" quotePrefix="0" xfId="0">
      <alignment horizontal="center" vertical="center" wrapText="1"/>
    </xf>
    <xf numFmtId="0" fontId="29" fillId="30" borderId="0" applyAlignment="1" pivotButton="0" quotePrefix="0" xfId="0">
      <alignment horizontal="left" vertical="center"/>
    </xf>
    <xf numFmtId="0" fontId="34" fillId="34" borderId="0" applyAlignment="1" pivotButton="0" quotePrefix="0" xfId="0">
      <alignment horizontal="left" vertical="center" wrapText="1"/>
    </xf>
    <xf numFmtId="0" fontId="35" fillId="35" borderId="0" applyAlignment="1" pivotButton="0" quotePrefix="0" xfId="0">
      <alignment horizontal="left" vertical="center" wrapText="1"/>
    </xf>
    <xf numFmtId="0" fontId="0" fillId="35" borderId="0" applyAlignment="1" pivotButton="0" quotePrefix="0" xfId="0">
      <alignment horizontal="left" vertical="center" wrapText="1"/>
    </xf>
    <xf numFmtId="0" fontId="33" fillId="36" borderId="0" applyAlignment="1" pivotButton="0" quotePrefix="0" xfId="0">
      <alignment horizontal="left" vertical="center"/>
    </xf>
    <xf numFmtId="0" fontId="37" fillId="34" borderId="1" applyAlignment="1" pivotButton="0" quotePrefix="0" xfId="0">
      <alignment horizontal="center" vertical="center" wrapText="1"/>
    </xf>
    <xf numFmtId="0" fontId="35" fillId="39" borderId="1" applyAlignment="1" pivotButton="0" quotePrefix="0" xfId="0">
      <alignment horizontal="left" vertical="center" wrapText="1"/>
    </xf>
    <xf numFmtId="0" fontId="35" fillId="39" borderId="4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6" fillId="13" borderId="29" applyAlignment="1" pivotButton="0" quotePrefix="0" xfId="0">
      <alignment horizontal="left" indent="1"/>
    </xf>
    <xf numFmtId="0" fontId="24" fillId="25" borderId="7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 wrapText="1"/>
    </xf>
    <xf numFmtId="167" fontId="4" fillId="3" borderId="5" applyAlignment="1" pivotButton="0" quotePrefix="0" xfId="0">
      <alignment horizontal="right" vertical="center"/>
    </xf>
    <xf numFmtId="0" fontId="12" fillId="6" borderId="17" applyAlignment="1" pivotButton="0" quotePrefix="0" xfId="0">
      <alignment horizontal="left" indent="1"/>
    </xf>
    <xf numFmtId="0" fontId="2" fillId="16" borderId="4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2" fillId="15" borderId="23" applyAlignment="1" pivotButton="0" quotePrefix="0" xfId="0">
      <alignment horizontal="left" indent="1"/>
    </xf>
    <xf numFmtId="0" fontId="24" fillId="25" borderId="1" applyAlignment="1" pivotButton="0" quotePrefix="0" xfId="0">
      <alignment vertical="top" wrapText="1"/>
    </xf>
    <xf numFmtId="0" fontId="12" fillId="9" borderId="11" applyAlignment="1" pivotButton="0" quotePrefix="0" xfId="0">
      <alignment horizontal="left" indent="1"/>
    </xf>
    <xf numFmtId="0" fontId="2" fillId="16" borderId="5" applyAlignment="1" pivotButton="0" quotePrefix="0" xfId="0">
      <alignment horizontal="center" vertical="center"/>
    </xf>
    <xf numFmtId="0" fontId="24" fillId="25" borderId="74" applyAlignment="1" pivotButton="0" quotePrefix="0" xfId="0">
      <alignment vertical="top" wrapText="1"/>
    </xf>
    <xf numFmtId="0" fontId="0" fillId="0" borderId="74" pivotButton="0" quotePrefix="0" xfId="0"/>
    <xf numFmtId="0" fontId="35" fillId="39" borderId="74" applyAlignment="1" pivotButton="0" quotePrefix="0" xfId="0">
      <alignment horizontal="left" vertical="center" wrapText="1"/>
    </xf>
    <xf numFmtId="0" fontId="37" fillId="34" borderId="74" applyAlignment="1" pivotButton="0" quotePrefix="0" xfId="0">
      <alignment horizontal="center" vertical="center" wrapText="1"/>
    </xf>
    <xf numFmtId="0" fontId="35" fillId="35" borderId="74" applyAlignment="1" pivotButton="0" quotePrefix="0" xfId="0">
      <alignment horizontal="left" vertical="center" wrapText="1"/>
    </xf>
    <xf numFmtId="0" fontId="20" fillId="17" borderId="74" applyAlignment="1" pivotButton="0" quotePrefix="0" xfId="0">
      <alignment vertical="top"/>
    </xf>
    <xf numFmtId="0" fontId="34" fillId="34" borderId="74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1" fontId="0" fillId="0" borderId="77" pivotButton="0" quotePrefix="0" xfId="0"/>
    <xf numFmtId="171" fontId="0" fillId="0" borderId="88" pivotButton="0" quotePrefix="0" xfId="0"/>
    <xf numFmtId="1" fontId="0" fillId="0" borderId="83" pivotButton="0" quotePrefix="0" xfId="0"/>
    <xf numFmtId="171" fontId="0" fillId="0" borderId="0" pivotButton="0" quotePrefix="0" xfId="0"/>
    <xf numFmtId="1" fontId="0" fillId="0" borderId="78" pivotButton="0" quotePrefix="0" xfId="0"/>
    <xf numFmtId="171" fontId="0" fillId="0" borderId="89" pivotButton="0" quotePrefix="0" xfId="0"/>
    <xf numFmtId="0" fontId="48" fillId="42" borderId="0" applyAlignment="1" pivotButton="0" quotePrefix="0" xfId="0">
      <alignment horizontal="left" vertical="center"/>
    </xf>
    <xf numFmtId="0" fontId="0" fillId="43" borderId="0" applyAlignment="1" pivotButton="0" quotePrefix="0" xfId="0">
      <alignment horizontal="left" vertical="center" wrapText="1"/>
    </xf>
    <xf numFmtId="0" fontId="47" fillId="45" borderId="0" applyAlignment="1" pivotButton="0" quotePrefix="0" xfId="0">
      <alignment horizontal="left" vertical="center" wrapText="1"/>
    </xf>
    <xf numFmtId="0" fontId="49" fillId="46" borderId="0" applyAlignment="1" pivotButton="0" quotePrefix="0" xfId="0">
      <alignment horizontal="left" vertical="center" wrapText="1"/>
    </xf>
    <xf numFmtId="0" fontId="0" fillId="10" borderId="109" applyAlignment="1" pivotButton="0" quotePrefix="0" xfId="0">
      <alignment horizontal="left" vertical="center" wrapText="1"/>
    </xf>
    <xf numFmtId="174" fontId="0" fillId="10" borderId="109" applyAlignment="1" pivotButton="0" quotePrefix="0" xfId="0">
      <alignment horizontal="right" vertical="center" wrapText="1"/>
    </xf>
    <xf numFmtId="1" fontId="0" fillId="10" borderId="109" applyAlignment="1" pivotButton="0" quotePrefix="0" xfId="0">
      <alignment horizontal="left" vertical="center" wrapText="1"/>
    </xf>
    <xf numFmtId="175" fontId="0" fillId="10" borderId="109" applyAlignment="1" pivotButton="0" quotePrefix="0" xfId="0">
      <alignment horizontal="left" vertical="center" wrapText="1"/>
    </xf>
    <xf numFmtId="0" fontId="0" fillId="10" borderId="109" applyAlignment="1" pivotButton="0" quotePrefix="0" xfId="0">
      <alignment horizontal="right" vertical="center" wrapText="1"/>
    </xf>
    <xf numFmtId="0" fontId="46" fillId="42" borderId="0" pivotButton="0" quotePrefix="0" xfId="0"/>
    <xf numFmtId="0" fontId="28" fillId="0" borderId="0" applyAlignment="1" pivotButton="0" quotePrefix="0" xfId="1">
      <alignment horizontal="center" vertical="center"/>
    </xf>
    <xf numFmtId="0" fontId="45" fillId="42" borderId="0" applyAlignment="1" pivotButton="0" quotePrefix="0" xfId="0">
      <alignment horizontal="left" vertical="center"/>
    </xf>
    <xf numFmtId="0" fontId="28" fillId="0" borderId="0" pivotButton="0" quotePrefix="0" xfId="1"/>
    <xf numFmtId="0" fontId="46" fillId="42" borderId="0" applyAlignment="1" pivotButton="0" quotePrefix="0" xfId="0">
      <alignment horizontal="center" vertical="center" wrapText="1"/>
    </xf>
    <xf numFmtId="0" fontId="0" fillId="0" borderId="109" applyAlignment="1" pivotButton="0" quotePrefix="0" xfId="0">
      <alignment horizontal="left" vertical="center" wrapText="1"/>
    </xf>
    <xf numFmtId="1" fontId="0" fillId="0" borderId="109" applyAlignment="1" pivotButton="0" quotePrefix="0" xfId="0">
      <alignment horizontal="center"/>
    </xf>
    <xf numFmtId="175" fontId="0" fillId="0" borderId="109" applyAlignment="1" pivotButton="0" quotePrefix="0" xfId="0">
      <alignment horizontal="center"/>
    </xf>
    <xf numFmtId="0" fontId="0" fillId="0" borderId="109" applyAlignment="1" pivotButton="0" quotePrefix="0" xfId="0">
      <alignment horizontal="center"/>
    </xf>
    <xf numFmtId="174" fontId="0" fillId="0" borderId="109" applyAlignment="1" pivotButton="0" quotePrefix="0" xfId="0">
      <alignment horizontal="left" vertical="center" wrapText="1"/>
    </xf>
    <xf numFmtId="0" fontId="47" fillId="44" borderId="0" applyAlignment="1" pivotButton="0" quotePrefix="0" xfId="0">
      <alignment horizontal="left"/>
    </xf>
    <xf numFmtId="1" fontId="0" fillId="10" borderId="109" pivotButton="0" quotePrefix="0" xfId="0"/>
    <xf numFmtId="174" fontId="0" fillId="10" borderId="109" applyAlignment="1" pivotButton="0" quotePrefix="0" xfId="0">
      <alignment horizontal="right" vertical="center" wrapText="1"/>
    </xf>
    <xf numFmtId="175" fontId="0" fillId="10" borderId="109" applyAlignment="1" pivotButton="0" quotePrefix="0" xfId="0">
      <alignment horizontal="left" vertical="center" wrapText="1"/>
    </xf>
    <xf numFmtId="175" fontId="0" fillId="0" borderId="109" applyAlignment="1" pivotButton="0" quotePrefix="0" xfId="0">
      <alignment horizontal="center"/>
    </xf>
    <xf numFmtId="174" fontId="0" fillId="0" borderId="109" applyAlignment="1" pivotButton="0" quotePrefix="0" xfId="0">
      <alignment horizontal="left" vertical="center" wrapText="1"/>
    </xf>
    <xf numFmtId="0" fontId="47" fillId="44" borderId="0" applyAlignment="1" pivotButton="0" quotePrefix="0" xfId="0">
      <alignment horizontal="left" vertical="center"/>
    </xf>
    <xf numFmtId="0" fontId="0" fillId="43" borderId="109" pivotButton="0" quotePrefix="0" xfId="0"/>
    <xf numFmtId="0" fontId="49" fillId="46" borderId="109" applyAlignment="1" pivotButton="0" quotePrefix="0" xfId="0">
      <alignment horizontal="left" vertical="center"/>
    </xf>
    <xf numFmtId="1" fontId="0" fillId="0" borderId="109" applyAlignment="1" pivotButton="0" quotePrefix="0" xfId="0">
      <alignment horizontal="left" vertical="center" wrapText="1"/>
    </xf>
    <xf numFmtId="174" fontId="0" fillId="0" borderId="109" applyAlignment="1" pivotButton="0" quotePrefix="0" xfId="0">
      <alignment horizontal="right" vertical="center"/>
    </xf>
    <xf numFmtId="1" fontId="0" fillId="0" borderId="109" applyAlignment="1" pivotButton="0" quotePrefix="0" xfId="0">
      <alignment horizontal="right" vertical="center"/>
    </xf>
    <xf numFmtId="174" fontId="0" fillId="0" borderId="109" pivotButton="0" quotePrefix="0" xfId="0"/>
    <xf numFmtId="1" fontId="0" fillId="0" borderId="109" pivotButton="0" quotePrefix="0" xfId="0"/>
    <xf numFmtId="0" fontId="54" fillId="42" borderId="1" applyAlignment="1" pivotButton="0" quotePrefix="0" xfId="0">
      <alignment horizontal="left" vertical="center" wrapText="1"/>
    </xf>
    <xf numFmtId="0" fontId="51" fillId="43" borderId="7" applyAlignment="1" pivotButton="0" quotePrefix="0" xfId="0">
      <alignment horizontal="left" vertical="center" wrapText="1"/>
    </xf>
    <xf numFmtId="0" fontId="52" fillId="45" borderId="35" applyAlignment="1" pivotButton="0" quotePrefix="0" xfId="0">
      <alignment horizontal="center" vertical="center" wrapText="1"/>
    </xf>
    <xf numFmtId="0" fontId="52" fillId="45" borderId="29" applyAlignment="1" pivotButton="0" quotePrefix="0" xfId="0">
      <alignment horizontal="center" vertical="center" wrapText="1"/>
    </xf>
    <xf numFmtId="0" fontId="52" fillId="45" borderId="37" applyAlignment="1" pivotButton="0" quotePrefix="0" xfId="0">
      <alignment horizontal="center" vertical="center" wrapText="1"/>
    </xf>
    <xf numFmtId="0" fontId="52" fillId="45" borderId="23" applyAlignment="1" pivotButton="0" quotePrefix="0" xfId="0">
      <alignment horizontal="center" vertical="center" wrapText="1"/>
    </xf>
    <xf numFmtId="0" fontId="55" fillId="42" borderId="0" applyAlignment="1" pivotButton="0" quotePrefix="0" xfId="0">
      <alignment horizontal="center" vertical="center" wrapText="1"/>
    </xf>
    <xf numFmtId="0" fontId="50" fillId="0" borderId="0" applyAlignment="1" pivotButton="0" quotePrefix="0" xfId="1">
      <alignment horizontal="center" vertical="center"/>
    </xf>
    <xf numFmtId="0" fontId="54" fillId="42" borderId="0" applyAlignment="1" pivotButton="0" quotePrefix="0" xfId="0">
      <alignment horizontal="left" vertical="center" wrapText="1"/>
    </xf>
    <xf numFmtId="0" fontId="51" fillId="43" borderId="0" applyAlignment="1" pivotButton="0" quotePrefix="0" xfId="0">
      <alignment horizontal="left" vertical="center" wrapText="1"/>
    </xf>
    <xf numFmtId="0" fontId="50" fillId="0" borderId="0" applyAlignment="1" pivotButton="0" quotePrefix="0" xfId="1">
      <alignment horizontal="left" vertical="center"/>
    </xf>
    <xf numFmtId="0" fontId="51" fillId="47" borderId="0" applyAlignment="1" pivotButton="0" quotePrefix="0" xfId="0">
      <alignment horizontal="left" vertical="center" wrapText="1"/>
    </xf>
    <xf numFmtId="0" fontId="57" fillId="46" borderId="109" applyAlignment="1" pivotButton="0" quotePrefix="0" xfId="0">
      <alignment horizontal="left" vertical="center"/>
    </xf>
    <xf numFmtId="0" fontId="51" fillId="47" borderId="109" applyAlignment="1" pivotButton="0" quotePrefix="0" xfId="0">
      <alignment horizontal="left" vertical="center" wrapText="1"/>
    </xf>
    <xf numFmtId="1" fontId="51" fillId="47" borderId="109" applyAlignment="1" pivotButton="0" quotePrefix="0" xfId="0">
      <alignment horizontal="left" vertical="center" wrapText="1"/>
    </xf>
    <xf numFmtId="0" fontId="58" fillId="42" borderId="0" applyAlignment="1" pivotButton="0" quotePrefix="0" xfId="0">
      <alignment horizontal="center" vertical="center" wrapText="1"/>
    </xf>
    <xf numFmtId="0" fontId="52" fillId="45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/>
    </xf>
    <xf numFmtId="0" fontId="52" fillId="0" borderId="0" pivotButton="0" quotePrefix="0" xfId="0"/>
    <xf numFmtId="0" fontId="53" fillId="44" borderId="0" applyAlignment="1" pivotButton="0" quotePrefix="0" xfId="0">
      <alignment horizontal="left" vertical="center"/>
    </xf>
    <xf numFmtId="0" fontId="55" fillId="42" borderId="1" applyAlignment="1" pivotButton="0" quotePrefix="0" xfId="0">
      <alignment horizontal="center" vertical="center" wrapText="1"/>
    </xf>
    <xf numFmtId="0" fontId="55" fillId="42" borderId="3" applyAlignment="1" pivotButton="0" quotePrefix="0" xfId="0">
      <alignment horizontal="center" vertical="center" wrapText="1"/>
    </xf>
    <xf numFmtId="0" fontId="55" fillId="42" borderId="2" applyAlignment="1" pivotButton="0" quotePrefix="0" xfId="0">
      <alignment horizontal="center" vertical="center" wrapText="1"/>
    </xf>
    <xf numFmtId="0" fontId="51" fillId="47" borderId="1" applyAlignment="1" pivotButton="0" quotePrefix="0" xfId="0">
      <alignment horizontal="left" vertical="center" wrapText="1"/>
    </xf>
    <xf numFmtId="0" fontId="56" fillId="46" borderId="6" applyAlignment="1" pivotButton="0" quotePrefix="0" xfId="0">
      <alignment horizontal="left" vertical="center"/>
    </xf>
    <xf numFmtId="0" fontId="56" fillId="46" borderId="5" applyAlignment="1" pivotButton="0" quotePrefix="0" xfId="0">
      <alignment horizontal="left" vertical="center"/>
    </xf>
    <xf numFmtId="165" fontId="56" fillId="46" borderId="5" applyAlignment="1" pivotButton="0" quotePrefix="0" xfId="0">
      <alignment horizontal="left" vertical="center"/>
    </xf>
    <xf numFmtId="165" fontId="56" fillId="46" borderId="6" applyAlignment="1" pivotButton="0" quotePrefix="0" xfId="0">
      <alignment horizontal="left" vertical="center"/>
    </xf>
    <xf numFmtId="164" fontId="56" fillId="46" borderId="6" applyAlignment="1" pivotButton="0" quotePrefix="0" xfId="0">
      <alignment horizontal="left" vertical="center"/>
    </xf>
    <xf numFmtId="1" fontId="56" fillId="46" borderId="5" applyAlignment="1" pivotButton="0" quotePrefix="0" xfId="0">
      <alignment horizontal="left" vertical="center"/>
    </xf>
    <xf numFmtId="164" fontId="56" fillId="46" borderId="5" applyAlignment="1" pivotButton="0" quotePrefix="0" xfId="0">
      <alignment horizontal="left" vertical="center"/>
    </xf>
    <xf numFmtId="1" fontId="56" fillId="46" borderId="6" applyAlignment="1" pivotButton="0" quotePrefix="0" xfId="0">
      <alignment horizontal="left" vertical="center"/>
    </xf>
    <xf numFmtId="1" fontId="56" fillId="46" borderId="9" applyAlignment="1" pivotButton="0" quotePrefix="0" xfId="0">
      <alignment horizontal="left" vertical="center"/>
    </xf>
    <xf numFmtId="0" fontId="56" fillId="46" borderId="0" applyAlignment="1" pivotButton="0" quotePrefix="0" xfId="0">
      <alignment horizontal="left" vertical="center"/>
    </xf>
    <xf numFmtId="165" fontId="56" fillId="46" borderId="8" applyAlignment="1" pivotButton="0" quotePrefix="0" xfId="0">
      <alignment horizontal="left" vertical="center"/>
    </xf>
    <xf numFmtId="165" fontId="56" fillId="46" borderId="9" applyAlignment="1" pivotButton="0" quotePrefix="0" xfId="0">
      <alignment horizontal="left" vertical="center"/>
    </xf>
    <xf numFmtId="0" fontId="51" fillId="47" borderId="4" applyAlignment="1" pivotButton="0" quotePrefix="0" xfId="0">
      <alignment horizontal="left" vertical="center" wrapText="1"/>
    </xf>
    <xf numFmtId="1" fontId="56" fillId="46" borderId="8" applyAlignment="1" pivotButton="0" quotePrefix="0" xfId="0">
      <alignment horizontal="left" vertical="center"/>
    </xf>
    <xf numFmtId="0" fontId="55" fillId="42" borderId="10" applyAlignment="1" pivotButton="0" quotePrefix="0" xfId="0">
      <alignment horizontal="center" vertical="center" wrapText="1"/>
    </xf>
    <xf numFmtId="0" fontId="52" fillId="45" borderId="4" applyAlignment="1" pivotButton="0" quotePrefix="0" xfId="0">
      <alignment horizontal="left" vertical="center" wrapText="1"/>
    </xf>
    <xf numFmtId="0" fontId="55" fillId="42" borderId="12" applyAlignment="1" pivotButton="0" quotePrefix="0" xfId="0">
      <alignment horizontal="center" vertical="center" wrapText="1"/>
    </xf>
    <xf numFmtId="0" fontId="55" fillId="42" borderId="5" applyAlignment="1" pivotButton="0" quotePrefix="0" xfId="0">
      <alignment horizontal="center" vertical="center" wrapText="1"/>
    </xf>
    <xf numFmtId="0" fontId="55" fillId="42" borderId="13" applyAlignment="1" pivotButton="0" quotePrefix="0" xfId="0">
      <alignment horizontal="center" vertical="center" wrapText="1"/>
    </xf>
    <xf numFmtId="0" fontId="55" fillId="42" borderId="18" applyAlignment="1" pivotButton="0" quotePrefix="0" xfId="0">
      <alignment horizontal="center" vertical="center" wrapText="1"/>
    </xf>
    <xf numFmtId="0" fontId="55" fillId="42" borderId="19" applyAlignment="1" pivotButton="0" quotePrefix="0" xfId="0">
      <alignment horizontal="center" vertical="center" wrapText="1"/>
    </xf>
    <xf numFmtId="0" fontId="55" fillId="42" borderId="24" applyAlignment="1" pivotButton="0" quotePrefix="0" xfId="0">
      <alignment horizontal="center" vertical="center" wrapText="1"/>
    </xf>
    <xf numFmtId="0" fontId="55" fillId="42" borderId="25" applyAlignment="1" pivotButton="0" quotePrefix="0" xfId="0">
      <alignment horizontal="center" vertical="center" wrapText="1"/>
    </xf>
    <xf numFmtId="0" fontId="54" fillId="42" borderId="74" applyAlignment="1" pivotButton="0" quotePrefix="0" xfId="0">
      <alignment horizontal="left" vertical="center" wrapText="1"/>
    </xf>
    <xf numFmtId="0" fontId="51" fillId="43" borderId="74" applyAlignment="1" pivotButton="0" quotePrefix="0" xfId="0">
      <alignment horizontal="left" vertical="center" wrapText="1"/>
    </xf>
    <xf numFmtId="0" fontId="55" fillId="42" borderId="74" applyAlignment="1" pivotButton="0" quotePrefix="0" xfId="0">
      <alignment horizontal="center" vertical="center" wrapText="1"/>
    </xf>
    <xf numFmtId="0" fontId="52" fillId="45" borderId="72" applyAlignment="1" pivotButton="0" quotePrefix="0" xfId="0">
      <alignment horizontal="left" vertical="center" wrapText="1"/>
    </xf>
    <xf numFmtId="0" fontId="51" fillId="47" borderId="74" applyAlignment="1" pivotButton="0" quotePrefix="0" xfId="0">
      <alignment horizontal="left" vertical="center" wrapText="1"/>
    </xf>
    <xf numFmtId="0" fontId="52" fillId="45" borderId="74" applyAlignment="1" pivotButton="0" quotePrefix="0" xfId="0">
      <alignment horizontal="left" vertical="center" wrapText="1"/>
    </xf>
    <xf numFmtId="1" fontId="52" fillId="45" borderId="74" applyAlignment="1" pivotButton="0" quotePrefix="0" xfId="0">
      <alignment horizontal="left" vertical="center" wrapText="1"/>
    </xf>
    <xf numFmtId="164" fontId="52" fillId="45" borderId="74" applyAlignment="1" pivotButton="0" quotePrefix="0" xfId="0">
      <alignment horizontal="left" vertical="center" wrapText="1"/>
    </xf>
    <xf numFmtId="0" fontId="55" fillId="42" borderId="72" applyAlignment="1" pivotButton="0" quotePrefix="0" xfId="0">
      <alignment horizontal="center" vertical="center" wrapText="1"/>
    </xf>
    <xf numFmtId="0" fontId="55" fillId="42" borderId="73" applyAlignment="1" pivotButton="0" quotePrefix="0" xfId="0">
      <alignment horizontal="center" vertical="center" wrapText="1"/>
    </xf>
    <xf numFmtId="171" fontId="52" fillId="45" borderId="74" applyAlignment="1" pivotButton="0" quotePrefix="0" xfId="0">
      <alignment horizontal="left" vertical="center" wrapText="1"/>
    </xf>
    <xf numFmtId="165" fontId="52" fillId="45" borderId="74" applyAlignment="1" pivotButton="0" quotePrefix="0" xfId="0">
      <alignment horizontal="left" vertical="center" wrapText="1"/>
    </xf>
    <xf numFmtId="0" fontId="47" fillId="43" borderId="109" applyAlignment="1" pivotButton="0" quotePrefix="0" xfId="0">
      <alignment horizontal="center" vertical="center"/>
    </xf>
    <xf numFmtId="0" fontId="0" fillId="48" borderId="109" pivotButton="0" quotePrefix="0" xfId="0"/>
    <xf numFmtId="174" fontId="59" fillId="49" borderId="109" pivotButton="0" quotePrefix="0" xfId="0"/>
    <xf numFmtId="0" fontId="60" fillId="0" borderId="0" applyAlignment="1" pivotButton="0" quotePrefix="0" xfId="0">
      <alignment horizontal="general" vertical="bottom"/>
    </xf>
    <xf numFmtId="0" fontId="55" fillId="42" borderId="4" applyAlignment="1" pivotButton="0" quotePrefix="0" xfId="0">
      <alignment horizontal="center" vertical="center" wrapText="1"/>
    </xf>
    <xf numFmtId="164" fontId="55" fillId="42" borderId="5" applyAlignment="1" pivotButton="0" quotePrefix="0" xfId="0">
      <alignment horizontal="center" vertical="center" wrapText="1"/>
    </xf>
    <xf numFmtId="0" fontId="55" fillId="42" borderId="6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38"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00006100"/>
      </font>
      <fill>
        <patternFill patternType="solid">
          <fgColor rgb="00E2F0D9"/>
        </patternFill>
      </fill>
    </dxf>
    <dxf>
      <font>
        <color rgb="009C0006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'Savings Projection'!$AI$18</f>
              <strCache>
                <ptCount val="1"/>
                <pt idx="0">
                  <v>Total Wealth @ Base</v>
                </pt>
              </strCache>
            </strRef>
          </tx>
          <spPr>
            <a:ln w="24000">
              <a:solidFill>
                <a:srgbClr val="1C2B3C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Projection'!$AI$19:$AI$58</f>
              <numCache>
                <formatCode>\$#,##0</formatCode>
                <ptCount val="40"/>
                <pt idx="0">
                  <v>368165.47</v>
                </pt>
                <pt idx="1">
                  <v>524485.3682</v>
                </pt>
                <pt idx="2">
                  <v>812229.7602919999</v>
                </pt>
                <pt idx="3">
                  <v>1150731.95990952</v>
                </pt>
                <pt idx="4">
                  <v>1607112.060106967</v>
                </pt>
                <pt idx="5">
                  <v>2166393.268824151</v>
                </pt>
                <pt idx="6">
                  <v>2895807.81706001</v>
                </pt>
                <pt idx="7">
                  <v>3878220.246523791</v>
                </pt>
                <pt idx="8">
                  <v>4991010.722806366</v>
                </pt>
                <pt idx="9">
                  <v>6430241.640463894</v>
                </pt>
                <pt idx="10">
                  <v>6616056.138891729</v>
                </pt>
                <pt idx="11">
                  <v>6813019.507225233</v>
                </pt>
                <pt idx="12">
                  <v>7021800.677658748</v>
                </pt>
                <pt idx="13">
                  <v>7243108.718318272</v>
                </pt>
                <pt idx="14">
                  <v>7477695.241417369</v>
                </pt>
                <pt idx="15">
                  <v>7726356.955902412</v>
                </pt>
                <pt idx="16">
                  <v>7989938.373256556</v>
                </pt>
                <pt idx="17">
                  <v>8269334.67565195</v>
                </pt>
                <pt idx="18">
                  <v>8565494.756191069</v>
                </pt>
                <pt idx="19">
                  <v>8879424.441562532</v>
                </pt>
                <pt idx="20">
                  <v>9212189.908056283</v>
                </pt>
                <pt idx="21">
                  <v>9564921.30253966</v>
                </pt>
                <pt idx="22">
                  <v>9938816.580692042</v>
                </pt>
                <pt idx="23">
                  <v>10335145.57553357</v>
                </pt>
                <pt idx="24">
                  <v>10755254.31006558</v>
                </pt>
                <pt idx="25">
                  <v>11200569.56866951</v>
                </pt>
                <pt idx="26">
                  <v>11672603.74278969</v>
                </pt>
                <pt idx="27">
                  <v>12172959.96735707</v>
                </pt>
                <pt idx="28">
                  <v>12703337.56539849</v>
                </pt>
                <pt idx="29">
                  <v>13265537.8193224</v>
                </pt>
                <pt idx="30">
                  <v>13861470.08848175</v>
                </pt>
                <pt idx="31">
                  <v>14493158.29379065</v>
                </pt>
                <pt idx="32">
                  <v>15162747.79141809</v>
                </pt>
                <pt idx="33">
                  <v>15872512.65890318</v>
                </pt>
                <pt idx="34">
                  <v>16624863.41843737</v>
                </pt>
                <pt idx="35">
                  <v>17422355.22354361</v>
                </pt>
                <pt idx="36">
                  <v>18267696.53695623</v>
                </pt>
                <pt idx="37">
                  <v>19163758.3291736</v>
                </pt>
                <pt idx="38">
                  <v>20113583.82892402</v>
                </pt>
                <pt idx="39">
                  <v>21120398.85865946</v>
                </pt>
              </numCache>
            </numRef>
          </val>
          <smooth val="1"/>
        </ser>
        <ser>
          <idx val="1"/>
          <order val="1"/>
          <tx>
            <strRef>
              <f>'Savings Projection'!$AJ$18</f>
              <strCache>
                <ptCount val="1"/>
                <pt idx="0">
                  <v>Total Wealth @ 0%</v>
                </pt>
              </strCache>
            </strRef>
          </tx>
          <spPr>
            <a:ln w="24000">
              <a:solidFill>
                <a:srgbClr val="A7834A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Projection'!$AJ$19:$AJ$58</f>
              <numCache>
                <formatCode>\$#,##0</formatCode>
                <ptCount val="40"/>
                <pt idx="0">
                  <v>359165.47</v>
                </pt>
                <pt idx="1">
                  <v>493395.4399999999</v>
                </pt>
                <pt idx="2">
                  <v>749670.71</v>
                </pt>
                <pt idx="3">
                  <v>1039439.124</v>
                </pt>
                <pt idx="4">
                  <v>1426775.306602876</v>
                </pt>
                <pt idx="5">
                  <v>1889629.791713641</v>
                </pt>
                <pt idx="6">
                  <v>2489060.743820051</v>
                </pt>
                <pt idx="7">
                  <v>3297724.704260232</v>
                </pt>
                <pt idx="8">
                  <v>4177821.965751378</v>
                </pt>
                <pt idx="9">
                  <v>5317592.240040524</v>
                </pt>
                <pt idx="10">
                  <v>5117592.240040524</v>
                </pt>
                <pt idx="11">
                  <v>4917592.240040524</v>
                </pt>
                <pt idx="12">
                  <v>4717592.240040524</v>
                </pt>
                <pt idx="13">
                  <v>4517592.240040524</v>
                </pt>
                <pt idx="14">
                  <v>4317592.240040524</v>
                </pt>
                <pt idx="15">
                  <v>4117592.240040524</v>
                </pt>
                <pt idx="16">
                  <v>3917592.240040524</v>
                </pt>
                <pt idx="17">
                  <v>3717592.240040524</v>
                </pt>
                <pt idx="18">
                  <v>3517592.240040524</v>
                </pt>
                <pt idx="19">
                  <v>3317592.240040524</v>
                </pt>
                <pt idx="20">
                  <v>3117592.240040524</v>
                </pt>
                <pt idx="21">
                  <v>2917592.240040524</v>
                </pt>
                <pt idx="22">
                  <v>2717592.240040524</v>
                </pt>
                <pt idx="23">
                  <v>2517592.240040524</v>
                </pt>
                <pt idx="24">
                  <v>2317592.240040524</v>
                </pt>
                <pt idx="25">
                  <v>2117592.240040524</v>
                </pt>
                <pt idx="26">
                  <v>1917592.240040524</v>
                </pt>
                <pt idx="27">
                  <v>1717592.240040524</v>
                </pt>
                <pt idx="28">
                  <v>1517592.240040524</v>
                </pt>
                <pt idx="29">
                  <v>1317592.240040524</v>
                </pt>
                <pt idx="30">
                  <v>1117592.240040524</v>
                </pt>
                <pt idx="31">
                  <v>917592.2400405239</v>
                </pt>
                <pt idx="32">
                  <v>717592.2400405239</v>
                </pt>
                <pt idx="33">
                  <v>517592.2400405239</v>
                </pt>
                <pt idx="34">
                  <v>317592.2400405239</v>
                </pt>
                <pt idx="35">
                  <v>117592.2400405239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'Savings Projection'!$AK$18</f>
              <strCache>
                <ptCount val="1"/>
                <pt idx="0">
                  <v>Total Wealth @ 8%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Projection'!$AK$19:$AK$58</f>
              <numCache>
                <formatCode>\$#,##0</formatCode>
                <ptCount val="40"/>
                <pt idx="0">
                  <v>371165.47</v>
                </pt>
                <pt idx="1">
                  <v>535088.6776000001</v>
                </pt>
                <pt idx="2">
                  <v>834171.0418080001</v>
                </pt>
                <pt idx="3">
                  <v>1190673.13915264</v>
                </pt>
                <pt idx="4">
                  <v>1673263.172887727</v>
                </pt>
                <pt idx="5">
                  <v>2269978.711829511</v>
                </pt>
                <pt idx="6">
                  <v>3051007.960882282</v>
                </pt>
                <pt idx="7">
                  <v>4103752.558193046</v>
                </pt>
                <pt idx="8">
                  <v>5312150.024339636</v>
                </pt>
                <pt idx="9">
                  <v>6876892.300575953</v>
                </pt>
                <pt idx="10">
                  <v>7227043.68462203</v>
                </pt>
                <pt idx="11">
                  <v>7605207.179391793</v>
                </pt>
                <pt idx="12">
                  <v>8013623.753743137</v>
                </pt>
                <pt idx="13">
                  <v>8454713.654042589</v>
                </pt>
                <pt idx="14">
                  <v>8931090.746365996</v>
                </pt>
                <pt idx="15">
                  <v>9445578.006075276</v>
                </pt>
                <pt idx="16">
                  <v>10001224.2465613</v>
                </pt>
                <pt idx="17">
                  <v>10601322.1862862</v>
                </pt>
                <pt idx="18">
                  <v>11249427.9611891</v>
                </pt>
                <pt idx="19">
                  <v>11949382.19808423</v>
                </pt>
                <pt idx="20">
                  <v>12705332.77393097</v>
                </pt>
                <pt idx="21">
                  <v>13521759.39584545</v>
                </pt>
                <pt idx="22">
                  <v>14403500.14751308</v>
                </pt>
                <pt idx="23">
                  <v>15355780.15931413</v>
                </pt>
                <pt idx="24">
                  <v>16384242.57205926</v>
                </pt>
                <pt idx="25">
                  <v>17494981.97782401</v>
                </pt>
                <pt idx="26">
                  <v>18694580.53604993</v>
                </pt>
                <pt idx="27">
                  <v>19990146.97893392</v>
                </pt>
                <pt idx="28">
                  <v>21389358.73724864</v>
                </pt>
                <pt idx="29">
                  <v>22900507.43622853</v>
                </pt>
                <pt idx="30">
                  <v>24532548.03112681</v>
                </pt>
                <pt idx="31">
                  <v>26295151.87361696</v>
                </pt>
                <pt idx="32">
                  <v>28198764.02350632</v>
                </pt>
                <pt idx="33">
                  <v>30254665.14538683</v>
                </pt>
                <pt idx="34">
                  <v>32475038.35701777</v>
                </pt>
                <pt idx="35">
                  <v>34873041.4255792</v>
                </pt>
                <pt idx="36">
                  <v>37462884.73962554</v>
                </pt>
                <pt idx="37">
                  <v>40259915.51879558</v>
                </pt>
                <pt idx="38">
                  <v>43280708.76029923</v>
                </pt>
                <pt idx="39">
                  <v>46543165.46112317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'Savings Projection'!$AE$18</f>
              <strCache>
                <ptCount val="1"/>
                <pt idx="0">
                  <v>Taxable Balance</v>
                </pt>
              </strCache>
            </strRef>
          </tx>
          <spPr>
            <a:ln w="24000">
              <a:solidFill>
                <a:srgbClr val="496A86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Projection'!$AE$19:$AE$58</f>
              <numCache>
                <formatCode>\$#,##0</formatCode>
                <ptCount val="40"/>
                <pt idx="0">
                  <v>336165.47</v>
                </pt>
                <pt idx="1">
                  <v>458565.3682</v>
                </pt>
                <pt idx="2">
                  <v>710354.560292</v>
                </pt>
                <pt idx="3">
                  <v>1010744.24790952</v>
                </pt>
                <pt idx="4">
                  <v>1426725.085386967</v>
                </pt>
                <pt idx="5">
                  <v>1943183.075620951</v>
                </pt>
                <pt idx="6">
                  <v>2627205.012264617</v>
                </pt>
                <pt idx="7">
                  <v>3561501.273440676</v>
                </pt>
                <pt idx="8">
                  <v>4623288.611338263</v>
                </pt>
                <pt idx="9">
                  <v>6008456.202307706</v>
                </pt>
                <pt idx="10">
                  <v>6168963.574446169</v>
                </pt>
                <pt idx="11">
                  <v>6339101.388912939</v>
                </pt>
                <pt idx="12">
                  <v>6519447.472247716</v>
                </pt>
                <pt idx="13">
                  <v>6710614.320582579</v>
                </pt>
                <pt idx="14">
                  <v>6913251.179817534</v>
                </pt>
                <pt idx="15">
                  <v>7128046.250606586</v>
                </pt>
                <pt idx="16">
                  <v>7355729.025642982</v>
                </pt>
                <pt idx="17">
                  <v>7597072.767181561</v>
                </pt>
                <pt idx="18">
                  <v>7852897.133212456</v>
                </pt>
                <pt idx="19">
                  <v>8124070.961205203</v>
                </pt>
                <pt idx="20">
                  <v>8411515.218877515</v>
                </pt>
                <pt idx="21">
                  <v>8716206.132010166</v>
                </pt>
                <pt idx="22">
                  <v>9039178.499930777</v>
                </pt>
                <pt idx="23">
                  <v>9381529.209926624</v>
                </pt>
                <pt idx="24">
                  <v>9744420.962522222</v>
                </pt>
                <pt idx="25">
                  <v>10129086.22027356</v>
                </pt>
                <pt idx="26">
                  <v>10536831.39348997</v>
                </pt>
                <pt idx="27">
                  <v>10969041.27709937</v>
                </pt>
                <pt idx="28">
                  <v>11427183.75372533</v>
                </pt>
                <pt idx="29">
                  <v>11912814.77894885</v>
                </pt>
                <pt idx="30">
                  <v>12427583.66568578</v>
                </pt>
                <pt idx="31">
                  <v>12973238.68562693</v>
                </pt>
                <pt idx="32">
                  <v>13551633.00676455</v>
                </pt>
                <pt idx="33">
                  <v>14164730.98717042</v>
                </pt>
                <pt idx="34">
                  <v>14814614.84640064</v>
                </pt>
                <pt idx="35">
                  <v>15503491.73718468</v>
                </pt>
                <pt idx="36">
                  <v>16233701.24141577</v>
                </pt>
                <pt idx="37">
                  <v>17007723.31590071</v>
                </pt>
                <pt idx="38">
                  <v>17828186.71485476</v>
                </pt>
                <pt idx="39">
                  <v>18697877.91774604</v>
                </pt>
              </numCache>
            </numRef>
          </val>
          <smooth val="1"/>
        </ser>
        <ser>
          <idx val="1"/>
          <order val="1"/>
          <tx>
            <strRef>
              <f>'Savings Projection'!$AF$18</f>
              <strCache>
                <ptCount val="1"/>
                <pt idx="0">
                  <v>401(k) Balance</v>
                </pt>
              </strCache>
            </strRef>
          </tx>
          <spPr>
            <a:ln w="24000">
              <a:solidFill>
                <a:srgbClr val="4E7672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Projection'!$AF$19:$AF$58</f>
              <numCache>
                <formatCode>\$#,##0</formatCode>
                <ptCount val="40"/>
                <pt idx="0">
                  <v>24500</v>
                </pt>
                <pt idx="1">
                  <v>50470</v>
                </pt>
                <pt idx="2">
                  <v>77998.20000000001</v>
                </pt>
                <pt idx="3">
                  <v>107178.092</v>
                </pt>
                <pt idx="4">
                  <v>138108.77752</v>
                </pt>
                <pt idx="5">
                  <v>170895.3041712001</v>
                </pt>
                <pt idx="6">
                  <v>205649.0224214721</v>
                </pt>
                <pt idx="7">
                  <v>242487.9637667604</v>
                </pt>
                <pt idx="8">
                  <v>281537.241592766</v>
                </pt>
                <pt idx="9">
                  <v>322929.476088332</v>
                </pt>
                <pt idx="10">
                  <v>342305.2446536319</v>
                </pt>
                <pt idx="11">
                  <v>362843.5593328499</v>
                </pt>
                <pt idx="12">
                  <v>384614.1728928209</v>
                </pt>
                <pt idx="13">
                  <v>407691.0232663902</v>
                </pt>
                <pt idx="14">
                  <v>432152.4846623736</v>
                </pt>
                <pt idx="15">
                  <v>458081.633742116</v>
                </pt>
                <pt idx="16">
                  <v>485566.531766643</v>
                </pt>
                <pt idx="17">
                  <v>514700.5236726417</v>
                </pt>
                <pt idx="18">
                  <v>545582.5550930002</v>
                </pt>
                <pt idx="19">
                  <v>578317.5083985802</v>
                </pt>
                <pt idx="20">
                  <v>613016.5589024951</v>
                </pt>
                <pt idx="21">
                  <v>649797.5524366448</v>
                </pt>
                <pt idx="22">
                  <v>688785.4055828435</v>
                </pt>
                <pt idx="23">
                  <v>730112.5299178141</v>
                </pt>
                <pt idx="24">
                  <v>773919.2817128829</v>
                </pt>
                <pt idx="25">
                  <v>820354.438615656</v>
                </pt>
                <pt idx="26">
                  <v>869575.7049325954</v>
                </pt>
                <pt idx="27">
                  <v>921750.2472285512</v>
                </pt>
                <pt idx="28">
                  <v>977055.2620622643</v>
                </pt>
                <pt idx="29">
                  <v>1035678.577786</v>
                </pt>
                <pt idx="30">
                  <v>1097819.29245316</v>
                </pt>
                <pt idx="31">
                  <v>1163688.45000035</v>
                </pt>
                <pt idx="32">
                  <v>1233509.757000371</v>
                </pt>
                <pt idx="33">
                  <v>1307520.342420393</v>
                </pt>
                <pt idx="34">
                  <v>1385971.562965617</v>
                </pt>
                <pt idx="35">
                  <v>1469129.856743554</v>
                </pt>
                <pt idx="36">
                  <v>1557277.648148167</v>
                </pt>
                <pt idx="37">
                  <v>1650714.307037057</v>
                </pt>
                <pt idx="38">
                  <v>1749757.165459281</v>
                </pt>
                <pt idx="39">
                  <v>1854742.595386838</v>
                </pt>
              </numCache>
            </numRef>
          </val>
          <smooth val="1"/>
        </ser>
        <ser>
          <idx val="2"/>
          <order val="2"/>
          <tx>
            <strRef>
              <f>'Savings Projection'!$AG$18</f>
              <strCache>
                <ptCount val="1"/>
                <pt idx="0">
                  <v>Roth Balance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Projection'!$AG$19:$AG$58</f>
              <numCache>
                <formatCode>\$#,##0</formatCode>
                <ptCount val="40"/>
                <pt idx="0">
                  <v>7500</v>
                </pt>
                <pt idx="1">
                  <v>15450</v>
                </pt>
                <pt idx="2">
                  <v>23877</v>
                </pt>
                <pt idx="3">
                  <v>32809.62</v>
                </pt>
                <pt idx="4">
                  <v>42278.1972</v>
                </pt>
                <pt idx="5">
                  <v>52314.88903200001</v>
                </pt>
                <pt idx="6">
                  <v>62953.78237392001</v>
                </pt>
                <pt idx="7">
                  <v>74231.00931635521</v>
                </pt>
                <pt idx="8">
                  <v>86184.86987533653</v>
                </pt>
                <pt idx="9">
                  <v>98855.96206785673</v>
                </pt>
                <pt idx="10">
                  <v>104787.3197919281</v>
                </pt>
                <pt idx="11">
                  <v>111074.5589794438</v>
                </pt>
                <pt idx="12">
                  <v>117739.0325182105</v>
                </pt>
                <pt idx="13">
                  <v>124803.3744693031</v>
                </pt>
                <pt idx="14">
                  <v>132291.5769374613</v>
                </pt>
                <pt idx="15">
                  <v>140229.071553709</v>
                </pt>
                <pt idx="16">
                  <v>148642.8158469315</v>
                </pt>
                <pt idx="17">
                  <v>157561.3847977474</v>
                </pt>
                <pt idx="18">
                  <v>167015.0678856123</v>
                </pt>
                <pt idx="19">
                  <v>177035.971958749</v>
                </pt>
                <pt idx="20">
                  <v>187658.130276274</v>
                </pt>
                <pt idx="21">
                  <v>198917.6180928504</v>
                </pt>
                <pt idx="22">
                  <v>210852.6751784214</v>
                </pt>
                <pt idx="23">
                  <v>223503.8356891267</v>
                </pt>
                <pt idx="24">
                  <v>236914.0658304743</v>
                </pt>
                <pt idx="25">
                  <v>251128.9097803028</v>
                </pt>
                <pt idx="26">
                  <v>266196.644367121</v>
                </pt>
                <pt idx="27">
                  <v>282168.4430291483</v>
                </pt>
                <pt idx="28">
                  <v>299098.5496108972</v>
                </pt>
                <pt idx="29">
                  <v>317044.462587551</v>
                </pt>
                <pt idx="30">
                  <v>336067.1303428041</v>
                </pt>
                <pt idx="31">
                  <v>356231.1581633724</v>
                </pt>
                <pt idx="32">
                  <v>377605.0276531747</v>
                </pt>
                <pt idx="33">
                  <v>400261.3293123652</v>
                </pt>
                <pt idx="34">
                  <v>424277.0090711071</v>
                </pt>
                <pt idx="35">
                  <v>449733.6296153736</v>
                </pt>
                <pt idx="36">
                  <v>476717.6473922961</v>
                </pt>
                <pt idx="37">
                  <v>505320.7062358339</v>
                </pt>
                <pt idx="38">
                  <v>535639.9486099839</v>
                </pt>
                <pt idx="39">
                  <v>567778.3455265829</v>
                </pt>
              </numCache>
            </numRef>
          </val>
          <smooth val="1"/>
        </ser>
        <ser>
          <idx val="3"/>
          <order val="3"/>
          <tx>
            <strRef>
              <f>'Savings Projection'!$AH$18</f>
              <strCache>
                <ptCount val="1"/>
                <pt idx="0">
                  <v>HSA Balance</v>
                </pt>
              </strCache>
            </strRef>
          </tx>
          <spPr>
            <a:ln w="24000">
              <a:solidFill>
                <a:srgbClr val="A7834A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Projection'!$AH$19:$AH$58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1"/>
        <ser>
          <idx val="0"/>
          <order val="0"/>
          <tx>
            <strRef>
              <f>'Savings Projection'!$D$18</f>
              <strCache>
                <ptCount val="1"/>
                <pt idx="0">
                  <v>401(k) / Trad</v>
                </pt>
              </strCache>
            </strRef>
          </tx>
          <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Projection'!$D$19:$D$58</f>
              <numCache>
                <formatCode>\$#,##0</formatCode>
                <ptCount val="40"/>
                <pt idx="0">
                  <v>24500</v>
                </pt>
                <pt idx="1">
                  <v>24500</v>
                </pt>
                <pt idx="2">
                  <v>24500</v>
                </pt>
                <pt idx="3">
                  <v>24500</v>
                </pt>
                <pt idx="4">
                  <v>24500</v>
                </pt>
                <pt idx="5">
                  <v>24500</v>
                </pt>
                <pt idx="6">
                  <v>24500</v>
                </pt>
                <pt idx="7">
                  <v>24500</v>
                </pt>
                <pt idx="8">
                  <v>24500</v>
                </pt>
                <pt idx="9">
                  <v>24500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1"/>
          <order val="1"/>
          <tx>
            <strRef>
              <f>'Savings Projection'!$E$18</f>
              <strCache>
                <ptCount val="1"/>
                <pt idx="0">
                  <v>HSA</v>
                </pt>
              </strCache>
            </strRef>
          </tx>
          <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Projection'!$E$19:$E$58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'Savings Projection'!$V$18</f>
              <strCache>
                <ptCount val="1"/>
                <pt idx="0">
                  <v>Roth IRA / Backdoor Roth</v>
                </pt>
              </strCache>
            </strRef>
          </tx>
          <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Projection'!$V$19:$V$58</f>
              <numCache>
                <formatCode>\$#,##0</formatCode>
                <ptCount val="40"/>
                <pt idx="0">
                  <v>7500</v>
                </pt>
                <pt idx="1">
                  <v>7500</v>
                </pt>
                <pt idx="2">
                  <v>7500</v>
                </pt>
                <pt idx="3">
                  <v>7500</v>
                </pt>
                <pt idx="4">
                  <v>7500</v>
                </pt>
                <pt idx="5">
                  <v>7500</v>
                </pt>
                <pt idx="6">
                  <v>7500</v>
                </pt>
                <pt idx="7">
                  <v>7500</v>
                </pt>
                <pt idx="8">
                  <v>7500</v>
                </pt>
                <pt idx="9">
                  <v>7500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3"/>
          <order val="3"/>
          <tx>
            <strRef>
              <f>'Savings Projection'!$W$18</f>
              <strCache>
                <ptCount val="1"/>
                <pt idx="0">
                  <v>Taxable Savings / (Draw)</v>
                </pt>
              </strCache>
            </strRef>
          </tx>
          <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Projection'!$W$19:$W$58</f>
              <numCache>
                <formatCode>\$#,##0</formatCode>
                <ptCount val="40"/>
                <pt idx="0">
                  <v>177165.47</v>
                </pt>
                <pt idx="1">
                  <v>102229.97</v>
                </pt>
                <pt idx="2">
                  <v>224275.27</v>
                </pt>
                <pt idx="3">
                  <v>257768.414</v>
                </pt>
                <pt idx="4">
                  <v>355336.182602876</v>
                </pt>
                <pt idx="5">
                  <v>430854.4851107654</v>
                </pt>
                <pt idx="6">
                  <v>567430.9521064095</v>
                </pt>
                <pt idx="7">
                  <v>776663.9604401817</v>
                </pt>
                <pt idx="8">
                  <v>848097.2614911459</v>
                </pt>
                <pt idx="9">
                  <v>1107770.274289146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4"/>
          <order val="4"/>
          <tx>
            <strRef>
              <f>'Savings Projection'!$Z$18</f>
              <strCache>
                <ptCount val="1"/>
                <pt idx="0">
                  <v>Actual Withdrawal</v>
                </pt>
              </strCache>
            </strRef>
          </tx>
          <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Projection'!$Z$19:$Z$58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200000</v>
                </pt>
                <pt idx="11">
                  <v>200000</v>
                </pt>
                <pt idx="12">
                  <v>200000</v>
                </pt>
                <pt idx="13">
                  <v>200000</v>
                </pt>
                <pt idx="14">
                  <v>200000</v>
                </pt>
                <pt idx="15">
                  <v>200000</v>
                </pt>
                <pt idx="16">
                  <v>200000</v>
                </pt>
                <pt idx="17">
                  <v>200000</v>
                </pt>
                <pt idx="18">
                  <v>200000</v>
                </pt>
                <pt idx="19">
                  <v>200000</v>
                </pt>
                <pt idx="20">
                  <v>200000</v>
                </pt>
                <pt idx="21">
                  <v>200000</v>
                </pt>
                <pt idx="22">
                  <v>200000</v>
                </pt>
                <pt idx="23">
                  <v>200000</v>
                </pt>
                <pt idx="24">
                  <v>200000</v>
                </pt>
                <pt idx="25">
                  <v>200000</v>
                </pt>
                <pt idx="26">
                  <v>200000</v>
                </pt>
                <pt idx="27">
                  <v>200000</v>
                </pt>
                <pt idx="28">
                  <v>200000</v>
                </pt>
                <pt idx="29">
                  <v>200000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&quot;k&quot;" sourceLinked="0"/>
        <majorTickMark val="out"/>
        <minorTickMark val="none"/>
        <tickLblPos val="nextTo"/>
        <crossAx val="10"/>
        <crosses val="autoZero"/>
        <crossBetween val="between"/>
        <majorUnit val="250000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496A86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E7672"/>
              </a:solidFill>
              <a:ln>
                <a:prstDash val="solid"/>
              </a:ln>
            </spPr>
          </dPt>
          <dPt>
            <idx val="2"/>
            <bubble3D val="0"/>
            <spPr>
              <a:solidFill>
                <a:srgbClr val="617B63"/>
              </a:solidFill>
              <a:ln>
                <a:prstDash val="solid"/>
              </a:ln>
            </spPr>
          </dPt>
          <dPt>
            <idx val="3"/>
            <bubble3D val="0"/>
            <spPr>
              <a:solidFill>
                <a:srgbClr val="A7834A"/>
              </a:solidFill>
              <a:ln>
                <a:prstDash val="solid"/>
              </a:ln>
            </spPr>
          </dPt>
          <cat>
            <strRef>
              <f>'Financial Dashboard'!$A$56:$A$59</f>
              <strCache>
                <ptCount val="4"/>
                <pt idx="0">
                  <v>Taxable</v>
                </pt>
                <pt idx="1">
                  <v>401(k)</v>
                </pt>
                <pt idx="2">
                  <v>Roth</v>
                </pt>
                <pt idx="3">
                  <v>HSA</v>
                </pt>
              </strCache>
            </strRef>
          </cat>
          <val>
            <numRef>
              <f>'Financial Dashboard'!$B$56:$B$59</f>
              <numCache>
                <formatCode>\$#,##0</formatCode>
                <ptCount val="4"/>
                <pt idx="0">
                  <v>18697877.91774604</v>
                </pt>
                <pt idx="1">
                  <v>1854742.595386838</v>
                </pt>
                <pt idx="2">
                  <v>567778.3455265829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40"/>
      </pieChart>
    </plotArea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'Scenario Lab'!$L$172</f>
              <strCache>
                <ptCount val="1"/>
                <pt idx="0">
                  <v>Downside</v>
                </pt>
              </strCache>
            </strRef>
          </tx>
          <spPr>
            <a:ln w="24000">
              <a:solidFill>
                <a:srgbClr val="8E5A5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Lab'!$L$173:$L$212</f>
              <numCache>
                <formatCode>\$#,##0</formatCode>
                <ptCount val="40"/>
                <pt idx="0">
                  <v>289500.7688</v>
                </pt>
                <pt idx="1">
                  <v>379538.078352</v>
                </pt>
                <pt idx="2">
                  <v>557953.32028608</v>
                </pt>
                <pt idx="3">
                  <v>767636.4233975231</v>
                </pt>
                <pt idx="4">
                  <v>1057322.363491475</v>
                </pt>
                <pt idx="5">
                  <v>1411364.537745059</v>
                </pt>
                <pt idx="6">
                  <v>1882747.08251897</v>
                </pt>
                <pt idx="7">
                  <v>2522984.212001874</v>
                </pt>
                <pt idx="8">
                  <v>3238732.88122213</v>
                </pt>
                <pt idx="9">
                  <v>1797689.487599992</v>
                </pt>
                <pt idx="10">
                  <v>1351167.762364609</v>
                </pt>
                <pt idx="11">
                  <v>883386.1681198112</v>
                </pt>
                <pt idx="12">
                  <v>393392.3401052213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'Scenario Lab'!$M$172</f>
              <strCache>
                <ptCount val="1"/>
                <pt idx="0">
                  <v>Base</v>
                </pt>
              </strCache>
            </strRef>
          </tx>
          <spPr>
            <a:ln w="24000">
              <a:solidFill>
                <a:srgbClr val="1C2B3C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Lab'!$M$173:$M$212</f>
              <numCache>
                <formatCode>\$#,##0</formatCode>
                <ptCount val="40"/>
                <pt idx="0">
                  <v>368165.47</v>
                </pt>
                <pt idx="1">
                  <v>524485.3682</v>
                </pt>
                <pt idx="2">
                  <v>812229.7602919999</v>
                </pt>
                <pt idx="3">
                  <v>1150731.95990952</v>
                </pt>
                <pt idx="4">
                  <v>1607112.060106967</v>
                </pt>
                <pt idx="5">
                  <v>2166393.268824151</v>
                </pt>
                <pt idx="6">
                  <v>2895807.81706001</v>
                </pt>
                <pt idx="7">
                  <v>3878220.246523791</v>
                </pt>
                <pt idx="8">
                  <v>4991010.722806366</v>
                </pt>
                <pt idx="9">
                  <v>3736659.192711216</v>
                </pt>
                <pt idx="10">
                  <v>3438976.296521211</v>
                </pt>
                <pt idx="11">
                  <v>3120033.426559806</v>
                </pt>
                <pt idx="12">
                  <v>2778453.014400716</v>
                </pt>
                <pt idx="13">
                  <v>2412771.778412081</v>
                </pt>
                <pt idx="14">
                  <v>2021435.489191128</v>
                </pt>
                <pt idx="15">
                  <v>1602793.418171728</v>
                </pt>
                <pt idx="16">
                  <v>1155092.450312618</v>
                </pt>
                <pt idx="17">
                  <v>676470.8406260592</v>
                </pt>
                <pt idx="18">
                  <v>164951.5930897278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'Scenario Lab'!$N$172</f>
              <strCache>
                <ptCount val="1"/>
                <pt idx="0">
                  <v>Upside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Lab'!$N$173:$N$212</f>
              <numCache>
                <formatCode>\$#,##0</formatCode>
                <ptCount val="40"/>
                <pt idx="0">
                  <v>430953.4139</v>
                </pt>
                <pt idx="1">
                  <v>645385.273051</v>
                </pt>
                <pt idx="2">
                  <v>1029397.75152559</v>
                </pt>
                <pt idx="3">
                  <v>1489929.715762893</v>
                </pt>
                <pt idx="4">
                  <v>2112307.735288124</v>
                </pt>
                <pt idx="5">
                  <v>2880159.869962851</v>
                </pt>
                <pt idx="6">
                  <v>3887335.990435915</v>
                </pt>
                <pt idx="7">
                  <v>5245522.266573306</v>
                </pt>
                <pt idx="8">
                  <v>6815408.642413118</v>
                </pt>
                <pt idx="9">
                  <v>4726250.931772834</v>
                </pt>
                <pt idx="10">
                  <v>4570769.027174922</v>
                </pt>
                <pt idx="11">
                  <v>4397894.751163199</v>
                </pt>
                <pt idx="12">
                  <v>4205960.820310419</v>
                </pt>
                <pt idx="13">
                  <v>3993146.83658089</v>
                </pt>
                <pt idx="14">
                  <v>3757465.415242704</v>
                </pt>
                <pt idx="15">
                  <v>3496747.061538891</v>
                </pt>
                <pt idx="16">
                  <v>3208623.683423188</v>
                </pt>
                <pt idx="17">
                  <v>2890510.617521171</v>
                </pt>
                <pt idx="18">
                  <v>2539587.034419392</v>
                </pt>
                <pt idx="19">
                  <v>2152774.577331817</v>
                </pt>
                <pt idx="20">
                  <v>1726714.075054525</v>
                </pt>
                <pt idx="21">
                  <v>1257740.155798886</v>
                </pt>
                <pt idx="22">
                  <v>741853.5728836472</v>
                </pt>
                <pt idx="23">
                  <v>174691.0362516463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Selected Metric Trend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 Analysis'!Z41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Analysis'!$Z$42:$Z$56</f>
            </numRef>
          </val>
        </ser>
        <ser>
          <idx val="1"/>
          <order val="1"/>
          <tx>
            <strRef>
              <f>'Scenario Analysis'!AA41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Analysis'!$AA$42:$AA$56</f>
            </numRef>
          </val>
        </ser>
        <ser>
          <idx val="2"/>
          <order val="2"/>
          <tx>
            <strRef>
              <f>'Scenario Analysis'!AB41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Analysis'!$AB$42:$AB$56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Calendar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 Net Worth Trend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 Analysis'!AC41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Analysis'!$AC$42:$AC$56</f>
            </numRef>
          </val>
        </ser>
        <ser>
          <idx val="1"/>
          <order val="1"/>
          <tx>
            <strRef>
              <f>'Scenario Analysis'!AD41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Analysis'!$AD$42:$AD$56</f>
            </numRef>
          </val>
        </ser>
        <ser>
          <idx val="2"/>
          <order val="2"/>
          <tx>
            <strRef>
              <f>'Scenario Analysis'!AE41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 Analysis'!$Y$42:$Y$56</f>
            </numRef>
          </cat>
          <val>
            <numRef>
              <f>'Scenario Analysis'!$AE$42:$AE$56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Calendar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Codex</author>
    <author>model</author>
  </authors>
  <commentList>
    <comment ref="B28" authorId="0" shapeId="0">
      <text>
        <t>2026-04-11 calibration: IC trend total comp targets about $1.25M in projection year 5, the midpoint of the $1.0M-$1.5M median range discussed. Cash gross comp still lags because bonus payments follow the 50/25/25 deferral schedule.</t>
      </text>
    </comment>
    <comment ref="B29" authorId="0" shapeId="0">
      <text>
        <t>2026-04-11 calibration: later growth targets about $2.25M IC trend total comp in projection year 8, the midpoint of the $1.5M-$3.0M median range discussed. The separate swing layer still creates year-by-year variability.</t>
      </text>
    </comment>
    <comment ref="B35" authorId="1" shapeId="0">
      <text>
        <t>Applied annually to Savings Projection rent (col BL real $) to derive the displayed nominal rent in col S. Projection Year 1 = real $.</t>
      </text>
    </comment>
    <comment ref="B36" authorId="1" shapeId="0">
      <text>
        <t>Applied annually to Savings Projection living costs (col BM real $) to derive the displayed nominal living costs in col T. Projection Year 1 = real $.</t>
      </text>
    </comment>
  </commentList>
</comments>
</file>

<file path=xl/comments/comment2.xml><?xml version="1.0" encoding="utf-8"?>
<comments xmlns="http://schemas.openxmlformats.org/spreadsheetml/2006/main">
  <authors>
    <author>NetWorth Workbook</author>
    <author>model</author>
  </authors>
  <commentList>
    <comment ref="AY18" authorId="0" shapeId="0">
      <text>
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</text>
    </comment>
    <comment ref="BD18" authorId="0" shapeId="0">
      <text>
        <t>Computed realized gross comp for this calendar year. Reads BF (base), BG (other/sign-on), and the previous row's BE (FY bonus) routed through the deferred structure. Falls back to modeled values for any blank actual.</t>
      </text>
    </comment>
    <comment ref="BE18" authorId="0" shapeId="0">
      <text>
        <t>Enter the actual FY bonus in the row corresponding to the fiscal year it was earned. Cash lands in the following calendar year automatically. FY2026 is pro-rated by (13 - Model Inputs!B23)/12 to match the stub-year start.</t>
      </text>
    </comment>
    <comment ref="BJ18" authorId="0" shapeId="0">
      <text>
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</text>
    </comment>
    <comment ref="BK18" authorId="0" shapeId="0">
      <text>
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</text>
    </comment>
    <comment ref="BL18" authorId="1" shapeId="0">
      <text>
        <t>Rent in today's dollars (real). Projection Year 1 = the dollar you enter. Column S compounds this by the rent inflation rate in Model Inputs!B35.</t>
      </text>
    </comment>
    <comment ref="BM18" authorId="1" shapeId="0">
      <text>
        <t>Other living costs in today's dollars (real). Projection Year 1 = the dollar you enter. Column T compounds this by the living-cost inflation rate in Model Inputs!B36.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216" authorId="0" shapeId="0">
      <text>
        <t>This block feeds the frontier summary and dashboard sensitivity readouts. It is formula-heavy but not dead bloat.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F14" authorId="0" shapeId="0">
      <text>
        <t>Threshold = cash to close + (non-housing retirement spend + annual housing carry) / target draw rate, using base home assumptions from Model Inputs column G.</t>
      </text>
    </comment>
    <comment ref="J15" authorId="0" shapeId="0">
      <text>
        <t>Post-Y8 IC comp is modeled as a plateau rather than continued exponential scaling.</t>
      </text>
    </comment>
    <comment ref="J16" authorId="0" shapeId="0">
      <text>
        <t>Default midpoint of the long-run IC compensation plateau.</t>
      </text>
    </comment>
    <comment ref="J17" authorId="0" shapeId="0">
      <text>
        <t>Bounded annual variation around the midpoint. Default produces an approximate $3M-$4M gross cash comp band.</t>
      </text>
    </comment>
    <comment ref="J18" authorId="0" shapeId="0">
      <text>
        <t>Switch After YOE N means Jump years 1..N, noncompete years N+1 and N+2, and boosted new-firm comp starting in N+3.</t>
      </text>
    </comment>
    <comment ref="H21" authorId="0" shapeId="0">
      <text>
        <t>Y10 liquid net worth equals taxable balance plus retirement balance. Home equity and unvested deferred comp are excluded.</t>
      </text>
    </comment>
    <comment ref="Q21" authorId="0" shapeId="0">
      <text>
        <t>Y15 liquid net worth equals taxable balance plus retirement balance. Home equity and unvested deferred comp are excluded.</t>
      </text>
    </comment>
    <comment ref="L35" authorId="0" shapeId="0">
      <text>
        <t>Before or at switch YOE: baseline cash gross. During noncompete: base salary only. After noncompete through Y8: bump x switch-year package, where package = base + FY bonus accrued. After Y8: plateau controls.</t>
      </text>
    </comment>
    <comment ref="X35" authorId="0" shapeId="0">
      <text>
        <t>Taxable balance + retirement balance. Excludes home equity and unvested deferred compensation.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J15" authorId="0" shapeId="0">
      <text>
        <t>Pre-PM IC switch bump. Scenario rows reference this single visible input.</t>
      </text>
    </comment>
    <comment ref="J16" authorId="0" shapeId="0">
      <text>
        <t>Base/draw component before net-PnL payout share.</t>
      </text>
    </comment>
    <comment ref="J17" authorId="0" shapeId="0">
      <text>
        <t>Annual growth after PM start. Default 0% so cases represent steady-state net PnL.</t>
      </text>
    </comment>
    <comment ref="J18" authorId="0" shapeId="0">
      <text>
        <t>First Switch After YOE N means Jump years 1..N, noncompete years N+1 and N+2, and new-firm/PM comp starting no earlier than N+3.</t>
      </text>
    </comment>
    <comment ref="N21" authorId="0" shapeId="0">
      <text>
        <t>Y10 liquid net worth equals taxable balance plus retirement balance. Home equity and unvested deferred comp are excluded.</t>
      </text>
    </comment>
    <comment ref="W21" authorId="0" shapeId="0">
      <text>
        <t>Y15 liquid net worth equals taxable balance plus retirement balance. Home equity and unvested deferred comp are excluded.</t>
      </text>
    </comment>
    <comment ref="R50" authorId="0" shapeId="0">
      <text>
        <t>Before or at switch YOE: baseline cash gross. During noncompete: base salary only. After noncompete before PM: bump x switch-year package, where package = base + FY bonus accrued.</t>
      </text>
    </comment>
    <comment ref="T50" authorId="0" shapeId="0">
      <text>
        <t>Uses PM cash gross only at or after max(requested PM start, first switch YOE + noncompete years + 1). Earlier rows use baseline/base-only/IC-switch cash gross from column R.</t>
      </text>
    </comment>
    <comment ref="AF50" authorId="0" shapeId="0">
      <text>
        <t>Taxable balance + retirement balance. Excludes home equity and unvested deferred compensation.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F7" authorId="0" shapeId="0">
      <text>
        <t>Source: https://www.irs.gov/newsroom/irs-releases-tax-inflation-adjustments-for-tax-year-2026-including-amendments-from-the-one-big-beautiful-bill/</t>
      </text>
    </comment>
    <comment ref="K7" authorId="0" shapeId="0">
      <text>
        <t>Source: https://www.tax.ny.gov/pdf/current_forms/it/it2105i.pdf</t>
      </text>
    </comment>
    <comment ref="P7" authorId="0" shapeId="0">
      <text>
        <t>Source: https://www.tax.ny.gov/pdf/current_forms/it/it2105i.pdf</t>
      </text>
    </comment>
    <comment ref="B8" authorId="0" shapeId="0">
      <text>
        <t>Source: https://www.irs.gov/newsroom/irs-releases-tax-inflation-adjustments-for-tax-year-2026-including-amendments-from-the-one-big-beautiful-bill/</t>
      </text>
    </comment>
    <comment ref="B9" authorId="0" shapeId="0">
      <text>
        <t>Source: https://www.tax.ny.gov/forms/current-forms/it/it2104i.htm</t>
      </text>
    </comment>
    <comment ref="B10" authorId="0" shapeId="0">
      <text>
        <t>Source: https://www.ssa.gov/OACT/COLA/cbbdet.html</t>
      </text>
    </comment>
    <comment ref="B11" authorId="0" shapeId="0">
      <text>
        <t>Source: https://www.ssa.gov/OACT/COLA/cbbdet.html</t>
      </text>
    </comment>
    <comment ref="B12" authorId="0" shapeId="0">
      <text>
        <t>Source: https://www.irs.gov/taxtopics/tc560</t>
      </text>
    </comment>
    <comment ref="B13" authorId="0" shapeId="0">
      <text>
        <t>Source: https://www.irs.gov/taxtopics/tc560</t>
      </text>
    </comment>
    <comment ref="B14" authorId="0" shapeId="0">
      <text>
        <t>Source: https://www.irs.gov/taxtopics/tc560</t>
      </text>
    </comment>
    <comment ref="B15" authorId="0" shapeId="0">
      <text>
        <t>Source: https://paidfamilyleave.ny.gov/2026</t>
      </text>
    </comment>
    <comment ref="B16" authorId="0" shapeId="0">
      <text>
        <t>Source: https://paidfamilyleave.ny.gov/2026</t>
      </text>
    </comment>
    <comment ref="B17" authorId="0" shapeId="0">
      <text>
        <t>Source: https://www.wcb.ny.gov/content/main/DisabilityBenefits/employee-disability-benefits.jsp</t>
      </text>
    </comment>
    <comment ref="B18" authorId="0" shapeId="0">
      <text>
        <t>Source: https://www.wcb.ny.gov/content/main/DisabilityBenefits/employee-disability-benefits.jsp</t>
      </text>
    </comment>
    <comment ref="B19" authorId="0" shapeId="0">
      <text>
        <t>Source: https://www.irs.gov/newsroom/irs-releases-tax-inflation-adjustments-for-tax-year-2026-including-amendments-from-the-one-big-beautiful-bill/</t>
      </text>
    </comment>
    <comment ref="B20" authorId="0" shapeId="0">
      <text>
        <t>Source: https://www.irs.gov/newsroom/irs-releases-tax-inflation-adjustments-for-tax-year-2026-including-amendments-from-the-one-big-beautiful-bill/</t>
      </text>
    </comment>
    <comment ref="B21" authorId="0" shapeId="0">
      <text>
        <t>Source: https://www.irs.gov/newsroom/irs-releases-tax-inflation-adjustments-for-tax-year-2026-including-amendments-from-the-one-big-beautiful-bill/</t>
      </text>
    </comment>
    <comment ref="B22" authorId="0" shapeId="0">
      <text>
        <t>Source: https://www.irs.gov/newsroom/irs-releases-tax-inflation-adjustments-for-tax-year-2026-including-amendments-from-the-one-big-beautiful-bill/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13</row>
      <rowOff>0</rowOff>
    </from>
    <to>
      <col>15</col>
      <colOff>0</colOff>
      <row>30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0</colOff>
      <row>33</row>
      <rowOff>0</rowOff>
    </from>
    <to>
      <col>7</col>
      <colOff>0</colOff>
      <row>51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33</row>
      <rowOff>0</rowOff>
    </from>
    <to>
      <col>15</col>
      <colOff>0</colOff>
      <row>51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</col>
      <colOff>0</colOff>
      <row>55</row>
      <rowOff>0</rowOff>
    </from>
    <to>
      <col>5</col>
      <colOff>0</colOff>
      <row>67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5</col>
      <colOff>0</colOff>
      <row>71</row>
      <rowOff>0</rowOff>
    </from>
    <to>
      <col>15</col>
      <colOff>0</colOff>
      <row>83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3456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40</row>
      <rowOff>0</rowOff>
    </from>
    <ext cx="3456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icrosoft Office User" refreshedDate="46124.74772025463" createdVersion="8" refreshedVersion="8" minRefreshableVersion="3" recordCount="58" r:id="rId1">
  <cacheSource type="worksheet">
    <worksheetSource ref="A4:U62" sheet="Scenario Results"/>
  </cacheSource>
  <cacheFields count="21">
    <cacheField name="Result Key" uniqueList="1" numFmtId="0" sqlType="0" hierarchy="0" level="0" databaseField="1">
      <sharedItems count="0"/>
    </cacheField>
    <cacheField name="Path" uniqueList="1" numFmtId="0" sqlType="0" hierarchy="0" level="0" databaseField="1">
      <sharedItems count="2">
        <s v="IC Switch"/>
        <s v="PM After Switch"/>
      </sharedItems>
    </cacheField>
    <cacheField name="Scenario" uniqueList="1" numFmtId="0" sqlType="0" hierarchy="0" level="0" databaseField="1">
      <sharedItems count="29">
        <s v="3Y 2x"/>
        <s v="3Y 3x"/>
        <s v="3Y 4x"/>
        <s v="4Y 2x"/>
        <s v="4Y 3x"/>
        <s v="4Y 4x"/>
        <s v="5Y 2x"/>
        <s v="5Y 3x"/>
        <s v="5Y 4x"/>
        <s v="3Y -&gt; PM Y7 Starter"/>
        <s v="3Y -&gt; PM Y7 Base"/>
        <s v="3Y -&gt; PM Y7 Upside"/>
        <s v="3Y -&gt; PM Y7 Tail"/>
        <s v="3Y -&gt; PM Y8 Starter"/>
        <s v="3Y -&gt; PM Y8 Base"/>
        <s v="3Y -&gt; PM Y8 Upside"/>
        <s v="3Y -&gt; PM Y8 Tail"/>
        <s v="4Y -&gt; PM Y7 Starter"/>
        <s v="4Y -&gt; PM Y7 Base"/>
        <s v="4Y -&gt; PM Y7 Upside"/>
        <s v="4Y -&gt; PM Y7 Tail"/>
        <s v="4Y -&gt; PM Y8 Starter"/>
        <s v="4Y -&gt; PM Y8 Base"/>
        <s v="4Y -&gt; PM Y8 Upside"/>
        <s v="4Y -&gt; PM Y8 Tail"/>
        <s v="5Y -&gt; PM Y8 Starter"/>
        <s v="5Y -&gt; PM Y8 Base"/>
        <s v="5Y -&gt; PM Y8 Upside"/>
        <s v="5Y -&gt; PM Y8 Tail"/>
      </sharedItems>
    </cacheField>
    <cacheField name="Switch After YOE" uniqueList="1" numFmtId="1" sqlType="0" hierarchy="0" level="0" databaseField="1">
      <sharedItems count="0" containsInteger="1" containsNumber="1" containsSemiMixedTypes="0" containsString="0" minValue="3" maxValue="5"/>
    </cacheField>
    <cacheField name="IC Bump" uniqueList="1" numFmtId="171" sqlType="0" hierarchy="0" level="0" databaseField="1">
      <sharedItems count="0" containsInteger="1" containsNumber="1" containsSemiMixedTypes="0" containsString="0" minValue="2" maxValue="4"/>
    </cacheField>
    <cacheField name="Requested PM Start YOE" uniqueList="1" numFmtId="1" sqlType="0" hierarchy="0" level="0" databaseField="1">
      <sharedItems count="0" containsBlank="1" containsInteger="1" containsNumber="1" containsString="0" minValue="7" maxValue="8"/>
    </cacheField>
    <cacheField name="PM Case" uniqueList="1" numFmtId="0" sqlType="0" hierarchy="0" level="0" databaseField="1">
      <sharedItems count="5" containsBlank="1">
        <m/>
        <s v="Starter"/>
        <s v="Base"/>
        <s v="Upside"/>
        <s v="Tail"/>
      </sharedItems>
    </cacheField>
    <cacheField name="Horizon" uniqueList="1" numFmtId="0" sqlType="0" hierarchy="0" level="0" databaseField="1">
      <sharedItems count="2">
        <s v="Y10"/>
        <s v="Y15"/>
      </sharedItems>
    </cacheField>
    <cacheField name="Cash/Gross Comp" uniqueList="1" numFmtId="169" sqlType="0" hierarchy="0" level="0" databaseField="1">
      <sharedItems count="0" containsNumber="1" containsSemiMixedTypes="0" containsString="0" minValue="1800000" maxValue="15300000"/>
    </cacheField>
    <cacheField name="Taxable Liquid" uniqueList="1" numFmtId="169" sqlType="0" hierarchy="0" level="0" databaseField="1">
      <sharedItems count="0" containsNumber="1" containsSemiMixedTypes="0" containsString="0" minValue="4289278.867849839" maxValue="83862741.46768194"/>
    </cacheField>
    <cacheField name="Retirement" uniqueList="1" numFmtId="169" sqlType="0" hierarchy="0" level="0" databaseField="1">
      <sharedItems count="0" containsNumber="1" containsSemiMixedTypes="0" containsString="0" minValue="421785.4381561886" maxValue="744831.0363198349"/>
    </cacheField>
    <cacheField name="Liquid Net Worth" uniqueList="1" numFmtId="169" sqlType="0" hierarchy="0" level="0" databaseField="1">
      <sharedItems count="0" containsNumber="1" containsSemiMixedTypes="0" containsString="0" minValue="4711064.306006027" maxValue="84607572.50400178"/>
    </cacheField>
    <cacheField name="vs $5M Cash" uniqueList="1" numFmtId="169" sqlType="0" hierarchy="0" level="0" databaseField="1">
      <sharedItems count="0" containsNumber="1" containsSemiMixedTypes="0" containsString="0" minValue="-9271078.551136829" maxValue="70625429.64685893"/>
    </cacheField>
    <cacheField name="vs $5M 50%" uniqueList="1" numFmtId="169" sqlType="0" hierarchy="0" level="0" databaseField="1">
      <sharedItems count="0" containsNumber="1" containsSemiMixedTypes="0" containsString="0" minValue="-12188804.4667908" maxValue="67707703.73120496"/>
    </cacheField>
    <cacheField name="vs $7M Cash" uniqueList="1" numFmtId="169" sqlType="0" hierarchy="0" level="0" databaseField="1">
      <sharedItems count="0" containsNumber="1" containsSemiMixedTypes="0" containsString="0" minValue="-12578221.40827969" maxValue="67318286.78971606"/>
    </cacheField>
    <cacheField name="vs $7M 50%" uniqueList="1" numFmtId="169" sqlType="0" hierarchy="0" level="0" databaseField="1">
      <sharedItems count="0" containsNumber="1" containsSemiMixedTypes="0" containsString="0" minValue="-16663037.69019525" maxValue="63233470.5078005"/>
    </cacheField>
    <cacheField name="Read" uniqueList="1" numFmtId="0" sqlType="0" hierarchy="0" level="0" databaseField="1">
      <sharedItems count="0"/>
    </cacheField>
    <cacheField name="First $5M Cash" uniqueList="1" numFmtId="0" sqlType="0" hierarchy="0" level="0" databaseField="1">
      <sharedItems count="0"/>
    </cacheField>
    <cacheField name="First $5M 50%" uniqueList="1" numFmtId="0" sqlType="0" hierarchy="0" level="0" databaseField="1">
      <sharedItems count="0"/>
    </cacheField>
    <cacheField name="First $7M Cash" uniqueList="1" numFmtId="0" sqlType="0" hierarchy="0" level="0" databaseField="1">
      <sharedItems count="6">
        <s v="Y15 / 2040"/>
        <s v="Y14 / 2039"/>
        <s v="Not by Y15"/>
        <s v="Y13 / 2038"/>
        <s v="Y9 / 2034"/>
        <s v="Y10 / 2035"/>
      </sharedItems>
    </cacheField>
    <cacheField name="First $7M 50%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8">
  <r>
    <s v="IC Switch | 3Y 2x | Y10"/>
    <x v="0"/>
    <x v="0"/>
    <n v="3"/>
    <n v="2"/>
    <m/>
    <x v="0"/>
    <x v="0"/>
    <n v="3066987.298107781"/>
    <n v="6478209.925991222"/>
    <n v="421785.4381561886"/>
    <n v="6899995.364147411"/>
    <n v="-7082147.492995446"/>
    <n v="-9999873.408649422"/>
    <n v="-10389290.3501383"/>
    <n v="-14474106.63205387"/>
    <s v="Short of $5M retire+house by Y10"/>
    <s v="Y14 / 2039"/>
    <s v="Y15 / 2040"/>
    <x v="0"/>
    <s v="Not by Y15"/>
  </r>
  <r>
    <s v="IC Switch | 3Y 2x | Y15"/>
    <x v="0"/>
    <x v="0"/>
    <n v="3"/>
    <n v="2"/>
    <m/>
    <x v="0"/>
    <x v="1"/>
    <n v="3933012.701892219"/>
    <n v="17448483.94520386"/>
    <n v="744831.0363198349"/>
    <n v="18193314.98152369"/>
    <n v="4211172.124380836"/>
    <n v="1293446.208726861"/>
    <n v="904029.2672379799"/>
    <n v="-3180787.014677584"/>
    <s v="Clears $7M cash by Y15"/>
    <s v="Y14 / 2039"/>
    <s v="Y15 / 2040"/>
    <x v="0"/>
    <s v="Not by Y15"/>
  </r>
  <r>
    <s v="IC Switch | 3Y 3x | Y10"/>
    <x v="0"/>
    <x v="1"/>
    <n v="3"/>
    <n v="3"/>
    <m/>
    <x v="0"/>
    <x v="0"/>
    <n v="3066987.298107781"/>
    <n v="7742461.890844022"/>
    <n v="421785.4381561886"/>
    <n v="8164247.32900021"/>
    <n v="-5817895.528142646"/>
    <n v="-8735621.443796622"/>
    <n v="-9125038.385285502"/>
    <n v="-13209854.66720107"/>
    <s v="Short of $5M retire+house by Y10"/>
    <s v="Y13 / 2038"/>
    <s v="Y14 / 2039"/>
    <x v="0"/>
    <s v="Not by Y15"/>
  </r>
  <r>
    <s v="IC Switch | 3Y 3x | Y15"/>
    <x v="0"/>
    <x v="1"/>
    <n v="3"/>
    <n v="3"/>
    <m/>
    <x v="0"/>
    <x v="1"/>
    <n v="3933012.701892219"/>
    <n v="19140338.26110093"/>
    <n v="744831.0363198349"/>
    <n v="19885169.29742077"/>
    <n v="5903026.44027791"/>
    <n v="2985300.524623934"/>
    <n v="2595883.583135054"/>
    <n v="-1488932.698780511"/>
    <s v="Clears $7M cash by Y15"/>
    <s v="Y13 / 2038"/>
    <s v="Y14 / 2039"/>
    <x v="0"/>
    <s v="Not by Y15"/>
  </r>
  <r>
    <s v="IC Switch | 3Y 4x | Y10"/>
    <x v="0"/>
    <x v="2"/>
    <n v="3"/>
    <n v="4"/>
    <m/>
    <x v="0"/>
    <x v="0"/>
    <n v="3066987.298107781"/>
    <n v="9006713.855696823"/>
    <n v="421785.4381561886"/>
    <n v="9428499.293853013"/>
    <n v="-4553643.563289843"/>
    <n v="-7471369.478943819"/>
    <n v="-7860786.4204327"/>
    <n v="-11945602.70234826"/>
    <s v="Short of $5M retire+house by Y10"/>
    <s v="Y12 / 2037"/>
    <s v="Y14 / 2039"/>
    <x v="1"/>
    <s v="Y15 / 2040"/>
  </r>
  <r>
    <s v="IC Switch | 3Y 4x | Y15"/>
    <x v="0"/>
    <x v="2"/>
    <n v="3"/>
    <n v="4"/>
    <m/>
    <x v="0"/>
    <x v="1"/>
    <n v="3933012.701892219"/>
    <n v="20832192.57699801"/>
    <n v="744831.0363198349"/>
    <n v="21577023.61331784"/>
    <n v="7594880.756174983"/>
    <n v="4677154.840521008"/>
    <n v="4287737.899032127"/>
    <n v="202921.617116563"/>
    <s v="Clears $7M 50% by Y15"/>
    <s v="Y12 / 2037"/>
    <s v="Y14 / 2039"/>
    <x v="1"/>
    <s v="Y15 / 2040"/>
  </r>
  <r>
    <s v="IC Switch | 4Y 2x | Y10"/>
    <x v="0"/>
    <x v="3"/>
    <n v="4"/>
    <n v="2"/>
    <m/>
    <x v="0"/>
    <x v="0"/>
    <n v="3066987.298107781"/>
    <n v="6648420.068999351"/>
    <n v="421785.4381561886"/>
    <n v="7070205.507155539"/>
    <n v="-6911937.349987317"/>
    <n v="-9829663.265641293"/>
    <n v="-10219080.20713017"/>
    <n v="-14303896.48904574"/>
    <s v="Short of $5M retire+house by Y10"/>
    <s v="Y14 / 2039"/>
    <s v="Y15 / 2040"/>
    <x v="0"/>
    <s v="Not by Y15"/>
  </r>
  <r>
    <s v="IC Switch | 4Y 2x | Y15"/>
    <x v="0"/>
    <x v="3"/>
    <n v="4"/>
    <n v="2"/>
    <m/>
    <x v="0"/>
    <x v="1"/>
    <n v="3933012.701892219"/>
    <n v="17676263.51214429"/>
    <n v="744831.0363198349"/>
    <n v="18421094.54846413"/>
    <n v="4438951.691321271"/>
    <n v="1521225.775667295"/>
    <n v="1131808.834178414"/>
    <n v="-2953007.44773715"/>
    <s v="Clears $7M cash by Y15"/>
    <s v="Y14 / 2039"/>
    <s v="Y15 / 2040"/>
    <x v="0"/>
    <s v="Not by Y15"/>
  </r>
  <r>
    <s v="IC Switch | 4Y 3x | Y10"/>
    <x v="0"/>
    <x v="4"/>
    <n v="4"/>
    <n v="3"/>
    <m/>
    <x v="0"/>
    <x v="0"/>
    <n v="3066987.298107781"/>
    <n v="7762919.67783997"/>
    <n v="421785.4381561886"/>
    <n v="8184705.115996159"/>
    <n v="-5797437.741146698"/>
    <n v="-8715163.656800672"/>
    <n v="-9104580.598289553"/>
    <n v="-13189396.88020512"/>
    <s v="Short of $5M retire+house by Y10"/>
    <s v="Y13 / 2038"/>
    <s v="Y14 / 2039"/>
    <x v="0"/>
    <s v="Not by Y15"/>
  </r>
  <r>
    <s v="IC Switch | 4Y 3x | Y15"/>
    <x v="0"/>
    <x v="4"/>
    <n v="4"/>
    <n v="3"/>
    <m/>
    <x v="0"/>
    <x v="1"/>
    <n v="3933012.701892219"/>
    <n v="19167715.39492"/>
    <n v="744831.0363198349"/>
    <n v="19912546.43123984"/>
    <n v="5930403.57409698"/>
    <n v="3012677.658443004"/>
    <n v="2623260.716954123"/>
    <n v="-1461555.564961441"/>
    <s v="Clears $7M cash by Y15"/>
    <s v="Y13 / 2038"/>
    <s v="Y14 / 2039"/>
    <x v="0"/>
    <s v="Not by Y15"/>
  </r>
  <r>
    <s v="IC Switch | 4Y 4x | Y10"/>
    <x v="0"/>
    <x v="5"/>
    <n v="4"/>
    <n v="4"/>
    <m/>
    <x v="0"/>
    <x v="0"/>
    <n v="3066987.298107781"/>
    <n v="8877419.28668059"/>
    <n v="421785.4381561886"/>
    <n v="9299204.72483678"/>
    <n v="-4682938.132306077"/>
    <n v="-7600664.047960052"/>
    <n v="-7990080.989448933"/>
    <n v="-12074897.2713645"/>
    <s v="Short of $5M retire+house by Y10"/>
    <s v="Y13 / 2038"/>
    <s v="Y14 / 2039"/>
    <x v="1"/>
    <s v="Y15 / 2040"/>
  </r>
  <r>
    <s v="IC Switch | 4Y 4x | Y15"/>
    <x v="0"/>
    <x v="5"/>
    <n v="4"/>
    <n v="4"/>
    <m/>
    <x v="0"/>
    <x v="1"/>
    <n v="3933012.701892219"/>
    <n v="20659167.27769572"/>
    <n v="744831.0363198349"/>
    <n v="21403998.31401555"/>
    <n v="7421855.456872692"/>
    <n v="4504129.541218717"/>
    <n v="4114712.599729836"/>
    <n v="29896.3178142719"/>
    <s v="Clears $7M 50% by Y15"/>
    <s v="Y13 / 2038"/>
    <s v="Y14 / 2039"/>
    <x v="1"/>
    <s v="Y15 / 2040"/>
  </r>
  <r>
    <s v="IC Switch | 5Y 2x | Y10"/>
    <x v="0"/>
    <x v="6"/>
    <n v="5"/>
    <n v="2"/>
    <m/>
    <x v="0"/>
    <x v="0"/>
    <n v="3066987.298107781"/>
    <n v="6217895.333770021"/>
    <n v="421785.4381561886"/>
    <n v="6639680.771926209"/>
    <n v="-7342462.085216647"/>
    <n v="-10260188.00087062"/>
    <n v="-10649604.9423595"/>
    <n v="-14734421.22427507"/>
    <s v="Short of $5M retire+house by Y10"/>
    <s v="Y14 / 2039"/>
    <s v="Y15 / 2040"/>
    <x v="0"/>
    <s v="Not by Y15"/>
  </r>
  <r>
    <s v="IC Switch | 5Y 2x | Y15"/>
    <x v="0"/>
    <x v="6"/>
    <n v="5"/>
    <n v="2"/>
    <m/>
    <x v="0"/>
    <x v="1"/>
    <n v="3933012.701892219"/>
    <n v="17100124.29967093"/>
    <n v="744831.0363198349"/>
    <n v="17844955.33599077"/>
    <n v="3862812.478847912"/>
    <n v="945086.5631939359"/>
    <n v="555669.6217050552"/>
    <n v="-3529146.660210509"/>
    <s v="Clears $7M cash by Y15"/>
    <s v="Y14 / 2039"/>
    <s v="Y15 / 2040"/>
    <x v="0"/>
    <s v="Not by Y15"/>
  </r>
  <r>
    <s v="IC Switch | 5Y 3x | Y10"/>
    <x v="0"/>
    <x v="7"/>
    <n v="5"/>
    <n v="3"/>
    <m/>
    <x v="0"/>
    <x v="0"/>
    <n v="3066987.298107781"/>
    <n v="6827477.47716092"/>
    <n v="421785.4381561886"/>
    <n v="7249262.915317109"/>
    <n v="-6732879.941825747"/>
    <n v="-9650605.857479723"/>
    <n v="-10040022.7989686"/>
    <n v="-14124839.08088417"/>
    <s v="Short of $5M retire+house by Y10"/>
    <s v="Y14 / 2039"/>
    <s v="Y15 / 2040"/>
    <x v="0"/>
    <s v="Not by Y15"/>
  </r>
  <r>
    <s v="IC Switch | 5Y 3x | Y15"/>
    <x v="0"/>
    <x v="7"/>
    <n v="5"/>
    <n v="3"/>
    <m/>
    <x v="0"/>
    <x v="1"/>
    <n v="3933012.701892219"/>
    <n v="17915882.71560486"/>
    <n v="744831.0363198349"/>
    <n v="18660713.7519247"/>
    <n v="4678570.894781841"/>
    <n v="1760844.979127865"/>
    <n v="1371428.037638985"/>
    <n v="-2713388.244276579"/>
    <s v="Clears $7M cash by Y15"/>
    <s v="Y14 / 2039"/>
    <s v="Y15 / 2040"/>
    <x v="0"/>
    <s v="Not by Y15"/>
  </r>
  <r>
    <s v="IC Switch | 5Y 4x | Y10"/>
    <x v="0"/>
    <x v="8"/>
    <n v="5"/>
    <n v="4"/>
    <m/>
    <x v="0"/>
    <x v="0"/>
    <n v="3066987.298107781"/>
    <n v="7437059.620551821"/>
    <n v="421785.4381561886"/>
    <n v="7858845.058708009"/>
    <n v="-6123297.798434847"/>
    <n v="-9041023.714088824"/>
    <n v="-9430440.655577704"/>
    <n v="-13515256.93749327"/>
    <s v="Short of $5M retire+house by Y10"/>
    <s v="Y13 / 2038"/>
    <s v="Y15 / 2040"/>
    <x v="0"/>
    <s v="Not by Y15"/>
  </r>
  <r>
    <s v="IC Switch | 5Y 4x | Y15"/>
    <x v="0"/>
    <x v="8"/>
    <n v="5"/>
    <n v="4"/>
    <m/>
    <x v="0"/>
    <x v="1"/>
    <n v="3933012.701892219"/>
    <n v="18731641.1315388"/>
    <n v="744831.0363198349"/>
    <n v="19476472.16785863"/>
    <n v="5494329.310715774"/>
    <n v="2576603.395061798"/>
    <n v="2187186.453572918"/>
    <n v="-1897629.828342646"/>
    <s v="Clears $7M cash by Y15"/>
    <s v="Y13 / 2038"/>
    <s v="Y15 / 2040"/>
    <x v="0"/>
    <s v="Not by Y15"/>
  </r>
  <r>
    <s v="PM After Switch | 3Y -&gt; PM Y7 Starter | Y10"/>
    <x v="1"/>
    <x v="9"/>
    <n v="3"/>
    <n v="3"/>
    <n v="7"/>
    <x v="1"/>
    <x v="0"/>
    <n v="1800000"/>
    <n v="5589103.396777641"/>
    <n v="421785.4381561886"/>
    <n v="6010888.834933829"/>
    <n v="-7971254.022209027"/>
    <n v="-10888979.937863"/>
    <n v="-11278396.87935188"/>
    <n v="-15363213.16126745"/>
    <s v="Short of $5M retire+house by Y10"/>
    <s v="Not by Y15"/>
    <s v="Not by Y15"/>
    <x v="2"/>
    <s v="Not by Y15"/>
  </r>
  <r>
    <s v="PM After Switch | 3Y -&gt; PM Y7 Starter | Y15"/>
    <x v="1"/>
    <x v="9"/>
    <n v="3"/>
    <n v="3"/>
    <n v="7"/>
    <x v="1"/>
    <x v="1"/>
    <n v="1800000"/>
    <n v="11524929.24327311"/>
    <n v="744831.0363198349"/>
    <n v="12269760.27959294"/>
    <n v="-1712382.577549914"/>
    <n v="-4630108.49320389"/>
    <n v="-5019525.43469277"/>
    <n v="-9104341.716608334"/>
    <s v="Short of $5M retire+house by Y15"/>
    <s v="Not by Y15"/>
    <s v="Not by Y15"/>
    <x v="2"/>
    <s v="Not by Y15"/>
  </r>
  <r>
    <s v="PM After Switch | 3Y -&gt; PM Y7 Base | Y10"/>
    <x v="1"/>
    <x v="10"/>
    <n v="3"/>
    <n v="3"/>
    <n v="7"/>
    <x v="2"/>
    <x v="0"/>
    <n v="4050000"/>
    <n v="10227464.99541764"/>
    <n v="421785.4381561886"/>
    <n v="10649250.43357383"/>
    <n v="-3332892.423569024"/>
    <n v="-6250618.339222999"/>
    <n v="-6640035.28071188"/>
    <n v="-10724851.56262744"/>
    <s v="Short of $5M retire+house by Y10"/>
    <s v="Y12 / 2037"/>
    <s v="Y13 / 2038"/>
    <x v="3"/>
    <s v="Y15 / 2040"/>
  </r>
  <r>
    <s v="PM After Switch | 3Y -&gt; PM Y7 Base | Y15"/>
    <x v="1"/>
    <x v="10"/>
    <n v="3"/>
    <n v="3"/>
    <n v="7"/>
    <x v="2"/>
    <x v="1"/>
    <n v="4050000"/>
    <n v="23709056.66728919"/>
    <n v="744831.0363198349"/>
    <n v="24453887.70360902"/>
    <n v="10471744.84646616"/>
    <n v="7554018.930812187"/>
    <n v="7164601.989323307"/>
    <n v="3079785.707407743"/>
    <s v="Clears $7M 50% by Y15"/>
    <s v="Y12 / 2037"/>
    <s v="Y13 / 2038"/>
    <x v="3"/>
    <s v="Y15 / 2040"/>
  </r>
  <r>
    <s v="PM After Switch | 3Y -&gt; PM Y7 Upside | Y10"/>
    <x v="1"/>
    <x v="11"/>
    <n v="3"/>
    <n v="3"/>
    <n v="7"/>
    <x v="3"/>
    <x v="0"/>
    <n v="10300000"/>
    <n v="22962007.58393416"/>
    <n v="421785.4381561886"/>
    <n v="23383793.02209035"/>
    <n v="9401650.164947489"/>
    <n v="6483924.249293514"/>
    <n v="6094507.307804633"/>
    <n v="2009691.025889069"/>
    <s v="Clears $7M 50% by Y10"/>
    <s v="Y9 / 2034"/>
    <s v="Y9 / 2034"/>
    <x v="4"/>
    <s v="Y10 / 2035"/>
  </r>
  <r>
    <s v="PM After Switch | 3Y -&gt; PM Y7 Upside | Y15"/>
    <x v="1"/>
    <x v="11"/>
    <n v="3"/>
    <n v="3"/>
    <n v="7"/>
    <x v="3"/>
    <x v="1"/>
    <n v="10300000"/>
    <n v="57160370.517106"/>
    <n v="744831.0363198349"/>
    <n v="57905201.55342584"/>
    <n v="43923058.69628298"/>
    <n v="41005332.78062901"/>
    <n v="40615915.83914013"/>
    <n v="36531099.55722456"/>
    <s v="Clears $7M 50% by Y15"/>
    <s v="Y9 / 2034"/>
    <s v="Y9 / 2034"/>
    <x v="4"/>
    <s v="Y10 / 2035"/>
  </r>
  <r>
    <s v="PM After Switch | 3Y -&gt; PM Y7 Tail | Y10"/>
    <x v="1"/>
    <x v="12"/>
    <n v="3"/>
    <n v="3"/>
    <n v="7"/>
    <x v="4"/>
    <x v="0"/>
    <n v="15300000"/>
    <n v="33127302.78313416"/>
    <n v="421785.4381561886"/>
    <n v="33549088.22129035"/>
    <n v="19566945.36414749"/>
    <n v="16649219.44849351"/>
    <n v="16259802.50700463"/>
    <n v="12174986.22508907"/>
    <s v="Clears $7M 50% by Y10"/>
    <s v="Y8 / 2033"/>
    <s v="Y8 / 2033"/>
    <x v="4"/>
    <s v="Y9 / 2034"/>
  </r>
  <r>
    <s v="PM After Switch | 3Y -&gt; PM Y7 Tail | Y15"/>
    <x v="1"/>
    <x v="12"/>
    <n v="3"/>
    <n v="3"/>
    <n v="7"/>
    <x v="4"/>
    <x v="1"/>
    <n v="15300000"/>
    <n v="83862741.46768194"/>
    <n v="744831.0363198349"/>
    <n v="84607572.50400178"/>
    <n v="70625429.64685893"/>
    <n v="67707703.73120496"/>
    <n v="67318286.78971606"/>
    <n v="63233470.5078005"/>
    <s v="Clears $7M 50% by Y15"/>
    <s v="Y8 / 2033"/>
    <s v="Y8 / 2033"/>
    <x v="4"/>
    <s v="Y9 / 2034"/>
  </r>
  <r>
    <s v="PM After Switch | 3Y -&gt; PM Y8 Starter | Y10"/>
    <x v="1"/>
    <x v="13"/>
    <n v="3"/>
    <n v="3"/>
    <n v="8"/>
    <x v="1"/>
    <x v="0"/>
    <n v="1800000"/>
    <n v="5841667.86770564"/>
    <n v="421785.4381561886"/>
    <n v="6263453.305861829"/>
    <n v="-7718689.551281027"/>
    <n v="-10636415.466935"/>
    <n v="-11025832.40842388"/>
    <n v="-15110648.69033945"/>
    <s v="Short of $5M retire+house by Y10"/>
    <s v="Not by Y15"/>
    <s v="Not by Y15"/>
    <x v="2"/>
    <s v="Not by Y15"/>
  </r>
  <r>
    <s v="PM After Switch | 3Y -&gt; PM Y8 Starter | Y15"/>
    <x v="1"/>
    <x v="13"/>
    <n v="3"/>
    <n v="3"/>
    <n v="8"/>
    <x v="1"/>
    <x v="1"/>
    <n v="1800000"/>
    <n v="11862917.47826197"/>
    <n v="744831.0363198349"/>
    <n v="12607748.5145818"/>
    <n v="-1374394.342561055"/>
    <n v="-4292120.258215031"/>
    <n v="-4681537.199703911"/>
    <n v="-8766353.481619475"/>
    <s v="Short of $5M retire+house by Y15"/>
    <s v="Not by Y15"/>
    <s v="Not by Y15"/>
    <x v="2"/>
    <s v="Not by Y15"/>
  </r>
  <r>
    <s v="PM After Switch | 3Y -&gt; PM Y8 Base | Y10"/>
    <x v="1"/>
    <x v="14"/>
    <n v="3"/>
    <n v="3"/>
    <n v="8"/>
    <x v="2"/>
    <x v="0"/>
    <n v="4050000"/>
    <n v="9217207.11170564"/>
    <n v="421785.4381561886"/>
    <n v="9638992.54986183"/>
    <n v="-4343150.307281027"/>
    <n v="-7260876.222935002"/>
    <n v="-7650293.164423883"/>
    <n v="-11735109.44633945"/>
    <s v="Short of $5M retire+house by Y10"/>
    <s v="Y12 / 2037"/>
    <s v="Y13 / 2038"/>
    <x v="1"/>
    <s v="Y15 / 2040"/>
  </r>
  <r>
    <s v="PM After Switch | 3Y -&gt; PM Y8 Base | Y15"/>
    <x v="1"/>
    <x v="14"/>
    <n v="3"/>
    <n v="3"/>
    <n v="8"/>
    <x v="2"/>
    <x v="1"/>
    <n v="4050000"/>
    <n v="22357103.72733374"/>
    <n v="744831.0363198349"/>
    <n v="23101934.76365357"/>
    <n v="9119791.906510713"/>
    <n v="6202065.990856737"/>
    <n v="5812649.049367856"/>
    <n v="1727832.767452292"/>
    <s v="Clears $7M 50% by Y15"/>
    <s v="Y12 / 2037"/>
    <s v="Y13 / 2038"/>
    <x v="1"/>
    <s v="Y15 / 2040"/>
  </r>
  <r>
    <s v="PM After Switch | 3Y -&gt; PM Y8 Upside | Y10"/>
    <x v="1"/>
    <x v="15"/>
    <n v="3"/>
    <n v="3"/>
    <n v="8"/>
    <x v="3"/>
    <x v="0"/>
    <n v="10300000"/>
    <n v="18484692.48294764"/>
    <n v="421785.4381561886"/>
    <n v="18906477.92110383"/>
    <n v="4924335.063960971"/>
    <n v="2006609.148306996"/>
    <n v="1617192.206818115"/>
    <n v="-2467624.075097449"/>
    <s v="Clears $7M cash by Y10"/>
    <s v="Y10 / 2035"/>
    <s v="Y10 / 2035"/>
    <x v="5"/>
    <s v="Y11 / 2036"/>
  </r>
  <r>
    <s v="PM After Switch | 3Y -&gt; PM Y8 Upside | Y15"/>
    <x v="1"/>
    <x v="15"/>
    <n v="3"/>
    <n v="3"/>
    <n v="8"/>
    <x v="3"/>
    <x v="1"/>
    <n v="10300000"/>
    <n v="51168712.92999113"/>
    <n v="744831.0363198349"/>
    <n v="51913543.96631097"/>
    <n v="37931401.10916811"/>
    <n v="35013675.19351414"/>
    <n v="34624258.25202526"/>
    <n v="30539441.97010969"/>
    <s v="Clears $7M 50% by Y15"/>
    <s v="Y10 / 2035"/>
    <s v="Y10 / 2035"/>
    <x v="5"/>
    <s v="Y11 / 2036"/>
  </r>
  <r>
    <s v="PM After Switch | 3Y -&gt; PM Y8 Tail | Y10"/>
    <x v="1"/>
    <x v="16"/>
    <n v="3"/>
    <n v="3"/>
    <n v="8"/>
    <x v="4"/>
    <x v="0"/>
    <n v="15300000"/>
    <n v="25882423.80294764"/>
    <n v="421785.4381561886"/>
    <n v="26304209.24110383"/>
    <n v="12322066.38396097"/>
    <n v="9404340.468306996"/>
    <n v="9014923.526818115"/>
    <n v="4930107.244902551"/>
    <s v="Clears $7M 50% by Y10"/>
    <s v="Y9 / 2034"/>
    <s v="Y9 / 2034"/>
    <x v="4"/>
    <s v="Y10 / 2035"/>
  </r>
  <r>
    <s v="PM After Switch | 3Y -&gt; PM Y8 Tail | Y15"/>
    <x v="1"/>
    <x v="16"/>
    <n v="3"/>
    <n v="3"/>
    <n v="8"/>
    <x v="4"/>
    <x v="1"/>
    <n v="15300000"/>
    <n v="74167459.10977975"/>
    <n v="744831.0363198349"/>
    <n v="74912290.14609958"/>
    <n v="60930147.28895672"/>
    <n v="58012421.37330275"/>
    <n v="57623004.43181387"/>
    <n v="53538188.14989831"/>
    <s v="Clears $7M 50% by Y15"/>
    <s v="Y9 / 2034"/>
    <s v="Y9 / 2034"/>
    <x v="4"/>
    <s v="Y10 / 2035"/>
  </r>
  <r>
    <s v="PM After Switch | 4Y -&gt; PM Y7 Starter | Y10"/>
    <x v="1"/>
    <x v="17"/>
    <n v="4"/>
    <n v="3"/>
    <n v="7"/>
    <x v="1"/>
    <x v="0"/>
    <n v="1800000"/>
    <n v="4720226.555891729"/>
    <n v="421785.4381561886"/>
    <n v="5142011.994047917"/>
    <n v="-8840130.863094939"/>
    <n v="-11757856.77874891"/>
    <n v="-12147273.7202378"/>
    <n v="-16232090.00215336"/>
    <s v="Short of $5M retire+house by Y10"/>
    <s v="Not by Y15"/>
    <s v="Not by Y15"/>
    <x v="2"/>
    <s v="Not by Y15"/>
  </r>
  <r>
    <s v="PM After Switch | 4Y -&gt; PM Y7 Starter | Y15"/>
    <x v="1"/>
    <x v="17"/>
    <n v="4"/>
    <n v="3"/>
    <n v="7"/>
    <x v="1"/>
    <x v="1"/>
    <n v="1800000"/>
    <n v="10362176.03101529"/>
    <n v="744831.0363198349"/>
    <n v="11107007.06733513"/>
    <n v="-2875135.789807731"/>
    <n v="-5792861.705461707"/>
    <n v="-6182278.646950588"/>
    <n v="-10267094.92886615"/>
    <s v="Short of $5M retire+house by Y15"/>
    <s v="Not by Y15"/>
    <s v="Not by Y15"/>
    <x v="2"/>
    <s v="Not by Y15"/>
  </r>
  <r>
    <s v="PM After Switch | 4Y -&gt; PM Y7 Base | Y10"/>
    <x v="1"/>
    <x v="18"/>
    <n v="4"/>
    <n v="3"/>
    <n v="7"/>
    <x v="2"/>
    <x v="0"/>
    <n v="4050000"/>
    <n v="9358588.154531728"/>
    <n v="421785.4381561886"/>
    <n v="9780373.592687918"/>
    <n v="-4201769.264454938"/>
    <n v="-7119495.180108914"/>
    <n v="-7508912.121597795"/>
    <n v="-11593728.40351336"/>
    <s v="Short of $5M retire+house by Y10"/>
    <s v="Y12 / 2037"/>
    <s v="Y13 / 2038"/>
    <x v="3"/>
    <s v="Y15 / 2040"/>
  </r>
  <r>
    <s v="PM After Switch | 4Y -&gt; PM Y7 Base | Y15"/>
    <x v="1"/>
    <x v="18"/>
    <n v="4"/>
    <n v="3"/>
    <n v="7"/>
    <x v="2"/>
    <x v="1"/>
    <n v="4050000"/>
    <n v="22546303.45503137"/>
    <n v="744831.0363198349"/>
    <n v="23291134.4913512"/>
    <n v="9308991.634208342"/>
    <n v="6391265.718554366"/>
    <n v="6001848.777065486"/>
    <n v="1917032.495149922"/>
    <s v="Clears $7M 50% by Y15"/>
    <s v="Y12 / 2037"/>
    <s v="Y13 / 2038"/>
    <x v="3"/>
    <s v="Y15 / 2040"/>
  </r>
  <r>
    <s v="PM After Switch | 4Y -&gt; PM Y7 Upside | Y10"/>
    <x v="1"/>
    <x v="19"/>
    <n v="4"/>
    <n v="3"/>
    <n v="7"/>
    <x v="3"/>
    <x v="0"/>
    <n v="10300000"/>
    <n v="22093130.74304825"/>
    <n v="421785.4381561886"/>
    <n v="22514916.18120443"/>
    <n v="8532773.324061578"/>
    <n v="5615047.408407602"/>
    <n v="5225630.466918722"/>
    <n v="1140814.185003158"/>
    <s v="Clears $7M 50% by Y10"/>
    <s v="Y9 / 2034"/>
    <s v="Y10 / 2035"/>
    <x v="5"/>
    <s v="Y10 / 2035"/>
  </r>
  <r>
    <s v="PM After Switch | 4Y -&gt; PM Y7 Upside | Y15"/>
    <x v="1"/>
    <x v="19"/>
    <n v="4"/>
    <n v="3"/>
    <n v="7"/>
    <x v="3"/>
    <x v="1"/>
    <n v="10300000"/>
    <n v="55997617.30484819"/>
    <n v="744831.0363198349"/>
    <n v="56742448.34116803"/>
    <n v="42760305.48402517"/>
    <n v="39842579.5683712"/>
    <n v="39453162.62688231"/>
    <n v="35368346.34496675"/>
    <s v="Clears $7M 50% by Y15"/>
    <s v="Y9 / 2034"/>
    <s v="Y10 / 2035"/>
    <x v="5"/>
    <s v="Y10 / 2035"/>
  </r>
  <r>
    <s v="PM After Switch | 4Y -&gt; PM Y7 Tail | Y10"/>
    <x v="1"/>
    <x v="20"/>
    <n v="4"/>
    <n v="3"/>
    <n v="7"/>
    <x v="4"/>
    <x v="0"/>
    <n v="15300000"/>
    <n v="32258425.94224825"/>
    <n v="421785.4381561886"/>
    <n v="32680211.38040444"/>
    <n v="18698068.52326158"/>
    <n v="15780342.60760761"/>
    <n v="15390925.66611873"/>
    <n v="11306109.38420316"/>
    <s v="Clears $7M 50% by Y10"/>
    <s v="Y8 / 2033"/>
    <s v="Y9 / 2034"/>
    <x v="4"/>
    <s v="Y9 / 2034"/>
  </r>
  <r>
    <s v="PM After Switch | 4Y -&gt; PM Y7 Tail | Y15"/>
    <x v="1"/>
    <x v="20"/>
    <n v="4"/>
    <n v="3"/>
    <n v="7"/>
    <x v="4"/>
    <x v="1"/>
    <n v="15300000"/>
    <n v="82699988.25542414"/>
    <n v="744831.0363198349"/>
    <n v="83444819.29174398"/>
    <n v="69462676.43460113"/>
    <n v="66544950.51894715"/>
    <n v="66155533.57745826"/>
    <n v="62070717.2955427"/>
    <s v="Clears $7M 50% by Y15"/>
    <s v="Y8 / 2033"/>
    <s v="Y9 / 2034"/>
    <x v="4"/>
    <s v="Y9 / 2034"/>
  </r>
  <r>
    <s v="PM After Switch | 4Y -&gt; PM Y8 Starter | Y10"/>
    <x v="1"/>
    <x v="21"/>
    <n v="4"/>
    <n v="3"/>
    <n v="8"/>
    <x v="1"/>
    <x v="0"/>
    <n v="1800000"/>
    <n v="5430409.815923987"/>
    <n v="421785.4381561886"/>
    <n v="5852195.254080175"/>
    <n v="-8129947.603062681"/>
    <n v="-11047673.51871666"/>
    <n v="-11437090.46020554"/>
    <n v="-15521906.7421211"/>
    <s v="Short of $5M retire+house by Y10"/>
    <s v="Not by Y15"/>
    <s v="Not by Y15"/>
    <x v="2"/>
    <s v="Not by Y15"/>
  </r>
  <r>
    <s v="PM After Switch | 4Y -&gt; PM Y8 Starter | Y15"/>
    <x v="1"/>
    <x v="21"/>
    <n v="4"/>
    <n v="3"/>
    <n v="8"/>
    <x v="1"/>
    <x v="1"/>
    <n v="1800000"/>
    <n v="11312561.43437381"/>
    <n v="744831.0363198349"/>
    <n v="12057392.47069365"/>
    <n v="-1924750.38644921"/>
    <n v="-4842476.302103186"/>
    <n v="-5231893.243592067"/>
    <n v="-9316709.525507631"/>
    <s v="Short of $5M retire+house by Y15"/>
    <s v="Not by Y15"/>
    <s v="Not by Y15"/>
    <x v="2"/>
    <s v="Not by Y15"/>
  </r>
  <r>
    <s v="PM After Switch | 4Y -&gt; PM Y8 Base | Y10"/>
    <x v="1"/>
    <x v="22"/>
    <n v="4"/>
    <n v="3"/>
    <n v="8"/>
    <x v="2"/>
    <x v="0"/>
    <n v="4050000"/>
    <n v="8805949.059923988"/>
    <n v="421785.4381561886"/>
    <n v="9227734.498080177"/>
    <n v="-4754408.359062679"/>
    <n v="-7672134.274716655"/>
    <n v="-8061551.216205535"/>
    <n v="-12146367.4981211"/>
    <s v="Short of $5M retire+house by Y10"/>
    <s v="Y12 / 2037"/>
    <s v="Y14 / 2039"/>
    <x v="1"/>
    <s v="Y15 / 2040"/>
  </r>
  <r>
    <s v="PM After Switch | 4Y -&gt; PM Y8 Base | Y15"/>
    <x v="1"/>
    <x v="22"/>
    <n v="4"/>
    <n v="3"/>
    <n v="8"/>
    <x v="2"/>
    <x v="1"/>
    <n v="4050000"/>
    <n v="21806747.68344558"/>
    <n v="744831.0363198349"/>
    <n v="22551578.71976542"/>
    <n v="8569435.862622561"/>
    <n v="5651709.946968585"/>
    <n v="5262293.005479705"/>
    <n v="1177476.72356414"/>
    <s v="Clears $7M 50% by Y15"/>
    <s v="Y12 / 2037"/>
    <s v="Y14 / 2039"/>
    <x v="1"/>
    <s v="Y15 / 2040"/>
  </r>
  <r>
    <s v="PM After Switch | 4Y -&gt; PM Y8 Upside | Y10"/>
    <x v="1"/>
    <x v="23"/>
    <n v="4"/>
    <n v="3"/>
    <n v="8"/>
    <x v="3"/>
    <x v="0"/>
    <n v="10300000"/>
    <n v="18073434.43116599"/>
    <n v="421785.4381561886"/>
    <n v="18495219.86932218"/>
    <n v="4513077.012179321"/>
    <n v="1595351.096525345"/>
    <n v="1205934.155036464"/>
    <n v="-2878882.1268791"/>
    <s v="Clears $7M cash by Y10"/>
    <s v="Y10 / 2035"/>
    <s v="Y10 / 2035"/>
    <x v="5"/>
    <s v="Y11 / 2036"/>
  </r>
  <r>
    <s v="PM After Switch | 4Y -&gt; PM Y8 Upside | Y15"/>
    <x v="1"/>
    <x v="23"/>
    <n v="4"/>
    <n v="3"/>
    <n v="8"/>
    <x v="3"/>
    <x v="1"/>
    <n v="10300000"/>
    <n v="50618356.88610298"/>
    <n v="744831.0363198349"/>
    <n v="51363187.92242282"/>
    <n v="37381045.06527996"/>
    <n v="34463319.14962599"/>
    <n v="34073902.20813711"/>
    <n v="29989085.92622154"/>
    <s v="Clears $7M 50% by Y15"/>
    <s v="Y10 / 2035"/>
    <s v="Y10 / 2035"/>
    <x v="5"/>
    <s v="Y11 / 2036"/>
  </r>
  <r>
    <s v="PM After Switch | 4Y -&gt; PM Y8 Tail | Y10"/>
    <x v="1"/>
    <x v="24"/>
    <n v="4"/>
    <n v="3"/>
    <n v="8"/>
    <x v="4"/>
    <x v="0"/>
    <n v="15300000"/>
    <n v="25471165.75116599"/>
    <n v="421785.4381561886"/>
    <n v="25892951.18932218"/>
    <n v="11910808.33217932"/>
    <n v="8993082.416525345"/>
    <n v="8603665.475036465"/>
    <n v="4518849.193120901"/>
    <s v="Clears $7M 50% by Y10"/>
    <s v="Y9 / 2034"/>
    <s v="Y9 / 2034"/>
    <x v="4"/>
    <s v="Y10 / 2035"/>
  </r>
  <r>
    <s v="PM After Switch | 4Y -&gt; PM Y8 Tail | Y15"/>
    <x v="1"/>
    <x v="24"/>
    <n v="4"/>
    <n v="3"/>
    <n v="8"/>
    <x v="4"/>
    <x v="1"/>
    <n v="15300000"/>
    <n v="73617103.06589159"/>
    <n v="744831.0363198349"/>
    <n v="74361934.10221143"/>
    <n v="60379791.24506857"/>
    <n v="57462065.3294146"/>
    <n v="57072648.38792571"/>
    <n v="52987832.10601015"/>
    <s v="Clears $7M 50% by Y15"/>
    <s v="Y9 / 2034"/>
    <s v="Y9 / 2034"/>
    <x v="4"/>
    <s v="Y10 / 2035"/>
  </r>
  <r>
    <s v="PM After Switch | 5Y -&gt; PM Y8 Starter | Y10"/>
    <x v="1"/>
    <x v="25"/>
    <n v="5"/>
    <n v="3"/>
    <n v="8"/>
    <x v="1"/>
    <x v="0"/>
    <n v="1800000"/>
    <n v="4289278.867849839"/>
    <n v="421785.4381561886"/>
    <n v="4711064.306006027"/>
    <n v="-9271078.551136829"/>
    <n v="-12188804.4667908"/>
    <n v="-12578221.40827969"/>
    <n v="-16663037.69019525"/>
    <s v="Short of $5M retire+house by Y10"/>
    <s v="Not by Y15"/>
    <s v="Not by Y15"/>
    <x v="2"/>
    <s v="Not by Y15"/>
  </r>
  <r>
    <s v="PM After Switch | 5Y -&gt; PM Y8 Starter | Y15"/>
    <x v="1"/>
    <x v="25"/>
    <n v="5"/>
    <n v="3"/>
    <n v="8"/>
    <x v="1"/>
    <x v="1"/>
    <n v="1800000"/>
    <n v="9785470.812270049"/>
    <n v="744831.0363198349"/>
    <n v="10530301.84858988"/>
    <n v="-3451841.008552972"/>
    <n v="-6369566.924206948"/>
    <n v="-6758983.865695829"/>
    <n v="-10843800.14761139"/>
    <s v="Short of $5M retire+house by Y15"/>
    <s v="Not by Y15"/>
    <s v="Not by Y15"/>
    <x v="2"/>
    <s v="Not by Y15"/>
  </r>
  <r>
    <s v="PM After Switch | 5Y -&gt; PM Y8 Base | Y10"/>
    <x v="1"/>
    <x v="26"/>
    <n v="5"/>
    <n v="3"/>
    <n v="8"/>
    <x v="2"/>
    <x v="0"/>
    <n v="4050000"/>
    <n v="7664818.11184984"/>
    <n v="421785.4381561886"/>
    <n v="8086603.550006028"/>
    <n v="-5895539.307136828"/>
    <n v="-8813265.222790804"/>
    <n v="-9202682.164279684"/>
    <n v="-13287498.44619525"/>
    <s v="Short of $5M retire+house by Y10"/>
    <s v="Y13 / 2038"/>
    <s v="Y14 / 2039"/>
    <x v="1"/>
    <s v="Not by Y15"/>
  </r>
  <r>
    <s v="PM After Switch | 5Y -&gt; PM Y8 Base | Y15"/>
    <x v="1"/>
    <x v="26"/>
    <n v="5"/>
    <n v="3"/>
    <n v="8"/>
    <x v="2"/>
    <x v="1"/>
    <n v="4050000"/>
    <n v="20279657.06134182"/>
    <n v="744831.0363198349"/>
    <n v="21024488.09766165"/>
    <n v="7042345.240518795"/>
    <n v="4124619.32486482"/>
    <n v="3735202.383375939"/>
    <n v="-349613.8985396251"/>
    <s v="Clears $7M cash by Y15"/>
    <s v="Y13 / 2038"/>
    <s v="Y14 / 2039"/>
    <x v="1"/>
    <s v="Not by Y15"/>
  </r>
  <r>
    <s v="PM After Switch | 5Y -&gt; PM Y8 Upside | Y10"/>
    <x v="1"/>
    <x v="27"/>
    <n v="5"/>
    <n v="3"/>
    <n v="8"/>
    <x v="3"/>
    <x v="0"/>
    <n v="10300000"/>
    <n v="16932303.48309184"/>
    <n v="421785.4381561886"/>
    <n v="17354088.92124803"/>
    <n v="3371946.06410517"/>
    <n v="454220.1484511942"/>
    <n v="64803.2069623135"/>
    <n v="-4020013.074953251"/>
    <s v="Clears $7M cash by Y10"/>
    <s v="Y10 / 2035"/>
    <s v="Y10 / 2035"/>
    <x v="5"/>
    <s v="Y11 / 2036"/>
  </r>
  <r>
    <s v="PM After Switch | 5Y -&gt; PM Y8 Upside | Y15"/>
    <x v="1"/>
    <x v="27"/>
    <n v="5"/>
    <n v="3"/>
    <n v="8"/>
    <x v="3"/>
    <x v="1"/>
    <n v="10300000"/>
    <n v="49091266.26399921"/>
    <n v="744831.0363198349"/>
    <n v="49836097.30031905"/>
    <n v="35853954.44317619"/>
    <n v="32936228.52752221"/>
    <n v="32546811.58603333"/>
    <n v="28461995.30411777"/>
    <s v="Clears $7M 50% by Y15"/>
    <s v="Y10 / 2035"/>
    <s v="Y10 / 2035"/>
    <x v="5"/>
    <s v="Y11 / 2036"/>
  </r>
  <r>
    <s v="PM After Switch | 5Y -&gt; PM Y8 Tail | Y10"/>
    <x v="1"/>
    <x v="28"/>
    <n v="5"/>
    <n v="3"/>
    <n v="8"/>
    <x v="4"/>
    <x v="0"/>
    <n v="15300000"/>
    <n v="24330034.80309184"/>
    <n v="421785.4381561886"/>
    <n v="24751820.24124803"/>
    <n v="10769677.38410517"/>
    <n v="7851951.468451194"/>
    <n v="7462534.526962314"/>
    <n v="3377718.24504675"/>
    <s v="Clears $7M 50% by Y10"/>
    <s v="Y9 / 2034"/>
    <s v="Y10 / 2035"/>
    <x v="5"/>
    <s v="Y10 / 2035"/>
  </r>
  <r>
    <s v="PM After Switch | 5Y -&gt; PM Y8 Tail | Y15"/>
    <x v="1"/>
    <x v="28"/>
    <n v="5"/>
    <n v="3"/>
    <n v="8"/>
    <x v="4"/>
    <x v="1"/>
    <n v="15300000"/>
    <n v="72090012.44378781"/>
    <n v="744831.0363198349"/>
    <n v="72834843.48010765"/>
    <n v="58852700.62296479"/>
    <n v="55934974.70731082"/>
    <n v="55545557.76582193"/>
    <n v="51460741.48390637"/>
    <s v="Clears $7M 50% by Y15"/>
    <s v="Y9 / 2034"/>
    <s v="Y10 / 2035"/>
    <x v="5"/>
    <s v="Y10 / 203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ScenarioPivot" cacheId="1" dataOnRows="0" dataCaption="Data" showError="0" showMissing="1" pivotTableStyle="PivotStyleMedium9" updatedVersion="8" minRefreshableVersion="0" asteriskTotals="0" showItems="0" editData="0" disableFieldList="0" showCalcMbrs="1" visualTotals="1" showMultipleLabel="0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0" createdVersion="0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I48" firstHeaderRow="1" firstDataRow="3" firstDataCol="3"/>
  <pivotFields count="21">
    <pivotField showDropDowns="1" compact="0" outline="0" subtotalTop="1" dragToRow="1" dragToCol="1" dragToPage="1" dragToData="1" dragOff="1" showAll="0" topAutoShow="1" includeNewItemsInFilter="1" itemPageCount="10" sortType="manual" defaultSubtotal="1"/>
    <pivotField axis="axisRow" showDropDowns="1" compact="0" outline="0" subtotalTop="1" dragToRow="1" dragToCol="1" dragToPage="1" dragToData="1" dragOff="1" showAll="0" topAutoShow="1" includeNewItemsInFilter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0" outline="0" subtotalTop="1" dragToRow="1" dragToCol="1" dragToPage="1" dragToData="1" dragOff="1" showAll="0" topAutoShow="1" includeNewItemsInFilter="1" itemPageCount="10" sortType="manual" defaultSubtotal="1">
      <items count="30">
        <item t="data" sd="1" x="10"/>
        <item t="data" sd="1" x="9"/>
        <item t="data" sd="1" x="12"/>
        <item t="data" sd="1" x="11"/>
        <item t="data" sd="1" x="14"/>
        <item t="data" sd="1" x="13"/>
        <item t="data" sd="1" x="16"/>
        <item t="data" sd="1" x="15"/>
        <item t="data" sd="1" x="0"/>
        <item t="data" sd="1" x="1"/>
        <item t="data" sd="1" x="2"/>
        <item t="data" sd="1" x="18"/>
        <item t="data" sd="1" x="17"/>
        <item t="data" sd="1" x="20"/>
        <item t="data" sd="1" x="19"/>
        <item t="data" sd="1" x="22"/>
        <item t="data" sd="1" x="21"/>
        <item t="data" sd="1" x="24"/>
        <item t="data" sd="1" x="23"/>
        <item t="data" sd="1" x="3"/>
        <item t="data" sd="1" x="4"/>
        <item t="data" sd="1" x="5"/>
        <item t="data" sd="1" x="26"/>
        <item t="data" sd="1" x="25"/>
        <item t="data" sd="1" x="28"/>
        <item t="data" sd="1" x="27"/>
        <item t="data" sd="1" x="6"/>
        <item t="data" sd="1" x="7"/>
        <item t="data" sd="1" x="8"/>
        <item t="default" sd="1"/>
      </items>
    </pivotField>
    <pivotField dataField="1" showDropDowns="1" compact="0" numFmtId="1" outline="0" subtotalTop="1" dragToRow="1" dragToCol="1" dragToPage="1" dragToData="1" dragOff="1" showAll="0" topAutoShow="1" includeNewItemsInFilter="1" itemPageCount="10" sortType="manual" defaultSubtotal="1"/>
    <pivotField dataField="1" showDropDowns="1" compact="0" numFmtId="171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axis="axisRow" showDropDowns="1" compact="0" outline="0" subtotalTop="1" dragToRow="1" dragToCol="1" dragToPage="1" dragToData="1" dragOff="1" showAll="0" topAutoShow="1" includeNewItemsInFilter="1" itemPageCount="10" sortType="manual" defaultSubtotal="1">
      <items count="6">
        <item t="data" sd="1" x="2"/>
        <item t="data" sd="1" x="1"/>
        <item t="data" sd="1" x="4"/>
        <item t="data" sd="1" x="3"/>
        <item t="data" sd="1" x="0"/>
        <item t="default" sd="1"/>
      </items>
    </pivotField>
    <pivotField axis="axisCol" showDropDowns="1" compact="0" outline="0" subtotalTop="1" dragToRow="1" dragToCol="1" dragToPage="1" dragToData="1" dragOff="1" showAll="0" topAutoShow="1" includeNewItemsInFilter="1" itemPageCount="10" sortType="manual" defaultSubtotal="1">
      <items count="3">
        <item t="data" sd="1" x="0"/>
        <item t="data" sd="1" x="1"/>
        <item t="default" sd="1"/>
      </items>
    </pivotField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dataField="1"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>
      <items count="7">
        <item t="data" sd="1" x="2"/>
        <item t="data" sd="1" x="5"/>
        <item t="data" sd="1" x="3"/>
        <item t="data" sd="1" x="1"/>
        <item t="data" sd="1" x="0"/>
        <item t="data" sd="1" x="4"/>
        <item t="default" sd="1"/>
      </items>
    </pivotField>
    <pivotField showDropDowns="1" compact="0" outline="0" subtotalTop="1" dragToRow="1" dragToCol="1" dragToPage="1" dragToData="1" dragOff="1" showAll="0" topAutoShow="1" includeNewItemsInFilter="1" itemPageCount="10" sortType="manual" defaultSubtotal="1"/>
  </pivotFields>
  <rowFields count="3">
    <field x="6"/>
    <field x="1"/>
    <field x="2"/>
  </rowFields>
  <rowItems count="40">
    <i t="data" r="0" i="0">
      <x v="0"/>
      <x v="1"/>
      <x v="0"/>
    </i>
    <i t="data" r="2" i="0">
      <x v="4"/>
    </i>
    <i t="data" r="2" i="0">
      <x v="11"/>
    </i>
    <i t="data" r="2" i="0">
      <x v="15"/>
    </i>
    <i t="data" r="2" i="0">
      <x v="22"/>
    </i>
    <i t="default" r="1" i="0">
      <x v="1"/>
    </i>
    <i t="default" r="0" i="0">
      <x v="0"/>
    </i>
    <i t="data" r="0" i="0">
      <x v="1"/>
      <x v="1"/>
      <x v="1"/>
    </i>
    <i t="data" r="2" i="0">
      <x v="5"/>
    </i>
    <i t="data" r="2" i="0">
      <x v="12"/>
    </i>
    <i t="data" r="2" i="0">
      <x v="16"/>
    </i>
    <i t="data" r="2" i="0">
      <x v="23"/>
    </i>
    <i t="default" r="1" i="0">
      <x v="1"/>
    </i>
    <i t="default" r="0" i="0">
      <x v="1"/>
    </i>
    <i t="data" r="0" i="0">
      <x v="2"/>
      <x v="1"/>
      <x v="2"/>
    </i>
    <i t="data" r="2" i="0">
      <x v="6"/>
    </i>
    <i t="data" r="2" i="0">
      <x v="13"/>
    </i>
    <i t="data" r="2" i="0">
      <x v="17"/>
    </i>
    <i t="data" r="2" i="0">
      <x v="24"/>
    </i>
    <i t="default" r="1" i="0">
      <x v="1"/>
    </i>
    <i t="default" r="0" i="0">
      <x v="2"/>
    </i>
    <i t="data" r="0" i="0">
      <x v="3"/>
      <x v="1"/>
      <x v="3"/>
    </i>
    <i t="data" r="2" i="0">
      <x v="7"/>
    </i>
    <i t="data" r="2" i="0">
      <x v="14"/>
    </i>
    <i t="data" r="2" i="0">
      <x v="18"/>
    </i>
    <i t="data" r="2" i="0">
      <x v="25"/>
    </i>
    <i t="default" r="1" i="0">
      <x v="1"/>
    </i>
    <i t="default" r="0" i="0">
      <x v="3"/>
    </i>
    <i t="data" r="0" i="0">
      <x v="4"/>
      <x v="0"/>
      <x v="8"/>
    </i>
    <i t="data" r="2" i="0">
      <x v="9"/>
    </i>
    <i t="data" r="2" i="0">
      <x v="10"/>
    </i>
    <i t="data" r="2" i="0">
      <x v="19"/>
    </i>
    <i t="data" r="2" i="0">
      <x v="20"/>
    </i>
    <i t="data" r="2" i="0">
      <x v="21"/>
    </i>
    <i t="data" r="2" i="0">
      <x v="26"/>
    </i>
    <i t="data" r="2" i="0">
      <x v="27"/>
    </i>
    <i t="data" r="2" i="0">
      <x v="28"/>
    </i>
    <i t="default" r="1" i="0">
      <x v="0"/>
    </i>
    <i t="default" r="0" i="0">
      <x v="4"/>
    </i>
    <i t="grand" r="0" i="0">
      <x v="0"/>
    </i>
  </rowItems>
  <colFields count="2">
    <field x="7"/>
    <field x="-2"/>
  </colFields>
  <colItems count="6">
    <i t="data" r="0" i="0">
      <x v="0"/>
      <x v="0"/>
    </i>
    <i t="data" r="1" i="1">
      <x v="1"/>
    </i>
    <i t="data" r="1" i="2">
      <x v="2"/>
    </i>
    <i t="data" r="0" i="0">
      <x v="1"/>
      <x v="0"/>
    </i>
    <i t="data" r="1" i="1">
      <x v="1"/>
    </i>
    <i t="data" r="1" i="2">
      <x v="2"/>
    </i>
  </colItems>
  <dataFields count="3">
    <dataField name="Sum of Switch After YOE" fld="3" subtotal="sum" showDataAs="normal" baseField="0" baseItem="0" numFmtId="1"/>
    <dataField name="Sum of IC Bump" fld="4" subtotal="sum" showDataAs="normal" baseField="0" baseItem="0" numFmtId="171"/>
    <dataField name="Sum of Liquid Net Worth" fld="11" subtotal="sum" showDataAs="normal" baseField="0" baseItem="0" numFmtId="173"/>
  </dataFields>
  <pivotTableStyleInfo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blICSwitchSummary" displayName="tblICSwitchSummary" ref="A21:Z30" headerRowCount="1">
  <autoFilter ref="A21:Z30"/>
  <tableColumns count="26">
    <tableColumn id="1" name="Scenario"/>
    <tableColumn id="2" name="Switch After YOE"/>
    <tableColumn id="3" name="Bump"/>
    <tableColumn id="4" name="Walk-Away BK"/>
    <tableColumn id="5" name="Y10 Cash Comp"/>
    <tableColumn id="6" name="Y10 Taxable Liquid"/>
    <tableColumn id="7" name="Y10 Retirement"/>
    <tableColumn id="8" name="Y10 Liquid NW"/>
    <tableColumn id="9" name="Y10 vs $5M Cash"/>
    <tableColumn id="10" name="Y10 vs $5M 50%"/>
    <tableColumn id="11" name="Y10 vs $7M Cash"/>
    <tableColumn id="12" name="Y10 vs $7M 50%"/>
    <tableColumn id="13" name="Y10 Read"/>
    <tableColumn id="14" name="Y15 Cash Comp"/>
    <tableColumn id="15" name="Y15 Taxable Liquid"/>
    <tableColumn id="16" name="Y15 Retirement"/>
    <tableColumn id="17" name="Y15 Liquid NW"/>
    <tableColumn id="18" name="Y15 vs $5M Cash"/>
    <tableColumn id="19" name="Y15 vs $5M 50%"/>
    <tableColumn id="20" name="Y15 vs $7M Cash"/>
    <tableColumn id="21" name="Y15 vs $7M 50%"/>
    <tableColumn id="22" name="Y15 Read"/>
    <tableColumn id="23" name="First $5M Cash"/>
    <tableColumn id="24" name="First $5M 50%"/>
    <tableColumn id="25" name="First $7M Cash"/>
    <tableColumn id="26" name="First $7M 50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MAfterSwitchSummary" displayName="tblPMAfterSwitchSummary" ref="A21:AF41" headerRowCount="1">
  <autoFilter ref="A21:AF41"/>
  <tableColumns count="32">
    <tableColumn id="1" name="Scenario"/>
    <tableColumn id="2" name="First Switch After YOE"/>
    <tableColumn id="3" name="IC Bump"/>
    <tableColumn id="4" name="Requested PM Start YOE"/>
    <tableColumn id="5" name="PM Case"/>
    <tableColumn id="6" name="PM Net PnL"/>
    <tableColumn id="7" name="PM Payout"/>
    <tableColumn id="8" name="PM Base"/>
    <tableColumn id="9" name="PM Gross at Start"/>
    <tableColumn id="10" name="Walk-Away BK"/>
    <tableColumn id="11" name="Y10 Gross Comp"/>
    <tableColumn id="12" name="Y10 Taxable Liquid"/>
    <tableColumn id="13" name="Y10 Retirement"/>
    <tableColumn id="14" name="Y10 Liquid NW"/>
    <tableColumn id="15" name="Y10 vs $5M Cash"/>
    <tableColumn id="16" name="Y10 vs $5M 50%"/>
    <tableColumn id="17" name="Y10 vs $7M Cash"/>
    <tableColumn id="18" name="Y10 vs $7M 50%"/>
    <tableColumn id="19" name="Y10 Read"/>
    <tableColumn id="20" name="Y15 Gross Comp"/>
    <tableColumn id="21" name="Y15 Taxable Liquid"/>
    <tableColumn id="22" name="Y15 Retirement"/>
    <tableColumn id="23" name="Y15 Liquid NW"/>
    <tableColumn id="24" name="Y15 vs $5M Cash"/>
    <tableColumn id="25" name="Y15 vs $5M 50%"/>
    <tableColumn id="26" name="Y15 vs $7M Cash"/>
    <tableColumn id="27" name="Y15 vs $7M 50%"/>
    <tableColumn id="28" name="Y15 Read"/>
    <tableColumn id="29" name="First $5M Cash"/>
    <tableColumn id="30" name="First $5M 50%"/>
    <tableColumn id="31" name="First $7M Cash"/>
    <tableColumn id="32" name="First $7M 50%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ScenarioResults" displayName="tblScenarioResults" ref="A4:U64" headerRowCount="1">
  <autoFilter ref="A4:U64"/>
  <tableColumns count="21">
    <tableColumn id="1" name="Result Key"/>
    <tableColumn id="2" name="Path"/>
    <tableColumn id="3" name="Scenario"/>
    <tableColumn id="4" name="Switch After YOE"/>
    <tableColumn id="5" name="IC Bump"/>
    <tableColumn id="6" name="Requested PM Start YOE"/>
    <tableColumn id="7" name="PM Case"/>
    <tableColumn id="8" name="Horizon"/>
    <tableColumn id="9" name="Cash/Gross Comp"/>
    <tableColumn id="10" name="Taxable Liquid"/>
    <tableColumn id="11" name="Retirement"/>
    <tableColumn id="12" name="Liquid Net Worth"/>
    <tableColumn id="13" name="Surplus / Shortfall to $5M All-Cash Target"/>
    <tableColumn id="14" name="Surplus / Shortfall to $5M 50% Down Target"/>
    <tableColumn id="15" name="Surplus / Shortfall to $7M All-Cash Target"/>
    <tableColumn id="16" name="Surplus / Shortfall to $7M 50% Down Target"/>
    <tableColumn id="17" name="Target Status"/>
    <tableColumn id="18" name="First $5M Cash"/>
    <tableColumn id="19" name="First $5M 50%"/>
    <tableColumn id="20" name="First $7M Cash"/>
    <tableColumn id="21" name="First $7M 50%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Model Inputs'!A1" TargetMode="External" Id="rId2" /><Relationship Type="http://schemas.openxmlformats.org/officeDocument/2006/relationships/hyperlink" Target="#'Savings Projection'!A1" TargetMode="External" Id="rId3" /><Relationship Type="http://schemas.openxmlformats.org/officeDocument/2006/relationships/hyperlink" Target="#'Scenario Lab'!A1" TargetMode="External" Id="rId4" /><Relationship Type="http://schemas.openxmlformats.org/officeDocument/2006/relationships/hyperlink" Target="#'IC Switch Scenarios'!A1" TargetMode="External" Id="rId5" /><Relationship Type="http://schemas.openxmlformats.org/officeDocument/2006/relationships/hyperlink" Target="#'PM After Switch'!A1" TargetMode="External" Id="rId6" /><Relationship Type="http://schemas.openxmlformats.org/officeDocument/2006/relationships/hyperlink" Target="#'Scenario Analysis'!A1" TargetMode="External" Id="rId7" /><Relationship Type="http://schemas.openxmlformats.org/officeDocument/2006/relationships/hyperlink" Target="#'Scenario Results'!A1" TargetMode="External" Id="rId8" /><Relationship Type="http://schemas.openxmlformats.org/officeDocument/2006/relationships/hyperlink" Target="#'Tax Assumptions'!A1" TargetMode="External" Id="rId9" /><Relationship Type="http://schemas.openxmlformats.org/officeDocument/2006/relationships/hyperlink" Target="#'Scenario Pivot Lab'!A1" TargetMode="External" Id="rId10" /><Relationship Type="http://schemas.openxmlformats.org/officeDocument/2006/relationships/drawing" Target="/xl/drawings/drawing1.xm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Scenario Results'!A1" TargetMode="External" Id="rId2" /><Relationship Type="http://schemas.openxmlformats.org/officeDocument/2006/relationships/hyperlink" Target="#'Scenario Pivot Lab'!A1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hyperlink" Target="#'Scenario Analysis'!A1" TargetMode="External" Id="rId1" /><Relationship Type="http://schemas.openxmlformats.org/officeDocument/2006/relationships/hyperlink" Target="#'Scenario Results'!A1" TargetMode="External" Id="rId2" /><Relationship Type="http://schemas.openxmlformats.org/officeDocument/2006/relationships/hyperlink" Target="#'Financial Dashboard'!A1" TargetMode="External" Id="rId3" /><Relationship Type="http://schemas.openxmlformats.org/officeDocument/2006/relationships/pivotTable" Target="/xl/pivotTables/pivotTable1.xm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table" Target="/xl/tables/table2.xm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Scenario Analysis'!A1" TargetMode="External" Id="rId2" /><Relationship Type="http://schemas.openxmlformats.org/officeDocument/2006/relationships/hyperlink" Target="#'Scenario Pivot Lab'!A1" TargetMode="External" Id="rId3" /><Relationship Type="http://schemas.openxmlformats.org/officeDocument/2006/relationships/table" Target="/xl/tables/table3.xml" Id="rId4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125"/>
  <sheetViews>
    <sheetView showGridLines="0" zoomScale="110" workbookViewId="0">
      <pane ySplit="3" topLeftCell="A18" activePane="bottomLeft" state="frozen"/>
      <selection pane="bottomLeft" activeCell="A1" sqref="A1:P1"/>
    </sheetView>
  </sheetViews>
  <sheetFormatPr baseColWidth="10" defaultColWidth="8.83203125" defaultRowHeight="15"/>
  <cols>
    <col width="14" customWidth="1" style="326" min="1" max="1"/>
    <col width="13" customWidth="1" style="326" min="2" max="16"/>
    <col width="13" customWidth="1" style="326" min="3" max="3"/>
    <col width="13" customWidth="1" style="326" min="4" max="4"/>
    <col width="13" customWidth="1" style="326" min="5" max="5"/>
    <col width="13" customWidth="1" style="326" min="6" max="6"/>
    <col width="13" customWidth="1" style="326" min="7" max="7"/>
    <col width="13" customWidth="1" style="326" min="8" max="8"/>
    <col width="13" customWidth="1" style="326" min="9" max="9"/>
    <col width="13" customWidth="1" style="326" min="10" max="10"/>
    <col width="13" customWidth="1" style="326" min="11" max="11"/>
    <col width="13" customWidth="1" style="326" min="12" max="12"/>
    <col width="13" customWidth="1" style="326" min="13" max="13"/>
    <col width="13" customWidth="1" style="326" min="14" max="14"/>
    <col width="13" customWidth="1" style="326" min="15" max="15"/>
    <col width="13" customWidth="1" style="326" min="16" max="16"/>
  </cols>
  <sheetData>
    <row r="1" ht="26" customHeight="1" s="326">
      <c r="A1" s="445" t="inlineStr">
        <is>
          <t>Personal Wealth Notebook</t>
        </is>
      </c>
      <c r="B1" s="306" t="n"/>
      <c r="C1" s="306" t="n"/>
      <c r="D1" s="306" t="n"/>
      <c r="E1" s="306" t="n"/>
      <c r="F1" s="306" t="n"/>
      <c r="G1" s="306" t="n"/>
      <c r="H1" s="306" t="n"/>
      <c r="I1" s="306" t="n"/>
      <c r="J1" s="306" t="n"/>
      <c r="K1" s="306" t="n"/>
      <c r="L1" s="306" t="n"/>
      <c r="M1" s="306" t="n"/>
      <c r="N1" s="306" t="n"/>
      <c r="O1" s="306" t="n"/>
      <c r="P1" s="307" t="n"/>
    </row>
    <row r="2" ht="34" customHeight="1" s="326">
      <c r="A2" s="446" t="inlineStr">
        <is>
          <t>NYC earnings, taxes, savings, account-bucket growth, and house-aware retirement planning in one visible model. Use the selected-year input on Model Inputs and hover chart markers in Excel for point values.</t>
        </is>
      </c>
      <c r="B2" s="314" t="n"/>
      <c r="C2" s="314" t="n"/>
      <c r="D2" s="314" t="n"/>
      <c r="E2" s="314" t="n"/>
      <c r="F2" s="314" t="n"/>
      <c r="G2" s="314" t="n"/>
      <c r="H2" s="314" t="n"/>
      <c r="I2" s="314" t="n"/>
      <c r="J2" s="314" t="n"/>
      <c r="K2" s="314" t="n"/>
      <c r="L2" s="314" t="n"/>
      <c r="M2" s="314" t="n"/>
      <c r="N2" s="314" t="n"/>
      <c r="O2" s="314" t="n"/>
      <c r="P2" s="31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2" customHeight="1" s="326">
      <c r="A4" s="447" t="inlineStr">
        <is>
          <t>Working Years Entered</t>
        </is>
      </c>
      <c r="B4" s="361" t="n"/>
      <c r="C4" s="361" t="n"/>
      <c r="D4" s="362" t="n"/>
      <c r="E4" s="448" t="inlineStr">
        <is>
          <t>Baseline Retirement Spend</t>
        </is>
      </c>
      <c r="F4" s="345" t="n"/>
      <c r="G4" s="345" t="n"/>
      <c r="H4" s="346" t="n"/>
      <c r="I4" s="449" t="inlineStr">
        <is>
          <t>Base Liquid After Close</t>
        </is>
      </c>
      <c r="J4" s="303" t="n"/>
      <c r="K4" s="303" t="n"/>
      <c r="L4" s="304" t="n"/>
      <c r="M4" s="309" t="inlineStr">
        <is>
          <t>Base All-In Draw Rate</t>
        </is>
      </c>
      <c r="N4" s="310" t="n"/>
      <c r="O4" s="310" t="n"/>
      <c r="P4" s="311" t="n"/>
    </row>
    <row r="5" ht="22" customHeight="1" s="326">
      <c r="A5" s="363">
        <f>'Savings Projection'!$B$12</f>
        <v/>
      </c>
      <c r="B5" s="317" t="n"/>
      <c r="C5" s="317" t="n"/>
      <c r="D5" s="318" t="n"/>
      <c r="E5" s="316">
        <f>'Savings Projection'!$B$13</f>
        <v/>
      </c>
      <c r="F5" s="317" t="n"/>
      <c r="G5" s="317" t="n"/>
      <c r="H5" s="318" t="n"/>
      <c r="I5" s="356">
        <f>'Scenario Lab'!$H$14</f>
        <v/>
      </c>
      <c r="J5" s="317" t="n"/>
      <c r="K5" s="317" t="n"/>
      <c r="L5" s="318" t="n"/>
      <c r="M5" s="333">
        <f>'Scenario Lab'!$H$18</f>
        <v/>
      </c>
      <c r="N5" s="317" t="n"/>
      <c r="O5" s="317" t="n"/>
      <c r="P5" s="318" t="n"/>
    </row>
    <row r="6">
      <c r="A6" s="364" t="n"/>
      <c r="B6" s="320" t="n"/>
      <c r="C6" s="320" t="n"/>
      <c r="D6" s="321" t="n"/>
      <c r="E6" s="319" t="n"/>
      <c r="F6" s="320" t="n"/>
      <c r="G6" s="320" t="n"/>
      <c r="H6" s="321" t="n"/>
      <c r="I6" s="357" t="n"/>
      <c r="J6" s="320" t="n"/>
      <c r="K6" s="320" t="n"/>
      <c r="L6" s="321" t="n"/>
      <c r="M6" s="334" t="n"/>
      <c r="N6" s="320" t="n"/>
      <c r="O6" s="320" t="n"/>
      <c r="P6" s="321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22" customHeight="1" s="326">
      <c r="A8" s="449" t="inlineStr">
        <is>
          <t>Ending Taxable</t>
        </is>
      </c>
      <c r="B8" s="303" t="n"/>
      <c r="C8" s="304" t="n"/>
      <c r="D8" s="447" t="inlineStr">
        <is>
          <t>Ending 401(k)</t>
        </is>
      </c>
      <c r="E8" s="361" t="n"/>
      <c r="F8" s="362" t="n"/>
      <c r="G8" s="450" t="inlineStr">
        <is>
          <t>Ending Roth</t>
        </is>
      </c>
      <c r="H8" s="352" t="n"/>
      <c r="I8" s="353" t="n"/>
      <c r="J8" s="448" t="inlineStr">
        <is>
          <t>Ending HSA</t>
        </is>
      </c>
      <c r="K8" s="345" t="n"/>
      <c r="L8" s="346" t="n"/>
      <c r="M8" s="335" t="inlineStr">
        <is>
          <t>Ending Total Wealth @ Base</t>
        </is>
      </c>
      <c r="N8" s="336" t="n"/>
      <c r="O8" s="336" t="n"/>
      <c r="P8" s="337" t="n"/>
    </row>
    <row r="9" ht="22" customHeight="1" s="326">
      <c r="A9" s="356">
        <f>'Savings Projection'!$AE$58</f>
        <v/>
      </c>
      <c r="B9" s="317" t="n"/>
      <c r="C9" s="318" t="n"/>
      <c r="D9" s="367">
        <f>'Savings Projection'!$AF$58</f>
        <v/>
      </c>
      <c r="E9" s="317" t="n"/>
      <c r="F9" s="318" t="n"/>
      <c r="G9" s="354">
        <f>'Savings Projection'!$AG$58</f>
        <v/>
      </c>
      <c r="H9" s="317" t="n"/>
      <c r="I9" s="318" t="n"/>
      <c r="J9" s="316">
        <f>'Savings Projection'!$AH$58</f>
        <v/>
      </c>
      <c r="K9" s="317" t="n"/>
      <c r="L9" s="318" t="n"/>
      <c r="M9" s="371">
        <f>'Savings Projection'!$AI$58</f>
        <v/>
      </c>
      <c r="N9" s="317" t="n"/>
      <c r="O9" s="317" t="n"/>
      <c r="P9" s="318" t="n"/>
    </row>
    <row r="10">
      <c r="A10" s="357" t="n"/>
      <c r="B10" s="320" t="n"/>
      <c r="C10" s="321" t="n"/>
      <c r="D10" s="364" t="n"/>
      <c r="E10" s="320" t="n"/>
      <c r="F10" s="321" t="n"/>
      <c r="G10" s="355" t="n"/>
      <c r="H10" s="320" t="n"/>
      <c r="I10" s="321" t="n"/>
      <c r="J10" s="319" t="n"/>
      <c r="K10" s="320" t="n"/>
      <c r="L10" s="321" t="n"/>
      <c r="M10" s="372" t="n"/>
      <c r="N10" s="320" t="n"/>
      <c r="O10" s="320" t="n"/>
      <c r="P10" s="321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4" customHeight="1" s="326">
      <c r="A13" s="451" t="inlineStr">
        <is>
          <t>Wealth Path Through Work And Retirement ($mm)</t>
        </is>
      </c>
    </row>
    <row r="14" ht="22" customHeight="1" s="326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22" customHeight="1" s="326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22" customHeight="1" s="32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22" customHeight="1" s="326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22" customHeight="1" s="326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22" customHeight="1" s="326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22" customHeight="1" s="326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22" customHeight="1" s="326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22" customHeight="1" s="326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22" customHeight="1" s="326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22" customHeight="1" s="326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22" customHeight="1" s="326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22" customHeight="1" s="3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22" customHeight="1" s="326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22" customHeight="1" s="326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22" customHeight="1" s="326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22" customHeight="1" s="326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2" customHeight="1" s="326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366" t="inlineStr">
        <is>
          <t>Wealth By Account @ Base Return ($mm)</t>
        </is>
      </c>
      <c r="I33" s="365" t="inlineStr">
        <is>
          <t>Savings vs. Retirement Draws ($mm)</t>
        </is>
      </c>
    </row>
    <row r="34" ht="21" customHeight="1" s="326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 ht="21" customHeight="1" s="326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21" customHeight="1" s="32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 ht="21" customHeight="1" s="326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 ht="21" customHeight="1" s="326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 ht="21" customHeight="1" s="326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 ht="21" customHeight="1" s="326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 ht="21" customHeight="1" s="326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 ht="21" customHeight="1" s="326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 ht="21" customHeight="1" s="326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 ht="21" customHeight="1" s="326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 ht="21" customHeight="1" s="326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 ht="21" customHeight="1" s="32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 ht="21" customHeight="1" s="326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 ht="21" customHeight="1" s="326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 ht="21" customHeight="1" s="326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 ht="21" customHeight="1" s="326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 ht="21" customHeight="1" s="326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 ht="21" customHeight="1" s="326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>
      <c r="A55" s="305" t="inlineStr">
        <is>
          <t>Ending Wealth Mix @ Base Return</t>
        </is>
      </c>
      <c r="B55" s="306" t="n"/>
      <c r="C55" s="306" t="n"/>
      <c r="D55" s="306" t="n"/>
      <c r="E55" s="306" t="n"/>
      <c r="F55" s="307" t="n"/>
      <c r="G55" s="329" t="inlineStr">
        <is>
          <t>Base House + Retirement</t>
        </is>
      </c>
      <c r="H55" s="306" t="n"/>
      <c r="I55" s="306" t="n"/>
      <c r="J55" s="306" t="n"/>
      <c r="K55" s="306" t="n"/>
      <c r="L55" s="306" t="n"/>
      <c r="M55" s="306" t="n"/>
      <c r="N55" s="306" t="n"/>
      <c r="O55" s="306" t="n"/>
      <c r="P55" s="307" t="n"/>
    </row>
    <row r="56" ht="20" customHeight="1" s="326">
      <c r="A56" s="312" t="inlineStr">
        <is>
          <t>Taxable</t>
        </is>
      </c>
      <c r="B56" s="9">
        <f>'Savings Projection'!$AE$58</f>
        <v/>
      </c>
      <c r="C56" s="10">
        <f>IF($B$60=0,0,B56/$B$60)</f>
        <v/>
      </c>
      <c r="D56" s="5" t="n"/>
      <c r="E56" s="5" t="n"/>
      <c r="F56" s="5" t="n"/>
      <c r="G56" s="308" t="inlineStr">
        <is>
          <t>Baseline retirement spend</t>
        </is>
      </c>
      <c r="H56" s="300" t="n"/>
      <c r="I56" s="300" t="n"/>
      <c r="J56" s="300" t="n"/>
      <c r="K56" s="300" t="n"/>
      <c r="L56" s="301" t="n"/>
      <c r="M56" s="299">
        <f>'Scenario Lab'!$H$8</f>
        <v/>
      </c>
      <c r="N56" s="300" t="n"/>
      <c r="O56" s="300" t="n"/>
      <c r="P56" s="301" t="n"/>
    </row>
    <row r="57" ht="20" customHeight="1" s="326">
      <c r="A57" s="312" t="inlineStr">
        <is>
          <t>401(k)</t>
        </is>
      </c>
      <c r="B57" s="9">
        <f>'Savings Projection'!$AF$58</f>
        <v/>
      </c>
      <c r="C57" s="10">
        <f>IF($B$60=0,0,B57/$B$60)</f>
        <v/>
      </c>
      <c r="D57" s="5" t="n"/>
      <c r="E57" s="5" t="n"/>
      <c r="F57" s="5" t="n"/>
      <c r="G57" s="308" t="inlineStr">
        <is>
          <t>Liquid wealth after close</t>
        </is>
      </c>
      <c r="H57" s="300" t="n"/>
      <c r="I57" s="300" t="n"/>
      <c r="J57" s="300" t="n"/>
      <c r="K57" s="300" t="n"/>
      <c r="L57" s="301" t="n"/>
      <c r="M57" s="299">
        <f>'Scenario Lab'!$H$14</f>
        <v/>
      </c>
      <c r="N57" s="300" t="n"/>
      <c r="O57" s="300" t="n"/>
      <c r="P57" s="301" t="n"/>
    </row>
    <row r="58" ht="20" customHeight="1" s="326">
      <c r="A58" s="312" t="inlineStr">
        <is>
          <t>Roth</t>
        </is>
      </c>
      <c r="B58" s="9">
        <f>'Savings Projection'!$AG$58</f>
        <v/>
      </c>
      <c r="C58" s="10">
        <f>IF($B$60=0,0,B58/$B$60)</f>
        <v/>
      </c>
      <c r="D58" s="5" t="n"/>
      <c r="E58" s="5" t="n"/>
      <c r="F58" s="5" t="n"/>
      <c r="G58" s="308" t="inlineStr">
        <is>
          <t>Annual housing carry (all recurring housing costs)</t>
        </is>
      </c>
      <c r="H58" s="300" t="n"/>
      <c r="I58" s="300" t="n"/>
      <c r="J58" s="300" t="n"/>
      <c r="K58" s="300" t="n"/>
      <c r="L58" s="301" t="n"/>
      <c r="M58" s="299">
        <f>'Scenario Lab'!$H$15</f>
        <v/>
      </c>
      <c r="N58" s="300" t="n"/>
      <c r="O58" s="300" t="n"/>
      <c r="P58" s="301" t="n"/>
    </row>
    <row r="59" ht="20" customHeight="1" s="326">
      <c r="A59" s="312" t="inlineStr">
        <is>
          <t>HSA</t>
        </is>
      </c>
      <c r="B59" s="9">
        <f>'Savings Projection'!$AH$58</f>
        <v/>
      </c>
      <c r="C59" s="10">
        <f>IF($B$60=0,0,B59/$B$60)</f>
        <v/>
      </c>
      <c r="D59" s="5" t="n"/>
      <c r="E59" s="5" t="n"/>
      <c r="F59" s="5" t="n"/>
      <c r="G59" s="308" t="inlineStr">
        <is>
          <t>Total retirement need</t>
        </is>
      </c>
      <c r="H59" s="300" t="n"/>
      <c r="I59" s="300" t="n"/>
      <c r="J59" s="300" t="n"/>
      <c r="K59" s="300" t="n"/>
      <c r="L59" s="301" t="n"/>
      <c r="M59" s="299">
        <f>'Scenario Lab'!$H$16</f>
        <v/>
      </c>
      <c r="N59" s="300" t="n"/>
      <c r="O59" s="300" t="n"/>
      <c r="P59" s="301" t="n"/>
    </row>
    <row r="60" ht="20" customHeight="1" s="326">
      <c r="A60" s="12" t="inlineStr">
        <is>
          <t>Total</t>
        </is>
      </c>
      <c r="B60" s="13">
        <f>SUM(B56:B59)</f>
        <v/>
      </c>
      <c r="C60" s="14" t="n"/>
      <c r="D60" s="5" t="n"/>
      <c r="E60" s="5" t="n"/>
      <c r="F60" s="5" t="n"/>
      <c r="G60" s="308" t="inlineStr">
        <is>
          <t>All-in draw rate</t>
        </is>
      </c>
      <c r="H60" s="300" t="n"/>
      <c r="I60" s="300" t="n"/>
      <c r="J60" s="300" t="n"/>
      <c r="K60" s="300" t="n"/>
      <c r="L60" s="301" t="n"/>
      <c r="M60" s="347">
        <f>'Scenario Lab'!$H$18</f>
        <v/>
      </c>
      <c r="N60" s="300" t="n"/>
      <c r="O60" s="300" t="n"/>
      <c r="P60" s="301" t="n"/>
    </row>
    <row r="61" ht="20" customHeight="1" s="326">
      <c r="A61" s="5" t="n"/>
      <c r="B61" s="5" t="n"/>
      <c r="C61" s="5" t="n"/>
      <c r="D61" s="5" t="n"/>
      <c r="E61" s="5" t="n"/>
      <c r="F61" s="5" t="n"/>
      <c r="G61" s="308" t="inlineStr">
        <is>
          <t>Max non-housing spend @ target draw</t>
        </is>
      </c>
      <c r="H61" s="300" t="n"/>
      <c r="I61" s="300" t="n"/>
      <c r="J61" s="300" t="n"/>
      <c r="K61" s="300" t="n"/>
      <c r="L61" s="301" t="n"/>
      <c r="M61" s="299">
        <f>'Scenario Lab'!$H$19</f>
        <v/>
      </c>
      <c r="N61" s="300" t="n"/>
      <c r="O61" s="300" t="n"/>
      <c r="P61" s="301" t="n"/>
    </row>
    <row r="62" ht="20" customHeight="1" s="326">
      <c r="A62" s="5" t="n"/>
      <c r="B62" s="5" t="n"/>
      <c r="C62" s="5" t="n"/>
      <c r="D62" s="5" t="n"/>
      <c r="E62" s="5" t="n"/>
      <c r="F62" s="5" t="n"/>
      <c r="G62" s="332" t="inlineStr">
        <is>
          <t>Planning max house by draw / carry rules</t>
        </is>
      </c>
      <c r="H62" s="314" t="n"/>
      <c r="I62" s="314" t="n"/>
      <c r="J62" s="314" t="n"/>
      <c r="K62" s="314" t="n"/>
      <c r="L62" s="315" t="n"/>
      <c r="M62" s="341">
        <f>'Scenario Lab'!$H$22</f>
        <v/>
      </c>
      <c r="N62" s="314" t="n"/>
      <c r="O62" s="314" t="n"/>
      <c r="P62" s="315" t="n"/>
    </row>
    <row r="63" ht="20" customHeight="1" s="326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</row>
    <row r="64" ht="20" customHeight="1" s="326">
      <c r="A64" s="5" t="n"/>
      <c r="B64" s="5" t="n"/>
      <c r="C64" s="5" t="n"/>
      <c r="D64" s="5" t="n"/>
      <c r="E64" s="5" t="n"/>
      <c r="F64" s="5" t="n"/>
      <c r="G64" s="338" t="inlineStr">
        <is>
          <t>Selected Year Snapshot</t>
        </is>
      </c>
      <c r="H64" s="306" t="n"/>
      <c r="I64" s="306" t="n"/>
      <c r="J64" s="306" t="n"/>
      <c r="K64" s="306" t="n"/>
      <c r="L64" s="306" t="n"/>
      <c r="M64" s="306" t="n"/>
      <c r="N64" s="306" t="n"/>
      <c r="O64" s="306" t="n"/>
      <c r="P64" s="307" t="n"/>
    </row>
    <row r="65" ht="20" customHeight="1" s="326">
      <c r="A65" s="5" t="n"/>
      <c r="B65" s="5" t="n"/>
      <c r="C65" s="5" t="n"/>
      <c r="D65" s="5" t="n"/>
      <c r="E65" s="5" t="n"/>
      <c r="F65" s="5" t="n"/>
      <c r="G65" s="312" t="inlineStr">
        <is>
          <t>Selected year</t>
        </is>
      </c>
      <c r="H65" s="300" t="n"/>
      <c r="I65" s="301" t="n"/>
      <c r="J65" s="359">
        <f>MAX(1,MIN(ROUND('Model Inputs'!$B$15,0),ROWS('Savings Projection'!$A$19:$A$58)))</f>
        <v/>
      </c>
      <c r="K65" s="301" t="n"/>
      <c r="L65" s="349" t="inlineStr">
        <is>
          <t>Phase</t>
        </is>
      </c>
      <c r="M65" s="300" t="n"/>
      <c r="N65" s="301" t="n"/>
      <c r="O65" s="342">
        <f>INDEX('Savings Projection'!$C$19:$C$58,DashboardSelectedProjectionRow)</f>
        <v/>
      </c>
      <c r="P65" s="301" t="n"/>
    </row>
    <row r="66" ht="20" customHeight="1" s="326">
      <c r="A66" s="5" t="n"/>
      <c r="B66" s="5" t="n"/>
      <c r="C66" s="5" t="n"/>
      <c r="D66" s="5" t="n"/>
      <c r="E66" s="5" t="n"/>
      <c r="F66" s="5" t="n"/>
      <c r="G66" s="312" t="inlineStr">
        <is>
          <t>Gross comp</t>
        </is>
      </c>
      <c r="H66" s="300" t="n"/>
      <c r="I66" s="301" t="n"/>
      <c r="J66" s="299">
        <f>INDEX('Savings Projection'!$B$19:$B$58,DashboardSelectedProjectionRow)</f>
        <v/>
      </c>
      <c r="K66" s="301" t="n"/>
      <c r="L66" s="349" t="inlineStr">
        <is>
          <t>Total tax / deductions</t>
        </is>
      </c>
      <c r="M66" s="300" t="n"/>
      <c r="N66" s="301" t="n"/>
      <c r="O66" s="299">
        <f>INDEX('Savings Projection'!$Q$19:$Q$58,MAX(1,MIN(ROUND('Model Inputs'!$B$15,0),ROWS('Savings Projection'!$A$19:$A$58))))</f>
        <v/>
      </c>
      <c r="P66" s="301" t="n"/>
    </row>
    <row r="67" ht="20" customHeight="1" s="326">
      <c r="A67" s="5" t="n"/>
      <c r="B67" s="5" t="n"/>
      <c r="C67" s="5" t="n"/>
      <c r="D67" s="5" t="n"/>
      <c r="E67" s="5" t="n"/>
      <c r="F67" s="5" t="n"/>
      <c r="G67" s="312" t="inlineStr">
        <is>
          <t>Wealth @ 0%</t>
        </is>
      </c>
      <c r="H67" s="300" t="n"/>
      <c r="I67" s="301" t="n"/>
      <c r="J67" s="299">
        <f>INDEX('Savings Projection'!$AJ$19:$AJ$58,DashboardSelectedProjectionRow)</f>
        <v/>
      </c>
      <c r="K67" s="301" t="n"/>
      <c r="L67" s="349" t="inlineStr">
        <is>
          <t>Wealth @ Base</t>
        </is>
      </c>
      <c r="M67" s="300" t="n"/>
      <c r="N67" s="301" t="n"/>
      <c r="O67" s="299">
        <f>INDEX('Savings Projection'!$AI$19:$AI$58,MAX(1,MIN(ROUND('Model Inputs'!$B$15,0),ROWS('Savings Projection'!$A$19:$A$58))))</f>
        <v/>
      </c>
      <c r="P67" s="301" t="n"/>
    </row>
    <row r="68" ht="20" customHeight="1" s="326">
      <c r="A68" s="5" t="n"/>
      <c r="B68" s="5" t="n"/>
      <c r="C68" s="5" t="n"/>
      <c r="D68" s="5" t="n"/>
      <c r="E68" s="5" t="n"/>
      <c r="F68" s="5" t="n"/>
      <c r="G68" s="312" t="inlineStr">
        <is>
          <t>Wealth @ 8%</t>
        </is>
      </c>
      <c r="H68" s="300" t="n"/>
      <c r="I68" s="301" t="n"/>
      <c r="J68" s="299">
        <f>INDEX('Savings Projection'!$AK$19:$AK$58,DashboardSelectedProjectionRow)</f>
        <v/>
      </c>
      <c r="K68" s="301" t="n"/>
      <c r="L68" s="349" t="inlineStr">
        <is>
          <t>Taxable balance</t>
        </is>
      </c>
      <c r="M68" s="300" t="n"/>
      <c r="N68" s="301" t="n"/>
      <c r="O68" s="299">
        <f>INDEX('Savings Projection'!$AE$19:$AE$58,MAX(1,MIN(ROUND('Model Inputs'!$B$15,0),ROWS('Savings Projection'!$A$19:$A$58))))</f>
        <v/>
      </c>
      <c r="P68" s="301" t="n"/>
    </row>
    <row r="69">
      <c r="A69" s="5" t="n"/>
      <c r="B69" s="5" t="n"/>
      <c r="C69" s="5" t="n"/>
      <c r="D69" s="5" t="n"/>
      <c r="E69" s="5" t="n"/>
      <c r="F69" s="5" t="n"/>
      <c r="G69" s="339" t="inlineStr">
        <is>
          <t>Total annual savings</t>
        </is>
      </c>
      <c r="H69" s="314" t="n"/>
      <c r="I69" s="315" t="n"/>
      <c r="J69" s="341">
        <f>INDEX('Savings Projection'!$X$19:$X$58,DashboardSelectedProjectionRow)</f>
        <v/>
      </c>
      <c r="K69" s="315" t="n"/>
      <c r="L69" s="313" t="inlineStr">
        <is>
          <t>Actual withdrawal</t>
        </is>
      </c>
      <c r="M69" s="314" t="n"/>
      <c r="N69" s="315" t="n"/>
      <c r="O69" s="341">
        <f>INDEX('Savings Projection'!$Z$19:$Z$58,MAX(1,MIN(ROUND('Model Inputs'!$B$15,0),ROWS('Savings Projection'!$A$19:$A$58))))</f>
        <v/>
      </c>
      <c r="P69" s="315" t="n"/>
    </row>
    <row r="70" ht="16" customHeight="1" s="326">
      <c r="A70" s="370" t="inlineStr">
        <is>
          <t>Scenario Comparison</t>
        </is>
      </c>
    </row>
    <row r="71" ht="20" customHeight="1" s="326">
      <c r="A71" s="16" t="inlineStr">
        <is>
          <t>Metric</t>
        </is>
      </c>
      <c r="B71" s="17" t="inlineStr">
        <is>
          <t>Downside</t>
        </is>
      </c>
      <c r="C71" s="18" t="inlineStr">
        <is>
          <t>Base</t>
        </is>
      </c>
      <c r="D71" s="19" t="inlineStr">
        <is>
          <t>Upside</t>
        </is>
      </c>
      <c r="E71" s="5" t="n"/>
      <c r="F71" s="331" t="inlineStr">
        <is>
          <t>Scenario Liquid Wealth Comparison ($mm)</t>
        </is>
      </c>
    </row>
    <row r="72" ht="20" customHeight="1" s="326">
      <c r="A72" s="312" t="inlineStr">
        <is>
          <t>Gross comp multiplier</t>
        </is>
      </c>
      <c r="B72" s="20">
        <f>'Scenario Lab'!G6</f>
        <v/>
      </c>
      <c r="C72" s="20">
        <f>'Scenario Lab'!H6</f>
        <v/>
      </c>
      <c r="D72" s="21">
        <f>'Scenario Lab'!I6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</row>
    <row r="73" ht="20" customHeight="1" s="326">
      <c r="A73" s="312" t="inlineStr">
        <is>
          <t>Return assumption</t>
        </is>
      </c>
      <c r="B73" s="20">
        <f>'Scenario Lab'!G7</f>
        <v/>
      </c>
      <c r="C73" s="20">
        <f>'Scenario Lab'!H7</f>
        <v/>
      </c>
      <c r="D73" s="21">
        <f>'Scenario Lab'!I7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</row>
    <row r="74" ht="20" customHeight="1" s="326">
      <c r="A74" s="312" t="inlineStr">
        <is>
          <t>Baseline retirement spend</t>
        </is>
      </c>
      <c r="B74" s="22">
        <f>'Scenario Lab'!G8</f>
        <v/>
      </c>
      <c r="C74" s="22">
        <f>'Scenario Lab'!H8</f>
        <v/>
      </c>
      <c r="D74" s="23">
        <f>'Scenario Lab'!I8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 ht="20" customHeight="1" s="326">
      <c r="A75" s="312" t="inlineStr">
        <is>
          <t>Home purchase price</t>
        </is>
      </c>
      <c r="B75" s="22">
        <f>'Scenario Lab'!G10</f>
        <v/>
      </c>
      <c r="C75" s="22">
        <f>'Scenario Lab'!H10</f>
        <v/>
      </c>
      <c r="D75" s="23">
        <f>'Scenario Lab'!I10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20" customHeight="1" s="326">
      <c r="A76" s="312" t="inlineStr">
        <is>
          <t>Cash required at close</t>
        </is>
      </c>
      <c r="B76" s="22">
        <f>'Scenario Lab'!G11</f>
        <v/>
      </c>
      <c r="C76" s="22">
        <f>'Scenario Lab'!H11</f>
        <v/>
      </c>
      <c r="D76" s="23">
        <f>'Scenario Lab'!I11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7" ht="20" customHeight="1" s="326">
      <c r="A77" s="312" t="inlineStr">
        <is>
          <t>Liquid wealth after close</t>
        </is>
      </c>
      <c r="B77" s="22">
        <f>'Scenario Lab'!G14</f>
        <v/>
      </c>
      <c r="C77" s="22">
        <f>'Scenario Lab'!H14</f>
        <v/>
      </c>
      <c r="D77" s="23">
        <f>'Scenario Lab'!I14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20" customHeight="1" s="326">
      <c r="A78" s="312" t="inlineStr">
        <is>
          <t>Annual housing carry at retirement</t>
        </is>
      </c>
      <c r="B78" s="22">
        <f>'Scenario Lab'!G15</f>
        <v/>
      </c>
      <c r="C78" s="22">
        <f>'Scenario Lab'!H15</f>
        <v/>
      </c>
      <c r="D78" s="23">
        <f>'Scenario Lab'!I15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20" customHeight="1" s="326">
      <c r="A79" s="312" t="inlineStr">
        <is>
          <t>Total retirement need</t>
        </is>
      </c>
      <c r="B79" s="22">
        <f>'Scenario Lab'!G16</f>
        <v/>
      </c>
      <c r="C79" s="22">
        <f>'Scenario Lab'!H16</f>
        <v/>
      </c>
      <c r="D79" s="23">
        <f>'Scenario Lab'!I16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</row>
    <row r="80" ht="20" customHeight="1" s="326">
      <c r="A80" s="312" t="inlineStr">
        <is>
          <t>All-in draw rate at retirement</t>
        </is>
      </c>
      <c r="B80" s="20">
        <f>'Scenario Lab'!G18</f>
        <v/>
      </c>
      <c r="C80" s="20">
        <f>'Scenario Lab'!H18</f>
        <v/>
      </c>
      <c r="D80" s="21">
        <f>'Scenario Lab'!I18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</row>
    <row r="81" ht="20" customHeight="1" s="326">
      <c r="A81" s="312" t="inlineStr">
        <is>
          <t>Max non-housing spend @ target draw</t>
        </is>
      </c>
      <c r="B81" s="22">
        <f>'Scenario Lab'!G19</f>
        <v/>
      </c>
      <c r="C81" s="22">
        <f>'Scenario Lab'!H19</f>
        <v/>
      </c>
      <c r="D81" s="23">
        <f>'Scenario Lab'!I19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</row>
    <row r="82" ht="20" customHeight="1" s="326">
      <c r="A82" s="312" t="inlineStr">
        <is>
          <t>Planning max house price</t>
        </is>
      </c>
      <c r="B82" s="22">
        <f>'Scenario Lab'!G22</f>
        <v/>
      </c>
      <c r="C82" s="22">
        <f>'Scenario Lab'!H22</f>
        <v/>
      </c>
      <c r="D82" s="23">
        <f>'Scenario Lab'!I22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</row>
    <row r="83" ht="20" customHeight="1" s="326">
      <c r="A83" s="312" t="inlineStr">
        <is>
          <t>Retired years funded</t>
        </is>
      </c>
      <c r="B83" s="24">
        <f>'Scenario Lab'!G23</f>
        <v/>
      </c>
      <c r="C83" s="24">
        <f>'Scenario Lab'!H23</f>
        <v/>
      </c>
      <c r="D83" s="25">
        <f>'Scenario Lab'!I23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</row>
    <row r="84" ht="20" customHeight="1" s="326">
      <c r="A84" s="339" t="inlineStr">
        <is>
          <t>First shortfall year</t>
        </is>
      </c>
      <c r="B84" s="26">
        <f>'Scenario Lab'!G24</f>
        <v/>
      </c>
      <c r="C84" s="26">
        <f>'Scenario Lab'!H24</f>
        <v/>
      </c>
      <c r="D84" s="27">
        <f>'Scenario Lab'!I24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28" t="inlineStr">
        <is>
          <t>Planning max house uses purchase-year liquidity for the close and retirement-year draw / carry rules for sustainability.</t>
        </is>
      </c>
      <c r="B85" s="29">
        <f>'Scenario Lab'!G25</f>
        <v/>
      </c>
      <c r="C85" s="29">
        <f>'Scenario Lab'!H25</f>
        <v/>
      </c>
      <c r="D85" s="29">
        <f>'Scenario Lab'!I25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 ht="19" customHeight="1" s="326">
      <c r="A86" s="329" t="inlineStr">
        <is>
          <t>Base Sensitivity Frontier</t>
        </is>
      </c>
      <c r="B86" s="306" t="n"/>
      <c r="C86" s="306" t="n"/>
      <c r="D86" s="306" t="n"/>
      <c r="E86" s="306" t="n"/>
      <c r="F86" s="306" t="n"/>
      <c r="G86" s="306" t="n"/>
      <c r="H86" s="307" t="n"/>
      <c r="I86" s="338" t="inlineStr">
        <is>
          <t>How To Read It</t>
        </is>
      </c>
      <c r="J86" s="306" t="n"/>
      <c r="K86" s="306" t="n"/>
      <c r="L86" s="306" t="n"/>
      <c r="M86" s="306" t="n"/>
      <c r="N86" s="306" t="n"/>
      <c r="O86" s="306" t="n"/>
      <c r="P86" s="307" t="n"/>
    </row>
    <row r="87" ht="19" customHeight="1" s="326">
      <c r="A87" s="308" t="inlineStr">
        <is>
          <t>Reference-case liquidity margin</t>
        </is>
      </c>
      <c r="B87" s="300" t="n"/>
      <c r="C87" s="300" t="n"/>
      <c r="D87" s="300" t="n"/>
      <c r="E87" s="301" t="n"/>
      <c r="F87" s="330">
        <f>'Scenario Lab'!$N$217</f>
        <v/>
      </c>
      <c r="G87" s="300" t="n"/>
      <c r="H87" s="301" t="n"/>
      <c r="I87" s="350" t="inlineStr">
        <is>
          <t>The frontier is centered on the smaller of your current target house and the base planning max house. Planning max house is not your close-funding limit; it is the tighter of the liquidity-floor cap and the annual housing-budget cap under the draw-rate rules.</t>
        </is>
      </c>
      <c r="J87" s="317" t="n"/>
      <c r="K87" s="317" t="n"/>
      <c r="L87" s="317" t="n"/>
      <c r="M87" s="317" t="n"/>
      <c r="N87" s="317" t="n"/>
      <c r="O87" s="317" t="n"/>
      <c r="P87" s="318" t="n"/>
    </row>
    <row r="88" ht="19" customHeight="1" s="326">
      <c r="A88" s="308" t="inlineStr">
        <is>
          <t>Max tested house @ reference spend</t>
        </is>
      </c>
      <c r="B88" s="300" t="n"/>
      <c r="C88" s="300" t="n"/>
      <c r="D88" s="300" t="n"/>
      <c r="E88" s="301" t="n"/>
      <c r="F88" s="299">
        <f>'Scenario Lab'!$N$218</f>
        <v/>
      </c>
      <c r="G88" s="300" t="n"/>
      <c r="H88" s="301" t="n"/>
      <c r="I88" s="325" t="n"/>
      <c r="P88" s="327" t="n"/>
    </row>
    <row r="89" ht="19" customHeight="1" s="326">
      <c r="A89" s="308" t="inlineStr">
        <is>
          <t>Max tested spend @ reference house</t>
        </is>
      </c>
      <c r="B89" s="300" t="n"/>
      <c r="C89" s="300" t="n"/>
      <c r="D89" s="300" t="n"/>
      <c r="E89" s="301" t="n"/>
      <c r="F89" s="299">
        <f>'Scenario Lab'!$N$219</f>
        <v/>
      </c>
      <c r="G89" s="300" t="n"/>
      <c r="H89" s="301" t="n"/>
      <c r="I89" s="325" t="n"/>
      <c r="P89" s="327" t="n"/>
    </row>
    <row r="90" ht="19" customHeight="1" s="326">
      <c r="A90" s="308" t="inlineStr">
        <is>
          <t>Best tested liquidity margin</t>
        </is>
      </c>
      <c r="B90" s="300" t="n"/>
      <c r="C90" s="300" t="n"/>
      <c r="D90" s="300" t="n"/>
      <c r="E90" s="301" t="n"/>
      <c r="F90" s="330">
        <f>'Scenario Lab'!$N$220</f>
        <v/>
      </c>
      <c r="G90" s="300" t="n"/>
      <c r="H90" s="301" t="n"/>
      <c r="I90" s="325" t="n"/>
      <c r="P90" s="327" t="n"/>
    </row>
    <row r="91" ht="19" customHeight="1" s="326">
      <c r="A91" s="308" t="inlineStr">
        <is>
          <t>Worst tested liquidity margin</t>
        </is>
      </c>
      <c r="B91" s="300" t="n"/>
      <c r="C91" s="300" t="n"/>
      <c r="D91" s="300" t="n"/>
      <c r="E91" s="301" t="n"/>
      <c r="F91" s="330">
        <f>'Scenario Lab'!$N$221</f>
        <v/>
      </c>
      <c r="G91" s="300" t="n"/>
      <c r="H91" s="301" t="n"/>
      <c r="I91" s="325" t="n"/>
      <c r="P91" s="327" t="n"/>
    </row>
    <row r="92" ht="19" customHeight="1" s="326">
      <c r="A92" s="308" t="inlineStr">
        <is>
          <t>Reference-case ending liquid wealth</t>
        </is>
      </c>
      <c r="B92" s="300" t="n"/>
      <c r="C92" s="300" t="n"/>
      <c r="D92" s="300" t="n"/>
      <c r="E92" s="301" t="n"/>
      <c r="F92" s="299">
        <f>'Scenario Lab'!$N$222</f>
        <v/>
      </c>
      <c r="G92" s="300" t="n"/>
      <c r="H92" s="301" t="n"/>
      <c r="I92" s="325" t="n"/>
      <c r="P92" s="327" t="n"/>
    </row>
    <row r="93" ht="19" customHeight="1" s="326">
      <c r="A93" s="332" t="inlineStr">
        <is>
          <t>Reference-case ending net worth</t>
        </is>
      </c>
      <c r="B93" s="314" t="n"/>
      <c r="C93" s="314" t="n"/>
      <c r="D93" s="314" t="n"/>
      <c r="E93" s="315" t="n"/>
      <c r="F93" s="341">
        <f>'Scenario Lab'!$N$223</f>
        <v/>
      </c>
      <c r="G93" s="314" t="n"/>
      <c r="H93" s="315" t="n"/>
      <c r="I93" s="328" t="n"/>
      <c r="J93" s="320" t="n"/>
      <c r="K93" s="320" t="n"/>
      <c r="L93" s="320" t="n"/>
      <c r="M93" s="320" t="n"/>
      <c r="N93" s="320" t="n"/>
      <c r="O93" s="320" t="n"/>
      <c r="P93" s="321" t="n"/>
    </row>
    <row r="94" ht="19" customHeight="1" s="326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</row>
    <row r="95" ht="19" customHeight="1" s="326">
      <c r="A95" s="322" t="inlineStr">
        <is>
      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      </is>
      </c>
      <c r="B95" s="323" t="n"/>
      <c r="C95" s="323" t="n"/>
      <c r="D95" s="323" t="n"/>
      <c r="E95" s="323" t="n"/>
      <c r="F95" s="323" t="n"/>
      <c r="G95" s="323" t="n"/>
      <c r="H95" s="323" t="n"/>
      <c r="I95" s="323" t="n"/>
      <c r="J95" s="323" t="n"/>
      <c r="K95" s="323" t="n"/>
      <c r="L95" s="323" t="n"/>
      <c r="M95" s="323" t="n"/>
      <c r="N95" s="323" t="n"/>
      <c r="O95" s="323" t="n"/>
      <c r="P95" s="324" t="n"/>
    </row>
    <row r="96" ht="19" customHeight="1" s="326">
      <c r="A96" s="325" t="n"/>
      <c r="P96" s="327" t="n"/>
    </row>
    <row r="97" ht="19" customHeight="1" s="326">
      <c r="A97" s="325" t="n"/>
      <c r="P97" s="327" t="n"/>
    </row>
    <row r="98" ht="19" customHeight="1" s="326">
      <c r="A98" s="328" t="n"/>
      <c r="B98" s="320" t="n"/>
      <c r="C98" s="320" t="n"/>
      <c r="D98" s="320" t="n"/>
      <c r="E98" s="320" t="n"/>
      <c r="F98" s="320" t="n"/>
      <c r="G98" s="320" t="n"/>
      <c r="H98" s="320" t="n"/>
      <c r="I98" s="320" t="n"/>
      <c r="J98" s="320" t="n"/>
      <c r="K98" s="320" t="n"/>
      <c r="L98" s="320" t="n"/>
      <c r="M98" s="320" t="n"/>
      <c r="N98" s="320" t="n"/>
      <c r="O98" s="320" t="n"/>
      <c r="P98" s="321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22" customHeight="1" s="326">
      <c r="A100" s="412" t="inlineStr">
        <is>
          <t>Career Scenario Selector</t>
        </is>
      </c>
    </row>
    <row r="101" ht="30" customHeight="1" s="326">
      <c r="A101" s="413" t="inlineStr">
        <is>
          <t>Pick a scenario result once; the dashboard pulls the linked Y10 or Y15 readout from the normalized Scenario Results table.</t>
        </is>
      </c>
    </row>
    <row r="102" ht="22" customHeight="1" s="326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</row>
    <row r="103" ht="32" customHeight="1" s="326">
      <c r="A103" s="414" t="inlineStr">
        <is>
          <t>Selected result</t>
        </is>
      </c>
      <c r="B103" s="415" t="inlineStr">
        <is>
          <t>IC Switch | 3Y 2x | Y10</t>
        </is>
      </c>
    </row>
    <row r="104" ht="22" customHeight="1" s="326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414" t="inlineStr">
        <is>
          <t>Selector row</t>
        </is>
      </c>
      <c r="P104" s="432">
        <f>MATCH($B$103,'Scenario Results'!$A$5:$A$64,0)</f>
        <v/>
      </c>
    </row>
    <row r="105" ht="22" customHeight="1" s="326">
      <c r="A105" s="414" t="inlineStr">
        <is>
          <t>Path</t>
        </is>
      </c>
      <c r="B105" s="416">
        <f>IFERROR(INDEX('Scenario Results'!$B$5:$B$64,DashboardScenarioResultRow),"")</f>
        <v/>
      </c>
      <c r="C105" s="5" t="n"/>
      <c r="D105" s="5" t="n"/>
      <c r="E105" s="5" t="n"/>
      <c r="F105" s="414" t="inlineStr">
        <is>
          <t>Cash/Gross comp</t>
        </is>
      </c>
      <c r="G105" s="433">
        <f>IFERROR(INDEX('Scenario Results'!$I$5:$I$64,DashboardScenarioResultRow),"")</f>
        <v/>
      </c>
      <c r="H105" s="5" t="n"/>
      <c r="I105" s="414" t="inlineStr">
        <is>
          <t>Taxable liquid</t>
        </is>
      </c>
      <c r="J105" s="433">
        <f>IFERROR(INDEX('Scenario Results'!$J$5:$J$64,DashboardScenarioResultRow),"")</f>
        <v/>
      </c>
      <c r="K105" s="5" t="n"/>
      <c r="L105" s="414" t="inlineStr">
        <is>
          <t>Retirement</t>
        </is>
      </c>
      <c r="M105" s="433">
        <f>IFERROR(INDEX('Scenario Results'!$K$5:$K$64,DashboardScenarioResultRow),"")</f>
        <v/>
      </c>
      <c r="N105" s="5" t="n"/>
      <c r="O105" s="414" t="inlineStr">
        <is>
          <t>Liquid NW</t>
        </is>
      </c>
      <c r="P105" s="433">
        <f>IFERROR(INDEX('Scenario Results'!$L$5:$L$64,DashboardScenarioResultRow),"")</f>
        <v/>
      </c>
    </row>
    <row r="106" ht="22" customHeight="1" s="326">
      <c r="A106" s="414" t="inlineStr">
        <is>
          <t>Scenario</t>
        </is>
      </c>
      <c r="B106" s="416">
        <f>IFERROR(INDEX('Scenario Results'!$C$5:$C$64,DashboardScenarioResultRow),"")</f>
        <v/>
      </c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2" customHeight="1" s="326">
      <c r="A107" s="414" t="inlineStr">
        <is>
          <t>Horizon</t>
        </is>
      </c>
      <c r="B107" s="416">
        <f>IFERROR(INDEX('Scenario Results'!$H$5:$H$64,DashboardScenarioResultRow),"")</f>
        <v/>
      </c>
      <c r="C107" s="5" t="n"/>
      <c r="D107" s="5" t="n"/>
      <c r="E107" s="5" t="n"/>
      <c r="F107" s="414" t="inlineStr">
        <is>
          <t>Surplus / Shortfall to $5M Home (All-Cash)</t>
        </is>
      </c>
      <c r="G107" s="433">
        <f>IFERROR(INDEX('Scenario Results'!$M$5:$M$64,DashboardScenarioResultRow),"")</f>
        <v/>
      </c>
      <c r="H107" s="5" t="n"/>
      <c r="I107" s="414" t="inlineStr">
        <is>
          <t>Surplus / Shortfall to $5M Home (50% Down)</t>
        </is>
      </c>
      <c r="J107" s="433">
        <f>IFERROR(INDEX('Scenario Results'!$N$5:$N$64,DashboardScenarioResultRow),"")</f>
        <v/>
      </c>
      <c r="K107" s="5" t="n"/>
      <c r="L107" s="414" t="inlineStr">
        <is>
          <t>Surplus / Shortfall to $7M Home (All-Cash)</t>
        </is>
      </c>
      <c r="M107" s="433">
        <f>IFERROR(INDEX('Scenario Results'!$O$5:$O$64,DashboardScenarioResultRow),"")</f>
        <v/>
      </c>
      <c r="N107" s="5" t="n"/>
      <c r="O107" s="414" t="inlineStr">
        <is>
          <t>Surplus / Shortfall to $7M Home (50% Down)</t>
        </is>
      </c>
      <c r="P107" s="433">
        <f>IFERROR(INDEX('Scenario Results'!$P$5:$P$64,DashboardScenarioResultRow),"")</f>
        <v/>
      </c>
    </row>
    <row r="108" ht="22" customHeight="1" s="326">
      <c r="A108" s="414" t="inlineStr">
        <is>
          <t>Switch after YOE</t>
        </is>
      </c>
      <c r="B108" s="418">
        <f>IFERROR(INDEX('Scenario Results'!$D$5:$D$64,DashboardScenarioResultRow),"")</f>
        <v/>
      </c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</row>
    <row r="109" ht="30" customHeight="1" s="326">
      <c r="A109" s="414" t="inlineStr">
        <is>
          <t>IC bump</t>
        </is>
      </c>
      <c r="B109" s="434">
        <f>IFERROR(INDEX('Scenario Results'!$E$5:$E$64,DashboardScenarioResultRow),"")</f>
        <v/>
      </c>
      <c r="C109" s="5" t="n"/>
      <c r="D109" s="5" t="n"/>
      <c r="E109" s="5" t="n"/>
      <c r="F109" s="414" t="inlineStr">
        <is>
          <t>First $5M cash</t>
        </is>
      </c>
      <c r="G109" s="420">
        <f>IFERROR(INDEX('Scenario Results'!$R$5:$R$64,DashboardScenarioResultRow),"")</f>
        <v/>
      </c>
      <c r="H109" s="5" t="n"/>
      <c r="I109" s="414" t="inlineStr">
        <is>
          <t>First $5M 50%</t>
        </is>
      </c>
      <c r="J109" s="420">
        <f>IFERROR(INDEX('Scenario Results'!$S$5:$S$64,DashboardScenarioResultRow),"")</f>
        <v/>
      </c>
      <c r="K109" s="5" t="n"/>
      <c r="L109" s="414" t="inlineStr">
        <is>
          <t>First $7M cash</t>
        </is>
      </c>
      <c r="M109" s="420">
        <f>IFERROR(INDEX('Scenario Results'!$T$5:$T$64,DashboardScenarioResultRow),"")</f>
        <v/>
      </c>
      <c r="N109" s="5" t="n"/>
      <c r="O109" s="414" t="inlineStr">
        <is>
          <t>First $7M 50%</t>
        </is>
      </c>
      <c r="P109" s="420">
        <f>IFERROR(INDEX('Scenario Results'!$U$5:$U$64,DashboardScenarioResultRow),"")</f>
        <v/>
      </c>
    </row>
    <row r="110" ht="22" customHeight="1" s="326">
      <c r="A110" s="414" t="inlineStr">
        <is>
          <t>Requested PM start</t>
        </is>
      </c>
      <c r="B110" s="418">
        <f>IFERROR(INDEX('Scenario Results'!$F$5:$F$64,DashboardScenarioResultRow),"")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</row>
    <row r="111" ht="34" customHeight="1" s="326">
      <c r="A111" s="414" t="inlineStr">
        <is>
          <t>Target Status</t>
        </is>
      </c>
      <c r="B111" s="416">
        <f>IFERROR(INDEX('Scenario Results'!$G$5:$G$64,DashboardScenarioResultRow),"")</f>
        <v/>
      </c>
      <c r="C111" s="5" t="n"/>
      <c r="D111" s="5" t="n"/>
      <c r="E111" s="5" t="n"/>
      <c r="F111" s="413">
        <f>IFERROR(INDEX('Scenario Results'!$Q$5:$Q$64,DashboardScenarioResultRow),"")</f>
        <v/>
      </c>
    </row>
    <row r="112" ht="22" customHeight="1" s="326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</row>
    <row r="113" ht="22" customHeight="1" s="326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</row>
    <row r="114" ht="22" customHeight="1" s="326">
      <c r="A114" s="412" t="inlineStr">
        <is>
          <t>Navigation</t>
        </is>
      </c>
    </row>
    <row r="115" ht="20" customHeight="1" s="326">
      <c r="A115" s="452" t="inlineStr">
        <is>
          <t>Dashboard</t>
        </is>
      </c>
      <c r="B115" s="5" t="n"/>
      <c r="C115" s="452" t="inlineStr">
        <is>
          <t>Model Inputs</t>
        </is>
      </c>
      <c r="D115" s="5" t="n"/>
      <c r="E115" s="452" t="inlineStr">
        <is>
          <t>Savings Projection</t>
        </is>
      </c>
      <c r="F115" s="5" t="n"/>
      <c r="G115" s="452" t="inlineStr">
        <is>
          <t>Scenario Lab</t>
        </is>
      </c>
      <c r="H115" s="5" t="n"/>
      <c r="I115" s="452" t="inlineStr">
        <is>
          <t>IC Switch</t>
        </is>
      </c>
      <c r="J115" s="5" t="n"/>
      <c r="K115" s="452" t="inlineStr">
        <is>
          <t>PM Switch</t>
        </is>
      </c>
      <c r="L115" s="5" t="n"/>
      <c r="M115" s="452" t="inlineStr">
        <is>
          <t>Analysis</t>
        </is>
      </c>
      <c r="N115" s="5" t="n"/>
      <c r="O115" s="452" t="inlineStr">
        <is>
          <t>Scenario Results</t>
        </is>
      </c>
      <c r="P115" s="5" t="n"/>
    </row>
    <row r="116" ht="20" customHeight="1" s="326">
      <c r="A116" s="452" t="inlineStr">
        <is>
          <t>Tax</t>
        </is>
      </c>
      <c r="B116" s="5" t="n"/>
      <c r="C116" s="452" t="inlineStr">
        <is>
          <t>Pivot Lab</t>
        </is>
      </c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</row>
  </sheetData>
  <mergeCells count="85">
    <mergeCell ref="M61:P61"/>
    <mergeCell ref="M57:P57"/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A89:E89"/>
    <mergeCell ref="F92:H92"/>
    <mergeCell ref="A95:P98"/>
    <mergeCell ref="A86:H86"/>
    <mergeCell ref="F87:H87"/>
    <mergeCell ref="F71:P71"/>
    <mergeCell ref="A91:E91"/>
    <mergeCell ref="F89:H89"/>
    <mergeCell ref="O66:P66"/>
    <mergeCell ref="A93:E93"/>
    <mergeCell ref="M5:P6"/>
    <mergeCell ref="G57:L57"/>
    <mergeCell ref="M8:P8"/>
    <mergeCell ref="O68:P68"/>
    <mergeCell ref="G55:P55"/>
    <mergeCell ref="G64:P64"/>
    <mergeCell ref="G69:I69"/>
    <mergeCell ref="A100:P100"/>
    <mergeCell ref="M62:P62"/>
    <mergeCell ref="F91:H91"/>
    <mergeCell ref="G58:L58"/>
    <mergeCell ref="O65:P65"/>
    <mergeCell ref="F93:H93"/>
    <mergeCell ref="A1:P1"/>
    <mergeCell ref="E4:H4"/>
    <mergeCell ref="M60:P60"/>
    <mergeCell ref="F111:P111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B103:P103"/>
    <mergeCell ref="J65:K65"/>
    <mergeCell ref="D8:F8"/>
    <mergeCell ref="E5:H6"/>
    <mergeCell ref="I5:L6"/>
    <mergeCell ref="A5:D6"/>
    <mergeCell ref="L65:N65"/>
    <mergeCell ref="G60:L60"/>
    <mergeCell ref="I33:P33"/>
    <mergeCell ref="J8:L8"/>
    <mergeCell ref="A33:H33"/>
    <mergeCell ref="J66:K66"/>
    <mergeCell ref="G59:L59"/>
    <mergeCell ref="L66:N66"/>
    <mergeCell ref="G61:L61"/>
    <mergeCell ref="D9:F10"/>
    <mergeCell ref="L68:N68"/>
    <mergeCell ref="J67:K67"/>
    <mergeCell ref="A4:D4"/>
    <mergeCell ref="J69:K69"/>
    <mergeCell ref="A88:E88"/>
    <mergeCell ref="A13:P13"/>
    <mergeCell ref="M58:P58"/>
    <mergeCell ref="A8:C8"/>
    <mergeCell ref="A90:E90"/>
    <mergeCell ref="A114:P114"/>
    <mergeCell ref="O69:P69"/>
    <mergeCell ref="A70:P70"/>
    <mergeCell ref="G56:L56"/>
    <mergeCell ref="F88:H88"/>
    <mergeCell ref="G67:I67"/>
    <mergeCell ref="O67:P67"/>
    <mergeCell ref="A92:E92"/>
    <mergeCell ref="M9:P10"/>
    <mergeCell ref="A101:P101"/>
    <mergeCell ref="A2:P2"/>
  </mergeCells>
  <dataValidations count="1">
    <dataValidation sqref="B103" showDropDown="0" showInputMessage="0" showErrorMessage="0" allowBlank="0" errorTitle="Invalid scenario" error="Select a scenario from the Scenario Results list." type="list">
      <formula1>=ScenarioResultKeys</formula1>
    </dataValidation>
  </dataValidations>
  <hyperlinks>
    <hyperlink xmlns:r="http://schemas.openxmlformats.org/officeDocument/2006/relationships" ref="A115" r:id="rId1"/>
    <hyperlink xmlns:r="http://schemas.openxmlformats.org/officeDocument/2006/relationships" ref="C115" r:id="rId2"/>
    <hyperlink xmlns:r="http://schemas.openxmlformats.org/officeDocument/2006/relationships" ref="E115" r:id="rId3"/>
    <hyperlink xmlns:r="http://schemas.openxmlformats.org/officeDocument/2006/relationships" ref="G115" r:id="rId4"/>
    <hyperlink xmlns:r="http://schemas.openxmlformats.org/officeDocument/2006/relationships" ref="I115" r:id="rId5"/>
    <hyperlink xmlns:r="http://schemas.openxmlformats.org/officeDocument/2006/relationships" ref="K115" r:id="rId6"/>
    <hyperlink xmlns:r="http://schemas.openxmlformats.org/officeDocument/2006/relationships" ref="M115" r:id="rId7"/>
    <hyperlink xmlns:r="http://schemas.openxmlformats.org/officeDocument/2006/relationships" ref="O115" r:id="rId8"/>
    <hyperlink xmlns:r="http://schemas.openxmlformats.org/officeDocument/2006/relationships" ref="A116" r:id="rId9"/>
    <hyperlink xmlns:r="http://schemas.openxmlformats.org/officeDocument/2006/relationships" ref="C116" r:id="rId10"/>
  </hyperlinks>
  <pageMargins left="0.75" right="0.75" top="1" bottom="1" header="0.5" footer="0.5"/>
  <drawing xmlns:r="http://schemas.openxmlformats.org/officeDocument/2006/relationships" r:id="rId1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AE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326" min="1" max="1"/>
    <col width="28" customWidth="1" style="326" min="2" max="2"/>
    <col width="16" customWidth="1" style="326" min="3" max="3"/>
    <col width="16" customWidth="1" style="326" min="4" max="4"/>
    <col width="16" customWidth="1" style="326" min="5" max="5"/>
    <col width="16" customWidth="1" style="326" min="6" max="6"/>
    <col width="16" customWidth="1" style="326" min="7" max="7"/>
    <col width="3" customWidth="1" style="326" min="8" max="8"/>
    <col width="18" customWidth="1" style="326" min="9" max="9"/>
    <col hidden="1" width="20" customWidth="1" style="326" min="10" max="10"/>
    <col hidden="1" width="30" customWidth="1" style="326" min="11" max="11"/>
    <col hidden="1" width="3" customWidth="1" style="326" min="12" max="12"/>
    <col hidden="1" width="18" customWidth="1" style="326" min="13" max="13"/>
    <col hidden="1" width="14" customWidth="1" style="326" min="14" max="14"/>
    <col width="3" customWidth="1" style="326" min="15" max="15"/>
    <col width="3" customWidth="1" style="326" min="16" max="16"/>
    <col width="3" customWidth="1" style="326" min="22" max="22"/>
    <col width="3" customWidth="1" style="326" min="23" max="23"/>
    <col hidden="1" width="26" customWidth="1" style="326" min="24" max="24"/>
    <col hidden="1" width="14" customWidth="1" style="326" min="25" max="25"/>
    <col hidden="1" width="18" customWidth="1" style="326" min="26" max="26"/>
    <col hidden="1" width="18" customWidth="1" style="326" min="27" max="27"/>
    <col hidden="1" width="18" customWidth="1" style="326" min="28" max="28"/>
    <col hidden="1" width="18" customWidth="1" style="326" min="29" max="29"/>
    <col hidden="1" width="14" customWidth="1" style="326" min="30" max="30"/>
    <col hidden="1" width="22" customWidth="1" style="326" min="31" max="31"/>
  </cols>
  <sheetData>
    <row r="1" ht="26" customHeight="1" s="326">
      <c r="A1" s="453" t="inlineStr">
        <is>
          <t>Scenario Analysis</t>
        </is>
      </c>
      <c r="X1" s="437" t="inlineStr">
        <is>
          <t>Support Lists</t>
        </is>
      </c>
      <c r="AD1" s="437" t="inlineStr">
        <is>
          <t>Selector Options</t>
        </is>
      </c>
    </row>
    <row r="2" ht="36" customHeight="1" s="326">
      <c r="A2" s="454" t="inlineStr">
        <is>
          <t>Compare specific switch outcomes quickly, benchmark them against staying at Jump, view liquid-net-worth matrices at the chosen horizon, and inspect compact Y1-Y15 trajectory charts.</t>
        </is>
      </c>
      <c r="X2" s="425" t="inlineStr">
        <is>
          <t>Scenario</t>
        </is>
      </c>
      <c r="Y2" s="425" t="inlineStr">
        <is>
          <t>Path</t>
        </is>
      </c>
      <c r="Z2" s="425" t="inlineStr">
        <is>
          <t>Summary Row</t>
        </is>
      </c>
      <c r="AA2" s="425" t="inlineStr">
        <is>
          <t>Helper Sheet</t>
        </is>
      </c>
      <c r="AB2" s="425" t="inlineStr">
        <is>
          <t>Helper Start Row</t>
        </is>
      </c>
      <c r="AD2" s="425" t="inlineStr">
        <is>
          <t>Horizon</t>
        </is>
      </c>
      <c r="AE2" s="425" t="inlineStr">
        <is>
          <t>Metric</t>
        </is>
      </c>
    </row>
    <row r="3" ht="20" customHeight="1" s="326">
      <c r="A3" s="455" t="inlineStr">
        <is>
          <t>Dashboard</t>
        </is>
      </c>
      <c r="C3" s="455" t="inlineStr">
        <is>
          <t>Scenario Results</t>
        </is>
      </c>
      <c r="E3" s="455" t="inlineStr">
        <is>
          <t>Pivot Lab</t>
        </is>
      </c>
    </row>
    <row r="4" ht="22" customHeight="1" s="326">
      <c r="A4" s="451" t="inlineStr">
        <is>
          <t>Controls</t>
        </is>
      </c>
      <c r="J4" s="456" t="inlineStr">
        <is>
          <t>Selector Helpers</t>
        </is>
      </c>
      <c r="X4" s="438">
        <f>'IC Switch Scenarios'!$A$22</f>
        <v/>
      </c>
      <c r="Y4" t="inlineStr">
        <is>
          <t>IC Switch</t>
        </is>
      </c>
      <c r="Z4" t="n">
        <v>22</v>
      </c>
      <c r="AA4" t="inlineStr">
        <is>
          <t>IC Switch Scenarios</t>
        </is>
      </c>
      <c r="AB4">
        <f>MATCH($X4,'IC Switch Scenarios'!$A$36:$A$170,0)</f>
        <v/>
      </c>
      <c r="AD4" s="438" t="inlineStr">
        <is>
          <t>Y10</t>
        </is>
      </c>
      <c r="AE4" s="438" t="inlineStr">
        <is>
          <t>Scenario Cash Gross</t>
        </is>
      </c>
    </row>
    <row r="5" ht="22" customHeight="1" s="326">
      <c r="A5" s="414" t="inlineStr">
        <is>
          <t>Primary scenario</t>
        </is>
      </c>
      <c r="B5" s="457" t="inlineStr">
        <is>
          <t>3Y 2x</t>
        </is>
      </c>
      <c r="F5" s="414" t="inlineStr">
        <is>
          <t>Summary horizon</t>
        </is>
      </c>
      <c r="G5" s="457" t="inlineStr">
        <is>
          <t>Y15</t>
        </is>
      </c>
      <c r="J5" s="456" t="inlineStr">
        <is>
          <t>Primary path</t>
        </is>
      </c>
      <c r="K5" s="458">
        <f>IFERROR(INDEX($Y$4:$Y$32,MATCH($B$5,$X$4:$X$32,0)),"")</f>
        <v/>
      </c>
      <c r="L5" s="456" t="n"/>
      <c r="M5" s="456" t="inlineStr">
        <is>
          <t>Primary helper offset</t>
        </is>
      </c>
      <c r="N5" s="459">
        <f>IF($K$5="","",IF($K$5="IC Switch",IFERROR(MATCH($B$5,'IC Switch Scenarios'!$A$36:$A$170,0),""),IFERROR(MATCH($B$5,'PM After Switch'!$A$51:$A$350,0),"")))</f>
        <v/>
      </c>
      <c r="X5" s="438">
        <f>'IC Switch Scenarios'!$A$23</f>
        <v/>
      </c>
      <c r="Y5" t="inlineStr">
        <is>
          <t>IC Switch</t>
        </is>
      </c>
      <c r="Z5" t="n">
        <v>23</v>
      </c>
      <c r="AA5" t="inlineStr">
        <is>
          <t>IC Switch Scenarios</t>
        </is>
      </c>
      <c r="AB5">
        <f>MATCH($X5,'IC Switch Scenarios'!$A$36:$A$170,0)</f>
        <v/>
      </c>
      <c r="AD5" s="438" t="inlineStr">
        <is>
          <t>Y15</t>
        </is>
      </c>
      <c r="AE5" s="438" t="inlineStr">
        <is>
          <t>Taxable Balance</t>
        </is>
      </c>
    </row>
    <row r="6" ht="22" customHeight="1" s="326">
      <c r="A6" s="414" t="inlineStr">
        <is>
          <t>Comparison scenario</t>
        </is>
      </c>
      <c r="B6" s="457" t="inlineStr">
        <is>
          <t>3Y -&gt; PM Y8 Base</t>
        </is>
      </c>
      <c r="F6" s="414" t="inlineStr">
        <is>
          <t>Chart metric</t>
        </is>
      </c>
      <c r="G6" s="457" t="inlineStr">
        <is>
          <t>Liquid Net Worth</t>
        </is>
      </c>
      <c r="J6" s="456" t="inlineStr">
        <is>
          <t>Comparison path</t>
        </is>
      </c>
      <c r="K6" s="458">
        <f>IFERROR(INDEX($Y$4:$Y$32,MATCH($B$6,$X$4:$X$32,0)),"")</f>
        <v/>
      </c>
      <c r="L6" s="456" t="n"/>
      <c r="M6" s="456" t="inlineStr">
        <is>
          <t>Comparison helper offset</t>
        </is>
      </c>
      <c r="N6" s="459">
        <f>IF($K$6="","",IF($K$6="IC Switch",IFERROR(MATCH($B$6,'IC Switch Scenarios'!$A$36:$A$170,0),""),IFERROR(MATCH($B$6,'PM After Switch'!$A$51:$A$350,0),"")))</f>
        <v/>
      </c>
      <c r="X6" s="438">
        <f>'IC Switch Scenarios'!$A$24</f>
        <v/>
      </c>
      <c r="Y6" t="inlineStr">
        <is>
          <t>IC Switch</t>
        </is>
      </c>
      <c r="Z6" t="n">
        <v>24</v>
      </c>
      <c r="AA6" t="inlineStr">
        <is>
          <t>IC Switch Scenarios</t>
        </is>
      </c>
      <c r="AB6">
        <f>MATCH($X6,'IC Switch Scenarios'!$A$36:$A$170,0)</f>
        <v/>
      </c>
      <c r="AE6" s="438" t="inlineStr">
        <is>
          <t>Retirement Balance</t>
        </is>
      </c>
    </row>
    <row r="7" ht="22" customHeight="1" s="326">
      <c r="J7" s="456" t="inlineStr">
        <is>
          <t>Primary result key</t>
        </is>
      </c>
      <c r="K7" s="458">
        <f>$K$5&amp;" | "&amp;$B$5&amp;" | "&amp;$G$5</f>
        <v/>
      </c>
      <c r="L7" s="456" t="n"/>
      <c r="M7" s="456" t="inlineStr">
        <is>
          <t>Metric index</t>
        </is>
      </c>
      <c r="N7" s="459">
        <f>IFERROR(MATCH($G$6,$AE$4:$AE$7,0),"")</f>
        <v/>
      </c>
      <c r="X7" s="438">
        <f>'IC Switch Scenarios'!$A$25</f>
        <v/>
      </c>
      <c r="Y7" t="inlineStr">
        <is>
          <t>IC Switch</t>
        </is>
      </c>
      <c r="Z7" t="n">
        <v>25</v>
      </c>
      <c r="AA7" t="inlineStr">
        <is>
          <t>IC Switch Scenarios</t>
        </is>
      </c>
      <c r="AB7">
        <f>MATCH($X7,'IC Switch Scenarios'!$A$36:$A$170,0)</f>
        <v/>
      </c>
      <c r="AE7" s="438" t="inlineStr">
        <is>
          <t>Liquid Net Worth</t>
        </is>
      </c>
    </row>
    <row r="8" ht="22" customHeight="1" s="326">
      <c r="J8" s="456" t="inlineStr">
        <is>
          <t>Primary result row</t>
        </is>
      </c>
      <c r="K8" s="459">
        <f>IFERROR(MATCH($K$7,tblScenarioResults[Result Key],0),"")</f>
        <v/>
      </c>
      <c r="L8" s="456" t="n"/>
      <c r="M8" s="456" t="n"/>
      <c r="N8" s="456" t="n"/>
      <c r="X8" s="438">
        <f>'IC Switch Scenarios'!$A$26</f>
        <v/>
      </c>
      <c r="Y8" t="inlineStr">
        <is>
          <t>IC Switch</t>
        </is>
      </c>
      <c r="Z8" t="n">
        <v>26</v>
      </c>
      <c r="AA8" t="inlineStr">
        <is>
          <t>IC Switch Scenarios</t>
        </is>
      </c>
      <c r="AB8">
        <f>MATCH($X8,'IC Switch Scenarios'!$A$36:$A$170,0)</f>
        <v/>
      </c>
    </row>
    <row r="9" ht="22" customHeight="1" s="326">
      <c r="J9" s="456" t="inlineStr">
        <is>
          <t>Comparison result key</t>
        </is>
      </c>
      <c r="K9" s="458">
        <f>$K$6&amp;" | "&amp;$B$6&amp;" | "&amp;$G$5</f>
        <v/>
      </c>
      <c r="L9" s="456" t="n"/>
      <c r="M9" s="456" t="n"/>
      <c r="N9" s="456" t="n"/>
      <c r="X9" s="438">
        <f>'IC Switch Scenarios'!$A$27</f>
        <v/>
      </c>
      <c r="Y9" t="inlineStr">
        <is>
          <t>IC Switch</t>
        </is>
      </c>
      <c r="Z9" t="n">
        <v>27</v>
      </c>
      <c r="AA9" t="inlineStr">
        <is>
          <t>IC Switch Scenarios</t>
        </is>
      </c>
      <c r="AB9">
        <f>MATCH($X9,'IC Switch Scenarios'!$A$36:$A$170,0)</f>
        <v/>
      </c>
    </row>
    <row r="10" ht="22" customHeight="1" s="326">
      <c r="J10" s="456" t="inlineStr">
        <is>
          <t>Comparison result row</t>
        </is>
      </c>
      <c r="K10" s="459">
        <f>IFERROR(MATCH($K$9,tblScenarioResults[Result Key],0),"")</f>
        <v/>
      </c>
      <c r="L10" s="456" t="n"/>
      <c r="M10" s="456" t="n"/>
      <c r="N10" s="456" t="n"/>
      <c r="X10" s="438">
        <f>'IC Switch Scenarios'!$A$28</f>
        <v/>
      </c>
      <c r="Y10" t="inlineStr">
        <is>
          <t>IC Switch</t>
        </is>
      </c>
      <c r="Z10" t="n">
        <v>28</v>
      </c>
      <c r="AA10" t="inlineStr">
        <is>
          <t>IC Switch Scenarios</t>
        </is>
      </c>
      <c r="AB10">
        <f>MATCH($X10,'IC Switch Scenarios'!$A$36:$A$170,0)</f>
        <v/>
      </c>
    </row>
    <row r="11" ht="22" customHeight="1" s="326">
      <c r="J11" s="456" t="inlineStr">
        <is>
          <t>Baseline result key</t>
        </is>
      </c>
      <c r="K11" s="458">
        <f>"Stay at Jump | Base | "&amp;$G$5</f>
        <v/>
      </c>
      <c r="L11" s="456" t="n"/>
      <c r="M11" s="456" t="n"/>
      <c r="N11" s="456" t="n"/>
      <c r="X11" s="438">
        <f>'IC Switch Scenarios'!$A$29</f>
        <v/>
      </c>
      <c r="Y11" t="inlineStr">
        <is>
          <t>IC Switch</t>
        </is>
      </c>
      <c r="Z11" t="n">
        <v>29</v>
      </c>
      <c r="AA11" t="inlineStr">
        <is>
          <t>IC Switch Scenarios</t>
        </is>
      </c>
      <c r="AB11">
        <f>MATCH($X11,'IC Switch Scenarios'!$A$36:$A$170,0)</f>
        <v/>
      </c>
    </row>
    <row r="12" ht="26" customHeight="1" s="326">
      <c r="A12" s="460" t="inlineStr">
        <is>
          <t>Selected Horizon Comparison</t>
        </is>
      </c>
      <c r="J12" s="456" t="inlineStr">
        <is>
          <t>Baseline result row</t>
        </is>
      </c>
      <c r="K12" s="459">
        <f>IFERROR(MATCH($K$11,tblScenarioResults[Result Key],0),"")</f>
        <v/>
      </c>
      <c r="L12" s="456" t="n"/>
      <c r="M12" s="456" t="n"/>
      <c r="N12" s="456" t="n"/>
      <c r="X12" s="438">
        <f>'IC Switch Scenarios'!$A$30</f>
        <v/>
      </c>
      <c r="Y12" t="inlineStr">
        <is>
          <t>IC Switch</t>
        </is>
      </c>
      <c r="Z12" t="n">
        <v>30</v>
      </c>
      <c r="AA12" t="inlineStr">
        <is>
          <t>IC Switch Scenarios</t>
        </is>
      </c>
      <c r="AB12">
        <f>MATCH($X12,'IC Switch Scenarios'!$A$36:$A$170,0)</f>
        <v/>
      </c>
    </row>
    <row r="13" ht="26" customHeight="1" s="326">
      <c r="A13" s="451" t="inlineStr">
        <is>
          <t>Metric</t>
        </is>
      </c>
      <c r="B13" s="451" t="inlineStr">
        <is>
          <t>Primary</t>
        </is>
      </c>
      <c r="C13" s="451" t="inlineStr">
        <is>
          <t>Comparison</t>
        </is>
      </c>
      <c r="D13" s="451" t="inlineStr">
        <is>
          <t>Stay at Jump (Base)</t>
        </is>
      </c>
      <c r="E13" s="451" t="inlineStr">
        <is>
          <t>Primary - Comparison</t>
        </is>
      </c>
      <c r="F13" s="451" t="inlineStr">
        <is>
          <t>Primary - Jump Base</t>
        </is>
      </c>
      <c r="G13" s="451" t="inlineStr">
        <is>
          <t>Comparison - Jump Base</t>
        </is>
      </c>
      <c r="X13" s="438">
        <f>'PM After Switch'!$A$22</f>
        <v/>
      </c>
      <c r="Y13" t="inlineStr">
        <is>
          <t>PM After Switch</t>
        </is>
      </c>
      <c r="Z13" t="n">
        <v>22</v>
      </c>
      <c r="AA13" t="inlineStr">
        <is>
          <t>PM After Switch</t>
        </is>
      </c>
      <c r="AB13">
        <f>MATCH($X13,'PM After Switch'!$A$51:$A$350,0)</f>
        <v/>
      </c>
    </row>
    <row r="14" ht="26" customHeight="1" s="326">
      <c r="A14" s="461" t="inlineStr">
        <is>
          <t>Path</t>
        </is>
      </c>
      <c r="B14" s="426">
        <f>IFERROR(INDEX(tblScenarioResults[Path],$K$8),"")</f>
        <v/>
      </c>
      <c r="C14" s="426">
        <f>IFERROR(INDEX(tblScenarioResults[Path],$K$10),"")</f>
        <v/>
      </c>
      <c r="D14" s="426">
        <f>IFERROR(INDEX(tblScenarioResults[Path],$K$12),"")</f>
        <v/>
      </c>
      <c r="X14" s="438">
        <f>'PM After Switch'!$A$23</f>
        <v/>
      </c>
      <c r="Y14" t="inlineStr">
        <is>
          <t>PM After Switch</t>
        </is>
      </c>
      <c r="Z14" t="n">
        <v>23</v>
      </c>
      <c r="AA14" t="inlineStr">
        <is>
          <t>PM After Switch</t>
        </is>
      </c>
      <c r="AB14">
        <f>MATCH($X14,'PM After Switch'!$A$51:$A$350,0)</f>
        <v/>
      </c>
    </row>
    <row r="15" ht="26" customHeight="1" s="326">
      <c r="A15" s="461" t="inlineStr">
        <is>
          <t>Scenario</t>
        </is>
      </c>
      <c r="B15" s="426">
        <f>IFERROR(INDEX(tblScenarioResults[Scenario],$K$8),"")</f>
        <v/>
      </c>
      <c r="C15" s="426">
        <f>IFERROR(INDEX(tblScenarioResults[Scenario],$K$10),"")</f>
        <v/>
      </c>
      <c r="D15" s="426">
        <f>IFERROR(INDEX(tblScenarioResults[Scenario],$K$12),"")</f>
        <v/>
      </c>
      <c r="X15" s="438">
        <f>'PM After Switch'!$A$24</f>
        <v/>
      </c>
      <c r="Y15" t="inlineStr">
        <is>
          <t>PM After Switch</t>
        </is>
      </c>
      <c r="Z15" t="n">
        <v>24</v>
      </c>
      <c r="AA15" t="inlineStr">
        <is>
          <t>PM After Switch</t>
        </is>
      </c>
      <c r="AB15">
        <f>MATCH($X15,'PM After Switch'!$A$51:$A$350,0)</f>
        <v/>
      </c>
    </row>
    <row r="16" ht="26" customHeight="1" s="326">
      <c r="A16" s="461" t="inlineStr">
        <is>
          <t>Horizon</t>
        </is>
      </c>
      <c r="B16" s="426">
        <f>IFERROR(INDEX(tblScenarioResults[Horizon],$K$8),"")</f>
        <v/>
      </c>
      <c r="C16" s="426">
        <f>IFERROR(INDEX(tblScenarioResults[Horizon],$K$10),"")</f>
        <v/>
      </c>
      <c r="D16" s="426">
        <f>IFERROR(INDEX(tblScenarioResults[Horizon],$K$12),"")</f>
        <v/>
      </c>
      <c r="X16" s="438">
        <f>'PM After Switch'!$A$25</f>
        <v/>
      </c>
      <c r="Y16" t="inlineStr">
        <is>
          <t>PM After Switch</t>
        </is>
      </c>
      <c r="Z16" t="n">
        <v>25</v>
      </c>
      <c r="AA16" t="inlineStr">
        <is>
          <t>PM After Switch</t>
        </is>
      </c>
      <c r="AB16">
        <f>MATCH($X16,'PM After Switch'!$A$51:$A$350,0)</f>
        <v/>
      </c>
    </row>
    <row r="17" ht="26" customHeight="1" s="326">
      <c r="A17" s="461" t="inlineStr">
        <is>
          <t>Cash / Gross Comp</t>
        </is>
      </c>
      <c r="B17" s="436">
        <f>IFERROR(INDEX(tblScenarioResults[Cash/Gross Comp],$K$8),"")</f>
        <v/>
      </c>
      <c r="C17" s="436">
        <f>IFERROR(INDEX(tblScenarioResults[Cash/Gross Comp],$K$10),"")</f>
        <v/>
      </c>
      <c r="D17" s="436">
        <f>IFERROR(INDEX(tblScenarioResults[Cash/Gross Comp],$K$12),"")</f>
        <v/>
      </c>
      <c r="E17" s="441">
        <f>IF(AND(ISNUMBER(B17),ISNUMBER(C17)),B17-C17,"")</f>
        <v/>
      </c>
      <c r="F17" s="441">
        <f>IF(AND(ISNUMBER(B17),ISNUMBER(D17)),B17-D17,"")</f>
        <v/>
      </c>
      <c r="G17" s="441">
        <f>IF(AND(ISNUMBER(C17),ISNUMBER(D17)),C17-D17,"")</f>
        <v/>
      </c>
      <c r="X17" s="438">
        <f>'PM After Switch'!$A$26</f>
        <v/>
      </c>
      <c r="Y17" t="inlineStr">
        <is>
          <t>PM After Switch</t>
        </is>
      </c>
      <c r="Z17" t="n">
        <v>26</v>
      </c>
      <c r="AA17" t="inlineStr">
        <is>
          <t>PM After Switch</t>
        </is>
      </c>
      <c r="AB17">
        <f>MATCH($X17,'PM After Switch'!$A$51:$A$350,0)</f>
        <v/>
      </c>
    </row>
    <row r="18" ht="26" customHeight="1" s="326">
      <c r="A18" s="461" t="inlineStr">
        <is>
          <t>Taxable Liquid</t>
        </is>
      </c>
      <c r="B18" s="436">
        <f>IFERROR(INDEX(tblScenarioResults[Taxable Liquid],$K$8),"")</f>
        <v/>
      </c>
      <c r="C18" s="436">
        <f>IFERROR(INDEX(tblScenarioResults[Taxable Liquid],$K$10),"")</f>
        <v/>
      </c>
      <c r="D18" s="436">
        <f>IFERROR(INDEX(tblScenarioResults[Taxable Liquid],$K$12),"")</f>
        <v/>
      </c>
      <c r="E18" s="441">
        <f>IF(AND(ISNUMBER(B18),ISNUMBER(C18)),B18-C18,"")</f>
        <v/>
      </c>
      <c r="F18" s="441">
        <f>IF(AND(ISNUMBER(B18),ISNUMBER(D18)),B18-D18,"")</f>
        <v/>
      </c>
      <c r="G18" s="441">
        <f>IF(AND(ISNUMBER(C18),ISNUMBER(D18)),C18-D18,"")</f>
        <v/>
      </c>
      <c r="X18" s="438">
        <f>'PM After Switch'!$A$27</f>
        <v/>
      </c>
      <c r="Y18" t="inlineStr">
        <is>
          <t>PM After Switch</t>
        </is>
      </c>
      <c r="Z18" t="n">
        <v>27</v>
      </c>
      <c r="AA18" t="inlineStr">
        <is>
          <t>PM After Switch</t>
        </is>
      </c>
      <c r="AB18">
        <f>MATCH($X18,'PM After Switch'!$A$51:$A$350,0)</f>
        <v/>
      </c>
    </row>
    <row r="19" ht="26" customHeight="1" s="326">
      <c r="A19" s="461" t="inlineStr">
        <is>
          <t>Retirement</t>
        </is>
      </c>
      <c r="B19" s="436">
        <f>IFERROR(INDEX(tblScenarioResults[Retirement],$K$8),"")</f>
        <v/>
      </c>
      <c r="C19" s="436">
        <f>IFERROR(INDEX(tblScenarioResults[Retirement],$K$10),"")</f>
        <v/>
      </c>
      <c r="D19" s="436">
        <f>IFERROR(INDEX(tblScenarioResults[Retirement],$K$12),"")</f>
        <v/>
      </c>
      <c r="E19" s="441">
        <f>IF(AND(ISNUMBER(B19),ISNUMBER(C19)),B19-C19,"")</f>
        <v/>
      </c>
      <c r="F19" s="441">
        <f>IF(AND(ISNUMBER(B19),ISNUMBER(D19)),B19-D19,"")</f>
        <v/>
      </c>
      <c r="G19" s="441">
        <f>IF(AND(ISNUMBER(C19),ISNUMBER(D19)),C19-D19,"")</f>
        <v/>
      </c>
      <c r="X19" s="438">
        <f>'PM After Switch'!$A$28</f>
        <v/>
      </c>
      <c r="Y19" t="inlineStr">
        <is>
          <t>PM After Switch</t>
        </is>
      </c>
      <c r="Z19" t="n">
        <v>28</v>
      </c>
      <c r="AA19" t="inlineStr">
        <is>
          <t>PM After Switch</t>
        </is>
      </c>
      <c r="AB19">
        <f>MATCH($X19,'PM After Switch'!$A$51:$A$350,0)</f>
        <v/>
      </c>
    </row>
    <row r="20" ht="26" customHeight="1" s="326">
      <c r="A20" s="461" t="inlineStr">
        <is>
          <t>Liquid Net Worth</t>
        </is>
      </c>
      <c r="B20" s="436">
        <f>IFERROR(INDEX(tblScenarioResults[Liquid Net Worth],$K$8),"")</f>
        <v/>
      </c>
      <c r="C20" s="436">
        <f>IFERROR(INDEX(tblScenarioResults[Liquid Net Worth],$K$10),"")</f>
        <v/>
      </c>
      <c r="D20" s="436">
        <f>IFERROR(INDEX(tblScenarioResults[Liquid Net Worth],$K$12),"")</f>
        <v/>
      </c>
      <c r="E20" s="441">
        <f>IF(AND(ISNUMBER(B20),ISNUMBER(C20)),B20-C20,"")</f>
        <v/>
      </c>
      <c r="F20" s="441">
        <f>IF(AND(ISNUMBER(B20),ISNUMBER(D20)),B20-D20,"")</f>
        <v/>
      </c>
      <c r="G20" s="441">
        <f>IF(AND(ISNUMBER(C20),ISNUMBER(D20)),C20-D20,"")</f>
        <v/>
      </c>
      <c r="X20" s="438">
        <f>'PM After Switch'!$A$29</f>
        <v/>
      </c>
      <c r="Y20" t="inlineStr">
        <is>
          <t>PM After Switch</t>
        </is>
      </c>
      <c r="Z20" t="n">
        <v>29</v>
      </c>
      <c r="AA20" t="inlineStr">
        <is>
          <t>PM After Switch</t>
        </is>
      </c>
      <c r="AB20">
        <f>MATCH($X20,'PM After Switch'!$A$51:$A$350,0)</f>
        <v/>
      </c>
    </row>
    <row r="21" ht="26" customHeight="1" s="326">
      <c r="A21" s="461" t="inlineStr">
        <is>
          <t>Surplus / Shortfall to $5M All-Cash Target</t>
        </is>
      </c>
      <c r="B21" s="436">
        <f>IFERROR(INDEX(tblScenarioResults[Surplus / Shortfall to $5M All-Cash Target],$K$8),"")</f>
        <v/>
      </c>
      <c r="C21" s="436">
        <f>IFERROR(INDEX(tblScenarioResults[Surplus / Shortfall to $5M All-Cash Target],$K$10),"")</f>
        <v/>
      </c>
      <c r="D21" s="436">
        <f>IFERROR(INDEX(tblScenarioResults[Surplus / Shortfall to $5M All-Cash Target],$K$12),"")</f>
        <v/>
      </c>
      <c r="E21" s="441">
        <f>IF(AND(ISNUMBER(B21),ISNUMBER(C21)),B21-C21,"")</f>
        <v/>
      </c>
      <c r="F21" s="441">
        <f>IF(AND(ISNUMBER(B21),ISNUMBER(D21)),B21-D21,"")</f>
        <v/>
      </c>
      <c r="G21" s="441">
        <f>IF(AND(ISNUMBER(C21),ISNUMBER(D21)),C21-D21,"")</f>
        <v/>
      </c>
      <c r="X21" s="438">
        <f>'PM After Switch'!$A$30</f>
        <v/>
      </c>
      <c r="Y21" t="inlineStr">
        <is>
          <t>PM After Switch</t>
        </is>
      </c>
      <c r="Z21" t="n">
        <v>30</v>
      </c>
      <c r="AA21" t="inlineStr">
        <is>
          <t>PM After Switch</t>
        </is>
      </c>
      <c r="AB21">
        <f>MATCH($X21,'PM After Switch'!$A$51:$A$350,0)</f>
        <v/>
      </c>
    </row>
    <row r="22" ht="26" customHeight="1" s="326">
      <c r="A22" s="461" t="inlineStr">
        <is>
          <t>Surplus / Shortfall to $5M 50% Down Target</t>
        </is>
      </c>
      <c r="B22" s="436">
        <f>IFERROR(INDEX(tblScenarioResults[Surplus / Shortfall to $5M 50% Down Target],$K$8),"")</f>
        <v/>
      </c>
      <c r="C22" s="436">
        <f>IFERROR(INDEX(tblScenarioResults[Surplus / Shortfall to $5M 50% Down Target],$K$10),"")</f>
        <v/>
      </c>
      <c r="D22" s="436">
        <f>IFERROR(INDEX(tblScenarioResults[Surplus / Shortfall to $5M 50% Down Target],$K$12),"")</f>
        <v/>
      </c>
      <c r="E22" s="441">
        <f>IF(AND(ISNUMBER(B22),ISNUMBER(C22)),B22-C22,"")</f>
        <v/>
      </c>
      <c r="F22" s="441">
        <f>IF(AND(ISNUMBER(B22),ISNUMBER(D22)),B22-D22,"")</f>
        <v/>
      </c>
      <c r="G22" s="441">
        <f>IF(AND(ISNUMBER(C22),ISNUMBER(D22)),C22-D22,"")</f>
        <v/>
      </c>
      <c r="X22" s="438">
        <f>'PM After Switch'!$A$31</f>
        <v/>
      </c>
      <c r="Y22" t="inlineStr">
        <is>
          <t>PM After Switch</t>
        </is>
      </c>
      <c r="Z22" t="n">
        <v>31</v>
      </c>
      <c r="AA22" t="inlineStr">
        <is>
          <t>PM After Switch</t>
        </is>
      </c>
      <c r="AB22">
        <f>MATCH($X22,'PM After Switch'!$A$51:$A$350,0)</f>
        <v/>
      </c>
    </row>
    <row r="23" ht="26" customHeight="1" s="326">
      <c r="A23" s="461" t="inlineStr">
        <is>
          <t>Surplus / Shortfall to $7M All-Cash Target</t>
        </is>
      </c>
      <c r="B23" s="436">
        <f>IFERROR(INDEX(tblScenarioResults[Surplus / Shortfall to $7M All-Cash Target],$K$8),"")</f>
        <v/>
      </c>
      <c r="C23" s="436">
        <f>IFERROR(INDEX(tblScenarioResults[Surplus / Shortfall to $7M All-Cash Target],$K$10),"")</f>
        <v/>
      </c>
      <c r="D23" s="436">
        <f>IFERROR(INDEX(tblScenarioResults[Surplus / Shortfall to $7M All-Cash Target],$K$12),"")</f>
        <v/>
      </c>
      <c r="E23" s="441">
        <f>IF(AND(ISNUMBER(B23),ISNUMBER(C23)),B23-C23,"")</f>
        <v/>
      </c>
      <c r="F23" s="441">
        <f>IF(AND(ISNUMBER(B23),ISNUMBER(D23)),B23-D23,"")</f>
        <v/>
      </c>
      <c r="G23" s="441">
        <f>IF(AND(ISNUMBER(C23),ISNUMBER(D23)),C23-D23,"")</f>
        <v/>
      </c>
      <c r="X23" s="438">
        <f>'PM After Switch'!$A$32</f>
        <v/>
      </c>
      <c r="Y23" t="inlineStr">
        <is>
          <t>PM After Switch</t>
        </is>
      </c>
      <c r="Z23" t="n">
        <v>32</v>
      </c>
      <c r="AA23" t="inlineStr">
        <is>
          <t>PM After Switch</t>
        </is>
      </c>
      <c r="AB23">
        <f>MATCH($X23,'PM After Switch'!$A$51:$A$350,0)</f>
        <v/>
      </c>
    </row>
    <row r="24" ht="26" customHeight="1" s="326">
      <c r="A24" s="461" t="inlineStr">
        <is>
          <t>Surplus / Shortfall to $7M 50% Down Target</t>
        </is>
      </c>
      <c r="B24" s="436">
        <f>IFERROR(INDEX(tblScenarioResults[Surplus / Shortfall to $7M 50% Down Target],$K$8),"")</f>
        <v/>
      </c>
      <c r="C24" s="436">
        <f>IFERROR(INDEX(tblScenarioResults[Surplus / Shortfall to $7M 50% Down Target],$K$10),"")</f>
        <v/>
      </c>
      <c r="D24" s="436">
        <f>IFERROR(INDEX(tblScenarioResults[Surplus / Shortfall to $7M 50% Down Target],$K$12),"")</f>
        <v/>
      </c>
      <c r="E24" s="441">
        <f>IF(AND(ISNUMBER(B24),ISNUMBER(C24)),B24-C24,"")</f>
        <v/>
      </c>
      <c r="F24" s="441">
        <f>IF(AND(ISNUMBER(B24),ISNUMBER(D24)),B24-D24,"")</f>
        <v/>
      </c>
      <c r="G24" s="441">
        <f>IF(AND(ISNUMBER(C24),ISNUMBER(D24)),C24-D24,"")</f>
        <v/>
      </c>
      <c r="X24" s="438">
        <f>'PM After Switch'!$A$33</f>
        <v/>
      </c>
      <c r="Y24" t="inlineStr">
        <is>
          <t>PM After Switch</t>
        </is>
      </c>
      <c r="Z24" t="n">
        <v>33</v>
      </c>
      <c r="AA24" t="inlineStr">
        <is>
          <t>PM After Switch</t>
        </is>
      </c>
      <c r="AB24">
        <f>MATCH($X24,'PM After Switch'!$A$51:$A$350,0)</f>
        <v/>
      </c>
    </row>
    <row r="25" ht="26" customHeight="1" s="326">
      <c r="A25" s="461" t="inlineStr">
        <is>
          <t>First $5M Cash</t>
        </is>
      </c>
      <c r="B25" s="440">
        <f>IFERROR(INDEX(tblScenarioResults[First $5M Cash],$K$8),"")</f>
        <v/>
      </c>
      <c r="C25" s="440">
        <f>IFERROR(INDEX(tblScenarioResults[First $5M Cash],$K$10),"")</f>
        <v/>
      </c>
      <c r="D25" s="440">
        <f>IFERROR(INDEX(tblScenarioResults[First $5M Cash],$K$12),"")</f>
        <v/>
      </c>
      <c r="E25" s="442">
        <f>IF(AND(ISNUMBER(B25),ISNUMBER(C25)),B25-C25,"")</f>
        <v/>
      </c>
      <c r="F25" s="442">
        <f>IF(AND(ISNUMBER(B25),ISNUMBER(D25)),B25-D25,"")</f>
        <v/>
      </c>
      <c r="G25" s="442">
        <f>IF(AND(ISNUMBER(C25),ISNUMBER(D25)),C25-D25,"")</f>
        <v/>
      </c>
      <c r="X25" s="438">
        <f>'PM After Switch'!$A$34</f>
        <v/>
      </c>
      <c r="Y25" t="inlineStr">
        <is>
          <t>PM After Switch</t>
        </is>
      </c>
      <c r="Z25" t="n">
        <v>34</v>
      </c>
      <c r="AA25" t="inlineStr">
        <is>
          <t>PM After Switch</t>
        </is>
      </c>
      <c r="AB25">
        <f>MATCH($X25,'PM After Switch'!$A$51:$A$350,0)</f>
        <v/>
      </c>
    </row>
    <row r="26" ht="26" customHeight="1" s="326">
      <c r="A26" s="461" t="inlineStr">
        <is>
          <t>First $5M 50%</t>
        </is>
      </c>
      <c r="B26" s="440">
        <f>IFERROR(INDEX(tblScenarioResults[First $5M 50%],$K$8),"")</f>
        <v/>
      </c>
      <c r="C26" s="440">
        <f>IFERROR(INDEX(tblScenarioResults[First $5M 50%],$K$10),"")</f>
        <v/>
      </c>
      <c r="D26" s="440">
        <f>IFERROR(INDEX(tblScenarioResults[First $5M 50%],$K$12),"")</f>
        <v/>
      </c>
      <c r="E26" s="442">
        <f>IF(AND(ISNUMBER(B26),ISNUMBER(C26)),B26-C26,"")</f>
        <v/>
      </c>
      <c r="F26" s="442">
        <f>IF(AND(ISNUMBER(B26),ISNUMBER(D26)),B26-D26,"")</f>
        <v/>
      </c>
      <c r="G26" s="442">
        <f>IF(AND(ISNUMBER(C26),ISNUMBER(D26)),C26-D26,"")</f>
        <v/>
      </c>
      <c r="X26" s="438">
        <f>'PM After Switch'!$A$35</f>
        <v/>
      </c>
      <c r="Y26" t="inlineStr">
        <is>
          <t>PM After Switch</t>
        </is>
      </c>
      <c r="Z26" t="n">
        <v>35</v>
      </c>
      <c r="AA26" t="inlineStr">
        <is>
          <t>PM After Switch</t>
        </is>
      </c>
      <c r="AB26">
        <f>MATCH($X26,'PM After Switch'!$A$51:$A$350,0)</f>
        <v/>
      </c>
    </row>
    <row r="27" ht="26" customHeight="1" s="326">
      <c r="A27" s="461" t="inlineStr">
        <is>
          <t>First $7M Cash</t>
        </is>
      </c>
      <c r="B27" s="440">
        <f>IFERROR(INDEX(tblScenarioResults[First $7M Cash],$K$8),"")</f>
        <v/>
      </c>
      <c r="C27" s="440">
        <f>IFERROR(INDEX(tblScenarioResults[First $7M Cash],$K$10),"")</f>
        <v/>
      </c>
      <c r="D27" s="440">
        <f>IFERROR(INDEX(tblScenarioResults[First $7M Cash],$K$12),"")</f>
        <v/>
      </c>
      <c r="E27" s="442">
        <f>IF(AND(ISNUMBER(B27),ISNUMBER(C27)),B27-C27,"")</f>
        <v/>
      </c>
      <c r="F27" s="442">
        <f>IF(AND(ISNUMBER(B27),ISNUMBER(D27)),B27-D27,"")</f>
        <v/>
      </c>
      <c r="G27" s="442">
        <f>IF(AND(ISNUMBER(C27),ISNUMBER(D27)),C27-D27,"")</f>
        <v/>
      </c>
      <c r="X27" s="438">
        <f>'PM After Switch'!$A$36</f>
        <v/>
      </c>
      <c r="Y27" t="inlineStr">
        <is>
          <t>PM After Switch</t>
        </is>
      </c>
      <c r="Z27" t="n">
        <v>36</v>
      </c>
      <c r="AA27" t="inlineStr">
        <is>
          <t>PM After Switch</t>
        </is>
      </c>
      <c r="AB27">
        <f>MATCH($X27,'PM After Switch'!$A$51:$A$350,0)</f>
        <v/>
      </c>
    </row>
    <row r="28" ht="26" customHeight="1" s="326">
      <c r="A28" s="461" t="inlineStr">
        <is>
          <t>First $7M 50%</t>
        </is>
      </c>
      <c r="B28" s="440">
        <f>IFERROR(INDEX(tblScenarioResults[First $7M 50%],$K$8),"")</f>
        <v/>
      </c>
      <c r="C28" s="440">
        <f>IFERROR(INDEX(tblScenarioResults[First $7M 50%],$K$10),"")</f>
        <v/>
      </c>
      <c r="D28" s="440">
        <f>IFERROR(INDEX(tblScenarioResults[First $7M 50%],$K$12),"")</f>
        <v/>
      </c>
      <c r="E28" s="442">
        <f>IF(AND(ISNUMBER(B28),ISNUMBER(C28)),B28-C28,"")</f>
        <v/>
      </c>
      <c r="F28" s="442">
        <f>IF(AND(ISNUMBER(B28),ISNUMBER(D28)),B28-D28,"")</f>
        <v/>
      </c>
      <c r="G28" s="442">
        <f>IF(AND(ISNUMBER(C28),ISNUMBER(D28)),C28-D28,"")</f>
        <v/>
      </c>
      <c r="X28" s="438">
        <f>'PM After Switch'!$A$37</f>
        <v/>
      </c>
      <c r="Y28" t="inlineStr">
        <is>
          <t>PM After Switch</t>
        </is>
      </c>
      <c r="Z28" t="n">
        <v>37</v>
      </c>
      <c r="AA28" t="inlineStr">
        <is>
          <t>PM After Switch</t>
        </is>
      </c>
      <c r="AB28">
        <f>MATCH($X28,'PM After Switch'!$A$51:$A$350,0)</f>
        <v/>
      </c>
    </row>
    <row r="29" ht="26" customHeight="1" s="326">
      <c r="A29" s="461" t="inlineStr">
        <is>
          <t>Target Status</t>
        </is>
      </c>
      <c r="B29" s="426">
        <f>IFERROR(INDEX(tblScenarioResults[Target Status],$K$8),"")</f>
        <v/>
      </c>
      <c r="C29" s="426">
        <f>IFERROR(INDEX(tblScenarioResults[Target Status],$K$10),"")</f>
        <v/>
      </c>
      <c r="D29" s="426">
        <f>IFERROR(INDEX(tblScenarioResults[Target Status],$K$12),"")</f>
        <v/>
      </c>
      <c r="X29" s="438">
        <f>'PM After Switch'!$A$38</f>
        <v/>
      </c>
      <c r="Y29" t="inlineStr">
        <is>
          <t>PM After Switch</t>
        </is>
      </c>
      <c r="Z29" t="n">
        <v>38</v>
      </c>
      <c r="AA29" t="inlineStr">
        <is>
          <t>PM After Switch</t>
        </is>
      </c>
      <c r="AB29">
        <f>MATCH($X29,'PM After Switch'!$A$51:$A$350,0)</f>
        <v/>
      </c>
    </row>
    <row r="30">
      <c r="X30" s="438">
        <f>'PM After Switch'!$A$39</f>
        <v/>
      </c>
      <c r="Y30" t="inlineStr">
        <is>
          <t>PM After Switch</t>
        </is>
      </c>
      <c r="Z30" t="n">
        <v>39</v>
      </c>
      <c r="AA30" t="inlineStr">
        <is>
          <t>PM After Switch</t>
        </is>
      </c>
      <c r="AB30">
        <f>MATCH($X30,'PM After Switch'!$A$51:$A$350,0)</f>
        <v/>
      </c>
    </row>
    <row r="31">
      <c r="X31" s="438">
        <f>'PM After Switch'!$A$40</f>
        <v/>
      </c>
      <c r="Y31" t="inlineStr">
        <is>
          <t>PM After Switch</t>
        </is>
      </c>
      <c r="Z31" t="n">
        <v>40</v>
      </c>
      <c r="AA31" t="inlineStr">
        <is>
          <t>PM After Switch</t>
        </is>
      </c>
      <c r="AB31">
        <f>MATCH($X31,'PM After Switch'!$A$51:$A$350,0)</f>
        <v/>
      </c>
    </row>
    <row r="32" ht="20" customHeight="1" s="326">
      <c r="A32" s="460">
        <f>"IC Switch Liquid Net Worth ("&amp;$G$5&amp;")"</f>
        <v/>
      </c>
      <c r="J32" s="460">
        <f>"PM After Switch Liquid Net Worth ("&amp;$G$5&amp;")"</f>
        <v/>
      </c>
      <c r="X32" s="438">
        <f>'PM After Switch'!$A$41</f>
        <v/>
      </c>
      <c r="Y32" t="inlineStr">
        <is>
          <t>PM After Switch</t>
        </is>
      </c>
      <c r="Z32" t="n">
        <v>41</v>
      </c>
      <c r="AA32" t="inlineStr">
        <is>
          <t>PM After Switch</t>
        </is>
      </c>
      <c r="AB32">
        <f>MATCH($X32,'PM After Switch'!$A$51:$A$350,0)</f>
        <v/>
      </c>
    </row>
    <row r="33" ht="20" customHeight="1" s="326">
      <c r="B33" s="451" t="inlineStr">
        <is>
          <t>2x</t>
        </is>
      </c>
      <c r="C33" s="451" t="inlineStr">
        <is>
          <t>3x</t>
        </is>
      </c>
      <c r="D33" s="451" t="inlineStr">
        <is>
          <t>4x</t>
        </is>
      </c>
      <c r="K33" s="451" t="inlineStr">
        <is>
          <t>Starter</t>
        </is>
      </c>
      <c r="L33" s="451" t="inlineStr">
        <is>
          <t>Base</t>
        </is>
      </c>
      <c r="M33" s="451" t="inlineStr">
        <is>
          <t>Upside</t>
        </is>
      </c>
      <c r="N33" s="451" t="inlineStr">
        <is>
          <t>Tail</t>
        </is>
      </c>
    </row>
    <row r="34" ht="20" customHeight="1" s="326">
      <c r="A34" s="461" t="inlineStr">
        <is>
          <t>3Y</t>
        </is>
      </c>
      <c r="B34" s="443">
        <f>SUMIFS(tblScenarioResults[Liquid Net Worth],tblScenarioResults[Path],"IC Switch",tblScenarioResults[Scenario],$A34&amp;" "&amp;B$33,tblScenarioResults[Horizon],$G$5)</f>
        <v/>
      </c>
      <c r="C34" s="443">
        <f>SUMIFS(tblScenarioResults[Liquid Net Worth],tblScenarioResults[Path],"IC Switch",tblScenarioResults[Scenario],$A34&amp;" "&amp;C$33,tblScenarioResults[Horizon],$G$5)</f>
        <v/>
      </c>
      <c r="D34" s="443">
        <f>SUMIFS(tblScenarioResults[Liquid Net Worth],tblScenarioResults[Path],"IC Switch",tblScenarioResults[Scenario],$A34&amp;" "&amp;D$33,tblScenarioResults[Horizon],$G$5)</f>
        <v/>
      </c>
      <c r="J34" s="461" t="inlineStr">
        <is>
          <t>3Y -&gt; PM Y7</t>
        </is>
      </c>
      <c r="K34" s="443">
        <f>SUMIFS(tblScenarioResults[Liquid Net Worth],tblScenarioResults[Path],"PM After Switch",tblScenarioResults[Scenario],$J34&amp;" "&amp;K$33,tblScenarioResults[Horizon],$G$5)</f>
        <v/>
      </c>
      <c r="L34" s="443">
        <f>SUMIFS(tblScenarioResults[Liquid Net Worth],tblScenarioResults[Path],"PM After Switch",tblScenarioResults[Scenario],$J34&amp;" "&amp;L$33,tblScenarioResults[Horizon],$G$5)</f>
        <v/>
      </c>
      <c r="M34" s="443">
        <f>SUMIFS(tblScenarioResults[Liquid Net Worth],tblScenarioResults[Path],"PM After Switch",tblScenarioResults[Scenario],$J34&amp;" "&amp;M$33,tblScenarioResults[Horizon],$G$5)</f>
        <v/>
      </c>
      <c r="N34" s="443">
        <f>SUMIFS(tblScenarioResults[Liquid Net Worth],tblScenarioResults[Path],"PM After Switch",tblScenarioResults[Scenario],$J34&amp;" "&amp;N$33,tblScenarioResults[Horizon],$G$5)</f>
        <v/>
      </c>
    </row>
    <row r="35" ht="20" customHeight="1" s="326">
      <c r="A35" s="461" t="inlineStr">
        <is>
          <t>4Y</t>
        </is>
      </c>
      <c r="B35" s="443">
        <f>SUMIFS(tblScenarioResults[Liquid Net Worth],tblScenarioResults[Path],"IC Switch",tblScenarioResults[Scenario],$A35&amp;" "&amp;B$33,tblScenarioResults[Horizon],$G$5)</f>
        <v/>
      </c>
      <c r="C35" s="443">
        <f>SUMIFS(tblScenarioResults[Liquid Net Worth],tblScenarioResults[Path],"IC Switch",tblScenarioResults[Scenario],$A35&amp;" "&amp;C$33,tblScenarioResults[Horizon],$G$5)</f>
        <v/>
      </c>
      <c r="D35" s="443">
        <f>SUMIFS(tblScenarioResults[Liquid Net Worth],tblScenarioResults[Path],"IC Switch",tblScenarioResults[Scenario],$A35&amp;" "&amp;D$33,tblScenarioResults[Horizon],$G$5)</f>
        <v/>
      </c>
      <c r="J35" s="461" t="inlineStr">
        <is>
          <t>3Y -&gt; PM Y8</t>
        </is>
      </c>
      <c r="K35" s="443">
        <f>SUMIFS(tblScenarioResults[Liquid Net Worth],tblScenarioResults[Path],"PM After Switch",tblScenarioResults[Scenario],$J35&amp;" "&amp;K$33,tblScenarioResults[Horizon],$G$5)</f>
        <v/>
      </c>
      <c r="L35" s="443">
        <f>SUMIFS(tblScenarioResults[Liquid Net Worth],tblScenarioResults[Path],"PM After Switch",tblScenarioResults[Scenario],$J35&amp;" "&amp;L$33,tblScenarioResults[Horizon],$G$5)</f>
        <v/>
      </c>
      <c r="M35" s="443">
        <f>SUMIFS(tblScenarioResults[Liquid Net Worth],tblScenarioResults[Path],"PM After Switch",tblScenarioResults[Scenario],$J35&amp;" "&amp;M$33,tblScenarioResults[Horizon],$G$5)</f>
        <v/>
      </c>
      <c r="N35" s="443">
        <f>SUMIFS(tblScenarioResults[Liquid Net Worth],tblScenarioResults[Path],"PM After Switch",tblScenarioResults[Scenario],$J35&amp;" "&amp;N$33,tblScenarioResults[Horizon],$G$5)</f>
        <v/>
      </c>
    </row>
    <row r="36" ht="20" customHeight="1" s="326">
      <c r="A36" s="461" t="inlineStr">
        <is>
          <t>5Y</t>
        </is>
      </c>
      <c r="B36" s="443">
        <f>SUMIFS(tblScenarioResults[Liquid Net Worth],tblScenarioResults[Path],"IC Switch",tblScenarioResults[Scenario],$A36&amp;" "&amp;B$33,tblScenarioResults[Horizon],$G$5)</f>
        <v/>
      </c>
      <c r="C36" s="443">
        <f>SUMIFS(tblScenarioResults[Liquid Net Worth],tblScenarioResults[Path],"IC Switch",tblScenarioResults[Scenario],$A36&amp;" "&amp;C$33,tblScenarioResults[Horizon],$G$5)</f>
        <v/>
      </c>
      <c r="D36" s="443">
        <f>SUMIFS(tblScenarioResults[Liquid Net Worth],tblScenarioResults[Path],"IC Switch",tblScenarioResults[Scenario],$A36&amp;" "&amp;D$33,tblScenarioResults[Horizon],$G$5)</f>
        <v/>
      </c>
      <c r="J36" s="461" t="inlineStr">
        <is>
          <t>4Y -&gt; PM Y7</t>
        </is>
      </c>
      <c r="K36" s="443">
        <f>SUMIFS(tblScenarioResults[Liquid Net Worth],tblScenarioResults[Path],"PM After Switch",tblScenarioResults[Scenario],$J36&amp;" "&amp;K$33,tblScenarioResults[Horizon],$G$5)</f>
        <v/>
      </c>
      <c r="L36" s="443">
        <f>SUMIFS(tblScenarioResults[Liquid Net Worth],tblScenarioResults[Path],"PM After Switch",tblScenarioResults[Scenario],$J36&amp;" "&amp;L$33,tblScenarioResults[Horizon],$G$5)</f>
        <v/>
      </c>
      <c r="M36" s="443">
        <f>SUMIFS(tblScenarioResults[Liquid Net Worth],tblScenarioResults[Path],"PM After Switch",tblScenarioResults[Scenario],$J36&amp;" "&amp;M$33,tblScenarioResults[Horizon],$G$5)</f>
        <v/>
      </c>
      <c r="N36" s="443">
        <f>SUMIFS(tblScenarioResults[Liquid Net Worth],tblScenarioResults[Path],"PM After Switch",tblScenarioResults[Scenario],$J36&amp;" "&amp;N$33,tblScenarioResults[Horizon],$G$5)</f>
        <v/>
      </c>
    </row>
    <row r="37" ht="20" customHeight="1" s="326">
      <c r="J37" s="461" t="inlineStr">
        <is>
          <t>4Y -&gt; PM Y8</t>
        </is>
      </c>
      <c r="K37" s="443">
        <f>SUMIFS(tblScenarioResults[Liquid Net Worth],tblScenarioResults[Path],"PM After Switch",tblScenarioResults[Scenario],$J37&amp;" "&amp;K$33,tblScenarioResults[Horizon],$G$5)</f>
        <v/>
      </c>
      <c r="L37" s="443">
        <f>SUMIFS(tblScenarioResults[Liquid Net Worth],tblScenarioResults[Path],"PM After Switch",tblScenarioResults[Scenario],$J37&amp;" "&amp;L$33,tblScenarioResults[Horizon],$G$5)</f>
        <v/>
      </c>
      <c r="M37" s="443">
        <f>SUMIFS(tblScenarioResults[Liquid Net Worth],tblScenarioResults[Path],"PM After Switch",tblScenarioResults[Scenario],$J37&amp;" "&amp;M$33,tblScenarioResults[Horizon],$G$5)</f>
        <v/>
      </c>
      <c r="N37" s="443">
        <f>SUMIFS(tblScenarioResults[Liquid Net Worth],tblScenarioResults[Path],"PM After Switch",tblScenarioResults[Scenario],$J37&amp;" "&amp;N$33,tblScenarioResults[Horizon],$G$5)</f>
        <v/>
      </c>
    </row>
    <row r="38" ht="20" customHeight="1" s="326">
      <c r="J38" s="461" t="inlineStr">
        <is>
          <t>5Y -&gt; PM Y8</t>
        </is>
      </c>
      <c r="K38" s="443">
        <f>SUMIFS(tblScenarioResults[Liquid Net Worth],tblScenarioResults[Path],"PM After Switch",tblScenarioResults[Scenario],$J38&amp;" "&amp;K$33,tblScenarioResults[Horizon],$G$5)</f>
        <v/>
      </c>
      <c r="L38" s="443">
        <f>SUMIFS(tblScenarioResults[Liquid Net Worth],tblScenarioResults[Path],"PM After Switch",tblScenarioResults[Scenario],$J38&amp;" "&amp;L$33,tblScenarioResults[Horizon],$G$5)</f>
        <v/>
      </c>
      <c r="M38" s="443">
        <f>SUMIFS(tblScenarioResults[Liquid Net Worth],tblScenarioResults[Path],"PM After Switch",tblScenarioResults[Scenario],$J38&amp;" "&amp;M$33,tblScenarioResults[Horizon],$G$5)</f>
        <v/>
      </c>
      <c r="N38" s="443">
        <f>SUMIFS(tblScenarioResults[Liquid Net Worth],tblScenarioResults[Path],"PM After Switch",tblScenarioResults[Scenario],$J38&amp;" "&amp;N$33,tblScenarioResults[Horizon],$G$5)</f>
        <v/>
      </c>
      <c r="X38" s="437" t="inlineStr">
        <is>
          <t>Chart Data</t>
        </is>
      </c>
    </row>
    <row r="40" ht="20" customHeight="1" s="326">
      <c r="A40" s="460" t="inlineStr">
        <is>
          <t>Trajectory Charts</t>
        </is>
      </c>
    </row>
    <row r="41">
      <c r="X41" s="425" t="inlineStr">
        <is>
          <t>Projection Year</t>
        </is>
      </c>
      <c r="Y41" s="425" t="inlineStr">
        <is>
          <t>Calendar Year</t>
        </is>
      </c>
      <c r="Z41" s="425" t="inlineStr">
        <is>
          <t>Primary Selected Metric</t>
        </is>
      </c>
      <c r="AA41" s="425" t="inlineStr">
        <is>
          <t>Comparison Selected Metric</t>
        </is>
      </c>
      <c r="AB41" s="425" t="inlineStr">
        <is>
          <t>Stay at Jump Selected Metric</t>
        </is>
      </c>
      <c r="AC41" s="425" t="inlineStr">
        <is>
          <t>Primary Liquid Net Worth</t>
        </is>
      </c>
      <c r="AD41" s="425" t="inlineStr">
        <is>
          <t>Comparison Liquid Net Worth</t>
        </is>
      </c>
      <c r="AE41" s="425" t="inlineStr">
        <is>
          <t>Stay at Jump Liquid Net Worth</t>
        </is>
      </c>
    </row>
    <row r="42">
      <c r="X42" s="444" t="n">
        <v>1</v>
      </c>
      <c r="Y42" s="444">
        <f>'Model Inputs'!$B$22-1+X42</f>
        <v/>
      </c>
      <c r="Z42" s="443">
        <f>IF($N$5="","",IF($K$5="IC Switch",CHOOSE($N$7,INDEX('IC Switch Scenarios'!$L$36:$L$170,$N$5+X42-1),INDEX('IC Switch Scenarios'!$V$36:$V$170,$N$5+X42-1),INDEX('IC Switch Scenarios'!$W$36:$W$170,$N$5+X42-1),INDEX('IC Switch Scenarios'!$X$36:$X$170,$N$5+X42-1)),CHOOSE($N$7,INDEX('PM After Switch'!$T$51:$T$350,$N$5+X42-1),INDEX('PM After Switch'!$AD$51:$AD$350,$N$5+X42-1),INDEX('PM After Switch'!$AE$51:$AE$350,$N$5+X42-1),INDEX('PM After Switch'!$AF$51:$AF$350,$N$5+X42-1))))</f>
        <v/>
      </c>
      <c r="AA42" s="443">
        <f>IF($N$6="","",IF($K$6="IC Switch",CHOOSE($N$7,INDEX('IC Switch Scenarios'!$L$36:$L$170,$N$6+X42-1),INDEX('IC Switch Scenarios'!$V$36:$V$170,$N$6+X42-1),INDEX('IC Switch Scenarios'!$W$36:$W$170,$N$6+X42-1),INDEX('IC Switch Scenarios'!$X$36:$X$170,$N$6+X42-1)),CHOOSE($N$7,INDEX('PM After Switch'!$T$51:$T$350,$N$6+X42-1),INDEX('PM After Switch'!$AD$51:$AD$350,$N$6+X42-1),INDEX('PM After Switch'!$AE$51:$AE$350,$N$6+X42-1),INDEX('PM After Switch'!$AF$51:$AF$350,$N$6+X42-1))))</f>
        <v/>
      </c>
      <c r="AB42" s="443">
        <f>CHOOSE($N$7,INDEX('Savings Projection'!$B$19:$B$33,X42),INDEX('Savings Projection'!$AE$19:$AE$33,X42),INDEX('Savings Projection'!$AF$19:$AF$33,X42)+INDEX('Savings Projection'!$AG$19:$AG$33,X42)+INDEX('Savings Projection'!$AH$19:$AH$33,X42),INDEX('Savings Projection'!$AI$19:$AI$33,X42))</f>
        <v/>
      </c>
      <c r="AC42" s="443">
        <f>IF($N$5="","",IF($K$5="IC Switch",INDEX('IC Switch Scenarios'!$X$36:$X$170,$N$5+X42-1),INDEX('PM After Switch'!$AF$51:$AF$350,$N$5+X42-1)))</f>
        <v/>
      </c>
      <c r="AD42" s="443">
        <f>IF($N$6="","",IF($K$6="IC Switch",INDEX('IC Switch Scenarios'!$X$36:$X$170,$N$6+X42-1),INDEX('PM After Switch'!$AF$51:$AF$350,$N$6+X42-1)))</f>
        <v/>
      </c>
      <c r="AE42" s="443">
        <f>INDEX('Savings Projection'!$AI$19:$AI$33,X42)</f>
        <v/>
      </c>
    </row>
    <row r="43">
      <c r="X43" s="444" t="n">
        <v>2</v>
      </c>
      <c r="Y43" s="444">
        <f>'Model Inputs'!$B$22-1+X43</f>
        <v/>
      </c>
      <c r="Z43" s="443">
        <f>IF($N$5="","",IF($K$5="IC Switch",CHOOSE($N$7,INDEX('IC Switch Scenarios'!$L$36:$L$170,$N$5+X43-1),INDEX('IC Switch Scenarios'!$V$36:$V$170,$N$5+X43-1),INDEX('IC Switch Scenarios'!$W$36:$W$170,$N$5+X43-1),INDEX('IC Switch Scenarios'!$X$36:$X$170,$N$5+X43-1)),CHOOSE($N$7,INDEX('PM After Switch'!$T$51:$T$350,$N$5+X43-1),INDEX('PM After Switch'!$AD$51:$AD$350,$N$5+X43-1),INDEX('PM After Switch'!$AE$51:$AE$350,$N$5+X43-1),INDEX('PM After Switch'!$AF$51:$AF$350,$N$5+X43-1))))</f>
        <v/>
      </c>
      <c r="AA43" s="443">
        <f>IF($N$6="","",IF($K$6="IC Switch",CHOOSE($N$7,INDEX('IC Switch Scenarios'!$L$36:$L$170,$N$6+X43-1),INDEX('IC Switch Scenarios'!$V$36:$V$170,$N$6+X43-1),INDEX('IC Switch Scenarios'!$W$36:$W$170,$N$6+X43-1),INDEX('IC Switch Scenarios'!$X$36:$X$170,$N$6+X43-1)),CHOOSE($N$7,INDEX('PM After Switch'!$T$51:$T$350,$N$6+X43-1),INDEX('PM After Switch'!$AD$51:$AD$350,$N$6+X43-1),INDEX('PM After Switch'!$AE$51:$AE$350,$N$6+X43-1),INDEX('PM After Switch'!$AF$51:$AF$350,$N$6+X43-1))))</f>
        <v/>
      </c>
      <c r="AB43" s="443">
        <f>CHOOSE($N$7,INDEX('Savings Projection'!$B$19:$B$33,X43),INDEX('Savings Projection'!$AE$19:$AE$33,X43),INDEX('Savings Projection'!$AF$19:$AF$33,X43)+INDEX('Savings Projection'!$AG$19:$AG$33,X43)+INDEX('Savings Projection'!$AH$19:$AH$33,X43),INDEX('Savings Projection'!$AI$19:$AI$33,X43))</f>
        <v/>
      </c>
      <c r="AC43" s="443">
        <f>IF($N$5="","",IF($K$5="IC Switch",INDEX('IC Switch Scenarios'!$X$36:$X$170,$N$5+X43-1),INDEX('PM After Switch'!$AF$51:$AF$350,$N$5+X43-1)))</f>
        <v/>
      </c>
      <c r="AD43" s="443">
        <f>IF($N$6="","",IF($K$6="IC Switch",INDEX('IC Switch Scenarios'!$X$36:$X$170,$N$6+X43-1),INDEX('PM After Switch'!$AF$51:$AF$350,$N$6+X43-1)))</f>
        <v/>
      </c>
      <c r="AE43" s="443">
        <f>INDEX('Savings Projection'!$AI$19:$AI$33,X43)</f>
        <v/>
      </c>
    </row>
    <row r="44">
      <c r="X44" s="444" t="n">
        <v>3</v>
      </c>
      <c r="Y44" s="444">
        <f>'Model Inputs'!$B$22-1+X44</f>
        <v/>
      </c>
      <c r="Z44" s="443">
        <f>IF($N$5="","",IF($K$5="IC Switch",CHOOSE($N$7,INDEX('IC Switch Scenarios'!$L$36:$L$170,$N$5+X44-1),INDEX('IC Switch Scenarios'!$V$36:$V$170,$N$5+X44-1),INDEX('IC Switch Scenarios'!$W$36:$W$170,$N$5+X44-1),INDEX('IC Switch Scenarios'!$X$36:$X$170,$N$5+X44-1)),CHOOSE($N$7,INDEX('PM After Switch'!$T$51:$T$350,$N$5+X44-1),INDEX('PM After Switch'!$AD$51:$AD$350,$N$5+X44-1),INDEX('PM After Switch'!$AE$51:$AE$350,$N$5+X44-1),INDEX('PM After Switch'!$AF$51:$AF$350,$N$5+X44-1))))</f>
        <v/>
      </c>
      <c r="AA44" s="443">
        <f>IF($N$6="","",IF($K$6="IC Switch",CHOOSE($N$7,INDEX('IC Switch Scenarios'!$L$36:$L$170,$N$6+X44-1),INDEX('IC Switch Scenarios'!$V$36:$V$170,$N$6+X44-1),INDEX('IC Switch Scenarios'!$W$36:$W$170,$N$6+X44-1),INDEX('IC Switch Scenarios'!$X$36:$X$170,$N$6+X44-1)),CHOOSE($N$7,INDEX('PM After Switch'!$T$51:$T$350,$N$6+X44-1),INDEX('PM After Switch'!$AD$51:$AD$350,$N$6+X44-1),INDEX('PM After Switch'!$AE$51:$AE$350,$N$6+X44-1),INDEX('PM After Switch'!$AF$51:$AF$350,$N$6+X44-1))))</f>
        <v/>
      </c>
      <c r="AB44" s="443">
        <f>CHOOSE($N$7,INDEX('Savings Projection'!$B$19:$B$33,X44),INDEX('Savings Projection'!$AE$19:$AE$33,X44),INDEX('Savings Projection'!$AF$19:$AF$33,X44)+INDEX('Savings Projection'!$AG$19:$AG$33,X44)+INDEX('Savings Projection'!$AH$19:$AH$33,X44),INDEX('Savings Projection'!$AI$19:$AI$33,X44))</f>
        <v/>
      </c>
      <c r="AC44" s="443">
        <f>IF($N$5="","",IF($K$5="IC Switch",INDEX('IC Switch Scenarios'!$X$36:$X$170,$N$5+X44-1),INDEX('PM After Switch'!$AF$51:$AF$350,$N$5+X44-1)))</f>
        <v/>
      </c>
      <c r="AD44" s="443">
        <f>IF($N$6="","",IF($K$6="IC Switch",INDEX('IC Switch Scenarios'!$X$36:$X$170,$N$6+X44-1),INDEX('PM After Switch'!$AF$51:$AF$350,$N$6+X44-1)))</f>
        <v/>
      </c>
      <c r="AE44" s="443">
        <f>INDEX('Savings Projection'!$AI$19:$AI$33,X44)</f>
        <v/>
      </c>
    </row>
    <row r="45">
      <c r="X45" s="444" t="n">
        <v>4</v>
      </c>
      <c r="Y45" s="444">
        <f>'Model Inputs'!$B$22-1+X45</f>
        <v/>
      </c>
      <c r="Z45" s="443">
        <f>IF($N$5="","",IF($K$5="IC Switch",CHOOSE($N$7,INDEX('IC Switch Scenarios'!$L$36:$L$170,$N$5+X45-1),INDEX('IC Switch Scenarios'!$V$36:$V$170,$N$5+X45-1),INDEX('IC Switch Scenarios'!$W$36:$W$170,$N$5+X45-1),INDEX('IC Switch Scenarios'!$X$36:$X$170,$N$5+X45-1)),CHOOSE($N$7,INDEX('PM After Switch'!$T$51:$T$350,$N$5+X45-1),INDEX('PM After Switch'!$AD$51:$AD$350,$N$5+X45-1),INDEX('PM After Switch'!$AE$51:$AE$350,$N$5+X45-1),INDEX('PM After Switch'!$AF$51:$AF$350,$N$5+X45-1))))</f>
        <v/>
      </c>
      <c r="AA45" s="443">
        <f>IF($N$6="","",IF($K$6="IC Switch",CHOOSE($N$7,INDEX('IC Switch Scenarios'!$L$36:$L$170,$N$6+X45-1),INDEX('IC Switch Scenarios'!$V$36:$V$170,$N$6+X45-1),INDEX('IC Switch Scenarios'!$W$36:$W$170,$N$6+X45-1),INDEX('IC Switch Scenarios'!$X$36:$X$170,$N$6+X45-1)),CHOOSE($N$7,INDEX('PM After Switch'!$T$51:$T$350,$N$6+X45-1),INDEX('PM After Switch'!$AD$51:$AD$350,$N$6+X45-1),INDEX('PM After Switch'!$AE$51:$AE$350,$N$6+X45-1),INDEX('PM After Switch'!$AF$51:$AF$350,$N$6+X45-1))))</f>
        <v/>
      </c>
      <c r="AB45" s="443">
        <f>CHOOSE($N$7,INDEX('Savings Projection'!$B$19:$B$33,X45),INDEX('Savings Projection'!$AE$19:$AE$33,X45),INDEX('Savings Projection'!$AF$19:$AF$33,X45)+INDEX('Savings Projection'!$AG$19:$AG$33,X45)+INDEX('Savings Projection'!$AH$19:$AH$33,X45),INDEX('Savings Projection'!$AI$19:$AI$33,X45))</f>
        <v/>
      </c>
      <c r="AC45" s="443">
        <f>IF($N$5="","",IF($K$5="IC Switch",INDEX('IC Switch Scenarios'!$X$36:$X$170,$N$5+X45-1),INDEX('PM After Switch'!$AF$51:$AF$350,$N$5+X45-1)))</f>
        <v/>
      </c>
      <c r="AD45" s="443">
        <f>IF($N$6="","",IF($K$6="IC Switch",INDEX('IC Switch Scenarios'!$X$36:$X$170,$N$6+X45-1),INDEX('PM After Switch'!$AF$51:$AF$350,$N$6+X45-1)))</f>
        <v/>
      </c>
      <c r="AE45" s="443">
        <f>INDEX('Savings Projection'!$AI$19:$AI$33,X45)</f>
        <v/>
      </c>
    </row>
    <row r="46">
      <c r="X46" s="444" t="n">
        <v>5</v>
      </c>
      <c r="Y46" s="444">
        <f>'Model Inputs'!$B$22-1+X46</f>
        <v/>
      </c>
      <c r="Z46" s="443">
        <f>IF($N$5="","",IF($K$5="IC Switch",CHOOSE($N$7,INDEX('IC Switch Scenarios'!$L$36:$L$170,$N$5+X46-1),INDEX('IC Switch Scenarios'!$V$36:$V$170,$N$5+X46-1),INDEX('IC Switch Scenarios'!$W$36:$W$170,$N$5+X46-1),INDEX('IC Switch Scenarios'!$X$36:$X$170,$N$5+X46-1)),CHOOSE($N$7,INDEX('PM After Switch'!$T$51:$T$350,$N$5+X46-1),INDEX('PM After Switch'!$AD$51:$AD$350,$N$5+X46-1),INDEX('PM After Switch'!$AE$51:$AE$350,$N$5+X46-1),INDEX('PM After Switch'!$AF$51:$AF$350,$N$5+X46-1))))</f>
        <v/>
      </c>
      <c r="AA46" s="443">
        <f>IF($N$6="","",IF($K$6="IC Switch",CHOOSE($N$7,INDEX('IC Switch Scenarios'!$L$36:$L$170,$N$6+X46-1),INDEX('IC Switch Scenarios'!$V$36:$V$170,$N$6+X46-1),INDEX('IC Switch Scenarios'!$W$36:$W$170,$N$6+X46-1),INDEX('IC Switch Scenarios'!$X$36:$X$170,$N$6+X46-1)),CHOOSE($N$7,INDEX('PM After Switch'!$T$51:$T$350,$N$6+X46-1),INDEX('PM After Switch'!$AD$51:$AD$350,$N$6+X46-1),INDEX('PM After Switch'!$AE$51:$AE$350,$N$6+X46-1),INDEX('PM After Switch'!$AF$51:$AF$350,$N$6+X46-1))))</f>
        <v/>
      </c>
      <c r="AB46" s="443">
        <f>CHOOSE($N$7,INDEX('Savings Projection'!$B$19:$B$33,X46),INDEX('Savings Projection'!$AE$19:$AE$33,X46),INDEX('Savings Projection'!$AF$19:$AF$33,X46)+INDEX('Savings Projection'!$AG$19:$AG$33,X46)+INDEX('Savings Projection'!$AH$19:$AH$33,X46),INDEX('Savings Projection'!$AI$19:$AI$33,X46))</f>
        <v/>
      </c>
      <c r="AC46" s="443">
        <f>IF($N$5="","",IF($K$5="IC Switch",INDEX('IC Switch Scenarios'!$X$36:$X$170,$N$5+X46-1),INDEX('PM After Switch'!$AF$51:$AF$350,$N$5+X46-1)))</f>
        <v/>
      </c>
      <c r="AD46" s="443">
        <f>IF($N$6="","",IF($K$6="IC Switch",INDEX('IC Switch Scenarios'!$X$36:$X$170,$N$6+X46-1),INDEX('PM After Switch'!$AF$51:$AF$350,$N$6+X46-1)))</f>
        <v/>
      </c>
      <c r="AE46" s="443">
        <f>INDEX('Savings Projection'!$AI$19:$AI$33,X46)</f>
        <v/>
      </c>
    </row>
    <row r="47">
      <c r="X47" s="444" t="n">
        <v>6</v>
      </c>
      <c r="Y47" s="444">
        <f>'Model Inputs'!$B$22-1+X47</f>
        <v/>
      </c>
      <c r="Z47" s="443">
        <f>IF($N$5="","",IF($K$5="IC Switch",CHOOSE($N$7,INDEX('IC Switch Scenarios'!$L$36:$L$170,$N$5+X47-1),INDEX('IC Switch Scenarios'!$V$36:$V$170,$N$5+X47-1),INDEX('IC Switch Scenarios'!$W$36:$W$170,$N$5+X47-1),INDEX('IC Switch Scenarios'!$X$36:$X$170,$N$5+X47-1)),CHOOSE($N$7,INDEX('PM After Switch'!$T$51:$T$350,$N$5+X47-1),INDEX('PM After Switch'!$AD$51:$AD$350,$N$5+X47-1),INDEX('PM After Switch'!$AE$51:$AE$350,$N$5+X47-1),INDEX('PM After Switch'!$AF$51:$AF$350,$N$5+X47-1))))</f>
        <v/>
      </c>
      <c r="AA47" s="443">
        <f>IF($N$6="","",IF($K$6="IC Switch",CHOOSE($N$7,INDEX('IC Switch Scenarios'!$L$36:$L$170,$N$6+X47-1),INDEX('IC Switch Scenarios'!$V$36:$V$170,$N$6+X47-1),INDEX('IC Switch Scenarios'!$W$36:$W$170,$N$6+X47-1),INDEX('IC Switch Scenarios'!$X$36:$X$170,$N$6+X47-1)),CHOOSE($N$7,INDEX('PM After Switch'!$T$51:$T$350,$N$6+X47-1),INDEX('PM After Switch'!$AD$51:$AD$350,$N$6+X47-1),INDEX('PM After Switch'!$AE$51:$AE$350,$N$6+X47-1),INDEX('PM After Switch'!$AF$51:$AF$350,$N$6+X47-1))))</f>
        <v/>
      </c>
      <c r="AB47" s="443">
        <f>CHOOSE($N$7,INDEX('Savings Projection'!$B$19:$B$33,X47),INDEX('Savings Projection'!$AE$19:$AE$33,X47),INDEX('Savings Projection'!$AF$19:$AF$33,X47)+INDEX('Savings Projection'!$AG$19:$AG$33,X47)+INDEX('Savings Projection'!$AH$19:$AH$33,X47),INDEX('Savings Projection'!$AI$19:$AI$33,X47))</f>
        <v/>
      </c>
      <c r="AC47" s="443">
        <f>IF($N$5="","",IF($K$5="IC Switch",INDEX('IC Switch Scenarios'!$X$36:$X$170,$N$5+X47-1),INDEX('PM After Switch'!$AF$51:$AF$350,$N$5+X47-1)))</f>
        <v/>
      </c>
      <c r="AD47" s="443">
        <f>IF($N$6="","",IF($K$6="IC Switch",INDEX('IC Switch Scenarios'!$X$36:$X$170,$N$6+X47-1),INDEX('PM After Switch'!$AF$51:$AF$350,$N$6+X47-1)))</f>
        <v/>
      </c>
      <c r="AE47" s="443">
        <f>INDEX('Savings Projection'!$AI$19:$AI$33,X47)</f>
        <v/>
      </c>
    </row>
    <row r="48">
      <c r="X48" s="444" t="n">
        <v>7</v>
      </c>
      <c r="Y48" s="444">
        <f>'Model Inputs'!$B$22-1+X48</f>
        <v/>
      </c>
      <c r="Z48" s="443">
        <f>IF($N$5="","",IF($K$5="IC Switch",CHOOSE($N$7,INDEX('IC Switch Scenarios'!$L$36:$L$170,$N$5+X48-1),INDEX('IC Switch Scenarios'!$V$36:$V$170,$N$5+X48-1),INDEX('IC Switch Scenarios'!$W$36:$W$170,$N$5+X48-1),INDEX('IC Switch Scenarios'!$X$36:$X$170,$N$5+X48-1)),CHOOSE($N$7,INDEX('PM After Switch'!$T$51:$T$350,$N$5+X48-1),INDEX('PM After Switch'!$AD$51:$AD$350,$N$5+X48-1),INDEX('PM After Switch'!$AE$51:$AE$350,$N$5+X48-1),INDEX('PM After Switch'!$AF$51:$AF$350,$N$5+X48-1))))</f>
        <v/>
      </c>
      <c r="AA48" s="443">
        <f>IF($N$6="","",IF($K$6="IC Switch",CHOOSE($N$7,INDEX('IC Switch Scenarios'!$L$36:$L$170,$N$6+X48-1),INDEX('IC Switch Scenarios'!$V$36:$V$170,$N$6+X48-1),INDEX('IC Switch Scenarios'!$W$36:$W$170,$N$6+X48-1),INDEX('IC Switch Scenarios'!$X$36:$X$170,$N$6+X48-1)),CHOOSE($N$7,INDEX('PM After Switch'!$T$51:$T$350,$N$6+X48-1),INDEX('PM After Switch'!$AD$51:$AD$350,$N$6+X48-1),INDEX('PM After Switch'!$AE$51:$AE$350,$N$6+X48-1),INDEX('PM After Switch'!$AF$51:$AF$350,$N$6+X48-1))))</f>
        <v/>
      </c>
      <c r="AB48" s="443">
        <f>CHOOSE($N$7,INDEX('Savings Projection'!$B$19:$B$33,X48),INDEX('Savings Projection'!$AE$19:$AE$33,X48),INDEX('Savings Projection'!$AF$19:$AF$33,X48)+INDEX('Savings Projection'!$AG$19:$AG$33,X48)+INDEX('Savings Projection'!$AH$19:$AH$33,X48),INDEX('Savings Projection'!$AI$19:$AI$33,X48))</f>
        <v/>
      </c>
      <c r="AC48" s="443">
        <f>IF($N$5="","",IF($K$5="IC Switch",INDEX('IC Switch Scenarios'!$X$36:$X$170,$N$5+X48-1),INDEX('PM After Switch'!$AF$51:$AF$350,$N$5+X48-1)))</f>
        <v/>
      </c>
      <c r="AD48" s="443">
        <f>IF($N$6="","",IF($K$6="IC Switch",INDEX('IC Switch Scenarios'!$X$36:$X$170,$N$6+X48-1),INDEX('PM After Switch'!$AF$51:$AF$350,$N$6+X48-1)))</f>
        <v/>
      </c>
      <c r="AE48" s="443">
        <f>INDEX('Savings Projection'!$AI$19:$AI$33,X48)</f>
        <v/>
      </c>
    </row>
    <row r="49">
      <c r="X49" s="444" t="n">
        <v>8</v>
      </c>
      <c r="Y49" s="444">
        <f>'Model Inputs'!$B$22-1+X49</f>
        <v/>
      </c>
      <c r="Z49" s="443">
        <f>IF($N$5="","",IF($K$5="IC Switch",CHOOSE($N$7,INDEX('IC Switch Scenarios'!$L$36:$L$170,$N$5+X49-1),INDEX('IC Switch Scenarios'!$V$36:$V$170,$N$5+X49-1),INDEX('IC Switch Scenarios'!$W$36:$W$170,$N$5+X49-1),INDEX('IC Switch Scenarios'!$X$36:$X$170,$N$5+X49-1)),CHOOSE($N$7,INDEX('PM After Switch'!$T$51:$T$350,$N$5+X49-1),INDEX('PM After Switch'!$AD$51:$AD$350,$N$5+X49-1),INDEX('PM After Switch'!$AE$51:$AE$350,$N$5+X49-1),INDEX('PM After Switch'!$AF$51:$AF$350,$N$5+X49-1))))</f>
        <v/>
      </c>
      <c r="AA49" s="443">
        <f>IF($N$6="","",IF($K$6="IC Switch",CHOOSE($N$7,INDEX('IC Switch Scenarios'!$L$36:$L$170,$N$6+X49-1),INDEX('IC Switch Scenarios'!$V$36:$V$170,$N$6+X49-1),INDEX('IC Switch Scenarios'!$W$36:$W$170,$N$6+X49-1),INDEX('IC Switch Scenarios'!$X$36:$X$170,$N$6+X49-1)),CHOOSE($N$7,INDEX('PM After Switch'!$T$51:$T$350,$N$6+X49-1),INDEX('PM After Switch'!$AD$51:$AD$350,$N$6+X49-1),INDEX('PM After Switch'!$AE$51:$AE$350,$N$6+X49-1),INDEX('PM After Switch'!$AF$51:$AF$350,$N$6+X49-1))))</f>
        <v/>
      </c>
      <c r="AB49" s="443">
        <f>CHOOSE($N$7,INDEX('Savings Projection'!$B$19:$B$33,X49),INDEX('Savings Projection'!$AE$19:$AE$33,X49),INDEX('Savings Projection'!$AF$19:$AF$33,X49)+INDEX('Savings Projection'!$AG$19:$AG$33,X49)+INDEX('Savings Projection'!$AH$19:$AH$33,X49),INDEX('Savings Projection'!$AI$19:$AI$33,X49))</f>
        <v/>
      </c>
      <c r="AC49" s="443">
        <f>IF($N$5="","",IF($K$5="IC Switch",INDEX('IC Switch Scenarios'!$X$36:$X$170,$N$5+X49-1),INDEX('PM After Switch'!$AF$51:$AF$350,$N$5+X49-1)))</f>
        <v/>
      </c>
      <c r="AD49" s="443">
        <f>IF($N$6="","",IF($K$6="IC Switch",INDEX('IC Switch Scenarios'!$X$36:$X$170,$N$6+X49-1),INDEX('PM After Switch'!$AF$51:$AF$350,$N$6+X49-1)))</f>
        <v/>
      </c>
      <c r="AE49" s="443">
        <f>INDEX('Savings Projection'!$AI$19:$AI$33,X49)</f>
        <v/>
      </c>
    </row>
    <row r="50">
      <c r="X50" s="444" t="n">
        <v>9</v>
      </c>
      <c r="Y50" s="444">
        <f>'Model Inputs'!$B$22-1+X50</f>
        <v/>
      </c>
      <c r="Z50" s="443">
        <f>IF($N$5="","",IF($K$5="IC Switch",CHOOSE($N$7,INDEX('IC Switch Scenarios'!$L$36:$L$170,$N$5+X50-1),INDEX('IC Switch Scenarios'!$V$36:$V$170,$N$5+X50-1),INDEX('IC Switch Scenarios'!$W$36:$W$170,$N$5+X50-1),INDEX('IC Switch Scenarios'!$X$36:$X$170,$N$5+X50-1)),CHOOSE($N$7,INDEX('PM After Switch'!$T$51:$T$350,$N$5+X50-1),INDEX('PM After Switch'!$AD$51:$AD$350,$N$5+X50-1),INDEX('PM After Switch'!$AE$51:$AE$350,$N$5+X50-1),INDEX('PM After Switch'!$AF$51:$AF$350,$N$5+X50-1))))</f>
        <v/>
      </c>
      <c r="AA50" s="443">
        <f>IF($N$6="","",IF($K$6="IC Switch",CHOOSE($N$7,INDEX('IC Switch Scenarios'!$L$36:$L$170,$N$6+X50-1),INDEX('IC Switch Scenarios'!$V$36:$V$170,$N$6+X50-1),INDEX('IC Switch Scenarios'!$W$36:$W$170,$N$6+X50-1),INDEX('IC Switch Scenarios'!$X$36:$X$170,$N$6+X50-1)),CHOOSE($N$7,INDEX('PM After Switch'!$T$51:$T$350,$N$6+X50-1),INDEX('PM After Switch'!$AD$51:$AD$350,$N$6+X50-1),INDEX('PM After Switch'!$AE$51:$AE$350,$N$6+X50-1),INDEX('PM After Switch'!$AF$51:$AF$350,$N$6+X50-1))))</f>
        <v/>
      </c>
      <c r="AB50" s="443">
        <f>CHOOSE($N$7,INDEX('Savings Projection'!$B$19:$B$33,X50),INDEX('Savings Projection'!$AE$19:$AE$33,X50),INDEX('Savings Projection'!$AF$19:$AF$33,X50)+INDEX('Savings Projection'!$AG$19:$AG$33,X50)+INDEX('Savings Projection'!$AH$19:$AH$33,X50),INDEX('Savings Projection'!$AI$19:$AI$33,X50))</f>
        <v/>
      </c>
      <c r="AC50" s="443">
        <f>IF($N$5="","",IF($K$5="IC Switch",INDEX('IC Switch Scenarios'!$X$36:$X$170,$N$5+X50-1),INDEX('PM After Switch'!$AF$51:$AF$350,$N$5+X50-1)))</f>
        <v/>
      </c>
      <c r="AD50" s="443">
        <f>IF($N$6="","",IF($K$6="IC Switch",INDEX('IC Switch Scenarios'!$X$36:$X$170,$N$6+X50-1),INDEX('PM After Switch'!$AF$51:$AF$350,$N$6+X50-1)))</f>
        <v/>
      </c>
      <c r="AE50" s="443">
        <f>INDEX('Savings Projection'!$AI$19:$AI$33,X50)</f>
        <v/>
      </c>
    </row>
    <row r="51">
      <c r="X51" s="444" t="n">
        <v>10</v>
      </c>
      <c r="Y51" s="444">
        <f>'Model Inputs'!$B$22-1+X51</f>
        <v/>
      </c>
      <c r="Z51" s="443">
        <f>IF($N$5="","",IF($K$5="IC Switch",CHOOSE($N$7,INDEX('IC Switch Scenarios'!$L$36:$L$170,$N$5+X51-1),INDEX('IC Switch Scenarios'!$V$36:$V$170,$N$5+X51-1),INDEX('IC Switch Scenarios'!$W$36:$W$170,$N$5+X51-1),INDEX('IC Switch Scenarios'!$X$36:$X$170,$N$5+X51-1)),CHOOSE($N$7,INDEX('PM After Switch'!$T$51:$T$350,$N$5+X51-1),INDEX('PM After Switch'!$AD$51:$AD$350,$N$5+X51-1),INDEX('PM After Switch'!$AE$51:$AE$350,$N$5+X51-1),INDEX('PM After Switch'!$AF$51:$AF$350,$N$5+X51-1))))</f>
        <v/>
      </c>
      <c r="AA51" s="443">
        <f>IF($N$6="","",IF($K$6="IC Switch",CHOOSE($N$7,INDEX('IC Switch Scenarios'!$L$36:$L$170,$N$6+X51-1),INDEX('IC Switch Scenarios'!$V$36:$V$170,$N$6+X51-1),INDEX('IC Switch Scenarios'!$W$36:$W$170,$N$6+X51-1),INDEX('IC Switch Scenarios'!$X$36:$X$170,$N$6+X51-1)),CHOOSE($N$7,INDEX('PM After Switch'!$T$51:$T$350,$N$6+X51-1),INDEX('PM After Switch'!$AD$51:$AD$350,$N$6+X51-1),INDEX('PM After Switch'!$AE$51:$AE$350,$N$6+X51-1),INDEX('PM After Switch'!$AF$51:$AF$350,$N$6+X51-1))))</f>
        <v/>
      </c>
      <c r="AB51" s="443">
        <f>CHOOSE($N$7,INDEX('Savings Projection'!$B$19:$B$33,X51),INDEX('Savings Projection'!$AE$19:$AE$33,X51),INDEX('Savings Projection'!$AF$19:$AF$33,X51)+INDEX('Savings Projection'!$AG$19:$AG$33,X51)+INDEX('Savings Projection'!$AH$19:$AH$33,X51),INDEX('Savings Projection'!$AI$19:$AI$33,X51))</f>
        <v/>
      </c>
      <c r="AC51" s="443">
        <f>IF($N$5="","",IF($K$5="IC Switch",INDEX('IC Switch Scenarios'!$X$36:$X$170,$N$5+X51-1),INDEX('PM After Switch'!$AF$51:$AF$350,$N$5+X51-1)))</f>
        <v/>
      </c>
      <c r="AD51" s="443">
        <f>IF($N$6="","",IF($K$6="IC Switch",INDEX('IC Switch Scenarios'!$X$36:$X$170,$N$6+X51-1),INDEX('PM After Switch'!$AF$51:$AF$350,$N$6+X51-1)))</f>
        <v/>
      </c>
      <c r="AE51" s="443">
        <f>INDEX('Savings Projection'!$AI$19:$AI$33,X51)</f>
        <v/>
      </c>
    </row>
    <row r="52">
      <c r="X52" s="444" t="n">
        <v>11</v>
      </c>
      <c r="Y52" s="444">
        <f>'Model Inputs'!$B$22-1+X52</f>
        <v/>
      </c>
      <c r="Z52" s="443">
        <f>IF($N$5="","",IF($K$5="IC Switch",CHOOSE($N$7,INDEX('IC Switch Scenarios'!$L$36:$L$170,$N$5+X52-1),INDEX('IC Switch Scenarios'!$V$36:$V$170,$N$5+X52-1),INDEX('IC Switch Scenarios'!$W$36:$W$170,$N$5+X52-1),INDEX('IC Switch Scenarios'!$X$36:$X$170,$N$5+X52-1)),CHOOSE($N$7,INDEX('PM After Switch'!$T$51:$T$350,$N$5+X52-1),INDEX('PM After Switch'!$AD$51:$AD$350,$N$5+X52-1),INDEX('PM After Switch'!$AE$51:$AE$350,$N$5+X52-1),INDEX('PM After Switch'!$AF$51:$AF$350,$N$5+X52-1))))</f>
        <v/>
      </c>
      <c r="AA52" s="443">
        <f>IF($N$6="","",IF($K$6="IC Switch",CHOOSE($N$7,INDEX('IC Switch Scenarios'!$L$36:$L$170,$N$6+X52-1),INDEX('IC Switch Scenarios'!$V$36:$V$170,$N$6+X52-1),INDEX('IC Switch Scenarios'!$W$36:$W$170,$N$6+X52-1),INDEX('IC Switch Scenarios'!$X$36:$X$170,$N$6+X52-1)),CHOOSE($N$7,INDEX('PM After Switch'!$T$51:$T$350,$N$6+X52-1),INDEX('PM After Switch'!$AD$51:$AD$350,$N$6+X52-1),INDEX('PM After Switch'!$AE$51:$AE$350,$N$6+X52-1),INDEX('PM After Switch'!$AF$51:$AF$350,$N$6+X52-1))))</f>
        <v/>
      </c>
      <c r="AB52" s="443">
        <f>CHOOSE($N$7,INDEX('Savings Projection'!$B$19:$B$33,X52),INDEX('Savings Projection'!$AE$19:$AE$33,X52),INDEX('Savings Projection'!$AF$19:$AF$33,X52)+INDEX('Savings Projection'!$AG$19:$AG$33,X52)+INDEX('Savings Projection'!$AH$19:$AH$33,X52),INDEX('Savings Projection'!$AI$19:$AI$33,X52))</f>
        <v/>
      </c>
      <c r="AC52" s="443">
        <f>IF($N$5="","",IF($K$5="IC Switch",INDEX('IC Switch Scenarios'!$X$36:$X$170,$N$5+X52-1),INDEX('PM After Switch'!$AF$51:$AF$350,$N$5+X52-1)))</f>
        <v/>
      </c>
      <c r="AD52" s="443">
        <f>IF($N$6="","",IF($K$6="IC Switch",INDEX('IC Switch Scenarios'!$X$36:$X$170,$N$6+X52-1),INDEX('PM After Switch'!$AF$51:$AF$350,$N$6+X52-1)))</f>
        <v/>
      </c>
      <c r="AE52" s="443">
        <f>INDEX('Savings Projection'!$AI$19:$AI$33,X52)</f>
        <v/>
      </c>
    </row>
    <row r="53">
      <c r="X53" s="444" t="n">
        <v>12</v>
      </c>
      <c r="Y53" s="444">
        <f>'Model Inputs'!$B$22-1+X53</f>
        <v/>
      </c>
      <c r="Z53" s="443">
        <f>IF($N$5="","",IF($K$5="IC Switch",CHOOSE($N$7,INDEX('IC Switch Scenarios'!$L$36:$L$170,$N$5+X53-1),INDEX('IC Switch Scenarios'!$V$36:$V$170,$N$5+X53-1),INDEX('IC Switch Scenarios'!$W$36:$W$170,$N$5+X53-1),INDEX('IC Switch Scenarios'!$X$36:$X$170,$N$5+X53-1)),CHOOSE($N$7,INDEX('PM After Switch'!$T$51:$T$350,$N$5+X53-1),INDEX('PM After Switch'!$AD$51:$AD$350,$N$5+X53-1),INDEX('PM After Switch'!$AE$51:$AE$350,$N$5+X53-1),INDEX('PM After Switch'!$AF$51:$AF$350,$N$5+X53-1))))</f>
        <v/>
      </c>
      <c r="AA53" s="443">
        <f>IF($N$6="","",IF($K$6="IC Switch",CHOOSE($N$7,INDEX('IC Switch Scenarios'!$L$36:$L$170,$N$6+X53-1),INDEX('IC Switch Scenarios'!$V$36:$V$170,$N$6+X53-1),INDEX('IC Switch Scenarios'!$W$36:$W$170,$N$6+X53-1),INDEX('IC Switch Scenarios'!$X$36:$X$170,$N$6+X53-1)),CHOOSE($N$7,INDEX('PM After Switch'!$T$51:$T$350,$N$6+X53-1),INDEX('PM After Switch'!$AD$51:$AD$350,$N$6+X53-1),INDEX('PM After Switch'!$AE$51:$AE$350,$N$6+X53-1),INDEX('PM After Switch'!$AF$51:$AF$350,$N$6+X53-1))))</f>
        <v/>
      </c>
      <c r="AB53" s="443">
        <f>CHOOSE($N$7,INDEX('Savings Projection'!$B$19:$B$33,X53),INDEX('Savings Projection'!$AE$19:$AE$33,X53),INDEX('Savings Projection'!$AF$19:$AF$33,X53)+INDEX('Savings Projection'!$AG$19:$AG$33,X53)+INDEX('Savings Projection'!$AH$19:$AH$33,X53),INDEX('Savings Projection'!$AI$19:$AI$33,X53))</f>
        <v/>
      </c>
      <c r="AC53" s="443">
        <f>IF($N$5="","",IF($K$5="IC Switch",INDEX('IC Switch Scenarios'!$X$36:$X$170,$N$5+X53-1),INDEX('PM After Switch'!$AF$51:$AF$350,$N$5+X53-1)))</f>
        <v/>
      </c>
      <c r="AD53" s="443">
        <f>IF($N$6="","",IF($K$6="IC Switch",INDEX('IC Switch Scenarios'!$X$36:$X$170,$N$6+X53-1),INDEX('PM After Switch'!$AF$51:$AF$350,$N$6+X53-1)))</f>
        <v/>
      </c>
      <c r="AE53" s="443">
        <f>INDEX('Savings Projection'!$AI$19:$AI$33,X53)</f>
        <v/>
      </c>
    </row>
    <row r="54">
      <c r="X54" s="444" t="n">
        <v>13</v>
      </c>
      <c r="Y54" s="444">
        <f>'Model Inputs'!$B$22-1+X54</f>
        <v/>
      </c>
      <c r="Z54" s="443">
        <f>IF($N$5="","",IF($K$5="IC Switch",CHOOSE($N$7,INDEX('IC Switch Scenarios'!$L$36:$L$170,$N$5+X54-1),INDEX('IC Switch Scenarios'!$V$36:$V$170,$N$5+X54-1),INDEX('IC Switch Scenarios'!$W$36:$W$170,$N$5+X54-1),INDEX('IC Switch Scenarios'!$X$36:$X$170,$N$5+X54-1)),CHOOSE($N$7,INDEX('PM After Switch'!$T$51:$T$350,$N$5+X54-1),INDEX('PM After Switch'!$AD$51:$AD$350,$N$5+X54-1),INDEX('PM After Switch'!$AE$51:$AE$350,$N$5+X54-1),INDEX('PM After Switch'!$AF$51:$AF$350,$N$5+X54-1))))</f>
        <v/>
      </c>
      <c r="AA54" s="443">
        <f>IF($N$6="","",IF($K$6="IC Switch",CHOOSE($N$7,INDEX('IC Switch Scenarios'!$L$36:$L$170,$N$6+X54-1),INDEX('IC Switch Scenarios'!$V$36:$V$170,$N$6+X54-1),INDEX('IC Switch Scenarios'!$W$36:$W$170,$N$6+X54-1),INDEX('IC Switch Scenarios'!$X$36:$X$170,$N$6+X54-1)),CHOOSE($N$7,INDEX('PM After Switch'!$T$51:$T$350,$N$6+X54-1),INDEX('PM After Switch'!$AD$51:$AD$350,$N$6+X54-1),INDEX('PM After Switch'!$AE$51:$AE$350,$N$6+X54-1),INDEX('PM After Switch'!$AF$51:$AF$350,$N$6+X54-1))))</f>
        <v/>
      </c>
      <c r="AB54" s="443">
        <f>CHOOSE($N$7,INDEX('Savings Projection'!$B$19:$B$33,X54),INDEX('Savings Projection'!$AE$19:$AE$33,X54),INDEX('Savings Projection'!$AF$19:$AF$33,X54)+INDEX('Savings Projection'!$AG$19:$AG$33,X54)+INDEX('Savings Projection'!$AH$19:$AH$33,X54),INDEX('Savings Projection'!$AI$19:$AI$33,X54))</f>
        <v/>
      </c>
      <c r="AC54" s="443">
        <f>IF($N$5="","",IF($K$5="IC Switch",INDEX('IC Switch Scenarios'!$X$36:$X$170,$N$5+X54-1),INDEX('PM After Switch'!$AF$51:$AF$350,$N$5+X54-1)))</f>
        <v/>
      </c>
      <c r="AD54" s="443">
        <f>IF($N$6="","",IF($K$6="IC Switch",INDEX('IC Switch Scenarios'!$X$36:$X$170,$N$6+X54-1),INDEX('PM After Switch'!$AF$51:$AF$350,$N$6+X54-1)))</f>
        <v/>
      </c>
      <c r="AE54" s="443">
        <f>INDEX('Savings Projection'!$AI$19:$AI$33,X54)</f>
        <v/>
      </c>
    </row>
    <row r="55">
      <c r="X55" s="444" t="n">
        <v>14</v>
      </c>
      <c r="Y55" s="444">
        <f>'Model Inputs'!$B$22-1+X55</f>
        <v/>
      </c>
      <c r="Z55" s="443">
        <f>IF($N$5="","",IF($K$5="IC Switch",CHOOSE($N$7,INDEX('IC Switch Scenarios'!$L$36:$L$170,$N$5+X55-1),INDEX('IC Switch Scenarios'!$V$36:$V$170,$N$5+X55-1),INDEX('IC Switch Scenarios'!$W$36:$W$170,$N$5+X55-1),INDEX('IC Switch Scenarios'!$X$36:$X$170,$N$5+X55-1)),CHOOSE($N$7,INDEX('PM After Switch'!$T$51:$T$350,$N$5+X55-1),INDEX('PM After Switch'!$AD$51:$AD$350,$N$5+X55-1),INDEX('PM After Switch'!$AE$51:$AE$350,$N$5+X55-1),INDEX('PM After Switch'!$AF$51:$AF$350,$N$5+X55-1))))</f>
        <v/>
      </c>
      <c r="AA55" s="443">
        <f>IF($N$6="","",IF($K$6="IC Switch",CHOOSE($N$7,INDEX('IC Switch Scenarios'!$L$36:$L$170,$N$6+X55-1),INDEX('IC Switch Scenarios'!$V$36:$V$170,$N$6+X55-1),INDEX('IC Switch Scenarios'!$W$36:$W$170,$N$6+X55-1),INDEX('IC Switch Scenarios'!$X$36:$X$170,$N$6+X55-1)),CHOOSE($N$7,INDEX('PM After Switch'!$T$51:$T$350,$N$6+X55-1),INDEX('PM After Switch'!$AD$51:$AD$350,$N$6+X55-1),INDEX('PM After Switch'!$AE$51:$AE$350,$N$6+X55-1),INDEX('PM After Switch'!$AF$51:$AF$350,$N$6+X55-1))))</f>
        <v/>
      </c>
      <c r="AB55" s="443">
        <f>CHOOSE($N$7,INDEX('Savings Projection'!$B$19:$B$33,X55),INDEX('Savings Projection'!$AE$19:$AE$33,X55),INDEX('Savings Projection'!$AF$19:$AF$33,X55)+INDEX('Savings Projection'!$AG$19:$AG$33,X55)+INDEX('Savings Projection'!$AH$19:$AH$33,X55),INDEX('Savings Projection'!$AI$19:$AI$33,X55))</f>
        <v/>
      </c>
      <c r="AC55" s="443">
        <f>IF($N$5="","",IF($K$5="IC Switch",INDEX('IC Switch Scenarios'!$X$36:$X$170,$N$5+X55-1),INDEX('PM After Switch'!$AF$51:$AF$350,$N$5+X55-1)))</f>
        <v/>
      </c>
      <c r="AD55" s="443">
        <f>IF($N$6="","",IF($K$6="IC Switch",INDEX('IC Switch Scenarios'!$X$36:$X$170,$N$6+X55-1),INDEX('PM After Switch'!$AF$51:$AF$350,$N$6+X55-1)))</f>
        <v/>
      </c>
      <c r="AE55" s="443">
        <f>INDEX('Savings Projection'!$AI$19:$AI$33,X55)</f>
        <v/>
      </c>
    </row>
    <row r="56">
      <c r="X56" s="444" t="n">
        <v>15</v>
      </c>
      <c r="Y56" s="444">
        <f>'Model Inputs'!$B$22-1+X56</f>
        <v/>
      </c>
      <c r="Z56" s="443">
        <f>IF($N$5="","",IF($K$5="IC Switch",CHOOSE($N$7,INDEX('IC Switch Scenarios'!$L$36:$L$170,$N$5+X56-1),INDEX('IC Switch Scenarios'!$V$36:$V$170,$N$5+X56-1),INDEX('IC Switch Scenarios'!$W$36:$W$170,$N$5+X56-1),INDEX('IC Switch Scenarios'!$X$36:$X$170,$N$5+X56-1)),CHOOSE($N$7,INDEX('PM After Switch'!$T$51:$T$350,$N$5+X56-1),INDEX('PM After Switch'!$AD$51:$AD$350,$N$5+X56-1),INDEX('PM After Switch'!$AE$51:$AE$350,$N$5+X56-1),INDEX('PM After Switch'!$AF$51:$AF$350,$N$5+X56-1))))</f>
        <v/>
      </c>
      <c r="AA56" s="443">
        <f>IF($N$6="","",IF($K$6="IC Switch",CHOOSE($N$7,INDEX('IC Switch Scenarios'!$L$36:$L$170,$N$6+X56-1),INDEX('IC Switch Scenarios'!$V$36:$V$170,$N$6+X56-1),INDEX('IC Switch Scenarios'!$W$36:$W$170,$N$6+X56-1),INDEX('IC Switch Scenarios'!$X$36:$X$170,$N$6+X56-1)),CHOOSE($N$7,INDEX('PM After Switch'!$T$51:$T$350,$N$6+X56-1),INDEX('PM After Switch'!$AD$51:$AD$350,$N$6+X56-1),INDEX('PM After Switch'!$AE$51:$AE$350,$N$6+X56-1),INDEX('PM After Switch'!$AF$51:$AF$350,$N$6+X56-1))))</f>
        <v/>
      </c>
      <c r="AB56" s="443">
        <f>CHOOSE($N$7,INDEX('Savings Projection'!$B$19:$B$33,X56),INDEX('Savings Projection'!$AE$19:$AE$33,X56),INDEX('Savings Projection'!$AF$19:$AF$33,X56)+INDEX('Savings Projection'!$AG$19:$AG$33,X56)+INDEX('Savings Projection'!$AH$19:$AH$33,X56),INDEX('Savings Projection'!$AI$19:$AI$33,X56))</f>
        <v/>
      </c>
      <c r="AC56" s="443">
        <f>IF($N$5="","",IF($K$5="IC Switch",INDEX('IC Switch Scenarios'!$X$36:$X$170,$N$5+X56-1),INDEX('PM After Switch'!$AF$51:$AF$350,$N$5+X56-1)))</f>
        <v/>
      </c>
      <c r="AD56" s="443">
        <f>IF($N$6="","",IF($K$6="IC Switch",INDEX('IC Switch Scenarios'!$X$36:$X$170,$N$6+X56-1),INDEX('PM After Switch'!$AF$51:$AF$350,$N$6+X56-1)))</f>
        <v/>
      </c>
      <c r="AE56" s="443">
        <f>INDEX('Savings Projection'!$AI$19:$AI$33,X56)</f>
        <v/>
      </c>
    </row>
  </sheetData>
  <mergeCells count="11">
    <mergeCell ref="J4:N4"/>
    <mergeCell ref="A40:G40"/>
    <mergeCell ref="X1:AB1"/>
    <mergeCell ref="AD1:AE1"/>
    <mergeCell ref="A1:P1"/>
    <mergeCell ref="A12:G12"/>
    <mergeCell ref="A4:G4"/>
    <mergeCell ref="J32:N32"/>
    <mergeCell ref="X38:AE38"/>
    <mergeCell ref="A32:D32"/>
    <mergeCell ref="A2:P2"/>
  </mergeCells>
  <conditionalFormatting sqref="E17:G24">
    <cfRule type="cellIs" priority="1" operator="greaterThanOrEqual" dxfId="36">
      <formula>0</formula>
    </cfRule>
    <cfRule type="cellIs" priority="2" operator="lessThan" dxfId="37">
      <formula>0</formula>
    </cfRule>
  </conditionalFormatting>
  <conditionalFormatting sqref="B34:D36">
    <cfRule type="colorScale" priority="3">
      <colorScale>
        <cfvo type="min"/>
        <cfvo type="percentile" val="50"/>
        <cfvo type="max"/>
        <color rgb="00F4CCCC"/>
        <color rgb="00FFF2CC"/>
        <color rgb="00D9EAD3"/>
      </colorScale>
    </cfRule>
  </conditionalFormatting>
  <conditionalFormatting sqref="K34:N38">
    <cfRule type="colorScale" priority="4">
      <colorScale>
        <cfvo type="min"/>
        <cfvo type="percentile" val="50"/>
        <cfvo type="max"/>
        <color rgb="00F4CCCC"/>
        <color rgb="00FFF2CC"/>
        <color rgb="00D9EAD3"/>
      </colorScale>
    </cfRule>
  </conditionalFormatting>
  <dataValidations count="3">
    <dataValidation sqref="B5 B6" showDropDown="0" showInputMessage="0" showErrorMessage="0" allowBlank="0" type="list">
      <formula1>=$X$4:$X$32</formula1>
    </dataValidation>
    <dataValidation sqref="G5" showDropDown="0" showInputMessage="0" showErrorMessage="0" allowBlank="0" type="list">
      <formula1>=$AD$4:$AD$5</formula1>
    </dataValidation>
    <dataValidation sqref="G6" showDropDown="0" showInputMessage="0" showErrorMessage="0" allowBlank="0" type="list">
      <formula1>=$AE$4:$AE$7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48"/>
  <sheetViews>
    <sheetView showGridLines="0" tabSelected="1" workbookViewId="0">
      <pane ySplit="6" topLeftCell="A7" activePane="bottomLeft" state="frozen"/>
      <selection pane="bottomLeft" activeCell="E12" sqref="E12"/>
    </sheetView>
  </sheetViews>
  <sheetFormatPr baseColWidth="10" defaultColWidth="8.83203125" defaultRowHeight="15"/>
  <cols>
    <col width="24" customWidth="1" style="326" min="1" max="1"/>
    <col width="18" bestFit="1" customWidth="1" style="326" min="2" max="3"/>
    <col hidden="1" width="18" customWidth="1" style="326" min="3" max="3"/>
    <col width="18" bestFit="1" customWidth="1" style="326" min="4" max="9"/>
    <col hidden="1" width="18" customWidth="1" style="326" min="5" max="5"/>
    <col width="18" customWidth="1" style="326" min="6" max="6"/>
    <col width="18" customWidth="1" style="326" min="7" max="7"/>
  </cols>
  <sheetData>
    <row r="1" ht="26" customHeight="1" s="326">
      <c r="A1" s="412" t="inlineStr">
        <is>
          <t>Scenario Pivot Lab</t>
        </is>
      </c>
    </row>
    <row r="2" ht="34" customHeight="1" s="326">
      <c r="A2" s="413" t="inlineStr">
        <is>
          <t>Compact native Excel pivot views live here. Use this sheet for quick cuts of the normalized scenario table without crowding the main analysis page.</t>
        </is>
      </c>
    </row>
    <row r="3" ht="16" customHeight="1" s="326">
      <c r="A3" s="455" t="inlineStr">
        <is>
          <t>Scenario Analysis</t>
        </is>
      </c>
      <c r="C3" s="455" t="inlineStr">
        <is>
          <t>Scenario Results</t>
        </is>
      </c>
      <c r="E3" s="455" t="inlineStr">
        <is>
          <t>Dashboard</t>
        </is>
      </c>
    </row>
    <row r="4">
      <c r="A4" s="462" t="inlineStr">
        <is>
          <t>Visible columns focus on liquid net worth by path, scenario, and horizon.</t>
        </is>
      </c>
      <c r="D4" s="463" t="inlineStr">
        <is>
          <t>Y10</t>
        </is>
      </c>
      <c r="F4" s="463" t="inlineStr">
        <is>
          <t>Y15</t>
        </is>
      </c>
    </row>
    <row r="5" ht="20" customHeight="1" s="326">
      <c r="A5" s="464" t="inlineStr">
        <is>
          <t>Pivot Output</t>
        </is>
      </c>
    </row>
    <row r="6" hidden="1" ht="20" customHeight="1" s="326">
      <c r="A6" s="229" t="n"/>
      <c r="B6" s="231" t="n"/>
      <c r="C6" s="231" t="n"/>
      <c r="D6" s="232" t="inlineStr">
        <is>
          <t>Horizon</t>
        </is>
      </c>
      <c r="E6" s="241" t="inlineStr">
        <is>
          <t>Data</t>
        </is>
      </c>
      <c r="F6" s="231" t="n"/>
      <c r="G6" s="231" t="n"/>
      <c r="H6" s="231" t="n"/>
      <c r="I6" s="234" t="n"/>
    </row>
    <row r="7" hidden="1" ht="20" customHeight="1" s="326">
      <c r="A7" s="235" t="n"/>
      <c r="B7" s="242" t="n"/>
      <c r="C7" s="242" t="n"/>
      <c r="D7" s="229" t="inlineStr">
        <is>
          <t>Y10</t>
        </is>
      </c>
      <c r="E7" s="231" t="n"/>
      <c r="F7" s="231" t="n"/>
      <c r="G7" s="229" t="inlineStr">
        <is>
          <t>Y15</t>
        </is>
      </c>
      <c r="H7" s="231" t="n"/>
      <c r="I7" s="234" t="n"/>
    </row>
    <row r="8" ht="20" customHeight="1" s="326">
      <c r="A8" s="232" t="inlineStr">
        <is>
          <t>PM Case</t>
        </is>
      </c>
      <c r="B8" s="232" t="inlineStr">
        <is>
          <t>Path</t>
        </is>
      </c>
      <c r="C8" s="232" t="inlineStr">
        <is>
          <t>Scenario</t>
        </is>
      </c>
      <c r="D8" s="229" t="inlineStr">
        <is>
          <t>Sum of Switch After YOE</t>
        </is>
      </c>
      <c r="E8" s="243" t="inlineStr">
        <is>
          <t>Sum of IC Bump</t>
        </is>
      </c>
      <c r="F8" s="243" t="inlineStr">
        <is>
          <t>Sum of Liquid Net Worth</t>
        </is>
      </c>
      <c r="G8" s="229" t="inlineStr">
        <is>
          <t>Sum of Switch After YOE</t>
        </is>
      </c>
      <c r="H8" s="243" t="inlineStr">
        <is>
          <t>Sum of IC Bump</t>
        </is>
      </c>
      <c r="I8" s="237" t="inlineStr">
        <is>
          <t>Sum of Liquid Net Worth</t>
        </is>
      </c>
    </row>
    <row r="9" ht="20" customHeight="1" s="326">
      <c r="A9" s="229" t="inlineStr">
        <is>
          <t>Base</t>
        </is>
      </c>
      <c r="B9" s="229" t="inlineStr">
        <is>
          <t>PM After Switch</t>
        </is>
      </c>
      <c r="C9" s="229" t="inlineStr">
        <is>
          <t>3Y -&gt; PM Y7 Base</t>
        </is>
      </c>
      <c r="D9" s="406" t="n">
        <v>3</v>
      </c>
      <c r="E9" s="407" t="n">
        <v>3</v>
      </c>
      <c r="F9" s="244" t="n">
        <v>10649250.43357383</v>
      </c>
      <c r="G9" s="406" t="n">
        <v>3</v>
      </c>
      <c r="H9" s="407" t="n">
        <v>3</v>
      </c>
      <c r="I9" s="238" t="n">
        <v>24453887.70360902</v>
      </c>
    </row>
    <row r="10" ht="20" customHeight="1" s="326">
      <c r="A10" s="235" t="n"/>
      <c r="B10" s="235" t="n"/>
      <c r="C10" s="236" t="inlineStr">
        <is>
          <t>3Y -&gt; PM Y8 Base</t>
        </is>
      </c>
      <c r="D10" s="408" t="n">
        <v>3</v>
      </c>
      <c r="E10" s="409" t="n">
        <v>3</v>
      </c>
      <c r="F10" s="245" t="n">
        <v>9638992.54986183</v>
      </c>
      <c r="G10" s="408" t="n">
        <v>3</v>
      </c>
      <c r="H10" s="409" t="n">
        <v>3</v>
      </c>
      <c r="I10" s="239" t="n">
        <v>23101934.76365357</v>
      </c>
    </row>
    <row r="11" ht="20" customHeight="1" s="326">
      <c r="A11" s="235" t="n"/>
      <c r="B11" s="235" t="n"/>
      <c r="C11" s="236" t="inlineStr">
        <is>
          <t>4Y -&gt; PM Y7 Base</t>
        </is>
      </c>
      <c r="D11" s="408" t="n">
        <v>4</v>
      </c>
      <c r="E11" s="409" t="n">
        <v>3</v>
      </c>
      <c r="F11" s="245" t="n">
        <v>9780373.592687918</v>
      </c>
      <c r="G11" s="408" t="n">
        <v>4</v>
      </c>
      <c r="H11" s="409" t="n">
        <v>3</v>
      </c>
      <c r="I11" s="239" t="n">
        <v>23291134.4913512</v>
      </c>
    </row>
    <row r="12" ht="20" customHeight="1" s="326">
      <c r="A12" s="235" t="n"/>
      <c r="B12" s="235" t="n"/>
      <c r="C12" s="236" t="inlineStr">
        <is>
          <t>4Y -&gt; PM Y8 Base</t>
        </is>
      </c>
      <c r="D12" s="408" t="n">
        <v>4</v>
      </c>
      <c r="E12" s="409" t="n">
        <v>3</v>
      </c>
      <c r="F12" s="245" t="n">
        <v>9227734.498080177</v>
      </c>
      <c r="G12" s="408" t="n">
        <v>4</v>
      </c>
      <c r="H12" s="409" t="n">
        <v>3</v>
      </c>
      <c r="I12" s="239" t="n">
        <v>22551578.71976542</v>
      </c>
    </row>
    <row r="13" ht="20" customHeight="1" s="326">
      <c r="A13" s="235" t="n"/>
      <c r="B13" s="235" t="n"/>
      <c r="C13" s="236" t="inlineStr">
        <is>
          <t>5Y -&gt; PM Y8 Base</t>
        </is>
      </c>
      <c r="D13" s="408" t="n">
        <v>5</v>
      </c>
      <c r="E13" s="409" t="n">
        <v>3</v>
      </c>
      <c r="F13" s="245" t="n">
        <v>8086603.550006028</v>
      </c>
      <c r="G13" s="408" t="n">
        <v>5</v>
      </c>
      <c r="H13" s="409" t="n">
        <v>3</v>
      </c>
      <c r="I13" s="239" t="n">
        <v>21024488.09766165</v>
      </c>
    </row>
    <row r="14" ht="20" customHeight="1" s="326">
      <c r="A14" s="235" t="n"/>
      <c r="B14" s="229" t="inlineStr">
        <is>
          <t>PM After Switch Total</t>
        </is>
      </c>
      <c r="C14" s="231" t="n"/>
      <c r="D14" s="406" t="n">
        <v>19</v>
      </c>
      <c r="E14" s="407" t="n">
        <v>15</v>
      </c>
      <c r="F14" s="244" t="n">
        <v>47382954.62420979</v>
      </c>
      <c r="G14" s="406" t="n">
        <v>19</v>
      </c>
      <c r="H14" s="407" t="n">
        <v>15</v>
      </c>
      <c r="I14" s="238" t="n">
        <v>114423023.7760409</v>
      </c>
    </row>
    <row r="15" ht="20" customHeight="1" s="326">
      <c r="A15" s="229" t="inlineStr">
        <is>
          <t>Base Total</t>
        </is>
      </c>
      <c r="B15" s="231" t="n"/>
      <c r="C15" s="231" t="n"/>
      <c r="D15" s="406" t="n">
        <v>19</v>
      </c>
      <c r="E15" s="407" t="n">
        <v>15</v>
      </c>
      <c r="F15" s="244" t="n">
        <v>47382954.62420979</v>
      </c>
      <c r="G15" s="406" t="n">
        <v>19</v>
      </c>
      <c r="H15" s="407" t="n">
        <v>15</v>
      </c>
      <c r="I15" s="238" t="n">
        <v>114423023.7760409</v>
      </c>
    </row>
    <row r="16" ht="20" customHeight="1" s="326">
      <c r="A16" s="229" t="inlineStr">
        <is>
          <t>Starter</t>
        </is>
      </c>
      <c r="B16" s="229" t="inlineStr">
        <is>
          <t>PM After Switch</t>
        </is>
      </c>
      <c r="C16" s="229" t="inlineStr">
        <is>
          <t>3Y -&gt; PM Y7 Starter</t>
        </is>
      </c>
      <c r="D16" s="406" t="n">
        <v>3</v>
      </c>
      <c r="E16" s="407" t="n">
        <v>3</v>
      </c>
      <c r="F16" s="244" t="n">
        <v>6010888.834933829</v>
      </c>
      <c r="G16" s="406" t="n">
        <v>3</v>
      </c>
      <c r="H16" s="407" t="n">
        <v>3</v>
      </c>
      <c r="I16" s="238" t="n">
        <v>12269760.27959294</v>
      </c>
    </row>
    <row r="17" ht="20" customHeight="1" s="326">
      <c r="A17" s="235" t="n"/>
      <c r="B17" s="235" t="n"/>
      <c r="C17" s="236" t="inlineStr">
        <is>
          <t>3Y -&gt; PM Y8 Starter</t>
        </is>
      </c>
      <c r="D17" s="408" t="n">
        <v>3</v>
      </c>
      <c r="E17" s="409" t="n">
        <v>3</v>
      </c>
      <c r="F17" s="245" t="n">
        <v>6263453.305861829</v>
      </c>
      <c r="G17" s="408" t="n">
        <v>3</v>
      </c>
      <c r="H17" s="409" t="n">
        <v>3</v>
      </c>
      <c r="I17" s="239" t="n">
        <v>12607748.5145818</v>
      </c>
    </row>
    <row r="18" ht="20" customHeight="1" s="326">
      <c r="A18" s="235" t="n"/>
      <c r="B18" s="235" t="n"/>
      <c r="C18" s="236" t="inlineStr">
        <is>
          <t>4Y -&gt; PM Y7 Starter</t>
        </is>
      </c>
      <c r="D18" s="408" t="n">
        <v>4</v>
      </c>
      <c r="E18" s="409" t="n">
        <v>3</v>
      </c>
      <c r="F18" s="245" t="n">
        <v>5142011.994047917</v>
      </c>
      <c r="G18" s="408" t="n">
        <v>4</v>
      </c>
      <c r="H18" s="409" t="n">
        <v>3</v>
      </c>
      <c r="I18" s="239" t="n">
        <v>11107007.06733513</v>
      </c>
    </row>
    <row r="19" ht="20" customHeight="1" s="326">
      <c r="A19" s="235" t="n"/>
      <c r="B19" s="235" t="n"/>
      <c r="C19" s="236" t="inlineStr">
        <is>
          <t>4Y -&gt; PM Y8 Starter</t>
        </is>
      </c>
      <c r="D19" s="408" t="n">
        <v>4</v>
      </c>
      <c r="E19" s="409" t="n">
        <v>3</v>
      </c>
      <c r="F19" s="245" t="n">
        <v>5852195.254080175</v>
      </c>
      <c r="G19" s="408" t="n">
        <v>4</v>
      </c>
      <c r="H19" s="409" t="n">
        <v>3</v>
      </c>
      <c r="I19" s="239" t="n">
        <v>12057392.47069365</v>
      </c>
    </row>
    <row r="20" ht="20" customHeight="1" s="326">
      <c r="A20" s="235" t="n"/>
      <c r="B20" s="235" t="n"/>
      <c r="C20" s="236" t="inlineStr">
        <is>
          <t>5Y -&gt; PM Y8 Starter</t>
        </is>
      </c>
      <c r="D20" s="408" t="n">
        <v>5</v>
      </c>
      <c r="E20" s="409" t="n">
        <v>3</v>
      </c>
      <c r="F20" s="245" t="n">
        <v>4711064.306006027</v>
      </c>
      <c r="G20" s="408" t="n">
        <v>5</v>
      </c>
      <c r="H20" s="409" t="n">
        <v>3</v>
      </c>
      <c r="I20" s="239" t="n">
        <v>10530301.84858988</v>
      </c>
    </row>
    <row r="21" ht="20" customHeight="1" s="326">
      <c r="A21" s="235" t="n"/>
      <c r="B21" s="229" t="inlineStr">
        <is>
          <t>PM After Switch Total</t>
        </is>
      </c>
      <c r="C21" s="231" t="n"/>
      <c r="D21" s="406" t="n">
        <v>19</v>
      </c>
      <c r="E21" s="407" t="n">
        <v>15</v>
      </c>
      <c r="F21" s="244" t="n">
        <v>27979613.69492978</v>
      </c>
      <c r="G21" s="406" t="n">
        <v>19</v>
      </c>
      <c r="H21" s="407" t="n">
        <v>15</v>
      </c>
      <c r="I21" s="238" t="n">
        <v>58572210.1807934</v>
      </c>
    </row>
    <row r="22" ht="20" customHeight="1" s="326">
      <c r="A22" s="229" t="inlineStr">
        <is>
          <t>Starter Total</t>
        </is>
      </c>
      <c r="B22" s="231" t="n"/>
      <c r="C22" s="231" t="n"/>
      <c r="D22" s="406" t="n">
        <v>19</v>
      </c>
      <c r="E22" s="407" t="n">
        <v>15</v>
      </c>
      <c r="F22" s="244" t="n">
        <v>27979613.69492978</v>
      </c>
      <c r="G22" s="406" t="n">
        <v>19</v>
      </c>
      <c r="H22" s="407" t="n">
        <v>15</v>
      </c>
      <c r="I22" s="238" t="n">
        <v>58572210.1807934</v>
      </c>
    </row>
    <row r="23" ht="20" customHeight="1" s="326">
      <c r="A23" s="229" t="inlineStr">
        <is>
          <t>Tail</t>
        </is>
      </c>
      <c r="B23" s="229" t="inlineStr">
        <is>
          <t>PM After Switch</t>
        </is>
      </c>
      <c r="C23" s="229" t="inlineStr">
        <is>
          <t>3Y -&gt; PM Y7 Tail</t>
        </is>
      </c>
      <c r="D23" s="406" t="n">
        <v>3</v>
      </c>
      <c r="E23" s="407" t="n">
        <v>3</v>
      </c>
      <c r="F23" s="244" t="n">
        <v>33549088.22129035</v>
      </c>
      <c r="G23" s="406" t="n">
        <v>3</v>
      </c>
      <c r="H23" s="407" t="n">
        <v>3</v>
      </c>
      <c r="I23" s="238" t="n">
        <v>84607572.50400178</v>
      </c>
    </row>
    <row r="24" ht="20" customHeight="1" s="326">
      <c r="A24" s="235" t="n"/>
      <c r="B24" s="235" t="n"/>
      <c r="C24" s="236" t="inlineStr">
        <is>
          <t>3Y -&gt; PM Y8 Tail</t>
        </is>
      </c>
      <c r="D24" s="408" t="n">
        <v>3</v>
      </c>
      <c r="E24" s="409" t="n">
        <v>3</v>
      </c>
      <c r="F24" s="245" t="n">
        <v>26304209.24110383</v>
      </c>
      <c r="G24" s="408" t="n">
        <v>3</v>
      </c>
      <c r="H24" s="409" t="n">
        <v>3</v>
      </c>
      <c r="I24" s="239" t="n">
        <v>74912290.14609958</v>
      </c>
    </row>
    <row r="25" ht="20" customHeight="1" s="326">
      <c r="A25" s="235" t="n"/>
      <c r="B25" s="235" t="n"/>
      <c r="C25" s="236" t="inlineStr">
        <is>
          <t>4Y -&gt; PM Y7 Tail</t>
        </is>
      </c>
      <c r="D25" s="408" t="n">
        <v>4</v>
      </c>
      <c r="E25" s="409" t="n">
        <v>3</v>
      </c>
      <c r="F25" s="245" t="n">
        <v>32680211.38040444</v>
      </c>
      <c r="G25" s="408" t="n">
        <v>4</v>
      </c>
      <c r="H25" s="409" t="n">
        <v>3</v>
      </c>
      <c r="I25" s="239" t="n">
        <v>83444819.29174398</v>
      </c>
    </row>
    <row r="26" ht="20" customHeight="1" s="326">
      <c r="A26" s="235" t="n"/>
      <c r="B26" s="235" t="n"/>
      <c r="C26" s="236" t="inlineStr">
        <is>
          <t>4Y -&gt; PM Y8 Tail</t>
        </is>
      </c>
      <c r="D26" s="408" t="n">
        <v>4</v>
      </c>
      <c r="E26" s="409" t="n">
        <v>3</v>
      </c>
      <c r="F26" s="245" t="n">
        <v>25892951.18932218</v>
      </c>
      <c r="G26" s="408" t="n">
        <v>4</v>
      </c>
      <c r="H26" s="409" t="n">
        <v>3</v>
      </c>
      <c r="I26" s="239" t="n">
        <v>74361934.10221143</v>
      </c>
    </row>
    <row r="27" ht="20" customHeight="1" s="326">
      <c r="A27" s="235" t="n"/>
      <c r="B27" s="235" t="n"/>
      <c r="C27" s="236" t="inlineStr">
        <is>
          <t>5Y -&gt; PM Y8 Tail</t>
        </is>
      </c>
      <c r="D27" s="408" t="n">
        <v>5</v>
      </c>
      <c r="E27" s="409" t="n">
        <v>3</v>
      </c>
      <c r="F27" s="245" t="n">
        <v>24751820.24124803</v>
      </c>
      <c r="G27" s="408" t="n">
        <v>5</v>
      </c>
      <c r="H27" s="409" t="n">
        <v>3</v>
      </c>
      <c r="I27" s="239" t="n">
        <v>72834843.48010765</v>
      </c>
    </row>
    <row r="28" ht="20" customHeight="1" s="326">
      <c r="A28" s="235" t="n"/>
      <c r="B28" s="229" t="inlineStr">
        <is>
          <t>PM After Switch Total</t>
        </is>
      </c>
      <c r="C28" s="231" t="n"/>
      <c r="D28" s="406" t="n">
        <v>19</v>
      </c>
      <c r="E28" s="407" t="n">
        <v>15</v>
      </c>
      <c r="F28" s="244" t="n">
        <v>143178280.2733688</v>
      </c>
      <c r="G28" s="406" t="n">
        <v>19</v>
      </c>
      <c r="H28" s="407" t="n">
        <v>15</v>
      </c>
      <c r="I28" s="238" t="n">
        <v>390161459.5241644</v>
      </c>
    </row>
    <row r="29" ht="20" customHeight="1" s="326">
      <c r="A29" s="229" t="inlineStr">
        <is>
          <t>Tail Total</t>
        </is>
      </c>
      <c r="B29" s="231" t="n"/>
      <c r="C29" s="231" t="n"/>
      <c r="D29" s="406" t="n">
        <v>19</v>
      </c>
      <c r="E29" s="407" t="n">
        <v>15</v>
      </c>
      <c r="F29" s="244" t="n">
        <v>143178280.2733688</v>
      </c>
      <c r="G29" s="406" t="n">
        <v>19</v>
      </c>
      <c r="H29" s="407" t="n">
        <v>15</v>
      </c>
      <c r="I29" s="238" t="n">
        <v>390161459.5241644</v>
      </c>
    </row>
    <row r="30" ht="20" customHeight="1" s="326">
      <c r="A30" s="229" t="inlineStr">
        <is>
          <t>Upside</t>
        </is>
      </c>
      <c r="B30" s="229" t="inlineStr">
        <is>
          <t>PM After Switch</t>
        </is>
      </c>
      <c r="C30" s="229" t="inlineStr">
        <is>
          <t>3Y -&gt; PM Y7 Upside</t>
        </is>
      </c>
      <c r="D30" s="406" t="n">
        <v>3</v>
      </c>
      <c r="E30" s="407" t="n">
        <v>3</v>
      </c>
      <c r="F30" s="244" t="n">
        <v>23383793.02209035</v>
      </c>
      <c r="G30" s="406" t="n">
        <v>3</v>
      </c>
      <c r="H30" s="407" t="n">
        <v>3</v>
      </c>
      <c r="I30" s="238" t="n">
        <v>57905201.55342584</v>
      </c>
    </row>
    <row r="31" ht="20" customHeight="1" s="326">
      <c r="A31" s="235" t="n"/>
      <c r="B31" s="235" t="n"/>
      <c r="C31" s="236" t="inlineStr">
        <is>
          <t>3Y -&gt; PM Y8 Upside</t>
        </is>
      </c>
      <c r="D31" s="408" t="n">
        <v>3</v>
      </c>
      <c r="E31" s="409" t="n">
        <v>3</v>
      </c>
      <c r="F31" s="245" t="n">
        <v>18906477.92110383</v>
      </c>
      <c r="G31" s="408" t="n">
        <v>3</v>
      </c>
      <c r="H31" s="409" t="n">
        <v>3</v>
      </c>
      <c r="I31" s="239" t="n">
        <v>51913543.96631097</v>
      </c>
    </row>
    <row r="32" ht="20" customHeight="1" s="326">
      <c r="A32" s="235" t="n"/>
      <c r="B32" s="235" t="n"/>
      <c r="C32" s="236" t="inlineStr">
        <is>
          <t>4Y -&gt; PM Y7 Upside</t>
        </is>
      </c>
      <c r="D32" s="408" t="n">
        <v>4</v>
      </c>
      <c r="E32" s="409" t="n">
        <v>3</v>
      </c>
      <c r="F32" s="245" t="n">
        <v>22514916.18120443</v>
      </c>
      <c r="G32" s="408" t="n">
        <v>4</v>
      </c>
      <c r="H32" s="409" t="n">
        <v>3</v>
      </c>
      <c r="I32" s="239" t="n">
        <v>56742448.34116803</v>
      </c>
    </row>
    <row r="33" ht="20" customHeight="1" s="326">
      <c r="A33" s="235" t="n"/>
      <c r="B33" s="235" t="n"/>
      <c r="C33" s="236" t="inlineStr">
        <is>
          <t>4Y -&gt; PM Y8 Upside</t>
        </is>
      </c>
      <c r="D33" s="408" t="n">
        <v>4</v>
      </c>
      <c r="E33" s="409" t="n">
        <v>3</v>
      </c>
      <c r="F33" s="245" t="n">
        <v>18495219.86932218</v>
      </c>
      <c r="G33" s="408" t="n">
        <v>4</v>
      </c>
      <c r="H33" s="409" t="n">
        <v>3</v>
      </c>
      <c r="I33" s="239" t="n">
        <v>51363187.92242282</v>
      </c>
    </row>
    <row r="34" ht="20" customHeight="1" s="326">
      <c r="A34" s="235" t="n"/>
      <c r="B34" s="235" t="n"/>
      <c r="C34" s="236" t="inlineStr">
        <is>
          <t>5Y -&gt; PM Y8 Upside</t>
        </is>
      </c>
      <c r="D34" s="408" t="n">
        <v>5</v>
      </c>
      <c r="E34" s="409" t="n">
        <v>3</v>
      </c>
      <c r="F34" s="245" t="n">
        <v>17354088.92124803</v>
      </c>
      <c r="G34" s="408" t="n">
        <v>5</v>
      </c>
      <c r="H34" s="409" t="n">
        <v>3</v>
      </c>
      <c r="I34" s="239" t="n">
        <v>49836097.30031905</v>
      </c>
    </row>
    <row r="35" ht="20" customHeight="1" s="326">
      <c r="A35" s="235" t="n"/>
      <c r="B35" s="229" t="inlineStr">
        <is>
          <t>PM After Switch Total</t>
        </is>
      </c>
      <c r="C35" s="231" t="n"/>
      <c r="D35" s="406" t="n">
        <v>19</v>
      </c>
      <c r="E35" s="407" t="n">
        <v>15</v>
      </c>
      <c r="F35" s="244" t="n">
        <v>100654495.9149688</v>
      </c>
      <c r="G35" s="406" t="n">
        <v>19</v>
      </c>
      <c r="H35" s="407" t="n">
        <v>15</v>
      </c>
      <c r="I35" s="238" t="n">
        <v>267760479.0836467</v>
      </c>
    </row>
    <row r="36" ht="20" customHeight="1" s="326">
      <c r="A36" s="229" t="inlineStr">
        <is>
          <t>Upside Total</t>
        </is>
      </c>
      <c r="B36" s="231" t="n"/>
      <c r="C36" s="231" t="n"/>
      <c r="D36" s="406" t="n">
        <v>19</v>
      </c>
      <c r="E36" s="407" t="n">
        <v>15</v>
      </c>
      <c r="F36" s="244" t="n">
        <v>100654495.9149688</v>
      </c>
      <c r="G36" s="406" t="n">
        <v>19</v>
      </c>
      <c r="H36" s="407" t="n">
        <v>15</v>
      </c>
      <c r="I36" s="238" t="n">
        <v>267760479.0836467</v>
      </c>
    </row>
    <row r="37" ht="20" customHeight="1" s="326">
      <c r="A37" s="229" t="inlineStr">
        <is>
          <t>(blank)</t>
        </is>
      </c>
      <c r="B37" s="229" t="inlineStr">
        <is>
          <t>IC Switch</t>
        </is>
      </c>
      <c r="C37" s="229" t="inlineStr">
        <is>
          <t>3Y 2x</t>
        </is>
      </c>
      <c r="D37" s="406" t="n">
        <v>3</v>
      </c>
      <c r="E37" s="407" t="n">
        <v>2</v>
      </c>
      <c r="F37" s="244" t="n">
        <v>6899995.364147411</v>
      </c>
      <c r="G37" s="406" t="n">
        <v>3</v>
      </c>
      <c r="H37" s="407" t="n">
        <v>2</v>
      </c>
      <c r="I37" s="238" t="n">
        <v>18193314.98152369</v>
      </c>
    </row>
    <row r="38" ht="20" customHeight="1" s="326">
      <c r="A38" s="235" t="n"/>
      <c r="B38" s="235" t="n"/>
      <c r="C38" s="236" t="inlineStr">
        <is>
          <t>3Y 3x</t>
        </is>
      </c>
      <c r="D38" s="408" t="n">
        <v>3</v>
      </c>
      <c r="E38" s="409" t="n">
        <v>3</v>
      </c>
      <c r="F38" s="245" t="n">
        <v>8164247.32900021</v>
      </c>
      <c r="G38" s="408" t="n">
        <v>3</v>
      </c>
      <c r="H38" s="409" t="n">
        <v>3</v>
      </c>
      <c r="I38" s="239" t="n">
        <v>19885169.29742077</v>
      </c>
    </row>
    <row r="39" ht="20" customHeight="1" s="326">
      <c r="A39" s="235" t="n"/>
      <c r="B39" s="235" t="n"/>
      <c r="C39" s="236" t="inlineStr">
        <is>
          <t>3Y 4x</t>
        </is>
      </c>
      <c r="D39" s="408" t="n">
        <v>3</v>
      </c>
      <c r="E39" s="409" t="n">
        <v>4</v>
      </c>
      <c r="F39" s="245" t="n">
        <v>9428499.293853013</v>
      </c>
      <c r="G39" s="408" t="n">
        <v>3</v>
      </c>
      <c r="H39" s="409" t="n">
        <v>4</v>
      </c>
      <c r="I39" s="239" t="n">
        <v>21577023.61331784</v>
      </c>
    </row>
    <row r="40" ht="20" customHeight="1" s="326">
      <c r="A40" s="235" t="n"/>
      <c r="B40" s="235" t="n"/>
      <c r="C40" s="236" t="inlineStr">
        <is>
          <t>4Y 2x</t>
        </is>
      </c>
      <c r="D40" s="408" t="n">
        <v>4</v>
      </c>
      <c r="E40" s="409" t="n">
        <v>2</v>
      </c>
      <c r="F40" s="245" t="n">
        <v>7070205.507155539</v>
      </c>
      <c r="G40" s="408" t="n">
        <v>4</v>
      </c>
      <c r="H40" s="409" t="n">
        <v>2</v>
      </c>
      <c r="I40" s="239" t="n">
        <v>18421094.54846413</v>
      </c>
    </row>
    <row r="41">
      <c r="A41" s="235" t="n"/>
      <c r="B41" s="235" t="n"/>
      <c r="C41" s="236" t="inlineStr">
        <is>
          <t>4Y 3x</t>
        </is>
      </c>
      <c r="D41" s="408" t="n">
        <v>4</v>
      </c>
      <c r="E41" s="409" t="n">
        <v>3</v>
      </c>
      <c r="F41" s="245" t="n">
        <v>8184705.115996159</v>
      </c>
      <c r="G41" s="408" t="n">
        <v>4</v>
      </c>
      <c r="H41" s="409" t="n">
        <v>3</v>
      </c>
      <c r="I41" s="239" t="n">
        <v>19912546.43123984</v>
      </c>
    </row>
    <row r="42">
      <c r="A42" s="235" t="n"/>
      <c r="B42" s="235" t="n"/>
      <c r="C42" s="236" t="inlineStr">
        <is>
          <t>4Y 4x</t>
        </is>
      </c>
      <c r="D42" s="408" t="n">
        <v>4</v>
      </c>
      <c r="E42" s="409" t="n">
        <v>4</v>
      </c>
      <c r="F42" s="245" t="n">
        <v>9299204.72483678</v>
      </c>
      <c r="G42" s="408" t="n">
        <v>4</v>
      </c>
      <c r="H42" s="409" t="n">
        <v>4</v>
      </c>
      <c r="I42" s="239" t="n">
        <v>21403998.31401555</v>
      </c>
    </row>
    <row r="43">
      <c r="A43" s="235" t="n"/>
      <c r="B43" s="235" t="n"/>
      <c r="C43" s="236" t="inlineStr">
        <is>
          <t>5Y 2x</t>
        </is>
      </c>
      <c r="D43" s="408" t="n">
        <v>5</v>
      </c>
      <c r="E43" s="409" t="n">
        <v>2</v>
      </c>
      <c r="F43" s="245" t="n">
        <v>6639680.771926209</v>
      </c>
      <c r="G43" s="408" t="n">
        <v>5</v>
      </c>
      <c r="H43" s="409" t="n">
        <v>2</v>
      </c>
      <c r="I43" s="239" t="n">
        <v>17844955.33599077</v>
      </c>
    </row>
    <row r="44">
      <c r="A44" s="235" t="n"/>
      <c r="B44" s="235" t="n"/>
      <c r="C44" s="236" t="inlineStr">
        <is>
          <t>5Y 3x</t>
        </is>
      </c>
      <c r="D44" s="408" t="n">
        <v>5</v>
      </c>
      <c r="E44" s="409" t="n">
        <v>3</v>
      </c>
      <c r="F44" s="245" t="n">
        <v>7249262.915317109</v>
      </c>
      <c r="G44" s="408" t="n">
        <v>5</v>
      </c>
      <c r="H44" s="409" t="n">
        <v>3</v>
      </c>
      <c r="I44" s="239" t="n">
        <v>18660713.7519247</v>
      </c>
    </row>
    <row r="45">
      <c r="A45" s="235" t="n"/>
      <c r="B45" s="235" t="n"/>
      <c r="C45" s="236" t="inlineStr">
        <is>
          <t>5Y 4x</t>
        </is>
      </c>
      <c r="D45" s="408" t="n">
        <v>5</v>
      </c>
      <c r="E45" s="409" t="n">
        <v>4</v>
      </c>
      <c r="F45" s="245" t="n">
        <v>7858845.058708009</v>
      </c>
      <c r="G45" s="408" t="n">
        <v>5</v>
      </c>
      <c r="H45" s="409" t="n">
        <v>4</v>
      </c>
      <c r="I45" s="239" t="n">
        <v>19476472.16785863</v>
      </c>
    </row>
    <row r="46">
      <c r="A46" s="235" t="n"/>
      <c r="B46" s="229" t="inlineStr">
        <is>
          <t>IC Switch Total</t>
        </is>
      </c>
      <c r="C46" s="231" t="n"/>
      <c r="D46" s="406" t="n">
        <v>36</v>
      </c>
      <c r="E46" s="407" t="n">
        <v>27</v>
      </c>
      <c r="F46" s="244" t="n">
        <v>70794646.08094044</v>
      </c>
      <c r="G46" s="406" t="n">
        <v>36</v>
      </c>
      <c r="H46" s="407" t="n">
        <v>27</v>
      </c>
      <c r="I46" s="238" t="n">
        <v>175375288.4417559</v>
      </c>
    </row>
    <row r="47">
      <c r="A47" s="229" t="inlineStr">
        <is>
          <t>(blank) Total</t>
        </is>
      </c>
      <c r="B47" s="231" t="n"/>
      <c r="C47" s="231" t="n"/>
      <c r="D47" s="406" t="n">
        <v>36</v>
      </c>
      <c r="E47" s="407" t="n">
        <v>27</v>
      </c>
      <c r="F47" s="244" t="n">
        <v>70794646.08094044</v>
      </c>
      <c r="G47" s="406" t="n">
        <v>36</v>
      </c>
      <c r="H47" s="407" t="n">
        <v>27</v>
      </c>
      <c r="I47" s="238" t="n">
        <v>175375288.4417559</v>
      </c>
    </row>
    <row r="48">
      <c r="A48" s="230" t="inlineStr">
        <is>
          <t>Grand Total</t>
        </is>
      </c>
      <c r="B48" s="233" t="n"/>
      <c r="C48" s="233" t="n"/>
      <c r="D48" s="410" t="n">
        <v>112</v>
      </c>
      <c r="E48" s="411" t="n">
        <v>87</v>
      </c>
      <c r="F48" s="246" t="n">
        <v>389989990.5884177</v>
      </c>
      <c r="G48" s="410" t="n">
        <v>112</v>
      </c>
      <c r="H48" s="411" t="n">
        <v>87</v>
      </c>
      <c r="I48" s="240" t="n">
        <v>1006292461.006401</v>
      </c>
    </row>
  </sheetData>
  <mergeCells count="3">
    <mergeCell ref="A2:G2"/>
    <mergeCell ref="A1:G1"/>
    <mergeCell ref="A5:G5"/>
  </mergeCell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/>
  <cols>
    <col width="24" customWidth="1" style="326" min="1" max="1"/>
    <col width="16" customWidth="1" style="326" min="2" max="2"/>
    <col width="4" customWidth="1" style="326" min="3" max="4"/>
    <col width="24" customWidth="1" style="326" min="5" max="5"/>
    <col width="14" customWidth="1" style="326" min="6" max="8"/>
    <col width="4" customWidth="1" style="326" min="9" max="9"/>
    <col width="18" customWidth="1" style="326" min="10" max="16"/>
  </cols>
  <sheetData>
    <row r="1" ht="26" customHeight="1" s="326">
      <c r="A1" s="453" t="inlineStr">
        <is>
          <t>Model Inputs</t>
        </is>
      </c>
    </row>
    <row r="2" ht="36" customHeight="1" s="326">
      <c r="A2" s="454" t="inlineStr">
        <is>
          <t>Edit global assumptions and scenario parameters here. Year-by-year compensation, HSA, after-tax payroll, rent, and living costs now live visibly on Savings Projection.</t>
        </is>
      </c>
    </row>
    <row r="3" ht="16" customHeight="1" s="326">
      <c r="A3" s="455" t="inlineStr">
        <is>
          <t>Back to Financial Dashboard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0" customHeight="1" s="326">
      <c r="A4" s="465" t="inlineStr">
        <is>
          <t>Base Inputs</t>
        </is>
      </c>
      <c r="B4" s="466" t="n"/>
      <c r="C4" s="5" t="n"/>
      <c r="D4" s="5" t="n"/>
      <c r="E4" s="465" t="inlineStr">
        <is>
          <t>Scenario, Retirement, And House Inputs</t>
        </is>
      </c>
      <c r="F4" s="467" t="n"/>
      <c r="G4" s="467" t="n"/>
      <c r="H4" s="466" t="n"/>
      <c r="I4" s="5" t="n"/>
      <c r="J4" s="468" t="inlineStr">
        <is>
      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      </is>
      </c>
      <c r="K4" s="323" t="n"/>
      <c r="L4" s="323" t="n"/>
      <c r="M4" s="323" t="n"/>
      <c r="N4" s="323" t="n"/>
      <c r="O4" s="323" t="n"/>
      <c r="P4" s="324" t="n"/>
    </row>
    <row r="5" ht="20" customHeight="1" s="326">
      <c r="A5" s="312" t="inlineStr">
        <is>
          <t>Filing status</t>
        </is>
      </c>
      <c r="B5" s="469" t="inlineStr">
        <is>
          <t>Single</t>
        </is>
      </c>
      <c r="C5" s="5" t="n"/>
      <c r="D5" s="5" t="n"/>
      <c r="E5" s="312" t="inlineStr">
        <is>
          <t>Scenario</t>
        </is>
      </c>
      <c r="F5" s="470" t="inlineStr">
        <is>
          <t>Downside</t>
        </is>
      </c>
      <c r="G5" s="470" t="inlineStr">
        <is>
          <t>Base</t>
        </is>
      </c>
      <c r="H5" s="469" t="inlineStr">
        <is>
          <t>Upside</t>
        </is>
      </c>
      <c r="I5" s="5" t="n"/>
      <c r="J5" s="325" t="n"/>
      <c r="P5" s="327" t="n"/>
    </row>
    <row r="6" ht="20" customHeight="1" s="326">
      <c r="A6" s="312" t="inlineStr">
        <is>
          <t>Resident city</t>
        </is>
      </c>
      <c r="B6" s="469" t="inlineStr">
        <is>
          <t>New York City</t>
        </is>
      </c>
      <c r="C6" s="5" t="n"/>
      <c r="D6" s="5" t="n"/>
      <c r="E6" s="312" t="inlineStr">
        <is>
          <t>Gross comp multiplier</t>
        </is>
      </c>
      <c r="F6" s="471" t="n">
        <v>0.75</v>
      </c>
      <c r="G6" s="471" t="n">
        <v>1</v>
      </c>
      <c r="H6" s="472" t="n">
        <v>1.2</v>
      </c>
      <c r="I6" s="5" t="n"/>
      <c r="J6" s="325" t="n"/>
      <c r="P6" s="327" t="n"/>
    </row>
    <row r="7" ht="20" customHeight="1" s="326">
      <c r="A7" s="312" t="inlineStr">
        <is>
          <t>Starting taxable assets</t>
        </is>
      </c>
      <c r="B7" s="473" t="n">
        <v>150000</v>
      </c>
      <c r="C7" s="5" t="n"/>
      <c r="D7" s="5" t="n"/>
      <c r="E7" s="312" t="inlineStr">
        <is>
          <t>Tax multiplier</t>
        </is>
      </c>
      <c r="F7" s="471" t="n">
        <v>1.04</v>
      </c>
      <c r="G7" s="471" t="n">
        <v>1</v>
      </c>
      <c r="H7" s="472" t="n">
        <v>0.97</v>
      </c>
      <c r="I7" s="5" t="n"/>
      <c r="J7" s="325" t="n"/>
      <c r="P7" s="327" t="n"/>
    </row>
    <row r="8" ht="20" customHeight="1" s="326">
      <c r="A8" s="312" t="inlineStr">
        <is>
          <t>Starting 401(k) balance</t>
        </is>
      </c>
      <c r="B8" s="473" t="n">
        <v>0</v>
      </c>
      <c r="C8" s="5" t="n"/>
      <c r="D8" s="5" t="n"/>
      <c r="E8" s="312" t="inlineStr">
        <is>
          <t>Rent multiplier</t>
        </is>
      </c>
      <c r="F8" s="471" t="n">
        <v>1</v>
      </c>
      <c r="G8" s="471" t="n">
        <v>1</v>
      </c>
      <c r="H8" s="472" t="n">
        <v>1.05</v>
      </c>
      <c r="I8" s="5" t="n"/>
      <c r="J8" s="325" t="n"/>
      <c r="P8" s="327" t="n"/>
    </row>
    <row r="9" ht="20" customHeight="1" s="326">
      <c r="A9" s="312" t="inlineStr">
        <is>
          <t>Starting Roth balance</t>
        </is>
      </c>
      <c r="B9" s="473" t="n">
        <v>0</v>
      </c>
      <c r="C9" s="5" t="n"/>
      <c r="D9" s="5" t="n"/>
      <c r="E9" s="312" t="inlineStr">
        <is>
          <t>Living multiplier</t>
        </is>
      </c>
      <c r="F9" s="471" t="n">
        <v>0.95</v>
      </c>
      <c r="G9" s="471" t="n">
        <v>1</v>
      </c>
      <c r="H9" s="472" t="n">
        <v>1.08</v>
      </c>
      <c r="I9" s="5" t="n"/>
      <c r="J9" s="325" t="n"/>
      <c r="P9" s="327" t="n"/>
    </row>
    <row r="10" ht="20" customHeight="1" s="326">
      <c r="A10" s="312" t="inlineStr">
        <is>
          <t>Starting HSA balance</t>
        </is>
      </c>
      <c r="B10" s="473" t="n">
        <v>0</v>
      </c>
      <c r="C10" s="5" t="n"/>
      <c r="D10" s="5" t="n"/>
      <c r="E10" s="312" t="inlineStr">
        <is>
          <t>Return assumption</t>
        </is>
      </c>
      <c r="F10" s="471" t="n">
        <v>0.04</v>
      </c>
      <c r="G10" s="471" t="n">
        <v>0.06</v>
      </c>
      <c r="H10" s="472" t="n">
        <v>0.09</v>
      </c>
      <c r="I10" s="5" t="n"/>
      <c r="J10" s="325" t="n"/>
      <c r="P10" s="327" t="n"/>
    </row>
    <row r="11" ht="20" customHeight="1" s="326">
      <c r="A11" s="312" t="inlineStr">
        <is>
          <t>Baseline retirement spend (non-housing)</t>
        </is>
      </c>
      <c r="B11" s="473" t="n">
        <v>200000</v>
      </c>
      <c r="C11" s="5" t="n"/>
      <c r="D11" s="5" t="n"/>
      <c r="E11" s="312" t="inlineStr">
        <is>
          <t>Retire after YOE cap (defaults from modeled years)</t>
        </is>
      </c>
      <c r="F11" s="474">
        <f>MAX(1,$B$19+2)</f>
        <v/>
      </c>
      <c r="G11" s="474">
        <f>$B$19</f>
        <v/>
      </c>
      <c r="H11" s="474">
        <f>MAX(1,$B$19-1)</f>
        <v/>
      </c>
      <c r="I11" s="5" t="n"/>
      <c r="J11" s="325" t="n"/>
      <c r="P11" s="327" t="n"/>
    </row>
    <row r="12" ht="20" customHeight="1" s="326">
      <c r="A12" s="312" t="inlineStr">
        <is>
          <t>No-growth return</t>
        </is>
      </c>
      <c r="B12" s="472" t="n">
        <v>0</v>
      </c>
      <c r="C12" s="5" t="n"/>
      <c r="D12" s="5" t="n"/>
      <c r="E12" s="312" t="inlineStr">
        <is>
          <t>Baseline retirement spend (non-housing)</t>
        </is>
      </c>
      <c r="F12" s="475" t="n">
        <v>170000</v>
      </c>
      <c r="G12" s="475" t="n">
        <v>200000</v>
      </c>
      <c r="H12" s="473" t="n">
        <v>240000</v>
      </c>
      <c r="I12" s="5" t="n"/>
      <c r="J12" s="328" t="n"/>
      <c r="K12" s="320" t="n"/>
      <c r="L12" s="320" t="n"/>
      <c r="M12" s="320" t="n"/>
      <c r="N12" s="320" t="n"/>
      <c r="O12" s="320" t="n"/>
      <c r="P12" s="321" t="n"/>
    </row>
    <row r="13" ht="20" customHeight="1" s="326">
      <c r="A13" s="312" t="inlineStr">
        <is>
          <t>Base return</t>
        </is>
      </c>
      <c r="B13" s="472" t="n">
        <v>0.06</v>
      </c>
      <c r="C13" s="5" t="n"/>
      <c r="D13" s="5" t="n"/>
      <c r="E13" s="312" t="inlineStr">
        <is>
          <t>Home purchase year</t>
        </is>
      </c>
      <c r="F13" s="474" t="n">
        <v>10</v>
      </c>
      <c r="G13" s="474" t="n">
        <v>10</v>
      </c>
      <c r="H13" s="476" t="n">
        <v>10</v>
      </c>
      <c r="I13" s="5" t="n"/>
      <c r="J13" s="468" t="inlineStr">
        <is>
      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      </is>
      </c>
      <c r="K13" s="323" t="n"/>
      <c r="L13" s="323" t="n"/>
      <c r="M13" s="323" t="n"/>
      <c r="N13" s="323" t="n"/>
      <c r="O13" s="323" t="n"/>
      <c r="P13" s="324" t="n"/>
    </row>
    <row r="14" ht="20" customHeight="1" s="326">
      <c r="A14" s="312" t="inlineStr">
        <is>
          <t>Upside return</t>
        </is>
      </c>
      <c r="B14" s="472" t="n">
        <v>0.08</v>
      </c>
      <c r="C14" s="5" t="n"/>
      <c r="D14" s="5" t="n"/>
      <c r="E14" s="312" t="inlineStr">
        <is>
          <t>Home purchase price</t>
        </is>
      </c>
      <c r="F14" s="475" t="n">
        <v>5000000</v>
      </c>
      <c r="G14" s="475" t="n">
        <v>5000000</v>
      </c>
      <c r="H14" s="475" t="n">
        <v>5000000</v>
      </c>
      <c r="I14" s="5" t="n"/>
      <c r="J14" s="325" t="n"/>
      <c r="P14" s="327" t="n"/>
    </row>
    <row r="15" ht="20" customHeight="1" s="326">
      <c r="A15" s="312" t="inlineStr">
        <is>
          <t>Dashboard selected year</t>
        </is>
      </c>
      <c r="B15" s="476" t="n">
        <v>10</v>
      </c>
      <c r="C15" s="5" t="n"/>
      <c r="D15" s="5" t="n"/>
      <c r="E15" s="312" t="inlineStr">
        <is>
          <t>Minimum down payment %</t>
        </is>
      </c>
      <c r="F15" s="471" t="n">
        <v>0.2</v>
      </c>
      <c r="G15" s="471" t="n">
        <v>0.2</v>
      </c>
      <c r="H15" s="472" t="n">
        <v>0.2</v>
      </c>
      <c r="I15" s="5" t="n"/>
      <c r="J15" s="325" t="n"/>
      <c r="P15" s="327" t="n"/>
    </row>
    <row r="16" ht="20" customHeight="1" s="326">
      <c r="A16" s="312" t="inlineStr">
        <is>
          <t>Planning draw rate target</t>
        </is>
      </c>
      <c r="B16" s="472" t="n">
        <v>0.035</v>
      </c>
      <c r="C16" s="5" t="n"/>
      <c r="D16" s="5" t="n"/>
      <c r="E16" s="312" t="inlineStr">
        <is>
          <t>Mortgage rate</t>
        </is>
      </c>
      <c r="F16" s="471" t="n">
        <v>0.065</v>
      </c>
      <c r="G16" s="471" t="n">
        <v>0.065</v>
      </c>
      <c r="H16" s="472" t="n">
        <v>0.065</v>
      </c>
      <c r="I16" s="5" t="n"/>
      <c r="J16" s="325" t="n"/>
      <c r="P16" s="327" t="n"/>
    </row>
    <row r="17" ht="20" customHeight="1" s="326">
      <c r="A17" s="312" t="inlineStr">
        <is>
          <t>Target housing share of total spend</t>
        </is>
      </c>
      <c r="B17" s="472" t="n">
        <v>0.35</v>
      </c>
      <c r="C17" s="5" t="n"/>
      <c r="D17" s="5" t="n"/>
      <c r="E17" s="312" t="inlineStr">
        <is>
          <t>Mortgage term (years)</t>
        </is>
      </c>
      <c r="F17" s="474" t="n">
        <v>30</v>
      </c>
      <c r="G17" s="474" t="n">
        <v>30</v>
      </c>
      <c r="H17" s="476" t="n">
        <v>30</v>
      </c>
      <c r="I17" s="5" t="n"/>
      <c r="J17" s="325" t="n"/>
      <c r="P17" s="327" t="n"/>
    </row>
    <row r="18" ht="20" customHeight="1" s="326">
      <c r="A18" s="312" t="inlineStr">
        <is>
          <t>Minimum liquid reserve after purchase</t>
        </is>
      </c>
      <c r="B18" s="473" t="n">
        <v>1000000</v>
      </c>
      <c r="C18" s="5" t="n"/>
      <c r="D18" s="5" t="n"/>
      <c r="E18" s="312" t="inlineStr">
        <is>
          <t>Closing costs %</t>
        </is>
      </c>
      <c r="F18" s="471" t="n">
        <v>0.025</v>
      </c>
      <c r="G18" s="471" t="n">
        <v>0.025</v>
      </c>
      <c r="H18" s="472" t="n">
        <v>0.025</v>
      </c>
      <c r="I18" s="5" t="n"/>
      <c r="J18" s="325" t="n"/>
      <c r="P18" s="327" t="n"/>
    </row>
    <row r="19" ht="20" customHeight="1" s="326">
      <c r="A19" s="339" t="inlineStr">
        <is>
          <t>Derived working years</t>
        </is>
      </c>
      <c r="B19" s="477">
        <f>'Savings Projection'!$B$12</f>
        <v/>
      </c>
      <c r="C19" s="5" t="n"/>
      <c r="D19" s="5" t="n"/>
      <c r="E19" s="312" t="inlineStr">
        <is>
          <t>Property tax rate</t>
        </is>
      </c>
      <c r="F19" s="471" t="n">
        <v>0.01</v>
      </c>
      <c r="G19" s="471" t="n">
        <v>0.01</v>
      </c>
      <c r="H19" s="472" t="n">
        <v>0.01</v>
      </c>
      <c r="I19" s="5" t="n"/>
      <c r="J19" s="325" t="n"/>
      <c r="P19" s="327" t="n"/>
    </row>
    <row r="20" ht="20" customHeight="1" s="326">
      <c r="A20" s="5" t="n"/>
      <c r="B20" s="478" t="n"/>
      <c r="C20" s="5" t="n"/>
      <c r="D20" s="5" t="n"/>
      <c r="E20" s="312" t="inlineStr">
        <is>
          <t>Home insurance rate</t>
        </is>
      </c>
      <c r="F20" s="471" t="n">
        <v>0.002</v>
      </c>
      <c r="G20" s="471" t="n">
        <v>0.002</v>
      </c>
      <c r="H20" s="472" t="n">
        <v>0.002</v>
      </c>
      <c r="I20" s="5" t="n"/>
      <c r="J20" s="325" t="n"/>
      <c r="P20" s="327" t="n"/>
    </row>
    <row r="21" ht="20" customHeight="1" s="326">
      <c r="A21" s="465" t="inlineStr">
        <is>
          <t>Compensation Assumptions</t>
        </is>
      </c>
      <c r="B21" s="307" t="n"/>
      <c r="C21" s="5" t="n"/>
      <c r="D21" s="5" t="n"/>
      <c r="E21" s="312" t="inlineStr">
        <is>
          <t>Home maintenance rate</t>
        </is>
      </c>
      <c r="F21" s="471" t="n">
        <v>0.01</v>
      </c>
      <c r="G21" s="471" t="n">
        <v>0.01</v>
      </c>
      <c r="H21" s="472" t="n">
        <v>0.01</v>
      </c>
      <c r="I21" s="5" t="n"/>
      <c r="J21" s="325" t="n"/>
      <c r="P21" s="327" t="n"/>
    </row>
    <row r="22" ht="20" customHeight="1" s="326">
      <c r="A22" s="312" t="inlineStr">
        <is>
          <t>Start calendar year</t>
        </is>
      </c>
      <c r="B22" s="476" t="n">
        <v>2026</v>
      </c>
      <c r="C22" s="5" t="n"/>
      <c r="D22" s="5" t="n"/>
      <c r="E22" s="312" t="inlineStr">
        <is>
          <t>Annual HOA / common charges</t>
        </is>
      </c>
      <c r="F22" s="475" t="n">
        <v>0</v>
      </c>
      <c r="G22" s="475" t="n">
        <v>0</v>
      </c>
      <c r="H22" s="473" t="n">
        <v>0</v>
      </c>
      <c r="I22" s="5" t="n"/>
      <c r="J22" s="328" t="n"/>
      <c r="K22" s="320" t="n"/>
      <c r="L22" s="320" t="n"/>
      <c r="M22" s="320" t="n"/>
      <c r="N22" s="320" t="n"/>
      <c r="O22" s="320" t="n"/>
      <c r="P22" s="321" t="n"/>
    </row>
    <row r="23" ht="20" customHeight="1" s="326">
      <c r="A23" s="312" t="inlineStr">
        <is>
          <t>Start month</t>
        </is>
      </c>
      <c r="B23" s="476" t="n">
        <v>9</v>
      </c>
      <c r="C23" s="5" t="n"/>
      <c r="D23" s="5" t="n"/>
      <c r="E23" s="312" t="inlineStr">
        <is>
          <t>Annual home services / utilities</t>
        </is>
      </c>
      <c r="F23" s="475" t="n">
        <v>0</v>
      </c>
      <c r="G23" s="475" t="n">
        <v>0</v>
      </c>
      <c r="H23" s="473" t="n">
        <v>0</v>
      </c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20" customHeight="1" s="326">
      <c r="A24" s="312" t="inlineStr">
        <is>
          <t>Default modeled working years</t>
        </is>
      </c>
      <c r="B24" s="476" t="n">
        <v>10</v>
      </c>
      <c r="C24" s="5" t="n"/>
      <c r="D24" s="5" t="n"/>
      <c r="E24" s="312" t="inlineStr">
        <is>
          <t>One-time move / furnish reserve</t>
        </is>
      </c>
      <c r="F24" s="475" t="n">
        <v>0</v>
      </c>
      <c r="G24" s="475" t="n">
        <v>0</v>
      </c>
      <c r="H24" s="473" t="n">
        <v>0</v>
      </c>
      <c r="I24" s="5" t="n"/>
      <c r="J24" s="468" t="inlineStr">
        <is>
      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      </is>
      </c>
      <c r="K24" s="323" t="n"/>
      <c r="L24" s="323" t="n"/>
      <c r="M24" s="323" t="n"/>
      <c r="N24" s="323" t="n"/>
      <c r="O24" s="323" t="n"/>
      <c r="P24" s="324" t="n"/>
    </row>
    <row r="25" ht="20" customHeight="1" s="326">
      <c r="A25" s="312" t="inlineStr">
        <is>
          <t>Standard annual base salary</t>
        </is>
      </c>
      <c r="B25" s="473" t="n">
        <v>300000</v>
      </c>
      <c r="C25" s="5" t="n"/>
      <c r="D25" s="5" t="n"/>
      <c r="E25" s="339" t="inlineStr">
        <is>
          <t>Home appreciation</t>
        </is>
      </c>
      <c r="F25" s="479" t="n">
        <v>0.03</v>
      </c>
      <c r="G25" s="479" t="n">
        <v>0.03</v>
      </c>
      <c r="H25" s="480" t="n">
        <v>0.03</v>
      </c>
      <c r="I25" s="5" t="n"/>
      <c r="J25" s="325" t="n"/>
      <c r="P25" s="327" t="n"/>
    </row>
    <row r="26" ht="20" customHeight="1" s="326">
      <c r="A26" s="312" t="inlineStr">
        <is>
          <t>Stub-year sign-on bonus</t>
        </is>
      </c>
      <c r="B26" s="35" t="n">
        <v>450000</v>
      </c>
      <c r="C26" s="5" t="n"/>
      <c r="D26" s="5" t="n"/>
      <c r="E26" s="312" t="inlineStr">
        <is>
          <t>Down payment % if buying at / after retirement</t>
        </is>
      </c>
      <c r="F26" s="471" t="n">
        <v>0.5</v>
      </c>
      <c r="G26" s="471" t="n">
        <v>0.45</v>
      </c>
      <c r="H26" s="471" t="n">
        <v>0.4</v>
      </c>
      <c r="I26" s="5" t="n"/>
      <c r="J26" s="325" t="n"/>
      <c r="P26" s="327" t="n"/>
    </row>
    <row r="27">
      <c r="A27" s="312" t="inlineStr">
        <is>
          <t>Guaranteed annual bonus (FY2026–27, paid following yr)</t>
        </is>
      </c>
      <c r="B27" s="35" t="n">
        <v>450000</v>
      </c>
      <c r="C27" s="5" t="n"/>
      <c r="D27" s="5" t="n"/>
      <c r="E27" s="312" t="inlineStr">
        <is>
          <t>Working years until minimum down payment</t>
        </is>
      </c>
      <c r="F27" s="194" t="n">
        <v>5</v>
      </c>
      <c r="G27" s="194" t="n">
        <v>5</v>
      </c>
      <c r="H27" s="194" t="n">
        <v>4</v>
      </c>
      <c r="I27" s="5" t="n"/>
      <c r="J27" s="325" t="n"/>
      <c r="P27" s="327" t="n"/>
    </row>
    <row r="28">
      <c r="A28" s="312" t="inlineStr">
        <is>
          <t>Early bonus growth rate</t>
        </is>
      </c>
      <c r="B28" s="198" t="n">
        <v>0.4529663145135578</v>
      </c>
      <c r="C28" s="5" t="n"/>
      <c r="D28" s="5" t="n"/>
      <c r="E28" s="312" t="inlineStr">
        <is>
          <t>Manual down payment override %</t>
        </is>
      </c>
      <c r="F28" s="197" t="n"/>
      <c r="G28" s="197" t="n"/>
      <c r="H28" s="197" t="n"/>
      <c r="I28" s="5" t="n"/>
      <c r="J28" s="325" t="n"/>
      <c r="P28" s="327" t="n"/>
    </row>
    <row r="29">
      <c r="A29" s="312" t="inlineStr">
        <is>
          <t>Later bonus growth rate</t>
        </is>
      </c>
      <c r="B29" s="198" t="n">
        <v>0.2708774350512106</v>
      </c>
      <c r="C29" s="5" t="n"/>
      <c r="D29" s="5" t="n"/>
      <c r="E29" s="5" t="n"/>
      <c r="F29" s="5" t="n"/>
      <c r="G29" s="5" t="n"/>
      <c r="H29" s="5" t="n"/>
      <c r="I29" s="5" t="n"/>
      <c r="J29" s="325" t="n"/>
      <c r="P29" s="327" t="n"/>
    </row>
    <row r="30">
      <c r="A30" s="312" t="inlineStr">
        <is>
          <t>Switch to later growth after proj. year</t>
        </is>
      </c>
      <c r="B30" s="196" t="n">
        <v>4</v>
      </c>
      <c r="C30" s="5" t="n"/>
      <c r="D30" s="5" t="n"/>
      <c r="E30" s="5" t="n"/>
      <c r="F30" s="5" t="n"/>
      <c r="G30" s="5" t="n"/>
      <c r="H30" s="5" t="n"/>
      <c r="I30" s="5" t="n"/>
      <c r="J30" s="325" t="n"/>
      <c r="P30" s="327" t="n"/>
    </row>
    <row r="31">
      <c r="A31" s="312" t="inlineStr">
        <is>
          <t>Annual base growth</t>
        </is>
      </c>
      <c r="B31" s="198" t="n">
        <v>0</v>
      </c>
      <c r="C31" s="5" t="n"/>
      <c r="D31" s="5" t="n"/>
      <c r="E31" s="5" t="n"/>
      <c r="F31" s="5" t="n"/>
      <c r="G31" s="5" t="n"/>
      <c r="H31" s="5" t="n"/>
      <c r="I31" s="5" t="n"/>
      <c r="J31" s="328" t="n"/>
      <c r="K31" s="320" t="n"/>
      <c r="L31" s="320" t="n"/>
      <c r="M31" s="320" t="n"/>
      <c r="N31" s="320" t="n"/>
      <c r="O31" s="320" t="n"/>
      <c r="P31" s="321" t="n"/>
    </row>
    <row r="32">
      <c r="A32" s="312" t="inlineStr">
        <is>
          <t>Bonus fluctuation amplitude</t>
        </is>
      </c>
      <c r="B32" s="198" t="n">
        <v>0.12</v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312" t="inlineStr">
        <is>
          <t>Bonus fluctuation cycle (years)</t>
        </is>
      </c>
      <c r="B33" s="199" t="n">
        <v>3</v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312" t="inlineStr">
        <is>
          <t>Bonus fluctuation phase shift</t>
        </is>
      </c>
      <c r="B34" s="199" t="n">
        <v>0</v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312" t="inlineStr">
        <is>
          <t>Rent inflation (annual)</t>
        </is>
      </c>
      <c r="B35" s="198" t="n">
        <v>0.03</v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312" t="inlineStr">
        <is>
          <t>Living cost inflation (annual)</t>
        </is>
      </c>
      <c r="B36" s="198" t="n">
        <v>0.03</v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</row>
  </sheetData>
  <mergeCells count="6">
    <mergeCell ref="A21:B21"/>
    <mergeCell ref="J13:P22"/>
    <mergeCell ref="A1:P1"/>
    <mergeCell ref="J4:P12"/>
    <mergeCell ref="J24:P31"/>
    <mergeCell ref="A2:P2"/>
  </mergeCells>
  <dataValidations count="16">
    <dataValidation sqref="B15" showDropDown="0" showInputMessage="1" showErrorMessage="1" allowBlank="1" errorTitle="Invalid input" error="This value is outside the supported range for this workbook." promptTitle="Input guidance" prompt="Choose the dashboard selected projection year." type="list">
      <formula1>"1,2,3,4,5,6,7,8,9,10,11,12,13,14,15,16,17,18,19,20,21,22,23,24,25,26,27,28,29,30,31,32,33,34,35,36,37,38,39,40"</formula1>
    </dataValidation>
    <dataValidation sqref="B22" showDropDown="0" showInputMessage="1" showErrorMessage="1" allowBlank="1" errorTitle="Invalid input" error="This value is outside the supported range for this workbook." promptTitle="Input guidance" prompt="Enter the first projection calendar year." type="whole">
      <formula1>2020</formula1>
      <formula2>2100</formula2>
    </dataValidation>
    <dataValidation sqref="B23" showDropDown="0" showInputMessage="1" showErrorMessage="1" allowBlank="1" errorTitle="Invalid input" error="This value is outside the supported range for this workbook." promptTitle="Input guidance" prompt="Choose start month as 1-12." type="list">
      <formula1>"1,2,3,4,5,6,7,8,9,10,11,12"</formula1>
    </dataValidation>
    <dataValidation sqref="B24" showDropDown="0" showInputMessage="1" showErrorMessage="1" allowBlank="1" errorTitle="Invalid input" error="This value is outside the supported range for this workbook." promptTitle="Input guidance" prompt="Choose modeled working years." type="list">
      <formula1>"1,2,3,4,5,6,7,8,9,10,11,12,13,14,15,16,17,18,19,20,21,22,23,24,25,26,27,28,29,30,31,32,33,34,35,36,37,38,39,40"</formula1>
    </dataValidation>
    <dataValidation sqref="B28:B29" showDropDown="0" showInputMessage="1" showErrorMessage="1" allowBlank="1" errorTitle="Invalid input" error="This value is outside the supported range for this workbook." promptTitle="Input guidance" prompt="Use an annual growth rate. Example: 45.3% is entered as 45.3%." type="decimal">
      <formula1>-0.99</formula1>
      <formula2>3</formula2>
    </dataValidation>
    <dataValidation sqref="B30" showDropDown="0" showInputMessage="1" showErrorMessage="1" allowBlank="1" errorTitle="Invalid input" error="This value is outside the supported range for this workbook." promptTitle="Input guidance" prompt="Choose the projection year where the later bonus growth regime begins." type="list">
      <formula1>"3,4,5,6,7,8,9,10,11,12,13,14,15"</formula1>
    </dataValidation>
    <dataValidation sqref="B32" showDropDown="0" showInputMessage="1" showErrorMessage="1" allowBlank="1" errorTitle="Invalid input" error="This value is outside the supported range for this workbook." promptTitle="Input guidance" prompt="Use a swing amplitude from 0% to 100%." type="decimal">
      <formula1>0</formula1>
      <formula2>1</formula2>
    </dataValidation>
    <dataValidation sqref="B33" showDropDown="0" showInputMessage="1" showErrorMessage="1" allowBlank="1" errorTitle="Invalid input" error="This value is outside the supported range for this workbook." promptTitle="Input guidance" prompt="Use a positive cycle length in years." type="whole">
      <formula1>1</formula1>
      <formula2>20</formula2>
    </dataValidation>
    <dataValidation sqref="B34" showDropDown="0" showInputMessage="1" showErrorMessage="1" allowBlank="1" errorTitle="Invalid input" error="This value is outside the supported range for this workbook." promptTitle="Input guidance" prompt="Use a phase shift in years." type="decimal">
      <formula1>-20</formula1>
      <formula2>20</formula2>
    </dataValidation>
    <dataValidation sqref="B35:B36" showDropDown="0" showInputMessage="1" showErrorMessage="1" allowBlank="1" errorTitle="Invalid input" error="This value is outside the supported range for this workbook." promptTitle="Input guidance" prompt="Use an annual inflation rate between 0% and 20%." type="decimal">
      <formula1>0</formula1>
      <formula2>0.2</formula2>
    </dataValidation>
    <dataValidation sqref="F11:H11" showDropDown="0" showInputMessage="1" showErrorMessage="1" allowBlank="1" errorTitle="Invalid input" error="This value is outside the supported range for this workbook." promptTitle="Input guidance" prompt="Choose the YOE cap for the scenario." type="list">
      <formula1>"1,2,3,4,5,6,7,8,9,10,11,12,13,14,15,16,17,18,19,20,21,22,23,24,25,26,27,28,29,30,31,32,33,34,35,36,37,38,39,40"</formula1>
    </dataValidation>
    <dataValidation sqref="F13:H13" showDropDown="0" showInputMessage="1" showErrorMessage="1" allowBlank="1" errorTitle="Invalid input" error="This value is outside the supported range for this workbook." promptTitle="Input guidance" prompt="Choose the projection year for home purchase." type="list">
      <formula1>"1,2,3,4,5,6,7,8,9,10,11,12,13,14,15,16,17,18,19,20,21,22,23,24,25,26,27,28,29,30,31,32,33,34,35,36,37,38,39,40"</formula1>
    </dataValidation>
    <dataValidation sqref="F15:H16 F18:H21 F25:H26 F28:H28" showDropDown="0" showInputMessage="1" showErrorMessage="1" allowBlank="1" errorTitle="Invalid input" error="This value is outside the supported range for this workbook." promptTitle="Input guidance" prompt="Use a percentage between 0% and 100%." type="decimal">
      <formula1>0</formula1>
      <formula2>1</formula2>
    </dataValidation>
    <dataValidation sqref="F17:H17" showDropDown="0" showInputMessage="1" showErrorMessage="1" allowBlank="1" errorTitle="Invalid input" error="This value is outside the supported range for this workbook." promptTitle="Input guidance" prompt="Use a mortgage term in years; 0 means no mortgage term." type="whole">
      <formula1>0</formula1>
      <formula2>40</formula2>
    </dataValidation>
    <dataValidation sqref="F22:H24" showDropDown="0" showInputMessage="1" showErrorMessage="1" allowBlank="1" errorTitle="Invalid input" error="This value is outside the supported range for this workbook." promptTitle="Input guidance" prompt="Use a nonnegative dollar amount." type="decimal">
      <formula1>0</formula1>
      <formula2>10000000</formula2>
    </dataValidation>
    <dataValidation sqref="F27:H27" showDropDown="0" showInputMessage="1" showErrorMessage="1" allowBlank="1" errorTitle="Invalid input" error="This value is outside the supported range for this workbook." promptTitle="Input guidance" prompt="Choose years until minimum down payment policy applies." type="list">
      <formula1>"1,2,3,4,5,6,7,8,9,10,11,12,13,14,15,16,17,18,19,20,21,22,23,24,25,26,27,28,29,30,31,32,33,34,35,36,37,38,39,40"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BM59"/>
  <sheetViews>
    <sheetView showGridLines="0" zoomScale="90" workbookViewId="0">
      <pane ySplit="18" topLeftCell="A19" activePane="bottomLeft" state="frozen"/>
      <selection pane="bottomLeft" activeCell="A1" sqref="A1:AM1"/>
    </sheetView>
  </sheetViews>
  <sheetFormatPr baseColWidth="10" defaultColWidth="8.83203125" defaultRowHeight="15"/>
  <cols>
    <col width="8" customWidth="1" style="326" min="1" max="1"/>
    <col width="15" customWidth="1" style="326" min="2" max="2"/>
    <col width="12" customWidth="1" style="326" min="3" max="3"/>
    <col width="14" customWidth="1" style="326" min="4" max="4"/>
    <col width="12" customWidth="1" style="326" min="5" max="5"/>
    <col width="14" customWidth="1" style="326" min="6" max="6"/>
    <col width="15" customWidth="1" style="326" min="7" max="7"/>
    <col width="14" customWidth="1" style="326" min="8" max="8"/>
    <col width="12" customWidth="1" style="326" min="9" max="10"/>
    <col width="13" customWidth="1" style="326" min="11" max="11"/>
    <col width="11" customWidth="1" style="326" min="12" max="13"/>
    <col width="15" customWidth="1" style="326" min="14" max="14"/>
    <col width="13" customWidth="1" style="326" min="15" max="15"/>
    <col width="12" customWidth="1" style="326" min="16" max="16"/>
    <col width="15" customWidth="1" style="326" min="17" max="17"/>
    <col width="14" customWidth="1" style="326" min="18" max="18"/>
    <col width="11" customWidth="1" style="326" min="19" max="19"/>
    <col width="14" customWidth="1" style="326" min="20" max="21"/>
    <col width="16" customWidth="1" style="326" min="22" max="23"/>
    <col width="15" customWidth="1" style="326" min="24" max="24"/>
    <col width="16" customWidth="1" style="326" min="25" max="25"/>
    <col width="14" customWidth="1" style="326" min="26" max="26"/>
    <col width="15" customWidth="1" style="326" min="27" max="28"/>
    <col width="13" customWidth="1" style="326" min="29" max="30"/>
    <col width="15" customWidth="1" style="326" min="31" max="32"/>
    <col width="14" customWidth="1" style="326" min="33" max="33"/>
    <col width="13" customWidth="1" style="326" min="34" max="34"/>
    <col width="16" customWidth="1" style="326" min="35" max="35"/>
    <col width="14" customWidth="1" style="326" min="36" max="37"/>
    <col width="12" customWidth="1" style="326" min="38" max="39"/>
    <col width="8" customWidth="1" style="326" min="40" max="40"/>
    <col width="12" customWidth="1" style="326" min="41" max="41"/>
    <col width="11" customWidth="1" style="326" min="42" max="42"/>
    <col width="14" customWidth="1" style="326" min="43" max="45"/>
    <col width="13" customWidth="1" style="326" min="46" max="46"/>
    <col width="14" customWidth="1" style="326" min="47" max="47"/>
    <col width="12" customWidth="1" style="326" min="48" max="49"/>
    <col width="13" customWidth="1" style="326" min="50" max="50"/>
    <col width="14" customWidth="1" style="326" min="51" max="53"/>
    <col width="16" customWidth="1" style="326" min="54" max="54"/>
    <col width="15" customWidth="1" style="326" min="55" max="55"/>
    <col width="18" customWidth="1" style="326" min="56" max="56"/>
    <col width="22" customWidth="1" style="326" min="57" max="57"/>
    <col width="18" customWidth="1" style="326" min="58" max="58"/>
    <col width="22" customWidth="1" style="326" min="59" max="59"/>
    <col width="14" customWidth="1" style="326" min="60" max="60"/>
    <col width="28" customWidth="1" style="326" min="61" max="61"/>
    <col width="19" customWidth="1" style="326" min="62" max="62"/>
    <col width="22" customWidth="1" style="326" min="63" max="63"/>
    <col width="16" customWidth="1" style="326" min="64" max="64"/>
    <col width="18" customWidth="1" style="326" min="65" max="65"/>
  </cols>
  <sheetData>
    <row r="1" ht="26" customHeight="1" s="326">
      <c r="A1" s="453" t="inlineStr">
        <is>
          <t>Savings And Retirement Projection</t>
        </is>
      </c>
      <c r="AN1" s="453" t="n"/>
      <c r="AO1" s="453" t="n"/>
      <c r="AP1" s="453" t="n"/>
      <c r="AQ1" s="453" t="n"/>
      <c r="AR1" s="453" t="n"/>
      <c r="AS1" s="453" t="n"/>
      <c r="AT1" s="453" t="n"/>
      <c r="AU1" s="453" t="n"/>
      <c r="AV1" s="453" t="n"/>
      <c r="AW1" s="453" t="n"/>
      <c r="AX1" s="453" t="n"/>
      <c r="AY1" s="453" t="n"/>
      <c r="AZ1" s="453" t="n"/>
      <c r="BA1" s="453" t="n"/>
      <c r="BB1" s="453" t="n"/>
      <c r="BC1" s="453" t="n"/>
      <c r="BD1" s="453" t="n"/>
      <c r="BE1" s="453" t="n"/>
      <c r="BF1" s="453" t="n"/>
      <c r="BG1" s="453" t="n"/>
      <c r="BH1" s="453" t="n"/>
      <c r="BI1" s="453" t="n"/>
      <c r="BJ1" s="453" t="n"/>
      <c r="BK1" s="453" t="n"/>
      <c r="BL1" s="453" t="n"/>
      <c r="BM1" s="453" t="n"/>
    </row>
    <row r="2" ht="36" customHeight="1" s="326">
      <c r="A2" s="454" t="inlineStr">
        <is>
          <t>Blue cells in the yearly table are inputs. Gross comp now flows from the visible compensation schedule on the right, while this sheet keeps all tax math and year-by-year savings / retirement logic visible.</t>
        </is>
      </c>
      <c r="AN2" s="454" t="n"/>
      <c r="AO2" s="454" t="n"/>
      <c r="AP2" s="454" t="n"/>
      <c r="AQ2" s="454" t="n"/>
      <c r="AR2" s="454" t="n"/>
      <c r="AS2" s="454" t="n"/>
      <c r="AT2" s="454" t="n"/>
      <c r="AU2" s="454" t="n"/>
      <c r="AV2" s="454" t="n"/>
      <c r="AW2" s="454" t="n"/>
      <c r="AX2" s="454" t="n"/>
      <c r="AY2" s="454" t="n"/>
      <c r="AZ2" s="454" t="n"/>
      <c r="BA2" s="454" t="n"/>
      <c r="BB2" s="454" t="n"/>
      <c r="BC2" s="454" t="n"/>
      <c r="BD2" s="454" t="n"/>
      <c r="BE2" s="454" t="n"/>
      <c r="BF2" s="454" t="n"/>
      <c r="BG2" s="454" t="n"/>
      <c r="BH2" s="454" t="n"/>
      <c r="BI2" s="454" t="n"/>
      <c r="BJ2" s="454" t="n"/>
      <c r="BK2" s="454" t="n"/>
      <c r="BL2" s="454" t="n"/>
      <c r="BM2" s="454" t="n"/>
    </row>
    <row r="3" ht="16" customHeight="1" s="326">
      <c r="A3" s="455" t="inlineStr">
        <is>
          <t>Back to Financial Dashboard</t>
        </is>
      </c>
    </row>
    <row r="4" ht="20" customHeight="1" s="326">
      <c r="A4" s="465" t="inlineStr">
        <is>
          <t>Setup</t>
        </is>
      </c>
      <c r="B4" s="467" t="n"/>
      <c r="C4" s="467" t="n"/>
      <c r="D4" s="466" t="n"/>
      <c r="E4" s="451" t="n"/>
      <c r="F4" s="465" t="inlineStr">
        <is>
          <t>Interpretation</t>
        </is>
      </c>
      <c r="G4" s="467" t="n"/>
      <c r="H4" s="467" t="n"/>
      <c r="I4" s="467" t="n"/>
      <c r="J4" s="467" t="n"/>
      <c r="K4" s="466" t="n"/>
      <c r="L4" s="451" t="n"/>
      <c r="M4" s="465" t="inlineStr">
        <is>
          <t>Tax And Retirement Modeling Notes</t>
        </is>
      </c>
      <c r="N4" s="467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2" t="n"/>
      <c r="AN4" s="384" t="inlineStr">
        <is>
          <t>Compensation Schedule (Feeds Gross Comp)</t>
        </is>
      </c>
    </row>
    <row r="5" ht="20" customHeight="1" s="326">
      <c r="A5" s="38" t="inlineStr">
        <is>
          <t>Filing status</t>
        </is>
      </c>
      <c r="B5" s="470">
        <f>'Model Inputs'!$B$5</f>
        <v/>
      </c>
      <c r="C5" s="6" t="n"/>
      <c r="D5" s="11" t="n"/>
      <c r="F5" s="481" t="inlineStr">
        <is>
          <t>The 401(k) column auto-fills from the visible annual limit in the tax sheet and reduces federal, NY State, and NYC taxable income.</t>
        </is>
      </c>
      <c r="G5" s="300" t="n"/>
      <c r="H5" s="300" t="n"/>
      <c r="I5" s="300" t="n"/>
      <c r="J5" s="300" t="n"/>
      <c r="K5" s="301" t="n"/>
      <c r="M5" s="385" t="inlineStr">
        <is>
          <t>Talent.com showed about $674,633 net on $1.2M in New York as of 2026-04-03.</t>
        </is>
      </c>
      <c r="N5" s="300" t="n"/>
      <c r="O5" s="300" t="n"/>
      <c r="P5" s="300" t="n"/>
      <c r="Q5" s="300" t="n"/>
      <c r="R5" s="300" t="n"/>
      <c r="S5" s="300" t="n"/>
      <c r="T5" s="300" t="n"/>
      <c r="U5" s="300" t="n"/>
      <c r="V5" s="300" t="n"/>
      <c r="W5" s="300" t="n"/>
      <c r="X5" s="300" t="n"/>
      <c r="Y5" s="300" t="n"/>
      <c r="Z5" s="300" t="n"/>
      <c r="AA5" s="300" t="n"/>
      <c r="AB5" s="300" t="n"/>
      <c r="AC5" s="300" t="n"/>
      <c r="AD5" s="300" t="n"/>
      <c r="AE5" s="300" t="n"/>
      <c r="AF5" s="300" t="n"/>
      <c r="AG5" s="300" t="n"/>
      <c r="AH5" s="300" t="n"/>
      <c r="AI5" s="300" t="n"/>
      <c r="AJ5" s="300" t="n"/>
      <c r="AK5" s="300" t="n"/>
      <c r="AL5" s="300" t="n"/>
      <c r="AM5" s="301" t="n"/>
      <c r="AN5" s="386" t="inlineStr">
        <is>
      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      </is>
      </c>
    </row>
    <row r="6" ht="20" customHeight="1" s="326">
      <c r="A6" s="38" t="inlineStr">
        <is>
          <t>Resident city</t>
        </is>
      </c>
      <c r="B6" s="470">
        <f>'Model Inputs'!$B$6</f>
        <v/>
      </c>
      <c r="C6" s="6" t="n"/>
      <c r="D6" s="11" t="n"/>
      <c r="F6" s="481" t="inlineStr">
        <is>
          <t>HSA contributions reduce federal taxable income and FICA wages, but New York generally adds them back for state and city income tax.</t>
        </is>
      </c>
      <c r="G6" s="300" t="n"/>
      <c r="H6" s="300" t="n"/>
      <c r="I6" s="300" t="n"/>
      <c r="J6" s="300" t="n"/>
      <c r="K6" s="301" t="n"/>
      <c r="M6" s="385" t="inlineStr">
        <is>
          <t>This workbook stays lower because it models NYC resident tax separately and uses the 2026 SSA wage base.</t>
        </is>
      </c>
      <c r="N6" s="300" t="n"/>
      <c r="O6" s="300" t="n"/>
      <c r="P6" s="300" t="n"/>
      <c r="Q6" s="300" t="n"/>
      <c r="R6" s="300" t="n"/>
      <c r="S6" s="300" t="n"/>
      <c r="T6" s="300" t="n"/>
      <c r="U6" s="300" t="n"/>
      <c r="V6" s="300" t="n"/>
      <c r="W6" s="300" t="n"/>
      <c r="X6" s="300" t="n"/>
      <c r="Y6" s="300" t="n"/>
      <c r="Z6" s="300" t="n"/>
      <c r="AA6" s="300" t="n"/>
      <c r="AB6" s="300" t="n"/>
      <c r="AC6" s="300" t="n"/>
      <c r="AD6" s="300" t="n"/>
      <c r="AE6" s="300" t="n"/>
      <c r="AF6" s="300" t="n"/>
      <c r="AG6" s="300" t="n"/>
      <c r="AH6" s="300" t="n"/>
      <c r="AI6" s="300" t="n"/>
      <c r="AJ6" s="300" t="n"/>
      <c r="AK6" s="300" t="n"/>
      <c r="AL6" s="300" t="n"/>
      <c r="AM6" s="301" t="n"/>
    </row>
    <row r="7" ht="20" customHeight="1" s="326">
      <c r="A7" s="38" t="inlineStr">
        <is>
          <t>Starting taxable assets</t>
        </is>
      </c>
      <c r="B7" s="475">
        <f>'Model Inputs'!$B$7</f>
        <v/>
      </c>
      <c r="C7" s="6" t="n"/>
      <c r="D7" s="11" t="n"/>
      <c r="F7" s="481" t="inlineStr">
        <is>
          <t>Roth IRA is modeled as a post-tax transfer from working-year cash flow; at this income level, treat it as a backdoor Roth assumption.</t>
        </is>
      </c>
      <c r="G7" s="300" t="n"/>
      <c r="H7" s="300" t="n"/>
      <c r="I7" s="300" t="n"/>
      <c r="J7" s="300" t="n"/>
      <c r="K7" s="301" t="n"/>
      <c r="M7" s="481" t="inlineStr">
        <is>
          <t>The front-page graphs now continue through retirement years instead of falling to zero after work stops.</t>
        </is>
      </c>
      <c r="N7" s="300" t="n"/>
      <c r="O7" s="300" t="n"/>
      <c r="P7" s="300" t="n"/>
      <c r="Q7" s="300" t="n"/>
      <c r="R7" s="300" t="n"/>
      <c r="S7" s="300" t="n"/>
      <c r="T7" s="300" t="n"/>
      <c r="U7" s="300" t="n"/>
      <c r="V7" s="300" t="n"/>
      <c r="W7" s="300" t="n"/>
      <c r="X7" s="300" t="n"/>
      <c r="Y7" s="300" t="n"/>
      <c r="Z7" s="300" t="n"/>
      <c r="AA7" s="300" t="n"/>
      <c r="AB7" s="300" t="n"/>
      <c r="AC7" s="300" t="n"/>
      <c r="AD7" s="300" t="n"/>
      <c r="AE7" s="300" t="n"/>
      <c r="AF7" s="300" t="n"/>
      <c r="AG7" s="300" t="n"/>
      <c r="AH7" s="300" t="n"/>
      <c r="AI7" s="300" t="n"/>
      <c r="AJ7" s="300" t="n"/>
      <c r="AK7" s="300" t="n"/>
      <c r="AL7" s="300" t="n"/>
      <c r="AM7" s="301" t="n"/>
    </row>
    <row r="8" ht="20" customHeight="1" s="326">
      <c r="A8" s="38" t="inlineStr">
        <is>
          <t>Starting 401(k) balance</t>
        </is>
      </c>
      <c r="B8" s="475">
        <f>'Model Inputs'!$B$8</f>
        <v/>
      </c>
      <c r="C8" s="6" t="n"/>
      <c r="D8" s="11" t="n"/>
      <c r="F8" s="481" t="inlineStr">
        <is>
          <t>Any nonblank gross-comp row is treated as Working, and any blank gross-comp row is treated as Retired.</t>
        </is>
      </c>
      <c r="G8" s="300" t="n"/>
      <c r="H8" s="300" t="n"/>
      <c r="I8" s="300" t="n"/>
      <c r="J8" s="300" t="n"/>
      <c r="K8" s="301" t="n"/>
      <c r="M8" s="481" t="inlineStr">
        <is>
          <t>Bucket balances are base-return only; total-wealth paths are shown for 0%, base, and upside return assumptions.</t>
        </is>
      </c>
      <c r="N8" s="300" t="n"/>
      <c r="O8" s="300" t="n"/>
      <c r="P8" s="300" t="n"/>
      <c r="Q8" s="300" t="n"/>
      <c r="R8" s="300" t="n"/>
      <c r="S8" s="300" t="n"/>
      <c r="T8" s="300" t="n"/>
      <c r="U8" s="300" t="n"/>
      <c r="V8" s="300" t="n"/>
      <c r="W8" s="300" t="n"/>
      <c r="X8" s="300" t="n"/>
      <c r="Y8" s="300" t="n"/>
      <c r="Z8" s="300" t="n"/>
      <c r="AA8" s="300" t="n"/>
      <c r="AB8" s="300" t="n"/>
      <c r="AC8" s="300" t="n"/>
      <c r="AD8" s="300" t="n"/>
      <c r="AE8" s="300" t="n"/>
      <c r="AF8" s="300" t="n"/>
      <c r="AG8" s="300" t="n"/>
      <c r="AH8" s="300" t="n"/>
      <c r="AI8" s="300" t="n"/>
      <c r="AJ8" s="300" t="n"/>
      <c r="AK8" s="300" t="n"/>
      <c r="AL8" s="300" t="n"/>
      <c r="AM8" s="301" t="n"/>
    </row>
    <row r="9" ht="20" customHeight="1" s="326">
      <c r="A9" s="38" t="inlineStr">
        <is>
          <t>Starting Roth balance</t>
        </is>
      </c>
      <c r="B9" s="475">
        <f>'Model Inputs'!$B$9</f>
        <v/>
      </c>
      <c r="C9" s="6" t="n"/>
      <c r="D9" s="11" t="n"/>
      <c r="F9" s="481" t="inlineStr">
        <is>
          <t>Retirement withdrawals start automatically on retired rows and fund baseline non-housing spending from taxable, then 401(k), then Roth, then HSA.</t>
        </is>
      </c>
      <c r="G9" s="300" t="n"/>
      <c r="H9" s="300" t="n"/>
      <c r="I9" s="300" t="n"/>
      <c r="J9" s="300" t="n"/>
      <c r="K9" s="301" t="n"/>
      <c r="M9" s="385" t="inlineStr">
        <is>
          <t>Starting wealth can be split across taxable, 401(k), Roth, and HSA buckets so the dashboard reflects your real account mix.</t>
        </is>
      </c>
      <c r="N9" s="300" t="n"/>
      <c r="O9" s="300" t="n"/>
      <c r="P9" s="300" t="n"/>
      <c r="Q9" s="300" t="n"/>
      <c r="R9" s="300" t="n"/>
      <c r="S9" s="300" t="n"/>
      <c r="T9" s="300" t="n"/>
      <c r="U9" s="300" t="n"/>
      <c r="V9" s="300" t="n"/>
      <c r="W9" s="300" t="n"/>
      <c r="X9" s="300" t="n"/>
      <c r="Y9" s="300" t="n"/>
      <c r="Z9" s="300" t="n"/>
      <c r="AA9" s="300" t="n"/>
      <c r="AB9" s="300" t="n"/>
      <c r="AC9" s="300" t="n"/>
      <c r="AD9" s="300" t="n"/>
      <c r="AE9" s="300" t="n"/>
      <c r="AF9" s="300" t="n"/>
      <c r="AG9" s="300" t="n"/>
      <c r="AH9" s="300" t="n"/>
      <c r="AI9" s="300" t="n"/>
      <c r="AJ9" s="300" t="n"/>
      <c r="AK9" s="300" t="n"/>
      <c r="AL9" s="300" t="n"/>
      <c r="AM9" s="301" t="n"/>
    </row>
    <row r="10" ht="20" customHeight="1" s="326">
      <c r="A10" s="38" t="inlineStr">
        <is>
          <t>Starting HSA balance</t>
        </is>
      </c>
      <c r="B10" s="475">
        <f>'Model Inputs'!$B$10</f>
        <v/>
      </c>
      <c r="C10" s="6" t="n"/>
      <c r="D10" s="11" t="n"/>
      <c r="F10" s="481" t="inlineStr">
        <is>
          <t>House purchase and housing carry are modeled on Scenario Lab so retirement housing costs sit on top of this baseline spend instead of being buried inside it.</t>
        </is>
      </c>
      <c r="G10" s="300" t="n"/>
      <c r="H10" s="300" t="n"/>
      <c r="I10" s="300" t="n"/>
      <c r="J10" s="300" t="n"/>
      <c r="K10" s="301" t="n"/>
      <c r="M10" s="385" t="inlineStr">
        <is>
          <t>The retirement section is designed for directional planning rather than full distribution-tax optimization.</t>
        </is>
      </c>
      <c r="N10" s="300" t="n"/>
      <c r="O10" s="300" t="n"/>
      <c r="P10" s="300" t="n"/>
      <c r="Q10" s="300" t="n"/>
      <c r="R10" s="300" t="n"/>
      <c r="S10" s="300" t="n"/>
      <c r="T10" s="300" t="n"/>
      <c r="U10" s="300" t="n"/>
      <c r="V10" s="300" t="n"/>
      <c r="W10" s="300" t="n"/>
      <c r="X10" s="300" t="n"/>
      <c r="Y10" s="300" t="n"/>
      <c r="Z10" s="300" t="n"/>
      <c r="AA10" s="300" t="n"/>
      <c r="AB10" s="300" t="n"/>
      <c r="AC10" s="300" t="n"/>
      <c r="AD10" s="300" t="n"/>
      <c r="AE10" s="300" t="n"/>
      <c r="AF10" s="300" t="n"/>
      <c r="AG10" s="300" t="n"/>
      <c r="AH10" s="300" t="n"/>
      <c r="AI10" s="300" t="n"/>
      <c r="AJ10" s="300" t="n"/>
      <c r="AK10" s="300" t="n"/>
      <c r="AL10" s="300" t="n"/>
      <c r="AM10" s="301" t="n"/>
    </row>
    <row r="11" ht="20" customHeight="1" s="326">
      <c r="A11" s="38" t="inlineStr">
        <is>
          <t>Total starting investable assets</t>
        </is>
      </c>
      <c r="B11" s="475">
        <f>SUM(B7:B10)</f>
        <v/>
      </c>
      <c r="C11" s="6" t="n"/>
      <c r="D11" s="11" t="n"/>
      <c r="F11" s="481" t="inlineStr">
        <is>
      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      </is>
      </c>
      <c r="G11" s="300" t="n"/>
      <c r="H11" s="300" t="n"/>
      <c r="I11" s="300" t="n"/>
      <c r="J11" s="300" t="n"/>
      <c r="K11" s="301" t="n"/>
      <c r="M11" s="385" t="inlineStr">
        <is>
          <t>Scenario and house assumptions are edited on Model Inputs and flow through Scenario Lab as linked calculations.</t>
        </is>
      </c>
      <c r="N11" s="300" t="n"/>
      <c r="O11" s="300" t="n"/>
      <c r="P11" s="300" t="n"/>
      <c r="Q11" s="300" t="n"/>
      <c r="R11" s="300" t="n"/>
      <c r="S11" s="300" t="n"/>
      <c r="T11" s="300" t="n"/>
      <c r="U11" s="300" t="n"/>
      <c r="V11" s="300" t="n"/>
      <c r="W11" s="300" t="n"/>
      <c r="X11" s="300" t="n"/>
      <c r="Y11" s="300" t="n"/>
      <c r="Z11" s="300" t="n"/>
      <c r="AA11" s="300" t="n"/>
      <c r="AB11" s="300" t="n"/>
      <c r="AC11" s="300" t="n"/>
      <c r="AD11" s="300" t="n"/>
      <c r="AE11" s="300" t="n"/>
      <c r="AF11" s="300" t="n"/>
      <c r="AG11" s="300" t="n"/>
      <c r="AH11" s="300" t="n"/>
      <c r="AI11" s="300" t="n"/>
      <c r="AJ11" s="300" t="n"/>
      <c r="AK11" s="300" t="n"/>
      <c r="AL11" s="300" t="n"/>
      <c r="AM11" s="301" t="n"/>
    </row>
    <row r="12" ht="20" customHeight="1" s="326">
      <c r="A12" s="38" t="inlineStr">
        <is>
          <t>Working years entered</t>
        </is>
      </c>
      <c r="B12" s="474">
        <f>IFERROR(LOOKUP(2,1/($C$19:$C$58="Working"),$A$19:$A$58),0)</f>
        <v/>
      </c>
      <c r="C12" s="6" t="n"/>
      <c r="D12" s="11" t="n"/>
      <c r="F12" s="30" t="n"/>
      <c r="G12" s="6" t="n"/>
      <c r="H12" s="6" t="n"/>
      <c r="I12" s="6" t="n"/>
      <c r="J12" s="6" t="n"/>
      <c r="K12" s="11" t="n"/>
      <c r="M12" s="30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11" t="n"/>
    </row>
    <row r="13" ht="20" customHeight="1" s="326">
      <c r="A13" s="38" t="inlineStr">
        <is>
          <t>Baseline retirement spend (non-housing)</t>
        </is>
      </c>
      <c r="B13" s="475">
        <f>'Model Inputs'!$B$11</f>
        <v/>
      </c>
      <c r="C13" s="6" t="n"/>
      <c r="D13" s="11" t="n"/>
      <c r="F13" s="30" t="n"/>
      <c r="G13" s="6" t="n"/>
      <c r="H13" s="6" t="n"/>
      <c r="I13" s="6" t="n"/>
      <c r="J13" s="6" t="n"/>
      <c r="K13" s="11" t="n"/>
      <c r="M13" s="30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11" t="n"/>
    </row>
    <row r="14" ht="20" customHeight="1" s="326">
      <c r="A14" s="38" t="inlineStr">
        <is>
          <t>No-growth return</t>
        </is>
      </c>
      <c r="B14" s="471">
        <f>'Model Inputs'!$B$12</f>
        <v/>
      </c>
      <c r="C14" s="6" t="n"/>
      <c r="D14" s="11" t="n"/>
      <c r="F14" s="30" t="n"/>
      <c r="G14" s="6" t="n"/>
      <c r="H14" s="6" t="n"/>
      <c r="I14" s="6" t="n"/>
      <c r="J14" s="6" t="n"/>
      <c r="K14" s="11" t="n"/>
      <c r="M14" s="30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11" t="n"/>
    </row>
    <row r="15" ht="20" customHeight="1" s="326">
      <c r="A15" s="38" t="inlineStr">
        <is>
          <t>Base return</t>
        </is>
      </c>
      <c r="B15" s="471">
        <f>'Model Inputs'!$B$13</f>
        <v/>
      </c>
      <c r="C15" s="6" t="n"/>
      <c r="D15" s="11" t="n"/>
      <c r="F15" s="30" t="n"/>
      <c r="G15" s="6" t="n"/>
      <c r="H15" s="6" t="n"/>
      <c r="I15" s="6" t="n"/>
      <c r="J15" s="6" t="n"/>
      <c r="K15" s="11" t="n"/>
      <c r="M15" s="30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11" t="n"/>
    </row>
    <row r="16" ht="20" customHeight="1" s="326">
      <c r="A16" s="38" t="inlineStr">
        <is>
          <t>Upside return</t>
        </is>
      </c>
      <c r="B16" s="471">
        <f>'Model Inputs'!$B$14</f>
        <v/>
      </c>
      <c r="C16" s="6" t="n"/>
      <c r="D16" s="11" t="n"/>
      <c r="F16" s="30" t="n"/>
      <c r="G16" s="6" t="n"/>
      <c r="H16" s="6" t="n"/>
      <c r="I16" s="6" t="n"/>
      <c r="J16" s="6" t="n"/>
      <c r="K16" s="11" t="n"/>
      <c r="M16" s="30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11" t="n"/>
    </row>
    <row r="17" ht="20" customHeight="1" s="326">
      <c r="A17" s="39" t="inlineStr">
        <is>
          <t>Dashboard selected year</t>
        </is>
      </c>
      <c r="B17" s="482">
        <f>'Model Inputs'!$B$15</f>
        <v/>
      </c>
      <c r="C17" s="3" t="n"/>
      <c r="D17" s="4" t="n"/>
      <c r="F17" s="31" t="n"/>
      <c r="G17" s="3" t="n"/>
      <c r="H17" s="3" t="n"/>
      <c r="I17" s="3" t="n"/>
      <c r="J17" s="3" t="n"/>
      <c r="K17" s="4" t="n"/>
      <c r="M17" s="31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4" t="n"/>
    </row>
    <row r="18" ht="18" customHeight="1" s="326">
      <c r="A18" s="483" t="inlineStr">
        <is>
          <t>Year</t>
        </is>
      </c>
      <c r="B18" s="483" t="inlineStr">
        <is>
          <t>Gross Comp (output)</t>
        </is>
      </c>
      <c r="C18" s="483" t="inlineStr">
        <is>
          <t>Phase</t>
        </is>
      </c>
      <c r="D18" s="483" t="inlineStr">
        <is>
          <t>401(k) / Trad</t>
        </is>
      </c>
      <c r="E18" s="483" t="inlineStr">
        <is>
          <t>HSA</t>
        </is>
      </c>
      <c r="F18" s="483" t="inlineStr">
        <is>
          <t>After-Tax Payroll</t>
        </is>
      </c>
      <c r="G18" s="483" t="inlineStr">
        <is>
          <t>Fed Taxable Income</t>
        </is>
      </c>
      <c r="H18" s="483" t="inlineStr">
        <is>
          <t>Federal Tax</t>
        </is>
      </c>
      <c r="I18" s="483" t="inlineStr">
        <is>
          <t>Social Security</t>
        </is>
      </c>
      <c r="J18" s="483" t="inlineStr">
        <is>
          <t>Medicare</t>
        </is>
      </c>
      <c r="K18" s="483" t="inlineStr">
        <is>
          <t>Add'l Medicare</t>
        </is>
      </c>
      <c r="L18" s="483" t="inlineStr">
        <is>
          <t>NY PFL</t>
        </is>
      </c>
      <c r="M18" s="483" t="inlineStr">
        <is>
          <t>NY Disability</t>
        </is>
      </c>
      <c r="N18" s="483" t="inlineStr">
        <is>
          <t>NY Taxable Income</t>
        </is>
      </c>
      <c r="O18" s="483" t="inlineStr">
        <is>
          <t>NY State Tax</t>
        </is>
      </c>
      <c r="P18" s="483" t="inlineStr">
        <is>
          <t>NYC Tax</t>
        </is>
      </c>
      <c r="Q18" s="483" t="inlineStr">
        <is>
          <t>Total Tax / Deductions</t>
        </is>
      </c>
      <c r="R18" s="483" t="inlineStr">
        <is>
          <t>Post-Tax Cash</t>
        </is>
      </c>
      <c r="S18" s="483" t="inlineStr">
        <is>
          <t>Rent (nominal)</t>
        </is>
      </c>
      <c r="T18" s="483" t="inlineStr">
        <is>
          <t>Other Living Costs (nominal)</t>
        </is>
      </c>
      <c r="U18" s="483" t="inlineStr">
        <is>
          <t>Cash After Living</t>
        </is>
      </c>
      <c r="V18" s="483" t="inlineStr">
        <is>
          <t>Roth IRA / Backdoor Roth</t>
        </is>
      </c>
      <c r="W18" s="483" t="inlineStr">
        <is>
          <t>Taxable Savings / (Draw)</t>
        </is>
      </c>
      <c r="X18" s="483" t="inlineStr">
        <is>
          <t>Total Annual Savings</t>
        </is>
      </c>
      <c r="Y18" s="483" t="inlineStr">
        <is>
          <t>Planned Retirement Withdrawal</t>
        </is>
      </c>
      <c r="Z18" s="483" t="inlineStr">
        <is>
          <t>Actual Withdrawal</t>
        </is>
      </c>
      <c r="AA18" s="483" t="inlineStr">
        <is>
          <t>Taxable Withdrawal</t>
        </is>
      </c>
      <c r="AB18" s="483" t="inlineStr">
        <is>
          <t>401(k) Withdrawal</t>
        </is>
      </c>
      <c r="AC18" s="483" t="inlineStr">
        <is>
          <t>Roth Withdrawal</t>
        </is>
      </c>
      <c r="AD18" s="483" t="inlineStr">
        <is>
          <t>HSA Withdrawal</t>
        </is>
      </c>
      <c r="AE18" s="483" t="inlineStr">
        <is>
          <t>Taxable Balance</t>
        </is>
      </c>
      <c r="AF18" s="483" t="inlineStr">
        <is>
          <t>401(k) Balance</t>
        </is>
      </c>
      <c r="AG18" s="483" t="inlineStr">
        <is>
          <t>Roth Balance</t>
        </is>
      </c>
      <c r="AH18" s="483" t="inlineStr">
        <is>
          <t>HSA Balance</t>
        </is>
      </c>
      <c r="AI18" s="483" t="inlineStr">
        <is>
          <t>Total Wealth @ Base</t>
        </is>
      </c>
      <c r="AJ18" s="483" t="inlineStr">
        <is>
          <t>Total Wealth @ 0%</t>
        </is>
      </c>
      <c r="AK18" s="483" t="inlineStr">
        <is>
          <t>Total Wealth @ 8%</t>
        </is>
      </c>
      <c r="AL18" s="483" t="inlineStr">
        <is>
          <t>Taxable Savings Rate</t>
        </is>
      </c>
      <c r="AM18" s="483" t="inlineStr">
        <is>
          <t>Total Savings Rate</t>
        </is>
      </c>
      <c r="AN18" s="483" t="inlineStr">
        <is>
          <t>Proj. Year</t>
        </is>
      </c>
      <c r="AO18" s="483" t="inlineStr">
        <is>
          <t>Calendar Year</t>
        </is>
      </c>
      <c r="AP18" s="483" t="inlineStr">
        <is>
          <t>Work Fraction</t>
        </is>
      </c>
      <c r="AQ18" s="483" t="inlineStr">
        <is>
          <t>Default Base</t>
        </is>
      </c>
      <c r="AR18" s="483" t="inlineStr">
        <is>
          <t>Base Override</t>
        </is>
      </c>
      <c r="AS18" s="483" t="inlineStr">
        <is>
          <t>Base Used</t>
        </is>
      </c>
      <c r="AT18" s="483" t="inlineStr">
        <is>
          <t>Base Earned</t>
        </is>
      </c>
      <c r="AU18" s="483" t="inlineStr">
        <is>
          <t>Trend Bonus</t>
        </is>
      </c>
      <c r="AV18" s="483" t="inlineStr">
        <is>
          <t>Default Swing %</t>
        </is>
      </c>
      <c r="AW18" s="483" t="inlineStr">
        <is>
          <t>Swing Override %</t>
        </is>
      </c>
      <c r="AX18" s="483" t="inlineStr">
        <is>
          <t>FY Bonus Accrual Override</t>
        </is>
      </c>
      <c r="AY18" s="483" t="inlineStr">
        <is>
          <t>FY Bonus Accrued</t>
        </is>
      </c>
      <c r="AZ18" s="483" t="inlineStr">
        <is>
          <t>Sign-On / One-Time</t>
        </is>
      </c>
      <c r="BA18" s="483" t="inlineStr">
        <is>
          <t>Other Cash Comp</t>
        </is>
      </c>
      <c r="BB18" s="483" t="inlineStr">
        <is>
          <t>Modeled Gross Comp</t>
        </is>
      </c>
      <c r="BC18" s="483" t="inlineStr">
        <is>
          <t>Gross Comp Input</t>
        </is>
      </c>
      <c r="BD18" s="483" t="inlineStr">
        <is>
          <t>Actual CY Gross Comp</t>
        </is>
      </c>
      <c r="BE18" s="483" t="inlineStr">
        <is>
          <t>FY Bonus Earned (paid next CY)</t>
        </is>
      </c>
      <c r="BF18" s="483" t="inlineStr">
        <is>
          <t>CY Base Actual</t>
        </is>
      </c>
      <c r="BG18" s="483" t="inlineStr">
        <is>
          <t>CY Other / Sign-On Actual</t>
        </is>
      </c>
      <c r="BH18" s="483" t="inlineStr">
        <is>
          <t>Confirmed?</t>
        </is>
      </c>
      <c r="BI18" s="483" t="inlineStr">
        <is>
          <t>Notes</t>
        </is>
      </c>
      <c r="BJ18" s="483" t="inlineStr">
        <is>
          <t>Bonus Cash Received</t>
        </is>
      </c>
      <c r="BK18" s="483" t="inlineStr">
        <is>
          <t>Unvested Deferred Comp (YE)</t>
        </is>
      </c>
      <c r="BL18" s="483" t="inlineStr">
        <is>
          <t>Rent (real $)</t>
        </is>
      </c>
      <c r="BM18" s="483" t="inlineStr">
        <is>
          <t>Living (real $)</t>
        </is>
      </c>
    </row>
    <row r="19" ht="18" customHeight="1" s="326">
      <c r="A19" s="40" t="n">
        <v>1</v>
      </c>
      <c r="B19" s="41">
        <f>IF(BB19="","",BB19)</f>
        <v/>
      </c>
      <c r="C19" s="40">
        <f>IF(B19="","Retired","Working")</f>
        <v/>
      </c>
      <c r="D19" s="41">
        <f>IF(OR(C19="Retired",B19=""),0,MIN(B19,'Tax Assumptions'!$B$19))</f>
        <v/>
      </c>
      <c r="E19" s="36" t="n">
        <v>0</v>
      </c>
      <c r="F19" s="36" t="n">
        <v>0</v>
      </c>
      <c r="G19" s="41">
        <f>IF(C19="Working",MAX(B19-D19-E19-'Tax Assumptions'!$B$8,0),0)</f>
        <v/>
      </c>
      <c r="H19" s="41">
        <f>IF(G19=0,0,LOOKUP(G19,'Tax Assumptions'!$F$9:$F$15,'Tax Assumptions'!$I$9:$I$15)+(G19-LOOKUP(G19,'Tax Assumptions'!$F$9:$F$15,'Tax Assumptions'!$F$9:$F$15))*LOOKUP(G19,'Tax Assumptions'!$F$9:$F$15,'Tax Assumptions'!$H$9:$H$15))</f>
        <v/>
      </c>
      <c r="I19" s="41">
        <f>IF(C19="Working",MIN(MAX(B19-E19,0),'Tax Assumptions'!$B$11)*'Tax Assumptions'!$B$10,0)</f>
        <v/>
      </c>
      <c r="J19" s="41">
        <f>IF(C19="Working",MAX(B19-E19,0)*'Tax Assumptions'!$B$12,0)</f>
        <v/>
      </c>
      <c r="K19" s="41">
        <f>IF(C19="Working",MAX(MAX(B19-E19,0)-'Tax Assumptions'!$B$14,0)*'Tax Assumptions'!$B$13,0)</f>
        <v/>
      </c>
      <c r="L19" s="42">
        <f>IF(C19="Working",MIN(B19*'Tax Assumptions'!$B$15,'Tax Assumptions'!$B$16),0)</f>
        <v/>
      </c>
      <c r="M19" s="42">
        <f>IF(C19="Working",MIN(B19*'Tax Assumptions'!$B$17,'Tax Assumptions'!$B$18),0)</f>
        <v/>
      </c>
      <c r="N19" s="41">
        <f>IF(C19="Working",MAX(B19-D19-'Tax Assumptions'!$B$9,0),0)</f>
        <v/>
      </c>
      <c r="O19" s="41">
        <f>IF(N19=0,0,LOOKUP(N19,'Tax Assumptions'!$K$9:$K$17,'Tax Assumptions'!$N$9:$N$17)+(N19-LOOKUP(N19,'Tax Assumptions'!$K$9:$K$17,'Tax Assumptions'!$K$9:$K$17))*LOOKUP(N19,'Tax Assumptions'!$K$9:$K$17,'Tax Assumptions'!$M$9:$M$17))</f>
        <v/>
      </c>
      <c r="P19" s="41">
        <f>IF(N19=0,0,LOOKUP(N19,'Tax Assumptions'!$P$9:$P$12,'Tax Assumptions'!$S$9:$S$12)+(N19-LOOKUP(N19,'Tax Assumptions'!$P$9:$P$12,'Tax Assumptions'!$P$9:$P$12))*LOOKUP(N19,'Tax Assumptions'!$P$9:$P$12,'Tax Assumptions'!$R$9:$R$12))</f>
        <v/>
      </c>
      <c r="Q19" s="41">
        <f>H19+I19+J19+K19+L19+M19+O19+P19</f>
        <v/>
      </c>
      <c r="R19" s="41">
        <f>IF(C19="Working",B19-D19-E19-F19-Q19,0)</f>
        <v/>
      </c>
      <c r="S19" s="36">
        <f>IF(C19="Working",IF(BL19="","",BL19*(1+'Model Inputs'!$B$35)^(AN19-1)),"")</f>
        <v/>
      </c>
      <c r="T19" s="36">
        <f>IF(C19="Working",IF(BM19="","",BM19*(1+'Model Inputs'!$B$36)^(AN19-1)),"")</f>
        <v/>
      </c>
      <c r="U19" s="41">
        <f>IF(C19="Working",R19-S19-T19,0)</f>
        <v/>
      </c>
      <c r="V19" s="41">
        <f>IF(C19="Working",MIN(MAX(U19,0),'Tax Assumptions'!$B$20),0)</f>
        <v/>
      </c>
      <c r="W19" s="41">
        <f>IF(C19="Working",U19-V19,0)</f>
        <v/>
      </c>
      <c r="X19" s="41">
        <f>IF(C19="Working",W19+V19+D19+E19,0)</f>
        <v/>
      </c>
      <c r="Y19" s="41">
        <f>IF(C19="Retired",$B$13,0)</f>
        <v/>
      </c>
      <c r="Z19" s="41">
        <f>AA19+AB19+AC19+AD19</f>
        <v/>
      </c>
      <c r="AA19" s="41">
        <f>IF(C19="Retired",MIN(Y19,(($B$7)*(1+$B$15)+IF(C19="Working",W19,0))),0)</f>
        <v/>
      </c>
      <c r="AB19" s="41">
        <f>IF(C19="Retired",MIN(MAX(Y19-AA19,0),(($B$8)*(1+$B$15)+IF(C19="Working",D19,0))),0)</f>
        <v/>
      </c>
      <c r="AC19" s="41">
        <f>IF(C19="Retired",MIN(MAX(Y19-AA19-AB19,0),(($B$9)*(1+$B$15)+IF(C19="Working",V19,0))),0)</f>
        <v/>
      </c>
      <c r="AD19" s="41">
        <f>IF(C19="Retired",MIN(MAX(Y19-AA19-AB19-AC19,0),(($B$10)*(1+$B$15)+IF(C19="Working",E19,0))),0)</f>
        <v/>
      </c>
      <c r="AE19" s="43">
        <f>MAX((($B$7)*(1+$B$15)+IF(C19="Working",W19,0))-AA19,0)</f>
        <v/>
      </c>
      <c r="AF19" s="43">
        <f>MAX((($B$8)*(1+$B$15)+IF(C19="Working",D19,0))-AB19,0)</f>
        <v/>
      </c>
      <c r="AG19" s="43">
        <f>MAX((($B$9)*(1+$B$15)+IF(C19="Working",V19,0))-AC19,0)</f>
        <v/>
      </c>
      <c r="AH19" s="43">
        <f>MAX((($B$10)*(1+$B$15)+IF(C19="Working",E19,0))-AD19,0)</f>
        <v/>
      </c>
      <c r="AI19" s="43">
        <f>AE19+AF19+AG19+AH19</f>
        <v/>
      </c>
      <c r="AJ19" s="43">
        <f>IF(C19="Working",SUM($B$7:$B$10)+X19,MAX(SUM($B$7:$B$10)-MIN(Y19,SUM($B$7:$B$10)),0))</f>
        <v/>
      </c>
      <c r="AK19" s="43">
        <f>IF(C19="Working",SUM($B$7:$B$10)*(1+$B$16)+X19,MAX(SUM($B$7:$B$10)*(1+$B$16)-MIN(Y19,SUM($B$7:$B$10)*(1+$B$16)),0))</f>
        <v/>
      </c>
      <c r="AL19" s="44">
        <f>IF(C19="Working",IF(B19=0,0,W19/B19),0)</f>
        <v/>
      </c>
      <c r="AM19" s="44">
        <f>IF(C19="Working",IF(B19=0,0,X19/B19),0)</f>
        <v/>
      </c>
      <c r="AN19" s="169">
        <f>A19</f>
        <v/>
      </c>
      <c r="AO19" s="169">
        <f>'Model Inputs'!$B$22+AN19-1</f>
        <v/>
      </c>
      <c r="AP19" s="34">
        <f>IF(AND(AQ19="",AR19="",AX19="",BA19="",BC19=""),"",IF(AN19=1,(13-'Model Inputs'!$B$23)/12,1))</f>
        <v/>
      </c>
      <c r="AQ19" s="36">
        <f>IF(OR(AN19&lt;='Model Inputs'!$B$24,AR19&lt;&gt;"",AX19&lt;&gt;"",BA19&lt;&gt;"",BC19&lt;&gt;""),'Model Inputs'!$B$25*(1+'Model Inputs'!$B$31)^(AN19-1),"")</f>
        <v/>
      </c>
      <c r="AR19" s="195" t="n"/>
      <c r="AS19" s="36">
        <f>IF(AP19="","",IF(AR19="",AQ19,AR19))</f>
        <v/>
      </c>
      <c r="AT19" s="36">
        <f>IF(AS19="","",AP19*AS19)</f>
        <v/>
      </c>
      <c r="AU19" s="36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/>
      </c>
      <c r="AV19" s="34">
        <f>IF(AU19="","",IF(AN19&lt;=2,0,'Model Inputs'!$B$32*SIN(2*PI()*(AN19-3+'Model Inputs'!$B$34)/MAX(1,'Model Inputs'!$B$33))))</f>
        <v/>
      </c>
      <c r="AW19" s="34" t="n"/>
      <c r="AX19" s="195" t="n">
        <v>150000</v>
      </c>
      <c r="AY19" s="36">
        <f>IF(AP19="","",IF(AX19&lt;&gt;"",AX19,AU19*(1+IF(AW19="",AV19,AW19))))</f>
        <v/>
      </c>
      <c r="AZ19" s="36">
        <f>IF(AN19=1,'Model Inputs'!$B$26,"")</f>
        <v/>
      </c>
      <c r="BA19" s="195" t="n">
        <v>0</v>
      </c>
      <c r="BB19" s="36">
        <f>IF(AND(AS19="",BJ19="",AZ19="",BA19="",BC19="",BD19=""),"",IF(BD19&lt;&gt;"",BD19,IF(BC19&lt;&gt;"",BC19,AT19+IF(BJ19="",0,BJ19)+IF(AZ19="",0,AZ19)+IF(BA19="",0,BA19))))</f>
        <v/>
      </c>
      <c r="BC19" s="195" t="n"/>
      <c r="BD19" s="172">
        <f>IF(AND(BF19="",BG19=""),"",IF(BF19&lt;&gt;"",BF19,IF(AT19="",0,AT19))+IF(BG19&lt;&gt;"",BG19,IF(AZ19="",0,AZ19)+IF(BA19="",0,BA19)))</f>
        <v/>
      </c>
      <c r="BE19" s="200" t="n"/>
      <c r="BF19" s="200" t="n"/>
      <c r="BG19" s="200" t="n"/>
      <c r="BH19" s="201" t="n"/>
      <c r="BI19" s="202" t="n"/>
      <c r="BJ19" s="172">
        <f>IF(AP19="","",0)</f>
        <v/>
      </c>
      <c r="BK19" s="172">
        <f>IF(AP19="","",IF(AY19="",0,AY19))</f>
        <v/>
      </c>
      <c r="BL19" s="195" t="n">
        <v>78000</v>
      </c>
      <c r="BM19" s="195" t="n">
        <v>40000</v>
      </c>
    </row>
    <row r="20" ht="18" customHeight="1" s="326">
      <c r="A20" s="45" t="n">
        <v>2</v>
      </c>
      <c r="B20" s="46">
        <f>IF(BB20="","",BB20)</f>
        <v/>
      </c>
      <c r="C20" s="45">
        <f>IF(B20="","Retired","Working")</f>
        <v/>
      </c>
      <c r="D20" s="46">
        <f>IF(OR(C20="Retired",B20=""),0,MIN(B20,'Tax Assumptions'!$B$19))</f>
        <v/>
      </c>
      <c r="E20" s="36" t="n">
        <v>0</v>
      </c>
      <c r="F20" s="36" t="n">
        <v>0</v>
      </c>
      <c r="G20" s="46">
        <f>IF(C20="Working",MAX(B20-D20-E20-'Tax Assumptions'!$B$8,0),0)</f>
        <v/>
      </c>
      <c r="H20" s="46">
        <f>IF(G20=0,0,LOOKUP(G20,'Tax Assumptions'!$F$9:$F$15,'Tax Assumptions'!$I$9:$I$15)+(G20-LOOKUP(G20,'Tax Assumptions'!$F$9:$F$15,'Tax Assumptions'!$F$9:$F$15))*LOOKUP(G20,'Tax Assumptions'!$F$9:$F$15,'Tax Assumptions'!$H$9:$H$15))</f>
        <v/>
      </c>
      <c r="I20" s="46">
        <f>IF(C20="Working",MIN(MAX(B20-E20,0),'Tax Assumptions'!$B$11)*'Tax Assumptions'!$B$10,0)</f>
        <v/>
      </c>
      <c r="J20" s="46">
        <f>IF(C20="Working",MAX(B20-E20,0)*'Tax Assumptions'!$B$12,0)</f>
        <v/>
      </c>
      <c r="K20" s="46">
        <f>IF(C20="Working",MAX(MAX(B20-E20,0)-'Tax Assumptions'!$B$14,0)*'Tax Assumptions'!$B$13,0)</f>
        <v/>
      </c>
      <c r="L20" s="47">
        <f>IF(C20="Working",MIN(B20*'Tax Assumptions'!$B$15,'Tax Assumptions'!$B$16),0)</f>
        <v/>
      </c>
      <c r="M20" s="47">
        <f>IF(C20="Working",MIN(B20*'Tax Assumptions'!$B$17,'Tax Assumptions'!$B$18),0)</f>
        <v/>
      </c>
      <c r="N20" s="46">
        <f>IF(C20="Working",MAX(B20-D20-'Tax Assumptions'!$B$9,0),0)</f>
        <v/>
      </c>
      <c r="O20" s="46">
        <f>IF(N20=0,0,LOOKUP(N20,'Tax Assumptions'!$K$9:$K$17,'Tax Assumptions'!$N$9:$N$17)+(N20-LOOKUP(N20,'Tax Assumptions'!$K$9:$K$17,'Tax Assumptions'!$K$9:$K$17))*LOOKUP(N20,'Tax Assumptions'!$K$9:$K$17,'Tax Assumptions'!$M$9:$M$17))</f>
        <v/>
      </c>
      <c r="P20" s="46">
        <f>IF(N20=0,0,LOOKUP(N20,'Tax Assumptions'!$P$9:$P$12,'Tax Assumptions'!$S$9:$S$12)+(N20-LOOKUP(N20,'Tax Assumptions'!$P$9:$P$12,'Tax Assumptions'!$P$9:$P$12))*LOOKUP(N20,'Tax Assumptions'!$P$9:$P$12,'Tax Assumptions'!$R$9:$R$12))</f>
        <v/>
      </c>
      <c r="Q20" s="46">
        <f>H20+I20+J20+K20+L20+M20+O20+P20</f>
        <v/>
      </c>
      <c r="R20" s="46">
        <f>IF(C20="Working",B20-D20-E20-F20-Q20,0)</f>
        <v/>
      </c>
      <c r="S20" s="36">
        <f>IF(C20="Working",IF(BL20="","",BL20*(1+'Model Inputs'!$B$35)^(AN20-1)),"")</f>
        <v/>
      </c>
      <c r="T20" s="36">
        <f>IF(C20="Working",IF(BM20="","",BM20*(1+'Model Inputs'!$B$36)^(AN20-1)),"")</f>
        <v/>
      </c>
      <c r="U20" s="46">
        <f>IF(C20="Working",R20-S20-T20,0)</f>
        <v/>
      </c>
      <c r="V20" s="46">
        <f>IF(C20="Working",MIN(MAX(U20,0),'Tax Assumptions'!$B$20),0)</f>
        <v/>
      </c>
      <c r="W20" s="46">
        <f>IF(C20="Working",U20-V20,0)</f>
        <v/>
      </c>
      <c r="X20" s="46">
        <f>IF(C20="Working",W20+V20+D20+E20,0)</f>
        <v/>
      </c>
      <c r="Y20" s="46">
        <f>IF(C20="Retired",$B$13,0)</f>
        <v/>
      </c>
      <c r="Z20" s="46">
        <f>AA20+AB20+AC20+AD20</f>
        <v/>
      </c>
      <c r="AA20" s="46">
        <f>IF(C20="Retired",MIN(Y20,((AE19)*(1+$B$15)+IF(C20="Working",W20,0))),0)</f>
        <v/>
      </c>
      <c r="AB20" s="46">
        <f>IF(C20="Retired",MIN(MAX(Y20-AA20,0),((AF19)*(1+$B$15)+IF(C20="Working",D20,0))),0)</f>
        <v/>
      </c>
      <c r="AC20" s="46">
        <f>IF(C20="Retired",MIN(MAX(Y20-AA20-AB20,0),((AG19)*(1+$B$15)+IF(C20="Working",V20,0))),0)</f>
        <v/>
      </c>
      <c r="AD20" s="46">
        <f>IF(C20="Retired",MIN(MAX(Y20-AA20-AB20-AC20,0),((AH19)*(1+$B$15)+IF(C20="Working",E20,0))),0)</f>
        <v/>
      </c>
      <c r="AE20" s="43">
        <f>MAX(((AE19)*(1+$B$15)+IF(C20="Working",W20,0))-AA20,0)</f>
        <v/>
      </c>
      <c r="AF20" s="43">
        <f>MAX(((AF19)*(1+$B$15)+IF(C20="Working",D20,0))-AB20,0)</f>
        <v/>
      </c>
      <c r="AG20" s="43">
        <f>MAX(((AG19)*(1+$B$15)+IF(C20="Working",V20,0))-AC20,0)</f>
        <v/>
      </c>
      <c r="AH20" s="43">
        <f>MAX(((AH19)*(1+$B$15)+IF(C20="Working",E20,0))-AD20,0)</f>
        <v/>
      </c>
      <c r="AI20" s="43">
        <f>AE20+AF20+AG20+AH20</f>
        <v/>
      </c>
      <c r="AJ20" s="43">
        <f>IF(C20="Working",AJ19+X20,MAX(AJ19-MIN(Y20,AJ19),0))</f>
        <v/>
      </c>
      <c r="AK20" s="43">
        <f>IF(C20="Working",AK19*(1+$B$16)+X20,MAX(AK19*(1+$B$16)-MIN(Y20,AK19*(1+$B$16)),0))</f>
        <v/>
      </c>
      <c r="AL20" s="48">
        <f>IF(C20="Working",IF(B20=0,0,W20/B20),0)</f>
        <v/>
      </c>
      <c r="AM20" s="48">
        <f>IF(C20="Working",IF(B20=0,0,X20/B20),0)</f>
        <v/>
      </c>
      <c r="AN20" s="169">
        <f>A20</f>
        <v/>
      </c>
      <c r="AO20" s="169">
        <f>'Model Inputs'!$B$22+AN20-1</f>
        <v/>
      </c>
      <c r="AP20" s="34">
        <f>IF(AND(AQ20="",AR20="",AX20="",BA20="",BC20=""),"",IF(AN20=1,(13-'Model Inputs'!$B$23)/12,1))</f>
        <v/>
      </c>
      <c r="AQ20" s="36">
        <f>IF(OR(AN20&lt;='Model Inputs'!$B$24,AR20&lt;&gt;"",AX20&lt;&gt;"",BA20&lt;&gt;"",BC20&lt;&gt;""),'Model Inputs'!$B$25*(1+'Model Inputs'!$B$31)^(AN20-1),"")</f>
        <v/>
      </c>
      <c r="AR20" s="195" t="n"/>
      <c r="AS20" s="36">
        <f>IF(AP20="","",IF(AR20="",AQ20,AR20))</f>
        <v/>
      </c>
      <c r="AT20" s="36">
        <f>IF(AS20="","",AP20*AS20)</f>
        <v/>
      </c>
      <c r="AU20" s="36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/>
      </c>
      <c r="AV20" s="34">
        <f>IF(AU20="","",IF(AN20&lt;=2,0,'Model Inputs'!$B$32*SIN(2*PI()*(AN20-3+'Model Inputs'!$B$34)/MAX(1,'Model Inputs'!$B$33))))</f>
        <v/>
      </c>
      <c r="AW20" s="34" t="n"/>
      <c r="AX20" s="195" t="n">
        <v>450000</v>
      </c>
      <c r="AY20" s="36">
        <f>IF(AP20="","",IF(AX20&lt;&gt;"",AX20,AU20*(1+IF(AW20="",AV20,AW20))))</f>
        <v/>
      </c>
      <c r="AZ20" s="36">
        <f>IF(AN20=1,'Model Inputs'!$B$26,"")</f>
        <v/>
      </c>
      <c r="BA20" s="195" t="n">
        <v>0</v>
      </c>
      <c r="BB20" s="36">
        <f>IF(AND(AS20="",BJ20="",AZ20="",BA20="",BC20="",BD20=""),"",IF(BD20&lt;&gt;"",BD20,IF(BC20&lt;&gt;"",BC20,AT20+IF(BJ20="",0,BJ20)+IF(AZ20="",0,AZ20)+IF(BA20="",0,BA20))))</f>
        <v/>
      </c>
      <c r="BC20" s="195" t="n"/>
      <c r="BD20" s="172">
        <f>IF(AND(BF20="",BG20="",BE19=""),"",IF(BF20&lt;&gt;"",BF20,IF(AT20="",0,AT20))+0.75*IF(BE19&lt;&gt;"",BE19,IF(AY19="",0,AY19))+IF(BG20&lt;&gt;"",BG20,IF(AZ20="",0,AZ20)+IF(BA20="",0,BA20)))</f>
        <v/>
      </c>
      <c r="BE20" s="200" t="n"/>
      <c r="BF20" s="200" t="n"/>
      <c r="BG20" s="200" t="n"/>
      <c r="BH20" s="201" t="n"/>
      <c r="BI20" s="202" t="n"/>
      <c r="BJ20" s="172">
        <f>IF(AP20="","",0.75*IF(AY19="",0,AY19))</f>
        <v/>
      </c>
      <c r="BK20" s="172">
        <f>IF(AP20="","",IF(AY20="",0,AY20)+0.25*IF(AY19="",0,AY19))</f>
        <v/>
      </c>
      <c r="BL20" s="195" t="n">
        <v>78000</v>
      </c>
      <c r="BM20" s="195" t="n">
        <v>40000</v>
      </c>
    </row>
    <row r="21" ht="18" customHeight="1" s="326">
      <c r="A21" s="40" t="n">
        <v>3</v>
      </c>
      <c r="B21" s="41">
        <f>IF(BB21="","",BB21)</f>
        <v/>
      </c>
      <c r="C21" s="40">
        <f>IF(B21="","Retired","Working")</f>
        <v/>
      </c>
      <c r="D21" s="41">
        <f>IF(OR(C21="Retired",B21=""),0,MIN(B21,'Tax Assumptions'!$B$19))</f>
        <v/>
      </c>
      <c r="E21" s="36" t="n">
        <v>0</v>
      </c>
      <c r="F21" s="36" t="n">
        <v>0</v>
      </c>
      <c r="G21" s="41">
        <f>IF(C21="Working",MAX(B21-D21-E21-'Tax Assumptions'!$B$8,0),0)</f>
        <v/>
      </c>
      <c r="H21" s="41">
        <f>IF(G21=0,0,LOOKUP(G21,'Tax Assumptions'!$F$9:$F$15,'Tax Assumptions'!$I$9:$I$15)+(G21-LOOKUP(G21,'Tax Assumptions'!$F$9:$F$15,'Tax Assumptions'!$F$9:$F$15))*LOOKUP(G21,'Tax Assumptions'!$F$9:$F$15,'Tax Assumptions'!$H$9:$H$15))</f>
        <v/>
      </c>
      <c r="I21" s="41">
        <f>IF(C21="Working",MIN(MAX(B21-E21,0),'Tax Assumptions'!$B$11)*'Tax Assumptions'!$B$10,0)</f>
        <v/>
      </c>
      <c r="J21" s="41">
        <f>IF(C21="Working",MAX(B21-E21,0)*'Tax Assumptions'!$B$12,0)</f>
        <v/>
      </c>
      <c r="K21" s="41">
        <f>IF(C21="Working",MAX(MAX(B21-E21,0)-'Tax Assumptions'!$B$14,0)*'Tax Assumptions'!$B$13,0)</f>
        <v/>
      </c>
      <c r="L21" s="42">
        <f>IF(C21="Working",MIN(B21*'Tax Assumptions'!$B$15,'Tax Assumptions'!$B$16),0)</f>
        <v/>
      </c>
      <c r="M21" s="42">
        <f>IF(C21="Working",MIN(B21*'Tax Assumptions'!$B$17,'Tax Assumptions'!$B$18),0)</f>
        <v/>
      </c>
      <c r="N21" s="41">
        <f>IF(C21="Working",MAX(B21-D21-'Tax Assumptions'!$B$9,0),0)</f>
        <v/>
      </c>
      <c r="O21" s="41">
        <f>IF(N21=0,0,LOOKUP(N21,'Tax Assumptions'!$K$9:$K$17,'Tax Assumptions'!$N$9:$N$17)+(N21-LOOKUP(N21,'Tax Assumptions'!$K$9:$K$17,'Tax Assumptions'!$K$9:$K$17))*LOOKUP(N21,'Tax Assumptions'!$K$9:$K$17,'Tax Assumptions'!$M$9:$M$17))</f>
        <v/>
      </c>
      <c r="P21" s="41">
        <f>IF(N21=0,0,LOOKUP(N21,'Tax Assumptions'!$P$9:$P$12,'Tax Assumptions'!$S$9:$S$12)+(N21-LOOKUP(N21,'Tax Assumptions'!$P$9:$P$12,'Tax Assumptions'!$P$9:$P$12))*LOOKUP(N21,'Tax Assumptions'!$P$9:$P$12,'Tax Assumptions'!$R$9:$R$12))</f>
        <v/>
      </c>
      <c r="Q21" s="41">
        <f>H21+I21+J21+K21+L21+M21+O21+P21</f>
        <v/>
      </c>
      <c r="R21" s="41">
        <f>IF(C21="Working",B21-D21-E21-F21-Q21,0)</f>
        <v/>
      </c>
      <c r="S21" s="36">
        <f>IF(C21="Working",IF(BL21="","",BL21*(1+'Model Inputs'!$B$35)^(AN21-1)),"")</f>
        <v/>
      </c>
      <c r="T21" s="36">
        <f>IF(C21="Working",IF(BM21="","",BM21*(1+'Model Inputs'!$B$36)^(AN21-1)),"")</f>
        <v/>
      </c>
      <c r="U21" s="41">
        <f>IF(C21="Working",R21-S21-T21,0)</f>
        <v/>
      </c>
      <c r="V21" s="41">
        <f>IF(C21="Working",MIN(MAX(U21,0),'Tax Assumptions'!$B$20),0)</f>
        <v/>
      </c>
      <c r="W21" s="41">
        <f>IF(C21="Working",U21-V21,0)</f>
        <v/>
      </c>
      <c r="X21" s="41">
        <f>IF(C21="Working",W21+V21+D21+E21,0)</f>
        <v/>
      </c>
      <c r="Y21" s="41">
        <f>IF(C21="Retired",$B$13,0)</f>
        <v/>
      </c>
      <c r="Z21" s="41">
        <f>AA21+AB21+AC21+AD21</f>
        <v/>
      </c>
      <c r="AA21" s="41">
        <f>IF(C21="Retired",MIN(Y21,((AE20)*(1+$B$15)+IF(C21="Working",W21,0))),0)</f>
        <v/>
      </c>
      <c r="AB21" s="41">
        <f>IF(C21="Retired",MIN(MAX(Y21-AA21,0),((AF20)*(1+$B$15)+IF(C21="Working",D21,0))),0)</f>
        <v/>
      </c>
      <c r="AC21" s="41">
        <f>IF(C21="Retired",MIN(MAX(Y21-AA21-AB21,0),((AG20)*(1+$B$15)+IF(C21="Working",V21,0))),0)</f>
        <v/>
      </c>
      <c r="AD21" s="41">
        <f>IF(C21="Retired",MIN(MAX(Y21-AA21-AB21-AC21,0),((AH20)*(1+$B$15)+IF(C21="Working",E21,0))),0)</f>
        <v/>
      </c>
      <c r="AE21" s="43">
        <f>MAX(((AE20)*(1+$B$15)+IF(C21="Working",W21,0))-AA21,0)</f>
        <v/>
      </c>
      <c r="AF21" s="43">
        <f>MAX(((AF20)*(1+$B$15)+IF(C21="Working",D21,0))-AB21,0)</f>
        <v/>
      </c>
      <c r="AG21" s="43">
        <f>MAX(((AG20)*(1+$B$15)+IF(C21="Working",V21,0))-AC21,0)</f>
        <v/>
      </c>
      <c r="AH21" s="43">
        <f>MAX(((AH20)*(1+$B$15)+IF(C21="Working",E21,0))-AD21,0)</f>
        <v/>
      </c>
      <c r="AI21" s="43">
        <f>AE21+AF21+AG21+AH21</f>
        <v/>
      </c>
      <c r="AJ21" s="43">
        <f>IF(C21="Working",AJ20+X21,MAX(AJ20-MIN(Y21,AJ20),0))</f>
        <v/>
      </c>
      <c r="AK21" s="43">
        <f>IF(C21="Working",AK20*(1+$B$16)+X21,MAX(AK20*(1+$B$16)-MIN(Y21,AK20*(1+$B$16)),0))</f>
        <v/>
      </c>
      <c r="AL21" s="44">
        <f>IF(C21="Working",IF(B21=0,0,W21/B21),0)</f>
        <v/>
      </c>
      <c r="AM21" s="44">
        <f>IF(C21="Working",IF(B21=0,0,X21/B21),0)</f>
        <v/>
      </c>
      <c r="AN21" s="169">
        <f>A21</f>
        <v/>
      </c>
      <c r="AO21" s="169">
        <f>'Model Inputs'!$B$22+AN21-1</f>
        <v/>
      </c>
      <c r="AP21" s="34">
        <f>IF(AND(AQ21="",AR21="",AX21="",BA21="",BC21=""),"",IF(AN21=1,(13-'Model Inputs'!$B$23)/12,1))</f>
        <v/>
      </c>
      <c r="AQ21" s="36">
        <f>IF(OR(AN21&lt;='Model Inputs'!$B$24,AR21&lt;&gt;"",AX21&lt;&gt;"",BA21&lt;&gt;"",BC21&lt;&gt;""),'Model Inputs'!$B$25*(1+'Model Inputs'!$B$31)^(AN21-1),"")</f>
        <v/>
      </c>
      <c r="AR21" s="195" t="n"/>
      <c r="AS21" s="36">
        <f>IF(AP21="","",IF(AR21="",AQ21,AR21))</f>
        <v/>
      </c>
      <c r="AT21" s="36">
        <f>IF(AS21="","",AP21*AS21)</f>
        <v/>
      </c>
      <c r="AU21" s="36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/>
      </c>
      <c r="AV21" s="34">
        <f>IF(AU21="","",IF(AN21&lt;=2,0,'Model Inputs'!$B$32*SIN(2*PI()*(AN21-3+'Model Inputs'!$B$34)/MAX(1,'Model Inputs'!$B$33))))</f>
        <v/>
      </c>
      <c r="AW21" s="34" t="n"/>
      <c r="AX21" s="195" t="n"/>
      <c r="AY21" s="36">
        <f>IF(AP21="","",IF(AX21&lt;&gt;"",AX21,AU21*(1+IF(AW21="",AV21,AW21))))</f>
        <v/>
      </c>
      <c r="AZ21" s="36">
        <f>IF(AN21=1,'Model Inputs'!$B$26,"")</f>
        <v/>
      </c>
      <c r="BA21" s="195" t="n">
        <v>0</v>
      </c>
      <c r="BB21" s="36">
        <f>IF(AND(AS21="",BJ21="",AZ21="",BA21="",BC21="",BD21=""),"",IF(BD21&lt;&gt;"",BD21,IF(BC21&lt;&gt;"",BC21,AT21+IF(BJ21="",0,BJ21)+IF(AZ21="",0,AZ21)+IF(BA21="",0,BA21))))</f>
        <v/>
      </c>
      <c r="BC21" s="195" t="n"/>
      <c r="BD21" s="172">
        <f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0" t="n"/>
      <c r="BF21" s="200" t="n"/>
      <c r="BG21" s="200" t="n"/>
      <c r="BH21" s="201" t="n"/>
      <c r="BI21" s="202" t="n"/>
      <c r="BJ21" s="172">
        <f>IF(AP21="","",0.75*IF(AY20="",0,AY20)+0.25*IF(AY19="",0,AY19))</f>
        <v/>
      </c>
      <c r="BK21" s="172">
        <f>IF(AP21="","",IF(AY21="",0,AY21)+0.25*IF(AY20="",0,AY20))</f>
        <v/>
      </c>
      <c r="BL21" s="195" t="n">
        <v>78000</v>
      </c>
      <c r="BM21" s="195" t="n">
        <v>50000</v>
      </c>
    </row>
    <row r="22" ht="18" customHeight="1" s="326">
      <c r="A22" s="45" t="n">
        <v>4</v>
      </c>
      <c r="B22" s="46">
        <f>IF(BB22="","",BB22)</f>
        <v/>
      </c>
      <c r="C22" s="45">
        <f>IF(B22="","Retired","Working")</f>
        <v/>
      </c>
      <c r="D22" s="46">
        <f>IF(OR(C22="Retired",B22=""),0,MIN(B22,'Tax Assumptions'!$B$19))</f>
        <v/>
      </c>
      <c r="E22" s="36" t="n">
        <v>0</v>
      </c>
      <c r="F22" s="36" t="n">
        <v>0</v>
      </c>
      <c r="G22" s="46">
        <f>IF(C22="Working",MAX(B22-D22-E22-'Tax Assumptions'!$B$8,0),0)</f>
        <v/>
      </c>
      <c r="H22" s="46">
        <f>IF(G22=0,0,LOOKUP(G22,'Tax Assumptions'!$F$9:$F$15,'Tax Assumptions'!$I$9:$I$15)+(G22-LOOKUP(G22,'Tax Assumptions'!$F$9:$F$15,'Tax Assumptions'!$F$9:$F$15))*LOOKUP(G22,'Tax Assumptions'!$F$9:$F$15,'Tax Assumptions'!$H$9:$H$15))</f>
        <v/>
      </c>
      <c r="I22" s="46">
        <f>IF(C22="Working",MIN(MAX(B22-E22,0),'Tax Assumptions'!$B$11)*'Tax Assumptions'!$B$10,0)</f>
        <v/>
      </c>
      <c r="J22" s="46">
        <f>IF(C22="Working",MAX(B22-E22,0)*'Tax Assumptions'!$B$12,0)</f>
        <v/>
      </c>
      <c r="K22" s="46">
        <f>IF(C22="Working",MAX(MAX(B22-E22,0)-'Tax Assumptions'!$B$14,0)*'Tax Assumptions'!$B$13,0)</f>
        <v/>
      </c>
      <c r="L22" s="47">
        <f>IF(C22="Working",MIN(B22*'Tax Assumptions'!$B$15,'Tax Assumptions'!$B$16),0)</f>
        <v/>
      </c>
      <c r="M22" s="47">
        <f>IF(C22="Working",MIN(B22*'Tax Assumptions'!$B$17,'Tax Assumptions'!$B$18),0)</f>
        <v/>
      </c>
      <c r="N22" s="46">
        <f>IF(C22="Working",MAX(B22-D22-'Tax Assumptions'!$B$9,0),0)</f>
        <v/>
      </c>
      <c r="O22" s="46">
        <f>IF(N22=0,0,LOOKUP(N22,'Tax Assumptions'!$K$9:$K$17,'Tax Assumptions'!$N$9:$N$17)+(N22-LOOKUP(N22,'Tax Assumptions'!$K$9:$K$17,'Tax Assumptions'!$K$9:$K$17))*LOOKUP(N22,'Tax Assumptions'!$K$9:$K$17,'Tax Assumptions'!$M$9:$M$17))</f>
        <v/>
      </c>
      <c r="P22" s="46">
        <f>IF(N22=0,0,LOOKUP(N22,'Tax Assumptions'!$P$9:$P$12,'Tax Assumptions'!$S$9:$S$12)+(N22-LOOKUP(N22,'Tax Assumptions'!$P$9:$P$12,'Tax Assumptions'!$P$9:$P$12))*LOOKUP(N22,'Tax Assumptions'!$P$9:$P$12,'Tax Assumptions'!$R$9:$R$12))</f>
        <v/>
      </c>
      <c r="Q22" s="46">
        <f>H22+I22+J22+K22+L22+M22+O22+P22</f>
        <v/>
      </c>
      <c r="R22" s="46">
        <f>IF(C22="Working",B22-D22-E22-F22-Q22,0)</f>
        <v/>
      </c>
      <c r="S22" s="36">
        <f>IF(C22="Working",IF(BL22="","",BL22*(1+'Model Inputs'!$B$35)^(AN22-1)),"")</f>
        <v/>
      </c>
      <c r="T22" s="36">
        <f>IF(C22="Working",IF(BM22="","",BM22*(1+'Model Inputs'!$B$36)^(AN22-1)),"")</f>
        <v/>
      </c>
      <c r="U22" s="46">
        <f>IF(C22="Working",R22-S22-T22,0)</f>
        <v/>
      </c>
      <c r="V22" s="46">
        <f>IF(C22="Working",MIN(MAX(U22,0),'Tax Assumptions'!$B$20),0)</f>
        <v/>
      </c>
      <c r="W22" s="46">
        <f>IF(C22="Working",U22-V22,0)</f>
        <v/>
      </c>
      <c r="X22" s="46">
        <f>IF(C22="Working",W22+V22+D22+E22,0)</f>
        <v/>
      </c>
      <c r="Y22" s="46">
        <f>IF(C22="Retired",$B$13,0)</f>
        <v/>
      </c>
      <c r="Z22" s="46">
        <f>AA22+AB22+AC22+AD22</f>
        <v/>
      </c>
      <c r="AA22" s="46">
        <f>IF(C22="Retired",MIN(Y22,((AE21)*(1+$B$15)+IF(C22="Working",W22,0))),0)</f>
        <v/>
      </c>
      <c r="AB22" s="46">
        <f>IF(C22="Retired",MIN(MAX(Y22-AA22,0),((AF21)*(1+$B$15)+IF(C22="Working",D22,0))),0)</f>
        <v/>
      </c>
      <c r="AC22" s="46">
        <f>IF(C22="Retired",MIN(MAX(Y22-AA22-AB22,0),((AG21)*(1+$B$15)+IF(C22="Working",V22,0))),0)</f>
        <v/>
      </c>
      <c r="AD22" s="46">
        <f>IF(C22="Retired",MIN(MAX(Y22-AA22-AB22-AC22,0),((AH21)*(1+$B$15)+IF(C22="Working",E22,0))),0)</f>
        <v/>
      </c>
      <c r="AE22" s="43">
        <f>MAX(((AE21)*(1+$B$15)+IF(C22="Working",W22,0))-AA22,0)</f>
        <v/>
      </c>
      <c r="AF22" s="43">
        <f>MAX(((AF21)*(1+$B$15)+IF(C22="Working",D22,0))-AB22,0)</f>
        <v/>
      </c>
      <c r="AG22" s="43">
        <f>MAX(((AG21)*(1+$B$15)+IF(C22="Working",V22,0))-AC22,0)</f>
        <v/>
      </c>
      <c r="AH22" s="43">
        <f>MAX(((AH21)*(1+$B$15)+IF(C22="Working",E22,0))-AD22,0)</f>
        <v/>
      </c>
      <c r="AI22" s="43">
        <f>AE22+AF22+AG22+AH22</f>
        <v/>
      </c>
      <c r="AJ22" s="43">
        <f>IF(C22="Working",AJ21+X22,MAX(AJ21-MIN(Y22,AJ21),0))</f>
        <v/>
      </c>
      <c r="AK22" s="43">
        <f>IF(C22="Working",AK21*(1+$B$16)+X22,MAX(AK21*(1+$B$16)-MIN(Y22,AK21*(1+$B$16)),0))</f>
        <v/>
      </c>
      <c r="AL22" s="48">
        <f>IF(C22="Working",IF(B22=0,0,W22/B22),0)</f>
        <v/>
      </c>
      <c r="AM22" s="48">
        <f>IF(C22="Working",IF(B22=0,0,X22/B22),0)</f>
        <v/>
      </c>
      <c r="AN22" s="169">
        <f>A22</f>
        <v/>
      </c>
      <c r="AO22" s="169">
        <f>'Model Inputs'!$B$22+AN22-1</f>
        <v/>
      </c>
      <c r="AP22" s="34">
        <f>IF(AND(AQ22="",AR22="",AX22="",BA22="",BC22=""),"",IF(AN22=1,(13-'Model Inputs'!$B$23)/12,1))</f>
        <v/>
      </c>
      <c r="AQ22" s="36">
        <f>IF(OR(AN22&lt;='Model Inputs'!$B$24,AR22&lt;&gt;"",AX22&lt;&gt;"",BA22&lt;&gt;"",BC22&lt;&gt;""),'Model Inputs'!$B$25*(1+'Model Inputs'!$B$31)^(AN22-1),"")</f>
        <v/>
      </c>
      <c r="AR22" s="195" t="n"/>
      <c r="AS22" s="36">
        <f>IF(AP22="","",IF(AR22="",AQ22,AR22))</f>
        <v/>
      </c>
      <c r="AT22" s="36">
        <f>IF(AS22="","",AP22*AS22)</f>
        <v/>
      </c>
      <c r="AU22" s="36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/>
      </c>
      <c r="AV22" s="34">
        <f>IF(AU22="","",IF(AN22&lt;=2,0,'Model Inputs'!$B$32*SIN(2*PI()*(AN22-3+'Model Inputs'!$B$34)/MAX(1,'Model Inputs'!$B$33))))</f>
        <v/>
      </c>
      <c r="AW22" s="34" t="n"/>
      <c r="AX22" s="195" t="n"/>
      <c r="AY22" s="36">
        <f>IF(AP22="","",IF(AX22&lt;&gt;"",AX22,AU22*(1+IF(AW22="",AV22,AW22))))</f>
        <v/>
      </c>
      <c r="AZ22" s="36">
        <f>IF(AN22=1,'Model Inputs'!$B$26,"")</f>
        <v/>
      </c>
      <c r="BA22" s="195" t="n">
        <v>0</v>
      </c>
      <c r="BB22" s="36">
        <f>IF(AND(AS22="",BJ22="",AZ22="",BA22="",BC22="",BD22=""),"",IF(BD22&lt;&gt;"",BD22,IF(BC22&lt;&gt;"",BC22,AT22+IF(BJ22="",0,BJ22)+IF(AZ22="",0,AZ22)+IF(BA22="",0,BA22))))</f>
        <v/>
      </c>
      <c r="BC22" s="195" t="n"/>
      <c r="BD22" s="172">
        <f>IF(AND(BF22="",BG22="",BE21="",BE20=""),"",IF(BF22&lt;&gt;"",BF22,IF(AT22="",0,AT22))+0.75*IF(BE21&lt;&gt;"",BE21,IF(AY21="",0,AY21))+0.25*IF(BE20&lt;&gt;"",BE20,IF(AY20="",0,AY20))+IF(BG22&lt;&gt;"",BG22,IF(AZ22="",0,AZ22)+IF(BA22="",0,BA22)))</f>
        <v/>
      </c>
      <c r="BE22" s="200" t="n"/>
      <c r="BF22" s="200" t="n"/>
      <c r="BG22" s="200" t="n"/>
      <c r="BH22" s="201" t="n"/>
      <c r="BI22" s="202" t="n"/>
      <c r="BJ22" s="172">
        <f>IF(AP22="","",0.75*IF(AY21="",0,AY21)+0.25*IF(AY20="",0,AY20))</f>
        <v/>
      </c>
      <c r="BK22" s="172">
        <f>IF(AP22="","",IF(AY22="",0,AY22)+0.25*IF(AY21="",0,AY21))</f>
        <v/>
      </c>
      <c r="BL22" s="195" t="n">
        <v>78000</v>
      </c>
      <c r="BM22" s="195" t="n">
        <v>50000</v>
      </c>
    </row>
    <row r="23" ht="18" customHeight="1" s="326">
      <c r="A23" s="40" t="n">
        <v>5</v>
      </c>
      <c r="B23" s="41">
        <f>IF(BB23="","",BB23)</f>
        <v/>
      </c>
      <c r="C23" s="40">
        <f>IF(B23="","Retired","Working")</f>
        <v/>
      </c>
      <c r="D23" s="41">
        <f>IF(OR(C23="Retired",B23=""),0,MIN(B23,'Tax Assumptions'!$B$19))</f>
        <v/>
      </c>
      <c r="E23" s="36" t="n">
        <v>0</v>
      </c>
      <c r="F23" s="36" t="n">
        <v>0</v>
      </c>
      <c r="G23" s="41">
        <f>IF(C23="Working",MAX(B23-D23-E23-'Tax Assumptions'!$B$8,0),0)</f>
        <v/>
      </c>
      <c r="H23" s="41">
        <f>IF(G23=0,0,LOOKUP(G23,'Tax Assumptions'!$F$9:$F$15,'Tax Assumptions'!$I$9:$I$15)+(G23-LOOKUP(G23,'Tax Assumptions'!$F$9:$F$15,'Tax Assumptions'!$F$9:$F$15))*LOOKUP(G23,'Tax Assumptions'!$F$9:$F$15,'Tax Assumptions'!$H$9:$H$15))</f>
        <v/>
      </c>
      <c r="I23" s="41">
        <f>IF(C23="Working",MIN(MAX(B23-E23,0),'Tax Assumptions'!$B$11)*'Tax Assumptions'!$B$10,0)</f>
        <v/>
      </c>
      <c r="J23" s="41">
        <f>IF(C23="Working",MAX(B23-E23,0)*'Tax Assumptions'!$B$12,0)</f>
        <v/>
      </c>
      <c r="K23" s="41">
        <f>IF(C23="Working",MAX(MAX(B23-E23,0)-'Tax Assumptions'!$B$14,0)*'Tax Assumptions'!$B$13,0)</f>
        <v/>
      </c>
      <c r="L23" s="42">
        <f>IF(C23="Working",MIN(B23*'Tax Assumptions'!$B$15,'Tax Assumptions'!$B$16),0)</f>
        <v/>
      </c>
      <c r="M23" s="42">
        <f>IF(C23="Working",MIN(B23*'Tax Assumptions'!$B$17,'Tax Assumptions'!$B$18),0)</f>
        <v/>
      </c>
      <c r="N23" s="41">
        <f>IF(C23="Working",MAX(B23-D23-'Tax Assumptions'!$B$9,0),0)</f>
        <v/>
      </c>
      <c r="O23" s="41">
        <f>IF(N23=0,0,LOOKUP(N23,'Tax Assumptions'!$K$9:$K$17,'Tax Assumptions'!$N$9:$N$17)+(N23-LOOKUP(N23,'Tax Assumptions'!$K$9:$K$17,'Tax Assumptions'!$K$9:$K$17))*LOOKUP(N23,'Tax Assumptions'!$K$9:$K$17,'Tax Assumptions'!$M$9:$M$17))</f>
        <v/>
      </c>
      <c r="P23" s="41">
        <f>IF(N23=0,0,LOOKUP(N23,'Tax Assumptions'!$P$9:$P$12,'Tax Assumptions'!$S$9:$S$12)+(N23-LOOKUP(N23,'Tax Assumptions'!$P$9:$P$12,'Tax Assumptions'!$P$9:$P$12))*LOOKUP(N23,'Tax Assumptions'!$P$9:$P$12,'Tax Assumptions'!$R$9:$R$12))</f>
        <v/>
      </c>
      <c r="Q23" s="41">
        <f>H23+I23+J23+K23+L23+M23+O23+P23</f>
        <v/>
      </c>
      <c r="R23" s="41">
        <f>IF(C23="Working",B23-D23-E23-F23-Q23,0)</f>
        <v/>
      </c>
      <c r="S23" s="36">
        <f>IF(C23="Working",IF(BL23="","",BL23*(1+'Model Inputs'!$B$35)^(AN23-1)),"")</f>
        <v/>
      </c>
      <c r="T23" s="36">
        <f>IF(C23="Working",IF(BM23="","",BM23*(1+'Model Inputs'!$B$36)^(AN23-1)),"")</f>
        <v/>
      </c>
      <c r="U23" s="41">
        <f>IF(C23="Working",R23-S23-T23,0)</f>
        <v/>
      </c>
      <c r="V23" s="41">
        <f>IF(C23="Working",MIN(MAX(U23,0),'Tax Assumptions'!$B$20),0)</f>
        <v/>
      </c>
      <c r="W23" s="41">
        <f>IF(C23="Working",U23-V23,0)</f>
        <v/>
      </c>
      <c r="X23" s="41">
        <f>IF(C23="Working",W23+V23+D23+E23,0)</f>
        <v/>
      </c>
      <c r="Y23" s="41">
        <f>IF(C23="Retired",$B$13,0)</f>
        <v/>
      </c>
      <c r="Z23" s="41">
        <f>AA23+AB23+AC23+AD23</f>
        <v/>
      </c>
      <c r="AA23" s="41">
        <f>IF(C23="Retired",MIN(Y23,((AE22)*(1+$B$15)+IF(C23="Working",W23,0))),0)</f>
        <v/>
      </c>
      <c r="AB23" s="41">
        <f>IF(C23="Retired",MIN(MAX(Y23-AA23,0),((AF22)*(1+$B$15)+IF(C23="Working",D23,0))),0)</f>
        <v/>
      </c>
      <c r="AC23" s="41">
        <f>IF(C23="Retired",MIN(MAX(Y23-AA23-AB23,0),((AG22)*(1+$B$15)+IF(C23="Working",V23,0))),0)</f>
        <v/>
      </c>
      <c r="AD23" s="41">
        <f>IF(C23="Retired",MIN(MAX(Y23-AA23-AB23-AC23,0),((AH22)*(1+$B$15)+IF(C23="Working",E23,0))),0)</f>
        <v/>
      </c>
      <c r="AE23" s="43">
        <f>MAX(((AE22)*(1+$B$15)+IF(C23="Working",W23,0))-AA23,0)</f>
        <v/>
      </c>
      <c r="AF23" s="43">
        <f>MAX(((AF22)*(1+$B$15)+IF(C23="Working",D23,0))-AB23,0)</f>
        <v/>
      </c>
      <c r="AG23" s="43">
        <f>MAX(((AG22)*(1+$B$15)+IF(C23="Working",V23,0))-AC23,0)</f>
        <v/>
      </c>
      <c r="AH23" s="43">
        <f>MAX(((AH22)*(1+$B$15)+IF(C23="Working",E23,0))-AD23,0)</f>
        <v/>
      </c>
      <c r="AI23" s="43">
        <f>AE23+AF23+AG23+AH23</f>
        <v/>
      </c>
      <c r="AJ23" s="43">
        <f>IF(C23="Working",AJ22+X23,MAX(AJ22-MIN(Y23,AJ22),0))</f>
        <v/>
      </c>
      <c r="AK23" s="43">
        <f>IF(C23="Working",AK22*(1+$B$16)+X23,MAX(AK22*(1+$B$16)-MIN(Y23,AK22*(1+$B$16)),0))</f>
        <v/>
      </c>
      <c r="AL23" s="44">
        <f>IF(C23="Working",IF(B23=0,0,W23/B23),0)</f>
        <v/>
      </c>
      <c r="AM23" s="44">
        <f>IF(C23="Working",IF(B23=0,0,X23/B23),0)</f>
        <v/>
      </c>
      <c r="AN23" s="169">
        <f>A23</f>
        <v/>
      </c>
      <c r="AO23" s="169">
        <f>'Model Inputs'!$B$22+AN23-1</f>
        <v/>
      </c>
      <c r="AP23" s="34">
        <f>IF(AND(AQ23="",AR23="",AX23="",BA23="",BC23=""),"",IF(AN23=1,(13-'Model Inputs'!$B$23)/12,1))</f>
        <v/>
      </c>
      <c r="AQ23" s="36">
        <f>IF(OR(AN23&lt;='Model Inputs'!$B$24,AR23&lt;&gt;"",AX23&lt;&gt;"",BA23&lt;&gt;"",BC23&lt;&gt;""),'Model Inputs'!$B$25*(1+'Model Inputs'!$B$31)^(AN23-1),"")</f>
        <v/>
      </c>
      <c r="AR23" s="195" t="n"/>
      <c r="AS23" s="36">
        <f>IF(AP23="","",IF(AR23="",AQ23,AR23))</f>
        <v/>
      </c>
      <c r="AT23" s="36">
        <f>IF(AS23="","",AP23*AS23)</f>
        <v/>
      </c>
      <c r="AU23" s="36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/>
      </c>
      <c r="AV23" s="34">
        <f>IF(AU23="","",IF(AN23&lt;=2,0,'Model Inputs'!$B$32*SIN(2*PI()*(AN23-3+'Model Inputs'!$B$34)/MAX(1,'Model Inputs'!$B$33))))</f>
        <v/>
      </c>
      <c r="AW23" s="34" t="n"/>
      <c r="AX23" s="195" t="n"/>
      <c r="AY23" s="36">
        <f>IF(AP23="","",IF(AX23&lt;&gt;"",AX23,AU23*(1+IF(AW23="",AV23,AW23))))</f>
        <v/>
      </c>
      <c r="AZ23" s="36">
        <f>IF(AN23=1,'Model Inputs'!$B$26,"")</f>
        <v/>
      </c>
      <c r="BA23" s="195" t="n">
        <v>0</v>
      </c>
      <c r="BB23" s="36">
        <f>IF(AND(AS23="",BJ23="",AZ23="",BA23="",BC23="",BD23=""),"",IF(BD23&lt;&gt;"",BD23,IF(BC23&lt;&gt;"",BC23,AT23+IF(BJ23="",0,BJ23)+IF(AZ23="",0,AZ23)+IF(BA23="",0,BA23))))</f>
        <v/>
      </c>
      <c r="BC23" s="195" t="n"/>
      <c r="BD23" s="172">
        <f>IF(AND(BF23="",BG23="",BE22="",BE21=""),"",IF(BF23&lt;&gt;"",BF23,IF(AT23="",0,AT23))+0.75*IF(BE22&lt;&gt;"",BE22,IF(AY22="",0,AY22))+0.25*IF(BE21&lt;&gt;"",BE21,IF(AY21="",0,AY21))+IF(BG23&lt;&gt;"",BG23,IF(AZ23="",0,AZ23)+IF(BA23="",0,BA23)))</f>
        <v/>
      </c>
      <c r="BE23" s="200" t="n"/>
      <c r="BF23" s="200" t="n"/>
      <c r="BG23" s="200" t="n"/>
      <c r="BH23" s="201" t="n"/>
      <c r="BI23" s="202" t="n"/>
      <c r="BJ23" s="172">
        <f>IF(AP23="","",0.75*IF(AY22="",0,AY22)+0.25*IF(AY21="",0,AY21))</f>
        <v/>
      </c>
      <c r="BK23" s="172">
        <f>IF(AP23="","",IF(AY23="",0,AY23)+0.25*IF(AY22="",0,AY22))</f>
        <v/>
      </c>
      <c r="BL23" s="195" t="n">
        <v>78000</v>
      </c>
      <c r="BM23" s="195" t="n">
        <v>50000</v>
      </c>
    </row>
    <row r="24" ht="18" customHeight="1" s="326">
      <c r="A24" s="45" t="n">
        <v>6</v>
      </c>
      <c r="B24" s="46">
        <f>IF(BB24="","",BB24)</f>
        <v/>
      </c>
      <c r="C24" s="45">
        <f>IF(B24="","Retired","Working")</f>
        <v/>
      </c>
      <c r="D24" s="46">
        <f>IF(OR(C24="Retired",B24=""),0,MIN(B24,'Tax Assumptions'!$B$19))</f>
        <v/>
      </c>
      <c r="E24" s="36" t="n">
        <v>0</v>
      </c>
      <c r="F24" s="36" t="n">
        <v>0</v>
      </c>
      <c r="G24" s="46">
        <f>IF(C24="Working",MAX(B24-D24-E24-'Tax Assumptions'!$B$8,0),0)</f>
        <v/>
      </c>
      <c r="H24" s="46">
        <f>IF(G24=0,0,LOOKUP(G24,'Tax Assumptions'!$F$9:$F$15,'Tax Assumptions'!$I$9:$I$15)+(G24-LOOKUP(G24,'Tax Assumptions'!$F$9:$F$15,'Tax Assumptions'!$F$9:$F$15))*LOOKUP(G24,'Tax Assumptions'!$F$9:$F$15,'Tax Assumptions'!$H$9:$H$15))</f>
        <v/>
      </c>
      <c r="I24" s="46">
        <f>IF(C24="Working",MIN(MAX(B24-E24,0),'Tax Assumptions'!$B$11)*'Tax Assumptions'!$B$10,0)</f>
        <v/>
      </c>
      <c r="J24" s="46">
        <f>IF(C24="Working",MAX(B24-E24,0)*'Tax Assumptions'!$B$12,0)</f>
        <v/>
      </c>
      <c r="K24" s="46">
        <f>IF(C24="Working",MAX(MAX(B24-E24,0)-'Tax Assumptions'!$B$14,0)*'Tax Assumptions'!$B$13,0)</f>
        <v/>
      </c>
      <c r="L24" s="47">
        <f>IF(C24="Working",MIN(B24*'Tax Assumptions'!$B$15,'Tax Assumptions'!$B$16),0)</f>
        <v/>
      </c>
      <c r="M24" s="47">
        <f>IF(C24="Working",MIN(B24*'Tax Assumptions'!$B$17,'Tax Assumptions'!$B$18),0)</f>
        <v/>
      </c>
      <c r="N24" s="46">
        <f>IF(C24="Working",MAX(B24-D24-'Tax Assumptions'!$B$9,0),0)</f>
        <v/>
      </c>
      <c r="O24" s="46">
        <f>IF(N24=0,0,LOOKUP(N24,'Tax Assumptions'!$K$9:$K$17,'Tax Assumptions'!$N$9:$N$17)+(N24-LOOKUP(N24,'Tax Assumptions'!$K$9:$K$17,'Tax Assumptions'!$K$9:$K$17))*LOOKUP(N24,'Tax Assumptions'!$K$9:$K$17,'Tax Assumptions'!$M$9:$M$17))</f>
        <v/>
      </c>
      <c r="P24" s="46">
        <f>IF(N24=0,0,LOOKUP(N24,'Tax Assumptions'!$P$9:$P$12,'Tax Assumptions'!$S$9:$S$12)+(N24-LOOKUP(N24,'Tax Assumptions'!$P$9:$P$12,'Tax Assumptions'!$P$9:$P$12))*LOOKUP(N24,'Tax Assumptions'!$P$9:$P$12,'Tax Assumptions'!$R$9:$R$12))</f>
        <v/>
      </c>
      <c r="Q24" s="46">
        <f>H24+I24+J24+K24+L24+M24+O24+P24</f>
        <v/>
      </c>
      <c r="R24" s="46">
        <f>IF(C24="Working",B24-D24-E24-F24-Q24,0)</f>
        <v/>
      </c>
      <c r="S24" s="36">
        <f>IF(C24="Working",IF(BL24="","",BL24*(1+'Model Inputs'!$B$35)^(AN24-1)),"")</f>
        <v/>
      </c>
      <c r="T24" s="36">
        <f>IF(C24="Working",IF(BM24="","",BM24*(1+'Model Inputs'!$B$36)^(AN24-1)),"")</f>
        <v/>
      </c>
      <c r="U24" s="46">
        <f>IF(C24="Working",R24-S24-T24,0)</f>
        <v/>
      </c>
      <c r="V24" s="46">
        <f>IF(C24="Working",MIN(MAX(U24,0),'Tax Assumptions'!$B$20),0)</f>
        <v/>
      </c>
      <c r="W24" s="46">
        <f>IF(C24="Working",U24-V24,0)</f>
        <v/>
      </c>
      <c r="X24" s="46">
        <f>IF(C24="Working",W24+V24+D24+E24,0)</f>
        <v/>
      </c>
      <c r="Y24" s="46">
        <f>IF(C24="Retired",$B$13,0)</f>
        <v/>
      </c>
      <c r="Z24" s="46">
        <f>AA24+AB24+AC24+AD24</f>
        <v/>
      </c>
      <c r="AA24" s="46">
        <f>IF(C24="Retired",MIN(Y24,((AE23)*(1+$B$15)+IF(C24="Working",W24,0))),0)</f>
        <v/>
      </c>
      <c r="AB24" s="46">
        <f>IF(C24="Retired",MIN(MAX(Y24-AA24,0),((AF23)*(1+$B$15)+IF(C24="Working",D24,0))),0)</f>
        <v/>
      </c>
      <c r="AC24" s="46">
        <f>IF(C24="Retired",MIN(MAX(Y24-AA24-AB24,0),((AG23)*(1+$B$15)+IF(C24="Working",V24,0))),0)</f>
        <v/>
      </c>
      <c r="AD24" s="46">
        <f>IF(C24="Retired",MIN(MAX(Y24-AA24-AB24-AC24,0),((AH23)*(1+$B$15)+IF(C24="Working",E24,0))),0)</f>
        <v/>
      </c>
      <c r="AE24" s="43">
        <f>MAX(((AE23)*(1+$B$15)+IF(C24="Working",W24,0))-AA24,0)</f>
        <v/>
      </c>
      <c r="AF24" s="43">
        <f>MAX(((AF23)*(1+$B$15)+IF(C24="Working",D24,0))-AB24,0)</f>
        <v/>
      </c>
      <c r="AG24" s="43">
        <f>MAX(((AG23)*(1+$B$15)+IF(C24="Working",V24,0))-AC24,0)</f>
        <v/>
      </c>
      <c r="AH24" s="43">
        <f>MAX(((AH23)*(1+$B$15)+IF(C24="Working",E24,0))-AD24,0)</f>
        <v/>
      </c>
      <c r="AI24" s="43">
        <f>AE24+AF24+AG24+AH24</f>
        <v/>
      </c>
      <c r="AJ24" s="43">
        <f>IF(C24="Working",AJ23+X24,MAX(AJ23-MIN(Y24,AJ23),0))</f>
        <v/>
      </c>
      <c r="AK24" s="43">
        <f>IF(C24="Working",AK23*(1+$B$16)+X24,MAX(AK23*(1+$B$16)-MIN(Y24,AK23*(1+$B$16)),0))</f>
        <v/>
      </c>
      <c r="AL24" s="48">
        <f>IF(C24="Working",IF(B24=0,0,W24/B24),0)</f>
        <v/>
      </c>
      <c r="AM24" s="48">
        <f>IF(C24="Working",IF(B24=0,0,X24/B24),0)</f>
        <v/>
      </c>
      <c r="AN24" s="169">
        <f>A24</f>
        <v/>
      </c>
      <c r="AO24" s="169">
        <f>'Model Inputs'!$B$22+AN24-1</f>
        <v/>
      </c>
      <c r="AP24" s="34">
        <f>IF(AND(AQ24="",AR24="",AX24="",BA24="",BC24=""),"",IF(AN24=1,(13-'Model Inputs'!$B$23)/12,1))</f>
        <v/>
      </c>
      <c r="AQ24" s="36">
        <f>IF(OR(AN24&lt;='Model Inputs'!$B$24,AR24&lt;&gt;"",AX24&lt;&gt;"",BA24&lt;&gt;"",BC24&lt;&gt;""),'Model Inputs'!$B$25*(1+'Model Inputs'!$B$31)^(AN24-1),"")</f>
        <v/>
      </c>
      <c r="AR24" s="195" t="n"/>
      <c r="AS24" s="36">
        <f>IF(AP24="","",IF(AR24="",AQ24,AR24))</f>
        <v/>
      </c>
      <c r="AT24" s="36">
        <f>IF(AS24="","",AP24*AS24)</f>
        <v/>
      </c>
      <c r="AU24" s="36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/>
      </c>
      <c r="AV24" s="34">
        <f>IF(AU24="","",IF(AN24&lt;=2,0,'Model Inputs'!$B$32*SIN(2*PI()*(AN24-3+'Model Inputs'!$B$34)/MAX(1,'Model Inputs'!$B$33))))</f>
        <v/>
      </c>
      <c r="AW24" s="34" t="n"/>
      <c r="AX24" s="195" t="n"/>
      <c r="AY24" s="36">
        <f>IF(AP24="","",IF(AX24&lt;&gt;"",AX24,AU24*(1+IF(AW24="",AV24,AW24))))</f>
        <v/>
      </c>
      <c r="AZ24" s="36">
        <f>IF(AN24=1,'Model Inputs'!$B$26,"")</f>
        <v/>
      </c>
      <c r="BA24" s="195" t="n">
        <v>0</v>
      </c>
      <c r="BB24" s="36">
        <f>IF(AND(AS24="",BJ24="",AZ24="",BA24="",BC24="",BD24=""),"",IF(BD24&lt;&gt;"",BD24,IF(BC24&lt;&gt;"",BC24,AT24+IF(BJ24="",0,BJ24)+IF(AZ24="",0,AZ24)+IF(BA24="",0,BA24))))</f>
        <v/>
      </c>
      <c r="BC24" s="195" t="n"/>
      <c r="BD24" s="172">
        <f>IF(AND(BF24="",BG24="",BE23="",BE22=""),"",IF(BF24&lt;&gt;"",BF24,IF(AT24="",0,AT24))+0.75*IF(BE23&lt;&gt;"",BE23,IF(AY23="",0,AY23))+0.25*IF(BE22&lt;&gt;"",BE22,IF(AY22="",0,AY22))+IF(BG24&lt;&gt;"",BG24,IF(AZ24="",0,AZ24)+IF(BA24="",0,BA24)))</f>
        <v/>
      </c>
      <c r="BE24" s="200" t="n"/>
      <c r="BF24" s="200" t="n"/>
      <c r="BG24" s="200" t="n"/>
      <c r="BH24" s="201" t="n"/>
      <c r="BI24" s="202" t="n"/>
      <c r="BJ24" s="172">
        <f>IF(AP24="","",0.75*IF(AY23="",0,AY23)+0.25*IF(AY22="",0,AY22))</f>
        <v/>
      </c>
      <c r="BK24" s="172">
        <f>IF(AP24="","",IF(AY24="",0,AY24)+0.25*IF(AY23="",0,AY23))</f>
        <v/>
      </c>
      <c r="BL24" s="195" t="n">
        <v>80000</v>
      </c>
      <c r="BM24" s="195" t="n">
        <v>50000</v>
      </c>
    </row>
    <row r="25" ht="18" customHeight="1" s="326">
      <c r="A25" s="40" t="n">
        <v>7</v>
      </c>
      <c r="B25" s="41">
        <f>IF(BB25="","",BB25)</f>
        <v/>
      </c>
      <c r="C25" s="40">
        <f>IF(B25="","Retired","Working")</f>
        <v/>
      </c>
      <c r="D25" s="41">
        <f>IF(OR(C25="Retired",B25=""),0,MIN(B25,'Tax Assumptions'!$B$19))</f>
        <v/>
      </c>
      <c r="E25" s="36" t="n">
        <v>0</v>
      </c>
      <c r="F25" s="36" t="n">
        <v>0</v>
      </c>
      <c r="G25" s="41">
        <f>IF(C25="Working",MAX(B25-D25-E25-'Tax Assumptions'!$B$8,0),0)</f>
        <v/>
      </c>
      <c r="H25" s="41">
        <f>IF(G25=0,0,LOOKUP(G25,'Tax Assumptions'!$F$9:$F$15,'Tax Assumptions'!$I$9:$I$15)+(G25-LOOKUP(G25,'Tax Assumptions'!$F$9:$F$15,'Tax Assumptions'!$F$9:$F$15))*LOOKUP(G25,'Tax Assumptions'!$F$9:$F$15,'Tax Assumptions'!$H$9:$H$15))</f>
        <v/>
      </c>
      <c r="I25" s="41">
        <f>IF(C25="Working",MIN(MAX(B25-E25,0),'Tax Assumptions'!$B$11)*'Tax Assumptions'!$B$10,0)</f>
        <v/>
      </c>
      <c r="J25" s="41">
        <f>IF(C25="Working",MAX(B25-E25,0)*'Tax Assumptions'!$B$12,0)</f>
        <v/>
      </c>
      <c r="K25" s="41">
        <f>IF(C25="Working",MAX(MAX(B25-E25,0)-'Tax Assumptions'!$B$14,0)*'Tax Assumptions'!$B$13,0)</f>
        <v/>
      </c>
      <c r="L25" s="42">
        <f>IF(C25="Working",MIN(B25*'Tax Assumptions'!$B$15,'Tax Assumptions'!$B$16),0)</f>
        <v/>
      </c>
      <c r="M25" s="42">
        <f>IF(C25="Working",MIN(B25*'Tax Assumptions'!$B$17,'Tax Assumptions'!$B$18),0)</f>
        <v/>
      </c>
      <c r="N25" s="41">
        <f>IF(C25="Working",MAX(B25-D25-'Tax Assumptions'!$B$9,0),0)</f>
        <v/>
      </c>
      <c r="O25" s="41">
        <f>IF(N25=0,0,LOOKUP(N25,'Tax Assumptions'!$K$9:$K$17,'Tax Assumptions'!$N$9:$N$17)+(N25-LOOKUP(N25,'Tax Assumptions'!$K$9:$K$17,'Tax Assumptions'!$K$9:$K$17))*LOOKUP(N25,'Tax Assumptions'!$K$9:$K$17,'Tax Assumptions'!$M$9:$M$17))</f>
        <v/>
      </c>
      <c r="P25" s="41">
        <f>IF(N25=0,0,LOOKUP(N25,'Tax Assumptions'!$P$9:$P$12,'Tax Assumptions'!$S$9:$S$12)+(N25-LOOKUP(N25,'Tax Assumptions'!$P$9:$P$12,'Tax Assumptions'!$P$9:$P$12))*LOOKUP(N25,'Tax Assumptions'!$P$9:$P$12,'Tax Assumptions'!$R$9:$R$12))</f>
        <v/>
      </c>
      <c r="Q25" s="41">
        <f>H25+I25+J25+K25+L25+M25+O25+P25</f>
        <v/>
      </c>
      <c r="R25" s="41">
        <f>IF(C25="Working",B25-D25-E25-F25-Q25,0)</f>
        <v/>
      </c>
      <c r="S25" s="36">
        <f>IF(C25="Working",IF(BL25="","",BL25*(1+'Model Inputs'!$B$35)^(AN25-1)),"")</f>
        <v/>
      </c>
      <c r="T25" s="36">
        <f>IF(C25="Working",IF(BM25="","",BM25*(1+'Model Inputs'!$B$36)^(AN25-1)),"")</f>
        <v/>
      </c>
      <c r="U25" s="41">
        <f>IF(C25="Working",R25-S25-T25,0)</f>
        <v/>
      </c>
      <c r="V25" s="41">
        <f>IF(C25="Working",MIN(MAX(U25,0),'Tax Assumptions'!$B$20),0)</f>
        <v/>
      </c>
      <c r="W25" s="41">
        <f>IF(C25="Working",U25-V25,0)</f>
        <v/>
      </c>
      <c r="X25" s="41">
        <f>IF(C25="Working",W25+V25+D25+E25,0)</f>
        <v/>
      </c>
      <c r="Y25" s="41">
        <f>IF(C25="Retired",$B$13,0)</f>
        <v/>
      </c>
      <c r="Z25" s="41">
        <f>AA25+AB25+AC25+AD25</f>
        <v/>
      </c>
      <c r="AA25" s="41">
        <f>IF(C25="Retired",MIN(Y25,((AE24)*(1+$B$15)+IF(C25="Working",W25,0))),0)</f>
        <v/>
      </c>
      <c r="AB25" s="41">
        <f>IF(C25="Retired",MIN(MAX(Y25-AA25,0),((AF24)*(1+$B$15)+IF(C25="Working",D25,0))),0)</f>
        <v/>
      </c>
      <c r="AC25" s="41">
        <f>IF(C25="Retired",MIN(MAX(Y25-AA25-AB25,0),((AG24)*(1+$B$15)+IF(C25="Working",V25,0))),0)</f>
        <v/>
      </c>
      <c r="AD25" s="41">
        <f>IF(C25="Retired",MIN(MAX(Y25-AA25-AB25-AC25,0),((AH24)*(1+$B$15)+IF(C25="Working",E25,0))),0)</f>
        <v/>
      </c>
      <c r="AE25" s="43">
        <f>MAX(((AE24)*(1+$B$15)+IF(C25="Working",W25,0))-AA25,0)</f>
        <v/>
      </c>
      <c r="AF25" s="43">
        <f>MAX(((AF24)*(1+$B$15)+IF(C25="Working",D25,0))-AB25,0)</f>
        <v/>
      </c>
      <c r="AG25" s="43">
        <f>MAX(((AG24)*(1+$B$15)+IF(C25="Working",V25,0))-AC25,0)</f>
        <v/>
      </c>
      <c r="AH25" s="43">
        <f>MAX(((AH24)*(1+$B$15)+IF(C25="Working",E25,0))-AD25,0)</f>
        <v/>
      </c>
      <c r="AI25" s="43">
        <f>AE25+AF25+AG25+AH25</f>
        <v/>
      </c>
      <c r="AJ25" s="43">
        <f>IF(C25="Working",AJ24+X25,MAX(AJ24-MIN(Y25,AJ24),0))</f>
        <v/>
      </c>
      <c r="AK25" s="43">
        <f>IF(C25="Working",AK24*(1+$B$16)+X25,MAX(AK24*(1+$B$16)-MIN(Y25,AK24*(1+$B$16)),0))</f>
        <v/>
      </c>
      <c r="AL25" s="44">
        <f>IF(C25="Working",IF(B25=0,0,W25/B25),0)</f>
        <v/>
      </c>
      <c r="AM25" s="44">
        <f>IF(C25="Working",IF(B25=0,0,X25/B25),0)</f>
        <v/>
      </c>
      <c r="AN25" s="169">
        <f>A25</f>
        <v/>
      </c>
      <c r="AO25" s="169">
        <f>'Model Inputs'!$B$22+AN25-1</f>
        <v/>
      </c>
      <c r="AP25" s="34">
        <f>IF(AND(AQ25="",AR25="",AX25="",BA25="",BC25=""),"",IF(AN25=1,(13-'Model Inputs'!$B$23)/12,1))</f>
        <v/>
      </c>
      <c r="AQ25" s="36">
        <f>IF(OR(AN25&lt;='Model Inputs'!$B$24,AR25&lt;&gt;"",AX25&lt;&gt;"",BA25&lt;&gt;"",BC25&lt;&gt;""),'Model Inputs'!$B$25*(1+'Model Inputs'!$B$31)^(AN25-1),"")</f>
        <v/>
      </c>
      <c r="AR25" s="195" t="n"/>
      <c r="AS25" s="36">
        <f>IF(AP25="","",IF(AR25="",AQ25,AR25))</f>
        <v/>
      </c>
      <c r="AT25" s="36">
        <f>IF(AS25="","",AP25*AS25)</f>
        <v/>
      </c>
      <c r="AU25" s="36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/>
      </c>
      <c r="AV25" s="34">
        <f>IF(AU25="","",IF(AN25&lt;=2,0,'Model Inputs'!$B$32*SIN(2*PI()*(AN25-3+'Model Inputs'!$B$34)/MAX(1,'Model Inputs'!$B$33))))</f>
        <v/>
      </c>
      <c r="AW25" s="34" t="n"/>
      <c r="AX25" s="195" t="n"/>
      <c r="AY25" s="36">
        <f>IF(AP25="","",IF(AX25&lt;&gt;"",AX25,AU25*(1+IF(AW25="",AV25,AW25))))</f>
        <v/>
      </c>
      <c r="AZ25" s="36">
        <f>IF(AN25=1,'Model Inputs'!$B$26,"")</f>
        <v/>
      </c>
      <c r="BA25" s="195" t="n">
        <v>0</v>
      </c>
      <c r="BB25" s="36">
        <f>IF(AND(AS25="",BJ25="",AZ25="",BA25="",BC25="",BD25=""),"",IF(BD25&lt;&gt;"",BD25,IF(BC25&lt;&gt;"",BC25,AT25+IF(BJ25="",0,BJ25)+IF(AZ25="",0,AZ25)+IF(BA25="",0,BA25))))</f>
        <v/>
      </c>
      <c r="BC25" s="195" t="n"/>
      <c r="BD25" s="172">
        <f>IF(AND(BF25="",BG25="",BE24="",BE23=""),"",IF(BF25&lt;&gt;"",BF25,IF(AT25="",0,AT25))+0.75*IF(BE24&lt;&gt;"",BE24,IF(AY24="",0,AY24))+0.25*IF(BE23&lt;&gt;"",BE23,IF(AY23="",0,AY23))+IF(BG25&lt;&gt;"",BG25,IF(AZ25="",0,AZ25)+IF(BA25="",0,BA25)))</f>
        <v/>
      </c>
      <c r="BE25" s="200" t="n"/>
      <c r="BF25" s="200" t="n"/>
      <c r="BG25" s="200" t="n"/>
      <c r="BH25" s="201" t="n"/>
      <c r="BI25" s="202" t="n"/>
      <c r="BJ25" s="172">
        <f>IF(AP25="","",0.75*IF(AY24="",0,AY24)+0.25*IF(AY23="",0,AY23))</f>
        <v/>
      </c>
      <c r="BK25" s="172">
        <f>IF(AP25="","",IF(AY25="",0,AY25)+0.25*IF(AY24="",0,AY24))</f>
        <v/>
      </c>
      <c r="BL25" s="195" t="n">
        <v>80000</v>
      </c>
      <c r="BM25" s="195" t="n">
        <v>50000</v>
      </c>
    </row>
    <row r="26" ht="18" customHeight="1" s="326">
      <c r="A26" s="45" t="n">
        <v>8</v>
      </c>
      <c r="B26" s="46">
        <f>IF(BB26="","",BB26)</f>
        <v/>
      </c>
      <c r="C26" s="45">
        <f>IF(B26="","Retired","Working")</f>
        <v/>
      </c>
      <c r="D26" s="46">
        <f>IF(OR(C26="Retired",B26=""),0,MIN(B26,'Tax Assumptions'!$B$19))</f>
        <v/>
      </c>
      <c r="E26" s="36" t="n">
        <v>0</v>
      </c>
      <c r="F26" s="36" t="n">
        <v>0</v>
      </c>
      <c r="G26" s="46">
        <f>IF(C26="Working",MAX(B26-D26-E26-'Tax Assumptions'!$B$8,0),0)</f>
        <v/>
      </c>
      <c r="H26" s="46">
        <f>IF(G26=0,0,LOOKUP(G26,'Tax Assumptions'!$F$9:$F$15,'Tax Assumptions'!$I$9:$I$15)+(G26-LOOKUP(G26,'Tax Assumptions'!$F$9:$F$15,'Tax Assumptions'!$F$9:$F$15))*LOOKUP(G26,'Tax Assumptions'!$F$9:$F$15,'Tax Assumptions'!$H$9:$H$15))</f>
        <v/>
      </c>
      <c r="I26" s="46">
        <f>IF(C26="Working",MIN(MAX(B26-E26,0),'Tax Assumptions'!$B$11)*'Tax Assumptions'!$B$10,0)</f>
        <v/>
      </c>
      <c r="J26" s="46">
        <f>IF(C26="Working",MAX(B26-E26,0)*'Tax Assumptions'!$B$12,0)</f>
        <v/>
      </c>
      <c r="K26" s="46">
        <f>IF(C26="Working",MAX(MAX(B26-E26,0)-'Tax Assumptions'!$B$14,0)*'Tax Assumptions'!$B$13,0)</f>
        <v/>
      </c>
      <c r="L26" s="47">
        <f>IF(C26="Working",MIN(B26*'Tax Assumptions'!$B$15,'Tax Assumptions'!$B$16),0)</f>
        <v/>
      </c>
      <c r="M26" s="47">
        <f>IF(C26="Working",MIN(B26*'Tax Assumptions'!$B$17,'Tax Assumptions'!$B$18),0)</f>
        <v/>
      </c>
      <c r="N26" s="46">
        <f>IF(C26="Working",MAX(B26-D26-'Tax Assumptions'!$B$9,0),0)</f>
        <v/>
      </c>
      <c r="O26" s="46">
        <f>IF(N26=0,0,LOOKUP(N26,'Tax Assumptions'!$K$9:$K$17,'Tax Assumptions'!$N$9:$N$17)+(N26-LOOKUP(N26,'Tax Assumptions'!$K$9:$K$17,'Tax Assumptions'!$K$9:$K$17))*LOOKUP(N26,'Tax Assumptions'!$K$9:$K$17,'Tax Assumptions'!$M$9:$M$17))</f>
        <v/>
      </c>
      <c r="P26" s="46">
        <f>IF(N26=0,0,LOOKUP(N26,'Tax Assumptions'!$P$9:$P$12,'Tax Assumptions'!$S$9:$S$12)+(N26-LOOKUP(N26,'Tax Assumptions'!$P$9:$P$12,'Tax Assumptions'!$P$9:$P$12))*LOOKUP(N26,'Tax Assumptions'!$P$9:$P$12,'Tax Assumptions'!$R$9:$R$12))</f>
        <v/>
      </c>
      <c r="Q26" s="46">
        <f>H26+I26+J26+K26+L26+M26+O26+P26</f>
        <v/>
      </c>
      <c r="R26" s="46">
        <f>IF(C26="Working",B26-D26-E26-F26-Q26,0)</f>
        <v/>
      </c>
      <c r="S26" s="36">
        <f>IF(C26="Working",IF(BL26="","",BL26*(1+'Model Inputs'!$B$35)^(AN26-1)),"")</f>
        <v/>
      </c>
      <c r="T26" s="36">
        <f>IF(C26="Working",IF(BM26="","",BM26*(1+'Model Inputs'!$B$36)^(AN26-1)),"")</f>
        <v/>
      </c>
      <c r="U26" s="46">
        <f>IF(C26="Working",R26-S26-T26,0)</f>
        <v/>
      </c>
      <c r="V26" s="46">
        <f>IF(C26="Working",MIN(MAX(U26,0),'Tax Assumptions'!$B$20),0)</f>
        <v/>
      </c>
      <c r="W26" s="46">
        <f>IF(C26="Working",U26-V26,0)</f>
        <v/>
      </c>
      <c r="X26" s="46">
        <f>IF(C26="Working",W26+V26+D26+E26,0)</f>
        <v/>
      </c>
      <c r="Y26" s="46">
        <f>IF(C26="Retired",$B$13,0)</f>
        <v/>
      </c>
      <c r="Z26" s="46">
        <f>AA26+AB26+AC26+AD26</f>
        <v/>
      </c>
      <c r="AA26" s="46">
        <f>IF(C26="Retired",MIN(Y26,((AE25)*(1+$B$15)+IF(C26="Working",W26,0))),0)</f>
        <v/>
      </c>
      <c r="AB26" s="46">
        <f>IF(C26="Retired",MIN(MAX(Y26-AA26,0),((AF25)*(1+$B$15)+IF(C26="Working",D26,0))),0)</f>
        <v/>
      </c>
      <c r="AC26" s="46">
        <f>IF(C26="Retired",MIN(MAX(Y26-AA26-AB26,0),((AG25)*(1+$B$15)+IF(C26="Working",V26,0))),0)</f>
        <v/>
      </c>
      <c r="AD26" s="46">
        <f>IF(C26="Retired",MIN(MAX(Y26-AA26-AB26-AC26,0),((AH25)*(1+$B$15)+IF(C26="Working",E26,0))),0)</f>
        <v/>
      </c>
      <c r="AE26" s="43">
        <f>MAX(((AE25)*(1+$B$15)+IF(C26="Working",W26,0))-AA26,0)</f>
        <v/>
      </c>
      <c r="AF26" s="43">
        <f>MAX(((AF25)*(1+$B$15)+IF(C26="Working",D26,0))-AB26,0)</f>
        <v/>
      </c>
      <c r="AG26" s="43">
        <f>MAX(((AG25)*(1+$B$15)+IF(C26="Working",V26,0))-AC26,0)</f>
        <v/>
      </c>
      <c r="AH26" s="43">
        <f>MAX(((AH25)*(1+$B$15)+IF(C26="Working",E26,0))-AD26,0)</f>
        <v/>
      </c>
      <c r="AI26" s="43">
        <f>AE26+AF26+AG26+AH26</f>
        <v/>
      </c>
      <c r="AJ26" s="43">
        <f>IF(C26="Working",AJ25+X26,MAX(AJ25-MIN(Y26,AJ25),0))</f>
        <v/>
      </c>
      <c r="AK26" s="43">
        <f>IF(C26="Working",AK25*(1+$B$16)+X26,MAX(AK25*(1+$B$16)-MIN(Y26,AK25*(1+$B$16)),0))</f>
        <v/>
      </c>
      <c r="AL26" s="48">
        <f>IF(C26="Working",IF(B26=0,0,W26/B26),0)</f>
        <v/>
      </c>
      <c r="AM26" s="48">
        <f>IF(C26="Working",IF(B26=0,0,X26/B26),0)</f>
        <v/>
      </c>
      <c r="AN26" s="169">
        <f>A26</f>
        <v/>
      </c>
      <c r="AO26" s="169">
        <f>'Model Inputs'!$B$22+AN26-1</f>
        <v/>
      </c>
      <c r="AP26" s="34">
        <f>IF(AND(AQ26="",AR26="",AX26="",BA26="",BC26=""),"",IF(AN26=1,(13-'Model Inputs'!$B$23)/12,1))</f>
        <v/>
      </c>
      <c r="AQ26" s="36">
        <f>IF(OR(AN26&lt;='Model Inputs'!$B$24,AR26&lt;&gt;"",AX26&lt;&gt;"",BA26&lt;&gt;"",BC26&lt;&gt;""),'Model Inputs'!$B$25*(1+'Model Inputs'!$B$31)^(AN26-1),"")</f>
        <v/>
      </c>
      <c r="AR26" s="195" t="n"/>
      <c r="AS26" s="36">
        <f>IF(AP26="","",IF(AR26="",AQ26,AR26))</f>
        <v/>
      </c>
      <c r="AT26" s="36">
        <f>IF(AS26="","",AP26*AS26)</f>
        <v/>
      </c>
      <c r="AU26" s="36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/>
      </c>
      <c r="AV26" s="34">
        <f>IF(AU26="","",IF(AN26&lt;=2,0,'Model Inputs'!$B$32*SIN(2*PI()*(AN26-3+'Model Inputs'!$B$34)/MAX(1,'Model Inputs'!$B$33))))</f>
        <v/>
      </c>
      <c r="AW26" s="34" t="n"/>
      <c r="AX26" s="195" t="n"/>
      <c r="AY26" s="36">
        <f>IF(AP26="","",IF(AX26&lt;&gt;"",AX26,AU26*(1+IF(AW26="",AV26,AW26))))</f>
        <v/>
      </c>
      <c r="AZ26" s="36">
        <f>IF(AN26=1,'Model Inputs'!$B$26,"")</f>
        <v/>
      </c>
      <c r="BA26" s="195" t="n">
        <v>0</v>
      </c>
      <c r="BB26" s="36">
        <f>IF(AND(AS26="",BJ26="",AZ26="",BA26="",BC26="",BD26=""),"",IF(BD26&lt;&gt;"",BD26,IF(BC26&lt;&gt;"",BC26,AT26+IF(BJ26="",0,BJ26)+IF(AZ26="",0,AZ26)+IF(BA26="",0,BA26))))</f>
        <v/>
      </c>
      <c r="BC26" s="195" t="n"/>
      <c r="BD26" s="172">
        <f>IF(AND(BF26="",BG26="",BE25="",BE24=""),"",IF(BF26&lt;&gt;"",BF26,IF(AT26="",0,AT26))+0.75*IF(BE25&lt;&gt;"",BE25,IF(AY25="",0,AY25))+0.25*IF(BE24&lt;&gt;"",BE24,IF(AY24="",0,AY24))+IF(BG26&lt;&gt;"",BG26,IF(AZ26="",0,AZ26)+IF(BA26="",0,BA26)))</f>
        <v/>
      </c>
      <c r="BE26" s="200" t="n"/>
      <c r="BF26" s="200" t="n"/>
      <c r="BG26" s="200" t="n"/>
      <c r="BH26" s="201" t="n"/>
      <c r="BI26" s="202" t="n"/>
      <c r="BJ26" s="172">
        <f>IF(AP26="","",0.75*IF(AY25="",0,AY25)+0.25*IF(AY24="",0,AY24))</f>
        <v/>
      </c>
      <c r="BK26" s="172">
        <f>IF(AP26="","",IF(AY26="",0,AY26)+0.25*IF(AY25="",0,AY25))</f>
        <v/>
      </c>
      <c r="BL26" s="195" t="n">
        <v>80000</v>
      </c>
      <c r="BM26" s="195" t="n">
        <v>50000</v>
      </c>
    </row>
    <row r="27" ht="18" customHeight="1" s="326">
      <c r="A27" s="40" t="n">
        <v>9</v>
      </c>
      <c r="B27" s="41">
        <f>IF(BB27="","",BB27)</f>
        <v/>
      </c>
      <c r="C27" s="40">
        <f>IF(B27="","Retired","Working")</f>
        <v/>
      </c>
      <c r="D27" s="41">
        <f>IF(OR(C27="Retired",B27=""),0,MIN(B27,'Tax Assumptions'!$B$19))</f>
        <v/>
      </c>
      <c r="E27" s="36" t="n">
        <v>0</v>
      </c>
      <c r="F27" s="36" t="n">
        <v>0</v>
      </c>
      <c r="G27" s="41">
        <f>IF(C27="Working",MAX(B27-D27-E27-'Tax Assumptions'!$B$8,0),0)</f>
        <v/>
      </c>
      <c r="H27" s="41">
        <f>IF(G27=0,0,LOOKUP(G27,'Tax Assumptions'!$F$9:$F$15,'Tax Assumptions'!$I$9:$I$15)+(G27-LOOKUP(G27,'Tax Assumptions'!$F$9:$F$15,'Tax Assumptions'!$F$9:$F$15))*LOOKUP(G27,'Tax Assumptions'!$F$9:$F$15,'Tax Assumptions'!$H$9:$H$15))</f>
        <v/>
      </c>
      <c r="I27" s="41">
        <f>IF(C27="Working",MIN(MAX(B27-E27,0),'Tax Assumptions'!$B$11)*'Tax Assumptions'!$B$10,0)</f>
        <v/>
      </c>
      <c r="J27" s="41">
        <f>IF(C27="Working",MAX(B27-E27,0)*'Tax Assumptions'!$B$12,0)</f>
        <v/>
      </c>
      <c r="K27" s="41">
        <f>IF(C27="Working",MAX(MAX(B27-E27,0)-'Tax Assumptions'!$B$14,0)*'Tax Assumptions'!$B$13,0)</f>
        <v/>
      </c>
      <c r="L27" s="42">
        <f>IF(C27="Working",MIN(B27*'Tax Assumptions'!$B$15,'Tax Assumptions'!$B$16),0)</f>
        <v/>
      </c>
      <c r="M27" s="42">
        <f>IF(C27="Working",MIN(B27*'Tax Assumptions'!$B$17,'Tax Assumptions'!$B$18),0)</f>
        <v/>
      </c>
      <c r="N27" s="41">
        <f>IF(C27="Working",MAX(B27-D27-'Tax Assumptions'!$B$9,0),0)</f>
        <v/>
      </c>
      <c r="O27" s="41">
        <f>IF(N27=0,0,LOOKUP(N27,'Tax Assumptions'!$K$9:$K$17,'Tax Assumptions'!$N$9:$N$17)+(N27-LOOKUP(N27,'Tax Assumptions'!$K$9:$K$17,'Tax Assumptions'!$K$9:$K$17))*LOOKUP(N27,'Tax Assumptions'!$K$9:$K$17,'Tax Assumptions'!$M$9:$M$17))</f>
        <v/>
      </c>
      <c r="P27" s="41">
        <f>IF(N27=0,0,LOOKUP(N27,'Tax Assumptions'!$P$9:$P$12,'Tax Assumptions'!$S$9:$S$12)+(N27-LOOKUP(N27,'Tax Assumptions'!$P$9:$P$12,'Tax Assumptions'!$P$9:$P$12))*LOOKUP(N27,'Tax Assumptions'!$P$9:$P$12,'Tax Assumptions'!$R$9:$R$12))</f>
        <v/>
      </c>
      <c r="Q27" s="41">
        <f>H27+I27+J27+K27+L27+M27+O27+P27</f>
        <v/>
      </c>
      <c r="R27" s="41">
        <f>IF(C27="Working",B27-D27-E27-F27-Q27,0)</f>
        <v/>
      </c>
      <c r="S27" s="36">
        <f>IF(C27="Working",IF(BL27="","",BL27*(1+'Model Inputs'!$B$35)^(AN27-1)),"")</f>
        <v/>
      </c>
      <c r="T27" s="36">
        <f>IF(C27="Working",IF(BM27="","",BM27*(1+'Model Inputs'!$B$36)^(AN27-1)),"")</f>
        <v/>
      </c>
      <c r="U27" s="41">
        <f>IF(C27="Working",R27-S27-T27,0)</f>
        <v/>
      </c>
      <c r="V27" s="41">
        <f>IF(C27="Working",MIN(MAX(U27,0),'Tax Assumptions'!$B$20),0)</f>
        <v/>
      </c>
      <c r="W27" s="41">
        <f>IF(C27="Working",U27-V27,0)</f>
        <v/>
      </c>
      <c r="X27" s="41">
        <f>IF(C27="Working",W27+V27+D27+E27,0)</f>
        <v/>
      </c>
      <c r="Y27" s="41">
        <f>IF(C27="Retired",$B$13,0)</f>
        <v/>
      </c>
      <c r="Z27" s="41">
        <f>AA27+AB27+AC27+AD27</f>
        <v/>
      </c>
      <c r="AA27" s="41">
        <f>IF(C27="Retired",MIN(Y27,((AE26)*(1+$B$15)+IF(C27="Working",W27,0))),0)</f>
        <v/>
      </c>
      <c r="AB27" s="41">
        <f>IF(C27="Retired",MIN(MAX(Y27-AA27,0),((AF26)*(1+$B$15)+IF(C27="Working",D27,0))),0)</f>
        <v/>
      </c>
      <c r="AC27" s="41">
        <f>IF(C27="Retired",MIN(MAX(Y27-AA27-AB27,0),((AG26)*(1+$B$15)+IF(C27="Working",V27,0))),0)</f>
        <v/>
      </c>
      <c r="AD27" s="41">
        <f>IF(C27="Retired",MIN(MAX(Y27-AA27-AB27-AC27,0),((AH26)*(1+$B$15)+IF(C27="Working",E27,0))),0)</f>
        <v/>
      </c>
      <c r="AE27" s="43">
        <f>MAX(((AE26)*(1+$B$15)+IF(C27="Working",W27,0))-AA27,0)</f>
        <v/>
      </c>
      <c r="AF27" s="43">
        <f>MAX(((AF26)*(1+$B$15)+IF(C27="Working",D27,0))-AB27,0)</f>
        <v/>
      </c>
      <c r="AG27" s="43">
        <f>MAX(((AG26)*(1+$B$15)+IF(C27="Working",V27,0))-AC27,0)</f>
        <v/>
      </c>
      <c r="AH27" s="43">
        <f>MAX(((AH26)*(1+$B$15)+IF(C27="Working",E27,0))-AD27,0)</f>
        <v/>
      </c>
      <c r="AI27" s="43">
        <f>AE27+AF27+AG27+AH27</f>
        <v/>
      </c>
      <c r="AJ27" s="43">
        <f>IF(C27="Working",AJ26+X27,MAX(AJ26-MIN(Y27,AJ26),0))</f>
        <v/>
      </c>
      <c r="AK27" s="43">
        <f>IF(C27="Working",AK26*(1+$B$16)+X27,MAX(AK26*(1+$B$16)-MIN(Y27,AK26*(1+$B$16)),0))</f>
        <v/>
      </c>
      <c r="AL27" s="44">
        <f>IF(C27="Working",IF(B27=0,0,W27/B27),0)</f>
        <v/>
      </c>
      <c r="AM27" s="44">
        <f>IF(C27="Working",IF(B27=0,0,X27/B27),0)</f>
        <v/>
      </c>
      <c r="AN27" s="169">
        <f>A27</f>
        <v/>
      </c>
      <c r="AO27" s="169">
        <f>'Model Inputs'!$B$22+AN27-1</f>
        <v/>
      </c>
      <c r="AP27" s="34">
        <f>IF(AND(AQ27="",AR27="",AX27="",BA27="",BC27=""),"",IF(AN27=1,(13-'Model Inputs'!$B$23)/12,1))</f>
        <v/>
      </c>
      <c r="AQ27" s="36">
        <f>IF(OR(AN27&lt;='Model Inputs'!$B$24,AR27&lt;&gt;"",AX27&lt;&gt;"",BA27&lt;&gt;"",BC27&lt;&gt;""),'Model Inputs'!$B$25*(1+'Model Inputs'!$B$31)^(AN27-1),"")</f>
        <v/>
      </c>
      <c r="AR27" s="195" t="n"/>
      <c r="AS27" s="36">
        <f>IF(AP27="","",IF(AR27="",AQ27,AR27))</f>
        <v/>
      </c>
      <c r="AT27" s="36">
        <f>IF(AS27="","",AP27*AS27)</f>
        <v/>
      </c>
      <c r="AU27" s="36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/>
      </c>
      <c r="AV27" s="34">
        <f>IF(AU27="","",IF(AN27&lt;=2,0,'Model Inputs'!$B$32*SIN(2*PI()*(AN27-3+'Model Inputs'!$B$34)/MAX(1,'Model Inputs'!$B$33))))</f>
        <v/>
      </c>
      <c r="AW27" s="34" t="n"/>
      <c r="AX27" s="195" t="n"/>
      <c r="AY27" s="36">
        <f>IF(AP27="","",IF(AX27&lt;&gt;"",AX27,AU27*(1+IF(AW27="",AV27,AW27))))</f>
        <v/>
      </c>
      <c r="AZ27" s="36">
        <f>IF(AN27=1,'Model Inputs'!$B$26,"")</f>
        <v/>
      </c>
      <c r="BA27" s="195" t="n">
        <v>0</v>
      </c>
      <c r="BB27" s="36">
        <f>IF(AND(AS27="",BJ27="",AZ27="",BA27="",BC27="",BD27=""),"",IF(BD27&lt;&gt;"",BD27,IF(BC27&lt;&gt;"",BC27,AT27+IF(BJ27="",0,BJ27)+IF(AZ27="",0,AZ27)+IF(BA27="",0,BA27))))</f>
        <v/>
      </c>
      <c r="BC27" s="195" t="n"/>
      <c r="BD27" s="172">
        <f>IF(AND(BF27="",BG27="",BE26="",BE25=""),"",IF(BF27&lt;&gt;"",BF27,IF(AT27="",0,AT27))+0.75*IF(BE26&lt;&gt;"",BE26,IF(AY26="",0,AY26))+0.25*IF(BE25&lt;&gt;"",BE25,IF(AY25="",0,AY25))+IF(BG27&lt;&gt;"",BG27,IF(AZ27="",0,AZ27)+IF(BA27="",0,BA27)))</f>
        <v/>
      </c>
      <c r="BE27" s="200" t="n"/>
      <c r="BF27" s="200" t="n"/>
      <c r="BG27" s="200" t="n"/>
      <c r="BH27" s="201" t="n"/>
      <c r="BI27" s="202" t="n"/>
      <c r="BJ27" s="172">
        <f>IF(AP27="","",0.75*IF(AY26="",0,AY26)+0.25*IF(AY25="",0,AY25))</f>
        <v/>
      </c>
      <c r="BK27" s="172">
        <f>IF(AP27="","",IF(AY27="",0,AY27)+0.25*IF(AY26="",0,AY26))</f>
        <v/>
      </c>
      <c r="BL27" s="195" t="n">
        <v>80000</v>
      </c>
      <c r="BM27" s="195" t="n">
        <v>50000</v>
      </c>
    </row>
    <row r="28" ht="18" customHeight="1" s="326">
      <c r="A28" s="45" t="n">
        <v>10</v>
      </c>
      <c r="B28" s="46">
        <f>IF(BB28="","",BB28)</f>
        <v/>
      </c>
      <c r="C28" s="45">
        <f>IF(B28="","Retired","Working")</f>
        <v/>
      </c>
      <c r="D28" s="46">
        <f>IF(OR(C28="Retired",B28=""),0,MIN(B28,'Tax Assumptions'!$B$19))</f>
        <v/>
      </c>
      <c r="E28" s="36" t="n">
        <v>0</v>
      </c>
      <c r="F28" s="36" t="n">
        <v>0</v>
      </c>
      <c r="G28" s="46">
        <f>IF(C28="Working",MAX(B28-D28-E28-'Tax Assumptions'!$B$8,0),0)</f>
        <v/>
      </c>
      <c r="H28" s="46">
        <f>IF(G28=0,0,LOOKUP(G28,'Tax Assumptions'!$F$9:$F$15,'Tax Assumptions'!$I$9:$I$15)+(G28-LOOKUP(G28,'Tax Assumptions'!$F$9:$F$15,'Tax Assumptions'!$F$9:$F$15))*LOOKUP(G28,'Tax Assumptions'!$F$9:$F$15,'Tax Assumptions'!$H$9:$H$15))</f>
        <v/>
      </c>
      <c r="I28" s="46">
        <f>IF(C28="Working",MIN(MAX(B28-E28,0),'Tax Assumptions'!$B$11)*'Tax Assumptions'!$B$10,0)</f>
        <v/>
      </c>
      <c r="J28" s="46">
        <f>IF(C28="Working",MAX(B28-E28,0)*'Tax Assumptions'!$B$12,0)</f>
        <v/>
      </c>
      <c r="K28" s="46">
        <f>IF(C28="Working",MAX(MAX(B28-E28,0)-'Tax Assumptions'!$B$14,0)*'Tax Assumptions'!$B$13,0)</f>
        <v/>
      </c>
      <c r="L28" s="47">
        <f>IF(C28="Working",MIN(B28*'Tax Assumptions'!$B$15,'Tax Assumptions'!$B$16),0)</f>
        <v/>
      </c>
      <c r="M28" s="47">
        <f>IF(C28="Working",MIN(B28*'Tax Assumptions'!$B$17,'Tax Assumptions'!$B$18),0)</f>
        <v/>
      </c>
      <c r="N28" s="46">
        <f>IF(C28="Working",MAX(B28-D28-'Tax Assumptions'!$B$9,0),0)</f>
        <v/>
      </c>
      <c r="O28" s="46">
        <f>IF(N28=0,0,LOOKUP(N28,'Tax Assumptions'!$K$9:$K$17,'Tax Assumptions'!$N$9:$N$17)+(N28-LOOKUP(N28,'Tax Assumptions'!$K$9:$K$17,'Tax Assumptions'!$K$9:$K$17))*LOOKUP(N28,'Tax Assumptions'!$K$9:$K$17,'Tax Assumptions'!$M$9:$M$17))</f>
        <v/>
      </c>
      <c r="P28" s="46">
        <f>IF(N28=0,0,LOOKUP(N28,'Tax Assumptions'!$P$9:$P$12,'Tax Assumptions'!$S$9:$S$12)+(N28-LOOKUP(N28,'Tax Assumptions'!$P$9:$P$12,'Tax Assumptions'!$P$9:$P$12))*LOOKUP(N28,'Tax Assumptions'!$P$9:$P$12,'Tax Assumptions'!$R$9:$R$12))</f>
        <v/>
      </c>
      <c r="Q28" s="46">
        <f>H28+I28+J28+K28+L28+M28+O28+P28</f>
        <v/>
      </c>
      <c r="R28" s="46">
        <f>IF(C28="Working",B28-D28-E28-F28-Q28,0)</f>
        <v/>
      </c>
      <c r="S28" s="36">
        <f>IF(C28="Working",IF(BL28="","",BL28*(1+'Model Inputs'!$B$35)^(AN28-1)),"")</f>
        <v/>
      </c>
      <c r="T28" s="36">
        <f>IF(C28="Working",IF(BM28="","",BM28*(1+'Model Inputs'!$B$36)^(AN28-1)),"")</f>
        <v/>
      </c>
      <c r="U28" s="46">
        <f>IF(C28="Working",R28-S28-T28,0)</f>
        <v/>
      </c>
      <c r="V28" s="46">
        <f>IF(C28="Working",MIN(MAX(U28,0),'Tax Assumptions'!$B$20),0)</f>
        <v/>
      </c>
      <c r="W28" s="46">
        <f>IF(C28="Working",U28-V28,0)</f>
        <v/>
      </c>
      <c r="X28" s="46">
        <f>IF(C28="Working",W28+V28+D28+E28,0)</f>
        <v/>
      </c>
      <c r="Y28" s="46">
        <f>IF(C28="Retired",$B$13,0)</f>
        <v/>
      </c>
      <c r="Z28" s="46">
        <f>AA28+AB28+AC28+AD28</f>
        <v/>
      </c>
      <c r="AA28" s="46">
        <f>IF(C28="Retired",MIN(Y28,((AE27)*(1+$B$15)+IF(C28="Working",W28,0))),0)</f>
        <v/>
      </c>
      <c r="AB28" s="46">
        <f>IF(C28="Retired",MIN(MAX(Y28-AA28,0),((AF27)*(1+$B$15)+IF(C28="Working",D28,0))),0)</f>
        <v/>
      </c>
      <c r="AC28" s="46">
        <f>IF(C28="Retired",MIN(MAX(Y28-AA28-AB28,0),((AG27)*(1+$B$15)+IF(C28="Working",V28,0))),0)</f>
        <v/>
      </c>
      <c r="AD28" s="46">
        <f>IF(C28="Retired",MIN(MAX(Y28-AA28-AB28-AC28,0),((AH27)*(1+$B$15)+IF(C28="Working",E28,0))),0)</f>
        <v/>
      </c>
      <c r="AE28" s="43">
        <f>MAX(((AE27)*(1+$B$15)+IF(C28="Working",W28,0))-AA28,0)</f>
        <v/>
      </c>
      <c r="AF28" s="43">
        <f>MAX(((AF27)*(1+$B$15)+IF(C28="Working",D28,0))-AB28,0)</f>
        <v/>
      </c>
      <c r="AG28" s="43">
        <f>MAX(((AG27)*(1+$B$15)+IF(C28="Working",V28,0))-AC28,0)</f>
        <v/>
      </c>
      <c r="AH28" s="43">
        <f>MAX(((AH27)*(1+$B$15)+IF(C28="Working",E28,0))-AD28,0)</f>
        <v/>
      </c>
      <c r="AI28" s="43">
        <f>AE28+AF28+AG28+AH28</f>
        <v/>
      </c>
      <c r="AJ28" s="43">
        <f>IF(C28="Working",AJ27+X28,MAX(AJ27-MIN(Y28,AJ27),0))</f>
        <v/>
      </c>
      <c r="AK28" s="43">
        <f>IF(C28="Working",AK27*(1+$B$16)+X28,MAX(AK27*(1+$B$16)-MIN(Y28,AK27*(1+$B$16)),0))</f>
        <v/>
      </c>
      <c r="AL28" s="48">
        <f>IF(C28="Working",IF(B28=0,0,W28/B28),0)</f>
        <v/>
      </c>
      <c r="AM28" s="48">
        <f>IF(C28="Working",IF(B28=0,0,X28/B28),0)</f>
        <v/>
      </c>
      <c r="AN28" s="169">
        <f>A28</f>
        <v/>
      </c>
      <c r="AO28" s="169">
        <f>'Model Inputs'!$B$22+AN28-1</f>
        <v/>
      </c>
      <c r="AP28" s="34">
        <f>IF(AND(AQ28="",AR28="",AX28="",BA28="",BC28=""),"",IF(AN28=1,(13-'Model Inputs'!$B$23)/12,1))</f>
        <v/>
      </c>
      <c r="AQ28" s="36">
        <f>IF(OR(AN28&lt;='Model Inputs'!$B$24,AR28&lt;&gt;"",AX28&lt;&gt;"",BA28&lt;&gt;"",BC28&lt;&gt;""),'Model Inputs'!$B$25*(1+'Model Inputs'!$B$31)^(AN28-1),"")</f>
        <v/>
      </c>
      <c r="AR28" s="195" t="n"/>
      <c r="AS28" s="36">
        <f>IF(AP28="","",IF(AR28="",AQ28,AR28))</f>
        <v/>
      </c>
      <c r="AT28" s="36">
        <f>IF(AS28="","",AP28*AS28)</f>
        <v/>
      </c>
      <c r="AU28" s="36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/>
      </c>
      <c r="AV28" s="34">
        <f>IF(AU28="","",IF(AN28&lt;=2,0,'Model Inputs'!$B$32*SIN(2*PI()*(AN28-3+'Model Inputs'!$B$34)/MAX(1,'Model Inputs'!$B$33))))</f>
        <v/>
      </c>
      <c r="AW28" s="34" t="n"/>
      <c r="AX28" s="195" t="n"/>
      <c r="AY28" s="36">
        <f>IF(AP28="","",IF(AX28&lt;&gt;"",AX28,AU28*(1+IF(AW28="",AV28,AW28))))</f>
        <v/>
      </c>
      <c r="AZ28" s="36">
        <f>IF(AN28=1,'Model Inputs'!$B$26,"")</f>
        <v/>
      </c>
      <c r="BA28" s="195" t="n">
        <v>0</v>
      </c>
      <c r="BB28" s="36">
        <f>IF(AND(AS28="",BJ28="",AZ28="",BA28="",BC28="",BD28=""),"",IF(BD28&lt;&gt;"",BD28,IF(BC28&lt;&gt;"",BC28,AT28+IF(BJ28="",0,BJ28)+IF(AZ28="",0,AZ28)+IF(BA28="",0,BA28))))</f>
        <v/>
      </c>
      <c r="BC28" s="195" t="n"/>
      <c r="BD28" s="172">
        <f>IF(AND(BF28="",BG28="",BE27="",BE26=""),"",IF(BF28&lt;&gt;"",BF28,IF(AT28="",0,AT28))+0.75*IF(BE27&lt;&gt;"",BE27,IF(AY27="",0,AY27))+0.25*IF(BE26&lt;&gt;"",BE26,IF(AY26="",0,AY26))+IF(BG28&lt;&gt;"",BG28,IF(AZ28="",0,AZ28)+IF(BA28="",0,BA28)))</f>
        <v/>
      </c>
      <c r="BE28" s="200" t="n"/>
      <c r="BF28" s="200" t="n"/>
      <c r="BG28" s="200" t="n"/>
      <c r="BH28" s="201" t="n"/>
      <c r="BI28" s="202" t="n"/>
      <c r="BJ28" s="172">
        <f>IF(AP28="","",0.75*IF(AY27="",0,AY27)+0.25*IF(AY26="",0,AY26))</f>
        <v/>
      </c>
      <c r="BK28" s="172">
        <f>IF(AP28="","",IF(AY28="",0,AY28)+0.25*IF(AY27="",0,AY27))</f>
        <v/>
      </c>
      <c r="BL28" s="195" t="n">
        <v>80000</v>
      </c>
      <c r="BM28" s="195" t="n">
        <v>50000</v>
      </c>
    </row>
    <row r="29" ht="18" customHeight="1" s="326">
      <c r="A29" s="40" t="n">
        <v>11</v>
      </c>
      <c r="B29" s="46">
        <f>IF(BB29="","",BB29)</f>
        <v/>
      </c>
      <c r="C29" s="40">
        <f>IF(B29="","Retired","Working")</f>
        <v/>
      </c>
      <c r="D29" s="41">
        <f>IF(OR(C29="Retired",B29=""),0,MIN(B29,'Tax Assumptions'!$B$19))</f>
        <v/>
      </c>
      <c r="E29" s="36" t="n"/>
      <c r="F29" s="36" t="n"/>
      <c r="G29" s="41">
        <f>IF(C29="Working",MAX(B29-D29-E29-'Tax Assumptions'!$B$8,0),0)</f>
        <v/>
      </c>
      <c r="H29" s="41">
        <f>IF(G29=0,0,LOOKUP(G29,'Tax Assumptions'!$F$9:$F$15,'Tax Assumptions'!$I$9:$I$15)+(G29-LOOKUP(G29,'Tax Assumptions'!$F$9:$F$15,'Tax Assumptions'!$F$9:$F$15))*LOOKUP(G29,'Tax Assumptions'!$F$9:$F$15,'Tax Assumptions'!$H$9:$H$15))</f>
        <v/>
      </c>
      <c r="I29" s="41">
        <f>IF(C29="Working",MIN(MAX(B29-E29,0),'Tax Assumptions'!$B$11)*'Tax Assumptions'!$B$10,0)</f>
        <v/>
      </c>
      <c r="J29" s="41">
        <f>IF(C29="Working",MAX(B29-E29,0)*'Tax Assumptions'!$B$12,0)</f>
        <v/>
      </c>
      <c r="K29" s="41">
        <f>IF(C29="Working",MAX(MAX(B29-E29,0)-'Tax Assumptions'!$B$14,0)*'Tax Assumptions'!$B$13,0)</f>
        <v/>
      </c>
      <c r="L29" s="42">
        <f>IF(C29="Working",MIN(B29*'Tax Assumptions'!$B$15,'Tax Assumptions'!$B$16),0)</f>
        <v/>
      </c>
      <c r="M29" s="42">
        <f>IF(C29="Working",MIN(B29*'Tax Assumptions'!$B$17,'Tax Assumptions'!$B$18),0)</f>
        <v/>
      </c>
      <c r="N29" s="41">
        <f>IF(C29="Working",MAX(B29-D29-'Tax Assumptions'!$B$9,0),0)</f>
        <v/>
      </c>
      <c r="O29" s="41">
        <f>IF(N29=0,0,LOOKUP(N29,'Tax Assumptions'!$K$9:$K$17,'Tax Assumptions'!$N$9:$N$17)+(N29-LOOKUP(N29,'Tax Assumptions'!$K$9:$K$17,'Tax Assumptions'!$K$9:$K$17))*LOOKUP(N29,'Tax Assumptions'!$K$9:$K$17,'Tax Assumptions'!$M$9:$M$17))</f>
        <v/>
      </c>
      <c r="P29" s="41">
        <f>IF(N29=0,0,LOOKUP(N29,'Tax Assumptions'!$P$9:$P$12,'Tax Assumptions'!$S$9:$S$12)+(N29-LOOKUP(N29,'Tax Assumptions'!$P$9:$P$12,'Tax Assumptions'!$P$9:$P$12))*LOOKUP(N29,'Tax Assumptions'!$P$9:$P$12,'Tax Assumptions'!$R$9:$R$12))</f>
        <v/>
      </c>
      <c r="Q29" s="41">
        <f>H29+I29+J29+K29+L29+M29+O29+P29</f>
        <v/>
      </c>
      <c r="R29" s="41">
        <f>IF(C29="Working",B29-D29-E29-F29-Q29,0)</f>
        <v/>
      </c>
      <c r="S29" s="36">
        <f>IF(C29="Working",IF(BL29="","",BL29*(1+'Model Inputs'!$B$35)^(AN29-1)),"")</f>
        <v/>
      </c>
      <c r="T29" s="36">
        <f>IF(C29="Working",IF(BM29="","",BM29*(1+'Model Inputs'!$B$36)^(AN29-1)),"")</f>
        <v/>
      </c>
      <c r="U29" s="41">
        <f>IF(C29="Working",R29-S29-T29,0)</f>
        <v/>
      </c>
      <c r="V29" s="41">
        <f>IF(C29="Working",MIN(MAX(U29,0),'Tax Assumptions'!$B$20),0)</f>
        <v/>
      </c>
      <c r="W29" s="41">
        <f>IF(C29="Working",U29-V29,0)</f>
        <v/>
      </c>
      <c r="X29" s="41">
        <f>IF(C29="Working",W29+V29+D29+E29,0)</f>
        <v/>
      </c>
      <c r="Y29" s="41">
        <f>IF(C29="Retired",$B$13,0)</f>
        <v/>
      </c>
      <c r="Z29" s="41">
        <f>AA29+AB29+AC29+AD29</f>
        <v/>
      </c>
      <c r="AA29" s="41">
        <f>IF(C29="Retired",MIN(Y29,((AE28)*(1+$B$15)+IF(C29="Working",W29,0))),0)</f>
        <v/>
      </c>
      <c r="AB29" s="41">
        <f>IF(C29="Retired",MIN(MAX(Y29-AA29,0),((AF28)*(1+$B$15)+IF(C29="Working",D29,0))),0)</f>
        <v/>
      </c>
      <c r="AC29" s="41">
        <f>IF(C29="Retired",MIN(MAX(Y29-AA29-AB29,0),((AG28)*(1+$B$15)+IF(C29="Working",V29,0))),0)</f>
        <v/>
      </c>
      <c r="AD29" s="41">
        <f>IF(C29="Retired",MIN(MAX(Y29-AA29-AB29-AC29,0),((AH28)*(1+$B$15)+IF(C29="Working",E29,0))),0)</f>
        <v/>
      </c>
      <c r="AE29" s="43">
        <f>MAX(((AE28)*(1+$B$15)+IF(C29="Working",W29,0))-AA29,0)</f>
        <v/>
      </c>
      <c r="AF29" s="43">
        <f>MAX(((AF28)*(1+$B$15)+IF(C29="Working",D29,0))-AB29,0)</f>
        <v/>
      </c>
      <c r="AG29" s="43">
        <f>MAX(((AG28)*(1+$B$15)+IF(C29="Working",V29,0))-AC29,0)</f>
        <v/>
      </c>
      <c r="AH29" s="43">
        <f>MAX(((AH28)*(1+$B$15)+IF(C29="Working",E29,0))-AD29,0)</f>
        <v/>
      </c>
      <c r="AI29" s="43">
        <f>AE29+AF29+AG29+AH29</f>
        <v/>
      </c>
      <c r="AJ29" s="43">
        <f>IF(C29="Working",AJ28+X29,MAX(AJ28-MIN(Y29,AJ28),0))</f>
        <v/>
      </c>
      <c r="AK29" s="43">
        <f>IF(C29="Working",AK28*(1+$B$16)+X29,MAX(AK28*(1+$B$16)-MIN(Y29,AK28*(1+$B$16)),0))</f>
        <v/>
      </c>
      <c r="AL29" s="44">
        <f>IF(C29="Working",IF(B29=0,0,W29/B29),0)</f>
        <v/>
      </c>
      <c r="AM29" s="44">
        <f>IF(C29="Working",IF(B29=0,0,X29/B29),0)</f>
        <v/>
      </c>
      <c r="AN29" s="169">
        <f>A29</f>
        <v/>
      </c>
      <c r="AO29" s="169">
        <f>'Model Inputs'!$B$22+AN29-1</f>
        <v/>
      </c>
      <c r="AP29" s="34">
        <f>IF(AND(AQ29="",AR29="",AX29="",BA29="",BC29=""),"",IF(AN29=1,(13-'Model Inputs'!$B$23)/12,1))</f>
        <v/>
      </c>
      <c r="AQ29" s="36">
        <f>IF(OR(AN29&lt;='Model Inputs'!$B$24,AR29&lt;&gt;"",AX29&lt;&gt;"",BA29&lt;&gt;"",BC29&lt;&gt;""),'Model Inputs'!$B$25*(1+'Model Inputs'!$B$31)^(AN29-1),"")</f>
        <v/>
      </c>
      <c r="AR29" s="195" t="n"/>
      <c r="AS29" s="36">
        <f>IF(AP29="","",IF(AR29="",AQ29,AR29))</f>
        <v/>
      </c>
      <c r="AT29" s="36">
        <f>IF(AS29="","",AP29*AS29)</f>
        <v/>
      </c>
      <c r="AU29" s="36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34">
        <f>IF(AU29="","",IF(AN29&lt;=2,0,'Model Inputs'!$B$32*SIN(2*PI()*(AN29-3+'Model Inputs'!$B$34)/MAX(1,'Model Inputs'!$B$33))))</f>
        <v/>
      </c>
      <c r="AW29" s="34" t="n"/>
      <c r="AX29" s="195" t="n"/>
      <c r="AY29" s="36">
        <f>IF(AP29="","",IF(AX29&lt;&gt;"",AX29,AU29*(1+IF(AW29="",AV29,AW29))))</f>
        <v/>
      </c>
      <c r="AZ29" s="36">
        <f>IF(AN29=1,'Model Inputs'!$B$26,"")</f>
        <v/>
      </c>
      <c r="BA29" s="195" t="n"/>
      <c r="BB29" s="36">
        <f>IF(AND(AS29="",BJ29="",AZ29="",BA29="",BC29="",BD29=""),"",IF(BD29&lt;&gt;"",BD29,IF(BC29&lt;&gt;"",BC29,AT29+IF(BJ29="",0,BJ29)+IF(AZ29="",0,AZ29)+IF(BA29="",0,BA29))))</f>
        <v/>
      </c>
      <c r="BC29" s="195" t="n"/>
      <c r="BD29" s="172">
        <f>IF(AND(BF29="",BG29="",BE28="",BE27=""),"",IF(BF29&lt;&gt;"",BF29,IF(AT29="",0,AT29))+0.75*IF(BE28&lt;&gt;"",BE28,IF(AY28="",0,AY28))+0.25*IF(BE27&lt;&gt;"",BE27,IF(AY27="",0,AY27))+IF(BG29&lt;&gt;"",BG29,IF(AZ29="",0,AZ29)+IF(BA29="",0,BA29)))</f>
        <v/>
      </c>
      <c r="BE29" s="200" t="n"/>
      <c r="BF29" s="200" t="n"/>
      <c r="BG29" s="200" t="n"/>
      <c r="BH29" s="201" t="n"/>
      <c r="BI29" s="202" t="n"/>
      <c r="BJ29" s="172">
        <f>IF(AP29="","",0.75*IF(AY28="",0,AY28)+0.25*IF(AY27="",0,AY27))</f>
        <v/>
      </c>
      <c r="BK29" s="172">
        <f>IF(AP29="","",IF(AY29="",0,AY29)+0.25*IF(AY28="",0,AY28))</f>
        <v/>
      </c>
      <c r="BL29" s="195">
        <f>IF(C29="Working",LOOKUP(2,1/($BL$19:BL28&lt;&gt;""),$BL$19:BL28),"")</f>
        <v/>
      </c>
      <c r="BM29" s="195">
        <f>IF(C29="Working",LOOKUP(2,1/($BM$19:BM28&lt;&gt;""),$BM$19:BM28),"")</f>
        <v/>
      </c>
    </row>
    <row r="30" ht="18" customHeight="1" s="326">
      <c r="A30" s="45" t="n">
        <v>12</v>
      </c>
      <c r="B30" s="46">
        <f>IF(BB30="","",BB30)</f>
        <v/>
      </c>
      <c r="C30" s="45">
        <f>IF(B30="","Retired","Working")</f>
        <v/>
      </c>
      <c r="D30" s="46">
        <f>IF(OR(C30="Retired",B30=""),0,MIN(B30,'Tax Assumptions'!$B$19))</f>
        <v/>
      </c>
      <c r="E30" s="36" t="n"/>
      <c r="F30" s="36" t="n"/>
      <c r="G30" s="46">
        <f>IF(C30="Working",MAX(B30-D30-E30-'Tax Assumptions'!$B$8,0),0)</f>
        <v/>
      </c>
      <c r="H30" s="46">
        <f>IF(G30=0,0,LOOKUP(G30,'Tax Assumptions'!$F$9:$F$15,'Tax Assumptions'!$I$9:$I$15)+(G30-LOOKUP(G30,'Tax Assumptions'!$F$9:$F$15,'Tax Assumptions'!$F$9:$F$15))*LOOKUP(G30,'Tax Assumptions'!$F$9:$F$15,'Tax Assumptions'!$H$9:$H$15))</f>
        <v/>
      </c>
      <c r="I30" s="46">
        <f>IF(C30="Working",MIN(MAX(B30-E30,0),'Tax Assumptions'!$B$11)*'Tax Assumptions'!$B$10,0)</f>
        <v/>
      </c>
      <c r="J30" s="46">
        <f>IF(C30="Working",MAX(B30-E30,0)*'Tax Assumptions'!$B$12,0)</f>
        <v/>
      </c>
      <c r="K30" s="46">
        <f>IF(C30="Working",MAX(MAX(B30-E30,0)-'Tax Assumptions'!$B$14,0)*'Tax Assumptions'!$B$13,0)</f>
        <v/>
      </c>
      <c r="L30" s="47">
        <f>IF(C30="Working",MIN(B30*'Tax Assumptions'!$B$15,'Tax Assumptions'!$B$16),0)</f>
        <v/>
      </c>
      <c r="M30" s="47">
        <f>IF(C30="Working",MIN(B30*'Tax Assumptions'!$B$17,'Tax Assumptions'!$B$18),0)</f>
        <v/>
      </c>
      <c r="N30" s="46">
        <f>IF(C30="Working",MAX(B30-D30-'Tax Assumptions'!$B$9,0),0)</f>
        <v/>
      </c>
      <c r="O30" s="46">
        <f>IF(N30=0,0,LOOKUP(N30,'Tax Assumptions'!$K$9:$K$17,'Tax Assumptions'!$N$9:$N$17)+(N30-LOOKUP(N30,'Tax Assumptions'!$K$9:$K$17,'Tax Assumptions'!$K$9:$K$17))*LOOKUP(N30,'Tax Assumptions'!$K$9:$K$17,'Tax Assumptions'!$M$9:$M$17))</f>
        <v/>
      </c>
      <c r="P30" s="46">
        <f>IF(N30=0,0,LOOKUP(N30,'Tax Assumptions'!$P$9:$P$12,'Tax Assumptions'!$S$9:$S$12)+(N30-LOOKUP(N30,'Tax Assumptions'!$P$9:$P$12,'Tax Assumptions'!$P$9:$P$12))*LOOKUP(N30,'Tax Assumptions'!$P$9:$P$12,'Tax Assumptions'!$R$9:$R$12))</f>
        <v/>
      </c>
      <c r="Q30" s="46">
        <f>H30+I30+J30+K30+L30+M30+O30+P30</f>
        <v/>
      </c>
      <c r="R30" s="46">
        <f>IF(C30="Working",B30-D30-E30-F30-Q30,0)</f>
        <v/>
      </c>
      <c r="S30" s="36">
        <f>IF(C30="Working",IF(BL30="","",BL30*(1+'Model Inputs'!$B$35)^(AN30-1)),"")</f>
        <v/>
      </c>
      <c r="T30" s="36">
        <f>IF(C30="Working",IF(BM30="","",BM30*(1+'Model Inputs'!$B$36)^(AN30-1)),"")</f>
        <v/>
      </c>
      <c r="U30" s="46">
        <f>IF(C30="Working",R30-S30-T30,0)</f>
        <v/>
      </c>
      <c r="V30" s="46">
        <f>IF(C30="Working",MIN(MAX(U30,0),'Tax Assumptions'!$B$20),0)</f>
        <v/>
      </c>
      <c r="W30" s="46">
        <f>IF(C30="Working",U30-V30,0)</f>
        <v/>
      </c>
      <c r="X30" s="46">
        <f>IF(C30="Working",W30+V30+D30+E30,0)</f>
        <v/>
      </c>
      <c r="Y30" s="46">
        <f>IF(C30="Retired",$B$13,0)</f>
        <v/>
      </c>
      <c r="Z30" s="46">
        <f>AA30+AB30+AC30+AD30</f>
        <v/>
      </c>
      <c r="AA30" s="46">
        <f>IF(C30="Retired",MIN(Y30,((AE29)*(1+$B$15)+IF(C30="Working",W30,0))),0)</f>
        <v/>
      </c>
      <c r="AB30" s="46">
        <f>IF(C30="Retired",MIN(MAX(Y30-AA30,0),((AF29)*(1+$B$15)+IF(C30="Working",D30,0))),0)</f>
        <v/>
      </c>
      <c r="AC30" s="46">
        <f>IF(C30="Retired",MIN(MAX(Y30-AA30-AB30,0),((AG29)*(1+$B$15)+IF(C30="Working",V30,0))),0)</f>
        <v/>
      </c>
      <c r="AD30" s="46">
        <f>IF(C30="Retired",MIN(MAX(Y30-AA30-AB30-AC30,0),((AH29)*(1+$B$15)+IF(C30="Working",E30,0))),0)</f>
        <v/>
      </c>
      <c r="AE30" s="43">
        <f>MAX(((AE29)*(1+$B$15)+IF(C30="Working",W30,0))-AA30,0)</f>
        <v/>
      </c>
      <c r="AF30" s="43">
        <f>MAX(((AF29)*(1+$B$15)+IF(C30="Working",D30,0))-AB30,0)</f>
        <v/>
      </c>
      <c r="AG30" s="43">
        <f>MAX(((AG29)*(1+$B$15)+IF(C30="Working",V30,0))-AC30,0)</f>
        <v/>
      </c>
      <c r="AH30" s="43">
        <f>MAX(((AH29)*(1+$B$15)+IF(C30="Working",E30,0))-AD30,0)</f>
        <v/>
      </c>
      <c r="AI30" s="43">
        <f>AE30+AF30+AG30+AH30</f>
        <v/>
      </c>
      <c r="AJ30" s="43">
        <f>IF(C30="Working",AJ29+X30,MAX(AJ29-MIN(Y30,AJ29),0))</f>
        <v/>
      </c>
      <c r="AK30" s="43">
        <f>IF(C30="Working",AK29*(1+$B$16)+X30,MAX(AK29*(1+$B$16)-MIN(Y30,AK29*(1+$B$16)),0))</f>
        <v/>
      </c>
      <c r="AL30" s="48">
        <f>IF(C30="Working",IF(B30=0,0,W30/B30),0)</f>
        <v/>
      </c>
      <c r="AM30" s="48">
        <f>IF(C30="Working",IF(B30=0,0,X30/B30),0)</f>
        <v/>
      </c>
      <c r="AN30" s="169">
        <f>A30</f>
        <v/>
      </c>
      <c r="AO30" s="169">
        <f>'Model Inputs'!$B$22+AN30-1</f>
        <v/>
      </c>
      <c r="AP30" s="34">
        <f>IF(AND(AQ30="",AR30="",AX30="",BA30="",BC30=""),"",IF(AN30=1,(13-'Model Inputs'!$B$23)/12,1))</f>
        <v/>
      </c>
      <c r="AQ30" s="36">
        <f>IF(OR(AN30&lt;='Model Inputs'!$B$24,AR30&lt;&gt;"",AX30&lt;&gt;"",BA30&lt;&gt;"",BC30&lt;&gt;""),'Model Inputs'!$B$25*(1+'Model Inputs'!$B$31)^(AN30-1),"")</f>
        <v/>
      </c>
      <c r="AR30" s="195" t="n"/>
      <c r="AS30" s="36">
        <f>IF(AP30="","",IF(AR30="",AQ30,AR30))</f>
        <v/>
      </c>
      <c r="AT30" s="36">
        <f>IF(AS30="","",AP30*AS30)</f>
        <v/>
      </c>
      <c r="AU30" s="36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34">
        <f>IF(AU30="","",IF(AN30&lt;=2,0,'Model Inputs'!$B$32*SIN(2*PI()*(AN30-3+'Model Inputs'!$B$34)/MAX(1,'Model Inputs'!$B$33))))</f>
        <v/>
      </c>
      <c r="AW30" s="34" t="n"/>
      <c r="AX30" s="195" t="n"/>
      <c r="AY30" s="36">
        <f>IF(AP30="","",IF(AX30&lt;&gt;"",AX30,AU30*(1+IF(AW30="",AV30,AW30))))</f>
        <v/>
      </c>
      <c r="AZ30" s="36">
        <f>IF(AN30=1,'Model Inputs'!$B$26,"")</f>
        <v/>
      </c>
      <c r="BA30" s="195" t="n"/>
      <c r="BB30" s="36">
        <f>IF(AND(AS30="",BJ30="",AZ30="",BA30="",BC30="",BD30=""),"",IF(BD30&lt;&gt;"",BD30,IF(BC30&lt;&gt;"",BC30,AT30+IF(BJ30="",0,BJ30)+IF(AZ30="",0,AZ30)+IF(BA30="",0,BA30))))</f>
        <v/>
      </c>
      <c r="BC30" s="195" t="n"/>
      <c r="BD30" s="172">
        <f>IF(AND(BF30="",BG30="",BE29="",BE28=""),"",IF(BF30&lt;&gt;"",BF30,IF(AT30="",0,AT30))+0.75*IF(BE29&lt;&gt;"",BE29,IF(AY29="",0,AY29))+0.25*IF(BE28&lt;&gt;"",BE28,IF(AY28="",0,AY28))+IF(BG30&lt;&gt;"",BG30,IF(AZ30="",0,AZ30)+IF(BA30="",0,BA30)))</f>
        <v/>
      </c>
      <c r="BE30" s="200" t="n"/>
      <c r="BF30" s="200" t="n"/>
      <c r="BG30" s="200" t="n"/>
      <c r="BH30" s="201" t="n"/>
      <c r="BI30" s="202" t="n"/>
      <c r="BJ30" s="172">
        <f>IF(AP30="","",0.75*IF(AY29="",0,AY29)+0.25*IF(AY28="",0,AY28))</f>
        <v/>
      </c>
      <c r="BK30" s="172">
        <f>IF(AP30="","",IF(AY30="",0,AY30)+0.25*IF(AY29="",0,AY29))</f>
        <v/>
      </c>
      <c r="BL30" s="195">
        <f>IF(C30="Working",LOOKUP(2,1/($BL$19:BL29&lt;&gt;""),$BL$19:BL29),"")</f>
        <v/>
      </c>
      <c r="BM30" s="195">
        <f>IF(C30="Working",LOOKUP(2,1/($BM$19:BM29&lt;&gt;""),$BM$19:BM29),"")</f>
        <v/>
      </c>
    </row>
    <row r="31" ht="18" customHeight="1" s="326">
      <c r="A31" s="40" t="n">
        <v>13</v>
      </c>
      <c r="B31" s="41">
        <f>IF(BB31="","",BB31)</f>
        <v/>
      </c>
      <c r="C31" s="40">
        <f>IF(B31="","Retired","Working")</f>
        <v/>
      </c>
      <c r="D31" s="41">
        <f>IF(OR(C31="Retired",B31=""),0,MIN(B31,'Tax Assumptions'!$B$19))</f>
        <v/>
      </c>
      <c r="E31" s="36" t="n"/>
      <c r="F31" s="36" t="n"/>
      <c r="G31" s="41">
        <f>IF(C31="Working",MAX(B31-D31-E31-'Tax Assumptions'!$B$8,0),0)</f>
        <v/>
      </c>
      <c r="H31" s="41">
        <f>IF(G31=0,0,LOOKUP(G31,'Tax Assumptions'!$F$9:$F$15,'Tax Assumptions'!$I$9:$I$15)+(G31-LOOKUP(G31,'Tax Assumptions'!$F$9:$F$15,'Tax Assumptions'!$F$9:$F$15))*LOOKUP(G31,'Tax Assumptions'!$F$9:$F$15,'Tax Assumptions'!$H$9:$H$15))</f>
        <v/>
      </c>
      <c r="I31" s="41">
        <f>IF(C31="Working",MIN(MAX(B31-E31,0),'Tax Assumptions'!$B$11)*'Tax Assumptions'!$B$10,0)</f>
        <v/>
      </c>
      <c r="J31" s="41">
        <f>IF(C31="Working",MAX(B31-E31,0)*'Tax Assumptions'!$B$12,0)</f>
        <v/>
      </c>
      <c r="K31" s="41">
        <f>IF(C31="Working",MAX(MAX(B31-E31,0)-'Tax Assumptions'!$B$14,0)*'Tax Assumptions'!$B$13,0)</f>
        <v/>
      </c>
      <c r="L31" s="42">
        <f>IF(C31="Working",MIN(B31*'Tax Assumptions'!$B$15,'Tax Assumptions'!$B$16),0)</f>
        <v/>
      </c>
      <c r="M31" s="42">
        <f>IF(C31="Working",MIN(B31*'Tax Assumptions'!$B$17,'Tax Assumptions'!$B$18),0)</f>
        <v/>
      </c>
      <c r="N31" s="41">
        <f>IF(C31="Working",MAX(B31-D31-'Tax Assumptions'!$B$9,0),0)</f>
        <v/>
      </c>
      <c r="O31" s="41">
        <f>IF(N31=0,0,LOOKUP(N31,'Tax Assumptions'!$K$9:$K$17,'Tax Assumptions'!$N$9:$N$17)+(N31-LOOKUP(N31,'Tax Assumptions'!$K$9:$K$17,'Tax Assumptions'!$K$9:$K$17))*LOOKUP(N31,'Tax Assumptions'!$K$9:$K$17,'Tax Assumptions'!$M$9:$M$17))</f>
        <v/>
      </c>
      <c r="P31" s="41">
        <f>IF(N31=0,0,LOOKUP(N31,'Tax Assumptions'!$P$9:$P$12,'Tax Assumptions'!$S$9:$S$12)+(N31-LOOKUP(N31,'Tax Assumptions'!$P$9:$P$12,'Tax Assumptions'!$P$9:$P$12))*LOOKUP(N31,'Tax Assumptions'!$P$9:$P$12,'Tax Assumptions'!$R$9:$R$12))</f>
        <v/>
      </c>
      <c r="Q31" s="41">
        <f>H31+I31+J31+K31+L31+M31+O31+P31</f>
        <v/>
      </c>
      <c r="R31" s="41">
        <f>IF(C31="Working",B31-D31-E31-F31-Q31,0)</f>
        <v/>
      </c>
      <c r="S31" s="36">
        <f>IF(C31="Working",IF(BL31="","",BL31*(1+'Model Inputs'!$B$35)^(AN31-1)),"")</f>
        <v/>
      </c>
      <c r="T31" s="36">
        <f>IF(C31="Working",IF(BM31="","",BM31*(1+'Model Inputs'!$B$36)^(AN31-1)),"")</f>
        <v/>
      </c>
      <c r="U31" s="41">
        <f>IF(C31="Working",R31-S31-T31,0)</f>
        <v/>
      </c>
      <c r="V31" s="41">
        <f>IF(C31="Working",MIN(MAX(U31,0),'Tax Assumptions'!$B$20),0)</f>
        <v/>
      </c>
      <c r="W31" s="41">
        <f>IF(C31="Working",U31-V31,0)</f>
        <v/>
      </c>
      <c r="X31" s="41">
        <f>IF(C31="Working",W31+V31+D31+E31,0)</f>
        <v/>
      </c>
      <c r="Y31" s="41">
        <f>IF(C31="Retired",$B$13,0)</f>
        <v/>
      </c>
      <c r="Z31" s="41">
        <f>AA31+AB31+AC31+AD31</f>
        <v/>
      </c>
      <c r="AA31" s="41">
        <f>IF(C31="Retired",MIN(Y31,((AE30)*(1+$B$15)+IF(C31="Working",W31,0))),0)</f>
        <v/>
      </c>
      <c r="AB31" s="41">
        <f>IF(C31="Retired",MIN(MAX(Y31-AA31,0),((AF30)*(1+$B$15)+IF(C31="Working",D31,0))),0)</f>
        <v/>
      </c>
      <c r="AC31" s="41">
        <f>IF(C31="Retired",MIN(MAX(Y31-AA31-AB31,0),((AG30)*(1+$B$15)+IF(C31="Working",V31,0))),0)</f>
        <v/>
      </c>
      <c r="AD31" s="41">
        <f>IF(C31="Retired",MIN(MAX(Y31-AA31-AB31-AC31,0),((AH30)*(1+$B$15)+IF(C31="Working",E31,0))),0)</f>
        <v/>
      </c>
      <c r="AE31" s="43">
        <f>MAX(((AE30)*(1+$B$15)+IF(C31="Working",W31,0))-AA31,0)</f>
        <v/>
      </c>
      <c r="AF31" s="43">
        <f>MAX(((AF30)*(1+$B$15)+IF(C31="Working",D31,0))-AB31,0)</f>
        <v/>
      </c>
      <c r="AG31" s="43">
        <f>MAX(((AG30)*(1+$B$15)+IF(C31="Working",V31,0))-AC31,0)</f>
        <v/>
      </c>
      <c r="AH31" s="43">
        <f>MAX(((AH30)*(1+$B$15)+IF(C31="Working",E31,0))-AD31,0)</f>
        <v/>
      </c>
      <c r="AI31" s="43">
        <f>AE31+AF31+AG31+AH31</f>
        <v/>
      </c>
      <c r="AJ31" s="43">
        <f>IF(C31="Working",AJ30+X31,MAX(AJ30-MIN(Y31,AJ30),0))</f>
        <v/>
      </c>
      <c r="AK31" s="43">
        <f>IF(C31="Working",AK30*(1+$B$16)+X31,MAX(AK30*(1+$B$16)-MIN(Y31,AK30*(1+$B$16)),0))</f>
        <v/>
      </c>
      <c r="AL31" s="44">
        <f>IF(C31="Working",IF(B31=0,0,W31/B31),0)</f>
        <v/>
      </c>
      <c r="AM31" s="44">
        <f>IF(C31="Working",IF(B31=0,0,X31/B31),0)</f>
        <v/>
      </c>
      <c r="AN31" s="169">
        <f>A31</f>
        <v/>
      </c>
      <c r="AO31" s="169">
        <f>'Model Inputs'!$B$22+AN31-1</f>
        <v/>
      </c>
      <c r="AP31" s="34">
        <f>IF(AND(AQ31="",AR31="",AX31="",BA31="",BC31=""),"",IF(AN31=1,(13-'Model Inputs'!$B$23)/12,1))</f>
        <v/>
      </c>
      <c r="AQ31" s="36">
        <f>IF(OR(AN31&lt;='Model Inputs'!$B$24,AR31&lt;&gt;"",AX31&lt;&gt;"",BA31&lt;&gt;"",BC31&lt;&gt;""),'Model Inputs'!$B$25*(1+'Model Inputs'!$B$31)^(AN31-1),"")</f>
        <v/>
      </c>
      <c r="AR31" s="195" t="n"/>
      <c r="AS31" s="36">
        <f>IF(AP31="","",IF(AR31="",AQ31,AR31))</f>
        <v/>
      </c>
      <c r="AT31" s="36">
        <f>IF(AS31="","",AP31*AS31)</f>
        <v/>
      </c>
      <c r="AU31" s="36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34">
        <f>IF(AU31="","",IF(AN31&lt;=2,0,'Model Inputs'!$B$32*SIN(2*PI()*(AN31-2+'Model Inputs'!$B$34)/MAX(1,'Model Inputs'!$B$33))))</f>
        <v/>
      </c>
      <c r="AW31" s="34" t="n"/>
      <c r="AX31" s="195" t="n"/>
      <c r="AY31" s="36">
        <f>IF(AP31="","",IF(BC31&lt;&gt;"",MAX(BC31-AT31-IF(AZ31="",0,AZ31)-IF(BA31="",0,BA31),0),IF(AX31&lt;&gt;"",AX31,AU31*(1+IF(AW31="",AV31,AW31)))))</f>
        <v/>
      </c>
      <c r="AZ31" s="36">
        <f>IF(AN31=1,'Model Inputs'!$B$26,"")</f>
        <v/>
      </c>
      <c r="BA31" s="195" t="n"/>
      <c r="BB31" s="36">
        <f>IF(AND(AS31="",AY31="",AZ31="",BA31="",BC31=""),"",IF(BC31&lt;&gt;"",BC31,AT31+IF(AY31="",0,AY31)+IF(AZ31="",0,AZ31)+IF(BA31="",0,BA31)))</f>
        <v/>
      </c>
      <c r="BC31" s="195" t="n"/>
      <c r="BL31" s="195">
        <f>IF(C31="Working",LOOKUP(2,1/($BL$19:BL30&lt;&gt;""),$BL$19:BL30),"")</f>
        <v/>
      </c>
      <c r="BM31" s="195">
        <f>IF(C31="Working",LOOKUP(2,1/($BM$19:BM30&lt;&gt;""),$BM$19:BM30),"")</f>
        <v/>
      </c>
    </row>
    <row r="32" ht="18" customHeight="1" s="326">
      <c r="A32" s="45" t="n">
        <v>14</v>
      </c>
      <c r="B32" s="46">
        <f>IF(BB32="","",BB32)</f>
        <v/>
      </c>
      <c r="C32" s="45">
        <f>IF(B32="","Retired","Working")</f>
        <v/>
      </c>
      <c r="D32" s="46">
        <f>IF(OR(C32="Retired",B32=""),0,MIN(B32,'Tax Assumptions'!$B$19))</f>
        <v/>
      </c>
      <c r="E32" s="36" t="n"/>
      <c r="F32" s="36" t="n"/>
      <c r="G32" s="46">
        <f>IF(C32="Working",MAX(B32-D32-E32-'Tax Assumptions'!$B$8,0),0)</f>
        <v/>
      </c>
      <c r="H32" s="46">
        <f>IF(G32=0,0,LOOKUP(G32,'Tax Assumptions'!$F$9:$F$15,'Tax Assumptions'!$I$9:$I$15)+(G32-LOOKUP(G32,'Tax Assumptions'!$F$9:$F$15,'Tax Assumptions'!$F$9:$F$15))*LOOKUP(G32,'Tax Assumptions'!$F$9:$F$15,'Tax Assumptions'!$H$9:$H$15))</f>
        <v/>
      </c>
      <c r="I32" s="46">
        <f>IF(C32="Working",MIN(MAX(B32-E32,0),'Tax Assumptions'!$B$11)*'Tax Assumptions'!$B$10,0)</f>
        <v/>
      </c>
      <c r="J32" s="46">
        <f>IF(C32="Working",MAX(B32-E32,0)*'Tax Assumptions'!$B$12,0)</f>
        <v/>
      </c>
      <c r="K32" s="46">
        <f>IF(C32="Working",MAX(MAX(B32-E32,0)-'Tax Assumptions'!$B$14,0)*'Tax Assumptions'!$B$13,0)</f>
        <v/>
      </c>
      <c r="L32" s="47">
        <f>IF(C32="Working",MIN(B32*'Tax Assumptions'!$B$15,'Tax Assumptions'!$B$16),0)</f>
        <v/>
      </c>
      <c r="M32" s="47">
        <f>IF(C32="Working",MIN(B32*'Tax Assumptions'!$B$17,'Tax Assumptions'!$B$18),0)</f>
        <v/>
      </c>
      <c r="N32" s="46">
        <f>IF(C32="Working",MAX(B32-D32-'Tax Assumptions'!$B$9,0),0)</f>
        <v/>
      </c>
      <c r="O32" s="46">
        <f>IF(N32=0,0,LOOKUP(N32,'Tax Assumptions'!$K$9:$K$17,'Tax Assumptions'!$N$9:$N$17)+(N32-LOOKUP(N32,'Tax Assumptions'!$K$9:$K$17,'Tax Assumptions'!$K$9:$K$17))*LOOKUP(N32,'Tax Assumptions'!$K$9:$K$17,'Tax Assumptions'!$M$9:$M$17))</f>
        <v/>
      </c>
      <c r="P32" s="46">
        <f>IF(N32=0,0,LOOKUP(N32,'Tax Assumptions'!$P$9:$P$12,'Tax Assumptions'!$S$9:$S$12)+(N32-LOOKUP(N32,'Tax Assumptions'!$P$9:$P$12,'Tax Assumptions'!$P$9:$P$12))*LOOKUP(N32,'Tax Assumptions'!$P$9:$P$12,'Tax Assumptions'!$R$9:$R$12))</f>
        <v/>
      </c>
      <c r="Q32" s="46">
        <f>H32+I32+J32+K32+L32+M32+O32+P32</f>
        <v/>
      </c>
      <c r="R32" s="46">
        <f>IF(C32="Working",B32-D32-E32-F32-Q32,0)</f>
        <v/>
      </c>
      <c r="S32" s="36">
        <f>IF(C32="Working",IF(BL32="","",BL32*(1+'Model Inputs'!$B$35)^(AN32-1)),"")</f>
        <v/>
      </c>
      <c r="T32" s="36">
        <f>IF(C32="Working",IF(BM32="","",BM32*(1+'Model Inputs'!$B$36)^(AN32-1)),"")</f>
        <v/>
      </c>
      <c r="U32" s="46">
        <f>IF(C32="Working",R32-S32-T32,0)</f>
        <v/>
      </c>
      <c r="V32" s="46">
        <f>IF(C32="Working",MIN(MAX(U32,0),'Tax Assumptions'!$B$20),0)</f>
        <v/>
      </c>
      <c r="W32" s="46">
        <f>IF(C32="Working",U32-V32,0)</f>
        <v/>
      </c>
      <c r="X32" s="46">
        <f>IF(C32="Working",W32+V32+D32+E32,0)</f>
        <v/>
      </c>
      <c r="Y32" s="46">
        <f>IF(C32="Retired",$B$13,0)</f>
        <v/>
      </c>
      <c r="Z32" s="46">
        <f>AA32+AB32+AC32+AD32</f>
        <v/>
      </c>
      <c r="AA32" s="46">
        <f>IF(C32="Retired",MIN(Y32,((AE31)*(1+$B$15)+IF(C32="Working",W32,0))),0)</f>
        <v/>
      </c>
      <c r="AB32" s="46">
        <f>IF(C32="Retired",MIN(MAX(Y32-AA32,0),((AF31)*(1+$B$15)+IF(C32="Working",D32,0))),0)</f>
        <v/>
      </c>
      <c r="AC32" s="46">
        <f>IF(C32="Retired",MIN(MAX(Y32-AA32-AB32,0),((AG31)*(1+$B$15)+IF(C32="Working",V32,0))),0)</f>
        <v/>
      </c>
      <c r="AD32" s="46">
        <f>IF(C32="Retired",MIN(MAX(Y32-AA32-AB32-AC32,0),((AH31)*(1+$B$15)+IF(C32="Working",E32,0))),0)</f>
        <v/>
      </c>
      <c r="AE32" s="43">
        <f>MAX(((AE31)*(1+$B$15)+IF(C32="Working",W32,0))-AA32,0)</f>
        <v/>
      </c>
      <c r="AF32" s="43">
        <f>MAX(((AF31)*(1+$B$15)+IF(C32="Working",D32,0))-AB32,0)</f>
        <v/>
      </c>
      <c r="AG32" s="43">
        <f>MAX(((AG31)*(1+$B$15)+IF(C32="Working",V32,0))-AC32,0)</f>
        <v/>
      </c>
      <c r="AH32" s="43">
        <f>MAX(((AH31)*(1+$B$15)+IF(C32="Working",E32,0))-AD32,0)</f>
        <v/>
      </c>
      <c r="AI32" s="43">
        <f>AE32+AF32+AG32+AH32</f>
        <v/>
      </c>
      <c r="AJ32" s="43">
        <f>IF(C32="Working",AJ31+X32,MAX(AJ31-MIN(Y32,AJ31),0))</f>
        <v/>
      </c>
      <c r="AK32" s="43">
        <f>IF(C32="Working",AK31*(1+$B$16)+X32,MAX(AK31*(1+$B$16)-MIN(Y32,AK31*(1+$B$16)),0))</f>
        <v/>
      </c>
      <c r="AL32" s="48">
        <f>IF(C32="Working",IF(B32=0,0,W32/B32),0)</f>
        <v/>
      </c>
      <c r="AM32" s="48">
        <f>IF(C32="Working",IF(B32=0,0,X32/B32),0)</f>
        <v/>
      </c>
      <c r="AN32" s="169">
        <f>A32</f>
        <v/>
      </c>
      <c r="AO32" s="169">
        <f>'Model Inputs'!$B$22+AN32-1</f>
        <v/>
      </c>
      <c r="AP32" s="34">
        <f>IF(AND(AQ32="",AR32="",AX32="",BA32="",BC32=""),"",IF(AN32=1,(13-'Model Inputs'!$B$23)/12,1))</f>
        <v/>
      </c>
      <c r="AQ32" s="36">
        <f>IF(OR(AN32&lt;='Model Inputs'!$B$24,AR32&lt;&gt;"",AX32&lt;&gt;"",BA32&lt;&gt;"",BC32&lt;&gt;""),'Model Inputs'!$B$25*(1+'Model Inputs'!$B$31)^(AN32-1),"")</f>
        <v/>
      </c>
      <c r="AR32" s="195" t="n"/>
      <c r="AS32" s="36">
        <f>IF(AP32="","",IF(AR32="",AQ32,AR32))</f>
        <v/>
      </c>
      <c r="AT32" s="36">
        <f>IF(AS32="","",AP32*AS32)</f>
        <v/>
      </c>
      <c r="AU32" s="36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34">
        <f>IF(AU32="","",IF(AN32&lt;=2,0,'Model Inputs'!$B$32*SIN(2*PI()*(AN32-2+'Model Inputs'!$B$34)/MAX(1,'Model Inputs'!$B$33))))</f>
        <v/>
      </c>
      <c r="AW32" s="34" t="n"/>
      <c r="AX32" s="195" t="n"/>
      <c r="AY32" s="36">
        <f>IF(AP32="","",IF(BC32&lt;&gt;"",MAX(BC32-AT32-IF(AZ32="",0,AZ32)-IF(BA32="",0,BA32),0),IF(AX32&lt;&gt;"",AX32,AU32*(1+IF(AW32="",AV32,AW32)))))</f>
        <v/>
      </c>
      <c r="AZ32" s="36">
        <f>IF(AN32=1,'Model Inputs'!$B$26,"")</f>
        <v/>
      </c>
      <c r="BA32" s="195" t="n"/>
      <c r="BB32" s="36">
        <f>IF(AND(AS32="",AY32="",AZ32="",BA32="",BC32=""),"",IF(BC32&lt;&gt;"",BC32,AT32+IF(AY32="",0,AY32)+IF(AZ32="",0,AZ32)+IF(BA32="",0,BA32)))</f>
        <v/>
      </c>
      <c r="BC32" s="195" t="n"/>
      <c r="BL32" s="195">
        <f>IF(C32="Working",LOOKUP(2,1/($BL$19:BL31&lt;&gt;""),$BL$19:BL31),"")</f>
        <v/>
      </c>
      <c r="BM32" s="195">
        <f>IF(C32="Working",LOOKUP(2,1/($BM$19:BM31&lt;&gt;""),$BM$19:BM31),"")</f>
        <v/>
      </c>
    </row>
    <row r="33" ht="18" customHeight="1" s="326">
      <c r="A33" s="40" t="n">
        <v>15</v>
      </c>
      <c r="B33" s="41">
        <f>IF(BB33="","",BB33)</f>
        <v/>
      </c>
      <c r="C33" s="40">
        <f>IF(B33="","Retired","Working")</f>
        <v/>
      </c>
      <c r="D33" s="41">
        <f>IF(OR(C33="Retired",B33=""),0,MIN(B33,'Tax Assumptions'!$B$19))</f>
        <v/>
      </c>
      <c r="E33" s="36" t="n"/>
      <c r="F33" s="36" t="n"/>
      <c r="G33" s="41">
        <f>IF(C33="Working",MAX(B33-D33-E33-'Tax Assumptions'!$B$8,0),0)</f>
        <v/>
      </c>
      <c r="H33" s="41">
        <f>IF(G33=0,0,LOOKUP(G33,'Tax Assumptions'!$F$9:$F$15,'Tax Assumptions'!$I$9:$I$15)+(G33-LOOKUP(G33,'Tax Assumptions'!$F$9:$F$15,'Tax Assumptions'!$F$9:$F$15))*LOOKUP(G33,'Tax Assumptions'!$F$9:$F$15,'Tax Assumptions'!$H$9:$H$15))</f>
        <v/>
      </c>
      <c r="I33" s="41">
        <f>IF(C33="Working",MIN(MAX(B33-E33,0),'Tax Assumptions'!$B$11)*'Tax Assumptions'!$B$10,0)</f>
        <v/>
      </c>
      <c r="J33" s="41">
        <f>IF(C33="Working",MAX(B33-E33,0)*'Tax Assumptions'!$B$12,0)</f>
        <v/>
      </c>
      <c r="K33" s="41">
        <f>IF(C33="Working",MAX(MAX(B33-E33,0)-'Tax Assumptions'!$B$14,0)*'Tax Assumptions'!$B$13,0)</f>
        <v/>
      </c>
      <c r="L33" s="42">
        <f>IF(C33="Working",MIN(B33*'Tax Assumptions'!$B$15,'Tax Assumptions'!$B$16),0)</f>
        <v/>
      </c>
      <c r="M33" s="42">
        <f>IF(C33="Working",MIN(B33*'Tax Assumptions'!$B$17,'Tax Assumptions'!$B$18),0)</f>
        <v/>
      </c>
      <c r="N33" s="41">
        <f>IF(C33="Working",MAX(B33-D33-'Tax Assumptions'!$B$9,0),0)</f>
        <v/>
      </c>
      <c r="O33" s="41">
        <f>IF(N33=0,0,LOOKUP(N33,'Tax Assumptions'!$K$9:$K$17,'Tax Assumptions'!$N$9:$N$17)+(N33-LOOKUP(N33,'Tax Assumptions'!$K$9:$K$17,'Tax Assumptions'!$K$9:$K$17))*LOOKUP(N33,'Tax Assumptions'!$K$9:$K$17,'Tax Assumptions'!$M$9:$M$17))</f>
        <v/>
      </c>
      <c r="P33" s="41">
        <f>IF(N33=0,0,LOOKUP(N33,'Tax Assumptions'!$P$9:$P$12,'Tax Assumptions'!$S$9:$S$12)+(N33-LOOKUP(N33,'Tax Assumptions'!$P$9:$P$12,'Tax Assumptions'!$P$9:$P$12))*LOOKUP(N33,'Tax Assumptions'!$P$9:$P$12,'Tax Assumptions'!$R$9:$R$12))</f>
        <v/>
      </c>
      <c r="Q33" s="41">
        <f>H33+I33+J33+K33+L33+M33+O33+P33</f>
        <v/>
      </c>
      <c r="R33" s="41">
        <f>IF(C33="Working",B33-D33-E33-F33-Q33,0)</f>
        <v/>
      </c>
      <c r="S33" s="36">
        <f>IF(C33="Working",IF(BL33="","",BL33*(1+'Model Inputs'!$B$35)^(AN33-1)),"")</f>
        <v/>
      </c>
      <c r="T33" s="36">
        <f>IF(C33="Working",IF(BM33="","",BM33*(1+'Model Inputs'!$B$36)^(AN33-1)),"")</f>
        <v/>
      </c>
      <c r="U33" s="41">
        <f>IF(C33="Working",R33-S33-T33,0)</f>
        <v/>
      </c>
      <c r="V33" s="41">
        <f>IF(C33="Working",MIN(MAX(U33,0),'Tax Assumptions'!$B$20),0)</f>
        <v/>
      </c>
      <c r="W33" s="41">
        <f>IF(C33="Working",U33-V33,0)</f>
        <v/>
      </c>
      <c r="X33" s="41">
        <f>IF(C33="Working",W33+V33+D33+E33,0)</f>
        <v/>
      </c>
      <c r="Y33" s="41">
        <f>IF(C33="Retired",$B$13,0)</f>
        <v/>
      </c>
      <c r="Z33" s="41">
        <f>AA33+AB33+AC33+AD33</f>
        <v/>
      </c>
      <c r="AA33" s="41">
        <f>IF(C33="Retired",MIN(Y33,((AE32)*(1+$B$15)+IF(C33="Working",W33,0))),0)</f>
        <v/>
      </c>
      <c r="AB33" s="41">
        <f>IF(C33="Retired",MIN(MAX(Y33-AA33,0),((AF32)*(1+$B$15)+IF(C33="Working",D33,0))),0)</f>
        <v/>
      </c>
      <c r="AC33" s="41">
        <f>IF(C33="Retired",MIN(MAX(Y33-AA33-AB33,0),((AG32)*(1+$B$15)+IF(C33="Working",V33,0))),0)</f>
        <v/>
      </c>
      <c r="AD33" s="41">
        <f>IF(C33="Retired",MIN(MAX(Y33-AA33-AB33-AC33,0),((AH32)*(1+$B$15)+IF(C33="Working",E33,0))),0)</f>
        <v/>
      </c>
      <c r="AE33" s="43">
        <f>MAX(((AE32)*(1+$B$15)+IF(C33="Working",W33,0))-AA33,0)</f>
        <v/>
      </c>
      <c r="AF33" s="43">
        <f>MAX(((AF32)*(1+$B$15)+IF(C33="Working",D33,0))-AB33,0)</f>
        <v/>
      </c>
      <c r="AG33" s="43">
        <f>MAX(((AG32)*(1+$B$15)+IF(C33="Working",V33,0))-AC33,0)</f>
        <v/>
      </c>
      <c r="AH33" s="43">
        <f>MAX(((AH32)*(1+$B$15)+IF(C33="Working",E33,0))-AD33,0)</f>
        <v/>
      </c>
      <c r="AI33" s="43">
        <f>AE33+AF33+AG33+AH33</f>
        <v/>
      </c>
      <c r="AJ33" s="43">
        <f>IF(C33="Working",AJ32+X33,MAX(AJ32-MIN(Y33,AJ32),0))</f>
        <v/>
      </c>
      <c r="AK33" s="43">
        <f>IF(C33="Working",AK32*(1+$B$16)+X33,MAX(AK32*(1+$B$16)-MIN(Y33,AK32*(1+$B$16)),0))</f>
        <v/>
      </c>
      <c r="AL33" s="44">
        <f>IF(C33="Working",IF(B33=0,0,W33/B33),0)</f>
        <v/>
      </c>
      <c r="AM33" s="44">
        <f>IF(C33="Working",IF(B33=0,0,X33/B33),0)</f>
        <v/>
      </c>
      <c r="AN33" s="169">
        <f>A33</f>
        <v/>
      </c>
      <c r="AO33" s="169">
        <f>'Model Inputs'!$B$22+AN33-1</f>
        <v/>
      </c>
      <c r="AP33" s="34">
        <f>IF(AND(AQ33="",AR33="",AX33="",BA33="",BC33=""),"",IF(AN33=1,(13-'Model Inputs'!$B$23)/12,1))</f>
        <v/>
      </c>
      <c r="AQ33" s="36">
        <f>IF(OR(AN33&lt;='Model Inputs'!$B$24,AR33&lt;&gt;"",AX33&lt;&gt;"",BA33&lt;&gt;"",BC33&lt;&gt;""),'Model Inputs'!$B$25*(1+'Model Inputs'!$B$31)^(AN33-1),"")</f>
        <v/>
      </c>
      <c r="AR33" s="195" t="n"/>
      <c r="AS33" s="36">
        <f>IF(AP33="","",IF(AR33="",AQ33,AR33))</f>
        <v/>
      </c>
      <c r="AT33" s="36">
        <f>IF(AS33="","",AP33*AS33)</f>
        <v/>
      </c>
      <c r="AU33" s="36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34">
        <f>IF(AU33="","",IF(AN33&lt;=2,0,'Model Inputs'!$B$32*SIN(2*PI()*(AN33-2+'Model Inputs'!$B$34)/MAX(1,'Model Inputs'!$B$33))))</f>
        <v/>
      </c>
      <c r="AW33" s="34" t="n"/>
      <c r="AX33" s="195" t="n"/>
      <c r="AY33" s="36">
        <f>IF(AP33="","",IF(BC33&lt;&gt;"",MAX(BC33-AT33-IF(AZ33="",0,AZ33)-IF(BA33="",0,BA33),0),IF(AX33&lt;&gt;"",AX33,AU33*(1+IF(AW33="",AV33,AW33)))))</f>
        <v/>
      </c>
      <c r="AZ33" s="36">
        <f>IF(AN33=1,'Model Inputs'!$B$26,"")</f>
        <v/>
      </c>
      <c r="BA33" s="195" t="n"/>
      <c r="BB33" s="36">
        <f>IF(AND(AS33="",AY33="",AZ33="",BA33="",BC33=""),"",IF(BC33&lt;&gt;"",BC33,AT33+IF(AY33="",0,AY33)+IF(AZ33="",0,AZ33)+IF(BA33="",0,BA33)))</f>
        <v/>
      </c>
      <c r="BC33" s="195" t="n"/>
      <c r="BL33" s="195">
        <f>IF(C33="Working",LOOKUP(2,1/($BL$19:BL32&lt;&gt;""),$BL$19:BL32),"")</f>
        <v/>
      </c>
      <c r="BM33" s="195">
        <f>IF(C33="Working",LOOKUP(2,1/($BM$19:BM32&lt;&gt;""),$BM$19:BM32),"")</f>
        <v/>
      </c>
    </row>
    <row r="34" ht="18" customHeight="1" s="326">
      <c r="A34" s="45" t="n">
        <v>16</v>
      </c>
      <c r="B34" s="46">
        <f>IF(BB34="","",BB34)</f>
        <v/>
      </c>
      <c r="C34" s="45">
        <f>IF(B34="","Retired","Working")</f>
        <v/>
      </c>
      <c r="D34" s="46">
        <f>IF(OR(C34="Retired",B34=""),0,MIN(B34,'Tax Assumptions'!$B$19))</f>
        <v/>
      </c>
      <c r="E34" s="36" t="n"/>
      <c r="F34" s="36" t="n"/>
      <c r="G34" s="46" t="n">
        <v>0</v>
      </c>
      <c r="H34" s="46">
        <f>IF(G34=0,0,LOOKUP(G34,'Tax Assumptions'!$F$9:$F$15,'Tax Assumptions'!$I$9:$I$15)+(G34-LOOKUP(G34,'Tax Assumptions'!$F$9:$F$15,'Tax Assumptions'!$F$9:$F$15))*LOOKUP(G34,'Tax Assumptions'!$F$9:$F$15,'Tax Assumptions'!$H$9:$H$15))</f>
        <v/>
      </c>
      <c r="I34" s="46">
        <f>IF(C34="Working",MIN(MAX(B34-E34,0),'Tax Assumptions'!$B$11)*'Tax Assumptions'!$B$10,0)</f>
        <v/>
      </c>
      <c r="J34" s="46">
        <f>IF(C34="Working",MAX(B34-E34,0)*'Tax Assumptions'!$B$12,0)</f>
        <v/>
      </c>
      <c r="K34" s="46">
        <f>IF(C34="Working",MAX(MAX(B34-E34,0)-'Tax Assumptions'!$B$14,0)*'Tax Assumptions'!$B$13,0)</f>
        <v/>
      </c>
      <c r="L34" s="47">
        <f>IF(C34="Working",MIN(B34*'Tax Assumptions'!$B$15,'Tax Assumptions'!$B$16),0)</f>
        <v/>
      </c>
      <c r="M34" s="47">
        <f>IF(C34="Working",MIN(B34*'Tax Assumptions'!$B$17,'Tax Assumptions'!$B$18),0)</f>
        <v/>
      </c>
      <c r="N34" s="46">
        <f>IF(C34="Working",MAX(B34-D34-'Tax Assumptions'!$B$9,0),0)</f>
        <v/>
      </c>
      <c r="O34" s="46">
        <f>IF(N34=0,0,LOOKUP(N34,'Tax Assumptions'!$K$9:$K$17,'Tax Assumptions'!$N$9:$N$17)+(N34-LOOKUP(N34,'Tax Assumptions'!$K$9:$K$17,'Tax Assumptions'!$K$9:$K$17))*LOOKUP(N34,'Tax Assumptions'!$K$9:$K$17,'Tax Assumptions'!$M$9:$M$17))</f>
        <v/>
      </c>
      <c r="P34" s="46">
        <f>IF(N34=0,0,LOOKUP(N34,'Tax Assumptions'!$P$9:$P$12,'Tax Assumptions'!$S$9:$S$12)+(N34-LOOKUP(N34,'Tax Assumptions'!$P$9:$P$12,'Tax Assumptions'!$P$9:$P$12))*LOOKUP(N34,'Tax Assumptions'!$P$9:$P$12,'Tax Assumptions'!$R$9:$R$12))</f>
        <v/>
      </c>
      <c r="Q34" s="46">
        <f>H34+I34+J34+K34+L34+M34+O34+P34</f>
        <v/>
      </c>
      <c r="R34" s="46">
        <f>IF(C34="Working",B34-D34-E34-F34-Q34,0)</f>
        <v/>
      </c>
      <c r="S34" s="36">
        <f>IF(C34="Working",IF(BL34="","",BL34*(1+'Model Inputs'!$B$35)^(AN34-1)),"")</f>
        <v/>
      </c>
      <c r="T34" s="36">
        <f>IF(C34="Working",IF(BM34="","",BM34*(1+'Model Inputs'!$B$36)^(AN34-1)),"")</f>
        <v/>
      </c>
      <c r="U34" s="46">
        <f>IF(C34="Working",R34-S34-T34,0)</f>
        <v/>
      </c>
      <c r="V34" s="46">
        <f>IF(C34="Working",MIN(MAX(U34,0),'Tax Assumptions'!$B$20),0)</f>
        <v/>
      </c>
      <c r="W34" s="46">
        <f>IF(C34="Working",U34-V34,0)</f>
        <v/>
      </c>
      <c r="X34" s="46">
        <f>IF(C34="Working",W34+V34+D34+E34,0)</f>
        <v/>
      </c>
      <c r="Y34" s="46">
        <f>IF(C34="Retired",$B$13,0)</f>
        <v/>
      </c>
      <c r="Z34" s="46">
        <f>AA34+AB34+AC34+AD34</f>
        <v/>
      </c>
      <c r="AA34" s="46">
        <f>IF(C34="Retired",MIN(Y34,((AE33)*(1+$B$15)+IF(C34="Working",W34,0))),0)</f>
        <v/>
      </c>
      <c r="AB34" s="46">
        <f>IF(C34="Retired",MIN(MAX(Y34-AA34,0),((AF33)*(1+$B$15)+IF(C34="Working",D34,0))),0)</f>
        <v/>
      </c>
      <c r="AC34" s="46">
        <f>IF(C34="Retired",MIN(MAX(Y34-AA34-AB34,0),((AG33)*(1+$B$15)+IF(C34="Working",V34,0))),0)</f>
        <v/>
      </c>
      <c r="AD34" s="46">
        <f>IF(C34="Retired",MIN(MAX(Y34-AA34-AB34-AC34,0),((AH33)*(1+$B$15)+IF(C34="Working",E34,0))),0)</f>
        <v/>
      </c>
      <c r="AE34" s="43">
        <f>MAX(((AE33)*(1+$B$15)+IF(C34="Working",W34,0))-AA34,0)</f>
        <v/>
      </c>
      <c r="AF34" s="43">
        <f>MAX(((AF33)*(1+$B$15)+IF(C34="Working",D34,0))-AB34,0)</f>
        <v/>
      </c>
      <c r="AG34" s="43">
        <f>MAX(((AG33)*(1+$B$15)+IF(C34="Working",V34,0))-AC34,0)</f>
        <v/>
      </c>
      <c r="AH34" s="43">
        <f>MAX(((AH33)*(1+$B$15)+IF(C34="Working",E34,0))-AD34,0)</f>
        <v/>
      </c>
      <c r="AI34" s="43">
        <f>AE34+AF34+AG34+AH34</f>
        <v/>
      </c>
      <c r="AJ34" s="43">
        <f>IF(C34="Working",AJ33+X34,MAX(AJ33-MIN(Y34,AJ33),0))</f>
        <v/>
      </c>
      <c r="AK34" s="43">
        <f>IF(C34="Working",AK33*(1+$B$16)+X34,MAX(AK33*(1+$B$16)-MIN(Y34,AK33*(1+$B$16)),0))</f>
        <v/>
      </c>
      <c r="AL34" s="48">
        <f>IF(C34="Working",IF(B34=0,0,W34/B34),0)</f>
        <v/>
      </c>
      <c r="AM34" s="48">
        <f>IF(C34="Working",IF(B34=0,0,X34/B34),0)</f>
        <v/>
      </c>
      <c r="AN34" s="169">
        <f>A34</f>
        <v/>
      </c>
      <c r="AO34" s="169">
        <f>'Model Inputs'!$B$22+AN34-1</f>
        <v/>
      </c>
      <c r="AP34" s="34">
        <f>IF(AND(AQ34="",AR34="",AX34="",BA34="",BC34=""),"",IF(AN34=1,(13-'Model Inputs'!$B$23)/12,1))</f>
        <v/>
      </c>
      <c r="AQ34" s="36">
        <f>IF(OR(AN34&lt;='Model Inputs'!$B$24,AR34&lt;&gt;"",AX34&lt;&gt;"",BA34&lt;&gt;"",BC34&lt;&gt;""),'Model Inputs'!$B$25*(1+'Model Inputs'!$B$31)^(AN34-1),"")</f>
        <v/>
      </c>
      <c r="AR34" s="195" t="n"/>
      <c r="AS34" s="36">
        <f>IF(AP34="","",IF(AR34="",AQ34,AR34))</f>
        <v/>
      </c>
      <c r="AT34" s="36">
        <f>IF(AS34="","",AP34*AS34)</f>
        <v/>
      </c>
      <c r="AU34" s="36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34">
        <f>IF(AU34="","",IF(AN34&lt;=2,0,'Model Inputs'!$B$32*SIN(2*PI()*(AN34-2+'Model Inputs'!$B$34)/MAX(1,'Model Inputs'!$B$33))))</f>
        <v/>
      </c>
      <c r="AW34" s="34" t="n"/>
      <c r="AX34" s="195" t="n"/>
      <c r="AY34" s="36">
        <f>IF(AP34="","",IF(BC34&lt;&gt;"",MAX(BC34-AT34-IF(AZ34="",0,AZ34)-IF(BA34="",0,BA34),0),IF(AX34&lt;&gt;"",AX34,AU34*(1+IF(AW34="",AV34,AW34)))))</f>
        <v/>
      </c>
      <c r="AZ34" s="36">
        <f>IF(AN34=1,'Model Inputs'!$B$26,"")</f>
        <v/>
      </c>
      <c r="BA34" s="195" t="n"/>
      <c r="BB34" s="36">
        <f>IF(AND(AS34="",AY34="",AZ34="",BA34="",BC34=""),"",IF(BC34&lt;&gt;"",BC34,AT34+IF(AY34="",0,AY34)+IF(AZ34="",0,AZ34)+IF(BA34="",0,BA34)))</f>
        <v/>
      </c>
      <c r="BC34" s="195" t="n"/>
      <c r="BL34" s="195">
        <f>IF(C34="Working",LOOKUP(2,1/($BL$19:BL33&lt;&gt;""),$BL$19:BL33),"")</f>
        <v/>
      </c>
      <c r="BM34" s="195">
        <f>IF(C34="Working",LOOKUP(2,1/($BM$19:BM33&lt;&gt;""),$BM$19:BM33),"")</f>
        <v/>
      </c>
    </row>
    <row r="35" ht="18" customHeight="1" s="326">
      <c r="A35" s="40" t="n">
        <v>17</v>
      </c>
      <c r="B35" s="41">
        <f>IF(BB35="","",BB35)</f>
        <v/>
      </c>
      <c r="C35" s="40">
        <f>IF(B35="","Retired","Working")</f>
        <v/>
      </c>
      <c r="D35" s="41">
        <f>IF(OR(C35="Retired",B35=""),0,MIN(B35,'Tax Assumptions'!$B$19))</f>
        <v/>
      </c>
      <c r="E35" s="36" t="n"/>
      <c r="F35" s="36" t="n"/>
      <c r="G35" s="41">
        <f>IF(C35="Working",MAX(B35-D35-E35-'Tax Assumptions'!$B$8,0),0)</f>
        <v/>
      </c>
      <c r="H35" s="41">
        <f>IF(G35=0,0,LOOKUP(G35,'Tax Assumptions'!$F$9:$F$15,'Tax Assumptions'!$I$9:$I$15)+(G35-LOOKUP(G35,'Tax Assumptions'!$F$9:$F$15,'Tax Assumptions'!$F$9:$F$15))*LOOKUP(G35,'Tax Assumptions'!$F$9:$F$15,'Tax Assumptions'!$H$9:$H$15))</f>
        <v/>
      </c>
      <c r="I35" s="41">
        <f>IF(C35="Working",MIN(MAX(B35-E35,0),'Tax Assumptions'!$B$11)*'Tax Assumptions'!$B$10,0)</f>
        <v/>
      </c>
      <c r="J35" s="41">
        <f>IF(C35="Working",MAX(B35-E35,0)*'Tax Assumptions'!$B$12,0)</f>
        <v/>
      </c>
      <c r="K35" s="41">
        <f>IF(C35="Working",MAX(MAX(B35-E35,0)-'Tax Assumptions'!$B$14,0)*'Tax Assumptions'!$B$13,0)</f>
        <v/>
      </c>
      <c r="L35" s="42">
        <f>IF(C35="Working",MIN(B35*'Tax Assumptions'!$B$15,'Tax Assumptions'!$B$16),0)</f>
        <v/>
      </c>
      <c r="M35" s="42">
        <f>IF(C35="Working",MIN(B35*'Tax Assumptions'!$B$17,'Tax Assumptions'!$B$18),0)</f>
        <v/>
      </c>
      <c r="N35" s="41">
        <f>IF(C35="Working",MAX(B35-D35-'Tax Assumptions'!$B$9,0),0)</f>
        <v/>
      </c>
      <c r="O35" s="41">
        <f>IF(N35=0,0,LOOKUP(N35,'Tax Assumptions'!$K$9:$K$17,'Tax Assumptions'!$N$9:$N$17)+(N35-LOOKUP(N35,'Tax Assumptions'!$K$9:$K$17,'Tax Assumptions'!$K$9:$K$17))*LOOKUP(N35,'Tax Assumptions'!$K$9:$K$17,'Tax Assumptions'!$M$9:$M$17))</f>
        <v/>
      </c>
      <c r="P35" s="41">
        <f>IF(N35=0,0,LOOKUP(N35,'Tax Assumptions'!$P$9:$P$12,'Tax Assumptions'!$S$9:$S$12)+(N35-LOOKUP(N35,'Tax Assumptions'!$P$9:$P$12,'Tax Assumptions'!$P$9:$P$12))*LOOKUP(N35,'Tax Assumptions'!$P$9:$P$12,'Tax Assumptions'!$R$9:$R$12))</f>
        <v/>
      </c>
      <c r="Q35" s="41">
        <f>H35+I35+J35+K35+L35+M35+O35+P35</f>
        <v/>
      </c>
      <c r="R35" s="41">
        <f>IF(C35="Working",B35-D35-E35-F35-Q35,0)</f>
        <v/>
      </c>
      <c r="S35" s="36">
        <f>IF(C35="Working",IF(BL35="","",BL35*(1+'Model Inputs'!$B$35)^(AN35-1)),"")</f>
        <v/>
      </c>
      <c r="T35" s="36">
        <f>IF(C35="Working",IF(BM35="","",BM35*(1+'Model Inputs'!$B$36)^(AN35-1)),"")</f>
        <v/>
      </c>
      <c r="U35" s="41">
        <f>IF(C35="Working",R35-S35-T35,0)</f>
        <v/>
      </c>
      <c r="V35" s="41">
        <f>IF(C35="Working",MIN(MAX(U35,0),'Tax Assumptions'!$B$20),0)</f>
        <v/>
      </c>
      <c r="W35" s="41">
        <f>IF(C35="Working",U35-V35,0)</f>
        <v/>
      </c>
      <c r="X35" s="41">
        <f>IF(C35="Working",W35+V35+D35+E35,0)</f>
        <v/>
      </c>
      <c r="Y35" s="41">
        <f>IF(C35="Retired",$B$13,0)</f>
        <v/>
      </c>
      <c r="Z35" s="41">
        <f>AA35+AB35+AC35+AD35</f>
        <v/>
      </c>
      <c r="AA35" s="41">
        <f>IF(C35="Retired",MIN(Y35,((AE34)*(1+$B$15)+IF(C35="Working",W35,0))),0)</f>
        <v/>
      </c>
      <c r="AB35" s="41">
        <f>IF(C35="Retired",MIN(MAX(Y35-AA35,0),((AF34)*(1+$B$15)+IF(C35="Working",D35,0))),0)</f>
        <v/>
      </c>
      <c r="AC35" s="41">
        <f>IF(C35="Retired",MIN(MAX(Y35-AA35-AB35,0),((AG34)*(1+$B$15)+IF(C35="Working",V35,0))),0)</f>
        <v/>
      </c>
      <c r="AD35" s="41">
        <f>IF(C35="Retired",MIN(MAX(Y35-AA35-AB35-AC35,0),((AH34)*(1+$B$15)+IF(C35="Working",E35,0))),0)</f>
        <v/>
      </c>
      <c r="AE35" s="43">
        <f>MAX(((AE34)*(1+$B$15)+IF(C35="Working",W35,0))-AA35,0)</f>
        <v/>
      </c>
      <c r="AF35" s="43">
        <f>MAX(((AF34)*(1+$B$15)+IF(C35="Working",D35,0))-AB35,0)</f>
        <v/>
      </c>
      <c r="AG35" s="43">
        <f>MAX(((AG34)*(1+$B$15)+IF(C35="Working",V35,0))-AC35,0)</f>
        <v/>
      </c>
      <c r="AH35" s="43">
        <f>MAX(((AH34)*(1+$B$15)+IF(C35="Working",E35,0))-AD35,0)</f>
        <v/>
      </c>
      <c r="AI35" s="43">
        <f>AE35+AF35+AG35+AH35</f>
        <v/>
      </c>
      <c r="AJ35" s="43">
        <f>IF(C35="Working",AJ34+X35,MAX(AJ34-MIN(Y35,AJ34),0))</f>
        <v/>
      </c>
      <c r="AK35" s="43">
        <f>IF(C35="Working",AK34*(1+$B$16)+X35,MAX(AK34*(1+$B$16)-MIN(Y35,AK34*(1+$B$16)),0))</f>
        <v/>
      </c>
      <c r="AL35" s="44">
        <f>IF(C35="Working",IF(B35=0,0,W35/B35),0)</f>
        <v/>
      </c>
      <c r="AM35" s="44">
        <f>IF(C35="Working",IF(B35=0,0,X35/B35),0)</f>
        <v/>
      </c>
      <c r="AN35" s="169">
        <f>A35</f>
        <v/>
      </c>
      <c r="AO35" s="169">
        <f>'Model Inputs'!$B$22+AN35-1</f>
        <v/>
      </c>
      <c r="AP35" s="34">
        <f>IF(AND(AQ35="",AR35="",AX35="",BA35="",BC35=""),"",IF(AN35=1,(13-'Model Inputs'!$B$23)/12,1))</f>
        <v/>
      </c>
      <c r="AQ35" s="36">
        <f>IF(OR(AN35&lt;='Model Inputs'!$B$24,AR35&lt;&gt;"",AX35&lt;&gt;"",BA35&lt;&gt;"",BC35&lt;&gt;""),'Model Inputs'!$B$25*(1+'Model Inputs'!$B$31)^(AN35-1),"")</f>
        <v/>
      </c>
      <c r="AR35" s="195" t="n"/>
      <c r="AS35" s="36">
        <f>IF(AP35="","",IF(AR35="",AQ35,AR35))</f>
        <v/>
      </c>
      <c r="AT35" s="36">
        <f>IF(AS35="","",AP35*AS35)</f>
        <v/>
      </c>
      <c r="AU35" s="36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34">
        <f>IF(AU35="","",IF(AN35&lt;=2,0,'Model Inputs'!$B$32*SIN(2*PI()*(AN35-2+'Model Inputs'!$B$34)/MAX(1,'Model Inputs'!$B$33))))</f>
        <v/>
      </c>
      <c r="AW35" s="34" t="n"/>
      <c r="AX35" s="195" t="n"/>
      <c r="AY35" s="36">
        <f>IF(AP35="","",IF(BC35&lt;&gt;"",MAX(BC35-AT35-IF(AZ35="",0,AZ35)-IF(BA35="",0,BA35),0),IF(AX35&lt;&gt;"",AX35,AU35*(1+IF(AW35="",AV35,AW35)))))</f>
        <v/>
      </c>
      <c r="AZ35" s="36">
        <f>IF(AN35=1,'Model Inputs'!$B$26,"")</f>
        <v/>
      </c>
      <c r="BA35" s="195" t="n"/>
      <c r="BB35" s="36">
        <f>IF(AND(AS35="",AY35="",AZ35="",BA35="",BC35=""),"",IF(BC35&lt;&gt;"",BC35,AT35+IF(AY35="",0,AY35)+IF(AZ35="",0,AZ35)+IF(BA35="",0,BA35)))</f>
        <v/>
      </c>
      <c r="BC35" s="195" t="n"/>
      <c r="BL35" s="195">
        <f>IF(C35="Working",LOOKUP(2,1/($BL$19:BL34&lt;&gt;""),$BL$19:BL34),"")</f>
        <v/>
      </c>
      <c r="BM35" s="195">
        <f>IF(C35="Working",LOOKUP(2,1/($BM$19:BM34&lt;&gt;""),$BM$19:BM34),"")</f>
        <v/>
      </c>
    </row>
    <row r="36" ht="18" customHeight="1" s="326">
      <c r="A36" s="45" t="n">
        <v>18</v>
      </c>
      <c r="B36" s="46">
        <f>IF(BB36="","",BB36)</f>
        <v/>
      </c>
      <c r="C36" s="45">
        <f>IF(B36="","Retired","Working")</f>
        <v/>
      </c>
      <c r="D36" s="46">
        <f>IF(OR(C36="Retired",B36=""),0,MIN(B36,'Tax Assumptions'!$B$19))</f>
        <v/>
      </c>
      <c r="E36" s="36" t="n"/>
      <c r="F36" s="36" t="n"/>
      <c r="G36" s="46">
        <f>IF(C36="Working",MAX(B36-D36-E36-'Tax Assumptions'!$B$8,0),0)</f>
        <v/>
      </c>
      <c r="H36" s="46">
        <f>IF(G36=0,0,LOOKUP(G36,'Tax Assumptions'!$F$9:$F$15,'Tax Assumptions'!$I$9:$I$15)+(G36-LOOKUP(G36,'Tax Assumptions'!$F$9:$F$15,'Tax Assumptions'!$F$9:$F$15))*LOOKUP(G36,'Tax Assumptions'!$F$9:$F$15,'Tax Assumptions'!$H$9:$H$15))</f>
        <v/>
      </c>
      <c r="I36" s="46">
        <f>IF(C36="Working",MIN(MAX(B36-E36,0),'Tax Assumptions'!$B$11)*'Tax Assumptions'!$B$10,0)</f>
        <v/>
      </c>
      <c r="J36" s="46">
        <f>IF(C36="Working",MAX(B36-E36,0)*'Tax Assumptions'!$B$12,0)</f>
        <v/>
      </c>
      <c r="K36" s="46">
        <f>IF(C36="Working",MAX(MAX(B36-E36,0)-'Tax Assumptions'!$B$14,0)*'Tax Assumptions'!$B$13,0)</f>
        <v/>
      </c>
      <c r="L36" s="47">
        <f>IF(C36="Working",MIN(B36*'Tax Assumptions'!$B$15,'Tax Assumptions'!$B$16),0)</f>
        <v/>
      </c>
      <c r="M36" s="47">
        <f>IF(C36="Working",MIN(B36*'Tax Assumptions'!$B$17,'Tax Assumptions'!$B$18),0)</f>
        <v/>
      </c>
      <c r="N36" s="46">
        <f>IF(C36="Working",MAX(B36-D36-'Tax Assumptions'!$B$9,0),0)</f>
        <v/>
      </c>
      <c r="O36" s="46">
        <f>IF(N36=0,0,LOOKUP(N36,'Tax Assumptions'!$K$9:$K$17,'Tax Assumptions'!$N$9:$N$17)+(N36-LOOKUP(N36,'Tax Assumptions'!$K$9:$K$17,'Tax Assumptions'!$K$9:$K$17))*LOOKUP(N36,'Tax Assumptions'!$K$9:$K$17,'Tax Assumptions'!$M$9:$M$17))</f>
        <v/>
      </c>
      <c r="P36" s="46">
        <f>IF(N36=0,0,LOOKUP(N36,'Tax Assumptions'!$P$9:$P$12,'Tax Assumptions'!$S$9:$S$12)+(N36-LOOKUP(N36,'Tax Assumptions'!$P$9:$P$12,'Tax Assumptions'!$P$9:$P$12))*LOOKUP(N36,'Tax Assumptions'!$P$9:$P$12,'Tax Assumptions'!$R$9:$R$12))</f>
        <v/>
      </c>
      <c r="Q36" s="46">
        <f>H36+I36+J36+K36+L36+M36+O36+P36</f>
        <v/>
      </c>
      <c r="R36" s="46">
        <f>IF(C36="Working",B36-D36-E36-F36-Q36,0)</f>
        <v/>
      </c>
      <c r="S36" s="36">
        <f>IF(C36="Working",IF(BL36="","",BL36*(1+'Model Inputs'!$B$35)^(AN36-1)),"")</f>
        <v/>
      </c>
      <c r="T36" s="36">
        <f>IF(C36="Working",IF(BM36="","",BM36*(1+'Model Inputs'!$B$36)^(AN36-1)),"")</f>
        <v/>
      </c>
      <c r="U36" s="46">
        <f>IF(C36="Working",R36-S36-T36,0)</f>
        <v/>
      </c>
      <c r="V36" s="46">
        <f>IF(C36="Working",MIN(MAX(U36,0),'Tax Assumptions'!$B$20),0)</f>
        <v/>
      </c>
      <c r="W36" s="46">
        <f>IF(C36="Working",U36-V36,0)</f>
        <v/>
      </c>
      <c r="X36" s="46">
        <f>IF(C36="Working",W36+V36+D36+E36,0)</f>
        <v/>
      </c>
      <c r="Y36" s="46">
        <f>IF(C36="Retired",$B$13,0)</f>
        <v/>
      </c>
      <c r="Z36" s="46">
        <f>AA36+AB36+AC36+AD36</f>
        <v/>
      </c>
      <c r="AA36" s="46">
        <f>IF(C36="Retired",MIN(Y36,((AE35)*(1+$B$15)+IF(C36="Working",W36,0))),0)</f>
        <v/>
      </c>
      <c r="AB36" s="46">
        <f>IF(C36="Retired",MIN(MAX(Y36-AA36,0),((AF35)*(1+$B$15)+IF(C36="Working",D36,0))),0)</f>
        <v/>
      </c>
      <c r="AC36" s="46">
        <f>IF(C36="Retired",MIN(MAX(Y36-AA36-AB36,0),((AG35)*(1+$B$15)+IF(C36="Working",V36,0))),0)</f>
        <v/>
      </c>
      <c r="AD36" s="46">
        <f>IF(C36="Retired",MIN(MAX(Y36-AA36-AB36-AC36,0),((AH35)*(1+$B$15)+IF(C36="Working",E36,0))),0)</f>
        <v/>
      </c>
      <c r="AE36" s="43">
        <f>MAX(((AE35)*(1+$B$15)+IF(C36="Working",W36,0))-AA36,0)</f>
        <v/>
      </c>
      <c r="AF36" s="43">
        <f>MAX(((AF35)*(1+$B$15)+IF(C36="Working",D36,0))-AB36,0)</f>
        <v/>
      </c>
      <c r="AG36" s="43">
        <f>MAX(((AG35)*(1+$B$15)+IF(C36="Working",V36,0))-AC36,0)</f>
        <v/>
      </c>
      <c r="AH36" s="43">
        <f>MAX(((AH35)*(1+$B$15)+IF(C36="Working",E36,0))-AD36,0)</f>
        <v/>
      </c>
      <c r="AI36" s="43">
        <f>AE36+AF36+AG36+AH36</f>
        <v/>
      </c>
      <c r="AJ36" s="43">
        <f>IF(C36="Working",AJ35+X36,MAX(AJ35-MIN(Y36,AJ35),0))</f>
        <v/>
      </c>
      <c r="AK36" s="43">
        <f>IF(C36="Working",AK35*(1+$B$16)+X36,MAX(AK35*(1+$B$16)-MIN(Y36,AK35*(1+$B$16)),0))</f>
        <v/>
      </c>
      <c r="AL36" s="48">
        <f>IF(C36="Working",IF(B36=0,0,W36/B36),0)</f>
        <v/>
      </c>
      <c r="AM36" s="48">
        <f>IF(C36="Working",IF(B36=0,0,X36/B36),0)</f>
        <v/>
      </c>
      <c r="AN36" s="169">
        <f>A36</f>
        <v/>
      </c>
      <c r="AO36" s="169">
        <f>'Model Inputs'!$B$22+AN36-1</f>
        <v/>
      </c>
      <c r="AP36" s="34">
        <f>IF(AND(AQ36="",AR36="",AX36="",BA36="",BC36=""),"",IF(AN36=1,(13-'Model Inputs'!$B$23)/12,1))</f>
        <v/>
      </c>
      <c r="AQ36" s="36">
        <f>IF(OR(AN36&lt;='Model Inputs'!$B$24,AR36&lt;&gt;"",AX36&lt;&gt;"",BA36&lt;&gt;"",BC36&lt;&gt;""),'Model Inputs'!$B$25*(1+'Model Inputs'!$B$31)^(AN36-1),"")</f>
        <v/>
      </c>
      <c r="AR36" s="195" t="n"/>
      <c r="AS36" s="36">
        <f>IF(AP36="","",IF(AR36="",AQ36,AR36))</f>
        <v/>
      </c>
      <c r="AT36" s="36">
        <f>IF(AS36="","",AP36*AS36)</f>
        <v/>
      </c>
      <c r="AU36" s="36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34">
        <f>IF(AU36="","",IF(AN36&lt;=2,0,'Model Inputs'!$B$32*SIN(2*PI()*(AN36-2+'Model Inputs'!$B$34)/MAX(1,'Model Inputs'!$B$33))))</f>
        <v/>
      </c>
      <c r="AW36" s="34" t="n"/>
      <c r="AX36" s="195" t="n"/>
      <c r="AY36" s="36">
        <f>IF(AP36="","",IF(BC36&lt;&gt;"",MAX(BC36-AT36-IF(AZ36="",0,AZ36)-IF(BA36="",0,BA36),0),IF(AX36&lt;&gt;"",AX36,AU36*(1+IF(AW36="",AV36,AW36)))))</f>
        <v/>
      </c>
      <c r="AZ36" s="36">
        <f>IF(AN36=1,'Model Inputs'!$B$26,"")</f>
        <v/>
      </c>
      <c r="BA36" s="195" t="n"/>
      <c r="BB36" s="36">
        <f>IF(AND(AS36="",AY36="",AZ36="",BA36="",BC36=""),"",IF(BC36&lt;&gt;"",BC36,AT36+IF(AY36="",0,AY36)+IF(AZ36="",0,AZ36)+IF(BA36="",0,BA36)))</f>
        <v/>
      </c>
      <c r="BC36" s="195" t="n"/>
      <c r="BL36" s="195">
        <f>IF(C36="Working",LOOKUP(2,1/($BL$19:BL35&lt;&gt;""),$BL$19:BL35),"")</f>
        <v/>
      </c>
      <c r="BM36" s="195">
        <f>IF(C36="Working",LOOKUP(2,1/($BM$19:BM35&lt;&gt;""),$BM$19:BM35),"")</f>
        <v/>
      </c>
    </row>
    <row r="37" ht="18" customHeight="1" s="326">
      <c r="A37" s="40" t="n">
        <v>19</v>
      </c>
      <c r="B37" s="41">
        <f>IF(BB37="","",BB37)</f>
        <v/>
      </c>
      <c r="C37" s="40">
        <f>IF(B37="","Retired","Working")</f>
        <v/>
      </c>
      <c r="D37" s="41">
        <f>IF(OR(C37="Retired",B37=""),0,MIN(B37,'Tax Assumptions'!$B$19))</f>
        <v/>
      </c>
      <c r="E37" s="36" t="n"/>
      <c r="F37" s="36" t="n"/>
      <c r="G37" s="41">
        <f>IF(C37="Working",MAX(B37-D37-E37-'Tax Assumptions'!$B$8,0),0)</f>
        <v/>
      </c>
      <c r="H37" s="41">
        <f>IF(G37=0,0,LOOKUP(G37,'Tax Assumptions'!$F$9:$F$15,'Tax Assumptions'!$I$9:$I$15)+(G37-LOOKUP(G37,'Tax Assumptions'!$F$9:$F$15,'Tax Assumptions'!$F$9:$F$15))*LOOKUP(G37,'Tax Assumptions'!$F$9:$F$15,'Tax Assumptions'!$H$9:$H$15))</f>
        <v/>
      </c>
      <c r="I37" s="41">
        <f>IF(C37="Working",MIN(MAX(B37-E37,0),'Tax Assumptions'!$B$11)*'Tax Assumptions'!$B$10,0)</f>
        <v/>
      </c>
      <c r="J37" s="41">
        <f>IF(C37="Working",MAX(B37-E37,0)*'Tax Assumptions'!$B$12,0)</f>
        <v/>
      </c>
      <c r="K37" s="41">
        <f>IF(C37="Working",MAX(MAX(B37-E37,0)-'Tax Assumptions'!$B$14,0)*'Tax Assumptions'!$B$13,0)</f>
        <v/>
      </c>
      <c r="L37" s="42">
        <f>IF(C37="Working",MIN(B37*'Tax Assumptions'!$B$15,'Tax Assumptions'!$B$16),0)</f>
        <v/>
      </c>
      <c r="M37" s="42">
        <f>IF(C37="Working",MIN(B37*'Tax Assumptions'!$B$17,'Tax Assumptions'!$B$18),0)</f>
        <v/>
      </c>
      <c r="N37" s="41">
        <f>IF(C37="Working",MAX(B37-D37-'Tax Assumptions'!$B$9,0),0)</f>
        <v/>
      </c>
      <c r="O37" s="41">
        <f>IF(N37=0,0,LOOKUP(N37,'Tax Assumptions'!$K$9:$K$17,'Tax Assumptions'!$N$9:$N$17)+(N37-LOOKUP(N37,'Tax Assumptions'!$K$9:$K$17,'Tax Assumptions'!$K$9:$K$17))*LOOKUP(N37,'Tax Assumptions'!$K$9:$K$17,'Tax Assumptions'!$M$9:$M$17))</f>
        <v/>
      </c>
      <c r="P37" s="41">
        <f>IF(N37=0,0,LOOKUP(N37,'Tax Assumptions'!$P$9:$P$12,'Tax Assumptions'!$S$9:$S$12)+(N37-LOOKUP(N37,'Tax Assumptions'!$P$9:$P$12,'Tax Assumptions'!$P$9:$P$12))*LOOKUP(N37,'Tax Assumptions'!$P$9:$P$12,'Tax Assumptions'!$R$9:$R$12))</f>
        <v/>
      </c>
      <c r="Q37" s="41">
        <f>H37+I37+J37+K37+L37+M37+O37+P37</f>
        <v/>
      </c>
      <c r="R37" s="41">
        <f>IF(C37="Working",B37-D37-E37-F37-Q37,0)</f>
        <v/>
      </c>
      <c r="S37" s="36">
        <f>IF(C37="Working",IF(BL37="","",BL37*(1+'Model Inputs'!$B$35)^(AN37-1)),"")</f>
        <v/>
      </c>
      <c r="T37" s="36">
        <f>IF(C37="Working",IF(BM37="","",BM37*(1+'Model Inputs'!$B$36)^(AN37-1)),"")</f>
        <v/>
      </c>
      <c r="U37" s="41">
        <f>IF(C37="Working",R37-S37-T37,0)</f>
        <v/>
      </c>
      <c r="V37" s="41">
        <f>IF(C37="Working",MIN(MAX(U37,0),'Tax Assumptions'!$B$20),0)</f>
        <v/>
      </c>
      <c r="W37" s="41">
        <f>IF(C37="Working",U37-V37,0)</f>
        <v/>
      </c>
      <c r="X37" s="41">
        <f>IF(C37="Working",W37+V37+D37+E37,0)</f>
        <v/>
      </c>
      <c r="Y37" s="41">
        <f>IF(C37="Retired",$B$13,0)</f>
        <v/>
      </c>
      <c r="Z37" s="41">
        <f>AA37+AB37+AC37+AD37</f>
        <v/>
      </c>
      <c r="AA37" s="41">
        <f>IF(C37="Retired",MIN(Y37,((AE36)*(1+$B$15)+IF(C37="Working",W37,0))),0)</f>
        <v/>
      </c>
      <c r="AB37" s="41">
        <f>IF(C37="Retired",MIN(MAX(Y37-AA37,0),((AF36)*(1+$B$15)+IF(C37="Working",D37,0))),0)</f>
        <v/>
      </c>
      <c r="AC37" s="41">
        <f>IF(C37="Retired",MIN(MAX(Y37-AA37-AB37,0),((AG36)*(1+$B$15)+IF(C37="Working",V37,0))),0)</f>
        <v/>
      </c>
      <c r="AD37" s="41">
        <f>IF(C37="Retired",MIN(MAX(Y37-AA37-AB37-AC37,0),((AH36)*(1+$B$15)+IF(C37="Working",E37,0))),0)</f>
        <v/>
      </c>
      <c r="AE37" s="43">
        <f>MAX(((AE36)*(1+$B$15)+IF(C37="Working",W37,0))-AA37,0)</f>
        <v/>
      </c>
      <c r="AF37" s="43">
        <f>MAX(((AF36)*(1+$B$15)+IF(C37="Working",D37,0))-AB37,0)</f>
        <v/>
      </c>
      <c r="AG37" s="43">
        <f>MAX(((AG36)*(1+$B$15)+IF(C37="Working",V37,0))-AC37,0)</f>
        <v/>
      </c>
      <c r="AH37" s="43">
        <f>MAX(((AH36)*(1+$B$15)+IF(C37="Working",E37,0))-AD37,0)</f>
        <v/>
      </c>
      <c r="AI37" s="43">
        <f>AE37+AF37+AG37+AH37</f>
        <v/>
      </c>
      <c r="AJ37" s="43">
        <f>IF(C37="Working",AJ36+X37,MAX(AJ36-MIN(Y37,AJ36),0))</f>
        <v/>
      </c>
      <c r="AK37" s="43">
        <f>IF(C37="Working",AK36*(1+$B$16)+X37,MAX(AK36*(1+$B$16)-MIN(Y37,AK36*(1+$B$16)),0))</f>
        <v/>
      </c>
      <c r="AL37" s="44">
        <f>IF(C37="Working",IF(B37=0,0,W37/B37),0)</f>
        <v/>
      </c>
      <c r="AM37" s="44">
        <f>IF(C37="Working",IF(B37=0,0,X37/B37),0)</f>
        <v/>
      </c>
      <c r="AN37" s="169">
        <f>A37</f>
        <v/>
      </c>
      <c r="AO37" s="169">
        <f>'Model Inputs'!$B$22+AN37-1</f>
        <v/>
      </c>
      <c r="AP37" s="34">
        <f>IF(AND(AQ37="",AR37="",AX37="",BA37="",BC37=""),"",IF(AN37=1,(13-'Model Inputs'!$B$23)/12,1))</f>
        <v/>
      </c>
      <c r="AQ37" s="36">
        <f>IF(OR(AN37&lt;='Model Inputs'!$B$24,AR37&lt;&gt;"",AX37&lt;&gt;"",BA37&lt;&gt;"",BC37&lt;&gt;""),'Model Inputs'!$B$25*(1+'Model Inputs'!$B$31)^(AN37-1),"")</f>
        <v/>
      </c>
      <c r="AR37" s="195" t="n"/>
      <c r="AS37" s="36">
        <f>IF(AP37="","",IF(AR37="",AQ37,AR37))</f>
        <v/>
      </c>
      <c r="AT37" s="36">
        <f>IF(AS37="","",AP37*AS37)</f>
        <v/>
      </c>
      <c r="AU37" s="36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34">
        <f>IF(AU37="","",IF(AN37&lt;=2,0,'Model Inputs'!$B$32*SIN(2*PI()*(AN37-2+'Model Inputs'!$B$34)/MAX(1,'Model Inputs'!$B$33))))</f>
        <v/>
      </c>
      <c r="AW37" s="34" t="n"/>
      <c r="AX37" s="195" t="n"/>
      <c r="AY37" s="36">
        <f>IF(AP37="","",IF(BC37&lt;&gt;"",MAX(BC37-AT37-IF(AZ37="",0,AZ37)-IF(BA37="",0,BA37),0),IF(AX37&lt;&gt;"",AX37,AU37*(1+IF(AW37="",AV37,AW37)))))</f>
        <v/>
      </c>
      <c r="AZ37" s="36">
        <f>IF(AN37=1,'Model Inputs'!$B$26,"")</f>
        <v/>
      </c>
      <c r="BA37" s="195" t="n"/>
      <c r="BB37" s="36">
        <f>IF(AND(AS37="",AY37="",AZ37="",BA37="",BC37=""),"",IF(BC37&lt;&gt;"",BC37,AT37+IF(AY37="",0,AY37)+IF(AZ37="",0,AZ37)+IF(BA37="",0,BA37)))</f>
        <v/>
      </c>
      <c r="BC37" s="195" t="n"/>
      <c r="BL37" s="195">
        <f>IF(C37="Working",LOOKUP(2,1/($BL$19:BL36&lt;&gt;""),$BL$19:BL36),"")</f>
        <v/>
      </c>
      <c r="BM37" s="195">
        <f>IF(C37="Working",LOOKUP(2,1/($BM$19:BM36&lt;&gt;""),$BM$19:BM36),"")</f>
        <v/>
      </c>
    </row>
    <row r="38" ht="18" customHeight="1" s="326">
      <c r="A38" s="45" t="n">
        <v>20</v>
      </c>
      <c r="B38" s="46">
        <f>IF(BB38="","",BB38)</f>
        <v/>
      </c>
      <c r="C38" s="45">
        <f>IF(B38="","Retired","Working")</f>
        <v/>
      </c>
      <c r="D38" s="46">
        <f>IF(OR(C38="Retired",B38=""),0,MIN(B38,'Tax Assumptions'!$B$19))</f>
        <v/>
      </c>
      <c r="E38" s="36" t="n"/>
      <c r="F38" s="36" t="n"/>
      <c r="G38" s="46">
        <f>IF(C38="Working",MAX(B38-D38-E38-'Tax Assumptions'!$B$8,0),0)</f>
        <v/>
      </c>
      <c r="H38" s="46">
        <f>IF(G38=0,0,LOOKUP(G38,'Tax Assumptions'!$F$9:$F$15,'Tax Assumptions'!$I$9:$I$15)+(G38-LOOKUP(G38,'Tax Assumptions'!$F$9:$F$15,'Tax Assumptions'!$F$9:$F$15))*LOOKUP(G38,'Tax Assumptions'!$F$9:$F$15,'Tax Assumptions'!$H$9:$H$15))</f>
        <v/>
      </c>
      <c r="I38" s="46">
        <f>IF(C38="Working",MIN(MAX(B38-E38,0),'Tax Assumptions'!$B$11)*'Tax Assumptions'!$B$10,0)</f>
        <v/>
      </c>
      <c r="J38" s="46">
        <f>IF(C38="Working",MAX(B38-E38,0)*'Tax Assumptions'!$B$12,0)</f>
        <v/>
      </c>
      <c r="K38" s="46">
        <f>IF(C38="Working",MAX(MAX(B38-E38,0)-'Tax Assumptions'!$B$14,0)*'Tax Assumptions'!$B$13,0)</f>
        <v/>
      </c>
      <c r="L38" s="47">
        <f>IF(C38="Working",MIN(B38*'Tax Assumptions'!$B$15,'Tax Assumptions'!$B$16),0)</f>
        <v/>
      </c>
      <c r="M38" s="47">
        <f>IF(C38="Working",MIN(B38*'Tax Assumptions'!$B$17,'Tax Assumptions'!$B$18),0)</f>
        <v/>
      </c>
      <c r="N38" s="46">
        <f>IF(C38="Working",MAX(B38-D38-'Tax Assumptions'!$B$9,0),0)</f>
        <v/>
      </c>
      <c r="O38" s="46">
        <f>IF(N38=0,0,LOOKUP(N38,'Tax Assumptions'!$K$9:$K$17,'Tax Assumptions'!$N$9:$N$17)+(N38-LOOKUP(N38,'Tax Assumptions'!$K$9:$K$17,'Tax Assumptions'!$K$9:$K$17))*LOOKUP(N38,'Tax Assumptions'!$K$9:$K$17,'Tax Assumptions'!$M$9:$M$17))</f>
        <v/>
      </c>
      <c r="P38" s="46">
        <f>IF(N38=0,0,LOOKUP(N38,'Tax Assumptions'!$P$9:$P$12,'Tax Assumptions'!$S$9:$S$12)+(N38-LOOKUP(N38,'Tax Assumptions'!$P$9:$P$12,'Tax Assumptions'!$P$9:$P$12))*LOOKUP(N38,'Tax Assumptions'!$P$9:$P$12,'Tax Assumptions'!$R$9:$R$12))</f>
        <v/>
      </c>
      <c r="Q38" s="46">
        <f>H38+I38+J38+K38+L38+M38+O38+P38</f>
        <v/>
      </c>
      <c r="R38" s="46">
        <f>IF(C38="Working",B38-D38-E38-F38-Q38,0)</f>
        <v/>
      </c>
      <c r="S38" s="36">
        <f>IF(C38="Working",IF(BL38="","",BL38*(1+'Model Inputs'!$B$35)^(AN38-1)),"")</f>
        <v/>
      </c>
      <c r="T38" s="36">
        <f>IF(C38="Working",IF(BM38="","",BM38*(1+'Model Inputs'!$B$36)^(AN38-1)),"")</f>
        <v/>
      </c>
      <c r="U38" s="46">
        <f>IF(C38="Working",R38-S38-T38,0)</f>
        <v/>
      </c>
      <c r="V38" s="46">
        <f>IF(C38="Working",MIN(MAX(U38,0),'Tax Assumptions'!$B$20),0)</f>
        <v/>
      </c>
      <c r="W38" s="46">
        <f>IF(C38="Working",U38-V38,0)</f>
        <v/>
      </c>
      <c r="X38" s="46">
        <f>IF(C38="Working",W38+V38+D38+E38,0)</f>
        <v/>
      </c>
      <c r="Y38" s="46">
        <f>IF(C38="Retired",$B$13,0)</f>
        <v/>
      </c>
      <c r="Z38" s="46">
        <f>AA38+AB38+AC38+AD38</f>
        <v/>
      </c>
      <c r="AA38" s="46">
        <f>IF(C38="Retired",MIN(Y38,((AE37)*(1+$B$15)+IF(C38="Working",W38,0))),0)</f>
        <v/>
      </c>
      <c r="AB38" s="46">
        <f>IF(C38="Retired",MIN(MAX(Y38-AA38,0),((AF37)*(1+$B$15)+IF(C38="Working",D38,0))),0)</f>
        <v/>
      </c>
      <c r="AC38" s="46">
        <f>IF(C38="Retired",MIN(MAX(Y38-AA38-AB38,0),((AG37)*(1+$B$15)+IF(C38="Working",V38,0))),0)</f>
        <v/>
      </c>
      <c r="AD38" s="46">
        <f>IF(C38="Retired",MIN(MAX(Y38-AA38-AB38-AC38,0),((AH37)*(1+$B$15)+IF(C38="Working",E38,0))),0)</f>
        <v/>
      </c>
      <c r="AE38" s="43">
        <f>MAX(((AE37)*(1+$B$15)+IF(C38="Working",W38,0))-AA38,0)</f>
        <v/>
      </c>
      <c r="AF38" s="43">
        <f>MAX(((AF37)*(1+$B$15)+IF(C38="Working",D38,0))-AB38,0)</f>
        <v/>
      </c>
      <c r="AG38" s="43">
        <f>MAX(((AG37)*(1+$B$15)+IF(C38="Working",V38,0))-AC38,0)</f>
        <v/>
      </c>
      <c r="AH38" s="43">
        <f>MAX(((AH37)*(1+$B$15)+IF(C38="Working",E38,0))-AD38,0)</f>
        <v/>
      </c>
      <c r="AI38" s="43">
        <f>AE38+AF38+AG38+AH38</f>
        <v/>
      </c>
      <c r="AJ38" s="43">
        <f>IF(C38="Working",AJ37+X38,MAX(AJ37-MIN(Y38,AJ37),0))</f>
        <v/>
      </c>
      <c r="AK38" s="43">
        <f>IF(C38="Working",AK37*(1+$B$16)+X38,MAX(AK37*(1+$B$16)-MIN(Y38,AK37*(1+$B$16)),0))</f>
        <v/>
      </c>
      <c r="AL38" s="48">
        <f>IF(C38="Working",IF(B38=0,0,W38/B38),0)</f>
        <v/>
      </c>
      <c r="AM38" s="48">
        <f>IF(C38="Working",IF(B38=0,0,X38/B38),0)</f>
        <v/>
      </c>
      <c r="AN38" s="169">
        <f>A38</f>
        <v/>
      </c>
      <c r="AO38" s="169">
        <f>'Model Inputs'!$B$22+AN38-1</f>
        <v/>
      </c>
      <c r="AP38" s="34">
        <f>IF(AND(AQ38="",AR38="",AX38="",BA38="",BC38=""),"",IF(AN38=1,(13-'Model Inputs'!$B$23)/12,1))</f>
        <v/>
      </c>
      <c r="AQ38" s="36">
        <f>IF(OR(AN38&lt;='Model Inputs'!$B$24,AR38&lt;&gt;"",AX38&lt;&gt;"",BA38&lt;&gt;"",BC38&lt;&gt;""),'Model Inputs'!$B$25*(1+'Model Inputs'!$B$31)^(AN38-1),"")</f>
        <v/>
      </c>
      <c r="AR38" s="195" t="n"/>
      <c r="AS38" s="36">
        <f>IF(AP38="","",IF(AR38="",AQ38,AR38))</f>
        <v/>
      </c>
      <c r="AT38" s="36">
        <f>IF(AS38="","",AP38*AS38)</f>
        <v/>
      </c>
      <c r="AU38" s="36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34">
        <f>IF(AU38="","",IF(AN38&lt;=2,0,'Model Inputs'!$B$32*SIN(2*PI()*(AN38-2+'Model Inputs'!$B$34)/MAX(1,'Model Inputs'!$B$33))))</f>
        <v/>
      </c>
      <c r="AW38" s="34" t="n"/>
      <c r="AX38" s="195" t="n"/>
      <c r="AY38" s="36">
        <f>IF(AP38="","",IF(BC38&lt;&gt;"",MAX(BC38-AT38-IF(AZ38="",0,AZ38)-IF(BA38="",0,BA38),0),IF(AX38&lt;&gt;"",AX38,AU38*(1+IF(AW38="",AV38,AW38)))))</f>
        <v/>
      </c>
      <c r="AZ38" s="36">
        <f>IF(AN38=1,'Model Inputs'!$B$26,"")</f>
        <v/>
      </c>
      <c r="BA38" s="195" t="n"/>
      <c r="BB38" s="36">
        <f>IF(AND(AS38="",AY38="",AZ38="",BA38="",BC38=""),"",IF(BC38&lt;&gt;"",BC38,AT38+IF(AY38="",0,AY38)+IF(AZ38="",0,AZ38)+IF(BA38="",0,BA38)))</f>
        <v/>
      </c>
      <c r="BC38" s="195" t="n"/>
      <c r="BL38" s="195">
        <f>IF(C38="Working",LOOKUP(2,1/($BL$19:BL37&lt;&gt;""),$BL$19:BL37),"")</f>
        <v/>
      </c>
      <c r="BM38" s="195">
        <f>IF(C38="Working",LOOKUP(2,1/($BM$19:BM37&lt;&gt;""),$BM$19:BM37),"")</f>
        <v/>
      </c>
    </row>
    <row r="39" ht="18" customHeight="1" s="326">
      <c r="A39" s="40" t="n">
        <v>21</v>
      </c>
      <c r="B39" s="41">
        <f>IF(BB39="","",BB39)</f>
        <v/>
      </c>
      <c r="C39" s="40">
        <f>IF(B39="","Retired","Working")</f>
        <v/>
      </c>
      <c r="D39" s="41">
        <f>IF(OR(C39="Retired",B39=""),0,MIN(B39,'Tax Assumptions'!$B$19))</f>
        <v/>
      </c>
      <c r="E39" s="36" t="n"/>
      <c r="F39" s="36" t="n"/>
      <c r="G39" s="41">
        <f>IF(C39="Working",MAX(B39-D39-E39-'Tax Assumptions'!$B$8,0),0)</f>
        <v/>
      </c>
      <c r="H39" s="41">
        <f>IF(G39=0,0,LOOKUP(G39,'Tax Assumptions'!$F$9:$F$15,'Tax Assumptions'!$I$9:$I$15)+(G39-LOOKUP(G39,'Tax Assumptions'!$F$9:$F$15,'Tax Assumptions'!$F$9:$F$15))*LOOKUP(G39,'Tax Assumptions'!$F$9:$F$15,'Tax Assumptions'!$H$9:$H$15))</f>
        <v/>
      </c>
      <c r="I39" s="41">
        <f>IF(C39="Working",MIN(MAX(B39-E39,0),'Tax Assumptions'!$B$11)*'Tax Assumptions'!$B$10,0)</f>
        <v/>
      </c>
      <c r="J39" s="41">
        <f>IF(C39="Working",MAX(B39-E39,0)*'Tax Assumptions'!$B$12,0)</f>
        <v/>
      </c>
      <c r="K39" s="41">
        <f>IF(C39="Working",MAX(MAX(B39-E39,0)-'Tax Assumptions'!$B$14,0)*'Tax Assumptions'!$B$13,0)</f>
        <v/>
      </c>
      <c r="L39" s="42">
        <f>IF(C39="Working",MIN(B39*'Tax Assumptions'!$B$15,'Tax Assumptions'!$B$16),0)</f>
        <v/>
      </c>
      <c r="M39" s="42">
        <f>IF(C39="Working",MIN(B39*'Tax Assumptions'!$B$17,'Tax Assumptions'!$B$18),0)</f>
        <v/>
      </c>
      <c r="N39" s="41">
        <f>IF(C39="Working",MAX(B39-D39-'Tax Assumptions'!$B$9,0),0)</f>
        <v/>
      </c>
      <c r="O39" s="41">
        <f>IF(N39=0,0,LOOKUP(N39,'Tax Assumptions'!$K$9:$K$17,'Tax Assumptions'!$N$9:$N$17)+(N39-LOOKUP(N39,'Tax Assumptions'!$K$9:$K$17,'Tax Assumptions'!$K$9:$K$17))*LOOKUP(N39,'Tax Assumptions'!$K$9:$K$17,'Tax Assumptions'!$M$9:$M$17))</f>
        <v/>
      </c>
      <c r="P39" s="41">
        <f>IF(N39=0,0,LOOKUP(N39,'Tax Assumptions'!$P$9:$P$12,'Tax Assumptions'!$S$9:$S$12)+(N39-LOOKUP(N39,'Tax Assumptions'!$P$9:$P$12,'Tax Assumptions'!$P$9:$P$12))*LOOKUP(N39,'Tax Assumptions'!$P$9:$P$12,'Tax Assumptions'!$R$9:$R$12))</f>
        <v/>
      </c>
      <c r="Q39" s="41">
        <f>H39+I39+J39+K39+L39+M39+O39+P39</f>
        <v/>
      </c>
      <c r="R39" s="41">
        <f>IF(C39="Working",B39-D39-E39-F39-Q39,0)</f>
        <v/>
      </c>
      <c r="S39" s="36">
        <f>IF(C39="Working",IF(BL39="","",BL39*(1+'Model Inputs'!$B$35)^(AN39-1)),"")</f>
        <v/>
      </c>
      <c r="T39" s="36">
        <f>IF(C39="Working",IF(BM39="","",BM39*(1+'Model Inputs'!$B$36)^(AN39-1)),"")</f>
        <v/>
      </c>
      <c r="U39" s="41">
        <f>IF(C39="Working",R39-S39-T39,0)</f>
        <v/>
      </c>
      <c r="V39" s="41">
        <f>IF(C39="Working",MIN(MAX(U39,0),'Tax Assumptions'!$B$20),0)</f>
        <v/>
      </c>
      <c r="W39" s="41">
        <f>IF(C39="Working",U39-V39,0)</f>
        <v/>
      </c>
      <c r="X39" s="41">
        <f>IF(C39="Working",W39+V39+D39+E39,0)</f>
        <v/>
      </c>
      <c r="Y39" s="41">
        <f>IF(C39="Retired",$B$13,0)</f>
        <v/>
      </c>
      <c r="Z39" s="41">
        <f>AA39+AB39+AC39+AD39</f>
        <v/>
      </c>
      <c r="AA39" s="41">
        <f>IF(C39="Retired",MIN(Y39,((AE38)*(1+$B$15)+IF(C39="Working",W39,0))),0)</f>
        <v/>
      </c>
      <c r="AB39" s="41">
        <f>IF(C39="Retired",MIN(MAX(Y39-AA39,0),((AF38)*(1+$B$15)+IF(C39="Working",D39,0))),0)</f>
        <v/>
      </c>
      <c r="AC39" s="41">
        <f>IF(C39="Retired",MIN(MAX(Y39-AA39-AB39,0),((AG38)*(1+$B$15)+IF(C39="Working",V39,0))),0)</f>
        <v/>
      </c>
      <c r="AD39" s="41">
        <f>IF(C39="Retired",MIN(MAX(Y39-AA39-AB39-AC39,0),((AH38)*(1+$B$15)+IF(C39="Working",E39,0))),0)</f>
        <v/>
      </c>
      <c r="AE39" s="43">
        <f>MAX(((AE38)*(1+$B$15)+IF(C39="Working",W39,0))-AA39,0)</f>
        <v/>
      </c>
      <c r="AF39" s="43">
        <f>MAX(((AF38)*(1+$B$15)+IF(C39="Working",D39,0))-AB39,0)</f>
        <v/>
      </c>
      <c r="AG39" s="43">
        <f>MAX(((AG38)*(1+$B$15)+IF(C39="Working",V39,0))-AC39,0)</f>
        <v/>
      </c>
      <c r="AH39" s="43">
        <f>MAX(((AH38)*(1+$B$15)+IF(C39="Working",E39,0))-AD39,0)</f>
        <v/>
      </c>
      <c r="AI39" s="43">
        <f>AE39+AF39+AG39+AH39</f>
        <v/>
      </c>
      <c r="AJ39" s="43">
        <f>IF(C39="Working",AJ38+X39,MAX(AJ38-MIN(Y39,AJ38),0))</f>
        <v/>
      </c>
      <c r="AK39" s="43">
        <f>IF(C39="Working",AK38*(1+$B$16)+X39,MAX(AK38*(1+$B$16)-MIN(Y39,AK38*(1+$B$16)),0))</f>
        <v/>
      </c>
      <c r="AL39" s="44">
        <f>IF(C39="Working",IF(B39=0,0,W39/B39),0)</f>
        <v/>
      </c>
      <c r="AM39" s="44">
        <f>IF(C39="Working",IF(B39=0,0,X39/B39),0)</f>
        <v/>
      </c>
      <c r="AN39" s="169">
        <f>A39</f>
        <v/>
      </c>
      <c r="AO39" s="169">
        <f>'Model Inputs'!$B$22+AN39-1</f>
        <v/>
      </c>
      <c r="AP39" s="34">
        <f>IF(AND(AQ39="",AR39="",AX39="",BA39="",BC39=""),"",IF(AN39=1,(13-'Model Inputs'!$B$23)/12,1))</f>
        <v/>
      </c>
      <c r="AQ39" s="36">
        <f>IF(OR(AN39&lt;='Model Inputs'!$B$24,AR39&lt;&gt;"",AX39&lt;&gt;"",BA39&lt;&gt;"",BC39&lt;&gt;""),'Model Inputs'!$B$25*(1+'Model Inputs'!$B$31)^(AN39-1),"")</f>
        <v/>
      </c>
      <c r="AR39" s="195" t="n"/>
      <c r="AS39" s="36">
        <f>IF(AP39="","",IF(AR39="",AQ39,AR39))</f>
        <v/>
      </c>
      <c r="AT39" s="36">
        <f>IF(AS39="","",AP39*AS39)</f>
        <v/>
      </c>
      <c r="AU39" s="36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34">
        <f>IF(AU39="","",IF(AN39&lt;=2,0,'Model Inputs'!$B$32*SIN(2*PI()*(AN39-2+'Model Inputs'!$B$34)/MAX(1,'Model Inputs'!$B$33))))</f>
        <v/>
      </c>
      <c r="AW39" s="34" t="n"/>
      <c r="AX39" s="195" t="n"/>
      <c r="AY39" s="36">
        <f>IF(AP39="","",IF(BC39&lt;&gt;"",MAX(BC39-AT39-IF(AZ39="",0,AZ39)-IF(BA39="",0,BA39),0),IF(AX39&lt;&gt;"",AX39,AU39*(1+IF(AW39="",AV39,AW39)))))</f>
        <v/>
      </c>
      <c r="AZ39" s="36">
        <f>IF(AN39=1,'Model Inputs'!$B$26,"")</f>
        <v/>
      </c>
      <c r="BA39" s="195" t="n"/>
      <c r="BB39" s="36">
        <f>IF(AND(AS39="",AY39="",AZ39="",BA39="",BC39=""),"",IF(BC39&lt;&gt;"",BC39,AT39+IF(AY39="",0,AY39)+IF(AZ39="",0,AZ39)+IF(BA39="",0,BA39)))</f>
        <v/>
      </c>
      <c r="BC39" s="195" t="n"/>
      <c r="BL39" s="195">
        <f>IF(C39="Working",LOOKUP(2,1/($BL$19:BL38&lt;&gt;""),$BL$19:BL38),"")</f>
        <v/>
      </c>
      <c r="BM39" s="195">
        <f>IF(C39="Working",LOOKUP(2,1/($BM$19:BM38&lt;&gt;""),$BM$19:BM38),"")</f>
        <v/>
      </c>
    </row>
    <row r="40" ht="18" customHeight="1" s="326">
      <c r="A40" s="45" t="n">
        <v>22</v>
      </c>
      <c r="B40" s="46">
        <f>IF(BB40="","",BB40)</f>
        <v/>
      </c>
      <c r="C40" s="45">
        <f>IF(B40="","Retired","Working")</f>
        <v/>
      </c>
      <c r="D40" s="46">
        <f>IF(OR(C40="Retired",B40=""),0,MIN(B40,'Tax Assumptions'!$B$19))</f>
        <v/>
      </c>
      <c r="E40" s="36" t="n"/>
      <c r="F40" s="36" t="n"/>
      <c r="G40" s="46">
        <f>IF(C40="Working",MAX(B40-D40-E40-'Tax Assumptions'!$B$8,0),0)</f>
        <v/>
      </c>
      <c r="H40" s="46">
        <f>IF(G40=0,0,LOOKUP(G40,'Tax Assumptions'!$F$9:$F$15,'Tax Assumptions'!$I$9:$I$15)+(G40-LOOKUP(G40,'Tax Assumptions'!$F$9:$F$15,'Tax Assumptions'!$F$9:$F$15))*LOOKUP(G40,'Tax Assumptions'!$F$9:$F$15,'Tax Assumptions'!$H$9:$H$15))</f>
        <v/>
      </c>
      <c r="I40" s="46">
        <f>IF(C40="Working",MIN(MAX(B40-E40,0),'Tax Assumptions'!$B$11)*'Tax Assumptions'!$B$10,0)</f>
        <v/>
      </c>
      <c r="J40" s="46">
        <f>IF(C40="Working",MAX(B40-E40,0)*'Tax Assumptions'!$B$12,0)</f>
        <v/>
      </c>
      <c r="K40" s="46">
        <f>IF(C40="Working",MAX(MAX(B40-E40,0)-'Tax Assumptions'!$B$14,0)*'Tax Assumptions'!$B$13,0)</f>
        <v/>
      </c>
      <c r="L40" s="47">
        <f>IF(C40="Working",MIN(B40*'Tax Assumptions'!$B$15,'Tax Assumptions'!$B$16),0)</f>
        <v/>
      </c>
      <c r="M40" s="47">
        <f>IF(C40="Working",MIN(B40*'Tax Assumptions'!$B$17,'Tax Assumptions'!$B$18),0)</f>
        <v/>
      </c>
      <c r="N40" s="46">
        <f>IF(C40="Working",MAX(B40-D40-'Tax Assumptions'!$B$9,0),0)</f>
        <v/>
      </c>
      <c r="O40" s="46">
        <f>IF(N40=0,0,LOOKUP(N40,'Tax Assumptions'!$K$9:$K$17,'Tax Assumptions'!$N$9:$N$17)+(N40-LOOKUP(N40,'Tax Assumptions'!$K$9:$K$17,'Tax Assumptions'!$K$9:$K$17))*LOOKUP(N40,'Tax Assumptions'!$K$9:$K$17,'Tax Assumptions'!$M$9:$M$17))</f>
        <v/>
      </c>
      <c r="P40" s="46">
        <f>IF(N40=0,0,LOOKUP(N40,'Tax Assumptions'!$P$9:$P$12,'Tax Assumptions'!$S$9:$S$12)+(N40-LOOKUP(N40,'Tax Assumptions'!$P$9:$P$12,'Tax Assumptions'!$P$9:$P$12))*LOOKUP(N40,'Tax Assumptions'!$P$9:$P$12,'Tax Assumptions'!$R$9:$R$12))</f>
        <v/>
      </c>
      <c r="Q40" s="46">
        <f>H40+I40+J40+K40+L40+M40+O40+P40</f>
        <v/>
      </c>
      <c r="R40" s="46">
        <f>IF(C40="Working",B40-D40-E40-F40-Q40,0)</f>
        <v/>
      </c>
      <c r="S40" s="36">
        <f>IF(C40="Working",IF(BL40="","",BL40*(1+'Model Inputs'!$B$35)^(AN40-1)),"")</f>
        <v/>
      </c>
      <c r="T40" s="36">
        <f>IF(C40="Working",IF(BM40="","",BM40*(1+'Model Inputs'!$B$36)^(AN40-1)),"")</f>
        <v/>
      </c>
      <c r="U40" s="46">
        <f>IF(C40="Working",R40-S40-T40,0)</f>
        <v/>
      </c>
      <c r="V40" s="46">
        <f>IF(C40="Working",MIN(MAX(U40,0),'Tax Assumptions'!$B$20),0)</f>
        <v/>
      </c>
      <c r="W40" s="46">
        <f>IF(C40="Working",U40-V40,0)</f>
        <v/>
      </c>
      <c r="X40" s="46">
        <f>IF(C40="Working",W40+V40+D40+E40,0)</f>
        <v/>
      </c>
      <c r="Y40" s="46">
        <f>IF(C40="Retired",$B$13,0)</f>
        <v/>
      </c>
      <c r="Z40" s="46">
        <f>AA40+AB40+AC40+AD40</f>
        <v/>
      </c>
      <c r="AA40" s="46">
        <f>IF(C40="Retired",MIN(Y40,((AE39)*(1+$B$15)+IF(C40="Working",W40,0))),0)</f>
        <v/>
      </c>
      <c r="AB40" s="46">
        <f>IF(C40="Retired",MIN(MAX(Y40-AA40,0),((AF39)*(1+$B$15)+IF(C40="Working",D40,0))),0)</f>
        <v/>
      </c>
      <c r="AC40" s="46">
        <f>IF(C40="Retired",MIN(MAX(Y40-AA40-AB40,0),((AG39)*(1+$B$15)+IF(C40="Working",V40,0))),0)</f>
        <v/>
      </c>
      <c r="AD40" s="46">
        <f>IF(C40="Retired",MIN(MAX(Y40-AA40-AB40-AC40,0),((AH39)*(1+$B$15)+IF(C40="Working",E40,0))),0)</f>
        <v/>
      </c>
      <c r="AE40" s="43">
        <f>MAX(((AE39)*(1+$B$15)+IF(C40="Working",W40,0))-AA40,0)</f>
        <v/>
      </c>
      <c r="AF40" s="43">
        <f>MAX(((AF39)*(1+$B$15)+IF(C40="Working",D40,0))-AB40,0)</f>
        <v/>
      </c>
      <c r="AG40" s="43">
        <f>MAX(((AG39)*(1+$B$15)+IF(C40="Working",V40,0))-AC40,0)</f>
        <v/>
      </c>
      <c r="AH40" s="43">
        <f>MAX(((AH39)*(1+$B$15)+IF(C40="Working",E40,0))-AD40,0)</f>
        <v/>
      </c>
      <c r="AI40" s="43">
        <f>AE40+AF40+AG40+AH40</f>
        <v/>
      </c>
      <c r="AJ40" s="43">
        <f>IF(C40="Working",AJ39+X40,MAX(AJ39-MIN(Y40,AJ39),0))</f>
        <v/>
      </c>
      <c r="AK40" s="43">
        <f>IF(C40="Working",AK39*(1+$B$16)+X40,MAX(AK39*(1+$B$16)-MIN(Y40,AK39*(1+$B$16)),0))</f>
        <v/>
      </c>
      <c r="AL40" s="48">
        <f>IF(C40="Working",IF(B40=0,0,W40/B40),0)</f>
        <v/>
      </c>
      <c r="AM40" s="48">
        <f>IF(C40="Working",IF(B40=0,0,X40/B40),0)</f>
        <v/>
      </c>
      <c r="AN40" s="169">
        <f>A40</f>
        <v/>
      </c>
      <c r="AO40" s="169">
        <f>'Model Inputs'!$B$22+AN40-1</f>
        <v/>
      </c>
      <c r="AP40" s="34">
        <f>IF(AND(AQ40="",AR40="",AX40="",BA40="",BC40=""),"",IF(AN40=1,(13-'Model Inputs'!$B$23)/12,1))</f>
        <v/>
      </c>
      <c r="AQ40" s="36">
        <f>IF(OR(AN40&lt;='Model Inputs'!$B$24,AR40&lt;&gt;"",AX40&lt;&gt;"",BA40&lt;&gt;"",BC40&lt;&gt;""),'Model Inputs'!$B$25*(1+'Model Inputs'!$B$31)^(AN40-1),"")</f>
        <v/>
      </c>
      <c r="AR40" s="195" t="n"/>
      <c r="AS40" s="36">
        <f>IF(AP40="","",IF(AR40="",AQ40,AR40))</f>
        <v/>
      </c>
      <c r="AT40" s="36">
        <f>IF(AS40="","",AP40*AS40)</f>
        <v/>
      </c>
      <c r="AU40" s="36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34">
        <f>IF(AU40="","",IF(AN40&lt;=2,0,'Model Inputs'!$B$32*SIN(2*PI()*(AN40-2+'Model Inputs'!$B$34)/MAX(1,'Model Inputs'!$B$33))))</f>
        <v/>
      </c>
      <c r="AW40" s="34" t="n"/>
      <c r="AX40" s="195" t="n"/>
      <c r="AY40" s="36">
        <f>IF(AP40="","",IF(BC40&lt;&gt;"",MAX(BC40-AT40-IF(AZ40="",0,AZ40)-IF(BA40="",0,BA40),0),IF(AX40&lt;&gt;"",AX40,AU40*(1+IF(AW40="",AV40,AW40)))))</f>
        <v/>
      </c>
      <c r="AZ40" s="36">
        <f>IF(AN40=1,'Model Inputs'!$B$26,"")</f>
        <v/>
      </c>
      <c r="BA40" s="195" t="n"/>
      <c r="BB40" s="36">
        <f>IF(AND(AS40="",AY40="",AZ40="",BA40="",BC40=""),"",IF(BC40&lt;&gt;"",BC40,AT40+IF(AY40="",0,AY40)+IF(AZ40="",0,AZ40)+IF(BA40="",0,BA40)))</f>
        <v/>
      </c>
      <c r="BC40" s="195" t="n"/>
      <c r="BL40" s="195">
        <f>IF(C40="Working",LOOKUP(2,1/($BL$19:BL39&lt;&gt;""),$BL$19:BL39),"")</f>
        <v/>
      </c>
      <c r="BM40" s="195">
        <f>IF(C40="Working",LOOKUP(2,1/($BM$19:BM39&lt;&gt;""),$BM$19:BM39),"")</f>
        <v/>
      </c>
    </row>
    <row r="41" ht="18" customHeight="1" s="326">
      <c r="A41" s="40" t="n">
        <v>23</v>
      </c>
      <c r="B41" s="41">
        <f>IF(BB41="","",BB41)</f>
        <v/>
      </c>
      <c r="C41" s="40">
        <f>IF(B41="","Retired","Working")</f>
        <v/>
      </c>
      <c r="D41" s="41">
        <f>IF(OR(C41="Retired",B41=""),0,MIN(B41,'Tax Assumptions'!$B$19))</f>
        <v/>
      </c>
      <c r="E41" s="36" t="n"/>
      <c r="F41" s="36" t="n"/>
      <c r="G41" s="41">
        <f>IF(C41="Working",MAX(B41-D41-E41-'Tax Assumptions'!$B$8,0),0)</f>
        <v/>
      </c>
      <c r="H41" s="41">
        <f>IF(G41=0,0,LOOKUP(G41,'Tax Assumptions'!$F$9:$F$15,'Tax Assumptions'!$I$9:$I$15)+(G41-LOOKUP(G41,'Tax Assumptions'!$F$9:$F$15,'Tax Assumptions'!$F$9:$F$15))*LOOKUP(G41,'Tax Assumptions'!$F$9:$F$15,'Tax Assumptions'!$H$9:$H$15))</f>
        <v/>
      </c>
      <c r="I41" s="41">
        <f>IF(C41="Working",MIN(MAX(B41-E41,0),'Tax Assumptions'!$B$11)*'Tax Assumptions'!$B$10,0)</f>
        <v/>
      </c>
      <c r="J41" s="41">
        <f>IF(C41="Working",MAX(B41-E41,0)*'Tax Assumptions'!$B$12,0)</f>
        <v/>
      </c>
      <c r="K41" s="41">
        <f>IF(C41="Working",MAX(MAX(B41-E41,0)-'Tax Assumptions'!$B$14,0)*'Tax Assumptions'!$B$13,0)</f>
        <v/>
      </c>
      <c r="L41" s="42">
        <f>IF(C41="Working",MIN(B41*'Tax Assumptions'!$B$15,'Tax Assumptions'!$B$16),0)</f>
        <v/>
      </c>
      <c r="M41" s="42">
        <f>IF(C41="Working",MIN(B41*'Tax Assumptions'!$B$17,'Tax Assumptions'!$B$18),0)</f>
        <v/>
      </c>
      <c r="N41" s="41">
        <f>IF(C41="Working",MAX(B41-D41-'Tax Assumptions'!$B$9,0),0)</f>
        <v/>
      </c>
      <c r="O41" s="41">
        <f>IF(N41=0,0,LOOKUP(N41,'Tax Assumptions'!$K$9:$K$17,'Tax Assumptions'!$N$9:$N$17)+(N41-LOOKUP(N41,'Tax Assumptions'!$K$9:$K$17,'Tax Assumptions'!$K$9:$K$17))*LOOKUP(N41,'Tax Assumptions'!$K$9:$K$17,'Tax Assumptions'!$M$9:$M$17))</f>
        <v/>
      </c>
      <c r="P41" s="41">
        <f>IF(N41=0,0,LOOKUP(N41,'Tax Assumptions'!$P$9:$P$12,'Tax Assumptions'!$S$9:$S$12)+(N41-LOOKUP(N41,'Tax Assumptions'!$P$9:$P$12,'Tax Assumptions'!$P$9:$P$12))*LOOKUP(N41,'Tax Assumptions'!$P$9:$P$12,'Tax Assumptions'!$R$9:$R$12))</f>
        <v/>
      </c>
      <c r="Q41" s="41">
        <f>H41+I41+J41+K41+L41+M41+O41+P41</f>
        <v/>
      </c>
      <c r="R41" s="41">
        <f>IF(C41="Working",B41-D41-E41-F41-Q41,0)</f>
        <v/>
      </c>
      <c r="S41" s="36">
        <f>IF(C41="Working",IF(BL41="","",BL41*(1+'Model Inputs'!$B$35)^(AN41-1)),"")</f>
        <v/>
      </c>
      <c r="T41" s="36">
        <f>IF(C41="Working",IF(BM41="","",BM41*(1+'Model Inputs'!$B$36)^(AN41-1)),"")</f>
        <v/>
      </c>
      <c r="U41" s="41">
        <f>IF(C41="Working",R41-S41-T41,0)</f>
        <v/>
      </c>
      <c r="V41" s="41">
        <f>IF(C41="Working",MIN(MAX(U41,0),'Tax Assumptions'!$B$20),0)</f>
        <v/>
      </c>
      <c r="W41" s="41">
        <f>IF(C41="Working",U41-V41,0)</f>
        <v/>
      </c>
      <c r="X41" s="41">
        <f>IF(C41="Working",W41+V41+D41+E41,0)</f>
        <v/>
      </c>
      <c r="Y41" s="41">
        <f>IF(C41="Retired",$B$13,0)</f>
        <v/>
      </c>
      <c r="Z41" s="41">
        <f>AA41+AB41+AC41+AD41</f>
        <v/>
      </c>
      <c r="AA41" s="41">
        <f>IF(C41="Retired",MIN(Y41,((AE40)*(1+$B$15)+IF(C41="Working",W41,0))),0)</f>
        <v/>
      </c>
      <c r="AB41" s="41">
        <f>IF(C41="Retired",MIN(MAX(Y41-AA41,0),((AF40)*(1+$B$15)+IF(C41="Working",D41,0))),0)</f>
        <v/>
      </c>
      <c r="AC41" s="41">
        <f>IF(C41="Retired",MIN(MAX(Y41-AA41-AB41,0),((AG40)*(1+$B$15)+IF(C41="Working",V41,0))),0)</f>
        <v/>
      </c>
      <c r="AD41" s="41">
        <f>IF(C41="Retired",MIN(MAX(Y41-AA41-AB41-AC41,0),((AH40)*(1+$B$15)+IF(C41="Working",E41,0))),0)</f>
        <v/>
      </c>
      <c r="AE41" s="43">
        <f>MAX(((AE40)*(1+$B$15)+IF(C41="Working",W41,0))-AA41,0)</f>
        <v/>
      </c>
      <c r="AF41" s="43">
        <f>MAX(((AF40)*(1+$B$15)+IF(C41="Working",D41,0))-AB41,0)</f>
        <v/>
      </c>
      <c r="AG41" s="43">
        <f>MAX(((AG40)*(1+$B$15)+IF(C41="Working",V41,0))-AC41,0)</f>
        <v/>
      </c>
      <c r="AH41" s="43">
        <f>MAX(((AH40)*(1+$B$15)+IF(C41="Working",E41,0))-AD41,0)</f>
        <v/>
      </c>
      <c r="AI41" s="43">
        <f>AE41+AF41+AG41+AH41</f>
        <v/>
      </c>
      <c r="AJ41" s="43">
        <f>IF(C41="Working",AJ40+X41,MAX(AJ40-MIN(Y41,AJ40),0))</f>
        <v/>
      </c>
      <c r="AK41" s="43">
        <f>IF(C41="Working",AK40*(1+$B$16)+X41,MAX(AK40*(1+$B$16)-MIN(Y41,AK40*(1+$B$16)),0))</f>
        <v/>
      </c>
      <c r="AL41" s="44">
        <f>IF(C41="Working",IF(B41=0,0,W41/B41),0)</f>
        <v/>
      </c>
      <c r="AM41" s="44">
        <f>IF(C41="Working",IF(B41=0,0,X41/B41),0)</f>
        <v/>
      </c>
      <c r="AN41" s="169">
        <f>A41</f>
        <v/>
      </c>
      <c r="AO41" s="169">
        <f>'Model Inputs'!$B$22+AN41-1</f>
        <v/>
      </c>
      <c r="AP41" s="34">
        <f>IF(AND(AQ41="",AR41="",AX41="",BA41="",BC41=""),"",IF(AN41=1,(13-'Model Inputs'!$B$23)/12,1))</f>
        <v/>
      </c>
      <c r="AQ41" s="36">
        <f>IF(OR(AN41&lt;='Model Inputs'!$B$24,AR41&lt;&gt;"",AX41&lt;&gt;"",BA41&lt;&gt;"",BC41&lt;&gt;""),'Model Inputs'!$B$25*(1+'Model Inputs'!$B$31)^(AN41-1),"")</f>
        <v/>
      </c>
      <c r="AR41" s="195" t="n"/>
      <c r="AS41" s="36">
        <f>IF(AP41="","",IF(AR41="",AQ41,AR41))</f>
        <v/>
      </c>
      <c r="AT41" s="36">
        <f>IF(AS41="","",AP41*AS41)</f>
        <v/>
      </c>
      <c r="AU41" s="36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34">
        <f>IF(AU41="","",IF(AN41&lt;=2,0,'Model Inputs'!$B$32*SIN(2*PI()*(AN41-2+'Model Inputs'!$B$34)/MAX(1,'Model Inputs'!$B$33))))</f>
        <v/>
      </c>
      <c r="AW41" s="34" t="n"/>
      <c r="AX41" s="195" t="n"/>
      <c r="AY41" s="36">
        <f>IF(AP41="","",IF(BC41&lt;&gt;"",MAX(BC41-AT41-IF(AZ41="",0,AZ41)-IF(BA41="",0,BA41),0),IF(AX41&lt;&gt;"",AX41,AU41*(1+IF(AW41="",AV41,AW41)))))</f>
        <v/>
      </c>
      <c r="AZ41" s="36">
        <f>IF(AN41=1,'Model Inputs'!$B$26,"")</f>
        <v/>
      </c>
      <c r="BA41" s="195" t="n"/>
      <c r="BB41" s="36">
        <f>IF(AND(AS41="",AY41="",AZ41="",BA41="",BC41=""),"",IF(BC41&lt;&gt;"",BC41,AT41+IF(AY41="",0,AY41)+IF(AZ41="",0,AZ41)+IF(BA41="",0,BA41)))</f>
        <v/>
      </c>
      <c r="BC41" s="195" t="n"/>
      <c r="BL41" s="195">
        <f>IF(C41="Working",LOOKUP(2,1/($BL$19:BL40&lt;&gt;""),$BL$19:BL40),"")</f>
        <v/>
      </c>
      <c r="BM41" s="195">
        <f>IF(C41="Working",LOOKUP(2,1/($BM$19:BM40&lt;&gt;""),$BM$19:BM40),"")</f>
        <v/>
      </c>
    </row>
    <row r="42" ht="18" customHeight="1" s="326">
      <c r="A42" s="45" t="n">
        <v>24</v>
      </c>
      <c r="B42" s="46">
        <f>IF(BB42="","",BB42)</f>
        <v/>
      </c>
      <c r="C42" s="45">
        <f>IF(B42="","Retired","Working")</f>
        <v/>
      </c>
      <c r="D42" s="46">
        <f>IF(OR(C42="Retired",B42=""),0,MIN(B42,'Tax Assumptions'!$B$19))</f>
        <v/>
      </c>
      <c r="E42" s="36" t="n"/>
      <c r="F42" s="36" t="n"/>
      <c r="G42" s="46">
        <f>IF(C42="Working",MAX(B42-D42-E42-'Tax Assumptions'!$B$8,0),0)</f>
        <v/>
      </c>
      <c r="H42" s="46">
        <f>IF(G42=0,0,LOOKUP(G42,'Tax Assumptions'!$F$9:$F$15,'Tax Assumptions'!$I$9:$I$15)+(G42-LOOKUP(G42,'Tax Assumptions'!$F$9:$F$15,'Tax Assumptions'!$F$9:$F$15))*LOOKUP(G42,'Tax Assumptions'!$F$9:$F$15,'Tax Assumptions'!$H$9:$H$15))</f>
        <v/>
      </c>
      <c r="I42" s="46">
        <f>IF(C42="Working",MIN(MAX(B42-E42,0),'Tax Assumptions'!$B$11)*'Tax Assumptions'!$B$10,0)</f>
        <v/>
      </c>
      <c r="J42" s="46">
        <f>IF(C42="Working",MAX(B42-E42,0)*'Tax Assumptions'!$B$12,0)</f>
        <v/>
      </c>
      <c r="K42" s="46">
        <f>IF(C42="Working",MAX(MAX(B42-E42,0)-'Tax Assumptions'!$B$14,0)*'Tax Assumptions'!$B$13,0)</f>
        <v/>
      </c>
      <c r="L42" s="47">
        <f>IF(C42="Working",MIN(B42*'Tax Assumptions'!$B$15,'Tax Assumptions'!$B$16),0)</f>
        <v/>
      </c>
      <c r="M42" s="47">
        <f>IF(C42="Working",MIN(B42*'Tax Assumptions'!$B$17,'Tax Assumptions'!$B$18),0)</f>
        <v/>
      </c>
      <c r="N42" s="46">
        <f>IF(C42="Working",MAX(B42-D42-'Tax Assumptions'!$B$9,0),0)</f>
        <v/>
      </c>
      <c r="O42" s="46">
        <f>IF(N42=0,0,LOOKUP(N42,'Tax Assumptions'!$K$9:$K$17,'Tax Assumptions'!$N$9:$N$17)+(N42-LOOKUP(N42,'Tax Assumptions'!$K$9:$K$17,'Tax Assumptions'!$K$9:$K$17))*LOOKUP(N42,'Tax Assumptions'!$K$9:$K$17,'Tax Assumptions'!$M$9:$M$17))</f>
        <v/>
      </c>
      <c r="P42" s="46">
        <f>IF(N42=0,0,LOOKUP(N42,'Tax Assumptions'!$P$9:$P$12,'Tax Assumptions'!$S$9:$S$12)+(N42-LOOKUP(N42,'Tax Assumptions'!$P$9:$P$12,'Tax Assumptions'!$P$9:$P$12))*LOOKUP(N42,'Tax Assumptions'!$P$9:$P$12,'Tax Assumptions'!$R$9:$R$12))</f>
        <v/>
      </c>
      <c r="Q42" s="46">
        <f>H42+I42+J42+K42+L42+M42+O42+P42</f>
        <v/>
      </c>
      <c r="R42" s="46">
        <f>IF(C42="Working",B42-D42-E42-F42-Q42,0)</f>
        <v/>
      </c>
      <c r="S42" s="36">
        <f>IF(C42="Working",IF(BL42="","",BL42*(1+'Model Inputs'!$B$35)^(AN42-1)),"")</f>
        <v/>
      </c>
      <c r="T42" s="36">
        <f>IF(C42="Working",IF(BM42="","",BM42*(1+'Model Inputs'!$B$36)^(AN42-1)),"")</f>
        <v/>
      </c>
      <c r="U42" s="46">
        <f>IF(C42="Working",R42-S42-T42,0)</f>
        <v/>
      </c>
      <c r="V42" s="46">
        <f>IF(C42="Working",MIN(MAX(U42,0),'Tax Assumptions'!$B$20),0)</f>
        <v/>
      </c>
      <c r="W42" s="46">
        <f>IF(C42="Working",U42-V42,0)</f>
        <v/>
      </c>
      <c r="X42" s="46">
        <f>IF(C42="Working",W42+V42+D42+E42,0)</f>
        <v/>
      </c>
      <c r="Y42" s="46">
        <f>IF(C42="Retired",$B$13,0)</f>
        <v/>
      </c>
      <c r="Z42" s="46">
        <f>AA42+AB42+AC42+AD42</f>
        <v/>
      </c>
      <c r="AA42" s="46">
        <f>IF(C42="Retired",MIN(Y42,((AE41)*(1+$B$15)+IF(C42="Working",W42,0))),0)</f>
        <v/>
      </c>
      <c r="AB42" s="46">
        <f>IF(C42="Retired",MIN(MAX(Y42-AA42,0),((AF41)*(1+$B$15)+IF(C42="Working",D42,0))),0)</f>
        <v/>
      </c>
      <c r="AC42" s="46">
        <f>IF(C42="Retired",MIN(MAX(Y42-AA42-AB42,0),((AG41)*(1+$B$15)+IF(C42="Working",V42,0))),0)</f>
        <v/>
      </c>
      <c r="AD42" s="46">
        <f>IF(C42="Retired",MIN(MAX(Y42-AA42-AB42-AC42,0),((AH41)*(1+$B$15)+IF(C42="Working",E42,0))),0)</f>
        <v/>
      </c>
      <c r="AE42" s="43">
        <f>MAX(((AE41)*(1+$B$15)+IF(C42="Working",W42,0))-AA42,0)</f>
        <v/>
      </c>
      <c r="AF42" s="43">
        <f>MAX(((AF41)*(1+$B$15)+IF(C42="Working",D42,0))-AB42,0)</f>
        <v/>
      </c>
      <c r="AG42" s="43">
        <f>MAX(((AG41)*(1+$B$15)+IF(C42="Working",V42,0))-AC42,0)</f>
        <v/>
      </c>
      <c r="AH42" s="43">
        <f>MAX(((AH41)*(1+$B$15)+IF(C42="Working",E42,0))-AD42,0)</f>
        <v/>
      </c>
      <c r="AI42" s="43">
        <f>AE42+AF42+AG42+AH42</f>
        <v/>
      </c>
      <c r="AJ42" s="43">
        <f>IF(C42="Working",AJ41+X42,MAX(AJ41-MIN(Y42,AJ41),0))</f>
        <v/>
      </c>
      <c r="AK42" s="43">
        <f>IF(C42="Working",AK41*(1+$B$16)+X42,MAX(AK41*(1+$B$16)-MIN(Y42,AK41*(1+$B$16)),0))</f>
        <v/>
      </c>
      <c r="AL42" s="48">
        <f>IF(C42="Working",IF(B42=0,0,W42/B42),0)</f>
        <v/>
      </c>
      <c r="AM42" s="48">
        <f>IF(C42="Working",IF(B42=0,0,X42/B42),0)</f>
        <v/>
      </c>
      <c r="AN42" s="169">
        <f>A42</f>
        <v/>
      </c>
      <c r="AO42" s="169">
        <f>'Model Inputs'!$B$22+AN42-1</f>
        <v/>
      </c>
      <c r="AP42" s="34">
        <f>IF(AND(AQ42="",AR42="",AX42="",BA42="",BC42=""),"",IF(AN42=1,(13-'Model Inputs'!$B$23)/12,1))</f>
        <v/>
      </c>
      <c r="AQ42" s="36">
        <f>IF(OR(AN42&lt;='Model Inputs'!$B$24,AR42&lt;&gt;"",AX42&lt;&gt;"",BA42&lt;&gt;"",BC42&lt;&gt;""),'Model Inputs'!$B$25*(1+'Model Inputs'!$B$31)^(AN42-1),"")</f>
        <v/>
      </c>
      <c r="AR42" s="195" t="n"/>
      <c r="AS42" s="36">
        <f>IF(AP42="","",IF(AR42="",AQ42,AR42))</f>
        <v/>
      </c>
      <c r="AT42" s="36">
        <f>IF(AS42="","",AP42*AS42)</f>
        <v/>
      </c>
      <c r="AU42" s="36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34">
        <f>IF(AU42="","",IF(AN42&lt;=2,0,'Model Inputs'!$B$32*SIN(2*PI()*(AN42-2+'Model Inputs'!$B$34)/MAX(1,'Model Inputs'!$B$33))))</f>
        <v/>
      </c>
      <c r="AW42" s="34" t="n"/>
      <c r="AX42" s="195" t="n"/>
      <c r="AY42" s="36">
        <f>IF(AP42="","",IF(BC42&lt;&gt;"",MAX(BC42-AT42-IF(AZ42="",0,AZ42)-IF(BA42="",0,BA42),0),IF(AX42&lt;&gt;"",AX42,AU42*(1+IF(AW42="",AV42,AW42)))))</f>
        <v/>
      </c>
      <c r="AZ42" s="36">
        <f>IF(AN42=1,'Model Inputs'!$B$26,"")</f>
        <v/>
      </c>
      <c r="BA42" s="195" t="n"/>
      <c r="BB42" s="36">
        <f>IF(AND(AS42="",AY42="",AZ42="",BA42="",BC42=""),"",IF(BC42&lt;&gt;"",BC42,AT42+IF(AY42="",0,AY42)+IF(AZ42="",0,AZ42)+IF(BA42="",0,BA42)))</f>
        <v/>
      </c>
      <c r="BC42" s="195" t="n"/>
      <c r="BL42" s="195">
        <f>IF(C42="Working",LOOKUP(2,1/($BL$19:BL41&lt;&gt;""),$BL$19:BL41),"")</f>
        <v/>
      </c>
      <c r="BM42" s="195">
        <f>IF(C42="Working",LOOKUP(2,1/($BM$19:BM41&lt;&gt;""),$BM$19:BM41),"")</f>
        <v/>
      </c>
    </row>
    <row r="43" ht="18" customHeight="1" s="326">
      <c r="A43" s="40" t="n">
        <v>25</v>
      </c>
      <c r="B43" s="41">
        <f>IF(BB43="","",BB43)</f>
        <v/>
      </c>
      <c r="C43" s="40">
        <f>IF(B43="","Retired","Working")</f>
        <v/>
      </c>
      <c r="D43" s="41">
        <f>IF(OR(C43="Retired",B43=""),0,MIN(B43,'Tax Assumptions'!$B$19))</f>
        <v/>
      </c>
      <c r="E43" s="36" t="n"/>
      <c r="F43" s="36" t="n"/>
      <c r="G43" s="41">
        <f>IF(C43="Working",MAX(B43-D43-E43-'Tax Assumptions'!$B$8,0),0)</f>
        <v/>
      </c>
      <c r="H43" s="41">
        <f>IF(G43=0,0,LOOKUP(G43,'Tax Assumptions'!$F$9:$F$15,'Tax Assumptions'!$I$9:$I$15)+(G43-LOOKUP(G43,'Tax Assumptions'!$F$9:$F$15,'Tax Assumptions'!$F$9:$F$15))*LOOKUP(G43,'Tax Assumptions'!$F$9:$F$15,'Tax Assumptions'!$H$9:$H$15))</f>
        <v/>
      </c>
      <c r="I43" s="41">
        <f>IF(C43="Working",MIN(MAX(B43-E43,0),'Tax Assumptions'!$B$11)*'Tax Assumptions'!$B$10,0)</f>
        <v/>
      </c>
      <c r="J43" s="41">
        <f>IF(C43="Working",MAX(B43-E43,0)*'Tax Assumptions'!$B$12,0)</f>
        <v/>
      </c>
      <c r="K43" s="41">
        <f>IF(C43="Working",MAX(MAX(B43-E43,0)-'Tax Assumptions'!$B$14,0)*'Tax Assumptions'!$B$13,0)</f>
        <v/>
      </c>
      <c r="L43" s="42">
        <f>IF(C43="Working",MIN(B43*'Tax Assumptions'!$B$15,'Tax Assumptions'!$B$16),0)</f>
        <v/>
      </c>
      <c r="M43" s="42">
        <f>IF(C43="Working",MIN(B43*'Tax Assumptions'!$B$17,'Tax Assumptions'!$B$18),0)</f>
        <v/>
      </c>
      <c r="N43" s="41">
        <f>IF(C43="Working",MAX(B43-D43-'Tax Assumptions'!$B$9,0),0)</f>
        <v/>
      </c>
      <c r="O43" s="41">
        <f>IF(N43=0,0,LOOKUP(N43,'Tax Assumptions'!$K$9:$K$17,'Tax Assumptions'!$N$9:$N$17)+(N43-LOOKUP(N43,'Tax Assumptions'!$K$9:$K$17,'Tax Assumptions'!$K$9:$K$17))*LOOKUP(N43,'Tax Assumptions'!$K$9:$K$17,'Tax Assumptions'!$M$9:$M$17))</f>
        <v/>
      </c>
      <c r="P43" s="41">
        <f>IF(N43=0,0,LOOKUP(N43,'Tax Assumptions'!$P$9:$P$12,'Tax Assumptions'!$S$9:$S$12)+(N43-LOOKUP(N43,'Tax Assumptions'!$P$9:$P$12,'Tax Assumptions'!$P$9:$P$12))*LOOKUP(N43,'Tax Assumptions'!$P$9:$P$12,'Tax Assumptions'!$R$9:$R$12))</f>
        <v/>
      </c>
      <c r="Q43" s="41">
        <f>H43+I43+J43+K43+L43+M43+O43+P43</f>
        <v/>
      </c>
      <c r="R43" s="41">
        <f>IF(C43="Working",B43-D43-E43-F43-Q43,0)</f>
        <v/>
      </c>
      <c r="S43" s="36">
        <f>IF(C43="Working",IF(BL43="","",BL43*(1+'Model Inputs'!$B$35)^(AN43-1)),"")</f>
        <v/>
      </c>
      <c r="T43" s="36">
        <f>IF(C43="Working",IF(BM43="","",BM43*(1+'Model Inputs'!$B$36)^(AN43-1)),"")</f>
        <v/>
      </c>
      <c r="U43" s="41">
        <f>IF(C43="Working",R43-S43-T43,0)</f>
        <v/>
      </c>
      <c r="V43" s="41">
        <f>IF(C43="Working",MIN(MAX(U43,0),'Tax Assumptions'!$B$20),0)</f>
        <v/>
      </c>
      <c r="W43" s="41">
        <f>IF(C43="Working",U43-V43,0)</f>
        <v/>
      </c>
      <c r="X43" s="41">
        <f>IF(C43="Working",W43+V43+D43+E43,0)</f>
        <v/>
      </c>
      <c r="Y43" s="41">
        <f>IF(C43="Retired",$B$13,0)</f>
        <v/>
      </c>
      <c r="Z43" s="41">
        <f>AA43+AB43+AC43+AD43</f>
        <v/>
      </c>
      <c r="AA43" s="41">
        <f>IF(C43="Retired",MIN(Y43,((AE42)*(1+$B$15)+IF(C43="Working",W43,0))),0)</f>
        <v/>
      </c>
      <c r="AB43" s="41">
        <f>IF(C43="Retired",MIN(MAX(Y43-AA43,0),((AF42)*(1+$B$15)+IF(C43="Working",D43,0))),0)</f>
        <v/>
      </c>
      <c r="AC43" s="41">
        <f>IF(C43="Retired",MIN(MAX(Y43-AA43-AB43,0),((AG42)*(1+$B$15)+IF(C43="Working",V43,0))),0)</f>
        <v/>
      </c>
      <c r="AD43" s="41">
        <f>IF(C43="Retired",MIN(MAX(Y43-AA43-AB43-AC43,0),((AH42)*(1+$B$15)+IF(C43="Working",E43,0))),0)</f>
        <v/>
      </c>
      <c r="AE43" s="43">
        <f>MAX(((AE42)*(1+$B$15)+IF(C43="Working",W43,0))-AA43,0)</f>
        <v/>
      </c>
      <c r="AF43" s="43">
        <f>MAX(((AF42)*(1+$B$15)+IF(C43="Working",D43,0))-AB43,0)</f>
        <v/>
      </c>
      <c r="AG43" s="43">
        <f>MAX(((AG42)*(1+$B$15)+IF(C43="Working",V43,0))-AC43,0)</f>
        <v/>
      </c>
      <c r="AH43" s="43">
        <f>MAX(((AH42)*(1+$B$15)+IF(C43="Working",E43,0))-AD43,0)</f>
        <v/>
      </c>
      <c r="AI43" s="43">
        <f>AE43+AF43+AG43+AH43</f>
        <v/>
      </c>
      <c r="AJ43" s="43">
        <f>IF(C43="Working",AJ42+X43,MAX(AJ42-MIN(Y43,AJ42),0))</f>
        <v/>
      </c>
      <c r="AK43" s="43">
        <f>IF(C43="Working",AK42*(1+$B$16)+X43,MAX(AK42*(1+$B$16)-MIN(Y43,AK42*(1+$B$16)),0))</f>
        <v/>
      </c>
      <c r="AL43" s="44">
        <f>IF(C43="Working",IF(B43=0,0,W43/B43),0)</f>
        <v/>
      </c>
      <c r="AM43" s="44">
        <f>IF(C43="Working",IF(B43=0,0,X43/B43),0)</f>
        <v/>
      </c>
      <c r="AN43" s="169">
        <f>A43</f>
        <v/>
      </c>
      <c r="AO43" s="169">
        <f>'Model Inputs'!$B$22+AN43-1</f>
        <v/>
      </c>
      <c r="AP43" s="34">
        <f>IF(AND(AQ43="",AR43="",AX43="",BA43="",BC43=""),"",IF(AN43=1,(13-'Model Inputs'!$B$23)/12,1))</f>
        <v/>
      </c>
      <c r="AQ43" s="36">
        <f>IF(OR(AN43&lt;='Model Inputs'!$B$24,AR43&lt;&gt;"",AX43&lt;&gt;"",BA43&lt;&gt;"",BC43&lt;&gt;""),'Model Inputs'!$B$25*(1+'Model Inputs'!$B$31)^(AN43-1),"")</f>
        <v/>
      </c>
      <c r="AR43" s="195" t="n"/>
      <c r="AS43" s="36">
        <f>IF(AP43="","",IF(AR43="",AQ43,AR43))</f>
        <v/>
      </c>
      <c r="AT43" s="36">
        <f>IF(AS43="","",AP43*AS43)</f>
        <v/>
      </c>
      <c r="AU43" s="36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34">
        <f>IF(AU43="","",IF(AN43&lt;=2,0,'Model Inputs'!$B$32*SIN(2*PI()*(AN43-2+'Model Inputs'!$B$34)/MAX(1,'Model Inputs'!$B$33))))</f>
        <v/>
      </c>
      <c r="AW43" s="34" t="n"/>
      <c r="AX43" s="195" t="n"/>
      <c r="AY43" s="36">
        <f>IF(AP43="","",IF(BC43&lt;&gt;"",MAX(BC43-AT43-IF(AZ43="",0,AZ43)-IF(BA43="",0,BA43),0),IF(AX43&lt;&gt;"",AX43,AU43*(1+IF(AW43="",AV43,AW43)))))</f>
        <v/>
      </c>
      <c r="AZ43" s="36">
        <f>IF(AN43=1,'Model Inputs'!$B$26,"")</f>
        <v/>
      </c>
      <c r="BA43" s="195" t="n"/>
      <c r="BB43" s="36">
        <f>IF(AND(AS43="",AY43="",AZ43="",BA43="",BC43=""),"",IF(BC43&lt;&gt;"",BC43,AT43+IF(AY43="",0,AY43)+IF(AZ43="",0,AZ43)+IF(BA43="",0,BA43)))</f>
        <v/>
      </c>
      <c r="BC43" s="195" t="n"/>
      <c r="BL43" s="195">
        <f>IF(C43="Working",LOOKUP(2,1/($BL$19:BL42&lt;&gt;""),$BL$19:BL42),"")</f>
        <v/>
      </c>
      <c r="BM43" s="195">
        <f>IF(C43="Working",LOOKUP(2,1/($BM$19:BM42&lt;&gt;""),$BM$19:BM42),"")</f>
        <v/>
      </c>
    </row>
    <row r="44" ht="18" customHeight="1" s="326">
      <c r="A44" s="45" t="n">
        <v>26</v>
      </c>
      <c r="B44" s="46">
        <f>IF(BB44="","",BB44)</f>
        <v/>
      </c>
      <c r="C44" s="45">
        <f>IF(B44="","Retired","Working")</f>
        <v/>
      </c>
      <c r="D44" s="46">
        <f>IF(OR(C44="Retired",B44=""),0,MIN(B44,'Tax Assumptions'!$B$19))</f>
        <v/>
      </c>
      <c r="E44" s="36" t="n"/>
      <c r="F44" s="36" t="n"/>
      <c r="G44" s="46">
        <f>IF(C44="Working",MAX(B44-D44-E44-'Tax Assumptions'!$B$8,0),0)</f>
        <v/>
      </c>
      <c r="H44" s="46">
        <f>IF(G44=0,0,LOOKUP(G44,'Tax Assumptions'!$F$9:$F$15,'Tax Assumptions'!$I$9:$I$15)+(G44-LOOKUP(G44,'Tax Assumptions'!$F$9:$F$15,'Tax Assumptions'!$F$9:$F$15))*LOOKUP(G44,'Tax Assumptions'!$F$9:$F$15,'Tax Assumptions'!$H$9:$H$15))</f>
        <v/>
      </c>
      <c r="I44" s="46">
        <f>IF(C44="Working",MIN(MAX(B44-E44,0),'Tax Assumptions'!$B$11)*'Tax Assumptions'!$B$10,0)</f>
        <v/>
      </c>
      <c r="J44" s="46">
        <f>IF(C44="Working",MAX(B44-E44,0)*'Tax Assumptions'!$B$12,0)</f>
        <v/>
      </c>
      <c r="K44" s="46">
        <f>IF(C44="Working",MAX(MAX(B44-E44,0)-'Tax Assumptions'!$B$14,0)*'Tax Assumptions'!$B$13,0)</f>
        <v/>
      </c>
      <c r="L44" s="47">
        <f>IF(C44="Working",MIN(B44*'Tax Assumptions'!$B$15,'Tax Assumptions'!$B$16),0)</f>
        <v/>
      </c>
      <c r="M44" s="47">
        <f>IF(C44="Working",MIN(B44*'Tax Assumptions'!$B$17,'Tax Assumptions'!$B$18),0)</f>
        <v/>
      </c>
      <c r="N44" s="46">
        <f>IF(C44="Working",MAX(B44-D44-'Tax Assumptions'!$B$9,0),0)</f>
        <v/>
      </c>
      <c r="O44" s="46">
        <f>IF(N44=0,0,LOOKUP(N44,'Tax Assumptions'!$K$9:$K$17,'Tax Assumptions'!$N$9:$N$17)+(N44-LOOKUP(N44,'Tax Assumptions'!$K$9:$K$17,'Tax Assumptions'!$K$9:$K$17))*LOOKUP(N44,'Tax Assumptions'!$K$9:$K$17,'Tax Assumptions'!$M$9:$M$17))</f>
        <v/>
      </c>
      <c r="P44" s="46">
        <f>IF(N44=0,0,LOOKUP(N44,'Tax Assumptions'!$P$9:$P$12,'Tax Assumptions'!$S$9:$S$12)+(N44-LOOKUP(N44,'Tax Assumptions'!$P$9:$P$12,'Tax Assumptions'!$P$9:$P$12))*LOOKUP(N44,'Tax Assumptions'!$P$9:$P$12,'Tax Assumptions'!$R$9:$R$12))</f>
        <v/>
      </c>
      <c r="Q44" s="46">
        <f>H44+I44+J44+K44+L44+M44+O44+P44</f>
        <v/>
      </c>
      <c r="R44" s="46">
        <f>IF(C44="Working",B44-D44-E44-F44-Q44,0)</f>
        <v/>
      </c>
      <c r="S44" s="36">
        <f>IF(C44="Working",IF(BL44="","",BL44*(1+'Model Inputs'!$B$35)^(AN44-1)),"")</f>
        <v/>
      </c>
      <c r="T44" s="36">
        <f>IF(C44="Working",IF(BM44="","",BM44*(1+'Model Inputs'!$B$36)^(AN44-1)),"")</f>
        <v/>
      </c>
      <c r="U44" s="46">
        <f>IF(C44="Working",R44-S44-T44,0)</f>
        <v/>
      </c>
      <c r="V44" s="46">
        <f>IF(C44="Working",MIN(MAX(U44,0),'Tax Assumptions'!$B$20),0)</f>
        <v/>
      </c>
      <c r="W44" s="46">
        <f>IF(C44="Working",U44-V44,0)</f>
        <v/>
      </c>
      <c r="X44" s="46">
        <f>IF(C44="Working",W44+V44+D44+E44,0)</f>
        <v/>
      </c>
      <c r="Y44" s="46">
        <f>IF(C44="Retired",$B$13,0)</f>
        <v/>
      </c>
      <c r="Z44" s="46">
        <f>AA44+AB44+AC44+AD44</f>
        <v/>
      </c>
      <c r="AA44" s="46">
        <f>IF(C44="Retired",MIN(Y44,((AE43)*(1+$B$15)+IF(C44="Working",W44,0))),0)</f>
        <v/>
      </c>
      <c r="AB44" s="46">
        <f>IF(C44="Retired",MIN(MAX(Y44-AA44,0),((AF43)*(1+$B$15)+IF(C44="Working",D44,0))),0)</f>
        <v/>
      </c>
      <c r="AC44" s="46">
        <f>IF(C44="Retired",MIN(MAX(Y44-AA44-AB44,0),((AG43)*(1+$B$15)+IF(C44="Working",V44,0))),0)</f>
        <v/>
      </c>
      <c r="AD44" s="46">
        <f>IF(C44="Retired",MIN(MAX(Y44-AA44-AB44-AC44,0),((AH43)*(1+$B$15)+IF(C44="Working",E44,0))),0)</f>
        <v/>
      </c>
      <c r="AE44" s="43">
        <f>MAX(((AE43)*(1+$B$15)+IF(C44="Working",W44,0))-AA44,0)</f>
        <v/>
      </c>
      <c r="AF44" s="43">
        <f>MAX(((AF43)*(1+$B$15)+IF(C44="Working",D44,0))-AB44,0)</f>
        <v/>
      </c>
      <c r="AG44" s="43">
        <f>MAX(((AG43)*(1+$B$15)+IF(C44="Working",V44,0))-AC44,0)</f>
        <v/>
      </c>
      <c r="AH44" s="43">
        <f>MAX(((AH43)*(1+$B$15)+IF(C44="Working",E44,0))-AD44,0)</f>
        <v/>
      </c>
      <c r="AI44" s="43">
        <f>AE44+AF44+AG44+AH44</f>
        <v/>
      </c>
      <c r="AJ44" s="43">
        <f>IF(C44="Working",AJ43+X44,MAX(AJ43-MIN(Y44,AJ43),0))</f>
        <v/>
      </c>
      <c r="AK44" s="43">
        <f>IF(C44="Working",AK43*(1+$B$16)+X44,MAX(AK43*(1+$B$16)-MIN(Y44,AK43*(1+$B$16)),0))</f>
        <v/>
      </c>
      <c r="AL44" s="48">
        <f>IF(C44="Working",IF(B44=0,0,W44/B44),0)</f>
        <v/>
      </c>
      <c r="AM44" s="48">
        <f>IF(C44="Working",IF(B44=0,0,X44/B44),0)</f>
        <v/>
      </c>
      <c r="AN44" s="169">
        <f>A44</f>
        <v/>
      </c>
      <c r="AO44" s="169">
        <f>'Model Inputs'!$B$22+AN44-1</f>
        <v/>
      </c>
      <c r="AP44" s="34">
        <f>IF(AND(AQ44="",AR44="",AX44="",BA44="",BC44=""),"",IF(AN44=1,(13-'Model Inputs'!$B$23)/12,1))</f>
        <v/>
      </c>
      <c r="AQ44" s="36">
        <f>IF(OR(AN44&lt;='Model Inputs'!$B$24,AR44&lt;&gt;"",AX44&lt;&gt;"",BA44&lt;&gt;"",BC44&lt;&gt;""),'Model Inputs'!$B$25*(1+'Model Inputs'!$B$31)^(AN44-1),"")</f>
        <v/>
      </c>
      <c r="AR44" s="195" t="n"/>
      <c r="AS44" s="36">
        <f>IF(AP44="","",IF(AR44="",AQ44,AR44))</f>
        <v/>
      </c>
      <c r="AT44" s="36">
        <f>IF(AS44="","",AP44*AS44)</f>
        <v/>
      </c>
      <c r="AU44" s="36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34">
        <f>IF(AU44="","",IF(AN44&lt;=2,0,'Model Inputs'!$B$32*SIN(2*PI()*(AN44-2+'Model Inputs'!$B$34)/MAX(1,'Model Inputs'!$B$33))))</f>
        <v/>
      </c>
      <c r="AW44" s="34" t="n"/>
      <c r="AX44" s="195" t="n"/>
      <c r="AY44" s="36">
        <f>IF(AP44="","",IF(BC44&lt;&gt;"",MAX(BC44-AT44-IF(AZ44="",0,AZ44)-IF(BA44="",0,BA44),0),IF(AX44&lt;&gt;"",AX44,AU44*(1+IF(AW44="",AV44,AW44)))))</f>
        <v/>
      </c>
      <c r="AZ44" s="36">
        <f>IF(AN44=1,'Model Inputs'!$B$26,"")</f>
        <v/>
      </c>
      <c r="BA44" s="195" t="n"/>
      <c r="BB44" s="36">
        <f>IF(AND(AS44="",AY44="",AZ44="",BA44="",BC44=""),"",IF(BC44&lt;&gt;"",BC44,AT44+IF(AY44="",0,AY44)+IF(AZ44="",0,AZ44)+IF(BA44="",0,BA44)))</f>
        <v/>
      </c>
      <c r="BC44" s="195" t="n"/>
      <c r="BL44" s="195">
        <f>IF(C44="Working",LOOKUP(2,1/($BL$19:BL43&lt;&gt;""),$BL$19:BL43),"")</f>
        <v/>
      </c>
      <c r="BM44" s="195">
        <f>IF(C44="Working",LOOKUP(2,1/($BM$19:BM43&lt;&gt;""),$BM$19:BM43),"")</f>
        <v/>
      </c>
    </row>
    <row r="45" ht="18" customHeight="1" s="326">
      <c r="A45" s="40" t="n">
        <v>27</v>
      </c>
      <c r="B45" s="41">
        <f>IF(BB45="","",BB45)</f>
        <v/>
      </c>
      <c r="C45" s="40">
        <f>IF(B45="","Retired","Working")</f>
        <v/>
      </c>
      <c r="D45" s="41">
        <f>IF(OR(C45="Retired",B45=""),0,MIN(B45,'Tax Assumptions'!$B$19))</f>
        <v/>
      </c>
      <c r="E45" s="36" t="n"/>
      <c r="F45" s="36" t="n"/>
      <c r="G45" s="41">
        <f>IF(C45="Working",MAX(B45-D45-E45-'Tax Assumptions'!$B$8,0),0)</f>
        <v/>
      </c>
      <c r="H45" s="41">
        <f>IF(G45=0,0,LOOKUP(G45,'Tax Assumptions'!$F$9:$F$15,'Tax Assumptions'!$I$9:$I$15)+(G45-LOOKUP(G45,'Tax Assumptions'!$F$9:$F$15,'Tax Assumptions'!$F$9:$F$15))*LOOKUP(G45,'Tax Assumptions'!$F$9:$F$15,'Tax Assumptions'!$H$9:$H$15))</f>
        <v/>
      </c>
      <c r="I45" s="41">
        <f>IF(C45="Working",MIN(MAX(B45-E45,0),'Tax Assumptions'!$B$11)*'Tax Assumptions'!$B$10,0)</f>
        <v/>
      </c>
      <c r="J45" s="41">
        <f>IF(C45="Working",MAX(B45-E45,0)*'Tax Assumptions'!$B$12,0)</f>
        <v/>
      </c>
      <c r="K45" s="41">
        <f>IF(C45="Working",MAX(MAX(B45-E45,0)-'Tax Assumptions'!$B$14,0)*'Tax Assumptions'!$B$13,0)</f>
        <v/>
      </c>
      <c r="L45" s="42">
        <f>IF(C45="Working",MIN(B45*'Tax Assumptions'!$B$15,'Tax Assumptions'!$B$16),0)</f>
        <v/>
      </c>
      <c r="M45" s="42">
        <f>IF(C45="Working",MIN(B45*'Tax Assumptions'!$B$17,'Tax Assumptions'!$B$18),0)</f>
        <v/>
      </c>
      <c r="N45" s="41">
        <f>IF(C45="Working",MAX(B45-D45-'Tax Assumptions'!$B$9,0),0)</f>
        <v/>
      </c>
      <c r="O45" s="41">
        <f>IF(N45=0,0,LOOKUP(N45,'Tax Assumptions'!$K$9:$K$17,'Tax Assumptions'!$N$9:$N$17)+(N45-LOOKUP(N45,'Tax Assumptions'!$K$9:$K$17,'Tax Assumptions'!$K$9:$K$17))*LOOKUP(N45,'Tax Assumptions'!$K$9:$K$17,'Tax Assumptions'!$M$9:$M$17))</f>
        <v/>
      </c>
      <c r="P45" s="41">
        <f>IF(N45=0,0,LOOKUP(N45,'Tax Assumptions'!$P$9:$P$12,'Tax Assumptions'!$S$9:$S$12)+(N45-LOOKUP(N45,'Tax Assumptions'!$P$9:$P$12,'Tax Assumptions'!$P$9:$P$12))*LOOKUP(N45,'Tax Assumptions'!$P$9:$P$12,'Tax Assumptions'!$R$9:$R$12))</f>
        <v/>
      </c>
      <c r="Q45" s="41">
        <f>H45+I45+J45+K45+L45+M45+O45+P45</f>
        <v/>
      </c>
      <c r="R45" s="41">
        <f>IF(C45="Working",B45-D45-E45-F45-Q45,0)</f>
        <v/>
      </c>
      <c r="S45" s="36">
        <f>IF(C45="Working",IF(BL45="","",BL45*(1+'Model Inputs'!$B$35)^(AN45-1)),"")</f>
        <v/>
      </c>
      <c r="T45" s="36">
        <f>IF(C45="Working",IF(BM45="","",BM45*(1+'Model Inputs'!$B$36)^(AN45-1)),"")</f>
        <v/>
      </c>
      <c r="U45" s="41">
        <f>IF(C45="Working",R45-S45-T45,0)</f>
        <v/>
      </c>
      <c r="V45" s="41">
        <f>IF(C45="Working",MIN(MAX(U45,0),'Tax Assumptions'!$B$20),0)</f>
        <v/>
      </c>
      <c r="W45" s="41">
        <f>IF(C45="Working",U45-V45,0)</f>
        <v/>
      </c>
      <c r="X45" s="41">
        <f>IF(C45="Working",W45+V45+D45+E45,0)</f>
        <v/>
      </c>
      <c r="Y45" s="41">
        <f>IF(C45="Retired",$B$13,0)</f>
        <v/>
      </c>
      <c r="Z45" s="41">
        <f>AA45+AB45+AC45+AD45</f>
        <v/>
      </c>
      <c r="AA45" s="41">
        <f>IF(C45="Retired",MIN(Y45,((AE44)*(1+$B$15)+IF(C45="Working",W45,0))),0)</f>
        <v/>
      </c>
      <c r="AB45" s="41">
        <f>IF(C45="Retired",MIN(MAX(Y45-AA45,0),((AF44)*(1+$B$15)+IF(C45="Working",D45,0))),0)</f>
        <v/>
      </c>
      <c r="AC45" s="41">
        <f>IF(C45="Retired",MIN(MAX(Y45-AA45-AB45,0),((AG44)*(1+$B$15)+IF(C45="Working",V45,0))),0)</f>
        <v/>
      </c>
      <c r="AD45" s="41">
        <f>IF(C45="Retired",MIN(MAX(Y45-AA45-AB45-AC45,0),((AH44)*(1+$B$15)+IF(C45="Working",E45,0))),0)</f>
        <v/>
      </c>
      <c r="AE45" s="43">
        <f>MAX(((AE44)*(1+$B$15)+IF(C45="Working",W45,0))-AA45,0)</f>
        <v/>
      </c>
      <c r="AF45" s="43">
        <f>MAX(((AF44)*(1+$B$15)+IF(C45="Working",D45,0))-AB45,0)</f>
        <v/>
      </c>
      <c r="AG45" s="43">
        <f>MAX(((AG44)*(1+$B$15)+IF(C45="Working",V45,0))-AC45,0)</f>
        <v/>
      </c>
      <c r="AH45" s="43">
        <f>MAX(((AH44)*(1+$B$15)+IF(C45="Working",E45,0))-AD45,0)</f>
        <v/>
      </c>
      <c r="AI45" s="43">
        <f>AE45+AF45+AG45+AH45</f>
        <v/>
      </c>
      <c r="AJ45" s="43">
        <f>IF(C45="Working",AJ44+X45,MAX(AJ44-MIN(Y45,AJ44),0))</f>
        <v/>
      </c>
      <c r="AK45" s="43">
        <f>IF(C45="Working",AK44*(1+$B$16)+X45,MAX(AK44*(1+$B$16)-MIN(Y45,AK44*(1+$B$16)),0))</f>
        <v/>
      </c>
      <c r="AL45" s="44">
        <f>IF(C45="Working",IF(B45=0,0,W45/B45),0)</f>
        <v/>
      </c>
      <c r="AM45" s="44">
        <f>IF(C45="Working",IF(B45=0,0,X45/B45),0)</f>
        <v/>
      </c>
      <c r="AN45" s="169">
        <f>A45</f>
        <v/>
      </c>
      <c r="AO45" s="169">
        <f>'Model Inputs'!$B$22+AN45-1</f>
        <v/>
      </c>
      <c r="AP45" s="34">
        <f>IF(AND(AQ45="",AR45="",AX45="",BA45="",BC45=""),"",IF(AN45=1,(13-'Model Inputs'!$B$23)/12,1))</f>
        <v/>
      </c>
      <c r="AQ45" s="36">
        <f>IF(OR(AN45&lt;='Model Inputs'!$B$24,AR45&lt;&gt;"",AX45&lt;&gt;"",BA45&lt;&gt;"",BC45&lt;&gt;""),'Model Inputs'!$B$25*(1+'Model Inputs'!$B$31)^(AN45-1),"")</f>
        <v/>
      </c>
      <c r="AR45" s="195" t="n"/>
      <c r="AS45" s="36">
        <f>IF(AP45="","",IF(AR45="",AQ45,AR45))</f>
        <v/>
      </c>
      <c r="AT45" s="36">
        <f>IF(AS45="","",AP45*AS45)</f>
        <v/>
      </c>
      <c r="AU45" s="36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34">
        <f>IF(AU45="","",IF(AN45&lt;=2,0,'Model Inputs'!$B$32*SIN(2*PI()*(AN45-2+'Model Inputs'!$B$34)/MAX(1,'Model Inputs'!$B$33))))</f>
        <v/>
      </c>
      <c r="AW45" s="34" t="n"/>
      <c r="AX45" s="195" t="n"/>
      <c r="AY45" s="36">
        <f>IF(AP45="","",IF(BC45&lt;&gt;"",MAX(BC45-AT45-IF(AZ45="",0,AZ45)-IF(BA45="",0,BA45),0),IF(AX45&lt;&gt;"",AX45,AU45*(1+IF(AW45="",AV45,AW45)))))</f>
        <v/>
      </c>
      <c r="AZ45" s="36">
        <f>IF(AN45=1,'Model Inputs'!$B$26,"")</f>
        <v/>
      </c>
      <c r="BA45" s="195" t="n"/>
      <c r="BB45" s="36">
        <f>IF(AND(AS45="",AY45="",AZ45="",BA45="",BC45=""),"",IF(BC45&lt;&gt;"",BC45,AT45+IF(AY45="",0,AY45)+IF(AZ45="",0,AZ45)+IF(BA45="",0,BA45)))</f>
        <v/>
      </c>
      <c r="BC45" s="195" t="n"/>
      <c r="BL45" s="195">
        <f>IF(C45="Working",LOOKUP(2,1/($BL$19:BL44&lt;&gt;""),$BL$19:BL44),"")</f>
        <v/>
      </c>
      <c r="BM45" s="195">
        <f>IF(C45="Working",LOOKUP(2,1/($BM$19:BM44&lt;&gt;""),$BM$19:BM44),"")</f>
        <v/>
      </c>
    </row>
    <row r="46" ht="18" customHeight="1" s="326">
      <c r="A46" s="45" t="n">
        <v>28</v>
      </c>
      <c r="B46" s="46">
        <f>IF(BB46="","",BB46)</f>
        <v/>
      </c>
      <c r="C46" s="45">
        <f>IF(B46="","Retired","Working")</f>
        <v/>
      </c>
      <c r="D46" s="46">
        <f>IF(OR(C46="Retired",B46=""),0,MIN(B46,'Tax Assumptions'!$B$19))</f>
        <v/>
      </c>
      <c r="E46" s="36" t="n"/>
      <c r="F46" s="36" t="n"/>
      <c r="G46" s="46">
        <f>IF(C46="Working",MAX(B46-D46-E46-'Tax Assumptions'!$B$8,0),0)</f>
        <v/>
      </c>
      <c r="H46" s="46">
        <f>IF(G46=0,0,LOOKUP(G46,'Tax Assumptions'!$F$9:$F$15,'Tax Assumptions'!$I$9:$I$15)+(G46-LOOKUP(G46,'Tax Assumptions'!$F$9:$F$15,'Tax Assumptions'!$F$9:$F$15))*LOOKUP(G46,'Tax Assumptions'!$F$9:$F$15,'Tax Assumptions'!$H$9:$H$15))</f>
        <v/>
      </c>
      <c r="I46" s="46">
        <f>IF(C46="Working",MIN(MAX(B46-E46,0),'Tax Assumptions'!$B$11)*'Tax Assumptions'!$B$10,0)</f>
        <v/>
      </c>
      <c r="J46" s="46">
        <f>IF(C46="Working",MAX(B46-E46,0)*'Tax Assumptions'!$B$12,0)</f>
        <v/>
      </c>
      <c r="K46" s="46">
        <f>IF(C46="Working",MAX(MAX(B46-E46,0)-'Tax Assumptions'!$B$14,0)*'Tax Assumptions'!$B$13,0)</f>
        <v/>
      </c>
      <c r="L46" s="47">
        <f>IF(C46="Working",MIN(B46*'Tax Assumptions'!$B$15,'Tax Assumptions'!$B$16),0)</f>
        <v/>
      </c>
      <c r="M46" s="47">
        <f>IF(C46="Working",MIN(B46*'Tax Assumptions'!$B$17,'Tax Assumptions'!$B$18),0)</f>
        <v/>
      </c>
      <c r="N46" s="46">
        <f>IF(C46="Working",MAX(B46-D46-'Tax Assumptions'!$B$9,0),0)</f>
        <v/>
      </c>
      <c r="O46" s="46">
        <f>IF(N46=0,0,LOOKUP(N46,'Tax Assumptions'!$K$9:$K$17,'Tax Assumptions'!$N$9:$N$17)+(N46-LOOKUP(N46,'Tax Assumptions'!$K$9:$K$17,'Tax Assumptions'!$K$9:$K$17))*LOOKUP(N46,'Tax Assumptions'!$K$9:$K$17,'Tax Assumptions'!$M$9:$M$17))</f>
        <v/>
      </c>
      <c r="P46" s="46">
        <f>IF(N46=0,0,LOOKUP(N46,'Tax Assumptions'!$P$9:$P$12,'Tax Assumptions'!$S$9:$S$12)+(N46-LOOKUP(N46,'Tax Assumptions'!$P$9:$P$12,'Tax Assumptions'!$P$9:$P$12))*LOOKUP(N46,'Tax Assumptions'!$P$9:$P$12,'Tax Assumptions'!$R$9:$R$12))</f>
        <v/>
      </c>
      <c r="Q46" s="46">
        <f>H46+I46+J46+K46+L46+M46+O46+P46</f>
        <v/>
      </c>
      <c r="R46" s="46">
        <f>IF(C46="Working",B46-D46-E46-F46-Q46,0)</f>
        <v/>
      </c>
      <c r="S46" s="36">
        <f>IF(C46="Working",IF(BL46="","",BL46*(1+'Model Inputs'!$B$35)^(AN46-1)),"")</f>
        <v/>
      </c>
      <c r="T46" s="36">
        <f>IF(C46="Working",IF(BM46="","",BM46*(1+'Model Inputs'!$B$36)^(AN46-1)),"")</f>
        <v/>
      </c>
      <c r="U46" s="46">
        <f>IF(C46="Working",R46-S46-T46,0)</f>
        <v/>
      </c>
      <c r="V46" s="46">
        <f>IF(C46="Working",MIN(MAX(U46,0),'Tax Assumptions'!$B$20),0)</f>
        <v/>
      </c>
      <c r="W46" s="46">
        <f>IF(C46="Working",U46-V46,0)</f>
        <v/>
      </c>
      <c r="X46" s="46">
        <f>IF(C46="Working",W46+V46+D46+E46,0)</f>
        <v/>
      </c>
      <c r="Y46" s="46">
        <f>IF(C46="Retired",$B$13,0)</f>
        <v/>
      </c>
      <c r="Z46" s="46">
        <f>AA46+AB46+AC46+AD46</f>
        <v/>
      </c>
      <c r="AA46" s="46">
        <f>IF(C46="Retired",MIN(Y46,((AE45)*(1+$B$15)+IF(C46="Working",W46,0))),0)</f>
        <v/>
      </c>
      <c r="AB46" s="46">
        <f>IF(C46="Retired",MIN(MAX(Y46-AA46,0),((AF45)*(1+$B$15)+IF(C46="Working",D46,0))),0)</f>
        <v/>
      </c>
      <c r="AC46" s="46">
        <f>IF(C46="Retired",MIN(MAX(Y46-AA46-AB46,0),((AG45)*(1+$B$15)+IF(C46="Working",V46,0))),0)</f>
        <v/>
      </c>
      <c r="AD46" s="46">
        <f>IF(C46="Retired",MIN(MAX(Y46-AA46-AB46-AC46,0),((AH45)*(1+$B$15)+IF(C46="Working",E46,0))),0)</f>
        <v/>
      </c>
      <c r="AE46" s="43">
        <f>MAX(((AE45)*(1+$B$15)+IF(C46="Working",W46,0))-AA46,0)</f>
        <v/>
      </c>
      <c r="AF46" s="43">
        <f>MAX(((AF45)*(1+$B$15)+IF(C46="Working",D46,0))-AB46,0)</f>
        <v/>
      </c>
      <c r="AG46" s="43">
        <f>MAX(((AG45)*(1+$B$15)+IF(C46="Working",V46,0))-AC46,0)</f>
        <v/>
      </c>
      <c r="AH46" s="43">
        <f>MAX(((AH45)*(1+$B$15)+IF(C46="Working",E46,0))-AD46,0)</f>
        <v/>
      </c>
      <c r="AI46" s="43">
        <f>AE46+AF46+AG46+AH46</f>
        <v/>
      </c>
      <c r="AJ46" s="43">
        <f>IF(C46="Working",AJ45+X46,MAX(AJ45-MIN(Y46,AJ45),0))</f>
        <v/>
      </c>
      <c r="AK46" s="43">
        <f>IF(C46="Working",AK45*(1+$B$16)+X46,MAX(AK45*(1+$B$16)-MIN(Y46,AK45*(1+$B$16)),0))</f>
        <v/>
      </c>
      <c r="AL46" s="48">
        <f>IF(C46="Working",IF(B46=0,0,W46/B46),0)</f>
        <v/>
      </c>
      <c r="AM46" s="48">
        <f>IF(C46="Working",IF(B46=0,0,X46/B46),0)</f>
        <v/>
      </c>
      <c r="AN46" s="169">
        <f>A46</f>
        <v/>
      </c>
      <c r="AO46" s="169">
        <f>'Model Inputs'!$B$22+AN46-1</f>
        <v/>
      </c>
      <c r="AP46" s="34">
        <f>IF(AND(AQ46="",AR46="",AX46="",BA46="",BC46=""),"",IF(AN46=1,(13-'Model Inputs'!$B$23)/12,1))</f>
        <v/>
      </c>
      <c r="AQ46" s="36">
        <f>IF(OR(AN46&lt;='Model Inputs'!$B$24,AR46&lt;&gt;"",AX46&lt;&gt;"",BA46&lt;&gt;"",BC46&lt;&gt;""),'Model Inputs'!$B$25*(1+'Model Inputs'!$B$31)^(AN46-1),"")</f>
        <v/>
      </c>
      <c r="AR46" s="195" t="n"/>
      <c r="AS46" s="36">
        <f>IF(AP46="","",IF(AR46="",AQ46,AR46))</f>
        <v/>
      </c>
      <c r="AT46" s="36">
        <f>IF(AS46="","",AP46*AS46)</f>
        <v/>
      </c>
      <c r="AU46" s="36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34">
        <f>IF(AU46="","",IF(AN46&lt;=2,0,'Model Inputs'!$B$32*SIN(2*PI()*(AN46-2+'Model Inputs'!$B$34)/MAX(1,'Model Inputs'!$B$33))))</f>
        <v/>
      </c>
      <c r="AW46" s="34" t="n"/>
      <c r="AX46" s="195" t="n"/>
      <c r="AY46" s="36">
        <f>IF(AP46="","",IF(BC46&lt;&gt;"",MAX(BC46-AT46-IF(AZ46="",0,AZ46)-IF(BA46="",0,BA46),0),IF(AX46&lt;&gt;"",AX46,AU46*(1+IF(AW46="",AV46,AW46)))))</f>
        <v/>
      </c>
      <c r="AZ46" s="36">
        <f>IF(AN46=1,'Model Inputs'!$B$26,"")</f>
        <v/>
      </c>
      <c r="BA46" s="195" t="n"/>
      <c r="BB46" s="36">
        <f>IF(AND(AS46="",AY46="",AZ46="",BA46="",BC46=""),"",IF(BC46&lt;&gt;"",BC46,AT46+IF(AY46="",0,AY46)+IF(AZ46="",0,AZ46)+IF(BA46="",0,BA46)))</f>
        <v/>
      </c>
      <c r="BC46" s="195" t="n"/>
      <c r="BL46" s="195">
        <f>IF(C46="Working",LOOKUP(2,1/($BL$19:BL45&lt;&gt;""),$BL$19:BL45),"")</f>
        <v/>
      </c>
      <c r="BM46" s="195">
        <f>IF(C46="Working",LOOKUP(2,1/($BM$19:BM45&lt;&gt;""),$BM$19:BM45),"")</f>
        <v/>
      </c>
    </row>
    <row r="47" ht="18" customHeight="1" s="326">
      <c r="A47" s="40" t="n">
        <v>29</v>
      </c>
      <c r="B47" s="41">
        <f>IF(BB47="","",BB47)</f>
        <v/>
      </c>
      <c r="C47" s="40">
        <f>IF(B47="","Retired","Working")</f>
        <v/>
      </c>
      <c r="D47" s="41">
        <f>IF(OR(C47="Retired",B47=""),0,MIN(B47,'Tax Assumptions'!$B$19))</f>
        <v/>
      </c>
      <c r="E47" s="36" t="n"/>
      <c r="F47" s="36" t="n"/>
      <c r="G47" s="41">
        <f>IF(C47="Working",MAX(B47-D47-E47-'Tax Assumptions'!$B$8,0),0)</f>
        <v/>
      </c>
      <c r="H47" s="41">
        <f>IF(G47=0,0,LOOKUP(G47,'Tax Assumptions'!$F$9:$F$15,'Tax Assumptions'!$I$9:$I$15)+(G47-LOOKUP(G47,'Tax Assumptions'!$F$9:$F$15,'Tax Assumptions'!$F$9:$F$15))*LOOKUP(G47,'Tax Assumptions'!$F$9:$F$15,'Tax Assumptions'!$H$9:$H$15))</f>
        <v/>
      </c>
      <c r="I47" s="41">
        <f>IF(C47="Working",MIN(MAX(B47-E47,0),'Tax Assumptions'!$B$11)*'Tax Assumptions'!$B$10,0)</f>
        <v/>
      </c>
      <c r="J47" s="41">
        <f>IF(C47="Working",MAX(B47-E47,0)*'Tax Assumptions'!$B$12,0)</f>
        <v/>
      </c>
      <c r="K47" s="41">
        <f>IF(C47="Working",MAX(MAX(B47-E47,0)-'Tax Assumptions'!$B$14,0)*'Tax Assumptions'!$B$13,0)</f>
        <v/>
      </c>
      <c r="L47" s="42">
        <f>IF(C47="Working",MIN(B47*'Tax Assumptions'!$B$15,'Tax Assumptions'!$B$16),0)</f>
        <v/>
      </c>
      <c r="M47" s="42">
        <f>IF(C47="Working",MIN(B47*'Tax Assumptions'!$B$17,'Tax Assumptions'!$B$18),0)</f>
        <v/>
      </c>
      <c r="N47" s="41">
        <f>IF(C47="Working",MAX(B47-D47-'Tax Assumptions'!$B$9,0),0)</f>
        <v/>
      </c>
      <c r="O47" s="41">
        <f>IF(N47=0,0,LOOKUP(N47,'Tax Assumptions'!$K$9:$K$17,'Tax Assumptions'!$N$9:$N$17)+(N47-LOOKUP(N47,'Tax Assumptions'!$K$9:$K$17,'Tax Assumptions'!$K$9:$K$17))*LOOKUP(N47,'Tax Assumptions'!$K$9:$K$17,'Tax Assumptions'!$M$9:$M$17))</f>
        <v/>
      </c>
      <c r="P47" s="41">
        <f>IF(N47=0,0,LOOKUP(N47,'Tax Assumptions'!$P$9:$P$12,'Tax Assumptions'!$S$9:$S$12)+(N47-LOOKUP(N47,'Tax Assumptions'!$P$9:$P$12,'Tax Assumptions'!$P$9:$P$12))*LOOKUP(N47,'Tax Assumptions'!$P$9:$P$12,'Tax Assumptions'!$R$9:$R$12))</f>
        <v/>
      </c>
      <c r="Q47" s="41">
        <f>H47+I47+J47+K47+L47+M47+O47+P47</f>
        <v/>
      </c>
      <c r="R47" s="41">
        <f>IF(C47="Working",B47-D47-E47-F47-Q47,0)</f>
        <v/>
      </c>
      <c r="S47" s="36">
        <f>IF(C47="Working",IF(BL47="","",BL47*(1+'Model Inputs'!$B$35)^(AN47-1)),"")</f>
        <v/>
      </c>
      <c r="T47" s="36">
        <f>IF(C47="Working",IF(BM47="","",BM47*(1+'Model Inputs'!$B$36)^(AN47-1)),"")</f>
        <v/>
      </c>
      <c r="U47" s="41">
        <f>IF(C47="Working",R47-S47-T47,0)</f>
        <v/>
      </c>
      <c r="V47" s="41">
        <f>IF(C47="Working",MIN(MAX(U47,0),'Tax Assumptions'!$B$20),0)</f>
        <v/>
      </c>
      <c r="W47" s="41">
        <f>IF(C47="Working",U47-V47,0)</f>
        <v/>
      </c>
      <c r="X47" s="41">
        <f>IF(C47="Working",W47+V47+D47+E47,0)</f>
        <v/>
      </c>
      <c r="Y47" s="41">
        <f>IF(C47="Retired",$B$13,0)</f>
        <v/>
      </c>
      <c r="Z47" s="41">
        <f>AA47+AB47+AC47+AD47</f>
        <v/>
      </c>
      <c r="AA47" s="41">
        <f>IF(C47="Retired",MIN(Y47,((AE46)*(1+$B$15)+IF(C47="Working",W47,0))),0)</f>
        <v/>
      </c>
      <c r="AB47" s="41">
        <f>IF(C47="Retired",MIN(MAX(Y47-AA47,0),((AF46)*(1+$B$15)+IF(C47="Working",D47,0))),0)</f>
        <v/>
      </c>
      <c r="AC47" s="41">
        <f>IF(C47="Retired",MIN(MAX(Y47-AA47-AB47,0),((AG46)*(1+$B$15)+IF(C47="Working",V47,0))),0)</f>
        <v/>
      </c>
      <c r="AD47" s="41">
        <f>IF(C47="Retired",MIN(MAX(Y47-AA47-AB47-AC47,0),((AH46)*(1+$B$15)+IF(C47="Working",E47,0))),0)</f>
        <v/>
      </c>
      <c r="AE47" s="43">
        <f>MAX(((AE46)*(1+$B$15)+IF(C47="Working",W47,0))-AA47,0)</f>
        <v/>
      </c>
      <c r="AF47" s="43">
        <f>MAX(((AF46)*(1+$B$15)+IF(C47="Working",D47,0))-AB47,0)</f>
        <v/>
      </c>
      <c r="AG47" s="43">
        <f>MAX(((AG46)*(1+$B$15)+IF(C47="Working",V47,0))-AC47,0)</f>
        <v/>
      </c>
      <c r="AH47" s="43">
        <f>MAX(((AH46)*(1+$B$15)+IF(C47="Working",E47,0))-AD47,0)</f>
        <v/>
      </c>
      <c r="AI47" s="43">
        <f>AE47+AF47+AG47+AH47</f>
        <v/>
      </c>
      <c r="AJ47" s="43">
        <f>IF(C47="Working",AJ46+X47,MAX(AJ46-MIN(Y47,AJ46),0))</f>
        <v/>
      </c>
      <c r="AK47" s="43">
        <f>IF(C47="Working",AK46*(1+$B$16)+X47,MAX(AK46*(1+$B$16)-MIN(Y47,AK46*(1+$B$16)),0))</f>
        <v/>
      </c>
      <c r="AL47" s="44">
        <f>IF(C47="Working",IF(B47=0,0,W47/B47),0)</f>
        <v/>
      </c>
      <c r="AM47" s="44">
        <f>IF(C47="Working",IF(B47=0,0,X47/B47),0)</f>
        <v/>
      </c>
      <c r="AN47" s="169">
        <f>A47</f>
        <v/>
      </c>
      <c r="AO47" s="169">
        <f>'Model Inputs'!$B$22+AN47-1</f>
        <v/>
      </c>
      <c r="AP47" s="34">
        <f>IF(AND(AQ47="",AR47="",AX47="",BA47="",BC47=""),"",IF(AN47=1,(13-'Model Inputs'!$B$23)/12,1))</f>
        <v/>
      </c>
      <c r="AQ47" s="36">
        <f>IF(OR(AN47&lt;='Model Inputs'!$B$24,AR47&lt;&gt;"",AX47&lt;&gt;"",BA47&lt;&gt;"",BC47&lt;&gt;""),'Model Inputs'!$B$25*(1+'Model Inputs'!$B$31)^(AN47-1),"")</f>
        <v/>
      </c>
      <c r="AR47" s="195" t="n"/>
      <c r="AS47" s="36">
        <f>IF(AP47="","",IF(AR47="",AQ47,AR47))</f>
        <v/>
      </c>
      <c r="AT47" s="36">
        <f>IF(AS47="","",AP47*AS47)</f>
        <v/>
      </c>
      <c r="AU47" s="36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34">
        <f>IF(AU47="","",IF(AN47&lt;=2,0,'Model Inputs'!$B$32*SIN(2*PI()*(AN47-2+'Model Inputs'!$B$34)/MAX(1,'Model Inputs'!$B$33))))</f>
        <v/>
      </c>
      <c r="AW47" s="34" t="n"/>
      <c r="AX47" s="195" t="n"/>
      <c r="AY47" s="36">
        <f>IF(AP47="","",IF(BC47&lt;&gt;"",MAX(BC47-AT47-IF(AZ47="",0,AZ47)-IF(BA47="",0,BA47),0),IF(AX47&lt;&gt;"",AX47,AU47*(1+IF(AW47="",AV47,AW47)))))</f>
        <v/>
      </c>
      <c r="AZ47" s="36">
        <f>IF(AN47=1,'Model Inputs'!$B$26,"")</f>
        <v/>
      </c>
      <c r="BA47" s="195" t="n"/>
      <c r="BB47" s="36">
        <f>IF(AND(AS47="",AY47="",AZ47="",BA47="",BC47=""),"",IF(BC47&lt;&gt;"",BC47,AT47+IF(AY47="",0,AY47)+IF(AZ47="",0,AZ47)+IF(BA47="",0,BA47)))</f>
        <v/>
      </c>
      <c r="BC47" s="195" t="n"/>
      <c r="BL47" s="195">
        <f>IF(C47="Working",LOOKUP(2,1/($BL$19:BL46&lt;&gt;""),$BL$19:BL46),"")</f>
        <v/>
      </c>
      <c r="BM47" s="195">
        <f>IF(C47="Working",LOOKUP(2,1/($BM$19:BM46&lt;&gt;""),$BM$19:BM46),"")</f>
        <v/>
      </c>
    </row>
    <row r="48" ht="18" customHeight="1" s="326">
      <c r="A48" s="45" t="n">
        <v>30</v>
      </c>
      <c r="B48" s="46">
        <f>IF(BB48="","",BB48)</f>
        <v/>
      </c>
      <c r="C48" s="45">
        <f>IF(B48="","Retired","Working")</f>
        <v/>
      </c>
      <c r="D48" s="46">
        <f>IF(OR(C48="Retired",B48=""),0,MIN(B48,'Tax Assumptions'!$B$19))</f>
        <v/>
      </c>
      <c r="E48" s="36" t="n"/>
      <c r="F48" s="36" t="n"/>
      <c r="G48" s="46">
        <f>IF(C48="Working",MAX(B48-D48-E48-'Tax Assumptions'!$B$8,0),0)</f>
        <v/>
      </c>
      <c r="H48" s="46">
        <f>IF(G48=0,0,LOOKUP(G48,'Tax Assumptions'!$F$9:$F$15,'Tax Assumptions'!$I$9:$I$15)+(G48-LOOKUP(G48,'Tax Assumptions'!$F$9:$F$15,'Tax Assumptions'!$F$9:$F$15))*LOOKUP(G48,'Tax Assumptions'!$F$9:$F$15,'Tax Assumptions'!$H$9:$H$15))</f>
        <v/>
      </c>
      <c r="I48" s="46">
        <f>IF(C48="Working",MIN(MAX(B48-E48,0),'Tax Assumptions'!$B$11)*'Tax Assumptions'!$B$10,0)</f>
        <v/>
      </c>
      <c r="J48" s="46">
        <f>IF(C48="Working",MAX(B48-E48,0)*'Tax Assumptions'!$B$12,0)</f>
        <v/>
      </c>
      <c r="K48" s="46">
        <f>IF(C48="Working",MAX(MAX(B48-E48,0)-'Tax Assumptions'!$B$14,0)*'Tax Assumptions'!$B$13,0)</f>
        <v/>
      </c>
      <c r="L48" s="47">
        <f>IF(C48="Working",MIN(B48*'Tax Assumptions'!$B$15,'Tax Assumptions'!$B$16),0)</f>
        <v/>
      </c>
      <c r="M48" s="47">
        <f>IF(C48="Working",MIN(B48*'Tax Assumptions'!$B$17,'Tax Assumptions'!$B$18),0)</f>
        <v/>
      </c>
      <c r="N48" s="46">
        <f>IF(C48="Working",MAX(B48-D48-'Tax Assumptions'!$B$9,0),0)</f>
        <v/>
      </c>
      <c r="O48" s="46">
        <f>IF(N48=0,0,LOOKUP(N48,'Tax Assumptions'!$K$9:$K$17,'Tax Assumptions'!$N$9:$N$17)+(N48-LOOKUP(N48,'Tax Assumptions'!$K$9:$K$17,'Tax Assumptions'!$K$9:$K$17))*LOOKUP(N48,'Tax Assumptions'!$K$9:$K$17,'Tax Assumptions'!$M$9:$M$17))</f>
        <v/>
      </c>
      <c r="P48" s="46">
        <f>IF(N48=0,0,LOOKUP(N48,'Tax Assumptions'!$P$9:$P$12,'Tax Assumptions'!$S$9:$S$12)+(N48-LOOKUP(N48,'Tax Assumptions'!$P$9:$P$12,'Tax Assumptions'!$P$9:$P$12))*LOOKUP(N48,'Tax Assumptions'!$P$9:$P$12,'Tax Assumptions'!$R$9:$R$12))</f>
        <v/>
      </c>
      <c r="Q48" s="46">
        <f>H48+I48+J48+K48+L48+M48+O48+P48</f>
        <v/>
      </c>
      <c r="R48" s="46">
        <f>IF(C48="Working",B48-D48-E48-F48-Q48,0)</f>
        <v/>
      </c>
      <c r="S48" s="36">
        <f>IF(C48="Working",IF(BL48="","",BL48*(1+'Model Inputs'!$B$35)^(AN48-1)),"")</f>
        <v/>
      </c>
      <c r="T48" s="36">
        <f>IF(C48="Working",IF(BM48="","",BM48*(1+'Model Inputs'!$B$36)^(AN48-1)),"")</f>
        <v/>
      </c>
      <c r="U48" s="46">
        <f>IF(C48="Working",R48-S48-T48,0)</f>
        <v/>
      </c>
      <c r="V48" s="46">
        <f>IF(C48="Working",MIN(MAX(U48,0),'Tax Assumptions'!$B$20),0)</f>
        <v/>
      </c>
      <c r="W48" s="46">
        <f>IF(C48="Working",U48-V48,0)</f>
        <v/>
      </c>
      <c r="X48" s="46">
        <f>IF(C48="Working",W48+V48+D48+E48,0)</f>
        <v/>
      </c>
      <c r="Y48" s="46">
        <f>IF(C48="Retired",$B$13,0)</f>
        <v/>
      </c>
      <c r="Z48" s="46">
        <f>AA48+AB48+AC48+AD48</f>
        <v/>
      </c>
      <c r="AA48" s="46">
        <f>IF(C48="Retired",MIN(Y48,((AE47)*(1+$B$15)+IF(C48="Working",W48,0))),0)</f>
        <v/>
      </c>
      <c r="AB48" s="46">
        <f>IF(C48="Retired",MIN(MAX(Y48-AA48,0),((AF47)*(1+$B$15)+IF(C48="Working",D48,0))),0)</f>
        <v/>
      </c>
      <c r="AC48" s="46">
        <f>IF(C48="Retired",MIN(MAX(Y48-AA48-AB48,0),((AG47)*(1+$B$15)+IF(C48="Working",V48,0))),0)</f>
        <v/>
      </c>
      <c r="AD48" s="46">
        <f>IF(C48="Retired",MIN(MAX(Y48-AA48-AB48-AC48,0),((AH47)*(1+$B$15)+IF(C48="Working",E48,0))),0)</f>
        <v/>
      </c>
      <c r="AE48" s="43">
        <f>MAX(((AE47)*(1+$B$15)+IF(C48="Working",W48,0))-AA48,0)</f>
        <v/>
      </c>
      <c r="AF48" s="43">
        <f>MAX(((AF47)*(1+$B$15)+IF(C48="Working",D48,0))-AB48,0)</f>
        <v/>
      </c>
      <c r="AG48" s="43">
        <f>MAX(((AG47)*(1+$B$15)+IF(C48="Working",V48,0))-AC48,0)</f>
        <v/>
      </c>
      <c r="AH48" s="43">
        <f>MAX(((AH47)*(1+$B$15)+IF(C48="Working",E48,0))-AD48,0)</f>
        <v/>
      </c>
      <c r="AI48" s="43">
        <f>AE48+AF48+AG48+AH48</f>
        <v/>
      </c>
      <c r="AJ48" s="43">
        <f>IF(C48="Working",AJ47+X48,MAX(AJ47-MIN(Y48,AJ47),0))</f>
        <v/>
      </c>
      <c r="AK48" s="43">
        <f>IF(C48="Working",AK47*(1+$B$16)+X48,MAX(AK47*(1+$B$16)-MIN(Y48,AK47*(1+$B$16)),0))</f>
        <v/>
      </c>
      <c r="AL48" s="48">
        <f>IF(C48="Working",IF(B48=0,0,W48/B48),0)</f>
        <v/>
      </c>
      <c r="AM48" s="48">
        <f>IF(C48="Working",IF(B48=0,0,X48/B48),0)</f>
        <v/>
      </c>
      <c r="AN48" s="169">
        <f>A48</f>
        <v/>
      </c>
      <c r="AO48" s="169">
        <f>'Model Inputs'!$B$22+AN48-1</f>
        <v/>
      </c>
      <c r="AP48" s="34">
        <f>IF(AND(AQ48="",AR48="",AX48="",BA48="",BC48=""),"",IF(AN48=1,(13-'Model Inputs'!$B$23)/12,1))</f>
        <v/>
      </c>
      <c r="AQ48" s="36">
        <f>IF(OR(AN48&lt;='Model Inputs'!$B$24,AR48&lt;&gt;"",AX48&lt;&gt;"",BA48&lt;&gt;"",BC48&lt;&gt;""),'Model Inputs'!$B$25*(1+'Model Inputs'!$B$31)^(AN48-1),"")</f>
        <v/>
      </c>
      <c r="AR48" s="195" t="n"/>
      <c r="AS48" s="36">
        <f>IF(AP48="","",IF(AR48="",AQ48,AR48))</f>
        <v/>
      </c>
      <c r="AT48" s="36">
        <f>IF(AS48="","",AP48*AS48)</f>
        <v/>
      </c>
      <c r="AU48" s="36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34">
        <f>IF(AU48="","",IF(AN48&lt;=2,0,'Model Inputs'!$B$32*SIN(2*PI()*(AN48-2+'Model Inputs'!$B$34)/MAX(1,'Model Inputs'!$B$33))))</f>
        <v/>
      </c>
      <c r="AW48" s="34" t="n"/>
      <c r="AX48" s="195" t="n"/>
      <c r="AY48" s="36">
        <f>IF(AP48="","",IF(BC48&lt;&gt;"",MAX(BC48-AT48-IF(AZ48="",0,AZ48)-IF(BA48="",0,BA48),0),IF(AX48&lt;&gt;"",AX48,AU48*(1+IF(AW48="",AV48,AW48)))))</f>
        <v/>
      </c>
      <c r="AZ48" s="36">
        <f>IF(AN48=1,'Model Inputs'!$B$26,"")</f>
        <v/>
      </c>
      <c r="BA48" s="195" t="n"/>
      <c r="BB48" s="36">
        <f>IF(AND(AS48="",AY48="",AZ48="",BA48="",BC48=""),"",IF(BC48&lt;&gt;"",BC48,AT48+IF(AY48="",0,AY48)+IF(AZ48="",0,AZ48)+IF(BA48="",0,BA48)))</f>
        <v/>
      </c>
      <c r="BC48" s="195" t="n"/>
      <c r="BL48" s="195">
        <f>IF(C48="Working",LOOKUP(2,1/($BL$19:BL47&lt;&gt;""),$BL$19:BL47),"")</f>
        <v/>
      </c>
      <c r="BM48" s="195">
        <f>IF(C48="Working",LOOKUP(2,1/($BM$19:BM47&lt;&gt;""),$BM$19:BM47),"")</f>
        <v/>
      </c>
    </row>
    <row r="49" ht="18" customHeight="1" s="326">
      <c r="A49" s="40" t="n">
        <v>31</v>
      </c>
      <c r="B49" s="41">
        <f>IF(BB49="","",BB49)</f>
        <v/>
      </c>
      <c r="C49" s="40">
        <f>IF(B49="","Retired","Working")</f>
        <v/>
      </c>
      <c r="D49" s="41">
        <f>IF(OR(C49="Retired",B49=""),0,MIN(B49,'Tax Assumptions'!$B$19))</f>
        <v/>
      </c>
      <c r="E49" s="36" t="n"/>
      <c r="F49" s="36" t="n"/>
      <c r="G49" s="41">
        <f>IF(C49="Working",MAX(B49-D49-E49-'Tax Assumptions'!$B$8,0),0)</f>
        <v/>
      </c>
      <c r="H49" s="41">
        <f>IF(G49=0,0,LOOKUP(G49,'Tax Assumptions'!$F$9:$F$15,'Tax Assumptions'!$I$9:$I$15)+(G49-LOOKUP(G49,'Tax Assumptions'!$F$9:$F$15,'Tax Assumptions'!$F$9:$F$15))*LOOKUP(G49,'Tax Assumptions'!$F$9:$F$15,'Tax Assumptions'!$H$9:$H$15))</f>
        <v/>
      </c>
      <c r="I49" s="41">
        <f>IF(C49="Working",MIN(MAX(B49-E49,0),'Tax Assumptions'!$B$11)*'Tax Assumptions'!$B$10,0)</f>
        <v/>
      </c>
      <c r="J49" s="41">
        <f>IF(C49="Working",MAX(B49-E49,0)*'Tax Assumptions'!$B$12,0)</f>
        <v/>
      </c>
      <c r="K49" s="41">
        <f>IF(C49="Working",MAX(MAX(B49-E49,0)-'Tax Assumptions'!$B$14,0)*'Tax Assumptions'!$B$13,0)</f>
        <v/>
      </c>
      <c r="L49" s="42">
        <f>IF(C49="Working",MIN(B49*'Tax Assumptions'!$B$15,'Tax Assumptions'!$B$16),0)</f>
        <v/>
      </c>
      <c r="M49" s="42">
        <f>IF(C49="Working",MIN(B49*'Tax Assumptions'!$B$17,'Tax Assumptions'!$B$18),0)</f>
        <v/>
      </c>
      <c r="N49" s="41">
        <f>IF(C49="Working",MAX(B49-D49-'Tax Assumptions'!$B$9,0),0)</f>
        <v/>
      </c>
      <c r="O49" s="41">
        <f>IF(N49=0,0,LOOKUP(N49,'Tax Assumptions'!$K$9:$K$17,'Tax Assumptions'!$N$9:$N$17)+(N49-LOOKUP(N49,'Tax Assumptions'!$K$9:$K$17,'Tax Assumptions'!$K$9:$K$17))*LOOKUP(N49,'Tax Assumptions'!$K$9:$K$17,'Tax Assumptions'!$M$9:$M$17))</f>
        <v/>
      </c>
      <c r="P49" s="41">
        <f>IF(N49=0,0,LOOKUP(N49,'Tax Assumptions'!$P$9:$P$12,'Tax Assumptions'!$S$9:$S$12)+(N49-LOOKUP(N49,'Tax Assumptions'!$P$9:$P$12,'Tax Assumptions'!$P$9:$P$12))*LOOKUP(N49,'Tax Assumptions'!$P$9:$P$12,'Tax Assumptions'!$R$9:$R$12))</f>
        <v/>
      </c>
      <c r="Q49" s="41">
        <f>H49+I49+J49+K49+L49+M49+O49+P49</f>
        <v/>
      </c>
      <c r="R49" s="41">
        <f>IF(C49="Working",B49-D49-E49-F49-Q49,0)</f>
        <v/>
      </c>
      <c r="S49" s="36">
        <f>IF(C49="Working",IF(BL49="","",BL49*(1+'Model Inputs'!$B$35)^(AN49-1)),"")</f>
        <v/>
      </c>
      <c r="T49" s="36">
        <f>IF(C49="Working",IF(BM49="","",BM49*(1+'Model Inputs'!$B$36)^(AN49-1)),"")</f>
        <v/>
      </c>
      <c r="U49" s="41">
        <f>IF(C49="Working",R49-S49-T49,0)</f>
        <v/>
      </c>
      <c r="V49" s="41">
        <f>IF(C49="Working",MIN(MAX(U49,0),'Tax Assumptions'!$B$20),0)</f>
        <v/>
      </c>
      <c r="W49" s="41">
        <f>IF(C49="Working",U49-V49,0)</f>
        <v/>
      </c>
      <c r="X49" s="41">
        <f>IF(C49="Working",W49+V49+D49+E49,0)</f>
        <v/>
      </c>
      <c r="Y49" s="41">
        <f>IF(C49="Retired",$B$13,0)</f>
        <v/>
      </c>
      <c r="Z49" s="41">
        <f>AA49+AB49+AC49+AD49</f>
        <v/>
      </c>
      <c r="AA49" s="41">
        <f>IF(C49="Retired",MIN(Y49,((AE48)*(1+$B$15)+IF(C49="Working",W49,0))),0)</f>
        <v/>
      </c>
      <c r="AB49" s="41">
        <f>IF(C49="Retired",MIN(MAX(Y49-AA49,0),((AF48)*(1+$B$15)+IF(C49="Working",D49,0))),0)</f>
        <v/>
      </c>
      <c r="AC49" s="41">
        <f>IF(C49="Retired",MIN(MAX(Y49-AA49-AB49,0),((AG48)*(1+$B$15)+IF(C49="Working",V49,0))),0)</f>
        <v/>
      </c>
      <c r="AD49" s="41">
        <f>IF(C49="Retired",MIN(MAX(Y49-AA49-AB49-AC49,0),((AH48)*(1+$B$15)+IF(C49="Working",E49,0))),0)</f>
        <v/>
      </c>
      <c r="AE49" s="43">
        <f>MAX(((AE48)*(1+$B$15)+IF(C49="Working",W49,0))-AA49,0)</f>
        <v/>
      </c>
      <c r="AF49" s="43">
        <f>MAX(((AF48)*(1+$B$15)+IF(C49="Working",D49,0))-AB49,0)</f>
        <v/>
      </c>
      <c r="AG49" s="43">
        <f>MAX(((AG48)*(1+$B$15)+IF(C49="Working",V49,0))-AC49,0)</f>
        <v/>
      </c>
      <c r="AH49" s="43">
        <f>MAX(((AH48)*(1+$B$15)+IF(C49="Working",E49,0))-AD49,0)</f>
        <v/>
      </c>
      <c r="AI49" s="43">
        <f>AE49+AF49+AG49+AH49</f>
        <v/>
      </c>
      <c r="AJ49" s="43">
        <f>IF(C49="Working",AJ48+X49,MAX(AJ48-MIN(Y49,AJ48),0))</f>
        <v/>
      </c>
      <c r="AK49" s="43">
        <f>IF(C49="Working",AK48*(1+$B$16)+X49,MAX(AK48*(1+$B$16)-MIN(Y49,AK48*(1+$B$16)),0))</f>
        <v/>
      </c>
      <c r="AL49" s="44">
        <f>IF(C49="Working",IF(B49=0,0,W49/B49),0)</f>
        <v/>
      </c>
      <c r="AM49" s="44">
        <f>IF(C49="Working",IF(B49=0,0,X49/B49),0)</f>
        <v/>
      </c>
      <c r="AN49" s="169">
        <f>A49</f>
        <v/>
      </c>
      <c r="AO49" s="169">
        <f>'Model Inputs'!$B$22+AN49-1</f>
        <v/>
      </c>
      <c r="AP49" s="34">
        <f>IF(AND(AQ49="",AR49="",AX49="",BA49="",BC49=""),"",IF(AN49=1,(13-'Model Inputs'!$B$23)/12,1))</f>
        <v/>
      </c>
      <c r="AQ49" s="36">
        <f>IF(OR(AN49&lt;='Model Inputs'!$B$24,AR49&lt;&gt;"",AX49&lt;&gt;"",BA49&lt;&gt;"",BC49&lt;&gt;""),'Model Inputs'!$B$25*(1+'Model Inputs'!$B$31)^(AN49-1),"")</f>
        <v/>
      </c>
      <c r="AR49" s="195" t="n"/>
      <c r="AS49" s="36">
        <f>IF(AP49="","",IF(AR49="",AQ49,AR49))</f>
        <v/>
      </c>
      <c r="AT49" s="36">
        <f>IF(AS49="","",AP49*AS49)</f>
        <v/>
      </c>
      <c r="AU49" s="36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34">
        <f>IF(AU49="","",IF(AN49&lt;=2,0,'Model Inputs'!$B$32*SIN(2*PI()*(AN49-2+'Model Inputs'!$B$34)/MAX(1,'Model Inputs'!$B$33))))</f>
        <v/>
      </c>
      <c r="AW49" s="34" t="n"/>
      <c r="AX49" s="195" t="n"/>
      <c r="AY49" s="36">
        <f>IF(AP49="","",IF(BC49&lt;&gt;"",MAX(BC49-AT49-IF(AZ49="",0,AZ49)-IF(BA49="",0,BA49),0),IF(AX49&lt;&gt;"",AX49,AU49*(1+IF(AW49="",AV49,AW49)))))</f>
        <v/>
      </c>
      <c r="AZ49" s="36">
        <f>IF(AN49=1,'Model Inputs'!$B$26,"")</f>
        <v/>
      </c>
      <c r="BA49" s="195" t="n"/>
      <c r="BB49" s="36">
        <f>IF(AND(AS49="",AY49="",AZ49="",BA49="",BC49=""),"",IF(BC49&lt;&gt;"",BC49,AT49+IF(AY49="",0,AY49)+IF(AZ49="",0,AZ49)+IF(BA49="",0,BA49)))</f>
        <v/>
      </c>
      <c r="BC49" s="195" t="n"/>
      <c r="BL49" s="195">
        <f>IF(C49="Working",LOOKUP(2,1/($BL$19:BL48&lt;&gt;""),$BL$19:BL48),"")</f>
        <v/>
      </c>
      <c r="BM49" s="195">
        <f>IF(C49="Working",LOOKUP(2,1/($BM$19:BM48&lt;&gt;""),$BM$19:BM48),"")</f>
        <v/>
      </c>
    </row>
    <row r="50" ht="18" customHeight="1" s="326">
      <c r="A50" s="45" t="n">
        <v>32</v>
      </c>
      <c r="B50" s="46">
        <f>IF(BB50="","",BB50)</f>
        <v/>
      </c>
      <c r="C50" s="45">
        <f>IF(B50="","Retired","Working")</f>
        <v/>
      </c>
      <c r="D50" s="46">
        <f>IF(OR(C50="Retired",B50=""),0,MIN(B50,'Tax Assumptions'!$B$19))</f>
        <v/>
      </c>
      <c r="E50" s="36" t="n"/>
      <c r="F50" s="36" t="n"/>
      <c r="G50" s="46">
        <f>IF(C50="Working",MAX(B50-D50-E50-'Tax Assumptions'!$B$8,0),0)</f>
        <v/>
      </c>
      <c r="H50" s="46">
        <f>IF(G50=0,0,LOOKUP(G50,'Tax Assumptions'!$F$9:$F$15,'Tax Assumptions'!$I$9:$I$15)+(G50-LOOKUP(G50,'Tax Assumptions'!$F$9:$F$15,'Tax Assumptions'!$F$9:$F$15))*LOOKUP(G50,'Tax Assumptions'!$F$9:$F$15,'Tax Assumptions'!$H$9:$H$15))</f>
        <v/>
      </c>
      <c r="I50" s="46">
        <f>IF(C50="Working",MIN(MAX(B50-E50,0),'Tax Assumptions'!$B$11)*'Tax Assumptions'!$B$10,0)</f>
        <v/>
      </c>
      <c r="J50" s="46">
        <f>IF(C50="Working",MAX(B50-E50,0)*'Tax Assumptions'!$B$12,0)</f>
        <v/>
      </c>
      <c r="K50" s="46">
        <f>IF(C50="Working",MAX(MAX(B50-E50,0)-'Tax Assumptions'!$B$14,0)*'Tax Assumptions'!$B$13,0)</f>
        <v/>
      </c>
      <c r="L50" s="47">
        <f>IF(C50="Working",MIN(B50*'Tax Assumptions'!$B$15,'Tax Assumptions'!$B$16),0)</f>
        <v/>
      </c>
      <c r="M50" s="47">
        <f>IF(C50="Working",MIN(B50*'Tax Assumptions'!$B$17,'Tax Assumptions'!$B$18),0)</f>
        <v/>
      </c>
      <c r="N50" s="46">
        <f>IF(C50="Working",MAX(B50-D50-'Tax Assumptions'!$B$9,0),0)</f>
        <v/>
      </c>
      <c r="O50" s="46">
        <f>IF(N50=0,0,LOOKUP(N50,'Tax Assumptions'!$K$9:$K$17,'Tax Assumptions'!$N$9:$N$17)+(N50-LOOKUP(N50,'Tax Assumptions'!$K$9:$K$17,'Tax Assumptions'!$K$9:$K$17))*LOOKUP(N50,'Tax Assumptions'!$K$9:$K$17,'Tax Assumptions'!$M$9:$M$17))</f>
        <v/>
      </c>
      <c r="P50" s="46">
        <f>IF(N50=0,0,LOOKUP(N50,'Tax Assumptions'!$P$9:$P$12,'Tax Assumptions'!$S$9:$S$12)+(N50-LOOKUP(N50,'Tax Assumptions'!$P$9:$P$12,'Tax Assumptions'!$P$9:$P$12))*LOOKUP(N50,'Tax Assumptions'!$P$9:$P$12,'Tax Assumptions'!$R$9:$R$12))</f>
        <v/>
      </c>
      <c r="Q50" s="46">
        <f>H50+I50+J50+K50+L50+M50+O50+P50</f>
        <v/>
      </c>
      <c r="R50" s="46">
        <f>IF(C50="Working",B50-D50-E50-F50-Q50,0)</f>
        <v/>
      </c>
      <c r="S50" s="36">
        <f>IF(C50="Working",IF(BL50="","",BL50*(1+'Model Inputs'!$B$35)^(AN50-1)),"")</f>
        <v/>
      </c>
      <c r="T50" s="36">
        <f>IF(C50="Working",IF(BM50="","",BM50*(1+'Model Inputs'!$B$36)^(AN50-1)),"")</f>
        <v/>
      </c>
      <c r="U50" s="46">
        <f>IF(C50="Working",R50-S50-T50,0)</f>
        <v/>
      </c>
      <c r="V50" s="46">
        <f>IF(C50="Working",MIN(MAX(U50,0),'Tax Assumptions'!$B$20),0)</f>
        <v/>
      </c>
      <c r="W50" s="46">
        <f>IF(C50="Working",U50-V50,0)</f>
        <v/>
      </c>
      <c r="X50" s="46">
        <f>IF(C50="Working",W50+V50+D50+E50,0)</f>
        <v/>
      </c>
      <c r="Y50" s="46">
        <f>IF(C50="Retired",$B$13,0)</f>
        <v/>
      </c>
      <c r="Z50" s="46">
        <f>AA50+AB50+AC50+AD50</f>
        <v/>
      </c>
      <c r="AA50" s="46">
        <f>IF(C50="Retired",MIN(Y50,((AE49)*(1+$B$15)+IF(C50="Working",W50,0))),0)</f>
        <v/>
      </c>
      <c r="AB50" s="46">
        <f>IF(C50="Retired",MIN(MAX(Y50-AA50,0),((AF49)*(1+$B$15)+IF(C50="Working",D50,0))),0)</f>
        <v/>
      </c>
      <c r="AC50" s="46">
        <f>IF(C50="Retired",MIN(MAX(Y50-AA50-AB50,0),((AG49)*(1+$B$15)+IF(C50="Working",V50,0))),0)</f>
        <v/>
      </c>
      <c r="AD50" s="46">
        <f>IF(C50="Retired",MIN(MAX(Y50-AA50-AB50-AC50,0),((AH49)*(1+$B$15)+IF(C50="Working",E50,0))),0)</f>
        <v/>
      </c>
      <c r="AE50" s="43">
        <f>MAX(((AE49)*(1+$B$15)+IF(C50="Working",W50,0))-AA50,0)</f>
        <v/>
      </c>
      <c r="AF50" s="43">
        <f>MAX(((AF49)*(1+$B$15)+IF(C50="Working",D50,0))-AB50,0)</f>
        <v/>
      </c>
      <c r="AG50" s="43">
        <f>MAX(((AG49)*(1+$B$15)+IF(C50="Working",V50,0))-AC50,0)</f>
        <v/>
      </c>
      <c r="AH50" s="43">
        <f>MAX(((AH49)*(1+$B$15)+IF(C50="Working",E50,0))-AD50,0)</f>
        <v/>
      </c>
      <c r="AI50" s="43">
        <f>AE50+AF50+AG50+AH50</f>
        <v/>
      </c>
      <c r="AJ50" s="43">
        <f>IF(C50="Working",AJ49+X50,MAX(AJ49-MIN(Y50,AJ49),0))</f>
        <v/>
      </c>
      <c r="AK50" s="43">
        <f>IF(C50="Working",AK49*(1+$B$16)+X50,MAX(AK49*(1+$B$16)-MIN(Y50,AK49*(1+$B$16)),0))</f>
        <v/>
      </c>
      <c r="AL50" s="48">
        <f>IF(C50="Working",IF(B50=0,0,W50/B50),0)</f>
        <v/>
      </c>
      <c r="AM50" s="48">
        <f>IF(C50="Working",IF(B50=0,0,X50/B50),0)</f>
        <v/>
      </c>
      <c r="AN50" s="169">
        <f>A50</f>
        <v/>
      </c>
      <c r="AO50" s="169">
        <f>'Model Inputs'!$B$22+AN50-1</f>
        <v/>
      </c>
      <c r="AP50" s="34">
        <f>IF(AND(AQ50="",AR50="",AX50="",BA50="",BC50=""),"",IF(AN50=1,(13-'Model Inputs'!$B$23)/12,1))</f>
        <v/>
      </c>
      <c r="AQ50" s="36">
        <f>IF(OR(AN50&lt;='Model Inputs'!$B$24,AR50&lt;&gt;"",AX50&lt;&gt;"",BA50&lt;&gt;"",BC50&lt;&gt;""),'Model Inputs'!$B$25*(1+'Model Inputs'!$B$31)^(AN50-1),"")</f>
        <v/>
      </c>
      <c r="AR50" s="195" t="n"/>
      <c r="AS50" s="36">
        <f>IF(AP50="","",IF(AR50="",AQ50,AR50))</f>
        <v/>
      </c>
      <c r="AT50" s="36">
        <f>IF(AS50="","",AP50*AS50)</f>
        <v/>
      </c>
      <c r="AU50" s="36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34">
        <f>IF(AU50="","",IF(AN50&lt;=2,0,'Model Inputs'!$B$32*SIN(2*PI()*(AN50-2+'Model Inputs'!$B$34)/MAX(1,'Model Inputs'!$B$33))))</f>
        <v/>
      </c>
      <c r="AW50" s="34" t="n"/>
      <c r="AX50" s="195" t="n"/>
      <c r="AY50" s="36">
        <f>IF(AP50="","",IF(BC50&lt;&gt;"",MAX(BC50-AT50-IF(AZ50="",0,AZ50)-IF(BA50="",0,BA50),0),IF(AX50&lt;&gt;"",AX50,AU50*(1+IF(AW50="",AV50,AW50)))))</f>
        <v/>
      </c>
      <c r="AZ50" s="36">
        <f>IF(AN50=1,'Model Inputs'!$B$26,"")</f>
        <v/>
      </c>
      <c r="BA50" s="195" t="n"/>
      <c r="BB50" s="36">
        <f>IF(AND(AS50="",AY50="",AZ50="",BA50="",BC50=""),"",IF(BC50&lt;&gt;"",BC50,AT50+IF(AY50="",0,AY50)+IF(AZ50="",0,AZ50)+IF(BA50="",0,BA50)))</f>
        <v/>
      </c>
      <c r="BC50" s="195" t="n"/>
      <c r="BL50" s="195">
        <f>IF(C50="Working",LOOKUP(2,1/($BL$19:BL49&lt;&gt;""),$BL$19:BL49),"")</f>
        <v/>
      </c>
      <c r="BM50" s="195">
        <f>IF(C50="Working",LOOKUP(2,1/($BM$19:BM49&lt;&gt;""),$BM$19:BM49),"")</f>
        <v/>
      </c>
    </row>
    <row r="51" ht="18" customHeight="1" s="326">
      <c r="A51" s="40" t="n">
        <v>33</v>
      </c>
      <c r="B51" s="41">
        <f>IF(BB51="","",BB51)</f>
        <v/>
      </c>
      <c r="C51" s="40">
        <f>IF(B51="","Retired","Working")</f>
        <v/>
      </c>
      <c r="D51" s="41">
        <f>IF(OR(C51="Retired",B51=""),0,MIN(B51,'Tax Assumptions'!$B$19))</f>
        <v/>
      </c>
      <c r="E51" s="36" t="n"/>
      <c r="F51" s="36" t="n"/>
      <c r="G51" s="41">
        <f>IF(C51="Working",MAX(B51-D51-E51-'Tax Assumptions'!$B$8,0),0)</f>
        <v/>
      </c>
      <c r="H51" s="41">
        <f>IF(G51=0,0,LOOKUP(G51,'Tax Assumptions'!$F$9:$F$15,'Tax Assumptions'!$I$9:$I$15)+(G51-LOOKUP(G51,'Tax Assumptions'!$F$9:$F$15,'Tax Assumptions'!$F$9:$F$15))*LOOKUP(G51,'Tax Assumptions'!$F$9:$F$15,'Tax Assumptions'!$H$9:$H$15))</f>
        <v/>
      </c>
      <c r="I51" s="41">
        <f>IF(C51="Working",MIN(MAX(B51-E51,0),'Tax Assumptions'!$B$11)*'Tax Assumptions'!$B$10,0)</f>
        <v/>
      </c>
      <c r="J51" s="41">
        <f>IF(C51="Working",MAX(B51-E51,0)*'Tax Assumptions'!$B$12,0)</f>
        <v/>
      </c>
      <c r="K51" s="41">
        <f>IF(C51="Working",MAX(MAX(B51-E51,0)-'Tax Assumptions'!$B$14,0)*'Tax Assumptions'!$B$13,0)</f>
        <v/>
      </c>
      <c r="L51" s="42">
        <f>IF(C51="Working",MIN(B51*'Tax Assumptions'!$B$15,'Tax Assumptions'!$B$16),0)</f>
        <v/>
      </c>
      <c r="M51" s="42">
        <f>IF(C51="Working",MIN(B51*'Tax Assumptions'!$B$17,'Tax Assumptions'!$B$18),0)</f>
        <v/>
      </c>
      <c r="N51" s="41">
        <f>IF(C51="Working",MAX(B51-D51-'Tax Assumptions'!$B$9,0),0)</f>
        <v/>
      </c>
      <c r="O51" s="41">
        <f>IF(N51=0,0,LOOKUP(N51,'Tax Assumptions'!$K$9:$K$17,'Tax Assumptions'!$N$9:$N$17)+(N51-LOOKUP(N51,'Tax Assumptions'!$K$9:$K$17,'Tax Assumptions'!$K$9:$K$17))*LOOKUP(N51,'Tax Assumptions'!$K$9:$K$17,'Tax Assumptions'!$M$9:$M$17))</f>
        <v/>
      </c>
      <c r="P51" s="41">
        <f>IF(N51=0,0,LOOKUP(N51,'Tax Assumptions'!$P$9:$P$12,'Tax Assumptions'!$S$9:$S$12)+(N51-LOOKUP(N51,'Tax Assumptions'!$P$9:$P$12,'Tax Assumptions'!$P$9:$P$12))*LOOKUP(N51,'Tax Assumptions'!$P$9:$P$12,'Tax Assumptions'!$R$9:$R$12))</f>
        <v/>
      </c>
      <c r="Q51" s="41">
        <f>H51+I51+J51+K51+L51+M51+O51+P51</f>
        <v/>
      </c>
      <c r="R51" s="41">
        <f>IF(C51="Working",B51-D51-E51-F51-Q51,0)</f>
        <v/>
      </c>
      <c r="S51" s="36">
        <f>IF(C51="Working",IF(BL51="","",BL51*(1+'Model Inputs'!$B$35)^(AN51-1)),"")</f>
        <v/>
      </c>
      <c r="T51" s="36">
        <f>IF(C51="Working",IF(BM51="","",BM51*(1+'Model Inputs'!$B$36)^(AN51-1)),"")</f>
        <v/>
      </c>
      <c r="U51" s="41">
        <f>IF(C51="Working",R51-S51-T51,0)</f>
        <v/>
      </c>
      <c r="V51" s="41">
        <f>IF(C51="Working",MIN(MAX(U51,0),'Tax Assumptions'!$B$20),0)</f>
        <v/>
      </c>
      <c r="W51" s="41">
        <f>IF(C51="Working",U51-V51,0)</f>
        <v/>
      </c>
      <c r="X51" s="41">
        <f>IF(C51="Working",W51+V51+D51+E51,0)</f>
        <v/>
      </c>
      <c r="Y51" s="41">
        <f>IF(C51="Retired",$B$13,0)</f>
        <v/>
      </c>
      <c r="Z51" s="41">
        <f>AA51+AB51+AC51+AD51</f>
        <v/>
      </c>
      <c r="AA51" s="41">
        <f>IF(C51="Retired",MIN(Y51,((AE50)*(1+$B$15)+IF(C51="Working",W51,0))),0)</f>
        <v/>
      </c>
      <c r="AB51" s="41">
        <f>IF(C51="Retired",MIN(MAX(Y51-AA51,0),((AF50)*(1+$B$15)+IF(C51="Working",D51,0))),0)</f>
        <v/>
      </c>
      <c r="AC51" s="41">
        <f>IF(C51="Retired",MIN(MAX(Y51-AA51-AB51,0),((AG50)*(1+$B$15)+IF(C51="Working",V51,0))),0)</f>
        <v/>
      </c>
      <c r="AD51" s="41">
        <f>IF(C51="Retired",MIN(MAX(Y51-AA51-AB51-AC51,0),((AH50)*(1+$B$15)+IF(C51="Working",E51,0))),0)</f>
        <v/>
      </c>
      <c r="AE51" s="43">
        <f>MAX(((AE50)*(1+$B$15)+IF(C51="Working",W51,0))-AA51,0)</f>
        <v/>
      </c>
      <c r="AF51" s="43">
        <f>MAX(((AF50)*(1+$B$15)+IF(C51="Working",D51,0))-AB51,0)</f>
        <v/>
      </c>
      <c r="AG51" s="43">
        <f>MAX(((AG50)*(1+$B$15)+IF(C51="Working",V51,0))-AC51,0)</f>
        <v/>
      </c>
      <c r="AH51" s="43">
        <f>MAX(((AH50)*(1+$B$15)+IF(C51="Working",E51,0))-AD51,0)</f>
        <v/>
      </c>
      <c r="AI51" s="43">
        <f>AE51+AF51+AG51+AH51</f>
        <v/>
      </c>
      <c r="AJ51" s="43">
        <f>IF(C51="Working",AJ50+X51,MAX(AJ50-MIN(Y51,AJ50),0))</f>
        <v/>
      </c>
      <c r="AK51" s="43">
        <f>IF(C51="Working",AK50*(1+$B$16)+X51,MAX(AK50*(1+$B$16)-MIN(Y51,AK50*(1+$B$16)),0))</f>
        <v/>
      </c>
      <c r="AL51" s="44">
        <f>IF(C51="Working",IF(B51=0,0,W51/B51),0)</f>
        <v/>
      </c>
      <c r="AM51" s="44">
        <f>IF(C51="Working",IF(B51=0,0,X51/B51),0)</f>
        <v/>
      </c>
      <c r="AN51" s="169">
        <f>A51</f>
        <v/>
      </c>
      <c r="AO51" s="169">
        <f>'Model Inputs'!$B$22+AN51-1</f>
        <v/>
      </c>
      <c r="AP51" s="34">
        <f>IF(AND(AQ51="",AR51="",AX51="",BA51="",BC51=""),"",IF(AN51=1,(13-'Model Inputs'!$B$23)/12,1))</f>
        <v/>
      </c>
      <c r="AQ51" s="36">
        <f>IF(OR(AN51&lt;='Model Inputs'!$B$24,AR51&lt;&gt;"",AX51&lt;&gt;"",BA51&lt;&gt;"",BC51&lt;&gt;""),'Model Inputs'!$B$25*(1+'Model Inputs'!$B$31)^(AN51-1),"")</f>
        <v/>
      </c>
      <c r="AR51" s="195" t="n"/>
      <c r="AS51" s="36">
        <f>IF(AP51="","",IF(AR51="",AQ51,AR51))</f>
        <v/>
      </c>
      <c r="AT51" s="36">
        <f>IF(AS51="","",AP51*AS51)</f>
        <v/>
      </c>
      <c r="AU51" s="36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34">
        <f>IF(AU51="","",IF(AN51&lt;=2,0,'Model Inputs'!$B$32*SIN(2*PI()*(AN51-2+'Model Inputs'!$B$34)/MAX(1,'Model Inputs'!$B$33))))</f>
        <v/>
      </c>
      <c r="AW51" s="34" t="n"/>
      <c r="AX51" s="195" t="n"/>
      <c r="AY51" s="36">
        <f>IF(AP51="","",IF(BC51&lt;&gt;"",MAX(BC51-AT51-IF(AZ51="",0,AZ51)-IF(BA51="",0,BA51),0),IF(AX51&lt;&gt;"",AX51,AU51*(1+IF(AW51="",AV51,AW51)))))</f>
        <v/>
      </c>
      <c r="AZ51" s="36">
        <f>IF(AN51=1,'Model Inputs'!$B$26,"")</f>
        <v/>
      </c>
      <c r="BA51" s="195" t="n"/>
      <c r="BB51" s="36">
        <f>IF(AND(AS51="",AY51="",AZ51="",BA51="",BC51=""),"",IF(BC51&lt;&gt;"",BC51,AT51+IF(AY51="",0,AY51)+IF(AZ51="",0,AZ51)+IF(BA51="",0,BA51)))</f>
        <v/>
      </c>
      <c r="BC51" s="195" t="n"/>
      <c r="BL51" s="195">
        <f>IF(C51="Working",LOOKUP(2,1/($BL$19:BL50&lt;&gt;""),$BL$19:BL50),"")</f>
        <v/>
      </c>
      <c r="BM51" s="195">
        <f>IF(C51="Working",LOOKUP(2,1/($BM$19:BM50&lt;&gt;""),$BM$19:BM50),"")</f>
        <v/>
      </c>
    </row>
    <row r="52" ht="18" customHeight="1" s="326">
      <c r="A52" s="45" t="n">
        <v>34</v>
      </c>
      <c r="B52" s="46">
        <f>IF(BB52="","",BB52)</f>
        <v/>
      </c>
      <c r="C52" s="45">
        <f>IF(B52="","Retired","Working")</f>
        <v/>
      </c>
      <c r="D52" s="46">
        <f>IF(OR(C52="Retired",B52=""),0,MIN(B52,'Tax Assumptions'!$B$19))</f>
        <v/>
      </c>
      <c r="E52" s="36" t="n"/>
      <c r="F52" s="36" t="n"/>
      <c r="G52" s="46">
        <f>IF(C52="Working",MAX(B52-D52-E52-'Tax Assumptions'!$B$8,0),0)</f>
        <v/>
      </c>
      <c r="H52" s="46">
        <f>IF(G52=0,0,LOOKUP(G52,'Tax Assumptions'!$F$9:$F$15,'Tax Assumptions'!$I$9:$I$15)+(G52-LOOKUP(G52,'Tax Assumptions'!$F$9:$F$15,'Tax Assumptions'!$F$9:$F$15))*LOOKUP(G52,'Tax Assumptions'!$F$9:$F$15,'Tax Assumptions'!$H$9:$H$15))</f>
        <v/>
      </c>
      <c r="I52" s="46">
        <f>IF(C52="Working",MIN(MAX(B52-E52,0),'Tax Assumptions'!$B$11)*'Tax Assumptions'!$B$10,0)</f>
        <v/>
      </c>
      <c r="J52" s="46">
        <f>IF(C52="Working",MAX(B52-E52,0)*'Tax Assumptions'!$B$12,0)</f>
        <v/>
      </c>
      <c r="K52" s="46">
        <f>IF(C52="Working",MAX(MAX(B52-E52,0)-'Tax Assumptions'!$B$14,0)*'Tax Assumptions'!$B$13,0)</f>
        <v/>
      </c>
      <c r="L52" s="47">
        <f>IF(C52="Working",MIN(B52*'Tax Assumptions'!$B$15,'Tax Assumptions'!$B$16),0)</f>
        <v/>
      </c>
      <c r="M52" s="47">
        <f>IF(C52="Working",MIN(B52*'Tax Assumptions'!$B$17,'Tax Assumptions'!$B$18),0)</f>
        <v/>
      </c>
      <c r="N52" s="46">
        <f>IF(C52="Working",MAX(B52-D52-'Tax Assumptions'!$B$9,0),0)</f>
        <v/>
      </c>
      <c r="O52" s="46">
        <f>IF(N52=0,0,LOOKUP(N52,'Tax Assumptions'!$K$9:$K$17,'Tax Assumptions'!$N$9:$N$17)+(N52-LOOKUP(N52,'Tax Assumptions'!$K$9:$K$17,'Tax Assumptions'!$K$9:$K$17))*LOOKUP(N52,'Tax Assumptions'!$K$9:$K$17,'Tax Assumptions'!$M$9:$M$17))</f>
        <v/>
      </c>
      <c r="P52" s="46">
        <f>IF(N52=0,0,LOOKUP(N52,'Tax Assumptions'!$P$9:$P$12,'Tax Assumptions'!$S$9:$S$12)+(N52-LOOKUP(N52,'Tax Assumptions'!$P$9:$P$12,'Tax Assumptions'!$P$9:$P$12))*LOOKUP(N52,'Tax Assumptions'!$P$9:$P$12,'Tax Assumptions'!$R$9:$R$12))</f>
        <v/>
      </c>
      <c r="Q52" s="46">
        <f>H52+I52+J52+K52+L52+M52+O52+P52</f>
        <v/>
      </c>
      <c r="R52" s="46">
        <f>IF(C52="Working",B52-D52-E52-F52-Q52,0)</f>
        <v/>
      </c>
      <c r="S52" s="36">
        <f>IF(C52="Working",IF(BL52="","",BL52*(1+'Model Inputs'!$B$35)^(AN52-1)),"")</f>
        <v/>
      </c>
      <c r="T52" s="36">
        <f>IF(C52="Working",IF(BM52="","",BM52*(1+'Model Inputs'!$B$36)^(AN52-1)),"")</f>
        <v/>
      </c>
      <c r="U52" s="46">
        <f>IF(C52="Working",R52-S52-T52,0)</f>
        <v/>
      </c>
      <c r="V52" s="46">
        <f>IF(C52="Working",MIN(MAX(U52,0),'Tax Assumptions'!$B$20),0)</f>
        <v/>
      </c>
      <c r="W52" s="46">
        <f>IF(C52="Working",U52-V52,0)</f>
        <v/>
      </c>
      <c r="X52" s="46">
        <f>IF(C52="Working",W52+V52+D52+E52,0)</f>
        <v/>
      </c>
      <c r="Y52" s="46">
        <f>IF(C52="Retired",$B$13,0)</f>
        <v/>
      </c>
      <c r="Z52" s="46">
        <f>AA52+AB52+AC52+AD52</f>
        <v/>
      </c>
      <c r="AA52" s="46">
        <f>IF(C52="Retired",MIN(Y52,((AE51)*(1+$B$15)+IF(C52="Working",W52,0))),0)</f>
        <v/>
      </c>
      <c r="AB52" s="46">
        <f>IF(C52="Retired",MIN(MAX(Y52-AA52,0),((AF51)*(1+$B$15)+IF(C52="Working",D52,0))),0)</f>
        <v/>
      </c>
      <c r="AC52" s="46">
        <f>IF(C52="Retired",MIN(MAX(Y52-AA52-AB52,0),((AG51)*(1+$B$15)+IF(C52="Working",V52,0))),0)</f>
        <v/>
      </c>
      <c r="AD52" s="46">
        <f>IF(C52="Retired",MIN(MAX(Y52-AA52-AB52-AC52,0),((AH51)*(1+$B$15)+IF(C52="Working",E52,0))),0)</f>
        <v/>
      </c>
      <c r="AE52" s="43">
        <f>MAX(((AE51)*(1+$B$15)+IF(C52="Working",W52,0))-AA52,0)</f>
        <v/>
      </c>
      <c r="AF52" s="43">
        <f>MAX(((AF51)*(1+$B$15)+IF(C52="Working",D52,0))-AB52,0)</f>
        <v/>
      </c>
      <c r="AG52" s="43">
        <f>MAX(((AG51)*(1+$B$15)+IF(C52="Working",V52,0))-AC52,0)</f>
        <v/>
      </c>
      <c r="AH52" s="43">
        <f>MAX(((AH51)*(1+$B$15)+IF(C52="Working",E52,0))-AD52,0)</f>
        <v/>
      </c>
      <c r="AI52" s="43">
        <f>AE52+AF52+AG52+AH52</f>
        <v/>
      </c>
      <c r="AJ52" s="43">
        <f>IF(C52="Working",AJ51+X52,MAX(AJ51-MIN(Y52,AJ51),0))</f>
        <v/>
      </c>
      <c r="AK52" s="43">
        <f>IF(C52="Working",AK51*(1+$B$16)+X52,MAX(AK51*(1+$B$16)-MIN(Y52,AK51*(1+$B$16)),0))</f>
        <v/>
      </c>
      <c r="AL52" s="48">
        <f>IF(C52="Working",IF(B52=0,0,W52/B52),0)</f>
        <v/>
      </c>
      <c r="AM52" s="48">
        <f>IF(C52="Working",IF(B52=0,0,X52/B52),0)</f>
        <v/>
      </c>
      <c r="AN52" s="169">
        <f>A52</f>
        <v/>
      </c>
      <c r="AO52" s="169">
        <f>'Model Inputs'!$B$22+AN52-1</f>
        <v/>
      </c>
      <c r="AP52" s="34">
        <f>IF(AND(AQ52="",AR52="",AX52="",BA52="",BC52=""),"",IF(AN52=1,(13-'Model Inputs'!$B$23)/12,1))</f>
        <v/>
      </c>
      <c r="AQ52" s="36">
        <f>IF(OR(AN52&lt;='Model Inputs'!$B$24,AR52&lt;&gt;"",AX52&lt;&gt;"",BA52&lt;&gt;"",BC52&lt;&gt;""),'Model Inputs'!$B$25*(1+'Model Inputs'!$B$31)^(AN52-1),"")</f>
        <v/>
      </c>
      <c r="AR52" s="195" t="n"/>
      <c r="AS52" s="36">
        <f>IF(AP52="","",IF(AR52="",AQ52,AR52))</f>
        <v/>
      </c>
      <c r="AT52" s="36">
        <f>IF(AS52="","",AP52*AS52)</f>
        <v/>
      </c>
      <c r="AU52" s="36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34">
        <f>IF(AU52="","",IF(AN52&lt;=2,0,'Model Inputs'!$B$32*SIN(2*PI()*(AN52-2+'Model Inputs'!$B$34)/MAX(1,'Model Inputs'!$B$33))))</f>
        <v/>
      </c>
      <c r="AW52" s="34" t="n"/>
      <c r="AX52" s="195" t="n"/>
      <c r="AY52" s="36">
        <f>IF(AP52="","",IF(BC52&lt;&gt;"",MAX(BC52-AT52-IF(AZ52="",0,AZ52)-IF(BA52="",0,BA52),0),IF(AX52&lt;&gt;"",AX52,AU52*(1+IF(AW52="",AV52,AW52)))))</f>
        <v/>
      </c>
      <c r="AZ52" s="36">
        <f>IF(AN52=1,'Model Inputs'!$B$26,"")</f>
        <v/>
      </c>
      <c r="BA52" s="195" t="n"/>
      <c r="BB52" s="36">
        <f>IF(AND(AS52="",AY52="",AZ52="",BA52="",BC52=""),"",IF(BC52&lt;&gt;"",BC52,AT52+IF(AY52="",0,AY52)+IF(AZ52="",0,AZ52)+IF(BA52="",0,BA52)))</f>
        <v/>
      </c>
      <c r="BC52" s="195" t="n"/>
      <c r="BL52" s="195">
        <f>IF(C52="Working",LOOKUP(2,1/($BL$19:BL51&lt;&gt;""),$BL$19:BL51),"")</f>
        <v/>
      </c>
      <c r="BM52" s="195">
        <f>IF(C52="Working",LOOKUP(2,1/($BM$19:BM51&lt;&gt;""),$BM$19:BM51),"")</f>
        <v/>
      </c>
    </row>
    <row r="53" ht="18" customHeight="1" s="326">
      <c r="A53" s="40" t="n">
        <v>35</v>
      </c>
      <c r="B53" s="41">
        <f>IF(BB53="","",BB53)</f>
        <v/>
      </c>
      <c r="C53" s="40">
        <f>IF(B53="","Retired","Working")</f>
        <v/>
      </c>
      <c r="D53" s="41">
        <f>IF(OR(C53="Retired",B53=""),0,MIN(B53,'Tax Assumptions'!$B$19))</f>
        <v/>
      </c>
      <c r="E53" s="36" t="n"/>
      <c r="F53" s="36" t="n"/>
      <c r="G53" s="41">
        <f>IF(C53="Working",MAX(B53-D53-E53-'Tax Assumptions'!$B$8,0),0)</f>
        <v/>
      </c>
      <c r="H53" s="41">
        <f>IF(G53=0,0,LOOKUP(G53,'Tax Assumptions'!$F$9:$F$15,'Tax Assumptions'!$I$9:$I$15)+(G53-LOOKUP(G53,'Tax Assumptions'!$F$9:$F$15,'Tax Assumptions'!$F$9:$F$15))*LOOKUP(G53,'Tax Assumptions'!$F$9:$F$15,'Tax Assumptions'!$H$9:$H$15))</f>
        <v/>
      </c>
      <c r="I53" s="41">
        <f>IF(C53="Working",MIN(MAX(B53-E53,0),'Tax Assumptions'!$B$11)*'Tax Assumptions'!$B$10,0)</f>
        <v/>
      </c>
      <c r="J53" s="41">
        <f>IF(C53="Working",MAX(B53-E53,0)*'Tax Assumptions'!$B$12,0)</f>
        <v/>
      </c>
      <c r="K53" s="41">
        <f>IF(C53="Working",MAX(MAX(B53-E53,0)-'Tax Assumptions'!$B$14,0)*'Tax Assumptions'!$B$13,0)</f>
        <v/>
      </c>
      <c r="L53" s="42">
        <f>IF(C53="Working",MIN(B53*'Tax Assumptions'!$B$15,'Tax Assumptions'!$B$16),0)</f>
        <v/>
      </c>
      <c r="M53" s="42">
        <f>IF(C53="Working",MIN(B53*'Tax Assumptions'!$B$17,'Tax Assumptions'!$B$18),0)</f>
        <v/>
      </c>
      <c r="N53" s="41">
        <f>IF(C53="Working",MAX(B53-D53-'Tax Assumptions'!$B$9,0),0)</f>
        <v/>
      </c>
      <c r="O53" s="41">
        <f>IF(N53=0,0,LOOKUP(N53,'Tax Assumptions'!$K$9:$K$17,'Tax Assumptions'!$N$9:$N$17)+(N53-LOOKUP(N53,'Tax Assumptions'!$K$9:$K$17,'Tax Assumptions'!$K$9:$K$17))*LOOKUP(N53,'Tax Assumptions'!$K$9:$K$17,'Tax Assumptions'!$M$9:$M$17))</f>
        <v/>
      </c>
      <c r="P53" s="41">
        <f>IF(N53=0,0,LOOKUP(N53,'Tax Assumptions'!$P$9:$P$12,'Tax Assumptions'!$S$9:$S$12)+(N53-LOOKUP(N53,'Tax Assumptions'!$P$9:$P$12,'Tax Assumptions'!$P$9:$P$12))*LOOKUP(N53,'Tax Assumptions'!$P$9:$P$12,'Tax Assumptions'!$R$9:$R$12))</f>
        <v/>
      </c>
      <c r="Q53" s="41">
        <f>H53+I53+J53+K53+L53+M53+O53+P53</f>
        <v/>
      </c>
      <c r="R53" s="41">
        <f>IF(C53="Working",B53-D53-E53-F53-Q53,0)</f>
        <v/>
      </c>
      <c r="S53" s="36">
        <f>IF(C53="Working",IF(BL53="","",BL53*(1+'Model Inputs'!$B$35)^(AN53-1)),"")</f>
        <v/>
      </c>
      <c r="T53" s="36">
        <f>IF(C53="Working",IF(BM53="","",BM53*(1+'Model Inputs'!$B$36)^(AN53-1)),"")</f>
        <v/>
      </c>
      <c r="U53" s="41">
        <f>IF(C53="Working",R53-S53-T53,0)</f>
        <v/>
      </c>
      <c r="V53" s="41">
        <f>IF(C53="Working",MIN(MAX(U53,0),'Tax Assumptions'!$B$20),0)</f>
        <v/>
      </c>
      <c r="W53" s="41">
        <f>IF(C53="Working",U53-V53,0)</f>
        <v/>
      </c>
      <c r="X53" s="41">
        <f>IF(C53="Working",W53+V53+D53+E53,0)</f>
        <v/>
      </c>
      <c r="Y53" s="41">
        <f>IF(C53="Retired",$B$13,0)</f>
        <v/>
      </c>
      <c r="Z53" s="41">
        <f>AA53+AB53+AC53+AD53</f>
        <v/>
      </c>
      <c r="AA53" s="41">
        <f>IF(C53="Retired",MIN(Y53,((AE52)*(1+$B$15)+IF(C53="Working",W53,0))),0)</f>
        <v/>
      </c>
      <c r="AB53" s="41">
        <f>IF(C53="Retired",MIN(MAX(Y53-AA53,0),((AF52)*(1+$B$15)+IF(C53="Working",D53,0))),0)</f>
        <v/>
      </c>
      <c r="AC53" s="41">
        <f>IF(C53="Retired",MIN(MAX(Y53-AA53-AB53,0),((AG52)*(1+$B$15)+IF(C53="Working",V53,0))),0)</f>
        <v/>
      </c>
      <c r="AD53" s="41">
        <f>IF(C53="Retired",MIN(MAX(Y53-AA53-AB53-AC53,0),((AH52)*(1+$B$15)+IF(C53="Working",E53,0))),0)</f>
        <v/>
      </c>
      <c r="AE53" s="43">
        <f>MAX(((AE52)*(1+$B$15)+IF(C53="Working",W53,0))-AA53,0)</f>
        <v/>
      </c>
      <c r="AF53" s="43">
        <f>MAX(((AF52)*(1+$B$15)+IF(C53="Working",D53,0))-AB53,0)</f>
        <v/>
      </c>
      <c r="AG53" s="43">
        <f>MAX(((AG52)*(1+$B$15)+IF(C53="Working",V53,0))-AC53,0)</f>
        <v/>
      </c>
      <c r="AH53" s="43">
        <f>MAX(((AH52)*(1+$B$15)+IF(C53="Working",E53,0))-AD53,0)</f>
        <v/>
      </c>
      <c r="AI53" s="43">
        <f>AE53+AF53+AG53+AH53</f>
        <v/>
      </c>
      <c r="AJ53" s="43">
        <f>IF(C53="Working",AJ52+X53,MAX(AJ52-MIN(Y53,AJ52),0))</f>
        <v/>
      </c>
      <c r="AK53" s="43">
        <f>IF(C53="Working",AK52*(1+$B$16)+X53,MAX(AK52*(1+$B$16)-MIN(Y53,AK52*(1+$B$16)),0))</f>
        <v/>
      </c>
      <c r="AL53" s="44">
        <f>IF(C53="Working",IF(B53=0,0,W53/B53),0)</f>
        <v/>
      </c>
      <c r="AM53" s="44">
        <f>IF(C53="Working",IF(B53=0,0,X53/B53),0)</f>
        <v/>
      </c>
      <c r="AN53" s="169">
        <f>A53</f>
        <v/>
      </c>
      <c r="AO53" s="169">
        <f>'Model Inputs'!$B$22+AN53-1</f>
        <v/>
      </c>
      <c r="AP53" s="34">
        <f>IF(AND(AQ53="",AR53="",AX53="",BA53="",BC53=""),"",IF(AN53=1,(13-'Model Inputs'!$B$23)/12,1))</f>
        <v/>
      </c>
      <c r="AQ53" s="36">
        <f>IF(OR(AN53&lt;='Model Inputs'!$B$24,AR53&lt;&gt;"",AX53&lt;&gt;"",BA53&lt;&gt;"",BC53&lt;&gt;""),'Model Inputs'!$B$25*(1+'Model Inputs'!$B$31)^(AN53-1),"")</f>
        <v/>
      </c>
      <c r="AR53" s="195" t="n"/>
      <c r="AS53" s="36">
        <f>IF(AP53="","",IF(AR53="",AQ53,AR53))</f>
        <v/>
      </c>
      <c r="AT53" s="36">
        <f>IF(AS53="","",AP53*AS53)</f>
        <v/>
      </c>
      <c r="AU53" s="36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34">
        <f>IF(AU53="","",IF(AN53&lt;=2,0,'Model Inputs'!$B$32*SIN(2*PI()*(AN53-2+'Model Inputs'!$B$34)/MAX(1,'Model Inputs'!$B$33))))</f>
        <v/>
      </c>
      <c r="AW53" s="34" t="n"/>
      <c r="AX53" s="195" t="n"/>
      <c r="AY53" s="36">
        <f>IF(AP53="","",IF(BC53&lt;&gt;"",MAX(BC53-AT53-IF(AZ53="",0,AZ53)-IF(BA53="",0,BA53),0),IF(AX53&lt;&gt;"",AX53,AU53*(1+IF(AW53="",AV53,AW53)))))</f>
        <v/>
      </c>
      <c r="AZ53" s="36">
        <f>IF(AN53=1,'Model Inputs'!$B$26,"")</f>
        <v/>
      </c>
      <c r="BA53" s="195" t="n"/>
      <c r="BB53" s="36">
        <f>IF(AND(AS53="",AY53="",AZ53="",BA53="",BC53=""),"",IF(BC53&lt;&gt;"",BC53,AT53+IF(AY53="",0,AY53)+IF(AZ53="",0,AZ53)+IF(BA53="",0,BA53)))</f>
        <v/>
      </c>
      <c r="BC53" s="195" t="n"/>
      <c r="BL53" s="195">
        <f>IF(C53="Working",LOOKUP(2,1/($BL$19:BL52&lt;&gt;""),$BL$19:BL52),"")</f>
        <v/>
      </c>
      <c r="BM53" s="195">
        <f>IF(C53="Working",LOOKUP(2,1/($BM$19:BM52&lt;&gt;""),$BM$19:BM52),"")</f>
        <v/>
      </c>
    </row>
    <row r="54" ht="18" customHeight="1" s="326">
      <c r="A54" s="45" t="n">
        <v>36</v>
      </c>
      <c r="B54" s="46">
        <f>IF(BB54="","",BB54)</f>
        <v/>
      </c>
      <c r="C54" s="45">
        <f>IF(B54="","Retired","Working")</f>
        <v/>
      </c>
      <c r="D54" s="46">
        <f>IF(OR(C54="Retired",B54=""),0,MIN(B54,'Tax Assumptions'!$B$19))</f>
        <v/>
      </c>
      <c r="E54" s="36" t="n"/>
      <c r="F54" s="36" t="n"/>
      <c r="G54" s="46">
        <f>IF(C54="Working",MAX(B54-D54-E54-'Tax Assumptions'!$B$8,0),0)</f>
        <v/>
      </c>
      <c r="H54" s="46">
        <f>IF(G54=0,0,LOOKUP(G54,'Tax Assumptions'!$F$9:$F$15,'Tax Assumptions'!$I$9:$I$15)+(G54-LOOKUP(G54,'Tax Assumptions'!$F$9:$F$15,'Tax Assumptions'!$F$9:$F$15))*LOOKUP(G54,'Tax Assumptions'!$F$9:$F$15,'Tax Assumptions'!$H$9:$H$15))</f>
        <v/>
      </c>
      <c r="I54" s="46">
        <f>IF(C54="Working",MIN(MAX(B54-E54,0),'Tax Assumptions'!$B$11)*'Tax Assumptions'!$B$10,0)</f>
        <v/>
      </c>
      <c r="J54" s="46">
        <f>IF(C54="Working",MAX(B54-E54,0)*'Tax Assumptions'!$B$12,0)</f>
        <v/>
      </c>
      <c r="K54" s="46">
        <f>IF(C54="Working",MAX(MAX(B54-E54,0)-'Tax Assumptions'!$B$14,0)*'Tax Assumptions'!$B$13,0)</f>
        <v/>
      </c>
      <c r="L54" s="47">
        <f>IF(C54="Working",MIN(B54*'Tax Assumptions'!$B$15,'Tax Assumptions'!$B$16),0)</f>
        <v/>
      </c>
      <c r="M54" s="47">
        <f>IF(C54="Working",MIN(B54*'Tax Assumptions'!$B$17,'Tax Assumptions'!$B$18),0)</f>
        <v/>
      </c>
      <c r="N54" s="46">
        <f>IF(C54="Working",MAX(B54-D54-'Tax Assumptions'!$B$9,0),0)</f>
        <v/>
      </c>
      <c r="O54" s="46">
        <f>IF(N54=0,0,LOOKUP(N54,'Tax Assumptions'!$K$9:$K$17,'Tax Assumptions'!$N$9:$N$17)+(N54-LOOKUP(N54,'Tax Assumptions'!$K$9:$K$17,'Tax Assumptions'!$K$9:$K$17))*LOOKUP(N54,'Tax Assumptions'!$K$9:$K$17,'Tax Assumptions'!$M$9:$M$17))</f>
        <v/>
      </c>
      <c r="P54" s="46">
        <f>IF(N54=0,0,LOOKUP(N54,'Tax Assumptions'!$P$9:$P$12,'Tax Assumptions'!$S$9:$S$12)+(N54-LOOKUP(N54,'Tax Assumptions'!$P$9:$P$12,'Tax Assumptions'!$P$9:$P$12))*LOOKUP(N54,'Tax Assumptions'!$P$9:$P$12,'Tax Assumptions'!$R$9:$R$12))</f>
        <v/>
      </c>
      <c r="Q54" s="46">
        <f>H54+I54+J54+K54+L54+M54+O54+P54</f>
        <v/>
      </c>
      <c r="R54" s="46">
        <f>IF(C54="Working",B54-D54-E54-F54-Q54,0)</f>
        <v/>
      </c>
      <c r="S54" s="36">
        <f>IF(C54="Working",IF(BL54="","",BL54*(1+'Model Inputs'!$B$35)^(AN54-1)),"")</f>
        <v/>
      </c>
      <c r="T54" s="36">
        <f>IF(C54="Working",IF(BM54="","",BM54*(1+'Model Inputs'!$B$36)^(AN54-1)),"")</f>
        <v/>
      </c>
      <c r="U54" s="46">
        <f>IF(C54="Working",R54-S54-T54,0)</f>
        <v/>
      </c>
      <c r="V54" s="46">
        <f>IF(C54="Working",MIN(MAX(U54,0),'Tax Assumptions'!$B$20),0)</f>
        <v/>
      </c>
      <c r="W54" s="46">
        <f>IF(C54="Working",U54-V54,0)</f>
        <v/>
      </c>
      <c r="X54" s="46">
        <f>IF(C54="Working",W54+V54+D54+E54,0)</f>
        <v/>
      </c>
      <c r="Y54" s="46">
        <f>IF(C54="Retired",$B$13,0)</f>
        <v/>
      </c>
      <c r="Z54" s="46">
        <f>AA54+AB54+AC54+AD54</f>
        <v/>
      </c>
      <c r="AA54" s="46">
        <f>IF(C54="Retired",MIN(Y54,((AE53)*(1+$B$15)+IF(C54="Working",W54,0))),0)</f>
        <v/>
      </c>
      <c r="AB54" s="46">
        <f>IF(C54="Retired",MIN(MAX(Y54-AA54,0),((AF53)*(1+$B$15)+IF(C54="Working",D54,0))),0)</f>
        <v/>
      </c>
      <c r="AC54" s="46">
        <f>IF(C54="Retired",MIN(MAX(Y54-AA54-AB54,0),((AG53)*(1+$B$15)+IF(C54="Working",V54,0))),0)</f>
        <v/>
      </c>
      <c r="AD54" s="46">
        <f>IF(C54="Retired",MIN(MAX(Y54-AA54-AB54-AC54,0),((AH53)*(1+$B$15)+IF(C54="Working",E54,0))),0)</f>
        <v/>
      </c>
      <c r="AE54" s="43">
        <f>MAX(((AE53)*(1+$B$15)+IF(C54="Working",W54,0))-AA54,0)</f>
        <v/>
      </c>
      <c r="AF54" s="43">
        <f>MAX(((AF53)*(1+$B$15)+IF(C54="Working",D54,0))-AB54,0)</f>
        <v/>
      </c>
      <c r="AG54" s="43">
        <f>MAX(((AG53)*(1+$B$15)+IF(C54="Working",V54,0))-AC54,0)</f>
        <v/>
      </c>
      <c r="AH54" s="43">
        <f>MAX(((AH53)*(1+$B$15)+IF(C54="Working",E54,0))-AD54,0)</f>
        <v/>
      </c>
      <c r="AI54" s="43">
        <f>AE54+AF54+AG54+AH54</f>
        <v/>
      </c>
      <c r="AJ54" s="43">
        <f>IF(C54="Working",AJ53+X54,MAX(AJ53-MIN(Y54,AJ53),0))</f>
        <v/>
      </c>
      <c r="AK54" s="43">
        <f>IF(C54="Working",AK53*(1+$B$16)+X54,MAX(AK53*(1+$B$16)-MIN(Y54,AK53*(1+$B$16)),0))</f>
        <v/>
      </c>
      <c r="AL54" s="48">
        <f>IF(C54="Working",IF(B54=0,0,W54/B54),0)</f>
        <v/>
      </c>
      <c r="AM54" s="48">
        <f>IF(C54="Working",IF(B54=0,0,X54/B54),0)</f>
        <v/>
      </c>
      <c r="AN54" s="169">
        <f>A54</f>
        <v/>
      </c>
      <c r="AO54" s="169">
        <f>'Model Inputs'!$B$22+AN54-1</f>
        <v/>
      </c>
      <c r="AP54" s="34">
        <f>IF(AND(AQ54="",AR54="",AX54="",BA54="",BC54=""),"",IF(AN54=1,(13-'Model Inputs'!$B$23)/12,1))</f>
        <v/>
      </c>
      <c r="AQ54" s="36">
        <f>IF(OR(AN54&lt;='Model Inputs'!$B$24,AR54&lt;&gt;"",AX54&lt;&gt;"",BA54&lt;&gt;"",BC54&lt;&gt;""),'Model Inputs'!$B$25*(1+'Model Inputs'!$B$31)^(AN54-1),"")</f>
        <v/>
      </c>
      <c r="AR54" s="195" t="n"/>
      <c r="AS54" s="36">
        <f>IF(AP54="","",IF(AR54="",AQ54,AR54))</f>
        <v/>
      </c>
      <c r="AT54" s="36">
        <f>IF(AS54="","",AP54*AS54)</f>
        <v/>
      </c>
      <c r="AU54" s="36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34">
        <f>IF(AU54="","",IF(AN54&lt;=2,0,'Model Inputs'!$B$32*SIN(2*PI()*(AN54-2+'Model Inputs'!$B$34)/MAX(1,'Model Inputs'!$B$33))))</f>
        <v/>
      </c>
      <c r="AW54" s="34" t="n"/>
      <c r="AX54" s="195" t="n"/>
      <c r="AY54" s="36">
        <f>IF(AP54="","",IF(BC54&lt;&gt;"",MAX(BC54-AT54-IF(AZ54="",0,AZ54)-IF(BA54="",0,BA54),0),IF(AX54&lt;&gt;"",AX54,AU54*(1+IF(AW54="",AV54,AW54)))))</f>
        <v/>
      </c>
      <c r="AZ54" s="36">
        <f>IF(AN54=1,'Model Inputs'!$B$26,"")</f>
        <v/>
      </c>
      <c r="BA54" s="195" t="n"/>
      <c r="BB54" s="36">
        <f>IF(AND(AS54="",AY54="",AZ54="",BA54="",BC54=""),"",IF(BC54&lt;&gt;"",BC54,AT54+IF(AY54="",0,AY54)+IF(AZ54="",0,AZ54)+IF(BA54="",0,BA54)))</f>
        <v/>
      </c>
      <c r="BC54" s="195" t="n"/>
      <c r="BL54" s="195">
        <f>IF(C54="Working",LOOKUP(2,1/($BL$19:BL53&lt;&gt;""),$BL$19:BL53),"")</f>
        <v/>
      </c>
      <c r="BM54" s="195">
        <f>IF(C54="Working",LOOKUP(2,1/($BM$19:BM53&lt;&gt;""),$BM$19:BM53),"")</f>
        <v/>
      </c>
    </row>
    <row r="55" ht="18" customHeight="1" s="326">
      <c r="A55" s="40" t="n">
        <v>37</v>
      </c>
      <c r="B55" s="41">
        <f>IF(BB55="","",BB55)</f>
        <v/>
      </c>
      <c r="C55" s="40">
        <f>IF(B55="","Retired","Working")</f>
        <v/>
      </c>
      <c r="D55" s="41">
        <f>IF(OR(C55="Retired",B55=""),0,MIN(B55,'Tax Assumptions'!$B$19))</f>
        <v/>
      </c>
      <c r="E55" s="36" t="n"/>
      <c r="F55" s="36" t="n"/>
      <c r="G55" s="41">
        <f>IF(C55="Working",MAX(B55-D55-E55-'Tax Assumptions'!$B$8,0),0)</f>
        <v/>
      </c>
      <c r="H55" s="41">
        <f>IF(G55=0,0,LOOKUP(G55,'Tax Assumptions'!$F$9:$F$15,'Tax Assumptions'!$I$9:$I$15)+(G55-LOOKUP(G55,'Tax Assumptions'!$F$9:$F$15,'Tax Assumptions'!$F$9:$F$15))*LOOKUP(G55,'Tax Assumptions'!$F$9:$F$15,'Tax Assumptions'!$H$9:$H$15))</f>
        <v/>
      </c>
      <c r="I55" s="41">
        <f>IF(C55="Working",MIN(MAX(B55-E55,0),'Tax Assumptions'!$B$11)*'Tax Assumptions'!$B$10,0)</f>
        <v/>
      </c>
      <c r="J55" s="41">
        <f>IF(C55="Working",MAX(B55-E55,0)*'Tax Assumptions'!$B$12,0)</f>
        <v/>
      </c>
      <c r="K55" s="41">
        <f>IF(C55="Working",MAX(MAX(B55-E55,0)-'Tax Assumptions'!$B$14,0)*'Tax Assumptions'!$B$13,0)</f>
        <v/>
      </c>
      <c r="L55" s="42">
        <f>IF(C55="Working",MIN(B55*'Tax Assumptions'!$B$15,'Tax Assumptions'!$B$16),0)</f>
        <v/>
      </c>
      <c r="M55" s="42">
        <f>IF(C55="Working",MIN(B55*'Tax Assumptions'!$B$17,'Tax Assumptions'!$B$18),0)</f>
        <v/>
      </c>
      <c r="N55" s="41">
        <f>IF(C55="Working",MAX(B55-D55-'Tax Assumptions'!$B$9,0),0)</f>
        <v/>
      </c>
      <c r="O55" s="41">
        <f>IF(N55=0,0,LOOKUP(N55,'Tax Assumptions'!$K$9:$K$17,'Tax Assumptions'!$N$9:$N$17)+(N55-LOOKUP(N55,'Tax Assumptions'!$K$9:$K$17,'Tax Assumptions'!$K$9:$K$17))*LOOKUP(N55,'Tax Assumptions'!$K$9:$K$17,'Tax Assumptions'!$M$9:$M$17))</f>
        <v/>
      </c>
      <c r="P55" s="41">
        <f>IF(N55=0,0,LOOKUP(N55,'Tax Assumptions'!$P$9:$P$12,'Tax Assumptions'!$S$9:$S$12)+(N55-LOOKUP(N55,'Tax Assumptions'!$P$9:$P$12,'Tax Assumptions'!$P$9:$P$12))*LOOKUP(N55,'Tax Assumptions'!$P$9:$P$12,'Tax Assumptions'!$R$9:$R$12))</f>
        <v/>
      </c>
      <c r="Q55" s="41">
        <f>H55+I55+J55+K55+L55+M55+O55+P55</f>
        <v/>
      </c>
      <c r="R55" s="41">
        <f>IF(C55="Working",B55-D55-E55-F55-Q55,0)</f>
        <v/>
      </c>
      <c r="S55" s="36">
        <f>IF(C55="Working",IF(BL55="","",BL55*(1+'Model Inputs'!$B$35)^(AN55-1)),"")</f>
        <v/>
      </c>
      <c r="T55" s="36">
        <f>IF(C55="Working",IF(BM55="","",BM55*(1+'Model Inputs'!$B$36)^(AN55-1)),"")</f>
        <v/>
      </c>
      <c r="U55" s="41">
        <f>IF(C55="Working",R55-S55-T55,0)</f>
        <v/>
      </c>
      <c r="V55" s="41">
        <f>IF(C55="Working",MIN(MAX(U55,0),'Tax Assumptions'!$B$20),0)</f>
        <v/>
      </c>
      <c r="W55" s="41">
        <f>IF(C55="Working",U55-V55,0)</f>
        <v/>
      </c>
      <c r="X55" s="41">
        <f>IF(C55="Working",W55+V55+D55+E55,0)</f>
        <v/>
      </c>
      <c r="Y55" s="41">
        <f>IF(C55="Retired",$B$13,0)</f>
        <v/>
      </c>
      <c r="Z55" s="41">
        <f>AA55+AB55+AC55+AD55</f>
        <v/>
      </c>
      <c r="AA55" s="41">
        <f>IF(C55="Retired",MIN(Y55,((AE54)*(1+$B$15)+IF(C55="Working",W55,0))),0)</f>
        <v/>
      </c>
      <c r="AB55" s="41">
        <f>IF(C55="Retired",MIN(MAX(Y55-AA55,0),((AF54)*(1+$B$15)+IF(C55="Working",D55,0))),0)</f>
        <v/>
      </c>
      <c r="AC55" s="41">
        <f>IF(C55="Retired",MIN(MAX(Y55-AA55-AB55,0),((AG54)*(1+$B$15)+IF(C55="Working",V55,0))),0)</f>
        <v/>
      </c>
      <c r="AD55" s="41">
        <f>IF(C55="Retired",MIN(MAX(Y55-AA55-AB55-AC55,0),((AH54)*(1+$B$15)+IF(C55="Working",E55,0))),0)</f>
        <v/>
      </c>
      <c r="AE55" s="43">
        <f>MAX(((AE54)*(1+$B$15)+IF(C55="Working",W55,0))-AA55,0)</f>
        <v/>
      </c>
      <c r="AF55" s="43">
        <f>MAX(((AF54)*(1+$B$15)+IF(C55="Working",D55,0))-AB55,0)</f>
        <v/>
      </c>
      <c r="AG55" s="43">
        <f>MAX(((AG54)*(1+$B$15)+IF(C55="Working",V55,0))-AC55,0)</f>
        <v/>
      </c>
      <c r="AH55" s="43">
        <f>MAX(((AH54)*(1+$B$15)+IF(C55="Working",E55,0))-AD55,0)</f>
        <v/>
      </c>
      <c r="AI55" s="43">
        <f>AE55+AF55+AG55+AH55</f>
        <v/>
      </c>
      <c r="AJ55" s="43">
        <f>IF(C55="Working",AJ54+X55,MAX(AJ54-MIN(Y55,AJ54),0))</f>
        <v/>
      </c>
      <c r="AK55" s="43">
        <f>IF(C55="Working",AK54*(1+$B$16)+X55,MAX(AK54*(1+$B$16)-MIN(Y55,AK54*(1+$B$16)),0))</f>
        <v/>
      </c>
      <c r="AL55" s="44">
        <f>IF(C55="Working",IF(B55=0,0,W55/B55),0)</f>
        <v/>
      </c>
      <c r="AM55" s="44">
        <f>IF(C55="Working",IF(B55=0,0,X55/B55),0)</f>
        <v/>
      </c>
      <c r="AN55" s="169">
        <f>A55</f>
        <v/>
      </c>
      <c r="AO55" s="169">
        <f>'Model Inputs'!$B$22+AN55-1</f>
        <v/>
      </c>
      <c r="AP55" s="34">
        <f>IF(AND(AQ55="",AR55="",AX55="",BA55="",BC55=""),"",IF(AN55=1,(13-'Model Inputs'!$B$23)/12,1))</f>
        <v/>
      </c>
      <c r="AQ55" s="36">
        <f>IF(OR(AN55&lt;='Model Inputs'!$B$24,AR55&lt;&gt;"",AX55&lt;&gt;"",BA55&lt;&gt;"",BC55&lt;&gt;""),'Model Inputs'!$B$25*(1+'Model Inputs'!$B$31)^(AN55-1),"")</f>
        <v/>
      </c>
      <c r="AR55" s="195" t="n"/>
      <c r="AS55" s="36">
        <f>IF(AP55="","",IF(AR55="",AQ55,AR55))</f>
        <v/>
      </c>
      <c r="AT55" s="36">
        <f>IF(AS55="","",AP55*AS55)</f>
        <v/>
      </c>
      <c r="AU55" s="36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34">
        <f>IF(AU55="","",IF(AN55&lt;=2,0,'Model Inputs'!$B$32*SIN(2*PI()*(AN55-2+'Model Inputs'!$B$34)/MAX(1,'Model Inputs'!$B$33))))</f>
        <v/>
      </c>
      <c r="AW55" s="34" t="n"/>
      <c r="AX55" s="195" t="n"/>
      <c r="AY55" s="36">
        <f>IF(AP55="","",IF(BC55&lt;&gt;"",MAX(BC55-AT55-IF(AZ55="",0,AZ55)-IF(BA55="",0,BA55),0),IF(AX55&lt;&gt;"",AX55,AU55*(1+IF(AW55="",AV55,AW55)))))</f>
        <v/>
      </c>
      <c r="AZ55" s="36">
        <f>IF(AN55=1,'Model Inputs'!$B$26,"")</f>
        <v/>
      </c>
      <c r="BA55" s="195" t="n"/>
      <c r="BB55" s="36">
        <f>IF(AND(AS55="",AY55="",AZ55="",BA55="",BC55=""),"",IF(BC55&lt;&gt;"",BC55,AT55+IF(AY55="",0,AY55)+IF(AZ55="",0,AZ55)+IF(BA55="",0,BA55)))</f>
        <v/>
      </c>
      <c r="BC55" s="195" t="n"/>
      <c r="BL55" s="195">
        <f>IF(C55="Working",LOOKUP(2,1/($BL$19:BL54&lt;&gt;""),$BL$19:BL54),"")</f>
        <v/>
      </c>
      <c r="BM55" s="195">
        <f>IF(C55="Working",LOOKUP(2,1/($BM$19:BM54&lt;&gt;""),$BM$19:BM54),"")</f>
        <v/>
      </c>
    </row>
    <row r="56" ht="18" customHeight="1" s="326">
      <c r="A56" s="45" t="n">
        <v>38</v>
      </c>
      <c r="B56" s="46">
        <f>IF(BB56="","",BB56)</f>
        <v/>
      </c>
      <c r="C56" s="45">
        <f>IF(B56="","Retired","Working")</f>
        <v/>
      </c>
      <c r="D56" s="46">
        <f>IF(OR(C56="Retired",B56=""),0,MIN(B56,'Tax Assumptions'!$B$19))</f>
        <v/>
      </c>
      <c r="E56" s="36" t="n"/>
      <c r="F56" s="36" t="n"/>
      <c r="G56" s="46">
        <f>IF(C56="Working",MAX(B56-D56-E56-'Tax Assumptions'!$B$8,0),0)</f>
        <v/>
      </c>
      <c r="H56" s="46">
        <f>IF(G56=0,0,LOOKUP(G56,'Tax Assumptions'!$F$9:$F$15,'Tax Assumptions'!$I$9:$I$15)+(G56-LOOKUP(G56,'Tax Assumptions'!$F$9:$F$15,'Tax Assumptions'!$F$9:$F$15))*LOOKUP(G56,'Tax Assumptions'!$F$9:$F$15,'Tax Assumptions'!$H$9:$H$15))</f>
        <v/>
      </c>
      <c r="I56" s="46">
        <f>IF(C56="Working",MIN(MAX(B56-E56,0),'Tax Assumptions'!$B$11)*'Tax Assumptions'!$B$10,0)</f>
        <v/>
      </c>
      <c r="J56" s="46">
        <f>IF(C56="Working",MAX(B56-E56,0)*'Tax Assumptions'!$B$12,0)</f>
        <v/>
      </c>
      <c r="K56" s="46">
        <f>IF(C56="Working",MAX(MAX(B56-E56,0)-'Tax Assumptions'!$B$14,0)*'Tax Assumptions'!$B$13,0)</f>
        <v/>
      </c>
      <c r="L56" s="47">
        <f>IF(C56="Working",MIN(B56*'Tax Assumptions'!$B$15,'Tax Assumptions'!$B$16),0)</f>
        <v/>
      </c>
      <c r="M56" s="47">
        <f>IF(C56="Working",MIN(B56*'Tax Assumptions'!$B$17,'Tax Assumptions'!$B$18),0)</f>
        <v/>
      </c>
      <c r="N56" s="46">
        <f>IF(C56="Working",MAX(B56-D56-'Tax Assumptions'!$B$9,0),0)</f>
        <v/>
      </c>
      <c r="O56" s="46">
        <f>IF(N56=0,0,LOOKUP(N56,'Tax Assumptions'!$K$9:$K$17,'Tax Assumptions'!$N$9:$N$17)+(N56-LOOKUP(N56,'Tax Assumptions'!$K$9:$K$17,'Tax Assumptions'!$K$9:$K$17))*LOOKUP(N56,'Tax Assumptions'!$K$9:$K$17,'Tax Assumptions'!$M$9:$M$17))</f>
        <v/>
      </c>
      <c r="P56" s="46">
        <f>IF(N56=0,0,LOOKUP(N56,'Tax Assumptions'!$P$9:$P$12,'Tax Assumptions'!$S$9:$S$12)+(N56-LOOKUP(N56,'Tax Assumptions'!$P$9:$P$12,'Tax Assumptions'!$P$9:$P$12))*LOOKUP(N56,'Tax Assumptions'!$P$9:$P$12,'Tax Assumptions'!$R$9:$R$12))</f>
        <v/>
      </c>
      <c r="Q56" s="46">
        <f>H56+I56+J56+K56+L56+M56+O56+P56</f>
        <v/>
      </c>
      <c r="R56" s="46">
        <f>IF(C56="Working",B56-D56-E56-F56-Q56,0)</f>
        <v/>
      </c>
      <c r="S56" s="36">
        <f>IF(C56="Working",IF(BL56="","",BL56*(1+'Model Inputs'!$B$35)^(AN56-1)),"")</f>
        <v/>
      </c>
      <c r="T56" s="36">
        <f>IF(C56="Working",IF(BM56="","",BM56*(1+'Model Inputs'!$B$36)^(AN56-1)),"")</f>
        <v/>
      </c>
      <c r="U56" s="46">
        <f>IF(C56="Working",R56-S56-T56,0)</f>
        <v/>
      </c>
      <c r="V56" s="46">
        <f>IF(C56="Working",MIN(MAX(U56,0),'Tax Assumptions'!$B$20),0)</f>
        <v/>
      </c>
      <c r="W56" s="46">
        <f>IF(C56="Working",U56-V56,0)</f>
        <v/>
      </c>
      <c r="X56" s="46">
        <f>IF(C56="Working",W56+V56+D56+E56,0)</f>
        <v/>
      </c>
      <c r="Y56" s="46">
        <f>IF(C56="Retired",$B$13,0)</f>
        <v/>
      </c>
      <c r="Z56" s="46">
        <f>AA56+AB56+AC56+AD56</f>
        <v/>
      </c>
      <c r="AA56" s="46">
        <f>IF(C56="Retired",MIN(Y56,((AE55)*(1+$B$15)+IF(C56="Working",W56,0))),0)</f>
        <v/>
      </c>
      <c r="AB56" s="46">
        <f>IF(C56="Retired",MIN(MAX(Y56-AA56,0),((AF55)*(1+$B$15)+IF(C56="Working",D56,0))),0)</f>
        <v/>
      </c>
      <c r="AC56" s="46">
        <f>IF(C56="Retired",MIN(MAX(Y56-AA56-AB56,0),((AG55)*(1+$B$15)+IF(C56="Working",V56,0))),0)</f>
        <v/>
      </c>
      <c r="AD56" s="46">
        <f>IF(C56="Retired",MIN(MAX(Y56-AA56-AB56-AC56,0),((AH55)*(1+$B$15)+IF(C56="Working",E56,0))),0)</f>
        <v/>
      </c>
      <c r="AE56" s="43">
        <f>MAX(((AE55)*(1+$B$15)+IF(C56="Working",W56,0))-AA56,0)</f>
        <v/>
      </c>
      <c r="AF56" s="43">
        <f>MAX(((AF55)*(1+$B$15)+IF(C56="Working",D56,0))-AB56,0)</f>
        <v/>
      </c>
      <c r="AG56" s="43">
        <f>MAX(((AG55)*(1+$B$15)+IF(C56="Working",V56,0))-AC56,0)</f>
        <v/>
      </c>
      <c r="AH56" s="43">
        <f>MAX(((AH55)*(1+$B$15)+IF(C56="Working",E56,0))-AD56,0)</f>
        <v/>
      </c>
      <c r="AI56" s="43">
        <f>AE56+AF56+AG56+AH56</f>
        <v/>
      </c>
      <c r="AJ56" s="43">
        <f>IF(C56="Working",AJ55+X56,MAX(AJ55-MIN(Y56,AJ55),0))</f>
        <v/>
      </c>
      <c r="AK56" s="43">
        <f>IF(C56="Working",AK55*(1+$B$16)+X56,MAX(AK55*(1+$B$16)-MIN(Y56,AK55*(1+$B$16)),0))</f>
        <v/>
      </c>
      <c r="AL56" s="48">
        <f>IF(C56="Working",IF(B56=0,0,W56/B56),0)</f>
        <v/>
      </c>
      <c r="AM56" s="48">
        <f>IF(C56="Working",IF(B56=0,0,X56/B56),0)</f>
        <v/>
      </c>
      <c r="AN56" s="169">
        <f>A56</f>
        <v/>
      </c>
      <c r="AO56" s="169">
        <f>'Model Inputs'!$B$22+AN56-1</f>
        <v/>
      </c>
      <c r="AP56" s="34">
        <f>IF(AND(AQ56="",AR56="",AX56="",BA56="",BC56=""),"",IF(AN56=1,(13-'Model Inputs'!$B$23)/12,1))</f>
        <v/>
      </c>
      <c r="AQ56" s="36">
        <f>IF(OR(AN56&lt;='Model Inputs'!$B$24,AR56&lt;&gt;"",AX56&lt;&gt;"",BA56&lt;&gt;"",BC56&lt;&gt;""),'Model Inputs'!$B$25*(1+'Model Inputs'!$B$31)^(AN56-1),"")</f>
        <v/>
      </c>
      <c r="AR56" s="195" t="n"/>
      <c r="AS56" s="36">
        <f>IF(AP56="","",IF(AR56="",AQ56,AR56))</f>
        <v/>
      </c>
      <c r="AT56" s="36">
        <f>IF(AS56="","",AP56*AS56)</f>
        <v/>
      </c>
      <c r="AU56" s="36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34">
        <f>IF(AU56="","",IF(AN56&lt;=2,0,'Model Inputs'!$B$32*SIN(2*PI()*(AN56-2+'Model Inputs'!$B$34)/MAX(1,'Model Inputs'!$B$33))))</f>
        <v/>
      </c>
      <c r="AW56" s="34" t="n"/>
      <c r="AX56" s="195" t="n"/>
      <c r="AY56" s="36">
        <f>IF(AP56="","",IF(BC56&lt;&gt;"",MAX(BC56-AT56-IF(AZ56="",0,AZ56)-IF(BA56="",0,BA56),0),IF(AX56&lt;&gt;"",AX56,AU56*(1+IF(AW56="",AV56,AW56)))))</f>
        <v/>
      </c>
      <c r="AZ56" s="36">
        <f>IF(AN56=1,'Model Inputs'!$B$26,"")</f>
        <v/>
      </c>
      <c r="BA56" s="195" t="n"/>
      <c r="BB56" s="36">
        <f>IF(AND(AS56="",AY56="",AZ56="",BA56="",BC56=""),"",IF(BC56&lt;&gt;"",BC56,AT56+IF(AY56="",0,AY56)+IF(AZ56="",0,AZ56)+IF(BA56="",0,BA56)))</f>
        <v/>
      </c>
      <c r="BC56" s="195" t="n"/>
      <c r="BL56" s="195">
        <f>IF(C56="Working",LOOKUP(2,1/($BL$19:BL55&lt;&gt;""),$BL$19:BL55),"")</f>
        <v/>
      </c>
      <c r="BM56" s="195">
        <f>IF(C56="Working",LOOKUP(2,1/($BM$19:BM55&lt;&gt;""),$BM$19:BM55),"")</f>
        <v/>
      </c>
    </row>
    <row r="57" ht="18" customHeight="1" s="326">
      <c r="A57" s="40" t="n">
        <v>39</v>
      </c>
      <c r="B57" s="41">
        <f>IF(BB57="","",BB57)</f>
        <v/>
      </c>
      <c r="C57" s="40">
        <f>IF(B57="","Retired","Working")</f>
        <v/>
      </c>
      <c r="D57" s="41">
        <f>IF(OR(C57="Retired",B57=""),0,MIN(B57,'Tax Assumptions'!$B$19))</f>
        <v/>
      </c>
      <c r="E57" s="36" t="n"/>
      <c r="F57" s="36" t="n"/>
      <c r="G57" s="41">
        <f>IF(C57="Working",MAX(B57-D57-E57-'Tax Assumptions'!$B$8,0),0)</f>
        <v/>
      </c>
      <c r="H57" s="41">
        <f>IF(G57=0,0,LOOKUP(G57,'Tax Assumptions'!$F$9:$F$15,'Tax Assumptions'!$I$9:$I$15)+(G57-LOOKUP(G57,'Tax Assumptions'!$F$9:$F$15,'Tax Assumptions'!$F$9:$F$15))*LOOKUP(G57,'Tax Assumptions'!$F$9:$F$15,'Tax Assumptions'!$H$9:$H$15))</f>
        <v/>
      </c>
      <c r="I57" s="41">
        <f>IF(C57="Working",MIN(MAX(B57-E57,0),'Tax Assumptions'!$B$11)*'Tax Assumptions'!$B$10,0)</f>
        <v/>
      </c>
      <c r="J57" s="41">
        <f>IF(C57="Working",MAX(B57-E57,0)*'Tax Assumptions'!$B$12,0)</f>
        <v/>
      </c>
      <c r="K57" s="41">
        <f>IF(C57="Working",MAX(MAX(B57-E57,0)-'Tax Assumptions'!$B$14,0)*'Tax Assumptions'!$B$13,0)</f>
        <v/>
      </c>
      <c r="L57" s="42">
        <f>IF(C57="Working",MIN(B57*'Tax Assumptions'!$B$15,'Tax Assumptions'!$B$16),0)</f>
        <v/>
      </c>
      <c r="M57" s="42">
        <f>IF(C57="Working",MIN(B57*'Tax Assumptions'!$B$17,'Tax Assumptions'!$B$18),0)</f>
        <v/>
      </c>
      <c r="N57" s="41">
        <f>IF(C57="Working",MAX(B57-D57-'Tax Assumptions'!$B$9,0),0)</f>
        <v/>
      </c>
      <c r="O57" s="41">
        <f>IF(N57=0,0,LOOKUP(N57,'Tax Assumptions'!$K$9:$K$17,'Tax Assumptions'!$N$9:$N$17)+(N57-LOOKUP(N57,'Tax Assumptions'!$K$9:$K$17,'Tax Assumptions'!$K$9:$K$17))*LOOKUP(N57,'Tax Assumptions'!$K$9:$K$17,'Tax Assumptions'!$M$9:$M$17))</f>
        <v/>
      </c>
      <c r="P57" s="41">
        <f>IF(N57=0,0,LOOKUP(N57,'Tax Assumptions'!$P$9:$P$12,'Tax Assumptions'!$S$9:$S$12)+(N57-LOOKUP(N57,'Tax Assumptions'!$P$9:$P$12,'Tax Assumptions'!$P$9:$P$12))*LOOKUP(N57,'Tax Assumptions'!$P$9:$P$12,'Tax Assumptions'!$R$9:$R$12))</f>
        <v/>
      </c>
      <c r="Q57" s="41">
        <f>H57+I57+J57+K57+L57+M57+O57+P57</f>
        <v/>
      </c>
      <c r="R57" s="41">
        <f>IF(C57="Working",B57-D57-E57-F57-Q57,0)</f>
        <v/>
      </c>
      <c r="S57" s="36">
        <f>IF(C57="Working",IF(BL57="","",BL57*(1+'Model Inputs'!$B$35)^(AN57-1)),"")</f>
        <v/>
      </c>
      <c r="T57" s="36">
        <f>IF(C57="Working",IF(BM57="","",BM57*(1+'Model Inputs'!$B$36)^(AN57-1)),"")</f>
        <v/>
      </c>
      <c r="U57" s="41">
        <f>IF(C57="Working",R57-S57-T57,0)</f>
        <v/>
      </c>
      <c r="V57" s="41">
        <f>IF(C57="Working",MIN(MAX(U57,0),'Tax Assumptions'!$B$20),0)</f>
        <v/>
      </c>
      <c r="W57" s="41">
        <f>IF(C57="Working",U57-V57,0)</f>
        <v/>
      </c>
      <c r="X57" s="41">
        <f>IF(C57="Working",W57+V57+D57+E57,0)</f>
        <v/>
      </c>
      <c r="Y57" s="41">
        <f>IF(C57="Retired",$B$13,0)</f>
        <v/>
      </c>
      <c r="Z57" s="41">
        <f>AA57+AB57+AC57+AD57</f>
        <v/>
      </c>
      <c r="AA57" s="41">
        <f>IF(C57="Retired",MIN(Y57,((AE56)*(1+$B$15)+IF(C57="Working",W57,0))),0)</f>
        <v/>
      </c>
      <c r="AB57" s="41">
        <f>IF(C57="Retired",MIN(MAX(Y57-AA57,0),((AF56)*(1+$B$15)+IF(C57="Working",D57,0))),0)</f>
        <v/>
      </c>
      <c r="AC57" s="41">
        <f>IF(C57="Retired",MIN(MAX(Y57-AA57-AB57,0),((AG56)*(1+$B$15)+IF(C57="Working",V57,0))),0)</f>
        <v/>
      </c>
      <c r="AD57" s="41">
        <f>IF(C57="Retired",MIN(MAX(Y57-AA57-AB57-AC57,0),((AH56)*(1+$B$15)+IF(C57="Working",E57,0))),0)</f>
        <v/>
      </c>
      <c r="AE57" s="43">
        <f>MAX(((AE56)*(1+$B$15)+IF(C57="Working",W57,0))-AA57,0)</f>
        <v/>
      </c>
      <c r="AF57" s="43">
        <f>MAX(((AF56)*(1+$B$15)+IF(C57="Working",D57,0))-AB57,0)</f>
        <v/>
      </c>
      <c r="AG57" s="43">
        <f>MAX(((AG56)*(1+$B$15)+IF(C57="Working",V57,0))-AC57,0)</f>
        <v/>
      </c>
      <c r="AH57" s="43">
        <f>MAX(((AH56)*(1+$B$15)+IF(C57="Working",E57,0))-AD57,0)</f>
        <v/>
      </c>
      <c r="AI57" s="43">
        <f>AE57+AF57+AG57+AH57</f>
        <v/>
      </c>
      <c r="AJ57" s="43">
        <f>IF(C57="Working",AJ56+X57,MAX(AJ56-MIN(Y57,AJ56),0))</f>
        <v/>
      </c>
      <c r="AK57" s="43">
        <f>IF(C57="Working",AK56*(1+$B$16)+X57,MAX(AK56*(1+$B$16)-MIN(Y57,AK56*(1+$B$16)),0))</f>
        <v/>
      </c>
      <c r="AL57" s="44">
        <f>IF(C57="Working",IF(B57=0,0,W57/B57),0)</f>
        <v/>
      </c>
      <c r="AM57" s="44">
        <f>IF(C57="Working",IF(B57=0,0,X57/B57),0)</f>
        <v/>
      </c>
      <c r="AN57" s="169">
        <f>A57</f>
        <v/>
      </c>
      <c r="AO57" s="169">
        <f>'Model Inputs'!$B$22+AN57-1</f>
        <v/>
      </c>
      <c r="AP57" s="34">
        <f>IF(AND(AQ57="",AR57="",AX57="",BA57="",BC57=""),"",IF(AN57=1,(13-'Model Inputs'!$B$23)/12,1))</f>
        <v/>
      </c>
      <c r="AQ57" s="36">
        <f>IF(OR(AN57&lt;='Model Inputs'!$B$24,AR57&lt;&gt;"",AX57&lt;&gt;"",BA57&lt;&gt;"",BC57&lt;&gt;""),'Model Inputs'!$B$25*(1+'Model Inputs'!$B$31)^(AN57-1),"")</f>
        <v/>
      </c>
      <c r="AR57" s="195" t="n"/>
      <c r="AS57" s="36">
        <f>IF(AP57="","",IF(AR57="",AQ57,AR57))</f>
        <v/>
      </c>
      <c r="AT57" s="36">
        <f>IF(AS57="","",AP57*AS57)</f>
        <v/>
      </c>
      <c r="AU57" s="36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34">
        <f>IF(AU57="","",IF(AN57&lt;=2,0,'Model Inputs'!$B$32*SIN(2*PI()*(AN57-2+'Model Inputs'!$B$34)/MAX(1,'Model Inputs'!$B$33))))</f>
        <v/>
      </c>
      <c r="AW57" s="34" t="n"/>
      <c r="AX57" s="195" t="n"/>
      <c r="AY57" s="36">
        <f>IF(AP57="","",IF(BC57&lt;&gt;"",MAX(BC57-AT57-IF(AZ57="",0,AZ57)-IF(BA57="",0,BA57),0),IF(AX57&lt;&gt;"",AX57,AU57*(1+IF(AW57="",AV57,AW57)))))</f>
        <v/>
      </c>
      <c r="AZ57" s="36">
        <f>IF(AN57=1,'Model Inputs'!$B$26,"")</f>
        <v/>
      </c>
      <c r="BA57" s="195" t="n"/>
      <c r="BB57" s="36">
        <f>IF(AND(AS57="",AY57="",AZ57="",BA57="",BC57=""),"",IF(BC57&lt;&gt;"",BC57,AT57+IF(AY57="",0,AY57)+IF(AZ57="",0,AZ57)+IF(BA57="",0,BA57)))</f>
        <v/>
      </c>
      <c r="BC57" s="195" t="n"/>
      <c r="BL57" s="195">
        <f>IF(C57="Working",LOOKUP(2,1/($BL$19:BL56&lt;&gt;""),$BL$19:BL56),"")</f>
        <v/>
      </c>
      <c r="BM57" s="195">
        <f>IF(C57="Working",LOOKUP(2,1/($BM$19:BM56&lt;&gt;""),$BM$19:BM56),"")</f>
        <v/>
      </c>
    </row>
    <row r="58" ht="18" customHeight="1" s="326">
      <c r="A58" s="45" t="n">
        <v>40</v>
      </c>
      <c r="B58" s="46">
        <f>IF(BB58="","",BB58)</f>
        <v/>
      </c>
      <c r="C58" s="45">
        <f>IF(B58="","Retired","Working")</f>
        <v/>
      </c>
      <c r="D58" s="46">
        <f>IF(OR(C58="Retired",B58=""),0,MIN(B58,'Tax Assumptions'!$B$19))</f>
        <v/>
      </c>
      <c r="E58" s="36" t="n"/>
      <c r="F58" s="36" t="n"/>
      <c r="G58" s="46">
        <f>IF(C58="Working",MAX(B58-D58-E58-'Tax Assumptions'!$B$8,0),0)</f>
        <v/>
      </c>
      <c r="H58" s="46">
        <f>IF(G58=0,0,LOOKUP(G58,'Tax Assumptions'!$F$9:$F$15,'Tax Assumptions'!$I$9:$I$15)+(G58-LOOKUP(G58,'Tax Assumptions'!$F$9:$F$15,'Tax Assumptions'!$F$9:$F$15))*LOOKUP(G58,'Tax Assumptions'!$F$9:$F$15,'Tax Assumptions'!$H$9:$H$15))</f>
        <v/>
      </c>
      <c r="I58" s="46">
        <f>IF(C58="Working",MIN(MAX(B58-E58,0),'Tax Assumptions'!$B$11)*'Tax Assumptions'!$B$10,0)</f>
        <v/>
      </c>
      <c r="J58" s="46">
        <f>IF(C58="Working",MAX(B58-E58,0)*'Tax Assumptions'!$B$12,0)</f>
        <v/>
      </c>
      <c r="K58" s="46">
        <f>IF(C58="Working",MAX(MAX(B58-E58,0)-'Tax Assumptions'!$B$14,0)*'Tax Assumptions'!$B$13,0)</f>
        <v/>
      </c>
      <c r="L58" s="47">
        <f>IF(C58="Working",MIN(B58*'Tax Assumptions'!$B$15,'Tax Assumptions'!$B$16),0)</f>
        <v/>
      </c>
      <c r="M58" s="47">
        <f>IF(C58="Working",MIN(B58*'Tax Assumptions'!$B$17,'Tax Assumptions'!$B$18),0)</f>
        <v/>
      </c>
      <c r="N58" s="46">
        <f>IF(C58="Working",MAX(B58-D58-'Tax Assumptions'!$B$9,0),0)</f>
        <v/>
      </c>
      <c r="O58" s="46">
        <f>IF(N58=0,0,LOOKUP(N58,'Tax Assumptions'!$K$9:$K$17,'Tax Assumptions'!$N$9:$N$17)+(N58-LOOKUP(N58,'Tax Assumptions'!$K$9:$K$17,'Tax Assumptions'!$K$9:$K$17))*LOOKUP(N58,'Tax Assumptions'!$K$9:$K$17,'Tax Assumptions'!$M$9:$M$17))</f>
        <v/>
      </c>
      <c r="P58" s="46">
        <f>IF(N58=0,0,LOOKUP(N58,'Tax Assumptions'!$P$9:$P$12,'Tax Assumptions'!$S$9:$S$12)+(N58-LOOKUP(N58,'Tax Assumptions'!$P$9:$P$12,'Tax Assumptions'!$P$9:$P$12))*LOOKUP(N58,'Tax Assumptions'!$P$9:$P$12,'Tax Assumptions'!$R$9:$R$12))</f>
        <v/>
      </c>
      <c r="Q58" s="46">
        <f>H58+I58+J58+K58+L58+M58+O58+P58</f>
        <v/>
      </c>
      <c r="R58" s="46">
        <f>IF(C58="Working",B58-D58-E58-F58-Q58,0)</f>
        <v/>
      </c>
      <c r="S58" s="36">
        <f>IF(C58="Working",IF(BL58="","",BL58*(1+'Model Inputs'!$B$35)^(AN58-1)),"")</f>
        <v/>
      </c>
      <c r="T58" s="36">
        <f>IF(C58="Working",IF(BM58="","",BM58*(1+'Model Inputs'!$B$36)^(AN58-1)),"")</f>
        <v/>
      </c>
      <c r="U58" s="46">
        <f>IF(C58="Working",R58-S58-T58,0)</f>
        <v/>
      </c>
      <c r="V58" s="46">
        <f>IF(C58="Working",MIN(MAX(U58,0),'Tax Assumptions'!$B$20),0)</f>
        <v/>
      </c>
      <c r="W58" s="46">
        <f>IF(C58="Working",U58-V58,0)</f>
        <v/>
      </c>
      <c r="X58" s="46">
        <f>IF(C58="Working",W58+V58+D58+E58,0)</f>
        <v/>
      </c>
      <c r="Y58" s="46">
        <f>IF(C58="Retired",$B$13,0)</f>
        <v/>
      </c>
      <c r="Z58" s="46">
        <f>AA58+AB58+AC58+AD58</f>
        <v/>
      </c>
      <c r="AA58" s="46">
        <f>IF(C58="Retired",MIN(Y58,((AE57)*(1+$B$15)+IF(C58="Working",W58,0))),0)</f>
        <v/>
      </c>
      <c r="AB58" s="46">
        <f>IF(C58="Retired",MIN(MAX(Y58-AA58,0),((AF57)*(1+$B$15)+IF(C58="Working",D58,0))),0)</f>
        <v/>
      </c>
      <c r="AC58" s="46">
        <f>IF(C58="Retired",MIN(MAX(Y58-AA58-AB58,0),((AG57)*(1+$B$15)+IF(C58="Working",V58,0))),0)</f>
        <v/>
      </c>
      <c r="AD58" s="46">
        <f>IF(C58="Retired",MIN(MAX(Y58-AA58-AB58-AC58,0),((AH57)*(1+$B$15)+IF(C58="Working",E58,0))),0)</f>
        <v/>
      </c>
      <c r="AE58" s="43">
        <f>MAX(((AE57)*(1+$B$15)+IF(C58="Working",W58,0))-AA58,0)</f>
        <v/>
      </c>
      <c r="AF58" s="43">
        <f>MAX(((AF57)*(1+$B$15)+IF(C58="Working",D58,0))-AB58,0)</f>
        <v/>
      </c>
      <c r="AG58" s="43">
        <f>MAX(((AG57)*(1+$B$15)+IF(C58="Working",V58,0))-AC58,0)</f>
        <v/>
      </c>
      <c r="AH58" s="43">
        <f>MAX(((AH57)*(1+$B$15)+IF(C58="Working",E58,0))-AD58,0)</f>
        <v/>
      </c>
      <c r="AI58" s="43">
        <f>AE58+AF58+AG58+AH58</f>
        <v/>
      </c>
      <c r="AJ58" s="43">
        <f>IF(C58="Working",AJ57+X58,MAX(AJ57-MIN(Y58,AJ57),0))</f>
        <v/>
      </c>
      <c r="AK58" s="43">
        <f>IF(C58="Working",AK57*(1+$B$16)+X58,MAX(AK57*(1+$B$16)-MIN(Y58,AK57*(1+$B$16)),0))</f>
        <v/>
      </c>
      <c r="AL58" s="48">
        <f>IF(C58="Working",IF(B58=0,0,W58/B58),0)</f>
        <v/>
      </c>
      <c r="AM58" s="48">
        <f>IF(C58="Working",IF(B58=0,0,X58/B58),0)</f>
        <v/>
      </c>
      <c r="AN58" s="169">
        <f>A58</f>
        <v/>
      </c>
      <c r="AO58" s="169">
        <f>'Model Inputs'!$B$22+AN58-1</f>
        <v/>
      </c>
      <c r="AP58" s="34">
        <f>IF(AND(AQ58="",AR58="",AX58="",BA58="",BC58=""),"",IF(AN58=1,(13-'Model Inputs'!$B$23)/12,1))</f>
        <v/>
      </c>
      <c r="AQ58" s="36">
        <f>IF(OR(AN58&lt;='Model Inputs'!$B$24,AR58&lt;&gt;"",AX58&lt;&gt;"",BA58&lt;&gt;"",BC58&lt;&gt;""),'Model Inputs'!$B$25*(1+'Model Inputs'!$B$31)^(AN58-1),"")</f>
        <v/>
      </c>
      <c r="AR58" s="195" t="n"/>
      <c r="AS58" s="36">
        <f>IF(AP58="","",IF(AR58="",AQ58,AR58))</f>
        <v/>
      </c>
      <c r="AT58" s="36">
        <f>IF(AS58="","",AP58*AS58)</f>
        <v/>
      </c>
      <c r="AU58" s="36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34">
        <f>IF(AU58="","",IF(AN58&lt;=2,0,'Model Inputs'!$B$32*SIN(2*PI()*(AN58-2+'Model Inputs'!$B$34)/MAX(1,'Model Inputs'!$B$33))))</f>
        <v/>
      </c>
      <c r="AW58" s="34" t="n"/>
      <c r="AX58" s="195" t="n"/>
      <c r="AY58" s="36">
        <f>IF(AP58="","",IF(BC58&lt;&gt;"",MAX(BC58-AT58-IF(AZ58="",0,AZ58)-IF(BA58="",0,BA58),0),IF(AX58&lt;&gt;"",AX58,AU58*(1+IF(AW58="",AV58,AW58)))))</f>
        <v/>
      </c>
      <c r="AZ58" s="36">
        <f>IF(AN58=1,'Model Inputs'!$B$26,"")</f>
        <v/>
      </c>
      <c r="BA58" s="195" t="n"/>
      <c r="BB58" s="36">
        <f>IF(AND(AS58="",AY58="",AZ58="",BA58="",BC58=""),"",IF(BC58&lt;&gt;"",BC58,AT58+IF(AY58="",0,AY58)+IF(AZ58="",0,AZ58)+IF(BA58="",0,BA58)))</f>
        <v/>
      </c>
      <c r="BC58" s="195" t="n"/>
      <c r="BL58" s="195">
        <f>IF(C58="Working",LOOKUP(2,1/($BL$19:BL57&lt;&gt;""),$BL$19:BL57),"")</f>
        <v/>
      </c>
      <c r="BM58" s="195">
        <f>IF(C58="Working",LOOKUP(2,1/($BM$19:BM57&lt;&gt;""),$BM$19:BM57),"")</f>
        <v/>
      </c>
    </row>
    <row r="59">
      <c r="A59" s="49" t="inlineStr">
        <is>
          <t>Totals / Ending</t>
        </is>
      </c>
      <c r="B59" s="50">
        <f>SUM(B19:B58)</f>
        <v/>
      </c>
      <c r="C59" s="49" t="n"/>
      <c r="D59" s="50">
        <f>SUM(D19:D58)</f>
        <v/>
      </c>
      <c r="E59" s="50">
        <f>SUM(E19:E58)</f>
        <v/>
      </c>
      <c r="F59" s="50">
        <f>SUM(F19:F58)</f>
        <v/>
      </c>
      <c r="G59" s="49" t="n"/>
      <c r="H59" s="50">
        <f>SUM(H19:H58)</f>
        <v/>
      </c>
      <c r="I59" s="50">
        <f>SUM(I19:I58)</f>
        <v/>
      </c>
      <c r="J59" s="50">
        <f>SUM(J19:J58)</f>
        <v/>
      </c>
      <c r="K59" s="50">
        <f>SUM(K19:K58)</f>
        <v/>
      </c>
      <c r="L59" s="50">
        <f>SUM(L19:L58)</f>
        <v/>
      </c>
      <c r="M59" s="50">
        <f>SUM(M19:M58)</f>
        <v/>
      </c>
      <c r="N59" s="49" t="n"/>
      <c r="O59" s="50">
        <f>SUM(O19:O58)</f>
        <v/>
      </c>
      <c r="P59" s="50">
        <f>SUM(P19:P58)</f>
        <v/>
      </c>
      <c r="Q59" s="50">
        <f>SUM(Q19:Q58)</f>
        <v/>
      </c>
      <c r="R59" s="50">
        <f>SUM(R19:R58)</f>
        <v/>
      </c>
      <c r="S59" s="50">
        <f>SUM(S19:S58)</f>
        <v/>
      </c>
      <c r="T59" s="50">
        <f>SUM(T19:T58)</f>
        <v/>
      </c>
      <c r="U59" s="49" t="n"/>
      <c r="V59" s="50">
        <f>SUM(V19:V58)</f>
        <v/>
      </c>
      <c r="W59" s="50">
        <f>SUM(W19:W58)</f>
        <v/>
      </c>
      <c r="X59" s="50">
        <f>SUM(X19:X58)</f>
        <v/>
      </c>
      <c r="Y59" s="50">
        <f>SUM(Y19:Y58)</f>
        <v/>
      </c>
      <c r="Z59" s="50">
        <f>SUM(Z19:Z58)</f>
        <v/>
      </c>
      <c r="AA59" s="50">
        <f>SUM(AA19:AA58)</f>
        <v/>
      </c>
      <c r="AB59" s="50">
        <f>SUM(AB19:AB58)</f>
        <v/>
      </c>
      <c r="AC59" s="50">
        <f>SUM(AC19:AC58)</f>
        <v/>
      </c>
      <c r="AD59" s="50">
        <f>SUM(AD19:AD58)</f>
        <v/>
      </c>
      <c r="AE59" s="50">
        <f>AE58</f>
        <v/>
      </c>
      <c r="AF59" s="50">
        <f>AF58</f>
        <v/>
      </c>
      <c r="AG59" s="50">
        <f>AG58</f>
        <v/>
      </c>
      <c r="AH59" s="50">
        <f>AH58</f>
        <v/>
      </c>
      <c r="AI59" s="50">
        <f>AI58</f>
        <v/>
      </c>
      <c r="AJ59" s="50">
        <f>AJ58</f>
        <v/>
      </c>
      <c r="AK59" s="50">
        <f>AK58</f>
        <v/>
      </c>
      <c r="AL59" s="51">
        <f>AVERAGEIF(AL19:AL58,"&gt;0",AL19:AL58)</f>
        <v/>
      </c>
      <c r="AM59" s="51">
        <f>AVERAGEIF(AM19:AM58,"&gt;0",AM19:AM58)</f>
        <v/>
      </c>
    </row>
  </sheetData>
  <mergeCells count="18"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  <mergeCell ref="AN5:BB6"/>
    <mergeCell ref="M9:AM9"/>
  </mergeCells>
  <dataValidations count="2">
    <dataValidation sqref="AR19:AR58 AX19:AX58 BA19:BA58 BC19:BC58 BD19:BG30 BL19:BM58" showDropDown="0" showInputMessage="1" showErrorMessage="1" allowBlank="1" errorTitle="Invalid input" error="This value is outside the supported range for this workbook." promptTitle="Input guidance" prompt="Optional manual input. Leave blank to use the modeled path." type="decimal">
      <formula1>0</formula1>
      <formula2>1000000000</formula2>
    </dataValidation>
    <dataValidation sqref="BH19:BH30" showDropDown="0" showInputMessage="1" showErrorMessage="1" allowBlank="1" errorTitle="Invalid input" error="This value is outside the supported range for this workbook." promptTitle="Input guidance" prompt="Optional status marker for actual compensation rows." type="list">
      <formula1>"Preliminary,Confirmed,Needs Review"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5A5A5"/>
    <outlinePr summaryBelow="0"/>
    <pageSetUpPr/>
  </sheetPr>
  <dimension ref="A1:AG1400"/>
  <sheetViews>
    <sheetView showGridLines="0" zoomScale="90" workbookViewId="0">
      <pane ySplit="124" topLeftCell="A125" activePane="bottomLeft" state="frozen"/>
      <selection pane="bottomLeft" activeCell="Q138" sqref="Q138"/>
    </sheetView>
  </sheetViews>
  <sheetFormatPr baseColWidth="10" defaultColWidth="8.83203125" defaultRowHeight="15" outlineLevelRow="1"/>
  <cols>
    <col width="10" customWidth="1" style="326" min="1" max="1"/>
    <col width="14" customWidth="1" style="326" min="2" max="4"/>
    <col width="16" customWidth="1" style="326" min="5" max="5"/>
    <col width="18" customWidth="1" style="326" min="6" max="6"/>
    <col width="14" customWidth="1" style="326" min="7" max="12"/>
    <col width="16" customWidth="1" style="326" min="13" max="13"/>
    <col width="15" customWidth="1" style="326" min="14" max="16"/>
    <col width="13" customWidth="1" style="326" min="17" max="20"/>
    <col width="15" customWidth="1" style="326" min="21" max="22"/>
    <col width="14" customWidth="1" style="326" min="23" max="24"/>
    <col width="15" customWidth="1" style="326" min="25" max="25"/>
    <col width="14" customWidth="1" style="326" min="26" max="26"/>
    <col width="12" customWidth="1" style="326" min="27" max="27"/>
    <col width="14" customWidth="1" style="326" min="28" max="32"/>
    <col width="16" customWidth="1" style="326" min="33" max="33"/>
  </cols>
  <sheetData>
    <row r="1" ht="26" customHeight="1" s="326">
      <c r="A1" s="453" t="inlineStr">
        <is>
          <t>Scenario Lab</t>
        </is>
      </c>
      <c r="AB1" s="453" t="n"/>
      <c r="AC1" s="453" t="n"/>
      <c r="AD1" s="453" t="n"/>
      <c r="AE1" s="453" t="n"/>
      <c r="AF1" s="453" t="n"/>
      <c r="AG1" s="453" t="n"/>
    </row>
    <row r="2" ht="34" customHeight="1" s="326">
      <c r="A2" s="454" t="inlineStr">
        <is>
          <t>Downside, base, and upside cases all stay visible here. Edit the assumptions on Model Inputs; this sheet shows the linked scenario calculations in full, including a retirement-distance down-payment policy and a separate burn-control recommendation.</t>
        </is>
      </c>
      <c r="AB2" s="454" t="n"/>
      <c r="AC2" s="454" t="n"/>
      <c r="AD2" s="454" t="n"/>
      <c r="AE2" s="454" t="n"/>
      <c r="AF2" s="454" t="n"/>
      <c r="AG2" s="454" t="n"/>
    </row>
    <row r="3" ht="16" customHeight="1" s="326">
      <c r="A3" s="455" t="inlineStr">
        <is>
          <t>Back to Financial Dashboard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</row>
    <row r="4" ht="20" customHeight="1" s="326">
      <c r="A4" s="465" t="inlineStr">
        <is>
          <t>Linked Assumptions (Edit Model Inputs)</t>
        </is>
      </c>
      <c r="B4" s="467" t="n"/>
      <c r="C4" s="467" t="n"/>
      <c r="D4" s="466" t="n"/>
      <c r="E4" s="5" t="n"/>
      <c r="F4" s="465" t="inlineStr">
        <is>
          <t>Scenario Summary</t>
        </is>
      </c>
      <c r="G4" s="467" t="n"/>
      <c r="H4" s="467" t="n"/>
      <c r="I4" s="466" t="n"/>
      <c r="J4" s="5" t="n"/>
      <c r="K4" s="5" t="n"/>
      <c r="L4" s="5" t="n"/>
      <c r="M4" s="5" t="n"/>
      <c r="N4" s="5" t="n"/>
      <c r="O4" s="5" t="n"/>
      <c r="P4" s="389" t="inlineStr">
        <is>
          <t>Use Model Inputs for global scenario edits. This sheet reuses the visible base earnings path from Savings Projection, then layers on scenario multipliers, earlier-retirement caps, baseline non-housing retirement spend, and a full house-cost stack.</t>
        </is>
      </c>
      <c r="Q4" s="323" t="n"/>
      <c r="R4" s="323" t="n"/>
      <c r="S4" s="323" t="n"/>
      <c r="T4" s="323" t="n"/>
      <c r="U4" s="323" t="n"/>
      <c r="V4" s="323" t="n"/>
      <c r="W4" s="323" t="n"/>
      <c r="X4" s="323" t="n"/>
      <c r="Y4" s="323" t="n"/>
      <c r="Z4" s="323" t="n"/>
      <c r="AA4" s="323" t="n"/>
      <c r="AB4" s="323" t="n"/>
      <c r="AC4" s="323" t="n"/>
      <c r="AD4" s="323" t="n"/>
      <c r="AE4" s="323" t="n"/>
      <c r="AF4" s="323" t="n"/>
      <c r="AG4" s="324" t="n"/>
    </row>
    <row r="5" ht="20" customHeight="1" s="326">
      <c r="A5" s="484" t="inlineStr">
        <is>
          <t>Scenario</t>
        </is>
      </c>
      <c r="B5" s="52">
        <f>'Model Inputs'!$F$5</f>
        <v/>
      </c>
      <c r="C5" s="52">
        <f>'Model Inputs'!$G$5</f>
        <v/>
      </c>
      <c r="D5" s="53">
        <f>'Model Inputs'!$H$5</f>
        <v/>
      </c>
      <c r="E5" s="5" t="n"/>
      <c r="F5" s="484" t="inlineStr">
        <is>
          <t>Metric</t>
        </is>
      </c>
      <c r="G5" s="55">
        <f>B5</f>
        <v/>
      </c>
      <c r="H5" s="56">
        <f>C5</f>
        <v/>
      </c>
      <c r="I5" s="57">
        <f>D5</f>
        <v/>
      </c>
      <c r="J5" s="5" t="n"/>
      <c r="K5" s="5" t="n"/>
      <c r="L5" s="5" t="n"/>
      <c r="M5" s="5" t="n"/>
      <c r="N5" s="5" t="n"/>
      <c r="O5" s="5" t="n"/>
      <c r="P5" s="325" t="n"/>
      <c r="AG5" s="327" t="n"/>
    </row>
    <row r="6" ht="20" customHeight="1" s="326">
      <c r="A6" s="484" t="inlineStr">
        <is>
          <t>Gross comp multiplier</t>
        </is>
      </c>
      <c r="B6" s="58">
        <f>'Model Inputs'!$F$6</f>
        <v/>
      </c>
      <c r="C6" s="58">
        <f>'Model Inputs'!$G$6</f>
        <v/>
      </c>
      <c r="D6" s="59">
        <f>'Model Inputs'!$H$6</f>
        <v/>
      </c>
      <c r="E6" s="5" t="n"/>
      <c r="F6" s="484" t="inlineStr">
        <is>
          <t>Gross comp multiplier</t>
        </is>
      </c>
      <c r="G6" s="60">
        <f>$B$6</f>
        <v/>
      </c>
      <c r="H6" s="60">
        <f>$C$6</f>
        <v/>
      </c>
      <c r="I6" s="10">
        <f>$D$6</f>
        <v/>
      </c>
      <c r="J6" s="5" t="n"/>
      <c r="K6" s="5" t="n"/>
      <c r="L6" s="5" t="n"/>
      <c r="M6" s="5" t="n"/>
      <c r="N6" s="5" t="n"/>
      <c r="O6" s="5" t="n"/>
      <c r="P6" s="325" t="n"/>
      <c r="AG6" s="327" t="n"/>
    </row>
    <row r="7" ht="20" customHeight="1" s="326">
      <c r="A7" s="484" t="inlineStr">
        <is>
          <t>Tax multiplier</t>
        </is>
      </c>
      <c r="B7" s="58">
        <f>'Model Inputs'!$F$7</f>
        <v/>
      </c>
      <c r="C7" s="58">
        <f>'Model Inputs'!$G$7</f>
        <v/>
      </c>
      <c r="D7" s="59">
        <f>'Model Inputs'!$H$7</f>
        <v/>
      </c>
      <c r="E7" s="5" t="n"/>
      <c r="F7" s="484" t="inlineStr">
        <is>
          <t>Return assumption</t>
        </is>
      </c>
      <c r="G7" s="60">
        <f>$B$10</f>
        <v/>
      </c>
      <c r="H7" s="60">
        <f>$C$10</f>
        <v/>
      </c>
      <c r="I7" s="10">
        <f>$D$10</f>
        <v/>
      </c>
      <c r="J7" s="5" t="n"/>
      <c r="K7" s="5" t="n"/>
      <c r="L7" s="5" t="n"/>
      <c r="M7" s="5" t="n"/>
      <c r="N7" s="5" t="n"/>
      <c r="O7" s="5" t="n"/>
      <c r="P7" s="325" t="n"/>
      <c r="AG7" s="327" t="n"/>
    </row>
    <row r="8" ht="20" customHeight="1" s="326">
      <c r="A8" s="484" t="inlineStr">
        <is>
          <t>Rent multiplier</t>
        </is>
      </c>
      <c r="B8" s="58">
        <f>'Model Inputs'!$F$8</f>
        <v/>
      </c>
      <c r="C8" s="58">
        <f>'Model Inputs'!$G$8</f>
        <v/>
      </c>
      <c r="D8" s="59">
        <f>'Model Inputs'!$H$8</f>
        <v/>
      </c>
      <c r="E8" s="5" t="n"/>
      <c r="F8" s="484" t="inlineStr">
        <is>
          <t>Baseline retirement spend</t>
        </is>
      </c>
      <c r="G8" s="9">
        <f>$B$12</f>
        <v/>
      </c>
      <c r="H8" s="9">
        <f>$C$12</f>
        <v/>
      </c>
      <c r="I8" s="61">
        <f>$D$12</f>
        <v/>
      </c>
      <c r="J8" s="5" t="n"/>
      <c r="K8" s="5" t="n"/>
      <c r="L8" s="5" t="n"/>
      <c r="M8" s="5" t="n"/>
      <c r="N8" s="5" t="n"/>
      <c r="O8" s="5" t="n"/>
      <c r="P8" s="325" t="n"/>
      <c r="AG8" s="327" t="n"/>
    </row>
    <row r="9" ht="20" customHeight="1" s="326">
      <c r="A9" s="484" t="inlineStr">
        <is>
          <t>Living multiplier</t>
        </is>
      </c>
      <c r="B9" s="58">
        <f>'Model Inputs'!$F$9</f>
        <v/>
      </c>
      <c r="C9" s="58">
        <f>'Model Inputs'!$G$9</f>
        <v/>
      </c>
      <c r="D9" s="59">
        <f>'Model Inputs'!$H$9</f>
        <v/>
      </c>
      <c r="E9" s="5" t="n"/>
      <c r="F9" s="484" t="inlineStr">
        <is>
          <t>Home purchase year</t>
        </is>
      </c>
      <c r="G9" s="62">
        <f>$B$13</f>
        <v/>
      </c>
      <c r="H9" s="62">
        <f>$C$13</f>
        <v/>
      </c>
      <c r="I9" s="63">
        <f>$D$13</f>
        <v/>
      </c>
      <c r="J9" s="5" t="n"/>
      <c r="K9" s="5" t="n"/>
      <c r="L9" s="5" t="n"/>
      <c r="M9" s="5" t="n"/>
      <c r="N9" s="5" t="n"/>
      <c r="O9" s="5" t="n"/>
      <c r="P9" s="325" t="n"/>
      <c r="AG9" s="327" t="n"/>
    </row>
    <row r="10" ht="20" customHeight="1" s="326">
      <c r="A10" s="484" t="inlineStr">
        <is>
          <t>Return assumption</t>
        </is>
      </c>
      <c r="B10" s="58">
        <f>'Model Inputs'!$F$10</f>
        <v/>
      </c>
      <c r="C10" s="58">
        <f>'Model Inputs'!$G$10</f>
        <v/>
      </c>
      <c r="D10" s="59">
        <f>'Model Inputs'!$H$10</f>
        <v/>
      </c>
      <c r="E10" s="5" t="n"/>
      <c r="F10" s="484" t="inlineStr">
        <is>
          <t>Home purchase price</t>
        </is>
      </c>
      <c r="G10" s="9">
        <f>$B$14</f>
        <v/>
      </c>
      <c r="H10" s="9">
        <f>$C$14</f>
        <v/>
      </c>
      <c r="I10" s="61">
        <f>$D$14</f>
        <v/>
      </c>
      <c r="J10" s="5" t="n"/>
      <c r="K10" s="5" t="n"/>
      <c r="L10" s="5" t="n"/>
      <c r="M10" s="5" t="n"/>
      <c r="N10" s="5" t="n"/>
      <c r="O10" s="5" t="n"/>
      <c r="P10" s="328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0" t="n"/>
      <c r="AC10" s="320" t="n"/>
      <c r="AD10" s="320" t="n"/>
      <c r="AE10" s="320" t="n"/>
      <c r="AF10" s="320" t="n"/>
      <c r="AG10" s="321" t="n"/>
    </row>
    <row r="11" ht="20" customHeight="1" s="326">
      <c r="A11" s="484" t="inlineStr">
        <is>
          <t>Retire after YOE cap</t>
        </is>
      </c>
      <c r="B11" s="64">
        <f>'Model Inputs'!$F$11</f>
        <v/>
      </c>
      <c r="C11" s="64">
        <f>'Model Inputs'!$G$11</f>
        <v/>
      </c>
      <c r="D11" s="65">
        <f>'Model Inputs'!$H$11</f>
        <v/>
      </c>
      <c r="E11" s="5" t="n"/>
      <c r="F11" s="484" t="inlineStr">
        <is>
          <t>Cash required at purchase</t>
        </is>
      </c>
      <c r="G11" s="9">
        <f>INDEX(AB32:AB71,MAX(1,MIN($B$13,ROWS(Y32:Y71))))</f>
        <v/>
      </c>
      <c r="H11" s="9">
        <f>INDEX(AB80:AB119,MAX(1,MIN($C$13,ROWS(Y80:Y119))))</f>
        <v/>
      </c>
      <c r="I11" s="61">
        <f>INDEX(AB128:AB167,MAX(1,MIN($D$13,ROWS(Y128:Y167))))</f>
        <v/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</row>
    <row r="12" ht="20" customHeight="1" s="326">
      <c r="A12" s="484" t="inlineStr">
        <is>
          <t>Baseline retirement spend (non-housing)</t>
        </is>
      </c>
      <c r="B12" s="66">
        <f>'Model Inputs'!$F$12</f>
        <v/>
      </c>
      <c r="C12" s="66">
        <f>'Model Inputs'!$G$12</f>
        <v/>
      </c>
      <c r="D12" s="67">
        <f>'Model Inputs'!$H$12</f>
        <v/>
      </c>
      <c r="E12" s="5" t="n"/>
      <c r="F12" s="484" t="inlineStr">
        <is>
          <t>Liquid wealth at retirement</t>
        </is>
      </c>
      <c r="G12" s="9">
        <f>INDEX(Y32:Y71,IF(COUNTIF(B32:B71,"Working")=0,1,COUNTIF(B32:B71,"Working")))</f>
        <v/>
      </c>
      <c r="H12" s="9">
        <f>INDEX(Y80:Y119,IF(COUNTIF(B80:B119,"Working")=0,1,COUNTIF(B80:B119,"Working")))</f>
        <v/>
      </c>
      <c r="I12" s="61">
        <f>INDEX(Y128:Y167,IF(COUNTIF(B128:B167,"Working")=0,1,COUNTIF(B128:B167,"Working")))</f>
        <v/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</row>
    <row r="13" ht="20" customHeight="1" s="326">
      <c r="A13" s="484" t="inlineStr">
        <is>
          <t>Home purchase year</t>
        </is>
      </c>
      <c r="B13" s="64">
        <f>'Model Inputs'!$F$13</f>
        <v/>
      </c>
      <c r="C13" s="64">
        <f>'Model Inputs'!$G$13</f>
        <v/>
      </c>
      <c r="D13" s="65">
        <f>'Model Inputs'!$H$13</f>
        <v/>
      </c>
      <c r="E13" s="5" t="n"/>
      <c r="F13" s="484" t="inlineStr">
        <is>
          <t>Liquid wealth before close</t>
        </is>
      </c>
      <c r="G13" s="9">
        <f>INDEX(Y32:Y71,MAX(1,MIN($B$13,ROWS(Y32:Y71))))+INDEX(AB32:AB71,MAX(1,MIN($B$13,ROWS(Y32:Y71))))</f>
        <v/>
      </c>
      <c r="H13" s="9">
        <f>INDEX(Y80:Y119,MAX(1,MIN($C$13,ROWS(Y80:Y119))))+INDEX(AB80:AB119,MAX(1,MIN($C$13,ROWS(Y80:Y119))))</f>
        <v/>
      </c>
      <c r="I13" s="61">
        <f>INDEX(Y128:Y167,MAX(1,MIN($D$13,ROWS(Y128:Y167))))+INDEX(AB128:AB167,MAX(1,MIN($D$13,ROWS(Y128:Y167))))</f>
        <v/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</row>
    <row r="14" ht="20" customHeight="1" s="326">
      <c r="A14" s="484" t="inlineStr">
        <is>
          <t>Home purchase price</t>
        </is>
      </c>
      <c r="B14" s="66">
        <f>'Model Inputs'!$F$14</f>
        <v/>
      </c>
      <c r="C14" s="66">
        <f>'Model Inputs'!$G$14</f>
        <v/>
      </c>
      <c r="D14" s="67">
        <f>'Model Inputs'!$H$14</f>
        <v/>
      </c>
      <c r="E14" s="5" t="n"/>
      <c r="F14" s="484" t="inlineStr">
        <is>
          <t>Liquid wealth after close</t>
        </is>
      </c>
      <c r="G14" s="9">
        <f>INDEX(Y32:Y71,MAX(1,MIN($B$13,ROWS(Y32:Y71))))</f>
        <v/>
      </c>
      <c r="H14" s="9">
        <f>INDEX(Y80:Y119,MAX(1,MIN($C$13,ROWS(Y80:Y119))))</f>
        <v/>
      </c>
      <c r="I14" s="61">
        <f>INDEX(Y128:Y167,MAX(1,MIN($D$13,ROWS(Y128:Y167))))</f>
        <v/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 ht="20" customHeight="1" s="326">
      <c r="A15" s="484" t="inlineStr">
        <is>
          <t>Effective down payment %</t>
        </is>
      </c>
      <c r="B15" s="58">
        <f>IF(B29&lt;&gt;"",B29,MAX(B26,MIN(B27,B26+MAX(0,MIN(1,1-MAX(B11-B13,0)/MAX(B28,1)))*(B27-B26))))</f>
        <v/>
      </c>
      <c r="C15" s="58">
        <f>IF(C29&lt;&gt;"",C29,MAX(C26,MIN(C27,C26+MAX(0,MIN(1,1-MAX(C11-C13,0)/MAX(C28,1)))*(C27-C26))))</f>
        <v/>
      </c>
      <c r="D15" s="58">
        <f>IF(D29&lt;&gt;"",D29,MAX(D26,MIN(D27,D26+MAX(0,MIN(1,1-MAX(D11-D13,0)/MAX(D28,1)))*(D27-D26))))</f>
        <v/>
      </c>
      <c r="E15" s="5" t="n"/>
      <c r="F15" s="484" t="inlineStr">
        <is>
          <t>Annual housing carry at retirement</t>
        </is>
      </c>
      <c r="G15" s="9">
        <f>INDEX(AC32:AC71,IF(COUNTIF(B32:B71,"Working")=0,1,COUNTIF(B32:B71,"Working")))</f>
        <v/>
      </c>
      <c r="H15" s="9">
        <f>INDEX(AC80:AC119,IF(COUNTIF(B80:B119,"Working")=0,1,COUNTIF(B80:B119,"Working")))</f>
        <v/>
      </c>
      <c r="I15" s="61">
        <f>INDEX(AC128:AC167,IF(COUNTIF(B128:B167,"Working")=0,1,COUNTIF(B128:B167,"Working")))</f>
        <v/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 ht="20" customHeight="1" s="326">
      <c r="A16" s="484" t="inlineStr">
        <is>
          <t>Mortgage rate</t>
        </is>
      </c>
      <c r="B16" s="58">
        <f>'Model Inputs'!$F$16</f>
        <v/>
      </c>
      <c r="C16" s="58">
        <f>'Model Inputs'!$G$16</f>
        <v/>
      </c>
      <c r="D16" s="59">
        <f>'Model Inputs'!$H$16</f>
        <v/>
      </c>
      <c r="E16" s="5" t="n"/>
      <c r="F16" s="484" t="inlineStr">
        <is>
          <t>Total retirement need</t>
        </is>
      </c>
      <c r="G16" s="9">
        <f>$B$12+INDEX(AC32:AC71,IF(COUNTIF(B32:B71,"Working")=0,1,COUNTIF(B32:B71,"Working")))</f>
        <v/>
      </c>
      <c r="H16" s="9">
        <f>$C$12+INDEX(AC80:AC119,IF(COUNTIF(B80:B119,"Working")=0,1,COUNTIF(B80:B119,"Working")))</f>
        <v/>
      </c>
      <c r="I16" s="61">
        <f>$D$12+INDEX(AC128:AC167,IF(COUNTIF(B128:B167,"Working")=0,1,COUNTIF(B128:B167,"Working")))</f>
        <v/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</row>
    <row r="17" ht="20" customHeight="1" s="326">
      <c r="A17" s="484" t="inlineStr">
        <is>
          <t>Mortgage term (years)</t>
        </is>
      </c>
      <c r="B17" s="64">
        <f>'Model Inputs'!$F$17</f>
        <v/>
      </c>
      <c r="C17" s="64">
        <f>'Model Inputs'!$G$17</f>
        <v/>
      </c>
      <c r="D17" s="65">
        <f>'Model Inputs'!$H$17</f>
        <v/>
      </c>
      <c r="E17" s="5" t="n"/>
      <c r="F17" s="484" t="inlineStr">
        <is>
          <t>Housing share of total spend at retirement</t>
        </is>
      </c>
      <c r="G17" s="60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/>
      </c>
      <c r="H17" s="60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/>
      </c>
      <c r="I17" s="10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/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</row>
    <row r="18" ht="20" customHeight="1" s="326">
      <c r="A18" s="484" t="inlineStr">
        <is>
          <t>Closing costs %</t>
        </is>
      </c>
      <c r="B18" s="58">
        <f>'Model Inputs'!$F$18</f>
        <v/>
      </c>
      <c r="C18" s="58">
        <f>'Model Inputs'!$G$18</f>
        <v/>
      </c>
      <c r="D18" s="59">
        <f>'Model Inputs'!$H$18</f>
        <v/>
      </c>
      <c r="E18" s="5" t="n"/>
      <c r="F18" s="484" t="inlineStr">
        <is>
          <t>All-in draw rate on liquid wealth at retirement</t>
        </is>
      </c>
      <c r="G18" s="60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/>
      </c>
      <c r="H18" s="60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/>
      </c>
      <c r="I18" s="10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/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 ht="20" customHeight="1" s="326">
      <c r="A19" s="312" t="inlineStr">
        <is>
          <t>Property tax rate</t>
        </is>
      </c>
      <c r="B19" s="58">
        <f>'Model Inputs'!$F$19</f>
        <v/>
      </c>
      <c r="C19" s="58">
        <f>'Model Inputs'!$G$19</f>
        <v/>
      </c>
      <c r="D19" s="59">
        <f>'Model Inputs'!$H$19</f>
        <v/>
      </c>
      <c r="E19" s="5" t="n"/>
      <c r="F19" s="312" t="inlineStr">
        <is>
          <t>Max non-housing spend @ target draw</t>
        </is>
      </c>
      <c r="G19" s="9">
        <f>MAX('Model Inputs'!$B$16*INDEX(Y32:Y71,IF(COUNTIF(B32:B71,"Working")=0,1,COUNTIF(B32:B71,"Working")))-INDEX(AC32:AC71,IF(COUNTIF(B32:B71,"Working")=0,1,COUNTIF(B32:B71,"Working"))),0)</f>
        <v/>
      </c>
      <c r="H19" s="9">
        <f>MAX('Model Inputs'!$B$16*INDEX(Y80:Y119,IF(COUNTIF(B80:B119,"Working")=0,1,COUNTIF(B80:B119,"Working")))-INDEX(AC80:AC119,IF(COUNTIF(B80:B119,"Working")=0,1,COUNTIF(B80:B119,"Working"))),0)</f>
        <v/>
      </c>
      <c r="I19" s="61">
        <f>MAX('Model Inputs'!$B$16*INDEX(Y128:Y167,IF(COUNTIF(B128:B167,"Working")=0,1,COUNTIF(B128:B167,"Working")))-INDEX(AC128:AC167,IF(COUNTIF(B128:B167,"Working")=0,1,COUNTIF(B128:B167,"Working"))),0)</f>
        <v/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</row>
    <row r="20" ht="20" customHeight="1" s="326">
      <c r="A20" s="312" t="inlineStr">
        <is>
          <t>Home insurance rate</t>
        </is>
      </c>
      <c r="B20" s="58">
        <f>'Model Inputs'!$F$20</f>
        <v/>
      </c>
      <c r="C20" s="58">
        <f>'Model Inputs'!$G$20</f>
        <v/>
      </c>
      <c r="D20" s="59">
        <f>'Model Inputs'!$H$20</f>
        <v/>
      </c>
      <c r="E20" s="5" t="n"/>
      <c r="F20" s="312" t="inlineStr">
        <is>
          <t>Max house price @ liquidity floor at purchase</t>
        </is>
      </c>
      <c r="G20" s="9">
        <f>IF(($B$15+$B$18)&lt;=0,0,MAX(INDEX(Y32:Y71,MAX(1,MIN($B$13,ROWS(Y32:Y71))))+INDEX(AB32:AB71,MAX(1,MIN($B$13,ROWS(Y32:Y71))))-'Model Inputs'!$B$18-$B$24,0)/($B$15+$B$18))</f>
        <v/>
      </c>
      <c r="H20" s="9">
        <f>IF(($C$15+$C$18)&lt;=0,0,MAX(INDEX(Y80:Y119,MAX(1,MIN($C$13,ROWS(Y80:Y119))))+INDEX(AB80:AB119,MAX(1,MIN($C$13,ROWS(Y80:Y119))))-'Model Inputs'!$B$18-$C$24,0)/($C$15+$C$18))</f>
        <v/>
      </c>
      <c r="I20" s="61">
        <f>IF(($D$15+$D$18)&lt;=0,0,MAX(INDEX(Y128:Y167,MAX(1,MIN($D$13,ROWS(Y128:Y167))))+INDEX(AB128:AB167,MAX(1,MIN($D$13,ROWS(Y128:Y167))))-'Model Inputs'!$B$18-$D$24,0)/($D$15+$D$18))</f>
        <v/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</row>
    <row r="21" ht="20" customHeight="1" s="326">
      <c r="A21" s="312" t="inlineStr">
        <is>
          <t>Home maintenance rate</t>
        </is>
      </c>
      <c r="B21" s="58">
        <f>'Model Inputs'!$F$21</f>
        <v/>
      </c>
      <c r="C21" s="58">
        <f>'Model Inputs'!$G$21</f>
        <v/>
      </c>
      <c r="D21" s="59">
        <f>'Model Inputs'!$H$21</f>
        <v/>
      </c>
      <c r="E21" s="5" t="n"/>
      <c r="F21" s="312" t="inlineStr">
        <is>
          <t>Max house price @ housing budget</t>
        </is>
      </c>
      <c r="G21" s="9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/>
      </c>
      <c r="H21" s="9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/>
      </c>
      <c r="I21" s="61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/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</row>
    <row r="22" ht="20" customHeight="1" s="326">
      <c r="A22" s="312" t="inlineStr">
        <is>
          <t>Annual HOA / common charges</t>
        </is>
      </c>
      <c r="B22" s="66">
        <f>'Model Inputs'!$F$22</f>
        <v/>
      </c>
      <c r="C22" s="66">
        <f>'Model Inputs'!$G$22</f>
        <v/>
      </c>
      <c r="D22" s="67">
        <f>'Model Inputs'!$H$22</f>
        <v/>
      </c>
      <c r="E22" s="5" t="n"/>
      <c r="F22" s="312" t="inlineStr">
        <is>
          <t>Planning max house by purchase + retirement rules</t>
        </is>
      </c>
      <c r="G22" s="9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/>
      </c>
      <c r="H22" s="9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/>
      </c>
      <c r="I22" s="61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/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</row>
    <row r="23" ht="20" customHeight="1" s="326">
      <c r="A23" s="312" t="inlineStr">
        <is>
          <t>Annual home services / utilities</t>
        </is>
      </c>
      <c r="B23" s="66">
        <f>'Model Inputs'!$F$23</f>
        <v/>
      </c>
      <c r="C23" s="66">
        <f>'Model Inputs'!$G$23</f>
        <v/>
      </c>
      <c r="D23" s="67">
        <f>'Model Inputs'!$H$23</f>
        <v/>
      </c>
      <c r="E23" s="5" t="n"/>
      <c r="F23" s="312" t="inlineStr">
        <is>
          <t>Retired years funded</t>
        </is>
      </c>
      <c r="G23" s="62">
        <f>COUNTIFS(B32:B71,"Retired",Z32:Z71,0)</f>
        <v/>
      </c>
      <c r="H23" s="62">
        <f>COUNTIFS(B80:B119,"Retired",Z80:Z119,0)</f>
        <v/>
      </c>
      <c r="I23" s="63">
        <f>COUNTIFS(B128:B167,"Retired",Z128:Z167,0)</f>
        <v/>
      </c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</row>
    <row r="24" ht="20" customHeight="1" s="326">
      <c r="A24" s="312" t="inlineStr">
        <is>
          <t>One-time move / furnish reserve</t>
        </is>
      </c>
      <c r="B24" s="66">
        <f>'Model Inputs'!$F$24</f>
        <v/>
      </c>
      <c r="C24" s="66">
        <f>'Model Inputs'!$G$24</f>
        <v/>
      </c>
      <c r="D24" s="67">
        <f>'Model Inputs'!$H$24</f>
        <v/>
      </c>
      <c r="E24" s="5" t="n"/>
      <c r="F24" s="312" t="inlineStr">
        <is>
          <t>First shortfall year</t>
        </is>
      </c>
      <c r="G24" s="62">
        <f>IF(COUNTIF(Z32:Z71,"&gt;0")=0,0,INDEX(A32:A71,MATCH(1,INDEX((Z32:Z71&gt;0)*1,0),0)))</f>
        <v/>
      </c>
      <c r="H24" s="62">
        <f>IF(COUNTIF(Z80:Z119,"&gt;0")=0,0,INDEX(A80:A119,MATCH(1,INDEX((Z80:Z119&gt;0)*1,0),0)))</f>
        <v/>
      </c>
      <c r="I24" s="63">
        <f>IF(COUNTIF(Z128:Z167,"&gt;0")=0,0,INDEX(A128:A167,MATCH(1,INDEX((Z128:Z167&gt;0)*1,0),0)))</f>
        <v/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</row>
    <row r="25" ht="20" customHeight="1" s="326">
      <c r="A25" s="339" t="inlineStr">
        <is>
          <t>Home appreciation</t>
        </is>
      </c>
      <c r="B25" s="68">
        <f>'Model Inputs'!$F$25</f>
        <v/>
      </c>
      <c r="C25" s="68">
        <f>'Model Inputs'!$G$25</f>
        <v/>
      </c>
      <c r="D25" s="69">
        <f>'Model Inputs'!$H$25</f>
        <v/>
      </c>
      <c r="E25" s="5" t="n"/>
      <c r="F25" s="312" t="inlineStr">
        <is>
          <t>Ending liquid wealth</t>
        </is>
      </c>
      <c r="G25" s="9">
        <f>Y71</f>
        <v/>
      </c>
      <c r="H25" s="9">
        <f>Y119</f>
        <v/>
      </c>
      <c r="I25" s="61">
        <f>Y167</f>
        <v/>
      </c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</row>
    <row r="26" ht="20" customHeight="1" s="326">
      <c r="A26" s="312" t="inlineStr">
        <is>
          <t>Minimum down payment %</t>
        </is>
      </c>
      <c r="B26" s="58">
        <f>'Model Inputs'!$F$15</f>
        <v/>
      </c>
      <c r="C26" s="58">
        <f>'Model Inputs'!$G$15</f>
        <v/>
      </c>
      <c r="D26" s="58">
        <f>'Model Inputs'!$H$15</f>
        <v/>
      </c>
      <c r="E26" s="5" t="n"/>
      <c r="F26" s="312" t="inlineStr">
        <is>
          <t>Ending home equity</t>
        </is>
      </c>
      <c r="G26" s="9">
        <f>AF71</f>
        <v/>
      </c>
      <c r="H26" s="9">
        <f>AF119</f>
        <v/>
      </c>
      <c r="I26" s="61">
        <f>AF167</f>
        <v/>
      </c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</row>
    <row r="27">
      <c r="A27" s="312" t="inlineStr">
        <is>
          <t>Down payment % if buying at / after retirement</t>
        </is>
      </c>
      <c r="B27" s="58">
        <f>'Model Inputs'!$F$26</f>
        <v/>
      </c>
      <c r="C27" s="58">
        <f>'Model Inputs'!$G$26</f>
        <v/>
      </c>
      <c r="D27" s="58">
        <f>'Model Inputs'!$H$26</f>
        <v/>
      </c>
      <c r="E27" s="5" t="n"/>
      <c r="F27" s="339" t="inlineStr">
        <is>
          <t>Ending net worth</t>
        </is>
      </c>
      <c r="G27" s="13">
        <f>AG71</f>
        <v/>
      </c>
      <c r="H27" s="13">
        <f>AG119</f>
        <v/>
      </c>
      <c r="I27" s="70">
        <f>AG167</f>
        <v/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312" t="inlineStr">
        <is>
          <t>Working years until minimum down payment</t>
        </is>
      </c>
      <c r="B28" s="64">
        <f>'Model Inputs'!$F$27</f>
        <v/>
      </c>
      <c r="C28" s="64">
        <f>'Model Inputs'!$G$27</f>
        <v/>
      </c>
      <c r="D28" s="64">
        <f>'Model Inputs'!$H$27</f>
        <v/>
      </c>
      <c r="E28" s="5" t="n"/>
      <c r="F28" s="339" t="inlineStr">
        <is>
          <t>Working years after purchase</t>
        </is>
      </c>
      <c r="G28" s="170">
        <f>MAX(B11-B13,0)</f>
        <v/>
      </c>
      <c r="H28" s="170">
        <f>MAX(C11-C13,0)</f>
        <v/>
      </c>
      <c r="I28" s="170">
        <f>MAX(D11-D13,0)</f>
        <v/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312" t="inlineStr">
        <is>
          <t>Manual down payment override %</t>
        </is>
      </c>
      <c r="B29" s="58">
        <f>IF('Model Inputs'!$F$28="","",'Model Inputs'!$F$28)</f>
        <v/>
      </c>
      <c r="C29" s="58">
        <f>IF('Model Inputs'!$G$28="","",'Model Inputs'!$G$28)</f>
        <v/>
      </c>
      <c r="D29" s="58">
        <f>IF('Model Inputs'!$H$28="","",'Model Inputs'!$H$28)</f>
        <v/>
      </c>
      <c r="E29" s="5" t="n"/>
      <c r="F29" s="339" t="inlineStr">
        <is>
          <t>Burn-control down payment %</t>
        </is>
      </c>
      <c r="G29" s="171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/>
      </c>
      <c r="H29" s="171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/>
      </c>
      <c r="I29" s="171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/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</row>
    <row r="30" ht="24" customHeight="1" s="326">
      <c r="A30" s="396">
        <f>B$5&amp;" Scenario"</f>
        <v/>
      </c>
      <c r="B30" s="310" t="n"/>
      <c r="C30" s="310" t="n"/>
      <c r="D30" s="310" t="n"/>
      <c r="E30" s="310" t="n"/>
      <c r="F30" s="310" t="n"/>
      <c r="G30" s="310" t="n"/>
      <c r="H30" s="310" t="n"/>
      <c r="I30" s="310" t="n"/>
      <c r="J30" s="310" t="n"/>
      <c r="K30" s="310" t="n"/>
      <c r="L30" s="310" t="n"/>
      <c r="M30" s="310" t="n"/>
      <c r="N30" s="310" t="n"/>
      <c r="O30" s="310" t="n"/>
      <c r="P30" s="310" t="n"/>
      <c r="Q30" s="310" t="n"/>
      <c r="R30" s="310" t="n"/>
      <c r="S30" s="310" t="n"/>
      <c r="T30" s="310" t="n"/>
      <c r="U30" s="310" t="n"/>
      <c r="V30" s="310" t="n"/>
      <c r="W30" s="310" t="n"/>
      <c r="X30" s="310" t="n"/>
      <c r="Y30" s="310" t="n"/>
      <c r="Z30" s="310" t="n"/>
      <c r="AA30" s="310" t="n"/>
      <c r="AB30" s="310" t="n"/>
      <c r="AC30" s="310" t="n"/>
      <c r="AD30" s="310" t="n"/>
      <c r="AE30" s="310" t="n"/>
      <c r="AF30" s="310" t="n"/>
      <c r="AG30" s="311" t="n"/>
    </row>
    <row r="31" ht="18" customHeight="1" s="326">
      <c r="A31" s="485" t="inlineStr">
        <is>
          <t>Year</t>
        </is>
      </c>
      <c r="B31" s="486" t="inlineStr">
        <is>
          <t>Phase</t>
        </is>
      </c>
      <c r="C31" s="486" t="inlineStr">
        <is>
          <t>Base Gross</t>
        </is>
      </c>
      <c r="D31" s="486" t="inlineStr">
        <is>
          <t>Scenario Gross</t>
        </is>
      </c>
      <c r="E31" s="486" t="inlineStr">
        <is>
          <t>401(k)</t>
        </is>
      </c>
      <c r="F31" s="486" t="inlineStr">
        <is>
          <t>HSA</t>
        </is>
      </c>
      <c r="G31" s="486" t="inlineStr">
        <is>
          <t>After-Tax Payroll</t>
        </is>
      </c>
      <c r="H31" s="486" t="inlineStr">
        <is>
          <t>Adj. Total Tax</t>
        </is>
      </c>
      <c r="I31" s="486" t="inlineStr">
        <is>
          <t>Post-Tax Cash</t>
        </is>
      </c>
      <c r="J31" s="486" t="inlineStr">
        <is>
          <t>Rent</t>
        </is>
      </c>
      <c r="K31" s="486" t="inlineStr">
        <is>
          <t>Living</t>
        </is>
      </c>
      <c r="L31" s="486" t="inlineStr">
        <is>
          <t>Roth</t>
        </is>
      </c>
      <c r="M31" s="486" t="inlineStr">
        <is>
          <t>Taxable Savings / (Draw)</t>
        </is>
      </c>
      <c r="N31" s="486" t="inlineStr">
        <is>
          <t>Net Portfolio Flow</t>
        </is>
      </c>
      <c r="O31" s="486" t="inlineStr">
        <is>
          <t>Planned Retirement Need</t>
        </is>
      </c>
      <c r="P31" s="486" t="inlineStr">
        <is>
          <t>Actual Withdrawal</t>
        </is>
      </c>
      <c r="Q31" s="486" t="inlineStr">
        <is>
          <t>Taxable Draw</t>
        </is>
      </c>
      <c r="R31" s="486" t="inlineStr">
        <is>
          <t>401(k) Draw</t>
        </is>
      </c>
      <c r="S31" s="486" t="inlineStr">
        <is>
          <t>Roth Draw</t>
        </is>
      </c>
      <c r="T31" s="486" t="inlineStr">
        <is>
          <t>HSA Draw</t>
        </is>
      </c>
      <c r="U31" s="486" t="inlineStr">
        <is>
          <t>Taxable Balance</t>
        </is>
      </c>
      <c r="V31" s="486" t="inlineStr">
        <is>
          <t>401(k) Balance</t>
        </is>
      </c>
      <c r="W31" s="486" t="inlineStr">
        <is>
          <t>Roth Balance</t>
        </is>
      </c>
      <c r="X31" s="486" t="inlineStr">
        <is>
          <t>HSA Balance</t>
        </is>
      </c>
      <c r="Y31" s="486" t="inlineStr">
        <is>
          <t>Liquid Wealth</t>
        </is>
      </c>
      <c r="Z31" s="486" t="inlineStr">
        <is>
          <t>Funding Gap</t>
        </is>
      </c>
      <c r="AA31" s="486" t="inlineStr">
        <is>
          <t>Total Savings Rate</t>
        </is>
      </c>
      <c r="AB31" s="486" t="inlineStr">
        <is>
          <t>Home Purchase Cash</t>
        </is>
      </c>
      <c r="AC31" s="486" t="inlineStr">
        <is>
          <t>Annual Housing Carry</t>
        </is>
      </c>
      <c r="AD31" s="486" t="inlineStr">
        <is>
          <t>House Value</t>
        </is>
      </c>
      <c r="AE31" s="486" t="inlineStr">
        <is>
          <t>Mortgage Balance</t>
        </is>
      </c>
      <c r="AF31" s="486" t="inlineStr">
        <is>
          <t>Home Equity</t>
        </is>
      </c>
      <c r="AG31" s="487" t="inlineStr">
        <is>
          <t>Net Worth Incl. Home</t>
        </is>
      </c>
    </row>
    <row r="32" ht="18" customHeight="1" s="326">
      <c r="A32" s="71" t="n">
        <v>1</v>
      </c>
      <c r="B32" s="72">
        <f>IF(AND(C32&gt;0,A32&lt;=$B$11),"Working","Retired")</f>
        <v/>
      </c>
      <c r="C32" s="73">
        <f>N('Savings Projection'!$B$19)</f>
        <v/>
      </c>
      <c r="D32" s="43">
        <f>IF(B32="Working",C32*$B$6,0)</f>
        <v/>
      </c>
      <c r="E32" s="73">
        <f>IF(OR(B32="Retired",D32=0),0,MIN(D32,'Tax Assumptions'!$B$19))</f>
        <v/>
      </c>
      <c r="F32" s="73">
        <f>IF(B32="Working",N('Savings Projection'!$E$19),0)</f>
        <v/>
      </c>
      <c r="G32" s="73">
        <f>IF(B32="Working",N('Savings Projection'!$F$19),0)</f>
        <v/>
      </c>
      <c r="H32" s="43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/>
      </c>
      <c r="I32" s="43">
        <f>IF(B32="Working",D32-E32-F32-G32-H32,0)</f>
        <v/>
      </c>
      <c r="J32" s="73">
        <f>IF(B32="Working",N('Savings Projection'!$S$19)*$B$8,0)</f>
        <v/>
      </c>
      <c r="K32" s="73">
        <f>IF(B32="Working",N('Savings Projection'!$T$19)*$B$9,0)</f>
        <v/>
      </c>
      <c r="L32" s="43">
        <f>IF(B32="Working",MIN(MAX(I32-J32-K32-AB32-AC32,0),'Tax Assumptions'!$B$20),0)</f>
        <v/>
      </c>
      <c r="M32" s="43">
        <f>IF(B32="Working",I32-J32-K32-L32-AB32-AC32,0)</f>
        <v/>
      </c>
      <c r="N32" s="73">
        <f>IF(B32="Working",M32+L32+E32+F32,-P32)</f>
        <v/>
      </c>
      <c r="O32" s="73">
        <f>IF(B32="Retired",$B$12+AB32+AC32,0)</f>
        <v/>
      </c>
      <c r="P32" s="73">
        <f>Q32+R32+S32+T32</f>
        <v/>
      </c>
      <c r="Q32" s="73">
        <f>IF(B32="Retired",MIN((('Savings Projection'!$B$7)*(1+$B$10)+IF(B32="Working",M32,0)),O32),0)</f>
        <v/>
      </c>
      <c r="R32" s="73">
        <f>IF(B32="Retired",MIN(MAX(O32-Q32,0),(('Savings Projection'!$B$8)*(1+$B$10)+IF(B32="Working",E32,0))),0)</f>
        <v/>
      </c>
      <c r="S32" s="73">
        <f>IF(B32="Retired",MIN(MAX(O32-Q32-R32,0),(('Savings Projection'!$B$9)*(1+$B$10)+IF(B32="Working",L32,0))),0)</f>
        <v/>
      </c>
      <c r="T32" s="73">
        <f>IF(B32="Retired",MIN(MAX(O32-Q32-R32-S32,0),(('Savings Projection'!$B$10)*(1+$B$10)+IF(B32="Working",F32,0))),0)</f>
        <v/>
      </c>
      <c r="U32" s="43">
        <f>MAX((('Savings Projection'!$B$7)*(1+$B$10)+IF(B32="Working",M32,0))-Q32,0)</f>
        <v/>
      </c>
      <c r="V32" s="43">
        <f>MAX((('Savings Projection'!$B$8)*(1+$B$10)+IF(B32="Working",E32,0))-R32,0)</f>
        <v/>
      </c>
      <c r="W32" s="43">
        <f>MAX((('Savings Projection'!$B$9)*(1+$B$10)+IF(B32="Working",L32,0))-S32,0)</f>
        <v/>
      </c>
      <c r="X32" s="43">
        <f>MAX((('Savings Projection'!$B$10)*(1+$B$10)+IF(B32="Working",F32,0))-T32,0)</f>
        <v/>
      </c>
      <c r="Y32" s="43">
        <f>U32+V32+W32+X32</f>
        <v/>
      </c>
      <c r="Z32" s="73">
        <f>IF(B32="Retired",MAX(O32-P32,0),0)</f>
        <v/>
      </c>
      <c r="AA32" s="74">
        <f>IF(B32="Working",IF(D32=0,0,N32/D32),0)</f>
        <v/>
      </c>
      <c r="AB32" s="43">
        <f>IF(AND($B$14&gt;0,A32=$B$13),$B$14*($B$15+$B$18),0)+IF(AND($B$14&gt;0,A32=$B$13),$B$24,0)</f>
        <v/>
      </c>
      <c r="AC32" s="43">
        <f>IF(OR($B$14&lt;=0,A32&lt;$B$13),0,IF(AND($B$14&gt;0,$B$17&gt;0,A32&gt;=$B$13,A32&lt;($B$13+$B$17)),IF($B$17&lt;=0,0,IF($B$16=0,MAX($B$14*(1-$B$15),0)/$B$17,-PMT($B$16/12,$B$17*12,MAX($B$14*(1-$B$15),0))*12)),0)+AD32*($B$19+$B$20+$B$21)+$B$22+$B$23)</f>
        <v/>
      </c>
      <c r="AD32" s="43">
        <f>IF(AND($B$14&gt;0,A32&gt;=$B$13),$B$14*(1+$B$25)^(A32-$B$13),0)</f>
        <v/>
      </c>
      <c r="AE32" s="43">
        <f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/>
      </c>
      <c r="AF32" s="43">
        <f>MAX(AD32-AE32,0)</f>
        <v/>
      </c>
      <c r="AG32" s="75">
        <f>Y32+AF32</f>
        <v/>
      </c>
    </row>
    <row r="33" ht="18" customHeight="1" s="326">
      <c r="A33" s="76" t="n">
        <v>2</v>
      </c>
      <c r="B33" s="40">
        <f>IF(AND(C33&gt;0,A33&lt;=$B$11),"Working","Retired")</f>
        <v/>
      </c>
      <c r="C33" s="41">
        <f>N('Savings Projection'!$B$20)</f>
        <v/>
      </c>
      <c r="D33" s="41">
        <f>IF(B33="Working",C33*$B$6,0)</f>
        <v/>
      </c>
      <c r="E33" s="41">
        <f>IF(OR(B33="Retired",D33=0),0,MIN(D33,'Tax Assumptions'!$B$19))</f>
        <v/>
      </c>
      <c r="F33" s="41">
        <f>IF(B33="Working",N('Savings Projection'!$E$20),0)</f>
        <v/>
      </c>
      <c r="G33" s="41">
        <f>IF(B33="Working",N('Savings Projection'!$F$20),0)</f>
        <v/>
      </c>
      <c r="H33" s="41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/>
      </c>
      <c r="I33" s="41">
        <f>IF(B33="Working",D33-E33-F33-G33-H33,0)</f>
        <v/>
      </c>
      <c r="J33" s="41">
        <f>IF(B33="Working",N('Savings Projection'!$S$20)*$B$8,0)</f>
        <v/>
      </c>
      <c r="K33" s="41">
        <f>IF(B33="Working",N('Savings Projection'!$T$20)*$B$9,0)</f>
        <v/>
      </c>
      <c r="L33" s="41">
        <f>IF(B33="Working",MIN(MAX(I33-J33-K33-AB33-AC33,0),'Tax Assumptions'!$B$20),0)</f>
        <v/>
      </c>
      <c r="M33" s="41">
        <f>IF(B33="Working",I33-J33-K33-L33-AB33-AC33,0)</f>
        <v/>
      </c>
      <c r="N33" s="41">
        <f>IF(B33="Working",M33+L33+E33+F33,-P33)</f>
        <v/>
      </c>
      <c r="O33" s="41">
        <f>IF(B33="Retired",$B$12+AB33+AC33,0)</f>
        <v/>
      </c>
      <c r="P33" s="41">
        <f>Q33+R33+S33+T33</f>
        <v/>
      </c>
      <c r="Q33" s="41">
        <f>IF(B33="Retired",MIN(((U32)*(1+$B$10)+IF(B33="Working",M33,0)),O33),0)</f>
        <v/>
      </c>
      <c r="R33" s="41">
        <f>IF(B33="Retired",MIN(MAX(O33-Q33,0),((V32)*(1+$B$10)+IF(B33="Working",E33,0))),0)</f>
        <v/>
      </c>
      <c r="S33" s="41">
        <f>IF(B33="Retired",MIN(MAX(O33-Q33-R33,0),((W32)*(1+$B$10)+IF(B33="Working",L33,0))),0)</f>
        <v/>
      </c>
      <c r="T33" s="41">
        <f>IF(B33="Retired",MIN(MAX(O33-Q33-R33-S33,0),((X32)*(1+$B$10)+IF(B33="Working",F33,0))),0)</f>
        <v/>
      </c>
      <c r="U33" s="41">
        <f>MAX(((U32)*(1+$B$10)+IF(B33="Working",M33,0))-Q33,0)</f>
        <v/>
      </c>
      <c r="V33" s="41">
        <f>MAX(((V32)*(1+$B$10)+IF(B33="Working",E33,0))-R33,0)</f>
        <v/>
      </c>
      <c r="W33" s="41">
        <f>MAX(((W32)*(1+$B$10)+IF(B33="Working",L33,0))-S33,0)</f>
        <v/>
      </c>
      <c r="X33" s="41">
        <f>MAX(((X32)*(1+$B$10)+IF(B33="Working",F33,0))-T33,0)</f>
        <v/>
      </c>
      <c r="Y33" s="41">
        <f>U33+V33+W33+X33</f>
        <v/>
      </c>
      <c r="Z33" s="41">
        <f>IF(B33="Retired",MAX(O33-P33,0),0)</f>
        <v/>
      </c>
      <c r="AA33" s="44">
        <f>IF(B33="Working",IF(D33=0,0,N33/D33),0)</f>
        <v/>
      </c>
      <c r="AB33" s="41">
        <f>IF(AND($B$14&gt;0,A33=$B$13),$B$14*($B$15+$B$18),0)+IF(AND($B$14&gt;0,A33=$B$13),$B$24,0)</f>
        <v/>
      </c>
      <c r="AC33" s="41">
        <f>IF(OR($B$14&lt;=0,A33&lt;$B$13),0,IF(AND($B$14&gt;0,$B$17&gt;0,A33&gt;=$B$13,A33&lt;($B$13+$B$17)),IF($B$17&lt;=0,0,IF($B$16=0,MAX($B$14*(1-$B$15),0)/$B$17,-PMT($B$16/12,$B$17*12,MAX($B$14*(1-$B$15),0))*12)),0)+AD33*($B$19+$B$20+$B$21)+$B$22+$B$23)</f>
        <v/>
      </c>
      <c r="AD33" s="41">
        <f>IF(AND($B$14&gt;0,A33&gt;=$B$13),$B$14*(1+$B$25)^(A33-$B$13),0)</f>
        <v/>
      </c>
      <c r="AE33" s="41">
        <f>IF(OR($B$14&lt;=0,$B$17&lt;=0,A33&lt;$B$13,MIN(MAX((A33-$B$13+1)*12,0),$B$17*12)&gt;=$B$17*12),0,IF($B$16=0,MAX(MAX($B$14*(1-$B$15),0)-(IF($B$17&lt;=0,0,IF($B$16=0,MAX($B$14*(1-$B$15),0)/$B$17,-PMT($B$16/12,$B$17*12,MAX($B$14*(1-$B$15),0))*12))/12)*MIN(MAX((A33-$B$13+1)*12,0),$B$17*12),0),MAX(MAX($B$14*(1-$B$15),0)*(1+$B$16/12)^MIN(MAX((A33-$B$13+1)*12,0),$B$17*12)-(IF($B$17&lt;=0,0,IF($B$16=0,MAX($B$14*(1-$B$15),0)/$B$17,-PMT($B$16/12,$B$17*12,MAX($B$14*(1-$B$15),0))*12))/12)*(((1+$B$16/12)^MIN(MAX((A33-$B$13+1)*12,0),$B$17*12)-1)/($B$16/12)),0)))</f>
        <v/>
      </c>
      <c r="AF33" s="41">
        <f>MAX(AD33-AE33,0)</f>
        <v/>
      </c>
      <c r="AG33" s="77">
        <f>Y33+AF33</f>
        <v/>
      </c>
    </row>
    <row r="34" ht="18" customHeight="1" s="326">
      <c r="A34" s="71" t="n">
        <v>3</v>
      </c>
      <c r="B34" s="72">
        <f>IF(AND(C34&gt;0,A34&lt;=$B$11),"Working","Retired")</f>
        <v/>
      </c>
      <c r="C34" s="73">
        <f>N('Savings Projection'!$B$21)</f>
        <v/>
      </c>
      <c r="D34" s="43">
        <f>IF(B34="Working",C34*$B$6,0)</f>
        <v/>
      </c>
      <c r="E34" s="73">
        <f>IF(OR(B34="Retired",D34=0),0,MIN(D34,'Tax Assumptions'!$B$19))</f>
        <v/>
      </c>
      <c r="F34" s="73">
        <f>IF(B34="Working",N('Savings Projection'!$E$21),0)</f>
        <v/>
      </c>
      <c r="G34" s="73">
        <f>IF(B34="Working",N('Savings Projection'!$F$21),0)</f>
        <v/>
      </c>
      <c r="H34" s="43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/>
      </c>
      <c r="I34" s="43">
        <f>IF(B34="Working",D34-E34-F34-G34-H34,0)</f>
        <v/>
      </c>
      <c r="J34" s="73">
        <f>IF(B34="Working",N('Savings Projection'!$S$21)*$B$8,0)</f>
        <v/>
      </c>
      <c r="K34" s="73">
        <f>IF(B34="Working",N('Savings Projection'!$T$21)*$B$9,0)</f>
        <v/>
      </c>
      <c r="L34" s="43">
        <f>IF(B34="Working",MIN(MAX(I34-J34-K34-AB34-AC34,0),'Tax Assumptions'!$B$20),0)</f>
        <v/>
      </c>
      <c r="M34" s="43">
        <f>IF(B34="Working",I34-J34-K34-L34-AB34-AC34,0)</f>
        <v/>
      </c>
      <c r="N34" s="73">
        <f>IF(B34="Working",M34+L34+E34+F34,-P34)</f>
        <v/>
      </c>
      <c r="O34" s="73">
        <f>IF(B34="Retired",$B$12+AB34+AC34,0)</f>
        <v/>
      </c>
      <c r="P34" s="73">
        <f>Q34+R34+S34+T34</f>
        <v/>
      </c>
      <c r="Q34" s="73">
        <f>IF(B34="Retired",MIN(((U33)*(1+$B$10)+IF(B34="Working",M34,0)),O34),0)</f>
        <v/>
      </c>
      <c r="R34" s="73">
        <f>IF(B34="Retired",MIN(MAX(O34-Q34,0),((V33)*(1+$B$10)+IF(B34="Working",E34,0))),0)</f>
        <v/>
      </c>
      <c r="S34" s="73">
        <f>IF(B34="Retired",MIN(MAX(O34-Q34-R34,0),((W33)*(1+$B$10)+IF(B34="Working",L34,0))),0)</f>
        <v/>
      </c>
      <c r="T34" s="73">
        <f>IF(B34="Retired",MIN(MAX(O34-Q34-R34-S34,0),((X33)*(1+$B$10)+IF(B34="Working",F34,0))),0)</f>
        <v/>
      </c>
      <c r="U34" s="43">
        <f>MAX(((U33)*(1+$B$10)+IF(B34="Working",M34,0))-Q34,0)</f>
        <v/>
      </c>
      <c r="V34" s="43">
        <f>MAX(((V33)*(1+$B$10)+IF(B34="Working",E34,0))-R34,0)</f>
        <v/>
      </c>
      <c r="W34" s="43">
        <f>MAX(((W33)*(1+$B$10)+IF(B34="Working",L34,0))-S34,0)</f>
        <v/>
      </c>
      <c r="X34" s="43">
        <f>MAX(((X33)*(1+$B$10)+IF(B34="Working",F34,0))-T34,0)</f>
        <v/>
      </c>
      <c r="Y34" s="43">
        <f>U34+V34+W34+X34</f>
        <v/>
      </c>
      <c r="Z34" s="73">
        <f>IF(B34="Retired",MAX(O34-P34,0),0)</f>
        <v/>
      </c>
      <c r="AA34" s="74">
        <f>IF(B34="Working",IF(D34=0,0,N34/D34),0)</f>
        <v/>
      </c>
      <c r="AB34" s="43">
        <f>IF(AND($B$14&gt;0,A34=$B$13),$B$14*($B$15+$B$18),0)+IF(AND($B$14&gt;0,A34=$B$13),$B$24,0)</f>
        <v/>
      </c>
      <c r="AC34" s="43">
        <f>IF(OR($B$14&lt;=0,A34&lt;$B$13),0,IF(AND($B$14&gt;0,$B$17&gt;0,A34&gt;=$B$13,A34&lt;($B$13+$B$17)),IF($B$17&lt;=0,0,IF($B$16=0,MAX($B$14*(1-$B$15),0)/$B$17,-PMT($B$16/12,$B$17*12,MAX($B$14*(1-$B$15),0))*12)),0)+AD34*($B$19+$B$20+$B$21)+$B$22+$B$23)</f>
        <v/>
      </c>
      <c r="AD34" s="43">
        <f>IF(AND($B$14&gt;0,A34&gt;=$B$13),$B$14*(1+$B$25)^(A34-$B$13),0)</f>
        <v/>
      </c>
      <c r="AE34" s="43">
        <f>IF(OR($B$14&lt;=0,$B$17&lt;=0,A34&lt;$B$13,MIN(MAX((A34-$B$13+1)*12,0),$B$17*12)&gt;=$B$17*12),0,IF($B$16=0,MAX(MAX($B$14*(1-$B$15),0)-(IF($B$17&lt;=0,0,IF($B$16=0,MAX($B$14*(1-$B$15),0)/$B$17,-PMT($B$16/12,$B$17*12,MAX($B$14*(1-$B$15),0))*12))/12)*MIN(MAX((A34-$B$13+1)*12,0),$B$17*12),0),MAX(MAX($B$14*(1-$B$15),0)*(1+$B$16/12)^MIN(MAX((A34-$B$13+1)*12,0),$B$17*12)-(IF($B$17&lt;=0,0,IF($B$16=0,MAX($B$14*(1-$B$15),0)/$B$17,-PMT($B$16/12,$B$17*12,MAX($B$14*(1-$B$15),0))*12))/12)*(((1+$B$16/12)^MIN(MAX((A34-$B$13+1)*12,0),$B$17*12)-1)/($B$16/12)),0)))</f>
        <v/>
      </c>
      <c r="AF34" s="43">
        <f>MAX(AD34-AE34,0)</f>
        <v/>
      </c>
      <c r="AG34" s="75">
        <f>Y34+AF34</f>
        <v/>
      </c>
    </row>
    <row r="35" ht="18" customHeight="1" s="326">
      <c r="A35" s="76" t="n">
        <v>4</v>
      </c>
      <c r="B35" s="40">
        <f>IF(AND(C35&gt;0,A35&lt;=$B$11),"Working","Retired")</f>
        <v/>
      </c>
      <c r="C35" s="41">
        <f>N('Savings Projection'!$B$22)</f>
        <v/>
      </c>
      <c r="D35" s="41">
        <f>IF(B35="Working",C35*$B$6,0)</f>
        <v/>
      </c>
      <c r="E35" s="41">
        <f>IF(OR(B35="Retired",D35=0),0,MIN(D35,'Tax Assumptions'!$B$19))</f>
        <v/>
      </c>
      <c r="F35" s="41">
        <f>IF(B35="Working",N('Savings Projection'!$E$22),0)</f>
        <v/>
      </c>
      <c r="G35" s="41">
        <f>IF(B35="Working",N('Savings Projection'!$F$22),0)</f>
        <v/>
      </c>
      <c r="H35" s="41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/>
      </c>
      <c r="I35" s="41">
        <f>IF(B35="Working",D35-E35-F35-G35-H35,0)</f>
        <v/>
      </c>
      <c r="J35" s="41">
        <f>IF(B35="Working",N('Savings Projection'!$S$22)*$B$8,0)</f>
        <v/>
      </c>
      <c r="K35" s="41">
        <f>IF(B35="Working",N('Savings Projection'!$T$22)*$B$9,0)</f>
        <v/>
      </c>
      <c r="L35" s="41">
        <f>IF(B35="Working",MIN(MAX(I35-J35-K35-AB35-AC35,0),'Tax Assumptions'!$B$20),0)</f>
        <v/>
      </c>
      <c r="M35" s="41">
        <f>IF(B35="Working",I35-J35-K35-L35-AB35-AC35,0)</f>
        <v/>
      </c>
      <c r="N35" s="41">
        <f>IF(B35="Working",M35+L35+E35+F35,-P35)</f>
        <v/>
      </c>
      <c r="O35" s="41">
        <f>IF(B35="Retired",$B$12+AB35+AC35,0)</f>
        <v/>
      </c>
      <c r="P35" s="41">
        <f>Q35+R35+S35+T35</f>
        <v/>
      </c>
      <c r="Q35" s="41">
        <f>IF(B35="Retired",MIN(((U34)*(1+$B$10)+IF(B35="Working",M35,0)),O35),0)</f>
        <v/>
      </c>
      <c r="R35" s="41">
        <f>IF(B35="Retired",MIN(MAX(O35-Q35,0),((V34)*(1+$B$10)+IF(B35="Working",E35,0))),0)</f>
        <v/>
      </c>
      <c r="S35" s="41">
        <f>IF(B35="Retired",MIN(MAX(O35-Q35-R35,0),((W34)*(1+$B$10)+IF(B35="Working",L35,0))),0)</f>
        <v/>
      </c>
      <c r="T35" s="41">
        <f>IF(B35="Retired",MIN(MAX(O35-Q35-R35-S35,0),((X34)*(1+$B$10)+IF(B35="Working",F35,0))),0)</f>
        <v/>
      </c>
      <c r="U35" s="41">
        <f>MAX(((U34)*(1+$B$10)+IF(B35="Working",M35,0))-Q35,0)</f>
        <v/>
      </c>
      <c r="V35" s="41">
        <f>MAX(((V34)*(1+$B$10)+IF(B35="Working",E35,0))-R35,0)</f>
        <v/>
      </c>
      <c r="W35" s="41">
        <f>MAX(((W34)*(1+$B$10)+IF(B35="Working",L35,0))-S35,0)</f>
        <v/>
      </c>
      <c r="X35" s="41">
        <f>MAX(((X34)*(1+$B$10)+IF(B35="Working",F35,0))-T35,0)</f>
        <v/>
      </c>
      <c r="Y35" s="41">
        <f>U35+V35+W35+X35</f>
        <v/>
      </c>
      <c r="Z35" s="41">
        <f>IF(B35="Retired",MAX(O35-P35,0),0)</f>
        <v/>
      </c>
      <c r="AA35" s="44">
        <f>IF(B35="Working",IF(D35=0,0,N35/D35),0)</f>
        <v/>
      </c>
      <c r="AB35" s="41">
        <f>IF(AND($B$14&gt;0,A35=$B$13),$B$14*($B$15+$B$18),0)+IF(AND($B$14&gt;0,A35=$B$13),$B$24,0)</f>
        <v/>
      </c>
      <c r="AC35" s="41">
        <f>IF(OR($B$14&lt;=0,A35&lt;$B$13),0,IF(AND($B$14&gt;0,$B$17&gt;0,A35&gt;=$B$13,A35&lt;($B$13+$B$17)),IF($B$17&lt;=0,0,IF($B$16=0,MAX($B$14*(1-$B$15),0)/$B$17,-PMT($B$16/12,$B$17*12,MAX($B$14*(1-$B$15),0))*12)),0)+AD35*($B$19+$B$20+$B$21)+$B$22+$B$23)</f>
        <v/>
      </c>
      <c r="AD35" s="41">
        <f>IF(AND($B$14&gt;0,A35&gt;=$B$13),$B$14*(1+$B$25)^(A35-$B$13),0)</f>
        <v/>
      </c>
      <c r="AE35" s="41">
        <f>IF(OR($B$14&lt;=0,$B$17&lt;=0,A35&lt;$B$13,MIN(MAX((A35-$B$13+1)*12,0),$B$17*12)&gt;=$B$17*12),0,IF($B$16=0,MAX(MAX($B$14*(1-$B$15),0)-(IF($B$17&lt;=0,0,IF($B$16=0,MAX($B$14*(1-$B$15),0)/$B$17,-PMT($B$16/12,$B$17*12,MAX($B$14*(1-$B$15),0))*12))/12)*MIN(MAX((A35-$B$13+1)*12,0),$B$17*12),0),MAX(MAX($B$14*(1-$B$15),0)*(1+$B$16/12)^MIN(MAX((A35-$B$13+1)*12,0),$B$17*12)-(IF($B$17&lt;=0,0,IF($B$16=0,MAX($B$14*(1-$B$15),0)/$B$17,-PMT($B$16/12,$B$17*12,MAX($B$14*(1-$B$15),0))*12))/12)*(((1+$B$16/12)^MIN(MAX((A35-$B$13+1)*12,0),$B$17*12)-1)/($B$16/12)),0)))</f>
        <v/>
      </c>
      <c r="AF35" s="41">
        <f>MAX(AD35-AE35,0)</f>
        <v/>
      </c>
      <c r="AG35" s="77">
        <f>Y35+AF35</f>
        <v/>
      </c>
    </row>
    <row r="36" ht="18" customHeight="1" s="326">
      <c r="A36" s="71" t="n">
        <v>5</v>
      </c>
      <c r="B36" s="72">
        <f>IF(AND(C36&gt;0,A36&lt;=$B$11),"Working","Retired")</f>
        <v/>
      </c>
      <c r="C36" s="73">
        <f>N('Savings Projection'!$B$23)</f>
        <v/>
      </c>
      <c r="D36" s="43">
        <f>IF(B36="Working",C36*$B$6,0)</f>
        <v/>
      </c>
      <c r="E36" s="73">
        <f>IF(OR(B36="Retired",D36=0),0,MIN(D36,'Tax Assumptions'!$B$19))</f>
        <v/>
      </c>
      <c r="F36" s="73">
        <f>IF(B36="Working",N('Savings Projection'!$E$23),0)</f>
        <v/>
      </c>
      <c r="G36" s="73">
        <f>IF(B36="Working",N('Savings Projection'!$F$23),0)</f>
        <v/>
      </c>
      <c r="H36" s="43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/>
      </c>
      <c r="I36" s="43">
        <f>IF(B36="Working",D36-E36-F36-G36-H36,0)</f>
        <v/>
      </c>
      <c r="J36" s="73">
        <f>IF(B36="Working",N('Savings Projection'!$S$23)*$B$8,0)</f>
        <v/>
      </c>
      <c r="K36" s="73">
        <f>IF(B36="Working",N('Savings Projection'!$T$23)*$B$9,0)</f>
        <v/>
      </c>
      <c r="L36" s="43">
        <f>IF(B36="Working",MIN(MAX(I36-J36-K36-AB36-AC36,0),'Tax Assumptions'!$B$20),0)</f>
        <v/>
      </c>
      <c r="M36" s="43">
        <f>IF(B36="Working",I36-J36-K36-L36-AB36-AC36,0)</f>
        <v/>
      </c>
      <c r="N36" s="73">
        <f>IF(B36="Working",M36+L36+E36+F36,-P36)</f>
        <v/>
      </c>
      <c r="O36" s="73">
        <f>IF(B36="Retired",$B$12+AB36+AC36,0)</f>
        <v/>
      </c>
      <c r="P36" s="73">
        <f>Q36+R36+S36+T36</f>
        <v/>
      </c>
      <c r="Q36" s="73">
        <f>IF(B36="Retired",MIN(((U35)*(1+$B$10)+IF(B36="Working",M36,0)),O36),0)</f>
        <v/>
      </c>
      <c r="R36" s="73">
        <f>IF(B36="Retired",MIN(MAX(O36-Q36,0),((V35)*(1+$B$10)+IF(B36="Working",E36,0))),0)</f>
        <v/>
      </c>
      <c r="S36" s="73">
        <f>IF(B36="Retired",MIN(MAX(O36-Q36-R36,0),((W35)*(1+$B$10)+IF(B36="Working",L36,0))),0)</f>
        <v/>
      </c>
      <c r="T36" s="73">
        <f>IF(B36="Retired",MIN(MAX(O36-Q36-R36-S36,0),((X35)*(1+$B$10)+IF(B36="Working",F36,0))),0)</f>
        <v/>
      </c>
      <c r="U36" s="43">
        <f>MAX(((U35)*(1+$B$10)+IF(B36="Working",M36,0))-Q36,0)</f>
        <v/>
      </c>
      <c r="V36" s="43">
        <f>MAX(((V35)*(1+$B$10)+IF(B36="Working",E36,0))-R36,0)</f>
        <v/>
      </c>
      <c r="W36" s="43">
        <f>MAX(((W35)*(1+$B$10)+IF(B36="Working",L36,0))-S36,0)</f>
        <v/>
      </c>
      <c r="X36" s="43">
        <f>MAX(((X35)*(1+$B$10)+IF(B36="Working",F36,0))-T36,0)</f>
        <v/>
      </c>
      <c r="Y36" s="43">
        <f>U36+V36+W36+X36</f>
        <v/>
      </c>
      <c r="Z36" s="73">
        <f>IF(B36="Retired",MAX(O36-P36,0),0)</f>
        <v/>
      </c>
      <c r="AA36" s="74">
        <f>IF(B36="Working",IF(D36=0,0,N36/D36),0)</f>
        <v/>
      </c>
      <c r="AB36" s="43">
        <f>IF(AND($B$14&gt;0,A36=$B$13),$B$14*($B$15+$B$18),0)+IF(AND($B$14&gt;0,A36=$B$13),$B$24,0)</f>
        <v/>
      </c>
      <c r="AC36" s="43">
        <f>IF(OR($B$14&lt;=0,A36&lt;$B$13),0,IF(AND($B$14&gt;0,$B$17&gt;0,A36&gt;=$B$13,A36&lt;($B$13+$B$17)),IF($B$17&lt;=0,0,IF($B$16=0,MAX($B$14*(1-$B$15),0)/$B$17,-PMT($B$16/12,$B$17*12,MAX($B$14*(1-$B$15),0))*12)),0)+AD36*($B$19+$B$20+$B$21)+$B$22+$B$23)</f>
        <v/>
      </c>
      <c r="AD36" s="43">
        <f>IF(AND($B$14&gt;0,A36&gt;=$B$13),$B$14*(1+$B$25)^(A36-$B$13),0)</f>
        <v/>
      </c>
      <c r="AE36" s="43">
        <f>IF(OR($B$14&lt;=0,$B$17&lt;=0,A36&lt;$B$13,MIN(MAX((A36-$B$13+1)*12,0),$B$17*12)&gt;=$B$17*12),0,IF($B$16=0,MAX(MAX($B$14*(1-$B$15),0)-(IF($B$17&lt;=0,0,IF($B$16=0,MAX($B$14*(1-$B$15),0)/$B$17,-PMT($B$16/12,$B$17*12,MAX($B$14*(1-$B$15),0))*12))/12)*MIN(MAX((A36-$B$13+1)*12,0),$B$17*12),0),MAX(MAX($B$14*(1-$B$15),0)*(1+$B$16/12)^MIN(MAX((A36-$B$13+1)*12,0),$B$17*12)-(IF($B$17&lt;=0,0,IF($B$16=0,MAX($B$14*(1-$B$15),0)/$B$17,-PMT($B$16/12,$B$17*12,MAX($B$14*(1-$B$15),0))*12))/12)*(((1+$B$16/12)^MIN(MAX((A36-$B$13+1)*12,0),$B$17*12)-1)/($B$16/12)),0)))</f>
        <v/>
      </c>
      <c r="AF36" s="43">
        <f>MAX(AD36-AE36,0)</f>
        <v/>
      </c>
      <c r="AG36" s="75">
        <f>Y36+AF36</f>
        <v/>
      </c>
    </row>
    <row r="37" ht="18" customHeight="1" s="326">
      <c r="A37" s="76" t="n">
        <v>6</v>
      </c>
      <c r="B37" s="40">
        <f>IF(AND(C37&gt;0,A37&lt;=$B$11),"Working","Retired")</f>
        <v/>
      </c>
      <c r="C37" s="41">
        <f>N('Savings Projection'!$B$24)</f>
        <v/>
      </c>
      <c r="D37" s="41">
        <f>IF(B37="Working",C37*$B$6,0)</f>
        <v/>
      </c>
      <c r="E37" s="41">
        <f>IF(OR(B37="Retired",D37=0),0,MIN(D37,'Tax Assumptions'!$B$19))</f>
        <v/>
      </c>
      <c r="F37" s="41">
        <f>IF(B37="Working",N('Savings Projection'!$E$24),0)</f>
        <v/>
      </c>
      <c r="G37" s="41">
        <f>IF(B37="Working",N('Savings Projection'!$F$24),0)</f>
        <v/>
      </c>
      <c r="H37" s="41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/>
      </c>
      <c r="I37" s="41">
        <f>IF(B37="Working",D37-E37-F37-G37-H37,0)</f>
        <v/>
      </c>
      <c r="J37" s="41">
        <f>IF(B37="Working",N('Savings Projection'!$S$24)*$B$8,0)</f>
        <v/>
      </c>
      <c r="K37" s="41">
        <f>IF(B37="Working",N('Savings Projection'!$T$24)*$B$9,0)</f>
        <v/>
      </c>
      <c r="L37" s="41">
        <f>IF(B37="Working",MIN(MAX(I37-J37-K37-AB37-AC37,0),'Tax Assumptions'!$B$20),0)</f>
        <v/>
      </c>
      <c r="M37" s="41">
        <f>IF(B37="Working",I37-J37-K37-L37-AB37-AC37,0)</f>
        <v/>
      </c>
      <c r="N37" s="41">
        <f>IF(B37="Working",M37+L37+E37+F37,-P37)</f>
        <v/>
      </c>
      <c r="O37" s="41">
        <f>IF(B37="Retired",$B$12+AB37+AC37,0)</f>
        <v/>
      </c>
      <c r="P37" s="41">
        <f>Q37+R37+S37+T37</f>
        <v/>
      </c>
      <c r="Q37" s="41">
        <f>IF(B37="Retired",MIN(((U36)*(1+$B$10)+IF(B37="Working",M37,0)),O37),0)</f>
        <v/>
      </c>
      <c r="R37" s="41">
        <f>IF(B37="Retired",MIN(MAX(O37-Q37,0),((V36)*(1+$B$10)+IF(B37="Working",E37,0))),0)</f>
        <v/>
      </c>
      <c r="S37" s="41">
        <f>IF(B37="Retired",MIN(MAX(O37-Q37-R37,0),((W36)*(1+$B$10)+IF(B37="Working",L37,0))),0)</f>
        <v/>
      </c>
      <c r="T37" s="41">
        <f>IF(B37="Retired",MIN(MAX(O37-Q37-R37-S37,0),((X36)*(1+$B$10)+IF(B37="Working",F37,0))),0)</f>
        <v/>
      </c>
      <c r="U37" s="41">
        <f>MAX(((U36)*(1+$B$10)+IF(B37="Working",M37,0))-Q37,0)</f>
        <v/>
      </c>
      <c r="V37" s="41">
        <f>MAX(((V36)*(1+$B$10)+IF(B37="Working",E37,0))-R37,0)</f>
        <v/>
      </c>
      <c r="W37" s="41">
        <f>MAX(((W36)*(1+$B$10)+IF(B37="Working",L37,0))-S37,0)</f>
        <v/>
      </c>
      <c r="X37" s="41">
        <f>MAX(((X36)*(1+$B$10)+IF(B37="Working",F37,0))-T37,0)</f>
        <v/>
      </c>
      <c r="Y37" s="41">
        <f>U37+V37+W37+X37</f>
        <v/>
      </c>
      <c r="Z37" s="41">
        <f>IF(B37="Retired",MAX(O37-P37,0),0)</f>
        <v/>
      </c>
      <c r="AA37" s="44">
        <f>IF(B37="Working",IF(D37=0,0,N37/D37),0)</f>
        <v/>
      </c>
      <c r="AB37" s="41">
        <f>IF(AND($B$14&gt;0,A37=$B$13),$B$14*($B$15+$B$18),0)+IF(AND($B$14&gt;0,A37=$B$13),$B$24,0)</f>
        <v/>
      </c>
      <c r="AC37" s="41">
        <f>IF(OR($B$14&lt;=0,A37&lt;$B$13),0,IF(AND($B$14&gt;0,$B$17&gt;0,A37&gt;=$B$13,A37&lt;($B$13+$B$17)),IF($B$17&lt;=0,0,IF($B$16=0,MAX($B$14*(1-$B$15),0)/$B$17,-PMT($B$16/12,$B$17*12,MAX($B$14*(1-$B$15),0))*12)),0)+AD37*($B$19+$B$20+$B$21)+$B$22+$B$23)</f>
        <v/>
      </c>
      <c r="AD37" s="41">
        <f>IF(AND($B$14&gt;0,A37&gt;=$B$13),$B$14*(1+$B$25)^(A37-$B$13),0)</f>
        <v/>
      </c>
      <c r="AE37" s="41">
        <f>IF(OR($B$14&lt;=0,$B$17&lt;=0,A37&lt;$B$13,MIN(MAX((A37-$B$13+1)*12,0),$B$17*12)&gt;=$B$17*12),0,IF($B$16=0,MAX(MAX($B$14*(1-$B$15),0)-(IF($B$17&lt;=0,0,IF($B$16=0,MAX($B$14*(1-$B$15),0)/$B$17,-PMT($B$16/12,$B$17*12,MAX($B$14*(1-$B$15),0))*12))/12)*MIN(MAX((A37-$B$13+1)*12,0),$B$17*12),0),MAX(MAX($B$14*(1-$B$15),0)*(1+$B$16/12)^MIN(MAX((A37-$B$13+1)*12,0),$B$17*12)-(IF($B$17&lt;=0,0,IF($B$16=0,MAX($B$14*(1-$B$15),0)/$B$17,-PMT($B$16/12,$B$17*12,MAX($B$14*(1-$B$15),0))*12))/12)*(((1+$B$16/12)^MIN(MAX((A37-$B$13+1)*12,0),$B$17*12)-1)/($B$16/12)),0)))</f>
        <v/>
      </c>
      <c r="AF37" s="41">
        <f>MAX(AD37-AE37,0)</f>
        <v/>
      </c>
      <c r="AG37" s="77">
        <f>Y37+AF37</f>
        <v/>
      </c>
    </row>
    <row r="38" ht="18" customHeight="1" s="326">
      <c r="A38" s="71" t="n">
        <v>7</v>
      </c>
      <c r="B38" s="72">
        <f>IF(AND(C38&gt;0,A38&lt;=$B$11),"Working","Retired")</f>
        <v/>
      </c>
      <c r="C38" s="73">
        <f>N('Savings Projection'!$B$25)</f>
        <v/>
      </c>
      <c r="D38" s="43">
        <f>IF(B38="Working",C38*$B$6,0)</f>
        <v/>
      </c>
      <c r="E38" s="73">
        <f>IF(OR(B38="Retired",D38=0),0,MIN(D38,'Tax Assumptions'!$B$19))</f>
        <v/>
      </c>
      <c r="F38" s="73">
        <f>IF(B38="Working",N('Savings Projection'!$E$25),0)</f>
        <v/>
      </c>
      <c r="G38" s="73">
        <f>IF(B38="Working",N('Savings Projection'!$F$25),0)</f>
        <v/>
      </c>
      <c r="H38" s="43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/>
      </c>
      <c r="I38" s="43">
        <f>IF(B38="Working",D38-E38-F38-G38-H38,0)</f>
        <v/>
      </c>
      <c r="J38" s="73">
        <f>IF(B38="Working",N('Savings Projection'!$S$25)*$B$8,0)</f>
        <v/>
      </c>
      <c r="K38" s="73">
        <f>IF(B38="Working",N('Savings Projection'!$T$25)*$B$9,0)</f>
        <v/>
      </c>
      <c r="L38" s="43">
        <f>IF(B38="Working",MIN(MAX(I38-J38-K38-AB38-AC38,0),'Tax Assumptions'!$B$20),0)</f>
        <v/>
      </c>
      <c r="M38" s="43">
        <f>IF(B38="Working",I38-J38-K38-L38-AB38-AC38,0)</f>
        <v/>
      </c>
      <c r="N38" s="73">
        <f>IF(B38="Working",M38+L38+E38+F38,-P38)</f>
        <v/>
      </c>
      <c r="O38" s="73">
        <f>IF(B38="Retired",$B$12+AB38+AC38,0)</f>
        <v/>
      </c>
      <c r="P38" s="73">
        <f>Q38+R38+S38+T38</f>
        <v/>
      </c>
      <c r="Q38" s="73">
        <f>IF(B38="Retired",MIN(((U37)*(1+$B$10)+IF(B38="Working",M38,0)),O38),0)</f>
        <v/>
      </c>
      <c r="R38" s="73">
        <f>IF(B38="Retired",MIN(MAX(O38-Q38,0),((V37)*(1+$B$10)+IF(B38="Working",E38,0))),0)</f>
        <v/>
      </c>
      <c r="S38" s="73">
        <f>IF(B38="Retired",MIN(MAX(O38-Q38-R38,0),((W37)*(1+$B$10)+IF(B38="Working",L38,0))),0)</f>
        <v/>
      </c>
      <c r="T38" s="73">
        <f>IF(B38="Retired",MIN(MAX(O38-Q38-R38-S38,0),((X37)*(1+$B$10)+IF(B38="Working",F38,0))),0)</f>
        <v/>
      </c>
      <c r="U38" s="43">
        <f>MAX(((U37)*(1+$B$10)+IF(B38="Working",M38,0))-Q38,0)</f>
        <v/>
      </c>
      <c r="V38" s="43">
        <f>MAX(((V37)*(1+$B$10)+IF(B38="Working",E38,0))-R38,0)</f>
        <v/>
      </c>
      <c r="W38" s="43">
        <f>MAX(((W37)*(1+$B$10)+IF(B38="Working",L38,0))-S38,0)</f>
        <v/>
      </c>
      <c r="X38" s="43">
        <f>MAX(((X37)*(1+$B$10)+IF(B38="Working",F38,0))-T38,0)</f>
        <v/>
      </c>
      <c r="Y38" s="43">
        <f>U38+V38+W38+X38</f>
        <v/>
      </c>
      <c r="Z38" s="73">
        <f>IF(B38="Retired",MAX(O38-P38,0),0)</f>
        <v/>
      </c>
      <c r="AA38" s="74">
        <f>IF(B38="Working",IF(D38=0,0,N38/D38),0)</f>
        <v/>
      </c>
      <c r="AB38" s="43">
        <f>IF(AND($B$14&gt;0,A38=$B$13),$B$14*($B$15+$B$18),0)+IF(AND($B$14&gt;0,A38=$B$13),$B$24,0)</f>
        <v/>
      </c>
      <c r="AC38" s="43">
        <f>IF(OR($B$14&lt;=0,A38&lt;$B$13),0,IF(AND($B$14&gt;0,$B$17&gt;0,A38&gt;=$B$13,A38&lt;($B$13+$B$17)),IF($B$17&lt;=0,0,IF($B$16=0,MAX($B$14*(1-$B$15),0)/$B$17,-PMT($B$16/12,$B$17*12,MAX($B$14*(1-$B$15),0))*12)),0)+AD38*($B$19+$B$20+$B$21)+$B$22+$B$23)</f>
        <v/>
      </c>
      <c r="AD38" s="43">
        <f>IF(AND($B$14&gt;0,A38&gt;=$B$13),$B$14*(1+$B$25)^(A38-$B$13),0)</f>
        <v/>
      </c>
      <c r="AE38" s="43">
        <f>IF(OR($B$14&lt;=0,$B$17&lt;=0,A38&lt;$B$13,MIN(MAX((A38-$B$13+1)*12,0),$B$17*12)&gt;=$B$17*12),0,IF($B$16=0,MAX(MAX($B$14*(1-$B$15),0)-(IF($B$17&lt;=0,0,IF($B$16=0,MAX($B$14*(1-$B$15),0)/$B$17,-PMT($B$16/12,$B$17*12,MAX($B$14*(1-$B$15),0))*12))/12)*MIN(MAX((A38-$B$13+1)*12,0),$B$17*12),0),MAX(MAX($B$14*(1-$B$15),0)*(1+$B$16/12)^MIN(MAX((A38-$B$13+1)*12,0),$B$17*12)-(IF($B$17&lt;=0,0,IF($B$16=0,MAX($B$14*(1-$B$15),0)/$B$17,-PMT($B$16/12,$B$17*12,MAX($B$14*(1-$B$15),0))*12))/12)*(((1+$B$16/12)^MIN(MAX((A38-$B$13+1)*12,0),$B$17*12)-1)/($B$16/12)),0)))</f>
        <v/>
      </c>
      <c r="AF38" s="43">
        <f>MAX(AD38-AE38,0)</f>
        <v/>
      </c>
      <c r="AG38" s="75">
        <f>Y38+AF38</f>
        <v/>
      </c>
    </row>
    <row r="39" ht="18" customHeight="1" s="326">
      <c r="A39" s="76" t="n">
        <v>8</v>
      </c>
      <c r="B39" s="40">
        <f>IF(AND(C39&gt;0,A39&lt;=$B$11),"Working","Retired")</f>
        <v/>
      </c>
      <c r="C39" s="41">
        <f>N('Savings Projection'!$B$26)</f>
        <v/>
      </c>
      <c r="D39" s="41">
        <f>IF(B39="Working",C39*$B$6,0)</f>
        <v/>
      </c>
      <c r="E39" s="41">
        <f>IF(OR(B39="Retired",D39=0),0,MIN(D39,'Tax Assumptions'!$B$19))</f>
        <v/>
      </c>
      <c r="F39" s="41">
        <f>IF(B39="Working",N('Savings Projection'!$E$26),0)</f>
        <v/>
      </c>
      <c r="G39" s="41">
        <f>IF(B39="Working",N('Savings Projection'!$F$26),0)</f>
        <v/>
      </c>
      <c r="H39" s="41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/>
      </c>
      <c r="I39" s="41">
        <f>IF(B39="Working",D39-E39-F39-G39-H39,0)</f>
        <v/>
      </c>
      <c r="J39" s="41">
        <f>IF(B39="Working",N('Savings Projection'!$S$26)*$B$8,0)</f>
        <v/>
      </c>
      <c r="K39" s="41">
        <f>IF(B39="Working",N('Savings Projection'!$T$26)*$B$9,0)</f>
        <v/>
      </c>
      <c r="L39" s="41">
        <f>IF(B39="Working",MIN(MAX(I39-J39-K39-AB39-AC39,0),'Tax Assumptions'!$B$20),0)</f>
        <v/>
      </c>
      <c r="M39" s="41">
        <f>IF(B39="Working",I39-J39-K39-L39-AB39-AC39,0)</f>
        <v/>
      </c>
      <c r="N39" s="41">
        <f>IF(B39="Working",M39+L39+E39+F39,-P39)</f>
        <v/>
      </c>
      <c r="O39" s="41">
        <f>IF(B39="Retired",$B$12+AB39+AC39,0)</f>
        <v/>
      </c>
      <c r="P39" s="41">
        <f>Q39+R39+S39+T39</f>
        <v/>
      </c>
      <c r="Q39" s="41">
        <f>IF(B39="Retired",MIN(((U38)*(1+$B$10)+IF(B39="Working",M39,0)),O39),0)</f>
        <v/>
      </c>
      <c r="R39" s="41">
        <f>IF(B39="Retired",MIN(MAX(O39-Q39,0),((V38)*(1+$B$10)+IF(B39="Working",E39,0))),0)</f>
        <v/>
      </c>
      <c r="S39" s="41">
        <f>IF(B39="Retired",MIN(MAX(O39-Q39-R39,0),((W38)*(1+$B$10)+IF(B39="Working",L39,0))),0)</f>
        <v/>
      </c>
      <c r="T39" s="41">
        <f>IF(B39="Retired",MIN(MAX(O39-Q39-R39-S39,0),((X38)*(1+$B$10)+IF(B39="Working",F39,0))),0)</f>
        <v/>
      </c>
      <c r="U39" s="41">
        <f>MAX(((U38)*(1+$B$10)+IF(B39="Working",M39,0))-Q39,0)</f>
        <v/>
      </c>
      <c r="V39" s="41">
        <f>MAX(((V38)*(1+$B$10)+IF(B39="Working",E39,0))-R39,0)</f>
        <v/>
      </c>
      <c r="W39" s="41">
        <f>MAX(((W38)*(1+$B$10)+IF(B39="Working",L39,0))-S39,0)</f>
        <v/>
      </c>
      <c r="X39" s="41">
        <f>MAX(((X38)*(1+$B$10)+IF(B39="Working",F39,0))-T39,0)</f>
        <v/>
      </c>
      <c r="Y39" s="41">
        <f>U39+V39+W39+X39</f>
        <v/>
      </c>
      <c r="Z39" s="41">
        <f>IF(B39="Retired",MAX(O39-P39,0),0)</f>
        <v/>
      </c>
      <c r="AA39" s="44">
        <f>IF(B39="Working",IF(D39=0,0,N39/D39),0)</f>
        <v/>
      </c>
      <c r="AB39" s="41">
        <f>IF(AND($B$14&gt;0,A39=$B$13),$B$14*($B$15+$B$18),0)+IF(AND($B$14&gt;0,A39=$B$13),$B$24,0)</f>
        <v/>
      </c>
      <c r="AC39" s="41">
        <f>IF(OR($B$14&lt;=0,A39&lt;$B$13),0,IF(AND($B$14&gt;0,$B$17&gt;0,A39&gt;=$B$13,A39&lt;($B$13+$B$17)),IF($B$17&lt;=0,0,IF($B$16=0,MAX($B$14*(1-$B$15),0)/$B$17,-PMT($B$16/12,$B$17*12,MAX($B$14*(1-$B$15),0))*12)),0)+AD39*($B$19+$B$20+$B$21)+$B$22+$B$23)</f>
        <v/>
      </c>
      <c r="AD39" s="41">
        <f>IF(AND($B$14&gt;0,A39&gt;=$B$13),$B$14*(1+$B$25)^(A39-$B$13),0)</f>
        <v/>
      </c>
      <c r="AE39" s="41">
        <f>IF(OR($B$14&lt;=0,$B$17&lt;=0,A39&lt;$B$13,MIN(MAX((A39-$B$13+1)*12,0),$B$17*12)&gt;=$B$17*12),0,IF($B$16=0,MAX(MAX($B$14*(1-$B$15),0)-(IF($B$17&lt;=0,0,IF($B$16=0,MAX($B$14*(1-$B$15),0)/$B$17,-PMT($B$16/12,$B$17*12,MAX($B$14*(1-$B$15),0))*12))/12)*MIN(MAX((A39-$B$13+1)*12,0),$B$17*12),0),MAX(MAX($B$14*(1-$B$15),0)*(1+$B$16/12)^MIN(MAX((A39-$B$13+1)*12,0),$B$17*12)-(IF($B$17&lt;=0,0,IF($B$16=0,MAX($B$14*(1-$B$15),0)/$B$17,-PMT($B$16/12,$B$17*12,MAX($B$14*(1-$B$15),0))*12))/12)*(((1+$B$16/12)^MIN(MAX((A39-$B$13+1)*12,0),$B$17*12)-1)/($B$16/12)),0)))</f>
        <v/>
      </c>
      <c r="AF39" s="41">
        <f>MAX(AD39-AE39,0)</f>
        <v/>
      </c>
      <c r="AG39" s="77">
        <f>Y39+AF39</f>
        <v/>
      </c>
    </row>
    <row r="40" ht="18" customHeight="1" s="326">
      <c r="A40" s="71" t="n">
        <v>9</v>
      </c>
      <c r="B40" s="72">
        <f>IF(AND(C40&gt;0,A40&lt;=$B$11),"Working","Retired")</f>
        <v/>
      </c>
      <c r="C40" s="73">
        <f>N('Savings Projection'!$B$27)</f>
        <v/>
      </c>
      <c r="D40" s="43">
        <f>IF(B40="Working",C40*$B$6,0)</f>
        <v/>
      </c>
      <c r="E40" s="73">
        <f>IF(OR(B40="Retired",D40=0),0,MIN(D40,'Tax Assumptions'!$B$19))</f>
        <v/>
      </c>
      <c r="F40" s="73">
        <f>IF(B40="Working",N('Savings Projection'!$E$27),0)</f>
        <v/>
      </c>
      <c r="G40" s="73">
        <f>IF(B40="Working",N('Savings Projection'!$F$27),0)</f>
        <v/>
      </c>
      <c r="H40" s="43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/>
      </c>
      <c r="I40" s="43">
        <f>IF(B40="Working",D40-E40-F40-G40-H40,0)</f>
        <v/>
      </c>
      <c r="J40" s="73">
        <f>IF(B40="Working",N('Savings Projection'!$S$27)*$B$8,0)</f>
        <v/>
      </c>
      <c r="K40" s="73">
        <f>IF(B40="Working",N('Savings Projection'!$T$27)*$B$9,0)</f>
        <v/>
      </c>
      <c r="L40" s="43">
        <f>IF(B40="Working",MIN(MAX(I40-J40-K40-AB40-AC40,0),'Tax Assumptions'!$B$20),0)</f>
        <v/>
      </c>
      <c r="M40" s="43">
        <f>IF(B40="Working",I40-J40-K40-L40-AB40-AC40,0)</f>
        <v/>
      </c>
      <c r="N40" s="73">
        <f>IF(B40="Working",M40+L40+E40+F40,-P40)</f>
        <v/>
      </c>
      <c r="O40" s="73">
        <f>IF(B40="Retired",$B$12+AB40+AC40,0)</f>
        <v/>
      </c>
      <c r="P40" s="73">
        <f>Q40+R40+S40+T40</f>
        <v/>
      </c>
      <c r="Q40" s="73">
        <f>IF(B40="Retired",MIN(((U39)*(1+$B$10)+IF(B40="Working",M40,0)),O40),0)</f>
        <v/>
      </c>
      <c r="R40" s="73">
        <f>IF(B40="Retired",MIN(MAX(O40-Q40,0),((V39)*(1+$B$10)+IF(B40="Working",E40,0))),0)</f>
        <v/>
      </c>
      <c r="S40" s="73">
        <f>IF(B40="Retired",MIN(MAX(O40-Q40-R40,0),((W39)*(1+$B$10)+IF(B40="Working",L40,0))),0)</f>
        <v/>
      </c>
      <c r="T40" s="73">
        <f>IF(B40="Retired",MIN(MAX(O40-Q40-R40-S40,0),((X39)*(1+$B$10)+IF(B40="Working",F40,0))),0)</f>
        <v/>
      </c>
      <c r="U40" s="43">
        <f>MAX(((U39)*(1+$B$10)+IF(B40="Working",M40,0))-Q40,0)</f>
        <v/>
      </c>
      <c r="V40" s="43">
        <f>MAX(((V39)*(1+$B$10)+IF(B40="Working",E40,0))-R40,0)</f>
        <v/>
      </c>
      <c r="W40" s="43">
        <f>MAX(((W39)*(1+$B$10)+IF(B40="Working",L40,0))-S40,0)</f>
        <v/>
      </c>
      <c r="X40" s="43">
        <f>MAX(((X39)*(1+$B$10)+IF(B40="Working",F40,0))-T40,0)</f>
        <v/>
      </c>
      <c r="Y40" s="43">
        <f>U40+V40+W40+X40</f>
        <v/>
      </c>
      <c r="Z40" s="73">
        <f>IF(B40="Retired",MAX(O40-P40,0),0)</f>
        <v/>
      </c>
      <c r="AA40" s="74">
        <f>IF(B40="Working",IF(D40=0,0,N40/D40),0)</f>
        <v/>
      </c>
      <c r="AB40" s="43">
        <f>IF(AND($B$14&gt;0,A40=$B$13),$B$14*($B$15+$B$18),0)+IF(AND($B$14&gt;0,A40=$B$13),$B$24,0)</f>
        <v/>
      </c>
      <c r="AC40" s="43">
        <f>IF(OR($B$14&lt;=0,A40&lt;$B$13),0,IF(AND($B$14&gt;0,$B$17&gt;0,A40&gt;=$B$13,A40&lt;($B$13+$B$17)),IF($B$17&lt;=0,0,IF($B$16=0,MAX($B$14*(1-$B$15),0)/$B$17,-PMT($B$16/12,$B$17*12,MAX($B$14*(1-$B$15),0))*12)),0)+AD40*($B$19+$B$20+$B$21)+$B$22+$B$23)</f>
        <v/>
      </c>
      <c r="AD40" s="43">
        <f>IF(AND($B$14&gt;0,A40&gt;=$B$13),$B$14*(1+$B$25)^(A40-$B$13),0)</f>
        <v/>
      </c>
      <c r="AE40" s="43">
        <f>IF(OR($B$14&lt;=0,$B$17&lt;=0,A40&lt;$B$13,MIN(MAX((A40-$B$13+1)*12,0),$B$17*12)&gt;=$B$17*12),0,IF($B$16=0,MAX(MAX($B$14*(1-$B$15),0)-(IF($B$17&lt;=0,0,IF($B$16=0,MAX($B$14*(1-$B$15),0)/$B$17,-PMT($B$16/12,$B$17*12,MAX($B$14*(1-$B$15),0))*12))/12)*MIN(MAX((A40-$B$13+1)*12,0),$B$17*12),0),MAX(MAX($B$14*(1-$B$15),0)*(1+$B$16/12)^MIN(MAX((A40-$B$13+1)*12,0),$B$17*12)-(IF($B$17&lt;=0,0,IF($B$16=0,MAX($B$14*(1-$B$15),0)/$B$17,-PMT($B$16/12,$B$17*12,MAX($B$14*(1-$B$15),0))*12))/12)*(((1+$B$16/12)^MIN(MAX((A40-$B$13+1)*12,0),$B$17*12)-1)/($B$16/12)),0)))</f>
        <v/>
      </c>
      <c r="AF40" s="43">
        <f>MAX(AD40-AE40,0)</f>
        <v/>
      </c>
      <c r="AG40" s="75">
        <f>Y40+AF40</f>
        <v/>
      </c>
    </row>
    <row r="41" ht="18" customHeight="1" s="326">
      <c r="A41" s="76" t="n">
        <v>10</v>
      </c>
      <c r="B41" s="40">
        <f>IF(AND(C41&gt;0,A41&lt;=$B$11),"Working","Retired")</f>
        <v/>
      </c>
      <c r="C41" s="41">
        <f>N('Savings Projection'!$B$28)</f>
        <v/>
      </c>
      <c r="D41" s="41">
        <f>IF(B41="Working",C41*$B$6,0)</f>
        <v/>
      </c>
      <c r="E41" s="41">
        <f>IF(OR(B41="Retired",D41=0),0,MIN(D41,'Tax Assumptions'!$B$19))</f>
        <v/>
      </c>
      <c r="F41" s="41">
        <f>IF(B41="Working",N('Savings Projection'!$E$28),0)</f>
        <v/>
      </c>
      <c r="G41" s="41">
        <f>IF(B41="Working",N('Savings Projection'!$F$28),0)</f>
        <v/>
      </c>
      <c r="H41" s="41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/>
      </c>
      <c r="I41" s="41">
        <f>IF(B41="Working",D41-E41-F41-G41-H41,0)</f>
        <v/>
      </c>
      <c r="J41" s="41">
        <f>IF(B41="Working",N('Savings Projection'!$S$28)*$B$8,0)</f>
        <v/>
      </c>
      <c r="K41" s="41">
        <f>IF(B41="Working",N('Savings Projection'!$T$28)*$B$9,0)</f>
        <v/>
      </c>
      <c r="L41" s="41">
        <f>IF(B41="Working",MIN(MAX(I41-J41-K41-AB41-AC41,0),'Tax Assumptions'!$B$20),0)</f>
        <v/>
      </c>
      <c r="M41" s="41">
        <f>IF(B41="Working",I41-J41-K41-L41-AB41-AC41,0)</f>
        <v/>
      </c>
      <c r="N41" s="41">
        <f>IF(B41="Working",M41+L41+E41+F41,-P41)</f>
        <v/>
      </c>
      <c r="O41" s="41">
        <f>IF(B41="Retired",$B$12+AB41+AC41,0)</f>
        <v/>
      </c>
      <c r="P41" s="41">
        <f>Q41+R41+S41+T41</f>
        <v/>
      </c>
      <c r="Q41" s="41">
        <f>IF(B41="Retired",MIN(((U40)*(1+$B$10)+IF(B41="Working",M41,0)),O41),0)</f>
        <v/>
      </c>
      <c r="R41" s="41">
        <f>IF(B41="Retired",MIN(MAX(O41-Q41,0),((V40)*(1+$B$10)+IF(B41="Working",E41,0))),0)</f>
        <v/>
      </c>
      <c r="S41" s="41">
        <f>IF(B41="Retired",MIN(MAX(O41-Q41-R41,0),((W40)*(1+$B$10)+IF(B41="Working",L41,0))),0)</f>
        <v/>
      </c>
      <c r="T41" s="41">
        <f>IF(B41="Retired",MIN(MAX(O41-Q41-R41-S41,0),((X40)*(1+$B$10)+IF(B41="Working",F41,0))),0)</f>
        <v/>
      </c>
      <c r="U41" s="41">
        <f>MAX(((U40)*(1+$B$10)+IF(B41="Working",M41,0))-Q41,0)</f>
        <v/>
      </c>
      <c r="V41" s="41">
        <f>MAX(((V40)*(1+$B$10)+IF(B41="Working",E41,0))-R41,0)</f>
        <v/>
      </c>
      <c r="W41" s="41">
        <f>MAX(((W40)*(1+$B$10)+IF(B41="Working",L41,0))-S41,0)</f>
        <v/>
      </c>
      <c r="X41" s="41">
        <f>MAX(((X40)*(1+$B$10)+IF(B41="Working",F41,0))-T41,0)</f>
        <v/>
      </c>
      <c r="Y41" s="41">
        <f>U41+V41+W41+X41</f>
        <v/>
      </c>
      <c r="Z41" s="41">
        <f>IF(B41="Retired",MAX(O41-P41,0),0)</f>
        <v/>
      </c>
      <c r="AA41" s="44">
        <f>IF(B41="Working",IF(D41=0,0,N41/D41),0)</f>
        <v/>
      </c>
      <c r="AB41" s="41">
        <f>IF(AND($B$14&gt;0,A41=$B$13),$B$14*($B$15+$B$18),0)+IF(AND($B$14&gt;0,A41=$B$13),$B$24,0)</f>
        <v/>
      </c>
      <c r="AC41" s="41">
        <f>IF(OR($B$14&lt;=0,A41&lt;$B$13),0,IF(AND($B$14&gt;0,$B$17&gt;0,A41&gt;=$B$13,A41&lt;($B$13+$B$17)),IF($B$17&lt;=0,0,IF($B$16=0,MAX($B$14*(1-$B$15),0)/$B$17,-PMT($B$16/12,$B$17*12,MAX($B$14*(1-$B$15),0))*12)),0)+AD41*($B$19+$B$20+$B$21)+$B$22+$B$23)</f>
        <v/>
      </c>
      <c r="AD41" s="41">
        <f>IF(AND($B$14&gt;0,A41&gt;=$B$13),$B$14*(1+$B$25)^(A41-$B$13),0)</f>
        <v/>
      </c>
      <c r="AE41" s="41">
        <f>IF(OR($B$14&lt;=0,$B$17&lt;=0,A41&lt;$B$13,MIN(MAX((A41-$B$13+1)*12,0),$B$17*12)&gt;=$B$17*12),0,IF($B$16=0,MAX(MAX($B$14*(1-$B$15),0)-(IF($B$17&lt;=0,0,IF($B$16=0,MAX($B$14*(1-$B$15),0)/$B$17,-PMT($B$16/12,$B$17*12,MAX($B$14*(1-$B$15),0))*12))/12)*MIN(MAX((A41-$B$13+1)*12,0),$B$17*12),0),MAX(MAX($B$14*(1-$B$15),0)*(1+$B$16/12)^MIN(MAX((A41-$B$13+1)*12,0),$B$17*12)-(IF($B$17&lt;=0,0,IF($B$16=0,MAX($B$14*(1-$B$15),0)/$B$17,-PMT($B$16/12,$B$17*12,MAX($B$14*(1-$B$15),0))*12))/12)*(((1+$B$16/12)^MIN(MAX((A41-$B$13+1)*12,0),$B$17*12)-1)/($B$16/12)),0)))</f>
        <v/>
      </c>
      <c r="AF41" s="41">
        <f>MAX(AD41-AE41,0)</f>
        <v/>
      </c>
      <c r="AG41" s="77">
        <f>Y41+AF41</f>
        <v/>
      </c>
    </row>
    <row r="42" ht="18" customHeight="1" s="326">
      <c r="A42" s="71" t="n">
        <v>11</v>
      </c>
      <c r="B42" s="72">
        <f>IF(AND(C42&gt;0,A42&lt;=$B$11),"Working","Retired")</f>
        <v/>
      </c>
      <c r="C42" s="73">
        <f>N('Savings Projection'!$B$29)</f>
        <v/>
      </c>
      <c r="D42" s="43">
        <f>IF(B42="Working",C42*$B$6,0)</f>
        <v/>
      </c>
      <c r="E42" s="73">
        <f>IF(OR(B42="Retired",D42=0),0,MIN(D42,'Tax Assumptions'!$B$19))</f>
        <v/>
      </c>
      <c r="F42" s="73">
        <f>IF(B42="Working",N('Savings Projection'!$E$29),0)</f>
        <v/>
      </c>
      <c r="G42" s="73">
        <f>IF(B42="Working",N('Savings Projection'!$F$29),0)</f>
        <v/>
      </c>
      <c r="H42" s="43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/>
      </c>
      <c r="I42" s="43">
        <f>IF(B42="Working",D42-E42-F42-G42-H42,0)</f>
        <v/>
      </c>
      <c r="J42" s="73">
        <f>IF(B42="Working",N('Savings Projection'!$S$29)*$B$8,0)</f>
        <v/>
      </c>
      <c r="K42" s="73">
        <f>IF(B42="Working",N('Savings Projection'!$T$29)*$B$9,0)</f>
        <v/>
      </c>
      <c r="L42" s="43">
        <f>IF(B42="Working",MIN(MAX(I42-J42-K42-AB42-AC42,0),'Tax Assumptions'!$B$20),0)</f>
        <v/>
      </c>
      <c r="M42" s="43">
        <f>IF(B42="Working",I42-J42-K42-L42-AB42-AC42,0)</f>
        <v/>
      </c>
      <c r="N42" s="73">
        <f>IF(B42="Working",M42+L42+E42+F42,-P42)</f>
        <v/>
      </c>
      <c r="O42" s="73">
        <f>IF(B42="Retired",$B$12+AB42+AC42,0)</f>
        <v/>
      </c>
      <c r="P42" s="73">
        <f>Q42+R42+S42+T42</f>
        <v/>
      </c>
      <c r="Q42" s="73">
        <f>IF(B42="Retired",MIN(((U41)*(1+$B$10)+IF(B42="Working",M42,0)),O42),0)</f>
        <v/>
      </c>
      <c r="R42" s="73">
        <f>IF(B42="Retired",MIN(MAX(O42-Q42,0),((V41)*(1+$B$10)+IF(B42="Working",E42,0))),0)</f>
        <v/>
      </c>
      <c r="S42" s="73">
        <f>IF(B42="Retired",MIN(MAX(O42-Q42-R42,0),((W41)*(1+$B$10)+IF(B42="Working",L42,0))),0)</f>
        <v/>
      </c>
      <c r="T42" s="73">
        <f>IF(B42="Retired",MIN(MAX(O42-Q42-R42-S42,0),((X41)*(1+$B$10)+IF(B42="Working",F42,0))),0)</f>
        <v/>
      </c>
      <c r="U42" s="43">
        <f>MAX(((U41)*(1+$B$10)+IF(B42="Working",M42,0))-Q42,0)</f>
        <v/>
      </c>
      <c r="V42" s="43">
        <f>MAX(((V41)*(1+$B$10)+IF(B42="Working",E42,0))-R42,0)</f>
        <v/>
      </c>
      <c r="W42" s="43">
        <f>MAX(((W41)*(1+$B$10)+IF(B42="Working",L42,0))-S42,0)</f>
        <v/>
      </c>
      <c r="X42" s="43">
        <f>MAX(((X41)*(1+$B$10)+IF(B42="Working",F42,0))-T42,0)</f>
        <v/>
      </c>
      <c r="Y42" s="43">
        <f>U42+V42+W42+X42</f>
        <v/>
      </c>
      <c r="Z42" s="73">
        <f>IF(B42="Retired",MAX(O42-P42,0),0)</f>
        <v/>
      </c>
      <c r="AA42" s="74">
        <f>IF(B42="Working",IF(D42=0,0,N42/D42),0)</f>
        <v/>
      </c>
      <c r="AB42" s="43">
        <f>IF(AND($B$14&gt;0,A42=$B$13),$B$14*($B$15+$B$18),0)+IF(AND($B$14&gt;0,A42=$B$13),$B$24,0)</f>
        <v/>
      </c>
      <c r="AC42" s="43">
        <f>IF(OR($B$14&lt;=0,A42&lt;$B$13),0,IF(AND($B$14&gt;0,$B$17&gt;0,A42&gt;=$B$13,A42&lt;($B$13+$B$17)),IF($B$17&lt;=0,0,IF($B$16=0,MAX($B$14*(1-$B$15),0)/$B$17,-PMT($B$16/12,$B$17*12,MAX($B$14*(1-$B$15),0))*12)),0)+AD42*($B$19+$B$20+$B$21)+$B$22+$B$23)</f>
        <v/>
      </c>
      <c r="AD42" s="43">
        <f>IF(AND($B$14&gt;0,A42&gt;=$B$13),$B$14*(1+$B$25)^(A42-$B$13),0)</f>
        <v/>
      </c>
      <c r="AE42" s="43">
        <f>IF(OR($B$14&lt;=0,$B$17&lt;=0,A42&lt;$B$13,MIN(MAX((A42-$B$13+1)*12,0),$B$17*12)&gt;=$B$17*12),0,IF($B$16=0,MAX(MAX($B$14*(1-$B$15),0)-(IF($B$17&lt;=0,0,IF($B$16=0,MAX($B$14*(1-$B$15),0)/$B$17,-PMT($B$16/12,$B$17*12,MAX($B$14*(1-$B$15),0))*12))/12)*MIN(MAX((A42-$B$13+1)*12,0),$B$17*12),0),MAX(MAX($B$14*(1-$B$15),0)*(1+$B$16/12)^MIN(MAX((A42-$B$13+1)*12,0),$B$17*12)-(IF($B$17&lt;=0,0,IF($B$16=0,MAX($B$14*(1-$B$15),0)/$B$17,-PMT($B$16/12,$B$17*12,MAX($B$14*(1-$B$15),0))*12))/12)*(((1+$B$16/12)^MIN(MAX((A42-$B$13+1)*12,0),$B$17*12)-1)/($B$16/12)),0)))</f>
        <v/>
      </c>
      <c r="AF42" s="43">
        <f>MAX(AD42-AE42,0)</f>
        <v/>
      </c>
      <c r="AG42" s="75">
        <f>Y42+AF42</f>
        <v/>
      </c>
    </row>
    <row r="43" ht="18" customHeight="1" s="326">
      <c r="A43" s="76" t="n">
        <v>12</v>
      </c>
      <c r="B43" s="40">
        <f>IF(AND(C43&gt;0,A43&lt;=$B$11),"Working","Retired")</f>
        <v/>
      </c>
      <c r="C43" s="41">
        <f>N('Savings Projection'!$B$30)</f>
        <v/>
      </c>
      <c r="D43" s="41">
        <f>IF(B43="Working",C43*$B$6,0)</f>
        <v/>
      </c>
      <c r="E43" s="41">
        <f>IF(OR(B43="Retired",D43=0),0,MIN(D43,'Tax Assumptions'!$B$19))</f>
        <v/>
      </c>
      <c r="F43" s="41">
        <f>IF(B43="Working",N('Savings Projection'!$E$30),0)</f>
        <v/>
      </c>
      <c r="G43" s="41">
        <f>IF(B43="Working",N('Savings Projection'!$F$30),0)</f>
        <v/>
      </c>
      <c r="H43" s="41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/>
      </c>
      <c r="I43" s="41">
        <f>IF(B43="Working",D43-E43-F43-G43-H43,0)</f>
        <v/>
      </c>
      <c r="J43" s="41">
        <f>IF(B43="Working",N('Savings Projection'!$S$30)*$B$8,0)</f>
        <v/>
      </c>
      <c r="K43" s="41">
        <f>IF(B43="Working",N('Savings Projection'!$T$30)*$B$9,0)</f>
        <v/>
      </c>
      <c r="L43" s="41">
        <f>IF(B43="Working",MIN(MAX(I43-J43-K43-AB43-AC43,0),'Tax Assumptions'!$B$20),0)</f>
        <v/>
      </c>
      <c r="M43" s="41">
        <f>IF(B43="Working",I43-J43-K43-L43-AB43-AC43,0)</f>
        <v/>
      </c>
      <c r="N43" s="41">
        <f>IF(B43="Working",M43+L43+E43+F43,-P43)</f>
        <v/>
      </c>
      <c r="O43" s="41">
        <f>IF(B43="Retired",$B$12+AB43+AC43,0)</f>
        <v/>
      </c>
      <c r="P43" s="41">
        <f>Q43+R43+S43+T43</f>
        <v/>
      </c>
      <c r="Q43" s="41">
        <f>IF(B43="Retired",MIN(((U42)*(1+$B$10)+IF(B43="Working",M43,0)),O43),0)</f>
        <v/>
      </c>
      <c r="R43" s="41">
        <f>IF(B43="Retired",MIN(MAX(O43-Q43,0),((V42)*(1+$B$10)+IF(B43="Working",E43,0))),0)</f>
        <v/>
      </c>
      <c r="S43" s="41">
        <f>IF(B43="Retired",MIN(MAX(O43-Q43-R43,0),((W42)*(1+$B$10)+IF(B43="Working",L43,0))),0)</f>
        <v/>
      </c>
      <c r="T43" s="41">
        <f>IF(B43="Retired",MIN(MAX(O43-Q43-R43-S43,0),((X42)*(1+$B$10)+IF(B43="Working",F43,0))),0)</f>
        <v/>
      </c>
      <c r="U43" s="41">
        <f>MAX(((U42)*(1+$B$10)+IF(B43="Working",M43,0))-Q43,0)</f>
        <v/>
      </c>
      <c r="V43" s="41">
        <f>MAX(((V42)*(1+$B$10)+IF(B43="Working",E43,0))-R43,0)</f>
        <v/>
      </c>
      <c r="W43" s="41">
        <f>MAX(((W42)*(1+$B$10)+IF(B43="Working",L43,0))-S43,0)</f>
        <v/>
      </c>
      <c r="X43" s="41">
        <f>MAX(((X42)*(1+$B$10)+IF(B43="Working",F43,0))-T43,0)</f>
        <v/>
      </c>
      <c r="Y43" s="41">
        <f>U43+V43+W43+X43</f>
        <v/>
      </c>
      <c r="Z43" s="41">
        <f>IF(B43="Retired",MAX(O43-P43,0),0)</f>
        <v/>
      </c>
      <c r="AA43" s="44">
        <f>IF(B43="Working",IF(D43=0,0,N43/D43),0)</f>
        <v/>
      </c>
      <c r="AB43" s="41">
        <f>IF(AND($B$14&gt;0,A43=$B$13),$B$14*($B$15+$B$18),0)+IF(AND($B$14&gt;0,A43=$B$13),$B$24,0)</f>
        <v/>
      </c>
      <c r="AC43" s="41">
        <f>IF(OR($B$14&lt;=0,A43&lt;$B$13),0,IF(AND($B$14&gt;0,$B$17&gt;0,A43&gt;=$B$13,A43&lt;($B$13+$B$17)),IF($B$17&lt;=0,0,IF($B$16=0,MAX($B$14*(1-$B$15),0)/$B$17,-PMT($B$16/12,$B$17*12,MAX($B$14*(1-$B$15),0))*12)),0)+AD43*($B$19+$B$20+$B$21)+$B$22+$B$23)</f>
        <v/>
      </c>
      <c r="AD43" s="41">
        <f>IF(AND($B$14&gt;0,A43&gt;=$B$13),$B$14*(1+$B$25)^(A43-$B$13),0)</f>
        <v/>
      </c>
      <c r="AE43" s="41">
        <f>IF(OR($B$14&lt;=0,$B$17&lt;=0,A43&lt;$B$13,MIN(MAX((A43-$B$13+1)*12,0),$B$17*12)&gt;=$B$17*12),0,IF($B$16=0,MAX(MAX($B$14*(1-$B$15),0)-(IF($B$17&lt;=0,0,IF($B$16=0,MAX($B$14*(1-$B$15),0)/$B$17,-PMT($B$16/12,$B$17*12,MAX($B$14*(1-$B$15),0))*12))/12)*MIN(MAX((A43-$B$13+1)*12,0),$B$17*12),0),MAX(MAX($B$14*(1-$B$15),0)*(1+$B$16/12)^MIN(MAX((A43-$B$13+1)*12,0),$B$17*12)-(IF($B$17&lt;=0,0,IF($B$16=0,MAX($B$14*(1-$B$15),0)/$B$17,-PMT($B$16/12,$B$17*12,MAX($B$14*(1-$B$15),0))*12))/12)*(((1+$B$16/12)^MIN(MAX((A43-$B$13+1)*12,0),$B$17*12)-1)/($B$16/12)),0)))</f>
        <v/>
      </c>
      <c r="AF43" s="41">
        <f>MAX(AD43-AE43,0)</f>
        <v/>
      </c>
      <c r="AG43" s="77">
        <f>Y43+AF43</f>
        <v/>
      </c>
    </row>
    <row r="44" ht="18" customHeight="1" s="326">
      <c r="A44" s="71" t="n">
        <v>13</v>
      </c>
      <c r="B44" s="72">
        <f>IF(AND(C44&gt;0,A44&lt;=$B$11),"Working","Retired")</f>
        <v/>
      </c>
      <c r="C44" s="73">
        <f>N('Savings Projection'!$B$31)</f>
        <v/>
      </c>
      <c r="D44" s="43">
        <f>IF(B44="Working",C44*$B$6,0)</f>
        <v/>
      </c>
      <c r="E44" s="73">
        <f>IF(OR(B44="Retired",D44=0),0,MIN(D44,'Tax Assumptions'!$B$19))</f>
        <v/>
      </c>
      <c r="F44" s="73">
        <f>IF(B44="Working",N('Savings Projection'!$E$31),0)</f>
        <v/>
      </c>
      <c r="G44" s="73">
        <f>IF(B44="Working",N('Savings Projection'!$F$31),0)</f>
        <v/>
      </c>
      <c r="H44" s="43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/>
      </c>
      <c r="I44" s="43">
        <f>IF(B44="Working",D44-E44-F44-G44-H44,0)</f>
        <v/>
      </c>
      <c r="J44" s="73">
        <f>IF(B44="Working",N('Savings Projection'!$S$31)*$B$8,0)</f>
        <v/>
      </c>
      <c r="K44" s="73">
        <f>IF(B44="Working",N('Savings Projection'!$T$31)*$B$9,0)</f>
        <v/>
      </c>
      <c r="L44" s="43">
        <f>IF(B44="Working",MIN(MAX(I44-J44-K44-AB44-AC44,0),'Tax Assumptions'!$B$20),0)</f>
        <v/>
      </c>
      <c r="M44" s="43">
        <f>IF(B44="Working",I44-J44-K44-L44-AB44-AC44,0)</f>
        <v/>
      </c>
      <c r="N44" s="73">
        <f>IF(B44="Working",M44+L44+E44+F44,-P44)</f>
        <v/>
      </c>
      <c r="O44" s="73">
        <f>IF(B44="Retired",$B$12+AB44+AC44,0)</f>
        <v/>
      </c>
      <c r="P44" s="73">
        <f>Q44+R44+S44+T44</f>
        <v/>
      </c>
      <c r="Q44" s="73">
        <f>IF(B44="Retired",MIN(((U43)*(1+$B$10)+IF(B44="Working",M44,0)),O44),0)</f>
        <v/>
      </c>
      <c r="R44" s="73">
        <f>IF(B44="Retired",MIN(MAX(O44-Q44,0),((V43)*(1+$B$10)+IF(B44="Working",E44,0))),0)</f>
        <v/>
      </c>
      <c r="S44" s="73">
        <f>IF(B44="Retired",MIN(MAX(O44-Q44-R44,0),((W43)*(1+$B$10)+IF(B44="Working",L44,0))),0)</f>
        <v/>
      </c>
      <c r="T44" s="73">
        <f>IF(B44="Retired",MIN(MAX(O44-Q44-R44-S44,0),((X43)*(1+$B$10)+IF(B44="Working",F44,0))),0)</f>
        <v/>
      </c>
      <c r="U44" s="43">
        <f>MAX(((U43)*(1+$B$10)+IF(B44="Working",M44,0))-Q44,0)</f>
        <v/>
      </c>
      <c r="V44" s="43">
        <f>MAX(((V43)*(1+$B$10)+IF(B44="Working",E44,0))-R44,0)</f>
        <v/>
      </c>
      <c r="W44" s="43">
        <f>MAX(((W43)*(1+$B$10)+IF(B44="Working",L44,0))-S44,0)</f>
        <v/>
      </c>
      <c r="X44" s="43">
        <f>MAX(((X43)*(1+$B$10)+IF(B44="Working",F44,0))-T44,0)</f>
        <v/>
      </c>
      <c r="Y44" s="43">
        <f>U44+V44+W44+X44</f>
        <v/>
      </c>
      <c r="Z44" s="73">
        <f>IF(B44="Retired",MAX(O44-P44,0),0)</f>
        <v/>
      </c>
      <c r="AA44" s="74">
        <f>IF(B44="Working",IF(D44=0,0,N44/D44),0)</f>
        <v/>
      </c>
      <c r="AB44" s="43">
        <f>IF(AND($B$14&gt;0,A44=$B$13),$B$14*($B$15+$B$18),0)+IF(AND($B$14&gt;0,A44=$B$13),$B$24,0)</f>
        <v/>
      </c>
      <c r="AC44" s="43">
        <f>IF(OR($B$14&lt;=0,A44&lt;$B$13),0,IF(AND($B$14&gt;0,$B$17&gt;0,A44&gt;=$B$13,A44&lt;($B$13+$B$17)),IF($B$17&lt;=0,0,IF($B$16=0,MAX($B$14*(1-$B$15),0)/$B$17,-PMT($B$16/12,$B$17*12,MAX($B$14*(1-$B$15),0))*12)),0)+AD44*($B$19+$B$20+$B$21)+$B$22+$B$23)</f>
        <v/>
      </c>
      <c r="AD44" s="43">
        <f>IF(AND($B$14&gt;0,A44&gt;=$B$13),$B$14*(1+$B$25)^(A44-$B$13),0)</f>
        <v/>
      </c>
      <c r="AE44" s="43">
        <f>IF(OR($B$14&lt;=0,$B$17&lt;=0,A44&lt;$B$13,MIN(MAX((A44-$B$13+1)*12,0),$B$17*12)&gt;=$B$17*12),0,IF($B$16=0,MAX(MAX($B$14*(1-$B$15),0)-(IF($B$17&lt;=0,0,IF($B$16=0,MAX($B$14*(1-$B$15),0)/$B$17,-PMT($B$16/12,$B$17*12,MAX($B$14*(1-$B$15),0))*12))/12)*MIN(MAX((A44-$B$13+1)*12,0),$B$17*12),0),MAX(MAX($B$14*(1-$B$15),0)*(1+$B$16/12)^MIN(MAX((A44-$B$13+1)*12,0),$B$17*12)-(IF($B$17&lt;=0,0,IF($B$16=0,MAX($B$14*(1-$B$15),0)/$B$17,-PMT($B$16/12,$B$17*12,MAX($B$14*(1-$B$15),0))*12))/12)*(((1+$B$16/12)^MIN(MAX((A44-$B$13+1)*12,0),$B$17*12)-1)/($B$16/12)),0)))</f>
        <v/>
      </c>
      <c r="AF44" s="43">
        <f>MAX(AD44-AE44,0)</f>
        <v/>
      </c>
      <c r="AG44" s="75">
        <f>Y44+AF44</f>
        <v/>
      </c>
    </row>
    <row r="45" ht="18" customHeight="1" s="326">
      <c r="A45" s="76" t="n">
        <v>14</v>
      </c>
      <c r="B45" s="40">
        <f>IF(AND(C45&gt;0,A45&lt;=$B$11),"Working","Retired")</f>
        <v/>
      </c>
      <c r="C45" s="41">
        <f>N('Savings Projection'!$B$32)</f>
        <v/>
      </c>
      <c r="D45" s="41">
        <f>IF(B45="Working",C45*$B$6,0)</f>
        <v/>
      </c>
      <c r="E45" s="41">
        <f>IF(OR(B45="Retired",D45=0),0,MIN(D45,'Tax Assumptions'!$B$19))</f>
        <v/>
      </c>
      <c r="F45" s="41">
        <f>IF(B45="Working",N('Savings Projection'!$E$32),0)</f>
        <v/>
      </c>
      <c r="G45" s="41">
        <f>IF(B45="Working",N('Savings Projection'!$F$32),0)</f>
        <v/>
      </c>
      <c r="H45" s="41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/>
      </c>
      <c r="I45" s="41">
        <f>IF(B45="Working",D45-E45-F45-G45-H45,0)</f>
        <v/>
      </c>
      <c r="J45" s="41">
        <f>IF(B45="Working",N('Savings Projection'!$S$32)*$B$8,0)</f>
        <v/>
      </c>
      <c r="K45" s="41">
        <f>IF(B45="Working",N('Savings Projection'!$T$32)*$B$9,0)</f>
        <v/>
      </c>
      <c r="L45" s="41">
        <f>IF(B45="Working",MIN(MAX(I45-J45-K45-AB45-AC45,0),'Tax Assumptions'!$B$20),0)</f>
        <v/>
      </c>
      <c r="M45" s="41">
        <f>IF(B45="Working",I45-J45-K45-L45-AB45-AC45,0)</f>
        <v/>
      </c>
      <c r="N45" s="41">
        <f>IF(B45="Working",M45+L45+E45+F45,-P45)</f>
        <v/>
      </c>
      <c r="O45" s="41">
        <f>IF(B45="Retired",$B$12+AB45+AC45,0)</f>
        <v/>
      </c>
      <c r="P45" s="41">
        <f>Q45+R45+S45+T45</f>
        <v/>
      </c>
      <c r="Q45" s="41">
        <f>IF(B45="Retired",MIN(((U44)*(1+$B$10)+IF(B45="Working",M45,0)),O45),0)</f>
        <v/>
      </c>
      <c r="R45" s="41">
        <f>IF(B45="Retired",MIN(MAX(O45-Q45,0),((V44)*(1+$B$10)+IF(B45="Working",E45,0))),0)</f>
        <v/>
      </c>
      <c r="S45" s="41">
        <f>IF(B45="Retired",MIN(MAX(O45-Q45-R45,0),((W44)*(1+$B$10)+IF(B45="Working",L45,0))),0)</f>
        <v/>
      </c>
      <c r="T45" s="41">
        <f>IF(B45="Retired",MIN(MAX(O45-Q45-R45-S45,0),((X44)*(1+$B$10)+IF(B45="Working",F45,0))),0)</f>
        <v/>
      </c>
      <c r="U45" s="41">
        <f>MAX(((U44)*(1+$B$10)+IF(B45="Working",M45,0))-Q45,0)</f>
        <v/>
      </c>
      <c r="V45" s="41">
        <f>MAX(((V44)*(1+$B$10)+IF(B45="Working",E45,0))-R45,0)</f>
        <v/>
      </c>
      <c r="W45" s="41">
        <f>MAX(((W44)*(1+$B$10)+IF(B45="Working",L45,0))-S45,0)</f>
        <v/>
      </c>
      <c r="X45" s="41">
        <f>MAX(((X44)*(1+$B$10)+IF(B45="Working",F45,0))-T45,0)</f>
        <v/>
      </c>
      <c r="Y45" s="41">
        <f>U45+V45+W45+X45</f>
        <v/>
      </c>
      <c r="Z45" s="41">
        <f>IF(B45="Retired",MAX(O45-P45,0),0)</f>
        <v/>
      </c>
      <c r="AA45" s="44">
        <f>IF(B45="Working",IF(D45=0,0,N45/D45),0)</f>
        <v/>
      </c>
      <c r="AB45" s="41">
        <f>IF(AND($B$14&gt;0,A45=$B$13),$B$14*($B$15+$B$18),0)+IF(AND($B$14&gt;0,A45=$B$13),$B$24,0)</f>
        <v/>
      </c>
      <c r="AC45" s="41">
        <f>IF(OR($B$14&lt;=0,A45&lt;$B$13),0,IF(AND($B$14&gt;0,$B$17&gt;0,A45&gt;=$B$13,A45&lt;($B$13+$B$17)),IF($B$17&lt;=0,0,IF($B$16=0,MAX($B$14*(1-$B$15),0)/$B$17,-PMT($B$16/12,$B$17*12,MAX($B$14*(1-$B$15),0))*12)),0)+AD45*($B$19+$B$20+$B$21)+$B$22+$B$23)</f>
        <v/>
      </c>
      <c r="AD45" s="41">
        <f>IF(AND($B$14&gt;0,A45&gt;=$B$13),$B$14*(1+$B$25)^(A45-$B$13),0)</f>
        <v/>
      </c>
      <c r="AE45" s="41">
        <f>IF(OR($B$14&lt;=0,$B$17&lt;=0,A45&lt;$B$13,MIN(MAX((A45-$B$13+1)*12,0),$B$17*12)&gt;=$B$17*12),0,IF($B$16=0,MAX(MAX($B$14*(1-$B$15),0)-(IF($B$17&lt;=0,0,IF($B$16=0,MAX($B$14*(1-$B$15),0)/$B$17,-PMT($B$16/12,$B$17*12,MAX($B$14*(1-$B$15),0))*12))/12)*MIN(MAX((A45-$B$13+1)*12,0),$B$17*12),0),MAX(MAX($B$14*(1-$B$15),0)*(1+$B$16/12)^MIN(MAX((A45-$B$13+1)*12,0),$B$17*12)-(IF($B$17&lt;=0,0,IF($B$16=0,MAX($B$14*(1-$B$15),0)/$B$17,-PMT($B$16/12,$B$17*12,MAX($B$14*(1-$B$15),0))*12))/12)*(((1+$B$16/12)^MIN(MAX((A45-$B$13+1)*12,0),$B$17*12)-1)/($B$16/12)),0)))</f>
        <v/>
      </c>
      <c r="AF45" s="41">
        <f>MAX(AD45-AE45,0)</f>
        <v/>
      </c>
      <c r="AG45" s="77">
        <f>Y45+AF45</f>
        <v/>
      </c>
    </row>
    <row r="46" ht="18" customHeight="1" s="326">
      <c r="A46" s="71" t="n">
        <v>15</v>
      </c>
      <c r="B46" s="72">
        <f>IF(AND(C46&gt;0,A46&lt;=$B$11),"Working","Retired")</f>
        <v/>
      </c>
      <c r="C46" s="73">
        <f>N('Savings Projection'!$B$33)</f>
        <v/>
      </c>
      <c r="D46" s="43">
        <f>IF(B46="Working",C46*$B$6,0)</f>
        <v/>
      </c>
      <c r="E46" s="73">
        <f>IF(OR(B46="Retired",D46=0),0,MIN(D46,'Tax Assumptions'!$B$19))</f>
        <v/>
      </c>
      <c r="F46" s="73">
        <f>IF(B46="Working",N('Savings Projection'!$E$33),0)</f>
        <v/>
      </c>
      <c r="G46" s="73">
        <f>IF(B46="Working",N('Savings Projection'!$F$33),0)</f>
        <v/>
      </c>
      <c r="H46" s="43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/>
      </c>
      <c r="I46" s="43">
        <f>IF(B46="Working",D46-E46-F46-G46-H46,0)</f>
        <v/>
      </c>
      <c r="J46" s="73">
        <f>IF(B46="Working",N('Savings Projection'!$S$33)*$B$8,0)</f>
        <v/>
      </c>
      <c r="K46" s="73">
        <f>IF(B46="Working",N('Savings Projection'!$T$33)*$B$9,0)</f>
        <v/>
      </c>
      <c r="L46" s="43">
        <f>IF(B46="Working",MIN(MAX(I46-J46-K46-AB46-AC46,0),'Tax Assumptions'!$B$20),0)</f>
        <v/>
      </c>
      <c r="M46" s="43">
        <f>IF(B46="Working",I46-J46-K46-L46-AB46-AC46,0)</f>
        <v/>
      </c>
      <c r="N46" s="73">
        <f>IF(B46="Working",M46+L46+E46+F46,-P46)</f>
        <v/>
      </c>
      <c r="O46" s="73">
        <f>IF(B46="Retired",$B$12+AB46+AC46,0)</f>
        <v/>
      </c>
      <c r="P46" s="73">
        <f>Q46+R46+S46+T46</f>
        <v/>
      </c>
      <c r="Q46" s="73">
        <f>IF(B46="Retired",MIN(((U45)*(1+$B$10)+IF(B46="Working",M46,0)),O46),0)</f>
        <v/>
      </c>
      <c r="R46" s="73">
        <f>IF(B46="Retired",MIN(MAX(O46-Q46,0),((V45)*(1+$B$10)+IF(B46="Working",E46,0))),0)</f>
        <v/>
      </c>
      <c r="S46" s="73">
        <f>IF(B46="Retired",MIN(MAX(O46-Q46-R46,0),((W45)*(1+$B$10)+IF(B46="Working",L46,0))),0)</f>
        <v/>
      </c>
      <c r="T46" s="73">
        <f>IF(B46="Retired",MIN(MAX(O46-Q46-R46-S46,0),((X45)*(1+$B$10)+IF(B46="Working",F46,0))),0)</f>
        <v/>
      </c>
      <c r="U46" s="43">
        <f>MAX(((U45)*(1+$B$10)+IF(B46="Working",M46,0))-Q46,0)</f>
        <v/>
      </c>
      <c r="V46" s="43">
        <f>MAX(((V45)*(1+$B$10)+IF(B46="Working",E46,0))-R46,0)</f>
        <v/>
      </c>
      <c r="W46" s="43">
        <f>MAX(((W45)*(1+$B$10)+IF(B46="Working",L46,0))-S46,0)</f>
        <v/>
      </c>
      <c r="X46" s="43">
        <f>MAX(((X45)*(1+$B$10)+IF(B46="Working",F46,0))-T46,0)</f>
        <v/>
      </c>
      <c r="Y46" s="43">
        <f>U46+V46+W46+X46</f>
        <v/>
      </c>
      <c r="Z46" s="73">
        <f>IF(B46="Retired",MAX(O46-P46,0),0)</f>
        <v/>
      </c>
      <c r="AA46" s="74">
        <f>IF(B46="Working",IF(D46=0,0,N46/D46),0)</f>
        <v/>
      </c>
      <c r="AB46" s="43">
        <f>IF(AND($B$14&gt;0,A46=$B$13),$B$14*($B$15+$B$18),0)+IF(AND($B$14&gt;0,A46=$B$13),$B$24,0)</f>
        <v/>
      </c>
      <c r="AC46" s="43">
        <f>IF(OR($B$14&lt;=0,A46&lt;$B$13),0,IF(AND($B$14&gt;0,$B$17&gt;0,A46&gt;=$B$13,A46&lt;($B$13+$B$17)),IF($B$17&lt;=0,0,IF($B$16=0,MAX($B$14*(1-$B$15),0)/$B$17,-PMT($B$16/12,$B$17*12,MAX($B$14*(1-$B$15),0))*12)),0)+AD46*($B$19+$B$20+$B$21)+$B$22+$B$23)</f>
        <v/>
      </c>
      <c r="AD46" s="43">
        <f>IF(AND($B$14&gt;0,A46&gt;=$B$13),$B$14*(1+$B$25)^(A46-$B$13),0)</f>
        <v/>
      </c>
      <c r="AE46" s="43">
        <f>IF(OR($B$14&lt;=0,$B$17&lt;=0,A46&lt;$B$13,MIN(MAX((A46-$B$13+1)*12,0),$B$17*12)&gt;=$B$17*12),0,IF($B$16=0,MAX(MAX($B$14*(1-$B$15),0)-(IF($B$17&lt;=0,0,IF($B$16=0,MAX($B$14*(1-$B$15),0)/$B$17,-PMT($B$16/12,$B$17*12,MAX($B$14*(1-$B$15),0))*12))/12)*MIN(MAX((A46-$B$13+1)*12,0),$B$17*12),0),MAX(MAX($B$14*(1-$B$15),0)*(1+$B$16/12)^MIN(MAX((A46-$B$13+1)*12,0),$B$17*12)-(IF($B$17&lt;=0,0,IF($B$16=0,MAX($B$14*(1-$B$15),0)/$B$17,-PMT($B$16/12,$B$17*12,MAX($B$14*(1-$B$15),0))*12))/12)*(((1+$B$16/12)^MIN(MAX((A46-$B$13+1)*12,0),$B$17*12)-1)/($B$16/12)),0)))</f>
        <v/>
      </c>
      <c r="AF46" s="43">
        <f>MAX(AD46-AE46,0)</f>
        <v/>
      </c>
      <c r="AG46" s="75">
        <f>Y46+AF46</f>
        <v/>
      </c>
    </row>
    <row r="47" ht="18" customHeight="1" s="326">
      <c r="A47" s="76" t="n">
        <v>16</v>
      </c>
      <c r="B47" s="40">
        <f>IF(AND(C47&gt;0,A47&lt;=$B$11),"Working","Retired")</f>
        <v/>
      </c>
      <c r="C47" s="41">
        <f>N('Savings Projection'!$B$34)</f>
        <v/>
      </c>
      <c r="D47" s="41">
        <f>IF(B47="Working",C47*$B$6,0)</f>
        <v/>
      </c>
      <c r="E47" s="41">
        <f>IF(OR(B47="Retired",D47=0),0,MIN(D47,'Tax Assumptions'!$B$19))</f>
        <v/>
      </c>
      <c r="F47" s="41">
        <f>IF(B47="Working",N('Savings Projection'!$E$34),0)</f>
        <v/>
      </c>
      <c r="G47" s="41">
        <f>IF(B47="Working",N('Savings Projection'!$F$34),0)</f>
        <v/>
      </c>
      <c r="H47" s="41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/>
      </c>
      <c r="I47" s="41">
        <f>IF(B47="Working",D47-E47-F47-G47-H47,0)</f>
        <v/>
      </c>
      <c r="J47" s="41">
        <f>IF(B47="Working",N('Savings Projection'!$S$34)*$B$8,0)</f>
        <v/>
      </c>
      <c r="K47" s="41">
        <f>IF(B47="Working",N('Savings Projection'!$T$34)*$B$9,0)</f>
        <v/>
      </c>
      <c r="L47" s="41">
        <f>IF(B47="Working",MIN(MAX(I47-J47-K47-AB47-AC47,0),'Tax Assumptions'!$B$20),0)</f>
        <v/>
      </c>
      <c r="M47" s="41">
        <f>IF(B47="Working",I47-J47-K47-L47-AB47-AC47,0)</f>
        <v/>
      </c>
      <c r="N47" s="41">
        <f>IF(B47="Working",M47+L47+E47+F47,-P47)</f>
        <v/>
      </c>
      <c r="O47" s="41">
        <f>IF(B47="Retired",$B$12+AB47+AC47,0)</f>
        <v/>
      </c>
      <c r="P47" s="41">
        <f>Q47+R47+S47+T47</f>
        <v/>
      </c>
      <c r="Q47" s="41">
        <f>IF(B47="Retired",MIN(((U46)*(1+$B$10)+IF(B47="Working",M47,0)),O47),0)</f>
        <v/>
      </c>
      <c r="R47" s="41">
        <f>IF(B47="Retired",MIN(MAX(O47-Q47,0),((V46)*(1+$B$10)+IF(B47="Working",E47,0))),0)</f>
        <v/>
      </c>
      <c r="S47" s="41">
        <f>IF(B47="Retired",MIN(MAX(O47-Q47-R47,0),((W46)*(1+$B$10)+IF(B47="Working",L47,0))),0)</f>
        <v/>
      </c>
      <c r="T47" s="41">
        <f>IF(B47="Retired",MIN(MAX(O47-Q47-R47-S47,0),((X46)*(1+$B$10)+IF(B47="Working",F47,0))),0)</f>
        <v/>
      </c>
      <c r="U47" s="41">
        <f>MAX(((U46)*(1+$B$10)+IF(B47="Working",M47,0))-Q47,0)</f>
        <v/>
      </c>
      <c r="V47" s="41">
        <f>MAX(((V46)*(1+$B$10)+IF(B47="Working",E47,0))-R47,0)</f>
        <v/>
      </c>
      <c r="W47" s="41">
        <f>MAX(((W46)*(1+$B$10)+IF(B47="Working",L47,0))-S47,0)</f>
        <v/>
      </c>
      <c r="X47" s="41">
        <f>MAX(((X46)*(1+$B$10)+IF(B47="Working",F47,0))-T47,0)</f>
        <v/>
      </c>
      <c r="Y47" s="41">
        <f>U47+V47+W47+X47</f>
        <v/>
      </c>
      <c r="Z47" s="41">
        <f>IF(B47="Retired",MAX(O47-P47,0),0)</f>
        <v/>
      </c>
      <c r="AA47" s="44">
        <f>IF(B47="Working",IF(D47=0,0,N47/D47),0)</f>
        <v/>
      </c>
      <c r="AB47" s="41">
        <f>IF(AND($B$14&gt;0,A47=$B$13),$B$14*($B$15+$B$18),0)+IF(AND($B$14&gt;0,A47=$B$13),$B$24,0)</f>
        <v/>
      </c>
      <c r="AC47" s="41">
        <f>IF(OR($B$14&lt;=0,A47&lt;$B$13),0,IF(AND($B$14&gt;0,$B$17&gt;0,A47&gt;=$B$13,A47&lt;($B$13+$B$17)),IF($B$17&lt;=0,0,IF($B$16=0,MAX($B$14*(1-$B$15),0)/$B$17,-PMT($B$16/12,$B$17*12,MAX($B$14*(1-$B$15),0))*12)),0)+AD47*($B$19+$B$20+$B$21)+$B$22+$B$23)</f>
        <v/>
      </c>
      <c r="AD47" s="41">
        <f>IF(AND($B$14&gt;0,A47&gt;=$B$13),$B$14*(1+$B$25)^(A47-$B$13),0)</f>
        <v/>
      </c>
      <c r="AE47" s="41">
        <f>IF(OR($B$14&lt;=0,$B$17&lt;=0,A47&lt;$B$13,MIN(MAX((A47-$B$13+1)*12,0),$B$17*12)&gt;=$B$17*12),0,IF($B$16=0,MAX(MAX($B$14*(1-$B$15),0)-(IF($B$17&lt;=0,0,IF($B$16=0,MAX($B$14*(1-$B$15),0)/$B$17,-PMT($B$16/12,$B$17*12,MAX($B$14*(1-$B$15),0))*12))/12)*MIN(MAX((A47-$B$13+1)*12,0),$B$17*12),0),MAX(MAX($B$14*(1-$B$15),0)*(1+$B$16/12)^MIN(MAX((A47-$B$13+1)*12,0),$B$17*12)-(IF($B$17&lt;=0,0,IF($B$16=0,MAX($B$14*(1-$B$15),0)/$B$17,-PMT($B$16/12,$B$17*12,MAX($B$14*(1-$B$15),0))*12))/12)*(((1+$B$16/12)^MIN(MAX((A47-$B$13+1)*12,0),$B$17*12)-1)/($B$16/12)),0)))</f>
        <v/>
      </c>
      <c r="AF47" s="41">
        <f>MAX(AD47-AE47,0)</f>
        <v/>
      </c>
      <c r="AG47" s="77">
        <f>Y47+AF47</f>
        <v/>
      </c>
    </row>
    <row r="48" ht="18" customHeight="1" s="326">
      <c r="A48" s="71" t="n">
        <v>17</v>
      </c>
      <c r="B48" s="72">
        <f>IF(AND(C48&gt;0,A48&lt;=$B$11),"Working","Retired")</f>
        <v/>
      </c>
      <c r="C48" s="73">
        <f>N('Savings Projection'!$B$35)</f>
        <v/>
      </c>
      <c r="D48" s="43">
        <f>IF(B48="Working",C48*$B$6,0)</f>
        <v/>
      </c>
      <c r="E48" s="73">
        <f>IF(OR(B48="Retired",D48=0),0,MIN(D48,'Tax Assumptions'!$B$19))</f>
        <v/>
      </c>
      <c r="F48" s="73">
        <f>IF(B48="Working",N('Savings Projection'!$E$35),0)</f>
        <v/>
      </c>
      <c r="G48" s="73">
        <f>IF(B48="Working",N('Savings Projection'!$F$35),0)</f>
        <v/>
      </c>
      <c r="H48" s="43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/>
      </c>
      <c r="I48" s="43">
        <f>IF(B48="Working",D48-E48-F48-G48-H48,0)</f>
        <v/>
      </c>
      <c r="J48" s="73">
        <f>IF(B48="Working",N('Savings Projection'!$S$35)*$B$8,0)</f>
        <v/>
      </c>
      <c r="K48" s="73">
        <f>IF(B48="Working",N('Savings Projection'!$T$35)*$B$9,0)</f>
        <v/>
      </c>
      <c r="L48" s="43">
        <f>IF(B48="Working",MIN(MAX(I48-J48-K48-AB48-AC48,0),'Tax Assumptions'!$B$20),0)</f>
        <v/>
      </c>
      <c r="M48" s="43">
        <f>IF(B48="Working",I48-J48-K48-L48-AB48-AC48,0)</f>
        <v/>
      </c>
      <c r="N48" s="73">
        <f>IF(B48="Working",M48+L48+E48+F48,-P48)</f>
        <v/>
      </c>
      <c r="O48" s="73">
        <f>IF(B48="Retired",$B$12+AB48+AC48,0)</f>
        <v/>
      </c>
      <c r="P48" s="73">
        <f>Q48+R48+S48+T48</f>
        <v/>
      </c>
      <c r="Q48" s="73">
        <f>IF(B48="Retired",MIN(((U47)*(1+$B$10)+IF(B48="Working",M48,0)),O48),0)</f>
        <v/>
      </c>
      <c r="R48" s="73">
        <f>IF(B48="Retired",MIN(MAX(O48-Q48,0),((V47)*(1+$B$10)+IF(B48="Working",E48,0))),0)</f>
        <v/>
      </c>
      <c r="S48" s="73">
        <f>IF(B48="Retired",MIN(MAX(O48-Q48-R48,0),((W47)*(1+$B$10)+IF(B48="Working",L48,0))),0)</f>
        <v/>
      </c>
      <c r="T48" s="73">
        <f>IF(B48="Retired",MIN(MAX(O48-Q48-R48-S48,0),((X47)*(1+$B$10)+IF(B48="Working",F48,0))),0)</f>
        <v/>
      </c>
      <c r="U48" s="43">
        <f>MAX(((U47)*(1+$B$10)+IF(B48="Working",M48,0))-Q48,0)</f>
        <v/>
      </c>
      <c r="V48" s="43">
        <f>MAX(((V47)*(1+$B$10)+IF(B48="Working",E48,0))-R48,0)</f>
        <v/>
      </c>
      <c r="W48" s="43">
        <f>MAX(((W47)*(1+$B$10)+IF(B48="Working",L48,0))-S48,0)</f>
        <v/>
      </c>
      <c r="X48" s="43">
        <f>MAX(((X47)*(1+$B$10)+IF(B48="Working",F48,0))-T48,0)</f>
        <v/>
      </c>
      <c r="Y48" s="43">
        <f>U48+V48+W48+X48</f>
        <v/>
      </c>
      <c r="Z48" s="73">
        <f>IF(B48="Retired",MAX(O48-P48,0),0)</f>
        <v/>
      </c>
      <c r="AA48" s="74">
        <f>IF(B48="Working",IF(D48=0,0,N48/D48),0)</f>
        <v/>
      </c>
      <c r="AB48" s="43">
        <f>IF(AND($B$14&gt;0,A48=$B$13),$B$14*($B$15+$B$18),0)+IF(AND($B$14&gt;0,A48=$B$13),$B$24,0)</f>
        <v/>
      </c>
      <c r="AC48" s="43">
        <f>IF(OR($B$14&lt;=0,A48&lt;$B$13),0,IF(AND($B$14&gt;0,$B$17&gt;0,A48&gt;=$B$13,A48&lt;($B$13+$B$17)),IF($B$17&lt;=0,0,IF($B$16=0,MAX($B$14*(1-$B$15),0)/$B$17,-PMT($B$16/12,$B$17*12,MAX($B$14*(1-$B$15),0))*12)),0)+AD48*($B$19+$B$20+$B$21)+$B$22+$B$23)</f>
        <v/>
      </c>
      <c r="AD48" s="43">
        <f>IF(AND($B$14&gt;0,A48&gt;=$B$13),$B$14*(1+$B$25)^(A48-$B$13),0)</f>
        <v/>
      </c>
      <c r="AE48" s="43">
        <f>IF(OR($B$14&lt;=0,$B$17&lt;=0,A48&lt;$B$13,MIN(MAX((A48-$B$13+1)*12,0),$B$17*12)&gt;=$B$17*12),0,IF($B$16=0,MAX(MAX($B$14*(1-$B$15),0)-(IF($B$17&lt;=0,0,IF($B$16=0,MAX($B$14*(1-$B$15),0)/$B$17,-PMT($B$16/12,$B$17*12,MAX($B$14*(1-$B$15),0))*12))/12)*MIN(MAX((A48-$B$13+1)*12,0),$B$17*12),0),MAX(MAX($B$14*(1-$B$15),0)*(1+$B$16/12)^MIN(MAX((A48-$B$13+1)*12,0),$B$17*12)-(IF($B$17&lt;=0,0,IF($B$16=0,MAX($B$14*(1-$B$15),0)/$B$17,-PMT($B$16/12,$B$17*12,MAX($B$14*(1-$B$15),0))*12))/12)*(((1+$B$16/12)^MIN(MAX((A48-$B$13+1)*12,0),$B$17*12)-1)/($B$16/12)),0)))</f>
        <v/>
      </c>
      <c r="AF48" s="43">
        <f>MAX(AD48-AE48,0)</f>
        <v/>
      </c>
      <c r="AG48" s="75">
        <f>Y48+AF48</f>
        <v/>
      </c>
    </row>
    <row r="49" ht="18" customHeight="1" s="326">
      <c r="A49" s="76" t="n">
        <v>18</v>
      </c>
      <c r="B49" s="40">
        <f>IF(AND(C49&gt;0,A49&lt;=$B$11),"Working","Retired")</f>
        <v/>
      </c>
      <c r="C49" s="41">
        <f>N('Savings Projection'!$B$36)</f>
        <v/>
      </c>
      <c r="D49" s="41">
        <f>IF(B49="Working",C49*$B$6,0)</f>
        <v/>
      </c>
      <c r="E49" s="41">
        <f>IF(OR(B49="Retired",D49=0),0,MIN(D49,'Tax Assumptions'!$B$19))</f>
        <v/>
      </c>
      <c r="F49" s="41">
        <f>IF(B49="Working",N('Savings Projection'!$E$36),0)</f>
        <v/>
      </c>
      <c r="G49" s="41">
        <f>IF(B49="Working",N('Savings Projection'!$F$36),0)</f>
        <v/>
      </c>
      <c r="H49" s="41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/>
      </c>
      <c r="I49" s="41">
        <f>IF(B49="Working",D49-E49-F49-G49-H49,0)</f>
        <v/>
      </c>
      <c r="J49" s="41">
        <f>IF(B49="Working",N('Savings Projection'!$S$36)*$B$8,0)</f>
        <v/>
      </c>
      <c r="K49" s="41">
        <f>IF(B49="Working",N('Savings Projection'!$T$36)*$B$9,0)</f>
        <v/>
      </c>
      <c r="L49" s="41">
        <f>IF(B49="Working",MIN(MAX(I49-J49-K49-AB49-AC49,0),'Tax Assumptions'!$B$20),0)</f>
        <v/>
      </c>
      <c r="M49" s="41">
        <f>IF(B49="Working",I49-J49-K49-L49-AB49-AC49,0)</f>
        <v/>
      </c>
      <c r="N49" s="41">
        <f>IF(B49="Working",M49+L49+E49+F49,-P49)</f>
        <v/>
      </c>
      <c r="O49" s="41">
        <f>IF(B49="Retired",$B$12+AB49+AC49,0)</f>
        <v/>
      </c>
      <c r="P49" s="41">
        <f>Q49+R49+S49+T49</f>
        <v/>
      </c>
      <c r="Q49" s="41">
        <f>IF(B49="Retired",MIN(((U48)*(1+$B$10)+IF(B49="Working",M49,0)),O49),0)</f>
        <v/>
      </c>
      <c r="R49" s="41">
        <f>IF(B49="Retired",MIN(MAX(O49-Q49,0),((V48)*(1+$B$10)+IF(B49="Working",E49,0))),0)</f>
        <v/>
      </c>
      <c r="S49" s="41">
        <f>IF(B49="Retired",MIN(MAX(O49-Q49-R49,0),((W48)*(1+$B$10)+IF(B49="Working",L49,0))),0)</f>
        <v/>
      </c>
      <c r="T49" s="41">
        <f>IF(B49="Retired",MIN(MAX(O49-Q49-R49-S49,0),((X48)*(1+$B$10)+IF(B49="Working",F49,0))),0)</f>
        <v/>
      </c>
      <c r="U49" s="41">
        <f>MAX(((U48)*(1+$B$10)+IF(B49="Working",M49,0))-Q49,0)</f>
        <v/>
      </c>
      <c r="V49" s="41">
        <f>MAX(((V48)*(1+$B$10)+IF(B49="Working",E49,0))-R49,0)</f>
        <v/>
      </c>
      <c r="W49" s="41">
        <f>MAX(((W48)*(1+$B$10)+IF(B49="Working",L49,0))-S49,0)</f>
        <v/>
      </c>
      <c r="X49" s="41">
        <f>MAX(((X48)*(1+$B$10)+IF(B49="Working",F49,0))-T49,0)</f>
        <v/>
      </c>
      <c r="Y49" s="41">
        <f>U49+V49+W49+X49</f>
        <v/>
      </c>
      <c r="Z49" s="41">
        <f>IF(B49="Retired",MAX(O49-P49,0),0)</f>
        <v/>
      </c>
      <c r="AA49" s="44">
        <f>IF(B49="Working",IF(D49=0,0,N49/D49),0)</f>
        <v/>
      </c>
      <c r="AB49" s="41">
        <f>IF(AND($B$14&gt;0,A49=$B$13),$B$14*($B$15+$B$18),0)+IF(AND($B$14&gt;0,A49=$B$13),$B$24,0)</f>
        <v/>
      </c>
      <c r="AC49" s="41">
        <f>IF(OR($B$14&lt;=0,A49&lt;$B$13),0,IF(AND($B$14&gt;0,$B$17&gt;0,A49&gt;=$B$13,A49&lt;($B$13+$B$17)),IF($B$17&lt;=0,0,IF($B$16=0,MAX($B$14*(1-$B$15),0)/$B$17,-PMT($B$16/12,$B$17*12,MAX($B$14*(1-$B$15),0))*12)),0)+AD49*($B$19+$B$20+$B$21)+$B$22+$B$23)</f>
        <v/>
      </c>
      <c r="AD49" s="41">
        <f>IF(AND($B$14&gt;0,A49&gt;=$B$13),$B$14*(1+$B$25)^(A49-$B$13),0)</f>
        <v/>
      </c>
      <c r="AE49" s="41">
        <f>IF(OR($B$14&lt;=0,$B$17&lt;=0,A49&lt;$B$13,MIN(MAX((A49-$B$13+1)*12,0),$B$17*12)&gt;=$B$17*12),0,IF($B$16=0,MAX(MAX($B$14*(1-$B$15),0)-(IF($B$17&lt;=0,0,IF($B$16=0,MAX($B$14*(1-$B$15),0)/$B$17,-PMT($B$16/12,$B$17*12,MAX($B$14*(1-$B$15),0))*12))/12)*MIN(MAX((A49-$B$13+1)*12,0),$B$17*12),0),MAX(MAX($B$14*(1-$B$15),0)*(1+$B$16/12)^MIN(MAX((A49-$B$13+1)*12,0),$B$17*12)-(IF($B$17&lt;=0,0,IF($B$16=0,MAX($B$14*(1-$B$15),0)/$B$17,-PMT($B$16/12,$B$17*12,MAX($B$14*(1-$B$15),0))*12))/12)*(((1+$B$16/12)^MIN(MAX((A49-$B$13+1)*12,0),$B$17*12)-1)/($B$16/12)),0)))</f>
        <v/>
      </c>
      <c r="AF49" s="41">
        <f>MAX(AD49-AE49,0)</f>
        <v/>
      </c>
      <c r="AG49" s="77">
        <f>Y49+AF49</f>
        <v/>
      </c>
    </row>
    <row r="50" ht="18" customHeight="1" s="326">
      <c r="A50" s="71" t="n">
        <v>19</v>
      </c>
      <c r="B50" s="72">
        <f>IF(AND(C50&gt;0,A50&lt;=$B$11),"Working","Retired")</f>
        <v/>
      </c>
      <c r="C50" s="73">
        <f>N('Savings Projection'!$B$37)</f>
        <v/>
      </c>
      <c r="D50" s="43">
        <f>IF(B50="Working",C50*$B$6,0)</f>
        <v/>
      </c>
      <c r="E50" s="73">
        <f>IF(OR(B50="Retired",D50=0),0,MIN(D50,'Tax Assumptions'!$B$19))</f>
        <v/>
      </c>
      <c r="F50" s="73">
        <f>IF(B50="Working",N('Savings Projection'!$E$37),0)</f>
        <v/>
      </c>
      <c r="G50" s="73">
        <f>IF(B50="Working",N('Savings Projection'!$F$37),0)</f>
        <v/>
      </c>
      <c r="H50" s="43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/>
      </c>
      <c r="I50" s="43">
        <f>IF(B50="Working",D50-E50-F50-G50-H50,0)</f>
        <v/>
      </c>
      <c r="J50" s="73">
        <f>IF(B50="Working",N('Savings Projection'!$S$37)*$B$8,0)</f>
        <v/>
      </c>
      <c r="K50" s="73">
        <f>IF(B50="Working",N('Savings Projection'!$T$37)*$B$9,0)</f>
        <v/>
      </c>
      <c r="L50" s="43">
        <f>IF(B50="Working",MIN(MAX(I50-J50-K50-AB50-AC50,0),'Tax Assumptions'!$B$20),0)</f>
        <v/>
      </c>
      <c r="M50" s="43">
        <f>IF(B50="Working",I50-J50-K50-L50-AB50-AC50,0)</f>
        <v/>
      </c>
      <c r="N50" s="73">
        <f>IF(B50="Working",M50+L50+E50+F50,-P50)</f>
        <v/>
      </c>
      <c r="O50" s="73">
        <f>IF(B50="Retired",$B$12+AB50+AC50,0)</f>
        <v/>
      </c>
      <c r="P50" s="73">
        <f>Q50+R50+S50+T50</f>
        <v/>
      </c>
      <c r="Q50" s="73">
        <f>IF(B50="Retired",MIN(((U49)*(1+$B$10)+IF(B50="Working",M50,0)),O50),0)</f>
        <v/>
      </c>
      <c r="R50" s="73">
        <f>IF(B50="Retired",MIN(MAX(O50-Q50,0),((V49)*(1+$B$10)+IF(B50="Working",E50,0))),0)</f>
        <v/>
      </c>
      <c r="S50" s="73">
        <f>IF(B50="Retired",MIN(MAX(O50-Q50-R50,0),((W49)*(1+$B$10)+IF(B50="Working",L50,0))),0)</f>
        <v/>
      </c>
      <c r="T50" s="73">
        <f>IF(B50="Retired",MIN(MAX(O50-Q50-R50-S50,0),((X49)*(1+$B$10)+IF(B50="Working",F50,0))),0)</f>
        <v/>
      </c>
      <c r="U50" s="43">
        <f>MAX(((U49)*(1+$B$10)+IF(B50="Working",M50,0))-Q50,0)</f>
        <v/>
      </c>
      <c r="V50" s="43">
        <f>MAX(((V49)*(1+$B$10)+IF(B50="Working",E50,0))-R50,0)</f>
        <v/>
      </c>
      <c r="W50" s="43">
        <f>MAX(((W49)*(1+$B$10)+IF(B50="Working",L50,0))-S50,0)</f>
        <v/>
      </c>
      <c r="X50" s="43">
        <f>MAX(((X49)*(1+$B$10)+IF(B50="Working",F50,0))-T50,0)</f>
        <v/>
      </c>
      <c r="Y50" s="43">
        <f>U50+V50+W50+X50</f>
        <v/>
      </c>
      <c r="Z50" s="73">
        <f>IF(B50="Retired",MAX(O50-P50,0),0)</f>
        <v/>
      </c>
      <c r="AA50" s="74">
        <f>IF(B50="Working",IF(D50=0,0,N50/D50),0)</f>
        <v/>
      </c>
      <c r="AB50" s="43">
        <f>IF(AND($B$14&gt;0,A50=$B$13),$B$14*($B$15+$B$18),0)+IF(AND($B$14&gt;0,A50=$B$13),$B$24,0)</f>
        <v/>
      </c>
      <c r="AC50" s="43">
        <f>IF(OR($B$14&lt;=0,A50&lt;$B$13),0,IF(AND($B$14&gt;0,$B$17&gt;0,A50&gt;=$B$13,A50&lt;($B$13+$B$17)),IF($B$17&lt;=0,0,IF($B$16=0,MAX($B$14*(1-$B$15),0)/$B$17,-PMT($B$16/12,$B$17*12,MAX($B$14*(1-$B$15),0))*12)),0)+AD50*($B$19+$B$20+$B$21)+$B$22+$B$23)</f>
        <v/>
      </c>
      <c r="AD50" s="43">
        <f>IF(AND($B$14&gt;0,A50&gt;=$B$13),$B$14*(1+$B$25)^(A50-$B$13),0)</f>
        <v/>
      </c>
      <c r="AE50" s="43">
        <f>IF(OR($B$14&lt;=0,$B$17&lt;=0,A50&lt;$B$13,MIN(MAX((A50-$B$13+1)*12,0),$B$17*12)&gt;=$B$17*12),0,IF($B$16=0,MAX(MAX($B$14*(1-$B$15),0)-(IF($B$17&lt;=0,0,IF($B$16=0,MAX($B$14*(1-$B$15),0)/$B$17,-PMT($B$16/12,$B$17*12,MAX($B$14*(1-$B$15),0))*12))/12)*MIN(MAX((A50-$B$13+1)*12,0),$B$17*12),0),MAX(MAX($B$14*(1-$B$15),0)*(1+$B$16/12)^MIN(MAX((A50-$B$13+1)*12,0),$B$17*12)-(IF($B$17&lt;=0,0,IF($B$16=0,MAX($B$14*(1-$B$15),0)/$B$17,-PMT($B$16/12,$B$17*12,MAX($B$14*(1-$B$15),0))*12))/12)*(((1+$B$16/12)^MIN(MAX((A50-$B$13+1)*12,0),$B$17*12)-1)/($B$16/12)),0)))</f>
        <v/>
      </c>
      <c r="AF50" s="43">
        <f>MAX(AD50-AE50,0)</f>
        <v/>
      </c>
      <c r="AG50" s="75">
        <f>Y50+AF50</f>
        <v/>
      </c>
    </row>
    <row r="51" ht="18" customHeight="1" s="326">
      <c r="A51" s="76" t="n">
        <v>20</v>
      </c>
      <c r="B51" s="40">
        <f>IF(AND(C51&gt;0,A51&lt;=$B$11),"Working","Retired")</f>
        <v/>
      </c>
      <c r="C51" s="41">
        <f>N('Savings Projection'!$B$38)</f>
        <v/>
      </c>
      <c r="D51" s="41">
        <f>IF(B51="Working",C51*$B$6,0)</f>
        <v/>
      </c>
      <c r="E51" s="41">
        <f>IF(OR(B51="Retired",D51=0),0,MIN(D51,'Tax Assumptions'!$B$19))</f>
        <v/>
      </c>
      <c r="F51" s="41">
        <f>IF(B51="Working",N('Savings Projection'!$E$38),0)</f>
        <v/>
      </c>
      <c r="G51" s="41">
        <f>IF(B51="Working",N('Savings Projection'!$F$38),0)</f>
        <v/>
      </c>
      <c r="H51" s="41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/>
      </c>
      <c r="I51" s="41">
        <f>IF(B51="Working",D51-E51-F51-G51-H51,0)</f>
        <v/>
      </c>
      <c r="J51" s="41">
        <f>IF(B51="Working",N('Savings Projection'!$S$38)*$B$8,0)</f>
        <v/>
      </c>
      <c r="K51" s="41">
        <f>IF(B51="Working",N('Savings Projection'!$T$38)*$B$9,0)</f>
        <v/>
      </c>
      <c r="L51" s="41">
        <f>IF(B51="Working",MIN(MAX(I51-J51-K51-AB51-AC51,0),'Tax Assumptions'!$B$20),0)</f>
        <v/>
      </c>
      <c r="M51" s="41">
        <f>IF(B51="Working",I51-J51-K51-L51-AB51-AC51,0)</f>
        <v/>
      </c>
      <c r="N51" s="41">
        <f>IF(B51="Working",M51+L51+E51+F51,-P51)</f>
        <v/>
      </c>
      <c r="O51" s="41">
        <f>IF(B51="Retired",$B$12+AB51+AC51,0)</f>
        <v/>
      </c>
      <c r="P51" s="41">
        <f>Q51+R51+S51+T51</f>
        <v/>
      </c>
      <c r="Q51" s="41">
        <f>IF(B51="Retired",MIN(((U50)*(1+$B$10)+IF(B51="Working",M51,0)),O51),0)</f>
        <v/>
      </c>
      <c r="R51" s="41">
        <f>IF(B51="Retired",MIN(MAX(O51-Q51,0),((V50)*(1+$B$10)+IF(B51="Working",E51,0))),0)</f>
        <v/>
      </c>
      <c r="S51" s="41">
        <f>IF(B51="Retired",MIN(MAX(O51-Q51-R51,0),((W50)*(1+$B$10)+IF(B51="Working",L51,0))),0)</f>
        <v/>
      </c>
      <c r="T51" s="41">
        <f>IF(B51="Retired",MIN(MAX(O51-Q51-R51-S51,0),((X50)*(1+$B$10)+IF(B51="Working",F51,0))),0)</f>
        <v/>
      </c>
      <c r="U51" s="41">
        <f>MAX(((U50)*(1+$B$10)+IF(B51="Working",M51,0))-Q51,0)</f>
        <v/>
      </c>
      <c r="V51" s="41">
        <f>MAX(((V50)*(1+$B$10)+IF(B51="Working",E51,0))-R51,0)</f>
        <v/>
      </c>
      <c r="W51" s="41">
        <f>MAX(((W50)*(1+$B$10)+IF(B51="Working",L51,0))-S51,0)</f>
        <v/>
      </c>
      <c r="X51" s="41">
        <f>MAX(((X50)*(1+$B$10)+IF(B51="Working",F51,0))-T51,0)</f>
        <v/>
      </c>
      <c r="Y51" s="41">
        <f>U51+V51+W51+X51</f>
        <v/>
      </c>
      <c r="Z51" s="41">
        <f>IF(B51="Retired",MAX(O51-P51,0),0)</f>
        <v/>
      </c>
      <c r="AA51" s="44">
        <f>IF(B51="Working",IF(D51=0,0,N51/D51),0)</f>
        <v/>
      </c>
      <c r="AB51" s="41">
        <f>IF(AND($B$14&gt;0,A51=$B$13),$B$14*($B$15+$B$18),0)+IF(AND($B$14&gt;0,A51=$B$13),$B$24,0)</f>
        <v/>
      </c>
      <c r="AC51" s="41">
        <f>IF(OR($B$14&lt;=0,A51&lt;$B$13),0,IF(AND($B$14&gt;0,$B$17&gt;0,A51&gt;=$B$13,A51&lt;($B$13+$B$17)),IF($B$17&lt;=0,0,IF($B$16=0,MAX($B$14*(1-$B$15),0)/$B$17,-PMT($B$16/12,$B$17*12,MAX($B$14*(1-$B$15),0))*12)),0)+AD51*($B$19+$B$20+$B$21)+$B$22+$B$23)</f>
        <v/>
      </c>
      <c r="AD51" s="41">
        <f>IF(AND($B$14&gt;0,A51&gt;=$B$13),$B$14*(1+$B$25)^(A51-$B$13),0)</f>
        <v/>
      </c>
      <c r="AE51" s="41">
        <f>IF(OR($B$14&lt;=0,$B$17&lt;=0,A51&lt;$B$13,MIN(MAX((A51-$B$13+1)*12,0),$B$17*12)&gt;=$B$17*12),0,IF($B$16=0,MAX(MAX($B$14*(1-$B$15),0)-(IF($B$17&lt;=0,0,IF($B$16=0,MAX($B$14*(1-$B$15),0)/$B$17,-PMT($B$16/12,$B$17*12,MAX($B$14*(1-$B$15),0))*12))/12)*MIN(MAX((A51-$B$13+1)*12,0),$B$17*12),0),MAX(MAX($B$14*(1-$B$15),0)*(1+$B$16/12)^MIN(MAX((A51-$B$13+1)*12,0),$B$17*12)-(IF($B$17&lt;=0,0,IF($B$16=0,MAX($B$14*(1-$B$15),0)/$B$17,-PMT($B$16/12,$B$17*12,MAX($B$14*(1-$B$15),0))*12))/12)*(((1+$B$16/12)^MIN(MAX((A51-$B$13+1)*12,0),$B$17*12)-1)/($B$16/12)),0)))</f>
        <v/>
      </c>
      <c r="AF51" s="41">
        <f>MAX(AD51-AE51,0)</f>
        <v/>
      </c>
      <c r="AG51" s="77">
        <f>Y51+AF51</f>
        <v/>
      </c>
    </row>
    <row r="52" ht="18" customHeight="1" s="326">
      <c r="A52" s="71" t="n">
        <v>21</v>
      </c>
      <c r="B52" s="72">
        <f>IF(AND(C52&gt;0,A52&lt;=$B$11),"Working","Retired")</f>
        <v/>
      </c>
      <c r="C52" s="73">
        <f>N('Savings Projection'!$B$39)</f>
        <v/>
      </c>
      <c r="D52" s="43">
        <f>IF(B52="Working",C52*$B$6,0)</f>
        <v/>
      </c>
      <c r="E52" s="73">
        <f>IF(OR(B52="Retired",D52=0),0,MIN(D52,'Tax Assumptions'!$B$19))</f>
        <v/>
      </c>
      <c r="F52" s="73">
        <f>IF(B52="Working",N('Savings Projection'!$E$39),0)</f>
        <v/>
      </c>
      <c r="G52" s="73">
        <f>IF(B52="Working",N('Savings Projection'!$F$39),0)</f>
        <v/>
      </c>
      <c r="H52" s="43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/>
      </c>
      <c r="I52" s="43">
        <f>IF(B52="Working",D52-E52-F52-G52-H52,0)</f>
        <v/>
      </c>
      <c r="J52" s="73">
        <f>IF(B52="Working",N('Savings Projection'!$S$39)*$B$8,0)</f>
        <v/>
      </c>
      <c r="K52" s="73">
        <f>IF(B52="Working",N('Savings Projection'!$T$39)*$B$9,0)</f>
        <v/>
      </c>
      <c r="L52" s="43">
        <f>IF(B52="Working",MIN(MAX(I52-J52-K52-AB52-AC52,0),'Tax Assumptions'!$B$20),0)</f>
        <v/>
      </c>
      <c r="M52" s="43">
        <f>IF(B52="Working",I52-J52-K52-L52-AB52-AC52,0)</f>
        <v/>
      </c>
      <c r="N52" s="73">
        <f>IF(B52="Working",M52+L52+E52+F52,-P52)</f>
        <v/>
      </c>
      <c r="O52" s="73">
        <f>IF(B52="Retired",$B$12+AB52+AC52,0)</f>
        <v/>
      </c>
      <c r="P52" s="73">
        <f>Q52+R52+S52+T52</f>
        <v/>
      </c>
      <c r="Q52" s="73">
        <f>IF(B52="Retired",MIN(((U51)*(1+$B$10)+IF(B52="Working",M52,0)),O52),0)</f>
        <v/>
      </c>
      <c r="R52" s="73">
        <f>IF(B52="Retired",MIN(MAX(O52-Q52,0),((V51)*(1+$B$10)+IF(B52="Working",E52,0))),0)</f>
        <v/>
      </c>
      <c r="S52" s="73">
        <f>IF(B52="Retired",MIN(MAX(O52-Q52-R52,0),((W51)*(1+$B$10)+IF(B52="Working",L52,0))),0)</f>
        <v/>
      </c>
      <c r="T52" s="73">
        <f>IF(B52="Retired",MIN(MAX(O52-Q52-R52-S52,0),((X51)*(1+$B$10)+IF(B52="Working",F52,0))),0)</f>
        <v/>
      </c>
      <c r="U52" s="43">
        <f>MAX(((U51)*(1+$B$10)+IF(B52="Working",M52,0))-Q52,0)</f>
        <v/>
      </c>
      <c r="V52" s="43">
        <f>MAX(((V51)*(1+$B$10)+IF(B52="Working",E52,0))-R52,0)</f>
        <v/>
      </c>
      <c r="W52" s="43">
        <f>MAX(((W51)*(1+$B$10)+IF(B52="Working",L52,0))-S52,0)</f>
        <v/>
      </c>
      <c r="X52" s="43">
        <f>MAX(((X51)*(1+$B$10)+IF(B52="Working",F52,0))-T52,0)</f>
        <v/>
      </c>
      <c r="Y52" s="43">
        <f>U52+V52+W52+X52</f>
        <v/>
      </c>
      <c r="Z52" s="73">
        <f>IF(B52="Retired",MAX(O52-P52,0),0)</f>
        <v/>
      </c>
      <c r="AA52" s="74">
        <f>IF(B52="Working",IF(D52=0,0,N52/D52),0)</f>
        <v/>
      </c>
      <c r="AB52" s="43">
        <f>IF(AND($B$14&gt;0,A52=$B$13),$B$14*($B$15+$B$18),0)+IF(AND($B$14&gt;0,A52=$B$13),$B$24,0)</f>
        <v/>
      </c>
      <c r="AC52" s="43">
        <f>IF(OR($B$14&lt;=0,A52&lt;$B$13),0,IF(AND($B$14&gt;0,$B$17&gt;0,A52&gt;=$B$13,A52&lt;($B$13+$B$17)),IF($B$17&lt;=0,0,IF($B$16=0,MAX($B$14*(1-$B$15),0)/$B$17,-PMT($B$16/12,$B$17*12,MAX($B$14*(1-$B$15),0))*12)),0)+AD52*($B$19+$B$20+$B$21)+$B$22+$B$23)</f>
        <v/>
      </c>
      <c r="AD52" s="43">
        <f>IF(AND($B$14&gt;0,A52&gt;=$B$13),$B$14*(1+$B$25)^(A52-$B$13),0)</f>
        <v/>
      </c>
      <c r="AE52" s="43">
        <f>IF(OR($B$14&lt;=0,$B$17&lt;=0,A52&lt;$B$13,MIN(MAX((A52-$B$13+1)*12,0),$B$17*12)&gt;=$B$17*12),0,IF($B$16=0,MAX(MAX($B$14*(1-$B$15),0)-(IF($B$17&lt;=0,0,IF($B$16=0,MAX($B$14*(1-$B$15),0)/$B$17,-PMT($B$16/12,$B$17*12,MAX($B$14*(1-$B$15),0))*12))/12)*MIN(MAX((A52-$B$13+1)*12,0),$B$17*12),0),MAX(MAX($B$14*(1-$B$15),0)*(1+$B$16/12)^MIN(MAX((A52-$B$13+1)*12,0),$B$17*12)-(IF($B$17&lt;=0,0,IF($B$16=0,MAX($B$14*(1-$B$15),0)/$B$17,-PMT($B$16/12,$B$17*12,MAX($B$14*(1-$B$15),0))*12))/12)*(((1+$B$16/12)^MIN(MAX((A52-$B$13+1)*12,0),$B$17*12)-1)/($B$16/12)),0)))</f>
        <v/>
      </c>
      <c r="AF52" s="43">
        <f>MAX(AD52-AE52,0)</f>
        <v/>
      </c>
      <c r="AG52" s="75">
        <f>Y52+AF52</f>
        <v/>
      </c>
    </row>
    <row r="53" ht="18" customHeight="1" s="326">
      <c r="A53" s="76" t="n">
        <v>22</v>
      </c>
      <c r="B53" s="40">
        <f>IF(AND(C53&gt;0,A53&lt;=$B$11),"Working","Retired")</f>
        <v/>
      </c>
      <c r="C53" s="41">
        <f>N('Savings Projection'!$B$40)</f>
        <v/>
      </c>
      <c r="D53" s="41">
        <f>IF(B53="Working",C53*$B$6,0)</f>
        <v/>
      </c>
      <c r="E53" s="41">
        <f>IF(OR(B53="Retired",D53=0),0,MIN(D53,'Tax Assumptions'!$B$19))</f>
        <v/>
      </c>
      <c r="F53" s="41">
        <f>IF(B53="Working",N('Savings Projection'!$E$40),0)</f>
        <v/>
      </c>
      <c r="G53" s="41">
        <f>IF(B53="Working",N('Savings Projection'!$F$40),0)</f>
        <v/>
      </c>
      <c r="H53" s="41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/>
      </c>
      <c r="I53" s="41">
        <f>IF(B53="Working",D53-E53-F53-G53-H53,0)</f>
        <v/>
      </c>
      <c r="J53" s="41">
        <f>IF(B53="Working",N('Savings Projection'!$S$40)*$B$8,0)</f>
        <v/>
      </c>
      <c r="K53" s="41">
        <f>IF(B53="Working",N('Savings Projection'!$T$40)*$B$9,0)</f>
        <v/>
      </c>
      <c r="L53" s="41">
        <f>IF(B53="Working",MIN(MAX(I53-J53-K53-AB53-AC53,0),'Tax Assumptions'!$B$20),0)</f>
        <v/>
      </c>
      <c r="M53" s="41">
        <f>IF(B53="Working",I53-J53-K53-L53-AB53-AC53,0)</f>
        <v/>
      </c>
      <c r="N53" s="41">
        <f>IF(B53="Working",M53+L53+E53+F53,-P53)</f>
        <v/>
      </c>
      <c r="O53" s="41">
        <f>IF(B53="Retired",$B$12+AB53+AC53,0)</f>
        <v/>
      </c>
      <c r="P53" s="41">
        <f>Q53+R53+S53+T53</f>
        <v/>
      </c>
      <c r="Q53" s="41">
        <f>IF(B53="Retired",MIN(((U52)*(1+$B$10)+IF(B53="Working",M53,0)),O53),0)</f>
        <v/>
      </c>
      <c r="R53" s="41">
        <f>IF(B53="Retired",MIN(MAX(O53-Q53,0),((V52)*(1+$B$10)+IF(B53="Working",E53,0))),0)</f>
        <v/>
      </c>
      <c r="S53" s="41">
        <f>IF(B53="Retired",MIN(MAX(O53-Q53-R53,0),((W52)*(1+$B$10)+IF(B53="Working",L53,0))),0)</f>
        <v/>
      </c>
      <c r="T53" s="41">
        <f>IF(B53="Retired",MIN(MAX(O53-Q53-R53-S53,0),((X52)*(1+$B$10)+IF(B53="Working",F53,0))),0)</f>
        <v/>
      </c>
      <c r="U53" s="41">
        <f>MAX(((U52)*(1+$B$10)+IF(B53="Working",M53,0))-Q53,0)</f>
        <v/>
      </c>
      <c r="V53" s="41">
        <f>MAX(((V52)*(1+$B$10)+IF(B53="Working",E53,0))-R53,0)</f>
        <v/>
      </c>
      <c r="W53" s="41">
        <f>MAX(((W52)*(1+$B$10)+IF(B53="Working",L53,0))-S53,0)</f>
        <v/>
      </c>
      <c r="X53" s="41">
        <f>MAX(((X52)*(1+$B$10)+IF(B53="Working",F53,0))-T53,0)</f>
        <v/>
      </c>
      <c r="Y53" s="41">
        <f>U53+V53+W53+X53</f>
        <v/>
      </c>
      <c r="Z53" s="41">
        <f>IF(B53="Retired",MAX(O53-P53,0),0)</f>
        <v/>
      </c>
      <c r="AA53" s="44">
        <f>IF(B53="Working",IF(D53=0,0,N53/D53),0)</f>
        <v/>
      </c>
      <c r="AB53" s="41">
        <f>IF(AND($B$14&gt;0,A53=$B$13),$B$14*($B$15+$B$18),0)+IF(AND($B$14&gt;0,A53=$B$13),$B$24,0)</f>
        <v/>
      </c>
      <c r="AC53" s="41">
        <f>IF(OR($B$14&lt;=0,A53&lt;$B$13),0,IF(AND($B$14&gt;0,$B$17&gt;0,A53&gt;=$B$13,A53&lt;($B$13+$B$17)),IF($B$17&lt;=0,0,IF($B$16=0,MAX($B$14*(1-$B$15),0)/$B$17,-PMT($B$16/12,$B$17*12,MAX($B$14*(1-$B$15),0))*12)),0)+AD53*($B$19+$B$20+$B$21)+$B$22+$B$23)</f>
        <v/>
      </c>
      <c r="AD53" s="41">
        <f>IF(AND($B$14&gt;0,A53&gt;=$B$13),$B$14*(1+$B$25)^(A53-$B$13),0)</f>
        <v/>
      </c>
      <c r="AE53" s="41">
        <f>IF(OR($B$14&lt;=0,$B$17&lt;=0,A53&lt;$B$13,MIN(MAX((A53-$B$13+1)*12,0),$B$17*12)&gt;=$B$17*12),0,IF($B$16=0,MAX(MAX($B$14*(1-$B$15),0)-(IF($B$17&lt;=0,0,IF($B$16=0,MAX($B$14*(1-$B$15),0)/$B$17,-PMT($B$16/12,$B$17*12,MAX($B$14*(1-$B$15),0))*12))/12)*MIN(MAX((A53-$B$13+1)*12,0),$B$17*12),0),MAX(MAX($B$14*(1-$B$15),0)*(1+$B$16/12)^MIN(MAX((A53-$B$13+1)*12,0),$B$17*12)-(IF($B$17&lt;=0,0,IF($B$16=0,MAX($B$14*(1-$B$15),0)/$B$17,-PMT($B$16/12,$B$17*12,MAX($B$14*(1-$B$15),0))*12))/12)*(((1+$B$16/12)^MIN(MAX((A53-$B$13+1)*12,0),$B$17*12)-1)/($B$16/12)),0)))</f>
        <v/>
      </c>
      <c r="AF53" s="41">
        <f>MAX(AD53-AE53,0)</f>
        <v/>
      </c>
      <c r="AG53" s="77">
        <f>Y53+AF53</f>
        <v/>
      </c>
    </row>
    <row r="54" ht="18" customHeight="1" s="326">
      <c r="A54" s="71" t="n">
        <v>23</v>
      </c>
      <c r="B54" s="72">
        <f>IF(AND(C54&gt;0,A54&lt;=$B$11),"Working","Retired")</f>
        <v/>
      </c>
      <c r="C54" s="73">
        <f>N('Savings Projection'!$B$41)</f>
        <v/>
      </c>
      <c r="D54" s="43">
        <f>IF(B54="Working",C54*$B$6,0)</f>
        <v/>
      </c>
      <c r="E54" s="73">
        <f>IF(OR(B54="Retired",D54=0),0,MIN(D54,'Tax Assumptions'!$B$19))</f>
        <v/>
      </c>
      <c r="F54" s="73">
        <f>IF(B54="Working",N('Savings Projection'!$E$41),0)</f>
        <v/>
      </c>
      <c r="G54" s="73">
        <f>IF(B54="Working",N('Savings Projection'!$F$41),0)</f>
        <v/>
      </c>
      <c r="H54" s="43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/>
      </c>
      <c r="I54" s="43">
        <f>IF(B54="Working",D54-E54-F54-G54-H54,0)</f>
        <v/>
      </c>
      <c r="J54" s="73">
        <f>IF(B54="Working",N('Savings Projection'!$S$41)*$B$8,0)</f>
        <v/>
      </c>
      <c r="K54" s="73">
        <f>IF(B54="Working",N('Savings Projection'!$T$41)*$B$9,0)</f>
        <v/>
      </c>
      <c r="L54" s="43">
        <f>IF(B54="Working",MIN(MAX(I54-J54-K54-AB54-AC54,0),'Tax Assumptions'!$B$20),0)</f>
        <v/>
      </c>
      <c r="M54" s="43">
        <f>IF(B54="Working",I54-J54-K54-L54-AB54-AC54,0)</f>
        <v/>
      </c>
      <c r="N54" s="73">
        <f>IF(B54="Working",M54+L54+E54+F54,-P54)</f>
        <v/>
      </c>
      <c r="O54" s="73">
        <f>IF(B54="Retired",$B$12+AB54+AC54,0)</f>
        <v/>
      </c>
      <c r="P54" s="73">
        <f>Q54+R54+S54+T54</f>
        <v/>
      </c>
      <c r="Q54" s="73">
        <f>IF(B54="Retired",MIN(((U53)*(1+$B$10)+IF(B54="Working",M54,0)),O54),0)</f>
        <v/>
      </c>
      <c r="R54" s="73">
        <f>IF(B54="Retired",MIN(MAX(O54-Q54,0),((V53)*(1+$B$10)+IF(B54="Working",E54,0))),0)</f>
        <v/>
      </c>
      <c r="S54" s="73">
        <f>IF(B54="Retired",MIN(MAX(O54-Q54-R54,0),((W53)*(1+$B$10)+IF(B54="Working",L54,0))),0)</f>
        <v/>
      </c>
      <c r="T54" s="73">
        <f>IF(B54="Retired",MIN(MAX(O54-Q54-R54-S54,0),((X53)*(1+$B$10)+IF(B54="Working",F54,0))),0)</f>
        <v/>
      </c>
      <c r="U54" s="43">
        <f>MAX(((U53)*(1+$B$10)+IF(B54="Working",M54,0))-Q54,0)</f>
        <v/>
      </c>
      <c r="V54" s="43">
        <f>MAX(((V53)*(1+$B$10)+IF(B54="Working",E54,0))-R54,0)</f>
        <v/>
      </c>
      <c r="W54" s="43">
        <f>MAX(((W53)*(1+$B$10)+IF(B54="Working",L54,0))-S54,0)</f>
        <v/>
      </c>
      <c r="X54" s="43">
        <f>MAX(((X53)*(1+$B$10)+IF(B54="Working",F54,0))-T54,0)</f>
        <v/>
      </c>
      <c r="Y54" s="43">
        <f>U54+V54+W54+X54</f>
        <v/>
      </c>
      <c r="Z54" s="73">
        <f>IF(B54="Retired",MAX(O54-P54,0),0)</f>
        <v/>
      </c>
      <c r="AA54" s="74">
        <f>IF(B54="Working",IF(D54=0,0,N54/D54),0)</f>
        <v/>
      </c>
      <c r="AB54" s="43">
        <f>IF(AND($B$14&gt;0,A54=$B$13),$B$14*($B$15+$B$18),0)+IF(AND($B$14&gt;0,A54=$B$13),$B$24,0)</f>
        <v/>
      </c>
      <c r="AC54" s="43">
        <f>IF(OR($B$14&lt;=0,A54&lt;$B$13),0,IF(AND($B$14&gt;0,$B$17&gt;0,A54&gt;=$B$13,A54&lt;($B$13+$B$17)),IF($B$17&lt;=0,0,IF($B$16=0,MAX($B$14*(1-$B$15),0)/$B$17,-PMT($B$16/12,$B$17*12,MAX($B$14*(1-$B$15),0))*12)),0)+AD54*($B$19+$B$20+$B$21)+$B$22+$B$23)</f>
        <v/>
      </c>
      <c r="AD54" s="43">
        <f>IF(AND($B$14&gt;0,A54&gt;=$B$13),$B$14*(1+$B$25)^(A54-$B$13),0)</f>
        <v/>
      </c>
      <c r="AE54" s="43">
        <f>IF(OR($B$14&lt;=0,$B$17&lt;=0,A54&lt;$B$13,MIN(MAX((A54-$B$13+1)*12,0),$B$17*12)&gt;=$B$17*12),0,IF($B$16=0,MAX(MAX($B$14*(1-$B$15),0)-(IF($B$17&lt;=0,0,IF($B$16=0,MAX($B$14*(1-$B$15),0)/$B$17,-PMT($B$16/12,$B$17*12,MAX($B$14*(1-$B$15),0))*12))/12)*MIN(MAX((A54-$B$13+1)*12,0),$B$17*12),0),MAX(MAX($B$14*(1-$B$15),0)*(1+$B$16/12)^MIN(MAX((A54-$B$13+1)*12,0),$B$17*12)-(IF($B$17&lt;=0,0,IF($B$16=0,MAX($B$14*(1-$B$15),0)/$B$17,-PMT($B$16/12,$B$17*12,MAX($B$14*(1-$B$15),0))*12))/12)*(((1+$B$16/12)^MIN(MAX((A54-$B$13+1)*12,0),$B$17*12)-1)/($B$16/12)),0)))</f>
        <v/>
      </c>
      <c r="AF54" s="43">
        <f>MAX(AD54-AE54,0)</f>
        <v/>
      </c>
      <c r="AG54" s="75">
        <f>Y54+AF54</f>
        <v/>
      </c>
    </row>
    <row r="55" ht="18" customHeight="1" s="326">
      <c r="A55" s="76" t="n">
        <v>24</v>
      </c>
      <c r="B55" s="40">
        <f>IF(AND(C55&gt;0,A55&lt;=$B$11),"Working","Retired")</f>
        <v/>
      </c>
      <c r="C55" s="41">
        <f>N('Savings Projection'!$B$42)</f>
        <v/>
      </c>
      <c r="D55" s="41">
        <f>IF(B55="Working",C55*$B$6,0)</f>
        <v/>
      </c>
      <c r="E55" s="41">
        <f>IF(OR(B55="Retired",D55=0),0,MIN(D55,'Tax Assumptions'!$B$19))</f>
        <v/>
      </c>
      <c r="F55" s="41">
        <f>IF(B55="Working",N('Savings Projection'!$E$42),0)</f>
        <v/>
      </c>
      <c r="G55" s="41">
        <f>IF(B55="Working",N('Savings Projection'!$F$42),0)</f>
        <v/>
      </c>
      <c r="H55" s="41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/>
      </c>
      <c r="I55" s="41">
        <f>IF(B55="Working",D55-E55-F55-G55-H55,0)</f>
        <v/>
      </c>
      <c r="J55" s="41">
        <f>IF(B55="Working",N('Savings Projection'!$S$42)*$B$8,0)</f>
        <v/>
      </c>
      <c r="K55" s="41">
        <f>IF(B55="Working",N('Savings Projection'!$T$42)*$B$9,0)</f>
        <v/>
      </c>
      <c r="L55" s="41">
        <f>IF(B55="Working",MIN(MAX(I55-J55-K55-AB55-AC55,0),'Tax Assumptions'!$B$20),0)</f>
        <v/>
      </c>
      <c r="M55" s="41">
        <f>IF(B55="Working",I55-J55-K55-L55-AB55-AC55,0)</f>
        <v/>
      </c>
      <c r="N55" s="41">
        <f>IF(B55="Working",M55+L55+E55+F55,-P55)</f>
        <v/>
      </c>
      <c r="O55" s="41">
        <f>IF(B55="Retired",$B$12+AB55+AC55,0)</f>
        <v/>
      </c>
      <c r="P55" s="41">
        <f>Q55+R55+S55+T55</f>
        <v/>
      </c>
      <c r="Q55" s="41">
        <f>IF(B55="Retired",MIN(((U54)*(1+$B$10)+IF(B55="Working",M55,0)),O55),0)</f>
        <v/>
      </c>
      <c r="R55" s="41">
        <f>IF(B55="Retired",MIN(MAX(O55-Q55,0),((V54)*(1+$B$10)+IF(B55="Working",E55,0))),0)</f>
        <v/>
      </c>
      <c r="S55" s="41">
        <f>IF(B55="Retired",MIN(MAX(O55-Q55-R55,0),((W54)*(1+$B$10)+IF(B55="Working",L55,0))),0)</f>
        <v/>
      </c>
      <c r="T55" s="41">
        <f>IF(B55="Retired",MIN(MAX(O55-Q55-R55-S55,0),((X54)*(1+$B$10)+IF(B55="Working",F55,0))),0)</f>
        <v/>
      </c>
      <c r="U55" s="41">
        <f>MAX(((U54)*(1+$B$10)+IF(B55="Working",M55,0))-Q55,0)</f>
        <v/>
      </c>
      <c r="V55" s="41">
        <f>MAX(((V54)*(1+$B$10)+IF(B55="Working",E55,0))-R55,0)</f>
        <v/>
      </c>
      <c r="W55" s="41">
        <f>MAX(((W54)*(1+$B$10)+IF(B55="Working",L55,0))-S55,0)</f>
        <v/>
      </c>
      <c r="X55" s="41">
        <f>MAX(((X54)*(1+$B$10)+IF(B55="Working",F55,0))-T55,0)</f>
        <v/>
      </c>
      <c r="Y55" s="41">
        <f>U55+V55+W55+X55</f>
        <v/>
      </c>
      <c r="Z55" s="41">
        <f>IF(B55="Retired",MAX(O55-P55,0),0)</f>
        <v/>
      </c>
      <c r="AA55" s="44">
        <f>IF(B55="Working",IF(D55=0,0,N55/D55),0)</f>
        <v/>
      </c>
      <c r="AB55" s="41">
        <f>IF(AND($B$14&gt;0,A55=$B$13),$B$14*($B$15+$B$18),0)+IF(AND($B$14&gt;0,A55=$B$13),$B$24,0)</f>
        <v/>
      </c>
      <c r="AC55" s="41">
        <f>IF(OR($B$14&lt;=0,A55&lt;$B$13),0,IF(AND($B$14&gt;0,$B$17&gt;0,A55&gt;=$B$13,A55&lt;($B$13+$B$17)),IF($B$17&lt;=0,0,IF($B$16=0,MAX($B$14*(1-$B$15),0)/$B$17,-PMT($B$16/12,$B$17*12,MAX($B$14*(1-$B$15),0))*12)),0)+AD55*($B$19+$B$20+$B$21)+$B$22+$B$23)</f>
        <v/>
      </c>
      <c r="AD55" s="41">
        <f>IF(AND($B$14&gt;0,A55&gt;=$B$13),$B$14*(1+$B$25)^(A55-$B$13),0)</f>
        <v/>
      </c>
      <c r="AE55" s="41">
        <f>IF(OR($B$14&lt;=0,$B$17&lt;=0,A55&lt;$B$13,MIN(MAX((A55-$B$13+1)*12,0),$B$17*12)&gt;=$B$17*12),0,IF($B$16=0,MAX(MAX($B$14*(1-$B$15),0)-(IF($B$17&lt;=0,0,IF($B$16=0,MAX($B$14*(1-$B$15),0)/$B$17,-PMT($B$16/12,$B$17*12,MAX($B$14*(1-$B$15),0))*12))/12)*MIN(MAX((A55-$B$13+1)*12,0),$B$17*12),0),MAX(MAX($B$14*(1-$B$15),0)*(1+$B$16/12)^MIN(MAX((A55-$B$13+1)*12,0),$B$17*12)-(IF($B$17&lt;=0,0,IF($B$16=0,MAX($B$14*(1-$B$15),0)/$B$17,-PMT($B$16/12,$B$17*12,MAX($B$14*(1-$B$15),0))*12))/12)*(((1+$B$16/12)^MIN(MAX((A55-$B$13+1)*12,0),$B$17*12)-1)/($B$16/12)),0)))</f>
        <v/>
      </c>
      <c r="AF55" s="41">
        <f>MAX(AD55-AE55,0)</f>
        <v/>
      </c>
      <c r="AG55" s="77">
        <f>Y55+AF55</f>
        <v/>
      </c>
    </row>
    <row r="56" ht="18" customHeight="1" s="326">
      <c r="A56" s="71" t="n">
        <v>25</v>
      </c>
      <c r="B56" s="72">
        <f>IF(AND(C56&gt;0,A56&lt;=$B$11),"Working","Retired")</f>
        <v/>
      </c>
      <c r="C56" s="73">
        <f>N('Savings Projection'!$B$43)</f>
        <v/>
      </c>
      <c r="D56" s="43">
        <f>IF(B56="Working",C56*$B$6,0)</f>
        <v/>
      </c>
      <c r="E56" s="73">
        <f>IF(OR(B56="Retired",D56=0),0,MIN(D56,'Tax Assumptions'!$B$19))</f>
        <v/>
      </c>
      <c r="F56" s="73">
        <f>IF(B56="Working",N('Savings Projection'!$E$43),0)</f>
        <v/>
      </c>
      <c r="G56" s="73">
        <f>IF(B56="Working",N('Savings Projection'!$F$43),0)</f>
        <v/>
      </c>
      <c r="H56" s="43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/>
      </c>
      <c r="I56" s="43">
        <f>IF(B56="Working",D56-E56-F56-G56-H56,0)</f>
        <v/>
      </c>
      <c r="J56" s="73">
        <f>IF(B56="Working",N('Savings Projection'!$S$43)*$B$8,0)</f>
        <v/>
      </c>
      <c r="K56" s="73">
        <f>IF(B56="Working",N('Savings Projection'!$T$43)*$B$9,0)</f>
        <v/>
      </c>
      <c r="L56" s="43">
        <f>IF(B56="Working",MIN(MAX(I56-J56-K56-AB56-AC56,0),'Tax Assumptions'!$B$20),0)</f>
        <v/>
      </c>
      <c r="M56" s="43">
        <f>IF(B56="Working",I56-J56-K56-L56-AB56-AC56,0)</f>
        <v/>
      </c>
      <c r="N56" s="73">
        <f>IF(B56="Working",M56+L56+E56+F56,-P56)</f>
        <v/>
      </c>
      <c r="O56" s="73">
        <f>IF(B56="Retired",$B$12+AB56+AC56,0)</f>
        <v/>
      </c>
      <c r="P56" s="73">
        <f>Q56+R56+S56+T56</f>
        <v/>
      </c>
      <c r="Q56" s="73">
        <f>IF(B56="Retired",MIN(((U55)*(1+$B$10)+IF(B56="Working",M56,0)),O56),0)</f>
        <v/>
      </c>
      <c r="R56" s="73">
        <f>IF(B56="Retired",MIN(MAX(O56-Q56,0),((V55)*(1+$B$10)+IF(B56="Working",E56,0))),0)</f>
        <v/>
      </c>
      <c r="S56" s="73">
        <f>IF(B56="Retired",MIN(MAX(O56-Q56-R56,0),((W55)*(1+$B$10)+IF(B56="Working",L56,0))),0)</f>
        <v/>
      </c>
      <c r="T56" s="73">
        <f>IF(B56="Retired",MIN(MAX(O56-Q56-R56-S56,0),((X55)*(1+$B$10)+IF(B56="Working",F56,0))),0)</f>
        <v/>
      </c>
      <c r="U56" s="43">
        <f>MAX(((U55)*(1+$B$10)+IF(B56="Working",M56,0))-Q56,0)</f>
        <v/>
      </c>
      <c r="V56" s="43">
        <f>MAX(((V55)*(1+$B$10)+IF(B56="Working",E56,0))-R56,0)</f>
        <v/>
      </c>
      <c r="W56" s="43">
        <f>MAX(((W55)*(1+$B$10)+IF(B56="Working",L56,0))-S56,0)</f>
        <v/>
      </c>
      <c r="X56" s="43">
        <f>MAX(((X55)*(1+$B$10)+IF(B56="Working",F56,0))-T56,0)</f>
        <v/>
      </c>
      <c r="Y56" s="43">
        <f>U56+V56+W56+X56</f>
        <v/>
      </c>
      <c r="Z56" s="73">
        <f>IF(B56="Retired",MAX(O56-P56,0),0)</f>
        <v/>
      </c>
      <c r="AA56" s="74">
        <f>IF(B56="Working",IF(D56=0,0,N56/D56),0)</f>
        <v/>
      </c>
      <c r="AB56" s="43">
        <f>IF(AND($B$14&gt;0,A56=$B$13),$B$14*($B$15+$B$18),0)+IF(AND($B$14&gt;0,A56=$B$13),$B$24,0)</f>
        <v/>
      </c>
      <c r="AC56" s="43">
        <f>IF(OR($B$14&lt;=0,A56&lt;$B$13),0,IF(AND($B$14&gt;0,$B$17&gt;0,A56&gt;=$B$13,A56&lt;($B$13+$B$17)),IF($B$17&lt;=0,0,IF($B$16=0,MAX($B$14*(1-$B$15),0)/$B$17,-PMT($B$16/12,$B$17*12,MAX($B$14*(1-$B$15),0))*12)),0)+AD56*($B$19+$B$20+$B$21)+$B$22+$B$23)</f>
        <v/>
      </c>
      <c r="AD56" s="43">
        <f>IF(AND($B$14&gt;0,A56&gt;=$B$13),$B$14*(1+$B$25)^(A56-$B$13),0)</f>
        <v/>
      </c>
      <c r="AE56" s="43">
        <f>IF(OR($B$14&lt;=0,$B$17&lt;=0,A56&lt;$B$13,MIN(MAX((A56-$B$13+1)*12,0),$B$17*12)&gt;=$B$17*12),0,IF($B$16=0,MAX(MAX($B$14*(1-$B$15),0)-(IF($B$17&lt;=0,0,IF($B$16=0,MAX($B$14*(1-$B$15),0)/$B$17,-PMT($B$16/12,$B$17*12,MAX($B$14*(1-$B$15),0))*12))/12)*MIN(MAX((A56-$B$13+1)*12,0),$B$17*12),0),MAX(MAX($B$14*(1-$B$15),0)*(1+$B$16/12)^MIN(MAX((A56-$B$13+1)*12,0),$B$17*12)-(IF($B$17&lt;=0,0,IF($B$16=0,MAX($B$14*(1-$B$15),0)/$B$17,-PMT($B$16/12,$B$17*12,MAX($B$14*(1-$B$15),0))*12))/12)*(((1+$B$16/12)^MIN(MAX((A56-$B$13+1)*12,0),$B$17*12)-1)/($B$16/12)),0)))</f>
        <v/>
      </c>
      <c r="AF56" s="43">
        <f>MAX(AD56-AE56,0)</f>
        <v/>
      </c>
      <c r="AG56" s="75">
        <f>Y56+AF56</f>
        <v/>
      </c>
    </row>
    <row r="57" ht="18" customHeight="1" s="326">
      <c r="A57" s="76" t="n">
        <v>26</v>
      </c>
      <c r="B57" s="40">
        <f>IF(AND(C57&gt;0,A57&lt;=$B$11),"Working","Retired")</f>
        <v/>
      </c>
      <c r="C57" s="41">
        <f>N('Savings Projection'!$B$44)</f>
        <v/>
      </c>
      <c r="D57" s="41">
        <f>IF(B57="Working",C57*$B$6,0)</f>
        <v/>
      </c>
      <c r="E57" s="41">
        <f>IF(OR(B57="Retired",D57=0),0,MIN(D57,'Tax Assumptions'!$B$19))</f>
        <v/>
      </c>
      <c r="F57" s="41">
        <f>IF(B57="Working",N('Savings Projection'!$E$44),0)</f>
        <v/>
      </c>
      <c r="G57" s="41">
        <f>IF(B57="Working",N('Savings Projection'!$F$44),0)</f>
        <v/>
      </c>
      <c r="H57" s="41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/>
      </c>
      <c r="I57" s="41">
        <f>IF(B57="Working",D57-E57-F57-G57-H57,0)</f>
        <v/>
      </c>
      <c r="J57" s="41">
        <f>IF(B57="Working",N('Savings Projection'!$S$44)*$B$8,0)</f>
        <v/>
      </c>
      <c r="K57" s="41">
        <f>IF(B57="Working",N('Savings Projection'!$T$44)*$B$9,0)</f>
        <v/>
      </c>
      <c r="L57" s="41">
        <f>IF(B57="Working",MIN(MAX(I57-J57-K57-AB57-AC57,0),'Tax Assumptions'!$B$20),0)</f>
        <v/>
      </c>
      <c r="M57" s="41">
        <f>IF(B57="Working",I57-J57-K57-L57-AB57-AC57,0)</f>
        <v/>
      </c>
      <c r="N57" s="41">
        <f>IF(B57="Working",M57+L57+E57+F57,-P57)</f>
        <v/>
      </c>
      <c r="O57" s="41">
        <f>IF(B57="Retired",$B$12+AB57+AC57,0)</f>
        <v/>
      </c>
      <c r="P57" s="41">
        <f>Q57+R57+S57+T57</f>
        <v/>
      </c>
      <c r="Q57" s="41">
        <f>IF(B57="Retired",MIN(((U56)*(1+$B$10)+IF(B57="Working",M57,0)),O57),0)</f>
        <v/>
      </c>
      <c r="R57" s="41">
        <f>IF(B57="Retired",MIN(MAX(O57-Q57,0),((V56)*(1+$B$10)+IF(B57="Working",E57,0))),0)</f>
        <v/>
      </c>
      <c r="S57" s="41">
        <f>IF(B57="Retired",MIN(MAX(O57-Q57-R57,0),((W56)*(1+$B$10)+IF(B57="Working",L57,0))),0)</f>
        <v/>
      </c>
      <c r="T57" s="41">
        <f>IF(B57="Retired",MIN(MAX(O57-Q57-R57-S57,0),((X56)*(1+$B$10)+IF(B57="Working",F57,0))),0)</f>
        <v/>
      </c>
      <c r="U57" s="41">
        <f>MAX(((U56)*(1+$B$10)+IF(B57="Working",M57,0))-Q57,0)</f>
        <v/>
      </c>
      <c r="V57" s="41">
        <f>MAX(((V56)*(1+$B$10)+IF(B57="Working",E57,0))-R57,0)</f>
        <v/>
      </c>
      <c r="W57" s="41">
        <f>MAX(((W56)*(1+$B$10)+IF(B57="Working",L57,0))-S57,0)</f>
        <v/>
      </c>
      <c r="X57" s="41">
        <f>MAX(((X56)*(1+$B$10)+IF(B57="Working",F57,0))-T57,0)</f>
        <v/>
      </c>
      <c r="Y57" s="41">
        <f>U57+V57+W57+X57</f>
        <v/>
      </c>
      <c r="Z57" s="41">
        <f>IF(B57="Retired",MAX(O57-P57,0),0)</f>
        <v/>
      </c>
      <c r="AA57" s="44">
        <f>IF(B57="Working",IF(D57=0,0,N57/D57),0)</f>
        <v/>
      </c>
      <c r="AB57" s="41">
        <f>IF(AND($B$14&gt;0,A57=$B$13),$B$14*($B$15+$B$18),0)+IF(AND($B$14&gt;0,A57=$B$13),$B$24,0)</f>
        <v/>
      </c>
      <c r="AC57" s="41">
        <f>IF(OR($B$14&lt;=0,A57&lt;$B$13),0,IF(AND($B$14&gt;0,$B$17&gt;0,A57&gt;=$B$13,A57&lt;($B$13+$B$17)),IF($B$17&lt;=0,0,IF($B$16=0,MAX($B$14*(1-$B$15),0)/$B$17,-PMT($B$16/12,$B$17*12,MAX($B$14*(1-$B$15),0))*12)),0)+AD57*($B$19+$B$20+$B$21)+$B$22+$B$23)</f>
        <v/>
      </c>
      <c r="AD57" s="41">
        <f>IF(AND($B$14&gt;0,A57&gt;=$B$13),$B$14*(1+$B$25)^(A57-$B$13),0)</f>
        <v/>
      </c>
      <c r="AE57" s="41">
        <f>IF(OR($B$14&lt;=0,$B$17&lt;=0,A57&lt;$B$13,MIN(MAX((A57-$B$13+1)*12,0),$B$17*12)&gt;=$B$17*12),0,IF($B$16=0,MAX(MAX($B$14*(1-$B$15),0)-(IF($B$17&lt;=0,0,IF($B$16=0,MAX($B$14*(1-$B$15),0)/$B$17,-PMT($B$16/12,$B$17*12,MAX($B$14*(1-$B$15),0))*12))/12)*MIN(MAX((A57-$B$13+1)*12,0),$B$17*12),0),MAX(MAX($B$14*(1-$B$15),0)*(1+$B$16/12)^MIN(MAX((A57-$B$13+1)*12,0),$B$17*12)-(IF($B$17&lt;=0,0,IF($B$16=0,MAX($B$14*(1-$B$15),0)/$B$17,-PMT($B$16/12,$B$17*12,MAX($B$14*(1-$B$15),0))*12))/12)*(((1+$B$16/12)^MIN(MAX((A57-$B$13+1)*12,0),$B$17*12)-1)/($B$16/12)),0)))</f>
        <v/>
      </c>
      <c r="AF57" s="41">
        <f>MAX(AD57-AE57,0)</f>
        <v/>
      </c>
      <c r="AG57" s="77">
        <f>Y57+AF57</f>
        <v/>
      </c>
    </row>
    <row r="58" ht="18" customHeight="1" s="326">
      <c r="A58" s="71" t="n">
        <v>27</v>
      </c>
      <c r="B58" s="72">
        <f>IF(AND(C58&gt;0,A58&lt;=$B$11),"Working","Retired")</f>
        <v/>
      </c>
      <c r="C58" s="73">
        <f>N('Savings Projection'!$B$45)</f>
        <v/>
      </c>
      <c r="D58" s="43">
        <f>IF(B58="Working",C58*$B$6,0)</f>
        <v/>
      </c>
      <c r="E58" s="73">
        <f>IF(OR(B58="Retired",D58=0),0,MIN(D58,'Tax Assumptions'!$B$19))</f>
        <v/>
      </c>
      <c r="F58" s="73">
        <f>IF(B58="Working",N('Savings Projection'!$E$45),0)</f>
        <v/>
      </c>
      <c r="G58" s="73">
        <f>IF(B58="Working",N('Savings Projection'!$F$45),0)</f>
        <v/>
      </c>
      <c r="H58" s="43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/>
      </c>
      <c r="I58" s="43">
        <f>IF(B58="Working",D58-E58-F58-G58-H58,0)</f>
        <v/>
      </c>
      <c r="J58" s="73">
        <f>IF(B58="Working",N('Savings Projection'!$S$45)*$B$8,0)</f>
        <v/>
      </c>
      <c r="K58" s="73">
        <f>IF(B58="Working",N('Savings Projection'!$T$45)*$B$9,0)</f>
        <v/>
      </c>
      <c r="L58" s="43">
        <f>IF(B58="Working",MIN(MAX(I58-J58-K58-AB58-AC58,0),'Tax Assumptions'!$B$20),0)</f>
        <v/>
      </c>
      <c r="M58" s="43">
        <f>IF(B58="Working",I58-J58-K58-L58-AB58-AC58,0)</f>
        <v/>
      </c>
      <c r="N58" s="73">
        <f>IF(B58="Working",M58+L58+E58+F58,-P58)</f>
        <v/>
      </c>
      <c r="O58" s="73">
        <f>IF(B58="Retired",$B$12+AB58+AC58,0)</f>
        <v/>
      </c>
      <c r="P58" s="73">
        <f>Q58+R58+S58+T58</f>
        <v/>
      </c>
      <c r="Q58" s="73">
        <f>IF(B58="Retired",MIN(((U57)*(1+$B$10)+IF(B58="Working",M58,0)),O58),0)</f>
        <v/>
      </c>
      <c r="R58" s="73">
        <f>IF(B58="Retired",MIN(MAX(O58-Q58,0),((V57)*(1+$B$10)+IF(B58="Working",E58,0))),0)</f>
        <v/>
      </c>
      <c r="S58" s="73">
        <f>IF(B58="Retired",MIN(MAX(O58-Q58-R58,0),((W57)*(1+$B$10)+IF(B58="Working",L58,0))),0)</f>
        <v/>
      </c>
      <c r="T58" s="73">
        <f>IF(B58="Retired",MIN(MAX(O58-Q58-R58-S58,0),((X57)*(1+$B$10)+IF(B58="Working",F58,0))),0)</f>
        <v/>
      </c>
      <c r="U58" s="43">
        <f>MAX(((U57)*(1+$B$10)+IF(B58="Working",M58,0))-Q58,0)</f>
        <v/>
      </c>
      <c r="V58" s="43">
        <f>MAX(((V57)*(1+$B$10)+IF(B58="Working",E58,0))-R58,0)</f>
        <v/>
      </c>
      <c r="W58" s="43">
        <f>MAX(((W57)*(1+$B$10)+IF(B58="Working",L58,0))-S58,0)</f>
        <v/>
      </c>
      <c r="X58" s="43">
        <f>MAX(((X57)*(1+$B$10)+IF(B58="Working",F58,0))-T58,0)</f>
        <v/>
      </c>
      <c r="Y58" s="43">
        <f>U58+V58+W58+X58</f>
        <v/>
      </c>
      <c r="Z58" s="73">
        <f>IF(B58="Retired",MAX(O58-P58,0),0)</f>
        <v/>
      </c>
      <c r="AA58" s="74">
        <f>IF(B58="Working",IF(D58=0,0,N58/D58),0)</f>
        <v/>
      </c>
      <c r="AB58" s="43">
        <f>IF(AND($B$14&gt;0,A58=$B$13),$B$14*($B$15+$B$18),0)+IF(AND($B$14&gt;0,A58=$B$13),$B$24,0)</f>
        <v/>
      </c>
      <c r="AC58" s="43">
        <f>IF(OR($B$14&lt;=0,A58&lt;$B$13),0,IF(AND($B$14&gt;0,$B$17&gt;0,A58&gt;=$B$13,A58&lt;($B$13+$B$17)),IF($B$17&lt;=0,0,IF($B$16=0,MAX($B$14*(1-$B$15),0)/$B$17,-PMT($B$16/12,$B$17*12,MAX($B$14*(1-$B$15),0))*12)),0)+AD58*($B$19+$B$20+$B$21)+$B$22+$B$23)</f>
        <v/>
      </c>
      <c r="AD58" s="43">
        <f>IF(AND($B$14&gt;0,A58&gt;=$B$13),$B$14*(1+$B$25)^(A58-$B$13),0)</f>
        <v/>
      </c>
      <c r="AE58" s="43">
        <f>IF(OR($B$14&lt;=0,$B$17&lt;=0,A58&lt;$B$13,MIN(MAX((A58-$B$13+1)*12,0),$B$17*12)&gt;=$B$17*12),0,IF($B$16=0,MAX(MAX($B$14*(1-$B$15),0)-(IF($B$17&lt;=0,0,IF($B$16=0,MAX($B$14*(1-$B$15),0)/$B$17,-PMT($B$16/12,$B$17*12,MAX($B$14*(1-$B$15),0))*12))/12)*MIN(MAX((A58-$B$13+1)*12,0),$B$17*12),0),MAX(MAX($B$14*(1-$B$15),0)*(1+$B$16/12)^MIN(MAX((A58-$B$13+1)*12,0),$B$17*12)-(IF($B$17&lt;=0,0,IF($B$16=0,MAX($B$14*(1-$B$15),0)/$B$17,-PMT($B$16/12,$B$17*12,MAX($B$14*(1-$B$15),0))*12))/12)*(((1+$B$16/12)^MIN(MAX((A58-$B$13+1)*12,0),$B$17*12)-1)/($B$16/12)),0)))</f>
        <v/>
      </c>
      <c r="AF58" s="43">
        <f>MAX(AD58-AE58,0)</f>
        <v/>
      </c>
      <c r="AG58" s="75">
        <f>Y58+AF58</f>
        <v/>
      </c>
    </row>
    <row r="59" ht="18" customHeight="1" s="326">
      <c r="A59" s="76" t="n">
        <v>28</v>
      </c>
      <c r="B59" s="40">
        <f>IF(AND(C59&gt;0,A59&lt;=$B$11),"Working","Retired")</f>
        <v/>
      </c>
      <c r="C59" s="41">
        <f>N('Savings Projection'!$B$46)</f>
        <v/>
      </c>
      <c r="D59" s="41">
        <f>IF(B59="Working",C59*$B$6,0)</f>
        <v/>
      </c>
      <c r="E59" s="41">
        <f>IF(OR(B59="Retired",D59=0),0,MIN(D59,'Tax Assumptions'!$B$19))</f>
        <v/>
      </c>
      <c r="F59" s="41">
        <f>IF(B59="Working",N('Savings Projection'!$E$46),0)</f>
        <v/>
      </c>
      <c r="G59" s="41">
        <f>IF(B59="Working",N('Savings Projection'!$F$46),0)</f>
        <v/>
      </c>
      <c r="H59" s="41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/>
      </c>
      <c r="I59" s="41">
        <f>IF(B59="Working",D59-E59-F59-G59-H59,0)</f>
        <v/>
      </c>
      <c r="J59" s="41">
        <f>IF(B59="Working",N('Savings Projection'!$S$46)*$B$8,0)</f>
        <v/>
      </c>
      <c r="K59" s="41">
        <f>IF(B59="Working",N('Savings Projection'!$T$46)*$B$9,0)</f>
        <v/>
      </c>
      <c r="L59" s="41">
        <f>IF(B59="Working",MIN(MAX(I59-J59-K59-AB59-AC59,0),'Tax Assumptions'!$B$20),0)</f>
        <v/>
      </c>
      <c r="M59" s="41">
        <f>IF(B59="Working",I59-J59-K59-L59-AB59-AC59,0)</f>
        <v/>
      </c>
      <c r="N59" s="41">
        <f>IF(B59="Working",M59+L59+E59+F59,-P59)</f>
        <v/>
      </c>
      <c r="O59" s="41">
        <f>IF(B59="Retired",$B$12+AB59+AC59,0)</f>
        <v/>
      </c>
      <c r="P59" s="41">
        <f>Q59+R59+S59+T59</f>
        <v/>
      </c>
      <c r="Q59" s="41">
        <f>IF(B59="Retired",MIN(((U58)*(1+$B$10)+IF(B59="Working",M59,0)),O59),0)</f>
        <v/>
      </c>
      <c r="R59" s="41">
        <f>IF(B59="Retired",MIN(MAX(O59-Q59,0),((V58)*(1+$B$10)+IF(B59="Working",E59,0))),0)</f>
        <v/>
      </c>
      <c r="S59" s="41">
        <f>IF(B59="Retired",MIN(MAX(O59-Q59-R59,0),((W58)*(1+$B$10)+IF(B59="Working",L59,0))),0)</f>
        <v/>
      </c>
      <c r="T59" s="41">
        <f>IF(B59="Retired",MIN(MAX(O59-Q59-R59-S59,0),((X58)*(1+$B$10)+IF(B59="Working",F59,0))),0)</f>
        <v/>
      </c>
      <c r="U59" s="41">
        <f>MAX(((U58)*(1+$B$10)+IF(B59="Working",M59,0))-Q59,0)</f>
        <v/>
      </c>
      <c r="V59" s="41">
        <f>MAX(((V58)*(1+$B$10)+IF(B59="Working",E59,0))-R59,0)</f>
        <v/>
      </c>
      <c r="W59" s="41">
        <f>MAX(((W58)*(1+$B$10)+IF(B59="Working",L59,0))-S59,0)</f>
        <v/>
      </c>
      <c r="X59" s="41">
        <f>MAX(((X58)*(1+$B$10)+IF(B59="Working",F59,0))-T59,0)</f>
        <v/>
      </c>
      <c r="Y59" s="41">
        <f>U59+V59+W59+X59</f>
        <v/>
      </c>
      <c r="Z59" s="41">
        <f>IF(B59="Retired",MAX(O59-P59,0),0)</f>
        <v/>
      </c>
      <c r="AA59" s="44">
        <f>IF(B59="Working",IF(D59=0,0,N59/D59),0)</f>
        <v/>
      </c>
      <c r="AB59" s="41">
        <f>IF(AND($B$14&gt;0,A59=$B$13),$B$14*($B$15+$B$18),0)+IF(AND($B$14&gt;0,A59=$B$13),$B$24,0)</f>
        <v/>
      </c>
      <c r="AC59" s="41">
        <f>IF(OR($B$14&lt;=0,A59&lt;$B$13),0,IF(AND($B$14&gt;0,$B$17&gt;0,A59&gt;=$B$13,A59&lt;($B$13+$B$17)),IF($B$17&lt;=0,0,IF($B$16=0,MAX($B$14*(1-$B$15),0)/$B$17,-PMT($B$16/12,$B$17*12,MAX($B$14*(1-$B$15),0))*12)),0)+AD59*($B$19+$B$20+$B$21)+$B$22+$B$23)</f>
        <v/>
      </c>
      <c r="AD59" s="41">
        <f>IF(AND($B$14&gt;0,A59&gt;=$B$13),$B$14*(1+$B$25)^(A59-$B$13),0)</f>
        <v/>
      </c>
      <c r="AE59" s="41">
        <f>IF(OR($B$14&lt;=0,$B$17&lt;=0,A59&lt;$B$13,MIN(MAX((A59-$B$13+1)*12,0),$B$17*12)&gt;=$B$17*12),0,IF($B$16=0,MAX(MAX($B$14*(1-$B$15),0)-(IF($B$17&lt;=0,0,IF($B$16=0,MAX($B$14*(1-$B$15),0)/$B$17,-PMT($B$16/12,$B$17*12,MAX($B$14*(1-$B$15),0))*12))/12)*MIN(MAX((A59-$B$13+1)*12,0),$B$17*12),0),MAX(MAX($B$14*(1-$B$15),0)*(1+$B$16/12)^MIN(MAX((A59-$B$13+1)*12,0),$B$17*12)-(IF($B$17&lt;=0,0,IF($B$16=0,MAX($B$14*(1-$B$15),0)/$B$17,-PMT($B$16/12,$B$17*12,MAX($B$14*(1-$B$15),0))*12))/12)*(((1+$B$16/12)^MIN(MAX((A59-$B$13+1)*12,0),$B$17*12)-1)/($B$16/12)),0)))</f>
        <v/>
      </c>
      <c r="AF59" s="41">
        <f>MAX(AD59-AE59,0)</f>
        <v/>
      </c>
      <c r="AG59" s="77">
        <f>Y59+AF59</f>
        <v/>
      </c>
    </row>
    <row r="60" ht="18" customHeight="1" s="326">
      <c r="A60" s="71" t="n">
        <v>29</v>
      </c>
      <c r="B60" s="72">
        <f>IF(AND(C60&gt;0,A60&lt;=$B$11),"Working","Retired")</f>
        <v/>
      </c>
      <c r="C60" s="73">
        <f>N('Savings Projection'!$B$47)</f>
        <v/>
      </c>
      <c r="D60" s="43">
        <f>IF(B60="Working",C60*$B$6,0)</f>
        <v/>
      </c>
      <c r="E60" s="73">
        <f>IF(OR(B60="Retired",D60=0),0,MIN(D60,'Tax Assumptions'!$B$19))</f>
        <v/>
      </c>
      <c r="F60" s="73">
        <f>IF(B60="Working",N('Savings Projection'!$E$47),0)</f>
        <v/>
      </c>
      <c r="G60" s="73">
        <f>IF(B60="Working",N('Savings Projection'!$F$47),0)</f>
        <v/>
      </c>
      <c r="H60" s="43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/>
      </c>
      <c r="I60" s="43">
        <f>IF(B60="Working",D60-E60-F60-G60-H60,0)</f>
        <v/>
      </c>
      <c r="J60" s="73">
        <f>IF(B60="Working",N('Savings Projection'!$S$47)*$B$8,0)</f>
        <v/>
      </c>
      <c r="K60" s="73">
        <f>IF(B60="Working",N('Savings Projection'!$T$47)*$B$9,0)</f>
        <v/>
      </c>
      <c r="L60" s="43">
        <f>IF(B60="Working",MIN(MAX(I60-J60-K60-AB60-AC60,0),'Tax Assumptions'!$B$20),0)</f>
        <v/>
      </c>
      <c r="M60" s="43">
        <f>IF(B60="Working",I60-J60-K60-L60-AB60-AC60,0)</f>
        <v/>
      </c>
      <c r="N60" s="73">
        <f>IF(B60="Working",M60+L60+E60+F60,-P60)</f>
        <v/>
      </c>
      <c r="O60" s="73">
        <f>IF(B60="Retired",$B$12+AB60+AC60,0)</f>
        <v/>
      </c>
      <c r="P60" s="73">
        <f>Q60+R60+S60+T60</f>
        <v/>
      </c>
      <c r="Q60" s="73">
        <f>IF(B60="Retired",MIN(((U59)*(1+$B$10)+IF(B60="Working",M60,0)),O60),0)</f>
        <v/>
      </c>
      <c r="R60" s="73">
        <f>IF(B60="Retired",MIN(MAX(O60-Q60,0),((V59)*(1+$B$10)+IF(B60="Working",E60,0))),0)</f>
        <v/>
      </c>
      <c r="S60" s="73">
        <f>IF(B60="Retired",MIN(MAX(O60-Q60-R60,0),((W59)*(1+$B$10)+IF(B60="Working",L60,0))),0)</f>
        <v/>
      </c>
      <c r="T60" s="73">
        <f>IF(B60="Retired",MIN(MAX(O60-Q60-R60-S60,0),((X59)*(1+$B$10)+IF(B60="Working",F60,0))),0)</f>
        <v/>
      </c>
      <c r="U60" s="43">
        <f>MAX(((U59)*(1+$B$10)+IF(B60="Working",M60,0))-Q60,0)</f>
        <v/>
      </c>
      <c r="V60" s="43">
        <f>MAX(((V59)*(1+$B$10)+IF(B60="Working",E60,0))-R60,0)</f>
        <v/>
      </c>
      <c r="W60" s="43">
        <f>MAX(((W59)*(1+$B$10)+IF(B60="Working",L60,0))-S60,0)</f>
        <v/>
      </c>
      <c r="X60" s="43">
        <f>MAX(((X59)*(1+$B$10)+IF(B60="Working",F60,0))-T60,0)</f>
        <v/>
      </c>
      <c r="Y60" s="43">
        <f>U60+V60+W60+X60</f>
        <v/>
      </c>
      <c r="Z60" s="73">
        <f>IF(B60="Retired",MAX(O60-P60,0),0)</f>
        <v/>
      </c>
      <c r="AA60" s="74">
        <f>IF(B60="Working",IF(D60=0,0,N60/D60),0)</f>
        <v/>
      </c>
      <c r="AB60" s="43">
        <f>IF(AND($B$14&gt;0,A60=$B$13),$B$14*($B$15+$B$18),0)+IF(AND($B$14&gt;0,A60=$B$13),$B$24,0)</f>
        <v/>
      </c>
      <c r="AC60" s="43">
        <f>IF(OR($B$14&lt;=0,A60&lt;$B$13),0,IF(AND($B$14&gt;0,$B$17&gt;0,A60&gt;=$B$13,A60&lt;($B$13+$B$17)),IF($B$17&lt;=0,0,IF($B$16=0,MAX($B$14*(1-$B$15),0)/$B$17,-PMT($B$16/12,$B$17*12,MAX($B$14*(1-$B$15),0))*12)),0)+AD60*($B$19+$B$20+$B$21)+$B$22+$B$23)</f>
        <v/>
      </c>
      <c r="AD60" s="43">
        <f>IF(AND($B$14&gt;0,A60&gt;=$B$13),$B$14*(1+$B$25)^(A60-$B$13),0)</f>
        <v/>
      </c>
      <c r="AE60" s="43">
        <f>IF(OR($B$14&lt;=0,$B$17&lt;=0,A60&lt;$B$13,MIN(MAX((A60-$B$13+1)*12,0),$B$17*12)&gt;=$B$17*12),0,IF($B$16=0,MAX(MAX($B$14*(1-$B$15),0)-(IF($B$17&lt;=0,0,IF($B$16=0,MAX($B$14*(1-$B$15),0)/$B$17,-PMT($B$16/12,$B$17*12,MAX($B$14*(1-$B$15),0))*12))/12)*MIN(MAX((A60-$B$13+1)*12,0),$B$17*12),0),MAX(MAX($B$14*(1-$B$15),0)*(1+$B$16/12)^MIN(MAX((A60-$B$13+1)*12,0),$B$17*12)-(IF($B$17&lt;=0,0,IF($B$16=0,MAX($B$14*(1-$B$15),0)/$B$17,-PMT($B$16/12,$B$17*12,MAX($B$14*(1-$B$15),0))*12))/12)*(((1+$B$16/12)^MIN(MAX((A60-$B$13+1)*12,0),$B$17*12)-1)/($B$16/12)),0)))</f>
        <v/>
      </c>
      <c r="AF60" s="43">
        <f>MAX(AD60-AE60,0)</f>
        <v/>
      </c>
      <c r="AG60" s="75">
        <f>Y60+AF60</f>
        <v/>
      </c>
    </row>
    <row r="61" ht="18" customHeight="1" s="326">
      <c r="A61" s="76" t="n">
        <v>30</v>
      </c>
      <c r="B61" s="40">
        <f>IF(AND(C61&gt;0,A61&lt;=$B$11),"Working","Retired")</f>
        <v/>
      </c>
      <c r="C61" s="41">
        <f>N('Savings Projection'!$B$48)</f>
        <v/>
      </c>
      <c r="D61" s="41">
        <f>IF(B61="Working",C61*$B$6,0)</f>
        <v/>
      </c>
      <c r="E61" s="41">
        <f>IF(OR(B61="Retired",D61=0),0,MIN(D61,'Tax Assumptions'!$B$19))</f>
        <v/>
      </c>
      <c r="F61" s="41">
        <f>IF(B61="Working",N('Savings Projection'!$E$48),0)</f>
        <v/>
      </c>
      <c r="G61" s="41">
        <f>IF(B61="Working",N('Savings Projection'!$F$48),0)</f>
        <v/>
      </c>
      <c r="H61" s="41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/>
      </c>
      <c r="I61" s="41">
        <f>IF(B61="Working",D61-E61-F61-G61-H61,0)</f>
        <v/>
      </c>
      <c r="J61" s="41">
        <f>IF(B61="Working",N('Savings Projection'!$S$48)*$B$8,0)</f>
        <v/>
      </c>
      <c r="K61" s="41">
        <f>IF(B61="Working",N('Savings Projection'!$T$48)*$B$9,0)</f>
        <v/>
      </c>
      <c r="L61" s="41">
        <f>IF(B61="Working",MIN(MAX(I61-J61-K61-AB61-AC61,0),'Tax Assumptions'!$B$20),0)</f>
        <v/>
      </c>
      <c r="M61" s="41">
        <f>IF(B61="Working",I61-J61-K61-L61-AB61-AC61,0)</f>
        <v/>
      </c>
      <c r="N61" s="41">
        <f>IF(B61="Working",M61+L61+E61+F61,-P61)</f>
        <v/>
      </c>
      <c r="O61" s="41">
        <f>IF(B61="Retired",$B$12+AB61+AC61,0)</f>
        <v/>
      </c>
      <c r="P61" s="41">
        <f>Q61+R61+S61+T61</f>
        <v/>
      </c>
      <c r="Q61" s="41">
        <f>IF(B61="Retired",MIN(((U60)*(1+$B$10)+IF(B61="Working",M61,0)),O61),0)</f>
        <v/>
      </c>
      <c r="R61" s="41">
        <f>IF(B61="Retired",MIN(MAX(O61-Q61,0),((V60)*(1+$B$10)+IF(B61="Working",E61,0))),0)</f>
        <v/>
      </c>
      <c r="S61" s="41">
        <f>IF(B61="Retired",MIN(MAX(O61-Q61-R61,0),((W60)*(1+$B$10)+IF(B61="Working",L61,0))),0)</f>
        <v/>
      </c>
      <c r="T61" s="41">
        <f>IF(B61="Retired",MIN(MAX(O61-Q61-R61-S61,0),((X60)*(1+$B$10)+IF(B61="Working",F61,0))),0)</f>
        <v/>
      </c>
      <c r="U61" s="41">
        <f>MAX(((U60)*(1+$B$10)+IF(B61="Working",M61,0))-Q61,0)</f>
        <v/>
      </c>
      <c r="V61" s="41">
        <f>MAX(((V60)*(1+$B$10)+IF(B61="Working",E61,0))-R61,0)</f>
        <v/>
      </c>
      <c r="W61" s="41">
        <f>MAX(((W60)*(1+$B$10)+IF(B61="Working",L61,0))-S61,0)</f>
        <v/>
      </c>
      <c r="X61" s="41">
        <f>MAX(((X60)*(1+$B$10)+IF(B61="Working",F61,0))-T61,0)</f>
        <v/>
      </c>
      <c r="Y61" s="41">
        <f>U61+V61+W61+X61</f>
        <v/>
      </c>
      <c r="Z61" s="41">
        <f>IF(B61="Retired",MAX(O61-P61,0),0)</f>
        <v/>
      </c>
      <c r="AA61" s="44">
        <f>IF(B61="Working",IF(D61=0,0,N61/D61),0)</f>
        <v/>
      </c>
      <c r="AB61" s="41">
        <f>IF(AND($B$14&gt;0,A61=$B$13),$B$14*($B$15+$B$18),0)+IF(AND($B$14&gt;0,A61=$B$13),$B$24,0)</f>
        <v/>
      </c>
      <c r="AC61" s="41">
        <f>IF(OR($B$14&lt;=0,A61&lt;$B$13),0,IF(AND($B$14&gt;0,$B$17&gt;0,A61&gt;=$B$13,A61&lt;($B$13+$B$17)),IF($B$17&lt;=0,0,IF($B$16=0,MAX($B$14*(1-$B$15),0)/$B$17,-PMT($B$16/12,$B$17*12,MAX($B$14*(1-$B$15),0))*12)),0)+AD61*($B$19+$B$20+$B$21)+$B$22+$B$23)</f>
        <v/>
      </c>
      <c r="AD61" s="41">
        <f>IF(AND($B$14&gt;0,A61&gt;=$B$13),$B$14*(1+$B$25)^(A61-$B$13),0)</f>
        <v/>
      </c>
      <c r="AE61" s="41">
        <f>IF(OR($B$14&lt;=0,$B$17&lt;=0,A61&lt;$B$13,MIN(MAX((A61-$B$13+1)*12,0),$B$17*12)&gt;=$B$17*12),0,IF($B$16=0,MAX(MAX($B$14*(1-$B$15),0)-(IF($B$17&lt;=0,0,IF($B$16=0,MAX($B$14*(1-$B$15),0)/$B$17,-PMT($B$16/12,$B$17*12,MAX($B$14*(1-$B$15),0))*12))/12)*MIN(MAX((A61-$B$13+1)*12,0),$B$17*12),0),MAX(MAX($B$14*(1-$B$15),0)*(1+$B$16/12)^MIN(MAX((A61-$B$13+1)*12,0),$B$17*12)-(IF($B$17&lt;=0,0,IF($B$16=0,MAX($B$14*(1-$B$15),0)/$B$17,-PMT($B$16/12,$B$17*12,MAX($B$14*(1-$B$15),0))*12))/12)*(((1+$B$16/12)^MIN(MAX((A61-$B$13+1)*12,0),$B$17*12)-1)/($B$16/12)),0)))</f>
        <v/>
      </c>
      <c r="AF61" s="41">
        <f>MAX(AD61-AE61,0)</f>
        <v/>
      </c>
      <c r="AG61" s="77">
        <f>Y61+AF61</f>
        <v/>
      </c>
    </row>
    <row r="62" ht="18" customHeight="1" s="326">
      <c r="A62" s="71" t="n">
        <v>31</v>
      </c>
      <c r="B62" s="72">
        <f>IF(AND(C62&gt;0,A62&lt;=$B$11),"Working","Retired")</f>
        <v/>
      </c>
      <c r="C62" s="73">
        <f>N('Savings Projection'!$B$49)</f>
        <v/>
      </c>
      <c r="D62" s="43">
        <f>IF(B62="Working",C62*$B$6,0)</f>
        <v/>
      </c>
      <c r="E62" s="73">
        <f>IF(OR(B62="Retired",D62=0),0,MIN(D62,'Tax Assumptions'!$B$19))</f>
        <v/>
      </c>
      <c r="F62" s="73">
        <f>IF(B62="Working",N('Savings Projection'!$E$49),0)</f>
        <v/>
      </c>
      <c r="G62" s="73">
        <f>IF(B62="Working",N('Savings Projection'!$F$49),0)</f>
        <v/>
      </c>
      <c r="H62" s="43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/>
      </c>
      <c r="I62" s="43">
        <f>IF(B62="Working",D62-E62-F62-G62-H62,0)</f>
        <v/>
      </c>
      <c r="J62" s="73">
        <f>IF(B62="Working",N('Savings Projection'!$S$49)*$B$8,0)</f>
        <v/>
      </c>
      <c r="K62" s="73">
        <f>IF(B62="Working",N('Savings Projection'!$T$49)*$B$9,0)</f>
        <v/>
      </c>
      <c r="L62" s="43">
        <f>IF(B62="Working",MIN(MAX(I62-J62-K62-AB62-AC62,0),'Tax Assumptions'!$B$20),0)</f>
        <v/>
      </c>
      <c r="M62" s="43">
        <f>IF(B62="Working",I62-J62-K62-L62-AB62-AC62,0)</f>
        <v/>
      </c>
      <c r="N62" s="73">
        <f>IF(B62="Working",M62+L62+E62+F62,-P62)</f>
        <v/>
      </c>
      <c r="O62" s="73">
        <f>IF(B62="Retired",$B$12+AB62+AC62,0)</f>
        <v/>
      </c>
      <c r="P62" s="73">
        <f>Q62+R62+S62+T62</f>
        <v/>
      </c>
      <c r="Q62" s="73">
        <f>IF(B62="Retired",MIN(((U61)*(1+$B$10)+IF(B62="Working",M62,0)),O62),0)</f>
        <v/>
      </c>
      <c r="R62" s="73">
        <f>IF(B62="Retired",MIN(MAX(O62-Q62,0),((V61)*(1+$B$10)+IF(B62="Working",E62,0))),0)</f>
        <v/>
      </c>
      <c r="S62" s="73">
        <f>IF(B62="Retired",MIN(MAX(O62-Q62-R62,0),((W61)*(1+$B$10)+IF(B62="Working",L62,0))),0)</f>
        <v/>
      </c>
      <c r="T62" s="73">
        <f>IF(B62="Retired",MIN(MAX(O62-Q62-R62-S62,0),((X61)*(1+$B$10)+IF(B62="Working",F62,0))),0)</f>
        <v/>
      </c>
      <c r="U62" s="43">
        <f>MAX(((U61)*(1+$B$10)+IF(B62="Working",M62,0))-Q62,0)</f>
        <v/>
      </c>
      <c r="V62" s="43">
        <f>MAX(((V61)*(1+$B$10)+IF(B62="Working",E62,0))-R62,0)</f>
        <v/>
      </c>
      <c r="W62" s="43">
        <f>MAX(((W61)*(1+$B$10)+IF(B62="Working",L62,0))-S62,0)</f>
        <v/>
      </c>
      <c r="X62" s="43">
        <f>MAX(((X61)*(1+$B$10)+IF(B62="Working",F62,0))-T62,0)</f>
        <v/>
      </c>
      <c r="Y62" s="43">
        <f>U62+V62+W62+X62</f>
        <v/>
      </c>
      <c r="Z62" s="73">
        <f>IF(B62="Retired",MAX(O62-P62,0),0)</f>
        <v/>
      </c>
      <c r="AA62" s="74">
        <f>IF(B62="Working",IF(D62=0,0,N62/D62),0)</f>
        <v/>
      </c>
      <c r="AB62" s="43">
        <f>IF(AND($B$14&gt;0,A62=$B$13),$B$14*($B$15+$B$18),0)+IF(AND($B$14&gt;0,A62=$B$13),$B$24,0)</f>
        <v/>
      </c>
      <c r="AC62" s="43">
        <f>IF(OR($B$14&lt;=0,A62&lt;$B$13),0,IF(AND($B$14&gt;0,$B$17&gt;0,A62&gt;=$B$13,A62&lt;($B$13+$B$17)),IF($B$17&lt;=0,0,IF($B$16=0,MAX($B$14*(1-$B$15),0)/$B$17,-PMT($B$16/12,$B$17*12,MAX($B$14*(1-$B$15),0))*12)),0)+AD62*($B$19+$B$20+$B$21)+$B$22+$B$23)</f>
        <v/>
      </c>
      <c r="AD62" s="43">
        <f>IF(AND($B$14&gt;0,A62&gt;=$B$13),$B$14*(1+$B$25)^(A62-$B$13),0)</f>
        <v/>
      </c>
      <c r="AE62" s="43">
        <f>IF(OR($B$14&lt;=0,$B$17&lt;=0,A62&lt;$B$13,MIN(MAX((A62-$B$13+1)*12,0),$B$17*12)&gt;=$B$17*12),0,IF($B$16=0,MAX(MAX($B$14*(1-$B$15),0)-(IF($B$17&lt;=0,0,IF($B$16=0,MAX($B$14*(1-$B$15),0)/$B$17,-PMT($B$16/12,$B$17*12,MAX($B$14*(1-$B$15),0))*12))/12)*MIN(MAX((A62-$B$13+1)*12,0),$B$17*12),0),MAX(MAX($B$14*(1-$B$15),0)*(1+$B$16/12)^MIN(MAX((A62-$B$13+1)*12,0),$B$17*12)-(IF($B$17&lt;=0,0,IF($B$16=0,MAX($B$14*(1-$B$15),0)/$B$17,-PMT($B$16/12,$B$17*12,MAX($B$14*(1-$B$15),0))*12))/12)*(((1+$B$16/12)^MIN(MAX((A62-$B$13+1)*12,0),$B$17*12)-1)/($B$16/12)),0)))</f>
        <v/>
      </c>
      <c r="AF62" s="43">
        <f>MAX(AD62-AE62,0)</f>
        <v/>
      </c>
      <c r="AG62" s="75">
        <f>Y62+AF62</f>
        <v/>
      </c>
    </row>
    <row r="63" ht="18" customHeight="1" s="326">
      <c r="A63" s="76" t="n">
        <v>32</v>
      </c>
      <c r="B63" s="40">
        <f>IF(AND(C63&gt;0,A63&lt;=$B$11),"Working","Retired")</f>
        <v/>
      </c>
      <c r="C63" s="41">
        <f>N('Savings Projection'!$B$50)</f>
        <v/>
      </c>
      <c r="D63" s="41">
        <f>IF(B63="Working",C63*$B$6,0)</f>
        <v/>
      </c>
      <c r="E63" s="41">
        <f>IF(OR(B63="Retired",D63=0),0,MIN(D63,'Tax Assumptions'!$B$19))</f>
        <v/>
      </c>
      <c r="F63" s="41">
        <f>IF(B63="Working",N('Savings Projection'!$E$50),0)</f>
        <v/>
      </c>
      <c r="G63" s="41">
        <f>IF(B63="Working",N('Savings Projection'!$F$50),0)</f>
        <v/>
      </c>
      <c r="H63" s="41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/>
      </c>
      <c r="I63" s="41">
        <f>IF(B63="Working",D63-E63-F63-G63-H63,0)</f>
        <v/>
      </c>
      <c r="J63" s="41">
        <f>IF(B63="Working",N('Savings Projection'!$S$50)*$B$8,0)</f>
        <v/>
      </c>
      <c r="K63" s="41">
        <f>IF(B63="Working",N('Savings Projection'!$T$50)*$B$9,0)</f>
        <v/>
      </c>
      <c r="L63" s="41">
        <f>IF(B63="Working",MIN(MAX(I63-J63-K63-AB63-AC63,0),'Tax Assumptions'!$B$20),0)</f>
        <v/>
      </c>
      <c r="M63" s="41">
        <f>IF(B63="Working",I63-J63-K63-L63-AB63-AC63,0)</f>
        <v/>
      </c>
      <c r="N63" s="41">
        <f>IF(B63="Working",M63+L63+E63+F63,-P63)</f>
        <v/>
      </c>
      <c r="O63" s="41">
        <f>IF(B63="Retired",$B$12+AB63+AC63,0)</f>
        <v/>
      </c>
      <c r="P63" s="41">
        <f>Q63+R63+S63+T63</f>
        <v/>
      </c>
      <c r="Q63" s="41">
        <f>IF(B63="Retired",MIN(((U62)*(1+$B$10)+IF(B63="Working",M63,0)),O63),0)</f>
        <v/>
      </c>
      <c r="R63" s="41">
        <f>IF(B63="Retired",MIN(MAX(O63-Q63,0),((V62)*(1+$B$10)+IF(B63="Working",E63,0))),0)</f>
        <v/>
      </c>
      <c r="S63" s="41">
        <f>IF(B63="Retired",MIN(MAX(O63-Q63-R63,0),((W62)*(1+$B$10)+IF(B63="Working",L63,0))),0)</f>
        <v/>
      </c>
      <c r="T63" s="41">
        <f>IF(B63="Retired",MIN(MAX(O63-Q63-R63-S63,0),((X62)*(1+$B$10)+IF(B63="Working",F63,0))),0)</f>
        <v/>
      </c>
      <c r="U63" s="41">
        <f>MAX(((U62)*(1+$B$10)+IF(B63="Working",M63,0))-Q63,0)</f>
        <v/>
      </c>
      <c r="V63" s="41">
        <f>MAX(((V62)*(1+$B$10)+IF(B63="Working",E63,0))-R63,0)</f>
        <v/>
      </c>
      <c r="W63" s="41">
        <f>MAX(((W62)*(1+$B$10)+IF(B63="Working",L63,0))-S63,0)</f>
        <v/>
      </c>
      <c r="X63" s="41">
        <f>MAX(((X62)*(1+$B$10)+IF(B63="Working",F63,0))-T63,0)</f>
        <v/>
      </c>
      <c r="Y63" s="41">
        <f>U63+V63+W63+X63</f>
        <v/>
      </c>
      <c r="Z63" s="41">
        <f>IF(B63="Retired",MAX(O63-P63,0),0)</f>
        <v/>
      </c>
      <c r="AA63" s="44">
        <f>IF(B63="Working",IF(D63=0,0,N63/D63),0)</f>
        <v/>
      </c>
      <c r="AB63" s="41">
        <f>IF(AND($B$14&gt;0,A63=$B$13),$B$14*($B$15+$B$18),0)+IF(AND($B$14&gt;0,A63=$B$13),$B$24,0)</f>
        <v/>
      </c>
      <c r="AC63" s="41">
        <f>IF(OR($B$14&lt;=0,A63&lt;$B$13),0,IF(AND($B$14&gt;0,$B$17&gt;0,A63&gt;=$B$13,A63&lt;($B$13+$B$17)),IF($B$17&lt;=0,0,IF($B$16=0,MAX($B$14*(1-$B$15),0)/$B$17,-PMT($B$16/12,$B$17*12,MAX($B$14*(1-$B$15),0))*12)),0)+AD63*($B$19+$B$20+$B$21)+$B$22+$B$23)</f>
        <v/>
      </c>
      <c r="AD63" s="41">
        <f>IF(AND($B$14&gt;0,A63&gt;=$B$13),$B$14*(1+$B$25)^(A63-$B$13),0)</f>
        <v/>
      </c>
      <c r="AE63" s="41">
        <f>IF(OR($B$14&lt;=0,$B$17&lt;=0,A63&lt;$B$13,MIN(MAX((A63-$B$13+1)*12,0),$B$17*12)&gt;=$B$17*12),0,IF($B$16=0,MAX(MAX($B$14*(1-$B$15),0)-(IF($B$17&lt;=0,0,IF($B$16=0,MAX($B$14*(1-$B$15),0)/$B$17,-PMT($B$16/12,$B$17*12,MAX($B$14*(1-$B$15),0))*12))/12)*MIN(MAX((A63-$B$13+1)*12,0),$B$17*12),0),MAX(MAX($B$14*(1-$B$15),0)*(1+$B$16/12)^MIN(MAX((A63-$B$13+1)*12,0),$B$17*12)-(IF($B$17&lt;=0,0,IF($B$16=0,MAX($B$14*(1-$B$15),0)/$B$17,-PMT($B$16/12,$B$17*12,MAX($B$14*(1-$B$15),0))*12))/12)*(((1+$B$16/12)^MIN(MAX((A63-$B$13+1)*12,0),$B$17*12)-1)/($B$16/12)),0)))</f>
        <v/>
      </c>
      <c r="AF63" s="41">
        <f>MAX(AD63-AE63,0)</f>
        <v/>
      </c>
      <c r="AG63" s="77">
        <f>Y63+AF63</f>
        <v/>
      </c>
    </row>
    <row r="64" ht="18" customHeight="1" s="326">
      <c r="A64" s="71" t="n">
        <v>33</v>
      </c>
      <c r="B64" s="72">
        <f>IF(AND(C64&gt;0,A64&lt;=$B$11),"Working","Retired")</f>
        <v/>
      </c>
      <c r="C64" s="73">
        <f>N('Savings Projection'!$B$51)</f>
        <v/>
      </c>
      <c r="D64" s="43">
        <f>IF(B64="Working",C64*$B$6,0)</f>
        <v/>
      </c>
      <c r="E64" s="73">
        <f>IF(OR(B64="Retired",D64=0),0,MIN(D64,'Tax Assumptions'!$B$19))</f>
        <v/>
      </c>
      <c r="F64" s="73">
        <f>IF(B64="Working",N('Savings Projection'!$E$51),0)</f>
        <v/>
      </c>
      <c r="G64" s="73">
        <f>IF(B64="Working",N('Savings Projection'!$F$51),0)</f>
        <v/>
      </c>
      <c r="H64" s="43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/>
      </c>
      <c r="I64" s="43">
        <f>IF(B64="Working",D64-E64-F64-G64-H64,0)</f>
        <v/>
      </c>
      <c r="J64" s="73">
        <f>IF(B64="Working",N('Savings Projection'!$S$51)*$B$8,0)</f>
        <v/>
      </c>
      <c r="K64" s="73">
        <f>IF(B64="Working",N('Savings Projection'!$T$51)*$B$9,0)</f>
        <v/>
      </c>
      <c r="L64" s="43">
        <f>IF(B64="Working",MIN(MAX(I64-J64-K64-AB64-AC64,0),'Tax Assumptions'!$B$20),0)</f>
        <v/>
      </c>
      <c r="M64" s="43">
        <f>IF(B64="Working",I64-J64-K64-L64-AB64-AC64,0)</f>
        <v/>
      </c>
      <c r="N64" s="73">
        <f>IF(B64="Working",M64+L64+E64+F64,-P64)</f>
        <v/>
      </c>
      <c r="O64" s="73">
        <f>IF(B64="Retired",$B$12+AB64+AC64,0)</f>
        <v/>
      </c>
      <c r="P64" s="73">
        <f>Q64+R64+S64+T64</f>
        <v/>
      </c>
      <c r="Q64" s="73">
        <f>IF(B64="Retired",MIN(((U63)*(1+$B$10)+IF(B64="Working",M64,0)),O64),0)</f>
        <v/>
      </c>
      <c r="R64" s="73">
        <f>IF(B64="Retired",MIN(MAX(O64-Q64,0),((V63)*(1+$B$10)+IF(B64="Working",E64,0))),0)</f>
        <v/>
      </c>
      <c r="S64" s="73">
        <f>IF(B64="Retired",MIN(MAX(O64-Q64-R64,0),((W63)*(1+$B$10)+IF(B64="Working",L64,0))),0)</f>
        <v/>
      </c>
      <c r="T64" s="73">
        <f>IF(B64="Retired",MIN(MAX(O64-Q64-R64-S64,0),((X63)*(1+$B$10)+IF(B64="Working",F64,0))),0)</f>
        <v/>
      </c>
      <c r="U64" s="43">
        <f>MAX(((U63)*(1+$B$10)+IF(B64="Working",M64,0))-Q64,0)</f>
        <v/>
      </c>
      <c r="V64" s="43">
        <f>MAX(((V63)*(1+$B$10)+IF(B64="Working",E64,0))-R64,0)</f>
        <v/>
      </c>
      <c r="W64" s="43">
        <f>MAX(((W63)*(1+$B$10)+IF(B64="Working",L64,0))-S64,0)</f>
        <v/>
      </c>
      <c r="X64" s="43">
        <f>MAX(((X63)*(1+$B$10)+IF(B64="Working",F64,0))-T64,0)</f>
        <v/>
      </c>
      <c r="Y64" s="43">
        <f>U64+V64+W64+X64</f>
        <v/>
      </c>
      <c r="Z64" s="73">
        <f>IF(B64="Retired",MAX(O64-P64,0),0)</f>
        <v/>
      </c>
      <c r="AA64" s="74">
        <f>IF(B64="Working",IF(D64=0,0,N64/D64),0)</f>
        <v/>
      </c>
      <c r="AB64" s="43">
        <f>IF(AND($B$14&gt;0,A64=$B$13),$B$14*($B$15+$B$18),0)+IF(AND($B$14&gt;0,A64=$B$13),$B$24,0)</f>
        <v/>
      </c>
      <c r="AC64" s="43">
        <f>IF(OR($B$14&lt;=0,A64&lt;$B$13),0,IF(AND($B$14&gt;0,$B$17&gt;0,A64&gt;=$B$13,A64&lt;($B$13+$B$17)),IF($B$17&lt;=0,0,IF($B$16=0,MAX($B$14*(1-$B$15),0)/$B$17,-PMT($B$16/12,$B$17*12,MAX($B$14*(1-$B$15),0))*12)),0)+AD64*($B$19+$B$20+$B$21)+$B$22+$B$23)</f>
        <v/>
      </c>
      <c r="AD64" s="43">
        <f>IF(AND($B$14&gt;0,A64&gt;=$B$13),$B$14*(1+$B$25)^(A64-$B$13),0)</f>
        <v/>
      </c>
      <c r="AE64" s="43">
        <f>IF(OR($B$14&lt;=0,$B$17&lt;=0,A64&lt;$B$13,MIN(MAX((A64-$B$13+1)*12,0),$B$17*12)&gt;=$B$17*12),0,IF($B$16=0,MAX(MAX($B$14*(1-$B$15),0)-(IF($B$17&lt;=0,0,IF($B$16=0,MAX($B$14*(1-$B$15),0)/$B$17,-PMT($B$16/12,$B$17*12,MAX($B$14*(1-$B$15),0))*12))/12)*MIN(MAX((A64-$B$13+1)*12,0),$B$17*12),0),MAX(MAX($B$14*(1-$B$15),0)*(1+$B$16/12)^MIN(MAX((A64-$B$13+1)*12,0),$B$17*12)-(IF($B$17&lt;=0,0,IF($B$16=0,MAX($B$14*(1-$B$15),0)/$B$17,-PMT($B$16/12,$B$17*12,MAX($B$14*(1-$B$15),0))*12))/12)*(((1+$B$16/12)^MIN(MAX((A64-$B$13+1)*12,0),$B$17*12)-1)/($B$16/12)),0)))</f>
        <v/>
      </c>
      <c r="AF64" s="43">
        <f>MAX(AD64-AE64,0)</f>
        <v/>
      </c>
      <c r="AG64" s="75">
        <f>Y64+AF64</f>
        <v/>
      </c>
    </row>
    <row r="65" ht="18" customHeight="1" s="326">
      <c r="A65" s="76" t="n">
        <v>34</v>
      </c>
      <c r="B65" s="40">
        <f>IF(AND(C65&gt;0,A65&lt;=$B$11),"Working","Retired")</f>
        <v/>
      </c>
      <c r="C65" s="41">
        <f>N('Savings Projection'!$B$52)</f>
        <v/>
      </c>
      <c r="D65" s="41">
        <f>IF(B65="Working",C65*$B$6,0)</f>
        <v/>
      </c>
      <c r="E65" s="41">
        <f>IF(OR(B65="Retired",D65=0),0,MIN(D65,'Tax Assumptions'!$B$19))</f>
        <v/>
      </c>
      <c r="F65" s="41">
        <f>IF(B65="Working",N('Savings Projection'!$E$52),0)</f>
        <v/>
      </c>
      <c r="G65" s="41">
        <f>IF(B65="Working",N('Savings Projection'!$F$52),0)</f>
        <v/>
      </c>
      <c r="H65" s="41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/>
      </c>
      <c r="I65" s="41">
        <f>IF(B65="Working",D65-E65-F65-G65-H65,0)</f>
        <v/>
      </c>
      <c r="J65" s="41">
        <f>IF(B65="Working",N('Savings Projection'!$S$52)*$B$8,0)</f>
        <v/>
      </c>
      <c r="K65" s="41">
        <f>IF(B65="Working",N('Savings Projection'!$T$52)*$B$9,0)</f>
        <v/>
      </c>
      <c r="L65" s="41">
        <f>IF(B65="Working",MIN(MAX(I65-J65-K65-AB65-AC65,0),'Tax Assumptions'!$B$20),0)</f>
        <v/>
      </c>
      <c r="M65" s="41">
        <f>IF(B65="Working",I65-J65-K65-L65-AB65-AC65,0)</f>
        <v/>
      </c>
      <c r="N65" s="41">
        <f>IF(B65="Working",M65+L65+E65+F65,-P65)</f>
        <v/>
      </c>
      <c r="O65" s="41">
        <f>IF(B65="Retired",$B$12+AB65+AC65,0)</f>
        <v/>
      </c>
      <c r="P65" s="41">
        <f>Q65+R65+S65+T65</f>
        <v/>
      </c>
      <c r="Q65" s="41">
        <f>IF(B65="Retired",MIN(((U64)*(1+$B$10)+IF(B65="Working",M65,0)),O65),0)</f>
        <v/>
      </c>
      <c r="R65" s="41">
        <f>IF(B65="Retired",MIN(MAX(O65-Q65,0),((V64)*(1+$B$10)+IF(B65="Working",E65,0))),0)</f>
        <v/>
      </c>
      <c r="S65" s="41">
        <f>IF(B65="Retired",MIN(MAX(O65-Q65-R65,0),((W64)*(1+$B$10)+IF(B65="Working",L65,0))),0)</f>
        <v/>
      </c>
      <c r="T65" s="41">
        <f>IF(B65="Retired",MIN(MAX(O65-Q65-R65-S65,0),((X64)*(1+$B$10)+IF(B65="Working",F65,0))),0)</f>
        <v/>
      </c>
      <c r="U65" s="41">
        <f>MAX(((U64)*(1+$B$10)+IF(B65="Working",M65,0))-Q65,0)</f>
        <v/>
      </c>
      <c r="V65" s="41">
        <f>MAX(((V64)*(1+$B$10)+IF(B65="Working",E65,0))-R65,0)</f>
        <v/>
      </c>
      <c r="W65" s="41">
        <f>MAX(((W64)*(1+$B$10)+IF(B65="Working",L65,0))-S65,0)</f>
        <v/>
      </c>
      <c r="X65" s="41">
        <f>MAX(((X64)*(1+$B$10)+IF(B65="Working",F65,0))-T65,0)</f>
        <v/>
      </c>
      <c r="Y65" s="41">
        <f>U65+V65+W65+X65</f>
        <v/>
      </c>
      <c r="Z65" s="41">
        <f>IF(B65="Retired",MAX(O65-P65,0),0)</f>
        <v/>
      </c>
      <c r="AA65" s="44">
        <f>IF(B65="Working",IF(D65=0,0,N65/D65),0)</f>
        <v/>
      </c>
      <c r="AB65" s="41">
        <f>IF(AND($B$14&gt;0,A65=$B$13),$B$14*($B$15+$B$18),0)+IF(AND($B$14&gt;0,A65=$B$13),$B$24,0)</f>
        <v/>
      </c>
      <c r="AC65" s="41">
        <f>IF(OR($B$14&lt;=0,A65&lt;$B$13),0,IF(AND($B$14&gt;0,$B$17&gt;0,A65&gt;=$B$13,A65&lt;($B$13+$B$17)),IF($B$17&lt;=0,0,IF($B$16=0,MAX($B$14*(1-$B$15),0)/$B$17,-PMT($B$16/12,$B$17*12,MAX($B$14*(1-$B$15),0))*12)),0)+AD65*($B$19+$B$20+$B$21)+$B$22+$B$23)</f>
        <v/>
      </c>
      <c r="AD65" s="41">
        <f>IF(AND($B$14&gt;0,A65&gt;=$B$13),$B$14*(1+$B$25)^(A65-$B$13),0)</f>
        <v/>
      </c>
      <c r="AE65" s="41">
        <f>IF(OR($B$14&lt;=0,$B$17&lt;=0,A65&lt;$B$13,MIN(MAX((A65-$B$13+1)*12,0),$B$17*12)&gt;=$B$17*12),0,IF($B$16=0,MAX(MAX($B$14*(1-$B$15),0)-(IF($B$17&lt;=0,0,IF($B$16=0,MAX($B$14*(1-$B$15),0)/$B$17,-PMT($B$16/12,$B$17*12,MAX($B$14*(1-$B$15),0))*12))/12)*MIN(MAX((A65-$B$13+1)*12,0),$B$17*12),0),MAX(MAX($B$14*(1-$B$15),0)*(1+$B$16/12)^MIN(MAX((A65-$B$13+1)*12,0),$B$17*12)-(IF($B$17&lt;=0,0,IF($B$16=0,MAX($B$14*(1-$B$15),0)/$B$17,-PMT($B$16/12,$B$17*12,MAX($B$14*(1-$B$15),0))*12))/12)*(((1+$B$16/12)^MIN(MAX((A65-$B$13+1)*12,0),$B$17*12)-1)/($B$16/12)),0)))</f>
        <v/>
      </c>
      <c r="AF65" s="41">
        <f>MAX(AD65-AE65,0)</f>
        <v/>
      </c>
      <c r="AG65" s="77">
        <f>Y65+AF65</f>
        <v/>
      </c>
    </row>
    <row r="66" ht="18" customHeight="1" s="326">
      <c r="A66" s="71" t="n">
        <v>35</v>
      </c>
      <c r="B66" s="72">
        <f>IF(AND(C66&gt;0,A66&lt;=$B$11),"Working","Retired")</f>
        <v/>
      </c>
      <c r="C66" s="73">
        <f>N('Savings Projection'!$B$53)</f>
        <v/>
      </c>
      <c r="D66" s="43">
        <f>IF(B66="Working",C66*$B$6,0)</f>
        <v/>
      </c>
      <c r="E66" s="73">
        <f>IF(OR(B66="Retired",D66=0),0,MIN(D66,'Tax Assumptions'!$B$19))</f>
        <v/>
      </c>
      <c r="F66" s="73">
        <f>IF(B66="Working",N('Savings Projection'!$E$53),0)</f>
        <v/>
      </c>
      <c r="G66" s="73">
        <f>IF(B66="Working",N('Savings Projection'!$F$53),0)</f>
        <v/>
      </c>
      <c r="H66" s="43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/>
      </c>
      <c r="I66" s="43">
        <f>IF(B66="Working",D66-E66-F66-G66-H66,0)</f>
        <v/>
      </c>
      <c r="J66" s="73">
        <f>IF(B66="Working",N('Savings Projection'!$S$53)*$B$8,0)</f>
        <v/>
      </c>
      <c r="K66" s="73">
        <f>IF(B66="Working",N('Savings Projection'!$T$53)*$B$9,0)</f>
        <v/>
      </c>
      <c r="L66" s="43">
        <f>IF(B66="Working",MIN(MAX(I66-J66-K66-AB66-AC66,0),'Tax Assumptions'!$B$20),0)</f>
        <v/>
      </c>
      <c r="M66" s="43">
        <f>IF(B66="Working",I66-J66-K66-L66-AB66-AC66,0)</f>
        <v/>
      </c>
      <c r="N66" s="73">
        <f>IF(B66="Working",M66+L66+E66+F66,-P66)</f>
        <v/>
      </c>
      <c r="O66" s="73">
        <f>IF(B66="Retired",$B$12+AB66+AC66,0)</f>
        <v/>
      </c>
      <c r="P66" s="73">
        <f>Q66+R66+S66+T66</f>
        <v/>
      </c>
      <c r="Q66" s="73">
        <f>IF(B66="Retired",MIN(((U65)*(1+$B$10)+IF(B66="Working",M66,0)),O66),0)</f>
        <v/>
      </c>
      <c r="R66" s="73">
        <f>IF(B66="Retired",MIN(MAX(O66-Q66,0),((V65)*(1+$B$10)+IF(B66="Working",E66,0))),0)</f>
        <v/>
      </c>
      <c r="S66" s="73">
        <f>IF(B66="Retired",MIN(MAX(O66-Q66-R66,0),((W65)*(1+$B$10)+IF(B66="Working",L66,0))),0)</f>
        <v/>
      </c>
      <c r="T66" s="73">
        <f>IF(B66="Retired",MIN(MAX(O66-Q66-R66-S66,0),((X65)*(1+$B$10)+IF(B66="Working",F66,0))),0)</f>
        <v/>
      </c>
      <c r="U66" s="43">
        <f>MAX(((U65)*(1+$B$10)+IF(B66="Working",M66,0))-Q66,0)</f>
        <v/>
      </c>
      <c r="V66" s="43">
        <f>MAX(((V65)*(1+$B$10)+IF(B66="Working",E66,0))-R66,0)</f>
        <v/>
      </c>
      <c r="W66" s="43">
        <f>MAX(((W65)*(1+$B$10)+IF(B66="Working",L66,0))-S66,0)</f>
        <v/>
      </c>
      <c r="X66" s="43">
        <f>MAX(((X65)*(1+$B$10)+IF(B66="Working",F66,0))-T66,0)</f>
        <v/>
      </c>
      <c r="Y66" s="43">
        <f>U66+V66+W66+X66</f>
        <v/>
      </c>
      <c r="Z66" s="73">
        <f>IF(B66="Retired",MAX(O66-P66,0),0)</f>
        <v/>
      </c>
      <c r="AA66" s="74">
        <f>IF(B66="Working",IF(D66=0,0,N66/D66),0)</f>
        <v/>
      </c>
      <c r="AB66" s="43">
        <f>IF(AND($B$14&gt;0,A66=$B$13),$B$14*($B$15+$B$18),0)+IF(AND($B$14&gt;0,A66=$B$13),$B$24,0)</f>
        <v/>
      </c>
      <c r="AC66" s="43">
        <f>IF(OR($B$14&lt;=0,A66&lt;$B$13),0,IF(AND($B$14&gt;0,$B$17&gt;0,A66&gt;=$B$13,A66&lt;($B$13+$B$17)),IF($B$17&lt;=0,0,IF($B$16=0,MAX($B$14*(1-$B$15),0)/$B$17,-PMT($B$16/12,$B$17*12,MAX($B$14*(1-$B$15),0))*12)),0)+AD66*($B$19+$B$20+$B$21)+$B$22+$B$23)</f>
        <v/>
      </c>
      <c r="AD66" s="43">
        <f>IF(AND($B$14&gt;0,A66&gt;=$B$13),$B$14*(1+$B$25)^(A66-$B$13),0)</f>
        <v/>
      </c>
      <c r="AE66" s="43">
        <f>IF(OR($B$14&lt;=0,$B$17&lt;=0,A66&lt;$B$13,MIN(MAX((A66-$B$13+1)*12,0),$B$17*12)&gt;=$B$17*12),0,IF($B$16=0,MAX(MAX($B$14*(1-$B$15),0)-(IF($B$17&lt;=0,0,IF($B$16=0,MAX($B$14*(1-$B$15),0)/$B$17,-PMT($B$16/12,$B$17*12,MAX($B$14*(1-$B$15),0))*12))/12)*MIN(MAX((A66-$B$13+1)*12,0),$B$17*12),0),MAX(MAX($B$14*(1-$B$15),0)*(1+$B$16/12)^MIN(MAX((A66-$B$13+1)*12,0),$B$17*12)-(IF($B$17&lt;=0,0,IF($B$16=0,MAX($B$14*(1-$B$15),0)/$B$17,-PMT($B$16/12,$B$17*12,MAX($B$14*(1-$B$15),0))*12))/12)*(((1+$B$16/12)^MIN(MAX((A66-$B$13+1)*12,0),$B$17*12)-1)/($B$16/12)),0)))</f>
        <v/>
      </c>
      <c r="AF66" s="43">
        <f>MAX(AD66-AE66,0)</f>
        <v/>
      </c>
      <c r="AG66" s="75">
        <f>Y66+AF66</f>
        <v/>
      </c>
    </row>
    <row r="67" ht="18" customHeight="1" s="326">
      <c r="A67" s="76" t="n">
        <v>36</v>
      </c>
      <c r="B67" s="40">
        <f>IF(AND(C67&gt;0,A67&lt;=$B$11),"Working","Retired")</f>
        <v/>
      </c>
      <c r="C67" s="41">
        <f>N('Savings Projection'!$B$54)</f>
        <v/>
      </c>
      <c r="D67" s="41">
        <f>IF(B67="Working",C67*$B$6,0)</f>
        <v/>
      </c>
      <c r="E67" s="41">
        <f>IF(OR(B67="Retired",D67=0),0,MIN(D67,'Tax Assumptions'!$B$19))</f>
        <v/>
      </c>
      <c r="F67" s="41">
        <f>IF(B67="Working",N('Savings Projection'!$E$54),0)</f>
        <v/>
      </c>
      <c r="G67" s="41">
        <f>IF(B67="Working",N('Savings Projection'!$F$54),0)</f>
        <v/>
      </c>
      <c r="H67" s="41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/>
      </c>
      <c r="I67" s="41">
        <f>IF(B67="Working",D67-E67-F67-G67-H67,0)</f>
        <v/>
      </c>
      <c r="J67" s="41">
        <f>IF(B67="Working",N('Savings Projection'!$S$54)*$B$8,0)</f>
        <v/>
      </c>
      <c r="K67" s="41">
        <f>IF(B67="Working",N('Savings Projection'!$T$54)*$B$9,0)</f>
        <v/>
      </c>
      <c r="L67" s="41">
        <f>IF(B67="Working",MIN(MAX(I67-J67-K67-AB67-AC67,0),'Tax Assumptions'!$B$20),0)</f>
        <v/>
      </c>
      <c r="M67" s="41">
        <f>IF(B67="Working",I67-J67-K67-L67-AB67-AC67,0)</f>
        <v/>
      </c>
      <c r="N67" s="41">
        <f>IF(B67="Working",M67+L67+E67+F67,-P67)</f>
        <v/>
      </c>
      <c r="O67" s="41">
        <f>IF(B67="Retired",$B$12+AB67+AC67,0)</f>
        <v/>
      </c>
      <c r="P67" s="41">
        <f>Q67+R67+S67+T67</f>
        <v/>
      </c>
      <c r="Q67" s="41">
        <f>IF(B67="Retired",MIN(((U66)*(1+$B$10)+IF(B67="Working",M67,0)),O67),0)</f>
        <v/>
      </c>
      <c r="R67" s="41">
        <f>IF(B67="Retired",MIN(MAX(O67-Q67,0),((V66)*(1+$B$10)+IF(B67="Working",E67,0))),0)</f>
        <v/>
      </c>
      <c r="S67" s="41">
        <f>IF(B67="Retired",MIN(MAX(O67-Q67-R67,0),((W66)*(1+$B$10)+IF(B67="Working",L67,0))),0)</f>
        <v/>
      </c>
      <c r="T67" s="41">
        <f>IF(B67="Retired",MIN(MAX(O67-Q67-R67-S67,0),((X66)*(1+$B$10)+IF(B67="Working",F67,0))),0)</f>
        <v/>
      </c>
      <c r="U67" s="41">
        <f>MAX(((U66)*(1+$B$10)+IF(B67="Working",M67,0))-Q67,0)</f>
        <v/>
      </c>
      <c r="V67" s="41">
        <f>MAX(((V66)*(1+$B$10)+IF(B67="Working",E67,0))-R67,0)</f>
        <v/>
      </c>
      <c r="W67" s="41">
        <f>MAX(((W66)*(1+$B$10)+IF(B67="Working",L67,0))-S67,0)</f>
        <v/>
      </c>
      <c r="X67" s="41">
        <f>MAX(((X66)*(1+$B$10)+IF(B67="Working",F67,0))-T67,0)</f>
        <v/>
      </c>
      <c r="Y67" s="41">
        <f>U67+V67+W67+X67</f>
        <v/>
      </c>
      <c r="Z67" s="41">
        <f>IF(B67="Retired",MAX(O67-P67,0),0)</f>
        <v/>
      </c>
      <c r="AA67" s="44">
        <f>IF(B67="Working",IF(D67=0,0,N67/D67),0)</f>
        <v/>
      </c>
      <c r="AB67" s="41">
        <f>IF(AND($B$14&gt;0,A67=$B$13),$B$14*($B$15+$B$18),0)+IF(AND($B$14&gt;0,A67=$B$13),$B$24,0)</f>
        <v/>
      </c>
      <c r="AC67" s="41">
        <f>IF(OR($B$14&lt;=0,A67&lt;$B$13),0,IF(AND($B$14&gt;0,$B$17&gt;0,A67&gt;=$B$13,A67&lt;($B$13+$B$17)),IF($B$17&lt;=0,0,IF($B$16=0,MAX($B$14*(1-$B$15),0)/$B$17,-PMT($B$16/12,$B$17*12,MAX($B$14*(1-$B$15),0))*12)),0)+AD67*($B$19+$B$20+$B$21)+$B$22+$B$23)</f>
        <v/>
      </c>
      <c r="AD67" s="41">
        <f>IF(AND($B$14&gt;0,A67&gt;=$B$13),$B$14*(1+$B$25)^(A67-$B$13),0)</f>
        <v/>
      </c>
      <c r="AE67" s="41">
        <f>IF(OR($B$14&lt;=0,$B$17&lt;=0,A67&lt;$B$13,MIN(MAX((A67-$B$13+1)*12,0),$B$17*12)&gt;=$B$17*12),0,IF($B$16=0,MAX(MAX($B$14*(1-$B$15),0)-(IF($B$17&lt;=0,0,IF($B$16=0,MAX($B$14*(1-$B$15),0)/$B$17,-PMT($B$16/12,$B$17*12,MAX($B$14*(1-$B$15),0))*12))/12)*MIN(MAX((A67-$B$13+1)*12,0),$B$17*12),0),MAX(MAX($B$14*(1-$B$15),0)*(1+$B$16/12)^MIN(MAX((A67-$B$13+1)*12,0),$B$17*12)-(IF($B$17&lt;=0,0,IF($B$16=0,MAX($B$14*(1-$B$15),0)/$B$17,-PMT($B$16/12,$B$17*12,MAX($B$14*(1-$B$15),0))*12))/12)*(((1+$B$16/12)^MIN(MAX((A67-$B$13+1)*12,0),$B$17*12)-1)/($B$16/12)),0)))</f>
        <v/>
      </c>
      <c r="AF67" s="41">
        <f>MAX(AD67-AE67,0)</f>
        <v/>
      </c>
      <c r="AG67" s="77">
        <f>Y67+AF67</f>
        <v/>
      </c>
    </row>
    <row r="68" ht="18" customHeight="1" s="326">
      <c r="A68" s="71" t="n">
        <v>37</v>
      </c>
      <c r="B68" s="72">
        <f>IF(AND(C68&gt;0,A68&lt;=$B$11),"Working","Retired")</f>
        <v/>
      </c>
      <c r="C68" s="73">
        <f>N('Savings Projection'!$B$55)</f>
        <v/>
      </c>
      <c r="D68" s="43">
        <f>IF(B68="Working",C68*$B$6,0)</f>
        <v/>
      </c>
      <c r="E68" s="73">
        <f>IF(OR(B68="Retired",D68=0),0,MIN(D68,'Tax Assumptions'!$B$19))</f>
        <v/>
      </c>
      <c r="F68" s="73">
        <f>IF(B68="Working",N('Savings Projection'!$E$55),0)</f>
        <v/>
      </c>
      <c r="G68" s="73">
        <f>IF(B68="Working",N('Savings Projection'!$F$55),0)</f>
        <v/>
      </c>
      <c r="H68" s="43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/>
      </c>
      <c r="I68" s="43">
        <f>IF(B68="Working",D68-E68-F68-G68-H68,0)</f>
        <v/>
      </c>
      <c r="J68" s="73">
        <f>IF(B68="Working",N('Savings Projection'!$S$55)*$B$8,0)</f>
        <v/>
      </c>
      <c r="K68" s="73">
        <f>IF(B68="Working",N('Savings Projection'!$T$55)*$B$9,0)</f>
        <v/>
      </c>
      <c r="L68" s="43">
        <f>IF(B68="Working",MIN(MAX(I68-J68-K68-AB68-AC68,0),'Tax Assumptions'!$B$20),0)</f>
        <v/>
      </c>
      <c r="M68" s="43">
        <f>IF(B68="Working",I68-J68-K68-L68-AB68-AC68,0)</f>
        <v/>
      </c>
      <c r="N68" s="73">
        <f>IF(B68="Working",M68+L68+E68+F68,-P68)</f>
        <v/>
      </c>
      <c r="O68" s="73">
        <f>IF(B68="Retired",$B$12+AB68+AC68,0)</f>
        <v/>
      </c>
      <c r="P68" s="73">
        <f>Q68+R68+S68+T68</f>
        <v/>
      </c>
      <c r="Q68" s="73">
        <f>IF(B68="Retired",MIN(((U67)*(1+$B$10)+IF(B68="Working",M68,0)),O68),0)</f>
        <v/>
      </c>
      <c r="R68" s="73">
        <f>IF(B68="Retired",MIN(MAX(O68-Q68,0),((V67)*(1+$B$10)+IF(B68="Working",E68,0))),0)</f>
        <v/>
      </c>
      <c r="S68" s="73">
        <f>IF(B68="Retired",MIN(MAX(O68-Q68-R68,0),((W67)*(1+$B$10)+IF(B68="Working",L68,0))),0)</f>
        <v/>
      </c>
      <c r="T68" s="73">
        <f>IF(B68="Retired",MIN(MAX(O68-Q68-R68-S68,0),((X67)*(1+$B$10)+IF(B68="Working",F68,0))),0)</f>
        <v/>
      </c>
      <c r="U68" s="43">
        <f>MAX(((U67)*(1+$B$10)+IF(B68="Working",M68,0))-Q68,0)</f>
        <v/>
      </c>
      <c r="V68" s="43">
        <f>MAX(((V67)*(1+$B$10)+IF(B68="Working",E68,0))-R68,0)</f>
        <v/>
      </c>
      <c r="W68" s="43">
        <f>MAX(((W67)*(1+$B$10)+IF(B68="Working",L68,0))-S68,0)</f>
        <v/>
      </c>
      <c r="X68" s="43">
        <f>MAX(((X67)*(1+$B$10)+IF(B68="Working",F68,0))-T68,0)</f>
        <v/>
      </c>
      <c r="Y68" s="43">
        <f>U68+V68+W68+X68</f>
        <v/>
      </c>
      <c r="Z68" s="73">
        <f>IF(B68="Retired",MAX(O68-P68,0),0)</f>
        <v/>
      </c>
      <c r="AA68" s="74">
        <f>IF(B68="Working",IF(D68=0,0,N68/D68),0)</f>
        <v/>
      </c>
      <c r="AB68" s="43">
        <f>IF(AND($B$14&gt;0,A68=$B$13),$B$14*($B$15+$B$18),0)+IF(AND($B$14&gt;0,A68=$B$13),$B$24,0)</f>
        <v/>
      </c>
      <c r="AC68" s="43">
        <f>IF(OR($B$14&lt;=0,A68&lt;$B$13),0,IF(AND($B$14&gt;0,$B$17&gt;0,A68&gt;=$B$13,A68&lt;($B$13+$B$17)),IF($B$17&lt;=0,0,IF($B$16=0,MAX($B$14*(1-$B$15),0)/$B$17,-PMT($B$16/12,$B$17*12,MAX($B$14*(1-$B$15),0))*12)),0)+AD68*($B$19+$B$20+$B$21)+$B$22+$B$23)</f>
        <v/>
      </c>
      <c r="AD68" s="43">
        <f>IF(AND($B$14&gt;0,A68&gt;=$B$13),$B$14*(1+$B$25)^(A68-$B$13),0)</f>
        <v/>
      </c>
      <c r="AE68" s="43">
        <f>IF(OR($B$14&lt;=0,$B$17&lt;=0,A68&lt;$B$13,MIN(MAX((A68-$B$13+1)*12,0),$B$17*12)&gt;=$B$17*12),0,IF($B$16=0,MAX(MAX($B$14*(1-$B$15),0)-(IF($B$17&lt;=0,0,IF($B$16=0,MAX($B$14*(1-$B$15),0)/$B$17,-PMT($B$16/12,$B$17*12,MAX($B$14*(1-$B$15),0))*12))/12)*MIN(MAX((A68-$B$13+1)*12,0),$B$17*12),0),MAX(MAX($B$14*(1-$B$15),0)*(1+$B$16/12)^MIN(MAX((A68-$B$13+1)*12,0),$B$17*12)-(IF($B$17&lt;=0,0,IF($B$16=0,MAX($B$14*(1-$B$15),0)/$B$17,-PMT($B$16/12,$B$17*12,MAX($B$14*(1-$B$15),0))*12))/12)*(((1+$B$16/12)^MIN(MAX((A68-$B$13+1)*12,0),$B$17*12)-1)/($B$16/12)),0)))</f>
        <v/>
      </c>
      <c r="AF68" s="43">
        <f>MAX(AD68-AE68,0)</f>
        <v/>
      </c>
      <c r="AG68" s="75">
        <f>Y68+AF68</f>
        <v/>
      </c>
    </row>
    <row r="69" ht="18" customHeight="1" s="326">
      <c r="A69" s="76" t="n">
        <v>38</v>
      </c>
      <c r="B69" s="40">
        <f>IF(AND(C69&gt;0,A69&lt;=$B$11),"Working","Retired")</f>
        <v/>
      </c>
      <c r="C69" s="41">
        <f>N('Savings Projection'!$B$56)</f>
        <v/>
      </c>
      <c r="D69" s="41">
        <f>IF(B69="Working",C69*$B$6,0)</f>
        <v/>
      </c>
      <c r="E69" s="41">
        <f>IF(OR(B69="Retired",D69=0),0,MIN(D69,'Tax Assumptions'!$B$19))</f>
        <v/>
      </c>
      <c r="F69" s="41">
        <f>IF(B69="Working",N('Savings Projection'!$E$56),0)</f>
        <v/>
      </c>
      <c r="G69" s="41">
        <f>IF(B69="Working",N('Savings Projection'!$F$56),0)</f>
        <v/>
      </c>
      <c r="H69" s="41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/>
      </c>
      <c r="I69" s="41">
        <f>IF(B69="Working",D69-E69-F69-G69-H69,0)</f>
        <v/>
      </c>
      <c r="J69" s="41">
        <f>IF(B69="Working",N('Savings Projection'!$S$56)*$B$8,0)</f>
        <v/>
      </c>
      <c r="K69" s="41">
        <f>IF(B69="Working",N('Savings Projection'!$T$56)*$B$9,0)</f>
        <v/>
      </c>
      <c r="L69" s="41">
        <f>IF(B69="Working",MIN(MAX(I69-J69-K69-AB69-AC69,0),'Tax Assumptions'!$B$20),0)</f>
        <v/>
      </c>
      <c r="M69" s="41">
        <f>IF(B69="Working",I69-J69-K69-L69-AB69-AC69,0)</f>
        <v/>
      </c>
      <c r="N69" s="41">
        <f>IF(B69="Working",M69+L69+E69+F69,-P69)</f>
        <v/>
      </c>
      <c r="O69" s="41">
        <f>IF(B69="Retired",$B$12+AB69+AC69,0)</f>
        <v/>
      </c>
      <c r="P69" s="41">
        <f>Q69+R69+S69+T69</f>
        <v/>
      </c>
      <c r="Q69" s="41">
        <f>IF(B69="Retired",MIN(((U68)*(1+$B$10)+IF(B69="Working",M69,0)),O69),0)</f>
        <v/>
      </c>
      <c r="R69" s="41">
        <f>IF(B69="Retired",MIN(MAX(O69-Q69,0),((V68)*(1+$B$10)+IF(B69="Working",E69,0))),0)</f>
        <v/>
      </c>
      <c r="S69" s="41">
        <f>IF(B69="Retired",MIN(MAX(O69-Q69-R69,0),((W68)*(1+$B$10)+IF(B69="Working",L69,0))),0)</f>
        <v/>
      </c>
      <c r="T69" s="41">
        <f>IF(B69="Retired",MIN(MAX(O69-Q69-R69-S69,0),((X68)*(1+$B$10)+IF(B69="Working",F69,0))),0)</f>
        <v/>
      </c>
      <c r="U69" s="41">
        <f>MAX(((U68)*(1+$B$10)+IF(B69="Working",M69,0))-Q69,0)</f>
        <v/>
      </c>
      <c r="V69" s="41">
        <f>MAX(((V68)*(1+$B$10)+IF(B69="Working",E69,0))-R69,0)</f>
        <v/>
      </c>
      <c r="W69" s="41">
        <f>MAX(((W68)*(1+$B$10)+IF(B69="Working",L69,0))-S69,0)</f>
        <v/>
      </c>
      <c r="X69" s="41">
        <f>MAX(((X68)*(1+$B$10)+IF(B69="Working",F69,0))-T69,0)</f>
        <v/>
      </c>
      <c r="Y69" s="41">
        <f>U69+V69+W69+X69</f>
        <v/>
      </c>
      <c r="Z69" s="41">
        <f>IF(B69="Retired",MAX(O69-P69,0),0)</f>
        <v/>
      </c>
      <c r="AA69" s="44">
        <f>IF(B69="Working",IF(D69=0,0,N69/D69),0)</f>
        <v/>
      </c>
      <c r="AB69" s="41">
        <f>IF(AND($B$14&gt;0,A69=$B$13),$B$14*($B$15+$B$18),0)+IF(AND($B$14&gt;0,A69=$B$13),$B$24,0)</f>
        <v/>
      </c>
      <c r="AC69" s="41">
        <f>IF(OR($B$14&lt;=0,A69&lt;$B$13),0,IF(AND($B$14&gt;0,$B$17&gt;0,A69&gt;=$B$13,A69&lt;($B$13+$B$17)),IF($B$17&lt;=0,0,IF($B$16=0,MAX($B$14*(1-$B$15),0)/$B$17,-PMT($B$16/12,$B$17*12,MAX($B$14*(1-$B$15),0))*12)),0)+AD69*($B$19+$B$20+$B$21)+$B$22+$B$23)</f>
        <v/>
      </c>
      <c r="AD69" s="41">
        <f>IF(AND($B$14&gt;0,A69&gt;=$B$13),$B$14*(1+$B$25)^(A69-$B$13),0)</f>
        <v/>
      </c>
      <c r="AE69" s="41">
        <f>IF(OR($B$14&lt;=0,$B$17&lt;=0,A69&lt;$B$13,MIN(MAX((A69-$B$13+1)*12,0),$B$17*12)&gt;=$B$17*12),0,IF($B$16=0,MAX(MAX($B$14*(1-$B$15),0)-(IF($B$17&lt;=0,0,IF($B$16=0,MAX($B$14*(1-$B$15),0)/$B$17,-PMT($B$16/12,$B$17*12,MAX($B$14*(1-$B$15),0))*12))/12)*MIN(MAX((A69-$B$13+1)*12,0),$B$17*12),0),MAX(MAX($B$14*(1-$B$15),0)*(1+$B$16/12)^MIN(MAX((A69-$B$13+1)*12,0),$B$17*12)-(IF($B$17&lt;=0,0,IF($B$16=0,MAX($B$14*(1-$B$15),0)/$B$17,-PMT($B$16/12,$B$17*12,MAX($B$14*(1-$B$15),0))*12))/12)*(((1+$B$16/12)^MIN(MAX((A69-$B$13+1)*12,0),$B$17*12)-1)/($B$16/12)),0)))</f>
        <v/>
      </c>
      <c r="AF69" s="41">
        <f>MAX(AD69-AE69,0)</f>
        <v/>
      </c>
      <c r="AG69" s="77">
        <f>Y69+AF69</f>
        <v/>
      </c>
    </row>
    <row r="70" ht="18" customHeight="1" s="326">
      <c r="A70" s="71" t="n">
        <v>39</v>
      </c>
      <c r="B70" s="72">
        <f>IF(AND(C70&gt;0,A70&lt;=$B$11),"Working","Retired")</f>
        <v/>
      </c>
      <c r="C70" s="73">
        <f>N('Savings Projection'!$B$57)</f>
        <v/>
      </c>
      <c r="D70" s="43">
        <f>IF(B70="Working",C70*$B$6,0)</f>
        <v/>
      </c>
      <c r="E70" s="73">
        <f>IF(OR(B70="Retired",D70=0),0,MIN(D70,'Tax Assumptions'!$B$19))</f>
        <v/>
      </c>
      <c r="F70" s="73">
        <f>IF(B70="Working",N('Savings Projection'!$E$57),0)</f>
        <v/>
      </c>
      <c r="G70" s="73">
        <f>IF(B70="Working",N('Savings Projection'!$F$57),0)</f>
        <v/>
      </c>
      <c r="H70" s="43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/>
      </c>
      <c r="I70" s="43">
        <f>IF(B70="Working",D70-E70-F70-G70-H70,0)</f>
        <v/>
      </c>
      <c r="J70" s="73">
        <f>IF(B70="Working",N('Savings Projection'!$S$57)*$B$8,0)</f>
        <v/>
      </c>
      <c r="K70" s="73">
        <f>IF(B70="Working",N('Savings Projection'!$T$57)*$B$9,0)</f>
        <v/>
      </c>
      <c r="L70" s="43">
        <f>IF(B70="Working",MIN(MAX(I70-J70-K70-AB70-AC70,0),'Tax Assumptions'!$B$20),0)</f>
        <v/>
      </c>
      <c r="M70" s="43">
        <f>IF(B70="Working",I70-J70-K70-L70-AB70-AC70,0)</f>
        <v/>
      </c>
      <c r="N70" s="73">
        <f>IF(B70="Working",M70+L70+E70+F70,-P70)</f>
        <v/>
      </c>
      <c r="O70" s="73">
        <f>IF(B70="Retired",$B$12+AB70+AC70,0)</f>
        <v/>
      </c>
      <c r="P70" s="73">
        <f>Q70+R70+S70+T70</f>
        <v/>
      </c>
      <c r="Q70" s="73">
        <f>IF(B70="Retired",MIN(((U69)*(1+$B$10)+IF(B70="Working",M70,0)),O70),0)</f>
        <v/>
      </c>
      <c r="R70" s="73">
        <f>IF(B70="Retired",MIN(MAX(O70-Q70,0),((V69)*(1+$B$10)+IF(B70="Working",E70,0))),0)</f>
        <v/>
      </c>
      <c r="S70" s="73">
        <f>IF(B70="Retired",MIN(MAX(O70-Q70-R70,0),((W69)*(1+$B$10)+IF(B70="Working",L70,0))),0)</f>
        <v/>
      </c>
      <c r="T70" s="73">
        <f>IF(B70="Retired",MIN(MAX(O70-Q70-R70-S70,0),((X69)*(1+$B$10)+IF(B70="Working",F70,0))),0)</f>
        <v/>
      </c>
      <c r="U70" s="43">
        <f>MAX(((U69)*(1+$B$10)+IF(B70="Working",M70,0))-Q70,0)</f>
        <v/>
      </c>
      <c r="V70" s="43">
        <f>MAX(((V69)*(1+$B$10)+IF(B70="Working",E70,0))-R70,0)</f>
        <v/>
      </c>
      <c r="W70" s="43">
        <f>MAX(((W69)*(1+$B$10)+IF(B70="Working",L70,0))-S70,0)</f>
        <v/>
      </c>
      <c r="X70" s="43">
        <f>MAX(((X69)*(1+$B$10)+IF(B70="Working",F70,0))-T70,0)</f>
        <v/>
      </c>
      <c r="Y70" s="43">
        <f>U70+V70+W70+X70</f>
        <v/>
      </c>
      <c r="Z70" s="73">
        <f>IF(B70="Retired",MAX(O70-P70,0),0)</f>
        <v/>
      </c>
      <c r="AA70" s="74">
        <f>IF(B70="Working",IF(D70=0,0,N70/D70),0)</f>
        <v/>
      </c>
      <c r="AB70" s="43">
        <f>IF(AND($B$14&gt;0,A70=$B$13),$B$14*($B$15+$B$18),0)+IF(AND($B$14&gt;0,A70=$B$13),$B$24,0)</f>
        <v/>
      </c>
      <c r="AC70" s="43">
        <f>IF(OR($B$14&lt;=0,A70&lt;$B$13),0,IF(AND($B$14&gt;0,$B$17&gt;0,A70&gt;=$B$13,A70&lt;($B$13+$B$17)),IF($B$17&lt;=0,0,IF($B$16=0,MAX($B$14*(1-$B$15),0)/$B$17,-PMT($B$16/12,$B$17*12,MAX($B$14*(1-$B$15),0))*12)),0)+AD70*($B$19+$B$20+$B$21)+$B$22+$B$23)</f>
        <v/>
      </c>
      <c r="AD70" s="43">
        <f>IF(AND($B$14&gt;0,A70&gt;=$B$13),$B$14*(1+$B$25)^(A70-$B$13),0)</f>
        <v/>
      </c>
      <c r="AE70" s="43">
        <f>IF(OR($B$14&lt;=0,$B$17&lt;=0,A70&lt;$B$13,MIN(MAX((A70-$B$13+1)*12,0),$B$17*12)&gt;=$B$17*12),0,IF($B$16=0,MAX(MAX($B$14*(1-$B$15),0)-(IF($B$17&lt;=0,0,IF($B$16=0,MAX($B$14*(1-$B$15),0)/$B$17,-PMT($B$16/12,$B$17*12,MAX($B$14*(1-$B$15),0))*12))/12)*MIN(MAX((A70-$B$13+1)*12,0),$B$17*12),0),MAX(MAX($B$14*(1-$B$15),0)*(1+$B$16/12)^MIN(MAX((A70-$B$13+1)*12,0),$B$17*12)-(IF($B$17&lt;=0,0,IF($B$16=0,MAX($B$14*(1-$B$15),0)/$B$17,-PMT($B$16/12,$B$17*12,MAX($B$14*(1-$B$15),0))*12))/12)*(((1+$B$16/12)^MIN(MAX((A70-$B$13+1)*12,0),$B$17*12)-1)/($B$16/12)),0)))</f>
        <v/>
      </c>
      <c r="AF70" s="43">
        <f>MAX(AD70-AE70,0)</f>
        <v/>
      </c>
      <c r="AG70" s="75">
        <f>Y70+AF70</f>
        <v/>
      </c>
    </row>
    <row r="71" ht="18" customHeight="1" s="326">
      <c r="A71" s="76" t="n">
        <v>40</v>
      </c>
      <c r="B71" s="40">
        <f>IF(AND(C71&gt;0,A71&lt;=$B$11),"Working","Retired")</f>
        <v/>
      </c>
      <c r="C71" s="41">
        <f>N('Savings Projection'!$B$58)</f>
        <v/>
      </c>
      <c r="D71" s="41">
        <f>IF(B71="Working",C71*$B$6,0)</f>
        <v/>
      </c>
      <c r="E71" s="41">
        <f>IF(OR(B71="Retired",D71=0),0,MIN(D71,'Tax Assumptions'!$B$19))</f>
        <v/>
      </c>
      <c r="F71" s="41">
        <f>IF(B71="Working",N('Savings Projection'!$E$58),0)</f>
        <v/>
      </c>
      <c r="G71" s="41">
        <f>IF(B71="Working",N('Savings Projection'!$F$58),0)</f>
        <v/>
      </c>
      <c r="H71" s="41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/>
      </c>
      <c r="I71" s="41">
        <f>IF(B71="Working",D71-E71-F71-G71-H71,0)</f>
        <v/>
      </c>
      <c r="J71" s="41">
        <f>IF(B71="Working",N('Savings Projection'!$S$58)*$B$8,0)</f>
        <v/>
      </c>
      <c r="K71" s="41">
        <f>IF(B71="Working",N('Savings Projection'!$T$58)*$B$9,0)</f>
        <v/>
      </c>
      <c r="L71" s="41">
        <f>IF(B71="Working",MIN(MAX(I71-J71-K71-AB71-AC71,0),'Tax Assumptions'!$B$20),0)</f>
        <v/>
      </c>
      <c r="M71" s="41">
        <f>IF(B71="Working",I71-J71-K71-L71-AB71-AC71,0)</f>
        <v/>
      </c>
      <c r="N71" s="41">
        <f>IF(B71="Working",M71+L71+E71+F71,-P71)</f>
        <v/>
      </c>
      <c r="O71" s="41">
        <f>IF(B71="Retired",$B$12+AB71+AC71,0)</f>
        <v/>
      </c>
      <c r="P71" s="41">
        <f>Q71+R71+S71+T71</f>
        <v/>
      </c>
      <c r="Q71" s="41">
        <f>IF(B71="Retired",MIN(((U70)*(1+$B$10)+IF(B71="Working",M71,0)),O71),0)</f>
        <v/>
      </c>
      <c r="R71" s="41">
        <f>IF(B71="Retired",MIN(MAX(O71-Q71,0),((V70)*(1+$B$10)+IF(B71="Working",E71,0))),0)</f>
        <v/>
      </c>
      <c r="S71" s="41">
        <f>IF(B71="Retired",MIN(MAX(O71-Q71-R71,0),((W70)*(1+$B$10)+IF(B71="Working",L71,0))),0)</f>
        <v/>
      </c>
      <c r="T71" s="41">
        <f>IF(B71="Retired",MIN(MAX(O71-Q71-R71-S71,0),((X70)*(1+$B$10)+IF(B71="Working",F71,0))),0)</f>
        <v/>
      </c>
      <c r="U71" s="41">
        <f>MAX(((U70)*(1+$B$10)+IF(B71="Working",M71,0))-Q71,0)</f>
        <v/>
      </c>
      <c r="V71" s="41">
        <f>MAX(((V70)*(1+$B$10)+IF(B71="Working",E71,0))-R71,0)</f>
        <v/>
      </c>
      <c r="W71" s="41">
        <f>MAX(((W70)*(1+$B$10)+IF(B71="Working",L71,0))-S71,0)</f>
        <v/>
      </c>
      <c r="X71" s="41">
        <f>MAX(((X70)*(1+$B$10)+IF(B71="Working",F71,0))-T71,0)</f>
        <v/>
      </c>
      <c r="Y71" s="41">
        <f>U71+V71+W71+X71</f>
        <v/>
      </c>
      <c r="Z71" s="41">
        <f>IF(B71="Retired",MAX(O71-P71,0),0)</f>
        <v/>
      </c>
      <c r="AA71" s="44">
        <f>IF(B71="Working",IF(D71=0,0,N71/D71),0)</f>
        <v/>
      </c>
      <c r="AB71" s="41">
        <f>IF(AND($B$14&gt;0,A71=$B$13),$B$14*($B$15+$B$18),0)+IF(AND($B$14&gt;0,A71=$B$13),$B$24,0)</f>
        <v/>
      </c>
      <c r="AC71" s="41">
        <f>IF(OR($B$14&lt;=0,A71&lt;$B$13),0,IF(AND($B$14&gt;0,$B$17&gt;0,A71&gt;=$B$13,A71&lt;($B$13+$B$17)),IF($B$17&lt;=0,0,IF($B$16=0,MAX($B$14*(1-$B$15),0)/$B$17,-PMT($B$16/12,$B$17*12,MAX($B$14*(1-$B$15),0))*12)),0)+AD71*($B$19+$B$20+$B$21)+$B$22+$B$23)</f>
        <v/>
      </c>
      <c r="AD71" s="41">
        <f>IF(AND($B$14&gt;0,A71&gt;=$B$13),$B$14*(1+$B$25)^(A71-$B$13),0)</f>
        <v/>
      </c>
      <c r="AE71" s="41">
        <f>IF(OR($B$14&lt;=0,$B$17&lt;=0,A71&lt;$B$13,MIN(MAX((A71-$B$13+1)*12,0),$B$17*12)&gt;=$B$17*12),0,IF($B$16=0,MAX(MAX($B$14*(1-$B$15),0)-(IF($B$17&lt;=0,0,IF($B$16=0,MAX($B$14*(1-$B$15),0)/$B$17,-PMT($B$16/12,$B$17*12,MAX($B$14*(1-$B$15),0))*12))/12)*MIN(MAX((A71-$B$13+1)*12,0),$B$17*12),0),MAX(MAX($B$14*(1-$B$15),0)*(1+$B$16/12)^MIN(MAX((A71-$B$13+1)*12,0),$B$17*12)-(IF($B$17&lt;=0,0,IF($B$16=0,MAX($B$14*(1-$B$15),0)/$B$17,-PMT($B$16/12,$B$17*12,MAX($B$14*(1-$B$15),0))*12))/12)*(((1+$B$16/12)^MIN(MAX((A71-$B$13+1)*12,0),$B$17*12)-1)/($B$16/12)),0)))</f>
        <v/>
      </c>
      <c r="AF71" s="41">
        <f>MAX(AD71-AE71,0)</f>
        <v/>
      </c>
      <c r="AG71" s="77">
        <f>Y71+AF71</f>
        <v/>
      </c>
    </row>
    <row r="72" ht="18" customHeight="1" s="326">
      <c r="A72" s="78" t="inlineStr">
        <is>
          <t>Totals / Ending</t>
        </is>
      </c>
      <c r="B72" s="79" t="n"/>
      <c r="C72" s="79" t="n"/>
      <c r="D72" s="80">
        <f>SUM(D32:D71)</f>
        <v/>
      </c>
      <c r="E72" s="80">
        <f>SUM(E32:E71)</f>
        <v/>
      </c>
      <c r="F72" s="80">
        <f>SUM(F32:F71)</f>
        <v/>
      </c>
      <c r="G72" s="80">
        <f>SUM(G32:G71)</f>
        <v/>
      </c>
      <c r="H72" s="80">
        <f>SUM(H32:H71)</f>
        <v/>
      </c>
      <c r="I72" s="80">
        <f>SUM(I32:I71)</f>
        <v/>
      </c>
      <c r="J72" s="80">
        <f>SUM(J32:J71)</f>
        <v/>
      </c>
      <c r="K72" s="80">
        <f>SUM(K32:K71)</f>
        <v/>
      </c>
      <c r="L72" s="80">
        <f>SUM(L32:L71)</f>
        <v/>
      </c>
      <c r="M72" s="80">
        <f>SUM(M32:M71)</f>
        <v/>
      </c>
      <c r="N72" s="80">
        <f>SUM(N32:N71)</f>
        <v/>
      </c>
      <c r="O72" s="80">
        <f>SUM(O32:O71)</f>
        <v/>
      </c>
      <c r="P72" s="80">
        <f>SUM(P32:P71)</f>
        <v/>
      </c>
      <c r="Q72" s="80">
        <f>SUM(Q32:Q71)</f>
        <v/>
      </c>
      <c r="R72" s="80">
        <f>SUM(R32:R71)</f>
        <v/>
      </c>
      <c r="S72" s="80">
        <f>SUM(S32:S71)</f>
        <v/>
      </c>
      <c r="T72" s="80">
        <f>SUM(T32:T71)</f>
        <v/>
      </c>
      <c r="U72" s="80">
        <f>U71</f>
        <v/>
      </c>
      <c r="V72" s="80">
        <f>V71</f>
        <v/>
      </c>
      <c r="W72" s="80">
        <f>W71</f>
        <v/>
      </c>
      <c r="X72" s="80">
        <f>X71</f>
        <v/>
      </c>
      <c r="Y72" s="80">
        <f>Y71</f>
        <v/>
      </c>
      <c r="Z72" s="80">
        <f>Z71</f>
        <v/>
      </c>
      <c r="AA72" s="81">
        <f>AVERAGEIF(AA32:AA71,"&gt;0",AA32:AA71)</f>
        <v/>
      </c>
      <c r="AB72" s="80">
        <f>SUM(AB32:AB71)</f>
        <v/>
      </c>
      <c r="AC72" s="80">
        <f>SUM(AC32:AC71)</f>
        <v/>
      </c>
      <c r="AD72" s="80">
        <f>AD71</f>
        <v/>
      </c>
      <c r="AE72" s="80">
        <f>AE71</f>
        <v/>
      </c>
      <c r="AF72" s="80">
        <f>AF71</f>
        <v/>
      </c>
      <c r="AG72" s="82">
        <f>AG71</f>
        <v/>
      </c>
    </row>
    <row r="73" ht="18" customHeight="1" s="326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</row>
    <row r="74" ht="18" customHeight="1" s="326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</row>
    <row r="75" ht="18" customHeight="1" s="326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</row>
    <row r="76" ht="18" customHeight="1" s="32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</row>
    <row r="77" ht="18" customHeight="1" s="326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</row>
    <row r="78" ht="18" customHeight="1" s="326">
      <c r="A78" s="391">
        <f>C$5&amp;" Scenario"</f>
        <v/>
      </c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  <c r="AA78" s="336" t="n"/>
      <c r="AB78" s="336" t="n"/>
      <c r="AC78" s="336" t="n"/>
      <c r="AD78" s="336" t="n"/>
      <c r="AE78" s="336" t="n"/>
      <c r="AF78" s="336" t="n"/>
      <c r="AG78" s="337" t="n"/>
    </row>
    <row r="79" ht="18" customHeight="1" s="326">
      <c r="A79" s="488" t="inlineStr">
        <is>
          <t>Year</t>
        </is>
      </c>
      <c r="B79" s="486" t="inlineStr">
        <is>
          <t>Phase</t>
        </is>
      </c>
      <c r="C79" s="486" t="inlineStr">
        <is>
          <t>Base Gross</t>
        </is>
      </c>
      <c r="D79" s="486" t="inlineStr">
        <is>
          <t>Scenario Gross</t>
        </is>
      </c>
      <c r="E79" s="486" t="inlineStr">
        <is>
          <t>401(k)</t>
        </is>
      </c>
      <c r="F79" s="486" t="inlineStr">
        <is>
          <t>HSA</t>
        </is>
      </c>
      <c r="G79" s="486" t="inlineStr">
        <is>
          <t>After-Tax Payroll</t>
        </is>
      </c>
      <c r="H79" s="486" t="inlineStr">
        <is>
          <t>Adj. Total Tax</t>
        </is>
      </c>
      <c r="I79" s="486" t="inlineStr">
        <is>
          <t>Post-Tax Cash</t>
        </is>
      </c>
      <c r="J79" s="486" t="inlineStr">
        <is>
          <t>Rent</t>
        </is>
      </c>
      <c r="K79" s="486" t="inlineStr">
        <is>
          <t>Living</t>
        </is>
      </c>
      <c r="L79" s="486" t="inlineStr">
        <is>
          <t>Roth</t>
        </is>
      </c>
      <c r="M79" s="486" t="inlineStr">
        <is>
          <t>Taxable Savings / (Draw)</t>
        </is>
      </c>
      <c r="N79" s="486" t="inlineStr">
        <is>
          <t>Net Portfolio Flow</t>
        </is>
      </c>
      <c r="O79" s="486" t="inlineStr">
        <is>
          <t>Planned Retirement Need</t>
        </is>
      </c>
      <c r="P79" s="486" t="inlineStr">
        <is>
          <t>Actual Withdrawal</t>
        </is>
      </c>
      <c r="Q79" s="486" t="inlineStr">
        <is>
          <t>Taxable Draw</t>
        </is>
      </c>
      <c r="R79" s="486" t="inlineStr">
        <is>
          <t>401(k) Draw</t>
        </is>
      </c>
      <c r="S79" s="486" t="inlineStr">
        <is>
          <t>Roth Draw</t>
        </is>
      </c>
      <c r="T79" s="486" t="inlineStr">
        <is>
          <t>HSA Draw</t>
        </is>
      </c>
      <c r="U79" s="486" t="inlineStr">
        <is>
          <t>Taxable Balance</t>
        </is>
      </c>
      <c r="V79" s="486" t="inlineStr">
        <is>
          <t>401(k) Balance</t>
        </is>
      </c>
      <c r="W79" s="486" t="inlineStr">
        <is>
          <t>Roth Balance</t>
        </is>
      </c>
      <c r="X79" s="486" t="inlineStr">
        <is>
          <t>HSA Balance</t>
        </is>
      </c>
      <c r="Y79" s="486" t="inlineStr">
        <is>
          <t>Liquid Wealth</t>
        </is>
      </c>
      <c r="Z79" s="486" t="inlineStr">
        <is>
          <t>Funding Gap</t>
        </is>
      </c>
      <c r="AA79" s="486" t="inlineStr">
        <is>
          <t>Total Savings Rate</t>
        </is>
      </c>
      <c r="AB79" s="486" t="inlineStr">
        <is>
          <t>Home Purchase Cash</t>
        </is>
      </c>
      <c r="AC79" s="486" t="inlineStr">
        <is>
          <t>Annual Housing Carry</t>
        </is>
      </c>
      <c r="AD79" s="486" t="inlineStr">
        <is>
          <t>House Value</t>
        </is>
      </c>
      <c r="AE79" s="486" t="inlineStr">
        <is>
          <t>Mortgage Balance</t>
        </is>
      </c>
      <c r="AF79" s="486" t="inlineStr">
        <is>
          <t>Home Equity</t>
        </is>
      </c>
      <c r="AG79" s="489" t="inlineStr">
        <is>
          <t>Net Worth Incl. Home</t>
        </is>
      </c>
    </row>
    <row r="80" ht="18" customHeight="1" s="326">
      <c r="A80" s="84" t="n">
        <v>1</v>
      </c>
      <c r="B80" s="72">
        <f>IF(AND(C80&gt;0,A80&lt;=$C$11),"Working","Retired")</f>
        <v/>
      </c>
      <c r="C80" s="73">
        <f>N('Savings Projection'!$B$19)</f>
        <v/>
      </c>
      <c r="D80" s="43">
        <f>IF(B80="Working",C80*$C$6,0)</f>
        <v/>
      </c>
      <c r="E80" s="73">
        <f>IF(OR(B80="Retired",D80=0),0,MIN(D80,'Tax Assumptions'!$B$19))</f>
        <v/>
      </c>
      <c r="F80" s="73">
        <f>IF(B80="Working",N('Savings Projection'!$E$19),0)</f>
        <v/>
      </c>
      <c r="G80" s="73">
        <f>IF(B80="Working",N('Savings Projection'!$F$19),0)</f>
        <v/>
      </c>
      <c r="H80" s="43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/>
      </c>
      <c r="I80" s="43">
        <f>IF(B80="Working",D80-E80-F80-G80-H80,0)</f>
        <v/>
      </c>
      <c r="J80" s="73">
        <f>IF(B80="Working",N('Savings Projection'!$S$19)*$C$8,0)</f>
        <v/>
      </c>
      <c r="K80" s="73">
        <f>IF(B80="Working",N('Savings Projection'!$T$19)*$C$9,0)</f>
        <v/>
      </c>
      <c r="L80" s="43">
        <f>IF(B80="Working",MIN(MAX(I80-J80-K80-AB80-AC80,0),'Tax Assumptions'!$B$20),0)</f>
        <v/>
      </c>
      <c r="M80" s="43">
        <f>IF(B80="Working",I80-J80-K80-L80-AB80-AC80,0)</f>
        <v/>
      </c>
      <c r="N80" s="73">
        <f>IF(B80="Working",M80+L80+E80+F80,-P80)</f>
        <v/>
      </c>
      <c r="O80" s="73">
        <f>IF(B80="Retired",$C$12+AB80+AC80,0)</f>
        <v/>
      </c>
      <c r="P80" s="73">
        <f>Q80+R80+S80+T80</f>
        <v/>
      </c>
      <c r="Q80" s="73">
        <f>IF(B80="Retired",MIN((('Savings Projection'!$B$7)*(1+$C$10)+IF(B80="Working",M80,0)),O80),0)</f>
        <v/>
      </c>
      <c r="R80" s="73">
        <f>IF(B80="Retired",MIN(MAX(O80-Q80,0),(('Savings Projection'!$B$8)*(1+$C$10)+IF(B80="Working",E80,0))),0)</f>
        <v/>
      </c>
      <c r="S80" s="73">
        <f>IF(B80="Retired",MIN(MAX(O80-Q80-R80,0),(('Savings Projection'!$B$9)*(1+$C$10)+IF(B80="Working",L80,0))),0)</f>
        <v/>
      </c>
      <c r="T80" s="73">
        <f>IF(B80="Retired",MIN(MAX(O80-Q80-R80-S80,0),(('Savings Projection'!$B$10)*(1+$C$10)+IF(B80="Working",F80,0))),0)</f>
        <v/>
      </c>
      <c r="U80" s="43">
        <f>MAX((('Savings Projection'!$B$7)*(1+$C$10)+IF(B80="Working",M80,0))-Q80,0)</f>
        <v/>
      </c>
      <c r="V80" s="43">
        <f>MAX((('Savings Projection'!$B$8)*(1+$C$10)+IF(B80="Working",E80,0))-R80,0)</f>
        <v/>
      </c>
      <c r="W80" s="43">
        <f>MAX((('Savings Projection'!$B$9)*(1+$C$10)+IF(B80="Working",L80,0))-S80,0)</f>
        <v/>
      </c>
      <c r="X80" s="43">
        <f>MAX((('Savings Projection'!$B$10)*(1+$C$10)+IF(B80="Working",F80,0))-T80,0)</f>
        <v/>
      </c>
      <c r="Y80" s="43">
        <f>U80+V80+W80+X80</f>
        <v/>
      </c>
      <c r="Z80" s="73">
        <f>IF(B80="Retired",MAX(O80-P80,0),0)</f>
        <v/>
      </c>
      <c r="AA80" s="74">
        <f>IF(B80="Working",IF(D80=0,0,N80/D80),0)</f>
        <v/>
      </c>
      <c r="AB80" s="43">
        <f>IF(AND($C$14&gt;0,A80=$C$13),$C$14*($C$15+$C$18),0)+IF(AND($C$14&gt;0,A80=$C$13),$C$24,0)</f>
        <v/>
      </c>
      <c r="AC80" s="43">
        <f>IF(OR($C$14&lt;=0,A80&lt;$C$13),0,IF(AND($C$14&gt;0,$C$17&gt;0,A80&gt;=$C$13,A80&lt;($C$13+$C$17)),IF($C$17&lt;=0,0,IF($C$16=0,MAX($C$14*(1-$C$15),0)/$C$17,-PMT($C$16/12,$C$17*12,MAX($C$14*(1-$C$15),0))*12)),0)+AD80*($C$19+$C$20+$C$21)+$C$22+$C$23)</f>
        <v/>
      </c>
      <c r="AD80" s="43">
        <f>IF(AND($C$14&gt;0,A80&gt;=$C$13),$C$14*(1+$C$25)^(A80-$C$13),0)</f>
        <v/>
      </c>
      <c r="AE80" s="43">
        <f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/>
      </c>
      <c r="AF80" s="43">
        <f>MAX(AD80-AE80,0)</f>
        <v/>
      </c>
      <c r="AG80" s="85">
        <f>Y80+AF80</f>
        <v/>
      </c>
    </row>
    <row r="81" ht="18" customHeight="1" s="326">
      <c r="A81" s="86" t="n">
        <v>2</v>
      </c>
      <c r="B81" s="40">
        <f>IF(AND(C81&gt;0,A81&lt;=$C$11),"Working","Retired")</f>
        <v/>
      </c>
      <c r="C81" s="41">
        <f>N('Savings Projection'!$B$20)</f>
        <v/>
      </c>
      <c r="D81" s="41">
        <f>IF(B81="Working",C81*$C$6,0)</f>
        <v/>
      </c>
      <c r="E81" s="41">
        <f>IF(OR(B81="Retired",D81=0),0,MIN(D81,'Tax Assumptions'!$B$19))</f>
        <v/>
      </c>
      <c r="F81" s="41">
        <f>IF(B81="Working",N('Savings Projection'!$E$20),0)</f>
        <v/>
      </c>
      <c r="G81" s="41">
        <f>IF(B81="Working",N('Savings Projection'!$F$20),0)</f>
        <v/>
      </c>
      <c r="H81" s="41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/>
      </c>
      <c r="I81" s="41">
        <f>IF(B81="Working",D81-E81-F81-G81-H81,0)</f>
        <v/>
      </c>
      <c r="J81" s="41">
        <f>IF(B81="Working",N('Savings Projection'!$S$20)*$C$8,0)</f>
        <v/>
      </c>
      <c r="K81" s="41">
        <f>IF(B81="Working",N('Savings Projection'!$T$20)*$C$9,0)</f>
        <v/>
      </c>
      <c r="L81" s="41">
        <f>IF(B81="Working",MIN(MAX(I81-J81-K81-AB81-AC81,0),'Tax Assumptions'!$B$20),0)</f>
        <v/>
      </c>
      <c r="M81" s="41">
        <f>IF(B81="Working",I81-J81-K81-L81-AB81-AC81,0)</f>
        <v/>
      </c>
      <c r="N81" s="41">
        <f>IF(B81="Working",M81+L81+E81+F81,-P81)</f>
        <v/>
      </c>
      <c r="O81" s="41">
        <f>IF(B81="Retired",$C$12+AB81+AC81,0)</f>
        <v/>
      </c>
      <c r="P81" s="41">
        <f>Q81+R81+S81+T81</f>
        <v/>
      </c>
      <c r="Q81" s="41">
        <f>IF(B81="Retired",MIN(((U80)*(1+$C$10)+IF(B81="Working",M81,0)),O81),0)</f>
        <v/>
      </c>
      <c r="R81" s="41">
        <f>IF(B81="Retired",MIN(MAX(O81-Q81,0),((V80)*(1+$C$10)+IF(B81="Working",E81,0))),0)</f>
        <v/>
      </c>
      <c r="S81" s="41">
        <f>IF(B81="Retired",MIN(MAX(O81-Q81-R81,0),((W80)*(1+$C$10)+IF(B81="Working",L81,0))),0)</f>
        <v/>
      </c>
      <c r="T81" s="41">
        <f>IF(B81="Retired",MIN(MAX(O81-Q81-R81-S81,0),((X80)*(1+$C$10)+IF(B81="Working",F81,0))),0)</f>
        <v/>
      </c>
      <c r="U81" s="41">
        <f>MAX(((U80)*(1+$C$10)+IF(B81="Working",M81,0))-Q81,0)</f>
        <v/>
      </c>
      <c r="V81" s="41">
        <f>MAX(((V80)*(1+$C$10)+IF(B81="Working",E81,0))-R81,0)</f>
        <v/>
      </c>
      <c r="W81" s="41">
        <f>MAX(((W80)*(1+$C$10)+IF(B81="Working",L81,0))-S81,0)</f>
        <v/>
      </c>
      <c r="X81" s="41">
        <f>MAX(((X80)*(1+$C$10)+IF(B81="Working",F81,0))-T81,0)</f>
        <v/>
      </c>
      <c r="Y81" s="41">
        <f>U81+V81+W81+X81</f>
        <v/>
      </c>
      <c r="Z81" s="41">
        <f>IF(B81="Retired",MAX(O81-P81,0),0)</f>
        <v/>
      </c>
      <c r="AA81" s="44">
        <f>IF(B81="Working",IF(D81=0,0,N81/D81),0)</f>
        <v/>
      </c>
      <c r="AB81" s="41">
        <f>IF(AND($C$14&gt;0,A81=$C$13),$C$14*($C$15+$C$18),0)+IF(AND($C$14&gt;0,A81=$C$13),$C$24,0)</f>
        <v/>
      </c>
      <c r="AC81" s="41">
        <f>IF(OR($C$14&lt;=0,A81&lt;$C$13),0,IF(AND($C$14&gt;0,$C$17&gt;0,A81&gt;=$C$13,A81&lt;($C$13+$C$17)),IF($C$17&lt;=0,0,IF($C$16=0,MAX($C$14*(1-$C$15),0)/$C$17,-PMT($C$16/12,$C$17*12,MAX($C$14*(1-$C$15),0))*12)),0)+AD81*($C$19+$C$20+$C$21)+$C$22+$C$23)</f>
        <v/>
      </c>
      <c r="AD81" s="41">
        <f>IF(AND($C$14&gt;0,A81&gt;=$C$13),$C$14*(1+$C$25)^(A81-$C$13),0)</f>
        <v/>
      </c>
      <c r="AE81" s="41">
        <f>IF(OR($C$14&lt;=0,$C$17&lt;=0,A81&lt;$C$13,MIN(MAX((A81-$C$13+1)*12,0),$C$17*12)&gt;=$C$17*12),0,IF($C$16=0,MAX(MAX($C$14*(1-$C$15),0)-(IF($C$17&lt;=0,0,IF($C$16=0,MAX($C$14*(1-$C$15),0)/$C$17,-PMT($C$16/12,$C$17*12,MAX($C$14*(1-$C$15),0))*12))/12)*MIN(MAX((A81-$C$13+1)*12,0),$C$17*12),0),MAX(MAX($C$14*(1-$C$15),0)*(1+$C$16/12)^MIN(MAX((A81-$C$13+1)*12,0),$C$17*12)-(IF($C$17&lt;=0,0,IF($C$16=0,MAX($C$14*(1-$C$15),0)/$C$17,-PMT($C$16/12,$C$17*12,MAX($C$14*(1-$C$15),0))*12))/12)*(((1+$C$16/12)^MIN(MAX((A81-$C$13+1)*12,0),$C$17*12)-1)/($C$16/12)),0)))</f>
        <v/>
      </c>
      <c r="AF81" s="41">
        <f>MAX(AD81-AE81,0)</f>
        <v/>
      </c>
      <c r="AG81" s="87">
        <f>Y81+AF81</f>
        <v/>
      </c>
    </row>
    <row r="82" ht="18" customHeight="1" s="326">
      <c r="A82" s="84" t="n">
        <v>3</v>
      </c>
      <c r="B82" s="72">
        <f>IF(AND(C82&gt;0,A82&lt;=$C$11),"Working","Retired")</f>
        <v/>
      </c>
      <c r="C82" s="73">
        <f>N('Savings Projection'!$B$21)</f>
        <v/>
      </c>
      <c r="D82" s="43">
        <f>IF(B82="Working",C82*$C$6,0)</f>
        <v/>
      </c>
      <c r="E82" s="73">
        <f>IF(OR(B82="Retired",D82=0),0,MIN(D82,'Tax Assumptions'!$B$19))</f>
        <v/>
      </c>
      <c r="F82" s="73">
        <f>IF(B82="Working",N('Savings Projection'!$E$21),0)</f>
        <v/>
      </c>
      <c r="G82" s="73">
        <f>IF(B82="Working",N('Savings Projection'!$F$21),0)</f>
        <v/>
      </c>
      <c r="H82" s="43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/>
      </c>
      <c r="I82" s="43">
        <f>IF(B82="Working",D82-E82-F82-G82-H82,0)</f>
        <v/>
      </c>
      <c r="J82" s="73">
        <f>IF(B82="Working",N('Savings Projection'!$S$21)*$C$8,0)</f>
        <v/>
      </c>
      <c r="K82" s="73">
        <f>IF(B82="Working",N('Savings Projection'!$T$21)*$C$9,0)</f>
        <v/>
      </c>
      <c r="L82" s="43">
        <f>IF(B82="Working",MIN(MAX(I82-J82-K82-AB82-AC82,0),'Tax Assumptions'!$B$20),0)</f>
        <v/>
      </c>
      <c r="M82" s="43">
        <f>IF(B82="Working",I82-J82-K82-L82-AB82-AC82,0)</f>
        <v/>
      </c>
      <c r="N82" s="73">
        <f>IF(B82="Working",M82+L82+E82+F82,-P82)</f>
        <v/>
      </c>
      <c r="O82" s="73">
        <f>IF(B82="Retired",$C$12+AB82+AC82,0)</f>
        <v/>
      </c>
      <c r="P82" s="73">
        <f>Q82+R82+S82+T82</f>
        <v/>
      </c>
      <c r="Q82" s="73">
        <f>IF(B82="Retired",MIN(((U81)*(1+$C$10)+IF(B82="Working",M82,0)),O82),0)</f>
        <v/>
      </c>
      <c r="R82" s="73">
        <f>IF(B82="Retired",MIN(MAX(O82-Q82,0),((V81)*(1+$C$10)+IF(B82="Working",E82,0))),0)</f>
        <v/>
      </c>
      <c r="S82" s="73">
        <f>IF(B82="Retired",MIN(MAX(O82-Q82-R82,0),((W81)*(1+$C$10)+IF(B82="Working",L82,0))),0)</f>
        <v/>
      </c>
      <c r="T82" s="73">
        <f>IF(B82="Retired",MIN(MAX(O82-Q82-R82-S82,0),((X81)*(1+$C$10)+IF(B82="Working",F82,0))),0)</f>
        <v/>
      </c>
      <c r="U82" s="43">
        <f>MAX(((U81)*(1+$C$10)+IF(B82="Working",M82,0))-Q82,0)</f>
        <v/>
      </c>
      <c r="V82" s="43">
        <f>MAX(((V81)*(1+$C$10)+IF(B82="Working",E82,0))-R82,0)</f>
        <v/>
      </c>
      <c r="W82" s="43">
        <f>MAX(((W81)*(1+$C$10)+IF(B82="Working",L82,0))-S82,0)</f>
        <v/>
      </c>
      <c r="X82" s="43">
        <f>MAX(((X81)*(1+$C$10)+IF(B82="Working",F82,0))-T82,0)</f>
        <v/>
      </c>
      <c r="Y82" s="43">
        <f>U82+V82+W82+X82</f>
        <v/>
      </c>
      <c r="Z82" s="73">
        <f>IF(B82="Retired",MAX(O82-P82,0),0)</f>
        <v/>
      </c>
      <c r="AA82" s="74">
        <f>IF(B82="Working",IF(D82=0,0,N82/D82),0)</f>
        <v/>
      </c>
      <c r="AB82" s="43">
        <f>IF(AND($C$14&gt;0,A82=$C$13),$C$14*($C$15+$C$18),0)+IF(AND($C$14&gt;0,A82=$C$13),$C$24,0)</f>
        <v/>
      </c>
      <c r="AC82" s="43">
        <f>IF(OR($C$14&lt;=0,A82&lt;$C$13),0,IF(AND($C$14&gt;0,$C$17&gt;0,A82&gt;=$C$13,A82&lt;($C$13+$C$17)),IF($C$17&lt;=0,0,IF($C$16=0,MAX($C$14*(1-$C$15),0)/$C$17,-PMT($C$16/12,$C$17*12,MAX($C$14*(1-$C$15),0))*12)),0)+AD82*($C$19+$C$20+$C$21)+$C$22+$C$23)</f>
        <v/>
      </c>
      <c r="AD82" s="43">
        <f>IF(AND($C$14&gt;0,A82&gt;=$C$13),$C$14*(1+$C$25)^(A82-$C$13),0)</f>
        <v/>
      </c>
      <c r="AE82" s="43">
        <f>IF(OR($C$14&lt;=0,$C$17&lt;=0,A82&lt;$C$13,MIN(MAX((A82-$C$13+1)*12,0),$C$17*12)&gt;=$C$17*12),0,IF($C$16=0,MAX(MAX($C$14*(1-$C$15),0)-(IF($C$17&lt;=0,0,IF($C$16=0,MAX($C$14*(1-$C$15),0)/$C$17,-PMT($C$16/12,$C$17*12,MAX($C$14*(1-$C$15),0))*12))/12)*MIN(MAX((A82-$C$13+1)*12,0),$C$17*12),0),MAX(MAX($C$14*(1-$C$15),0)*(1+$C$16/12)^MIN(MAX((A82-$C$13+1)*12,0),$C$17*12)-(IF($C$17&lt;=0,0,IF($C$16=0,MAX($C$14*(1-$C$15),0)/$C$17,-PMT($C$16/12,$C$17*12,MAX($C$14*(1-$C$15),0))*12))/12)*(((1+$C$16/12)^MIN(MAX((A82-$C$13+1)*12,0),$C$17*12)-1)/($C$16/12)),0)))</f>
        <v/>
      </c>
      <c r="AF82" s="43">
        <f>MAX(AD82-AE82,0)</f>
        <v/>
      </c>
      <c r="AG82" s="85">
        <f>Y82+AF82</f>
        <v/>
      </c>
    </row>
    <row r="83" ht="18" customHeight="1" s="326">
      <c r="A83" s="86" t="n">
        <v>4</v>
      </c>
      <c r="B83" s="40">
        <f>IF(AND(C83&gt;0,A83&lt;=$C$11),"Working","Retired")</f>
        <v/>
      </c>
      <c r="C83" s="41">
        <f>N('Savings Projection'!$B$22)</f>
        <v/>
      </c>
      <c r="D83" s="41">
        <f>IF(B83="Working",C83*$C$6,0)</f>
        <v/>
      </c>
      <c r="E83" s="41">
        <f>IF(OR(B83="Retired",D83=0),0,MIN(D83,'Tax Assumptions'!$B$19))</f>
        <v/>
      </c>
      <c r="F83" s="41">
        <f>IF(B83="Working",N('Savings Projection'!$E$22),0)</f>
        <v/>
      </c>
      <c r="G83" s="41">
        <f>IF(B83="Working",N('Savings Projection'!$F$22),0)</f>
        <v/>
      </c>
      <c r="H83" s="41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/>
      </c>
      <c r="I83" s="41">
        <f>IF(B83="Working",D83-E83-F83-G83-H83,0)</f>
        <v/>
      </c>
      <c r="J83" s="41">
        <f>IF(B83="Working",N('Savings Projection'!$S$22)*$C$8,0)</f>
        <v/>
      </c>
      <c r="K83" s="41">
        <f>IF(B83="Working",N('Savings Projection'!$T$22)*$C$9,0)</f>
        <v/>
      </c>
      <c r="L83" s="41">
        <f>IF(B83="Working",MIN(MAX(I83-J83-K83-AB83-AC83,0),'Tax Assumptions'!$B$20),0)</f>
        <v/>
      </c>
      <c r="M83" s="41">
        <f>IF(B83="Working",I83-J83-K83-L83-AB83-AC83,0)</f>
        <v/>
      </c>
      <c r="N83" s="41">
        <f>IF(B83="Working",M83+L83+E83+F83,-P83)</f>
        <v/>
      </c>
      <c r="O83" s="41">
        <f>IF(B83="Retired",$C$12+AB83+AC83,0)</f>
        <v/>
      </c>
      <c r="P83" s="41">
        <f>Q83+R83+S83+T83</f>
        <v/>
      </c>
      <c r="Q83" s="41">
        <f>IF(B83="Retired",MIN(((U82)*(1+$C$10)+IF(B83="Working",M83,0)),O83),0)</f>
        <v/>
      </c>
      <c r="R83" s="41">
        <f>IF(B83="Retired",MIN(MAX(O83-Q83,0),((V82)*(1+$C$10)+IF(B83="Working",E83,0))),0)</f>
        <v/>
      </c>
      <c r="S83" s="41">
        <f>IF(B83="Retired",MIN(MAX(O83-Q83-R83,0),((W82)*(1+$C$10)+IF(B83="Working",L83,0))),0)</f>
        <v/>
      </c>
      <c r="T83" s="41">
        <f>IF(B83="Retired",MIN(MAX(O83-Q83-R83-S83,0),((X82)*(1+$C$10)+IF(B83="Working",F83,0))),0)</f>
        <v/>
      </c>
      <c r="U83" s="41">
        <f>MAX(((U82)*(1+$C$10)+IF(B83="Working",M83,0))-Q83,0)</f>
        <v/>
      </c>
      <c r="V83" s="41">
        <f>MAX(((V82)*(1+$C$10)+IF(B83="Working",E83,0))-R83,0)</f>
        <v/>
      </c>
      <c r="W83" s="41">
        <f>MAX(((W82)*(1+$C$10)+IF(B83="Working",L83,0))-S83,0)</f>
        <v/>
      </c>
      <c r="X83" s="41">
        <f>MAX(((X82)*(1+$C$10)+IF(B83="Working",F83,0))-T83,0)</f>
        <v/>
      </c>
      <c r="Y83" s="41">
        <f>U83+V83+W83+X83</f>
        <v/>
      </c>
      <c r="Z83" s="41">
        <f>IF(B83="Retired",MAX(O83-P83,0),0)</f>
        <v/>
      </c>
      <c r="AA83" s="44">
        <f>IF(B83="Working",IF(D83=0,0,N83/D83),0)</f>
        <v/>
      </c>
      <c r="AB83" s="41">
        <f>IF(AND($C$14&gt;0,A83=$C$13),$C$14*($C$15+$C$18),0)+IF(AND($C$14&gt;0,A83=$C$13),$C$24,0)</f>
        <v/>
      </c>
      <c r="AC83" s="41">
        <f>IF(OR($C$14&lt;=0,A83&lt;$C$13),0,IF(AND($C$14&gt;0,$C$17&gt;0,A83&gt;=$C$13,A83&lt;($C$13+$C$17)),IF($C$17&lt;=0,0,IF($C$16=0,MAX($C$14*(1-$C$15),0)/$C$17,-PMT($C$16/12,$C$17*12,MAX($C$14*(1-$C$15),0))*12)),0)+AD83*($C$19+$C$20+$C$21)+$C$22+$C$23)</f>
        <v/>
      </c>
      <c r="AD83" s="41">
        <f>IF(AND($C$14&gt;0,A83&gt;=$C$13),$C$14*(1+$C$25)^(A83-$C$13),0)</f>
        <v/>
      </c>
      <c r="AE83" s="41">
        <f>IF(OR($C$14&lt;=0,$C$17&lt;=0,A83&lt;$C$13,MIN(MAX((A83-$C$13+1)*12,0),$C$17*12)&gt;=$C$17*12),0,IF($C$16=0,MAX(MAX($C$14*(1-$C$15),0)-(IF($C$17&lt;=0,0,IF($C$16=0,MAX($C$14*(1-$C$15),0)/$C$17,-PMT($C$16/12,$C$17*12,MAX($C$14*(1-$C$15),0))*12))/12)*MIN(MAX((A83-$C$13+1)*12,0),$C$17*12),0),MAX(MAX($C$14*(1-$C$15),0)*(1+$C$16/12)^MIN(MAX((A83-$C$13+1)*12,0),$C$17*12)-(IF($C$17&lt;=0,0,IF($C$16=0,MAX($C$14*(1-$C$15),0)/$C$17,-PMT($C$16/12,$C$17*12,MAX($C$14*(1-$C$15),0))*12))/12)*(((1+$C$16/12)^MIN(MAX((A83-$C$13+1)*12,0),$C$17*12)-1)/($C$16/12)),0)))</f>
        <v/>
      </c>
      <c r="AF83" s="41">
        <f>MAX(AD83-AE83,0)</f>
        <v/>
      </c>
      <c r="AG83" s="87">
        <f>Y83+AF83</f>
        <v/>
      </c>
    </row>
    <row r="84" ht="18" customHeight="1" s="326">
      <c r="A84" s="84" t="n">
        <v>5</v>
      </c>
      <c r="B84" s="72">
        <f>IF(AND(C84&gt;0,A84&lt;=$C$11),"Working","Retired")</f>
        <v/>
      </c>
      <c r="C84" s="73">
        <f>N('Savings Projection'!$B$23)</f>
        <v/>
      </c>
      <c r="D84" s="43">
        <f>IF(B84="Working",C84*$C$6,0)</f>
        <v/>
      </c>
      <c r="E84" s="73">
        <f>IF(OR(B84="Retired",D84=0),0,MIN(D84,'Tax Assumptions'!$B$19))</f>
        <v/>
      </c>
      <c r="F84" s="73">
        <f>IF(B84="Working",N('Savings Projection'!$E$23),0)</f>
        <v/>
      </c>
      <c r="G84" s="73">
        <f>IF(B84="Working",N('Savings Projection'!$F$23),0)</f>
        <v/>
      </c>
      <c r="H84" s="43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/>
      </c>
      <c r="I84" s="43">
        <f>IF(B84="Working",D84-E84-F84-G84-H84,0)</f>
        <v/>
      </c>
      <c r="J84" s="73">
        <f>IF(B84="Working",N('Savings Projection'!$S$23)*$C$8,0)</f>
        <v/>
      </c>
      <c r="K84" s="73">
        <f>IF(B84="Working",N('Savings Projection'!$T$23)*$C$9,0)</f>
        <v/>
      </c>
      <c r="L84" s="43">
        <f>IF(B84="Working",MIN(MAX(I84-J84-K84-AB84-AC84,0),'Tax Assumptions'!$B$20),0)</f>
        <v/>
      </c>
      <c r="M84" s="43">
        <f>IF(B84="Working",I84-J84-K84-L84-AB84-AC84,0)</f>
        <v/>
      </c>
      <c r="N84" s="73">
        <f>IF(B84="Working",M84+L84+E84+F84,-P84)</f>
        <v/>
      </c>
      <c r="O84" s="73">
        <f>IF(B84="Retired",$C$12+AB84+AC84,0)</f>
        <v/>
      </c>
      <c r="P84" s="73">
        <f>Q84+R84+S84+T84</f>
        <v/>
      </c>
      <c r="Q84" s="73">
        <f>IF(B84="Retired",MIN(((U83)*(1+$C$10)+IF(B84="Working",M84,0)),O84),0)</f>
        <v/>
      </c>
      <c r="R84" s="73">
        <f>IF(B84="Retired",MIN(MAX(O84-Q84,0),((V83)*(1+$C$10)+IF(B84="Working",E84,0))),0)</f>
        <v/>
      </c>
      <c r="S84" s="73">
        <f>IF(B84="Retired",MIN(MAX(O84-Q84-R84,0),((W83)*(1+$C$10)+IF(B84="Working",L84,0))),0)</f>
        <v/>
      </c>
      <c r="T84" s="73">
        <f>IF(B84="Retired",MIN(MAX(O84-Q84-R84-S84,0),((X83)*(1+$C$10)+IF(B84="Working",F84,0))),0)</f>
        <v/>
      </c>
      <c r="U84" s="43">
        <f>MAX(((U83)*(1+$C$10)+IF(B84="Working",M84,0))-Q84,0)</f>
        <v/>
      </c>
      <c r="V84" s="43">
        <f>MAX(((V83)*(1+$C$10)+IF(B84="Working",E84,0))-R84,0)</f>
        <v/>
      </c>
      <c r="W84" s="43">
        <f>MAX(((W83)*(1+$C$10)+IF(B84="Working",L84,0))-S84,0)</f>
        <v/>
      </c>
      <c r="X84" s="43">
        <f>MAX(((X83)*(1+$C$10)+IF(B84="Working",F84,0))-T84,0)</f>
        <v/>
      </c>
      <c r="Y84" s="43">
        <f>U84+V84+W84+X84</f>
        <v/>
      </c>
      <c r="Z84" s="73">
        <f>IF(B84="Retired",MAX(O84-P84,0),0)</f>
        <v/>
      </c>
      <c r="AA84" s="74">
        <f>IF(B84="Working",IF(D84=0,0,N84/D84),0)</f>
        <v/>
      </c>
      <c r="AB84" s="43">
        <f>IF(AND($C$14&gt;0,A84=$C$13),$C$14*($C$15+$C$18),0)+IF(AND($C$14&gt;0,A84=$C$13),$C$24,0)</f>
        <v/>
      </c>
      <c r="AC84" s="43">
        <f>IF(OR($C$14&lt;=0,A84&lt;$C$13),0,IF(AND($C$14&gt;0,$C$17&gt;0,A84&gt;=$C$13,A84&lt;($C$13+$C$17)),IF($C$17&lt;=0,0,IF($C$16=0,MAX($C$14*(1-$C$15),0)/$C$17,-PMT($C$16/12,$C$17*12,MAX($C$14*(1-$C$15),0))*12)),0)+AD84*($C$19+$C$20+$C$21)+$C$22+$C$23)</f>
        <v/>
      </c>
      <c r="AD84" s="43">
        <f>IF(AND($C$14&gt;0,A84&gt;=$C$13),$C$14*(1+$C$25)^(A84-$C$13),0)</f>
        <v/>
      </c>
      <c r="AE84" s="43">
        <f>IF(OR($C$14&lt;=0,$C$17&lt;=0,A84&lt;$C$13,MIN(MAX((A84-$C$13+1)*12,0),$C$17*12)&gt;=$C$17*12),0,IF($C$16=0,MAX(MAX($C$14*(1-$C$15),0)-(IF($C$17&lt;=0,0,IF($C$16=0,MAX($C$14*(1-$C$15),0)/$C$17,-PMT($C$16/12,$C$17*12,MAX($C$14*(1-$C$15),0))*12))/12)*MIN(MAX((A84-$C$13+1)*12,0),$C$17*12),0),MAX(MAX($C$14*(1-$C$15),0)*(1+$C$16/12)^MIN(MAX((A84-$C$13+1)*12,0),$C$17*12)-(IF($C$17&lt;=0,0,IF($C$16=0,MAX($C$14*(1-$C$15),0)/$C$17,-PMT($C$16/12,$C$17*12,MAX($C$14*(1-$C$15),0))*12))/12)*(((1+$C$16/12)^MIN(MAX((A84-$C$13+1)*12,0),$C$17*12)-1)/($C$16/12)),0)))</f>
        <v/>
      </c>
      <c r="AF84" s="43">
        <f>MAX(AD84-AE84,0)</f>
        <v/>
      </c>
      <c r="AG84" s="85">
        <f>Y84+AF84</f>
        <v/>
      </c>
    </row>
    <row r="85" ht="18" customHeight="1" s="326">
      <c r="A85" s="86" t="n">
        <v>6</v>
      </c>
      <c r="B85" s="40">
        <f>IF(AND(C85&gt;0,A85&lt;=$C$11),"Working","Retired")</f>
        <v/>
      </c>
      <c r="C85" s="41">
        <f>N('Savings Projection'!$B$24)</f>
        <v/>
      </c>
      <c r="D85" s="41">
        <f>IF(B85="Working",C85*$C$6,0)</f>
        <v/>
      </c>
      <c r="E85" s="41">
        <f>IF(OR(B85="Retired",D85=0),0,MIN(D85,'Tax Assumptions'!$B$19))</f>
        <v/>
      </c>
      <c r="F85" s="41">
        <f>IF(B85="Working",N('Savings Projection'!$E$24),0)</f>
        <v/>
      </c>
      <c r="G85" s="41">
        <f>IF(B85="Working",N('Savings Projection'!$F$24),0)</f>
        <v/>
      </c>
      <c r="H85" s="41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/>
      </c>
      <c r="I85" s="41">
        <f>IF(B85="Working",D85-E85-F85-G85-H85,0)</f>
        <v/>
      </c>
      <c r="J85" s="41">
        <f>IF(B85="Working",N('Savings Projection'!$S$24)*$C$8,0)</f>
        <v/>
      </c>
      <c r="K85" s="41">
        <f>IF(B85="Working",N('Savings Projection'!$T$24)*$C$9,0)</f>
        <v/>
      </c>
      <c r="L85" s="41">
        <f>IF(B85="Working",MIN(MAX(I85-J85-K85-AB85-AC85,0),'Tax Assumptions'!$B$20),0)</f>
        <v/>
      </c>
      <c r="M85" s="41">
        <f>IF(B85="Working",I85-J85-K85-L85-AB85-AC85,0)</f>
        <v/>
      </c>
      <c r="N85" s="41">
        <f>IF(B85="Working",M85+L85+E85+F85,-P85)</f>
        <v/>
      </c>
      <c r="O85" s="41">
        <f>IF(B85="Retired",$C$12+AB85+AC85,0)</f>
        <v/>
      </c>
      <c r="P85" s="41">
        <f>Q85+R85+S85+T85</f>
        <v/>
      </c>
      <c r="Q85" s="41">
        <f>IF(B85="Retired",MIN(((U84)*(1+$C$10)+IF(B85="Working",M85,0)),O85),0)</f>
        <v/>
      </c>
      <c r="R85" s="41">
        <f>IF(B85="Retired",MIN(MAX(O85-Q85,0),((V84)*(1+$C$10)+IF(B85="Working",E85,0))),0)</f>
        <v/>
      </c>
      <c r="S85" s="41">
        <f>IF(B85="Retired",MIN(MAX(O85-Q85-R85,0),((W84)*(1+$C$10)+IF(B85="Working",L85,0))),0)</f>
        <v/>
      </c>
      <c r="T85" s="41">
        <f>IF(B85="Retired",MIN(MAX(O85-Q85-R85-S85,0),((X84)*(1+$C$10)+IF(B85="Working",F85,0))),0)</f>
        <v/>
      </c>
      <c r="U85" s="41">
        <f>MAX(((U84)*(1+$C$10)+IF(B85="Working",M85,0))-Q85,0)</f>
        <v/>
      </c>
      <c r="V85" s="41">
        <f>MAX(((V84)*(1+$C$10)+IF(B85="Working",E85,0))-R85,0)</f>
        <v/>
      </c>
      <c r="W85" s="41">
        <f>MAX(((W84)*(1+$C$10)+IF(B85="Working",L85,0))-S85,0)</f>
        <v/>
      </c>
      <c r="X85" s="41">
        <f>MAX(((X84)*(1+$C$10)+IF(B85="Working",F85,0))-T85,0)</f>
        <v/>
      </c>
      <c r="Y85" s="41">
        <f>U85+V85+W85+X85</f>
        <v/>
      </c>
      <c r="Z85" s="41">
        <f>IF(B85="Retired",MAX(O85-P85,0),0)</f>
        <v/>
      </c>
      <c r="AA85" s="44">
        <f>IF(B85="Working",IF(D85=0,0,N85/D85),0)</f>
        <v/>
      </c>
      <c r="AB85" s="41">
        <f>IF(AND($C$14&gt;0,A85=$C$13),$C$14*($C$15+$C$18),0)+IF(AND($C$14&gt;0,A85=$C$13),$C$24,0)</f>
        <v/>
      </c>
      <c r="AC85" s="41">
        <f>IF(OR($C$14&lt;=0,A85&lt;$C$13),0,IF(AND($C$14&gt;0,$C$17&gt;0,A85&gt;=$C$13,A85&lt;($C$13+$C$17)),IF($C$17&lt;=0,0,IF($C$16=0,MAX($C$14*(1-$C$15),0)/$C$17,-PMT($C$16/12,$C$17*12,MAX($C$14*(1-$C$15),0))*12)),0)+AD85*($C$19+$C$20+$C$21)+$C$22+$C$23)</f>
        <v/>
      </c>
      <c r="AD85" s="41">
        <f>IF(AND($C$14&gt;0,A85&gt;=$C$13),$C$14*(1+$C$25)^(A85-$C$13),0)</f>
        <v/>
      </c>
      <c r="AE85" s="41">
        <f>IF(OR($C$14&lt;=0,$C$17&lt;=0,A85&lt;$C$13,MIN(MAX((A85-$C$13+1)*12,0),$C$17*12)&gt;=$C$17*12),0,IF($C$16=0,MAX(MAX($C$14*(1-$C$15),0)-(IF($C$17&lt;=0,0,IF($C$16=0,MAX($C$14*(1-$C$15),0)/$C$17,-PMT($C$16/12,$C$17*12,MAX($C$14*(1-$C$15),0))*12))/12)*MIN(MAX((A85-$C$13+1)*12,0),$C$17*12),0),MAX(MAX($C$14*(1-$C$15),0)*(1+$C$16/12)^MIN(MAX((A85-$C$13+1)*12,0),$C$17*12)-(IF($C$17&lt;=0,0,IF($C$16=0,MAX($C$14*(1-$C$15),0)/$C$17,-PMT($C$16/12,$C$17*12,MAX($C$14*(1-$C$15),0))*12))/12)*(((1+$C$16/12)^MIN(MAX((A85-$C$13+1)*12,0),$C$17*12)-1)/($C$16/12)),0)))</f>
        <v/>
      </c>
      <c r="AF85" s="41">
        <f>MAX(AD85-AE85,0)</f>
        <v/>
      </c>
      <c r="AG85" s="87">
        <f>Y85+AF85</f>
        <v/>
      </c>
    </row>
    <row r="86" ht="18" customHeight="1" s="326">
      <c r="A86" s="84" t="n">
        <v>7</v>
      </c>
      <c r="B86" s="72">
        <f>IF(AND(C86&gt;0,A86&lt;=$C$11),"Working","Retired")</f>
        <v/>
      </c>
      <c r="C86" s="73">
        <f>N('Savings Projection'!$B$25)</f>
        <v/>
      </c>
      <c r="D86" s="43">
        <f>IF(B86="Working",C86*$C$6,0)</f>
        <v/>
      </c>
      <c r="E86" s="73">
        <f>IF(OR(B86="Retired",D86=0),0,MIN(D86,'Tax Assumptions'!$B$19))</f>
        <v/>
      </c>
      <c r="F86" s="73">
        <f>IF(B86="Working",N('Savings Projection'!$E$25),0)</f>
        <v/>
      </c>
      <c r="G86" s="73">
        <f>IF(B86="Working",N('Savings Projection'!$F$25),0)</f>
        <v/>
      </c>
      <c r="H86" s="43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/>
      </c>
      <c r="I86" s="43">
        <f>IF(B86="Working",D86-E86-F86-G86-H86,0)</f>
        <v/>
      </c>
      <c r="J86" s="73">
        <f>IF(B86="Working",N('Savings Projection'!$S$25)*$C$8,0)</f>
        <v/>
      </c>
      <c r="K86" s="73">
        <f>IF(B86="Working",N('Savings Projection'!$T$25)*$C$9,0)</f>
        <v/>
      </c>
      <c r="L86" s="43">
        <f>IF(B86="Working",MIN(MAX(I86-J86-K86-AB86-AC86,0),'Tax Assumptions'!$B$20),0)</f>
        <v/>
      </c>
      <c r="M86" s="43">
        <f>IF(B86="Working",I86-J86-K86-L86-AB86-AC86,0)</f>
        <v/>
      </c>
      <c r="N86" s="73">
        <f>IF(B86="Working",M86+L86+E86+F86,-P86)</f>
        <v/>
      </c>
      <c r="O86" s="73">
        <f>IF(B86="Retired",$C$12+AB86+AC86,0)</f>
        <v/>
      </c>
      <c r="P86" s="73">
        <f>Q86+R86+S86+T86</f>
        <v/>
      </c>
      <c r="Q86" s="73">
        <f>IF(B86="Retired",MIN(((U85)*(1+$C$10)+IF(B86="Working",M86,0)),O86),0)</f>
        <v/>
      </c>
      <c r="R86" s="73">
        <f>IF(B86="Retired",MIN(MAX(O86-Q86,0),((V85)*(1+$C$10)+IF(B86="Working",E86,0))),0)</f>
        <v/>
      </c>
      <c r="S86" s="73">
        <f>IF(B86="Retired",MIN(MAX(O86-Q86-R86,0),((W85)*(1+$C$10)+IF(B86="Working",L86,0))),0)</f>
        <v/>
      </c>
      <c r="T86" s="73">
        <f>IF(B86="Retired",MIN(MAX(O86-Q86-R86-S86,0),((X85)*(1+$C$10)+IF(B86="Working",F86,0))),0)</f>
        <v/>
      </c>
      <c r="U86" s="43">
        <f>MAX(((U85)*(1+$C$10)+IF(B86="Working",M86,0))-Q86,0)</f>
        <v/>
      </c>
      <c r="V86" s="43">
        <f>MAX(((V85)*(1+$C$10)+IF(B86="Working",E86,0))-R86,0)</f>
        <v/>
      </c>
      <c r="W86" s="43">
        <f>MAX(((W85)*(1+$C$10)+IF(B86="Working",L86,0))-S86,0)</f>
        <v/>
      </c>
      <c r="X86" s="43">
        <f>MAX(((X85)*(1+$C$10)+IF(B86="Working",F86,0))-T86,0)</f>
        <v/>
      </c>
      <c r="Y86" s="43">
        <f>U86+V86+W86+X86</f>
        <v/>
      </c>
      <c r="Z86" s="73">
        <f>IF(B86="Retired",MAX(O86-P86,0),0)</f>
        <v/>
      </c>
      <c r="AA86" s="74">
        <f>IF(B86="Working",IF(D86=0,0,N86/D86),0)</f>
        <v/>
      </c>
      <c r="AB86" s="43">
        <f>IF(AND($C$14&gt;0,A86=$C$13),$C$14*($C$15+$C$18),0)+IF(AND($C$14&gt;0,A86=$C$13),$C$24,0)</f>
        <v/>
      </c>
      <c r="AC86" s="43">
        <f>IF(OR($C$14&lt;=0,A86&lt;$C$13),0,IF(AND($C$14&gt;0,$C$17&gt;0,A86&gt;=$C$13,A86&lt;($C$13+$C$17)),IF($C$17&lt;=0,0,IF($C$16=0,MAX($C$14*(1-$C$15),0)/$C$17,-PMT($C$16/12,$C$17*12,MAX($C$14*(1-$C$15),0))*12)),0)+AD86*($C$19+$C$20+$C$21)+$C$22+$C$23)</f>
        <v/>
      </c>
      <c r="AD86" s="43">
        <f>IF(AND($C$14&gt;0,A86&gt;=$C$13),$C$14*(1+$C$25)^(A86-$C$13),0)</f>
        <v/>
      </c>
      <c r="AE86" s="43">
        <f>IF(OR($C$14&lt;=0,$C$17&lt;=0,A86&lt;$C$13,MIN(MAX((A86-$C$13+1)*12,0),$C$17*12)&gt;=$C$17*12),0,IF($C$16=0,MAX(MAX($C$14*(1-$C$15),0)-(IF($C$17&lt;=0,0,IF($C$16=0,MAX($C$14*(1-$C$15),0)/$C$17,-PMT($C$16/12,$C$17*12,MAX($C$14*(1-$C$15),0))*12))/12)*MIN(MAX((A86-$C$13+1)*12,0),$C$17*12),0),MAX(MAX($C$14*(1-$C$15),0)*(1+$C$16/12)^MIN(MAX((A86-$C$13+1)*12,0),$C$17*12)-(IF($C$17&lt;=0,0,IF($C$16=0,MAX($C$14*(1-$C$15),0)/$C$17,-PMT($C$16/12,$C$17*12,MAX($C$14*(1-$C$15),0))*12))/12)*(((1+$C$16/12)^MIN(MAX((A86-$C$13+1)*12,0),$C$17*12)-1)/($C$16/12)),0)))</f>
        <v/>
      </c>
      <c r="AF86" s="43">
        <f>MAX(AD86-AE86,0)</f>
        <v/>
      </c>
      <c r="AG86" s="85">
        <f>Y86+AF86</f>
        <v/>
      </c>
    </row>
    <row r="87" ht="18" customHeight="1" s="326">
      <c r="A87" s="86" t="n">
        <v>8</v>
      </c>
      <c r="B87" s="40">
        <f>IF(AND(C87&gt;0,A87&lt;=$C$11),"Working","Retired")</f>
        <v/>
      </c>
      <c r="C87" s="41">
        <f>N('Savings Projection'!$B$26)</f>
        <v/>
      </c>
      <c r="D87" s="41">
        <f>IF(B87="Working",C87*$C$6,0)</f>
        <v/>
      </c>
      <c r="E87" s="41">
        <f>IF(OR(B87="Retired",D87=0),0,MIN(D87,'Tax Assumptions'!$B$19))</f>
        <v/>
      </c>
      <c r="F87" s="41">
        <f>IF(B87="Working",N('Savings Projection'!$E$26),0)</f>
        <v/>
      </c>
      <c r="G87" s="41">
        <f>IF(B87="Working",N('Savings Projection'!$F$26),0)</f>
        <v/>
      </c>
      <c r="H87" s="41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/>
      </c>
      <c r="I87" s="41">
        <f>IF(B87="Working",D87-E87-F87-G87-H87,0)</f>
        <v/>
      </c>
      <c r="J87" s="41">
        <f>IF(B87="Working",N('Savings Projection'!$S$26)*$C$8,0)</f>
        <v/>
      </c>
      <c r="K87" s="41">
        <f>IF(B87="Working",N('Savings Projection'!$T$26)*$C$9,0)</f>
        <v/>
      </c>
      <c r="L87" s="41">
        <f>IF(B87="Working",MIN(MAX(I87-J87-K87-AB87-AC87,0),'Tax Assumptions'!$B$20),0)</f>
        <v/>
      </c>
      <c r="M87" s="41">
        <f>IF(B87="Working",I87-J87-K87-L87-AB87-AC87,0)</f>
        <v/>
      </c>
      <c r="N87" s="41">
        <f>IF(B87="Working",M87+L87+E87+F87,-P87)</f>
        <v/>
      </c>
      <c r="O87" s="41">
        <f>IF(B87="Retired",$C$12+AB87+AC87,0)</f>
        <v/>
      </c>
      <c r="P87" s="41">
        <f>Q87+R87+S87+T87</f>
        <v/>
      </c>
      <c r="Q87" s="41">
        <f>IF(B87="Retired",MIN(((U86)*(1+$C$10)+IF(B87="Working",M87,0)),O87),0)</f>
        <v/>
      </c>
      <c r="R87" s="41">
        <f>IF(B87="Retired",MIN(MAX(O87-Q87,0),((V86)*(1+$C$10)+IF(B87="Working",E87,0))),0)</f>
        <v/>
      </c>
      <c r="S87" s="41">
        <f>IF(B87="Retired",MIN(MAX(O87-Q87-R87,0),((W86)*(1+$C$10)+IF(B87="Working",L87,0))),0)</f>
        <v/>
      </c>
      <c r="T87" s="41">
        <f>IF(B87="Retired",MIN(MAX(O87-Q87-R87-S87,0),((X86)*(1+$C$10)+IF(B87="Working",F87,0))),0)</f>
        <v/>
      </c>
      <c r="U87" s="41">
        <f>MAX(((U86)*(1+$C$10)+IF(B87="Working",M87,0))-Q87,0)</f>
        <v/>
      </c>
      <c r="V87" s="41">
        <f>MAX(((V86)*(1+$C$10)+IF(B87="Working",E87,0))-R87,0)</f>
        <v/>
      </c>
      <c r="W87" s="41">
        <f>MAX(((W86)*(1+$C$10)+IF(B87="Working",L87,0))-S87,0)</f>
        <v/>
      </c>
      <c r="X87" s="41">
        <f>MAX(((X86)*(1+$C$10)+IF(B87="Working",F87,0))-T87,0)</f>
        <v/>
      </c>
      <c r="Y87" s="41">
        <f>U87+V87+W87+X87</f>
        <v/>
      </c>
      <c r="Z87" s="41">
        <f>IF(B87="Retired",MAX(O87-P87,0),0)</f>
        <v/>
      </c>
      <c r="AA87" s="44">
        <f>IF(B87="Working",IF(D87=0,0,N87/D87),0)</f>
        <v/>
      </c>
      <c r="AB87" s="41">
        <f>IF(AND($C$14&gt;0,A87=$C$13),$C$14*($C$15+$C$18),0)+IF(AND($C$14&gt;0,A87=$C$13),$C$24,0)</f>
        <v/>
      </c>
      <c r="AC87" s="41">
        <f>IF(OR($C$14&lt;=0,A87&lt;$C$13),0,IF(AND($C$14&gt;0,$C$17&gt;0,A87&gt;=$C$13,A87&lt;($C$13+$C$17)),IF($C$17&lt;=0,0,IF($C$16=0,MAX($C$14*(1-$C$15),0)/$C$17,-PMT($C$16/12,$C$17*12,MAX($C$14*(1-$C$15),0))*12)),0)+AD87*($C$19+$C$20+$C$21)+$C$22+$C$23)</f>
        <v/>
      </c>
      <c r="AD87" s="41">
        <f>IF(AND($C$14&gt;0,A87&gt;=$C$13),$C$14*(1+$C$25)^(A87-$C$13),0)</f>
        <v/>
      </c>
      <c r="AE87" s="41">
        <f>IF(OR($C$14&lt;=0,$C$17&lt;=0,A87&lt;$C$13,MIN(MAX((A87-$C$13+1)*12,0),$C$17*12)&gt;=$C$17*12),0,IF($C$16=0,MAX(MAX($C$14*(1-$C$15),0)-(IF($C$17&lt;=0,0,IF($C$16=0,MAX($C$14*(1-$C$15),0)/$C$17,-PMT($C$16/12,$C$17*12,MAX($C$14*(1-$C$15),0))*12))/12)*MIN(MAX((A87-$C$13+1)*12,0),$C$17*12),0),MAX(MAX($C$14*(1-$C$15),0)*(1+$C$16/12)^MIN(MAX((A87-$C$13+1)*12,0),$C$17*12)-(IF($C$17&lt;=0,0,IF($C$16=0,MAX($C$14*(1-$C$15),0)/$C$17,-PMT($C$16/12,$C$17*12,MAX($C$14*(1-$C$15),0))*12))/12)*(((1+$C$16/12)^MIN(MAX((A87-$C$13+1)*12,0),$C$17*12)-1)/($C$16/12)),0)))</f>
        <v/>
      </c>
      <c r="AF87" s="41">
        <f>MAX(AD87-AE87,0)</f>
        <v/>
      </c>
      <c r="AG87" s="87">
        <f>Y87+AF87</f>
        <v/>
      </c>
    </row>
    <row r="88" ht="18" customHeight="1" s="326">
      <c r="A88" s="84" t="n">
        <v>9</v>
      </c>
      <c r="B88" s="72">
        <f>IF(AND(C88&gt;0,A88&lt;=$C$11),"Working","Retired")</f>
        <v/>
      </c>
      <c r="C88" s="73">
        <f>N('Savings Projection'!$B$27)</f>
        <v/>
      </c>
      <c r="D88" s="43">
        <f>IF(B88="Working",C88*$C$6,0)</f>
        <v/>
      </c>
      <c r="E88" s="73">
        <f>IF(OR(B88="Retired",D88=0),0,MIN(D88,'Tax Assumptions'!$B$19))</f>
        <v/>
      </c>
      <c r="F88" s="73">
        <f>IF(B88="Working",N('Savings Projection'!$E$27),0)</f>
        <v/>
      </c>
      <c r="G88" s="73">
        <f>IF(B88="Working",N('Savings Projection'!$F$27),0)</f>
        <v/>
      </c>
      <c r="H88" s="43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/>
      </c>
      <c r="I88" s="43">
        <f>IF(B88="Working",D88-E88-F88-G88-H88,0)</f>
        <v/>
      </c>
      <c r="J88" s="73">
        <f>IF(B88="Working",N('Savings Projection'!$S$27)*$C$8,0)</f>
        <v/>
      </c>
      <c r="K88" s="73">
        <f>IF(B88="Working",N('Savings Projection'!$T$27)*$C$9,0)</f>
        <v/>
      </c>
      <c r="L88" s="43">
        <f>IF(B88="Working",MIN(MAX(I88-J88-K88-AB88-AC88,0),'Tax Assumptions'!$B$20),0)</f>
        <v/>
      </c>
      <c r="M88" s="43">
        <f>IF(B88="Working",I88-J88-K88-L88-AB88-AC88,0)</f>
        <v/>
      </c>
      <c r="N88" s="73">
        <f>IF(B88="Working",M88+L88+E88+F88,-P88)</f>
        <v/>
      </c>
      <c r="O88" s="73">
        <f>IF(B88="Retired",$C$12+AB88+AC88,0)</f>
        <v/>
      </c>
      <c r="P88" s="73">
        <f>Q88+R88+S88+T88</f>
        <v/>
      </c>
      <c r="Q88" s="73">
        <f>IF(B88="Retired",MIN(((U87)*(1+$C$10)+IF(B88="Working",M88,0)),O88),0)</f>
        <v/>
      </c>
      <c r="R88" s="73">
        <f>IF(B88="Retired",MIN(MAX(O88-Q88,0),((V87)*(1+$C$10)+IF(B88="Working",E88,0))),0)</f>
        <v/>
      </c>
      <c r="S88" s="73">
        <f>IF(B88="Retired",MIN(MAX(O88-Q88-R88,0),((W87)*(1+$C$10)+IF(B88="Working",L88,0))),0)</f>
        <v/>
      </c>
      <c r="T88" s="73">
        <f>IF(B88="Retired",MIN(MAX(O88-Q88-R88-S88,0),((X87)*(1+$C$10)+IF(B88="Working",F88,0))),0)</f>
        <v/>
      </c>
      <c r="U88" s="43">
        <f>MAX(((U87)*(1+$C$10)+IF(B88="Working",M88,0))-Q88,0)</f>
        <v/>
      </c>
      <c r="V88" s="43">
        <f>MAX(((V87)*(1+$C$10)+IF(B88="Working",E88,0))-R88,0)</f>
        <v/>
      </c>
      <c r="W88" s="43">
        <f>MAX(((W87)*(1+$C$10)+IF(B88="Working",L88,0))-S88,0)</f>
        <v/>
      </c>
      <c r="X88" s="43">
        <f>MAX(((X87)*(1+$C$10)+IF(B88="Working",F88,0))-T88,0)</f>
        <v/>
      </c>
      <c r="Y88" s="43">
        <f>U88+V88+W88+X88</f>
        <v/>
      </c>
      <c r="Z88" s="73">
        <f>IF(B88="Retired",MAX(O88-P88,0),0)</f>
        <v/>
      </c>
      <c r="AA88" s="74">
        <f>IF(B88="Working",IF(D88=0,0,N88/D88),0)</f>
        <v/>
      </c>
      <c r="AB88" s="43">
        <f>IF(AND($C$14&gt;0,A88=$C$13),$C$14*($C$15+$C$18),0)+IF(AND($C$14&gt;0,A88=$C$13),$C$24,0)</f>
        <v/>
      </c>
      <c r="AC88" s="43">
        <f>IF(OR($C$14&lt;=0,A88&lt;$C$13),0,IF(AND($C$14&gt;0,$C$17&gt;0,A88&gt;=$C$13,A88&lt;($C$13+$C$17)),IF($C$17&lt;=0,0,IF($C$16=0,MAX($C$14*(1-$C$15),0)/$C$17,-PMT($C$16/12,$C$17*12,MAX($C$14*(1-$C$15),0))*12)),0)+AD88*($C$19+$C$20+$C$21)+$C$22+$C$23)</f>
        <v/>
      </c>
      <c r="AD88" s="43">
        <f>IF(AND($C$14&gt;0,A88&gt;=$C$13),$C$14*(1+$C$25)^(A88-$C$13),0)</f>
        <v/>
      </c>
      <c r="AE88" s="43">
        <f>IF(OR($C$14&lt;=0,$C$17&lt;=0,A88&lt;$C$13,MIN(MAX((A88-$C$13+1)*12,0),$C$17*12)&gt;=$C$17*12),0,IF($C$16=0,MAX(MAX($C$14*(1-$C$15),0)-(IF($C$17&lt;=0,0,IF($C$16=0,MAX($C$14*(1-$C$15),0)/$C$17,-PMT($C$16/12,$C$17*12,MAX($C$14*(1-$C$15),0))*12))/12)*MIN(MAX((A88-$C$13+1)*12,0),$C$17*12),0),MAX(MAX($C$14*(1-$C$15),0)*(1+$C$16/12)^MIN(MAX((A88-$C$13+1)*12,0),$C$17*12)-(IF($C$17&lt;=0,0,IF($C$16=0,MAX($C$14*(1-$C$15),0)/$C$17,-PMT($C$16/12,$C$17*12,MAX($C$14*(1-$C$15),0))*12))/12)*(((1+$C$16/12)^MIN(MAX((A88-$C$13+1)*12,0),$C$17*12)-1)/($C$16/12)),0)))</f>
        <v/>
      </c>
      <c r="AF88" s="43">
        <f>MAX(AD88-AE88,0)</f>
        <v/>
      </c>
      <c r="AG88" s="85">
        <f>Y88+AF88</f>
        <v/>
      </c>
    </row>
    <row r="89" ht="18" customHeight="1" s="326">
      <c r="A89" s="86" t="n">
        <v>10</v>
      </c>
      <c r="B89" s="40">
        <f>IF(AND(C89&gt;0,A89&lt;=$C$11),"Working","Retired")</f>
        <v/>
      </c>
      <c r="C89" s="41">
        <f>N('Savings Projection'!$B$28)</f>
        <v/>
      </c>
      <c r="D89" s="41">
        <f>IF(B89="Working",C89*$C$6,0)</f>
        <v/>
      </c>
      <c r="E89" s="41">
        <f>IF(OR(B89="Retired",D89=0),0,MIN(D89,'Tax Assumptions'!$B$19))</f>
        <v/>
      </c>
      <c r="F89" s="41">
        <f>IF(B89="Working",N('Savings Projection'!$E$28),0)</f>
        <v/>
      </c>
      <c r="G89" s="41">
        <f>IF(B89="Working",N('Savings Projection'!$F$28),0)</f>
        <v/>
      </c>
      <c r="H89" s="41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/>
      </c>
      <c r="I89" s="41">
        <f>IF(B89="Working",D89-E89-F89-G89-H89,0)</f>
        <v/>
      </c>
      <c r="J89" s="41">
        <f>IF(B89="Working",N('Savings Projection'!$S$28)*$C$8,0)</f>
        <v/>
      </c>
      <c r="K89" s="41">
        <f>IF(B89="Working",N('Savings Projection'!$T$28)*$C$9,0)</f>
        <v/>
      </c>
      <c r="L89" s="41">
        <f>IF(B89="Working",MIN(MAX(I89-J89-K89-AB89-AC89,0),'Tax Assumptions'!$B$20),0)</f>
        <v/>
      </c>
      <c r="M89" s="41">
        <f>IF(B89="Working",I89-J89-K89-L89-AB89-AC89,0)</f>
        <v/>
      </c>
      <c r="N89" s="41">
        <f>IF(B89="Working",M89+L89+E89+F89,-P89)</f>
        <v/>
      </c>
      <c r="O89" s="41">
        <f>IF(B89="Retired",$C$12+AB89+AC89,0)</f>
        <v/>
      </c>
      <c r="P89" s="41">
        <f>Q89+R89+S89+T89</f>
        <v/>
      </c>
      <c r="Q89" s="41">
        <f>IF(B89="Retired",MIN(((U88)*(1+$C$10)+IF(B89="Working",M89,0)),O89),0)</f>
        <v/>
      </c>
      <c r="R89" s="41">
        <f>IF(B89="Retired",MIN(MAX(O89-Q89,0),((V88)*(1+$C$10)+IF(B89="Working",E89,0))),0)</f>
        <v/>
      </c>
      <c r="S89" s="41">
        <f>IF(B89="Retired",MIN(MAX(O89-Q89-R89,0),((W88)*(1+$C$10)+IF(B89="Working",L89,0))),0)</f>
        <v/>
      </c>
      <c r="T89" s="41">
        <f>IF(B89="Retired",MIN(MAX(O89-Q89-R89-S89,0),((X88)*(1+$C$10)+IF(B89="Working",F89,0))),0)</f>
        <v/>
      </c>
      <c r="U89" s="41">
        <f>MAX(((U88)*(1+$C$10)+IF(B89="Working",M89,0))-Q89,0)</f>
        <v/>
      </c>
      <c r="V89" s="41">
        <f>MAX(((V88)*(1+$C$10)+IF(B89="Working",E89,0))-R89,0)</f>
        <v/>
      </c>
      <c r="W89" s="41">
        <f>MAX(((W88)*(1+$C$10)+IF(B89="Working",L89,0))-S89,0)</f>
        <v/>
      </c>
      <c r="X89" s="41">
        <f>MAX(((X88)*(1+$C$10)+IF(B89="Working",F89,0))-T89,0)</f>
        <v/>
      </c>
      <c r="Y89" s="41">
        <f>U89+V89+W89+X89</f>
        <v/>
      </c>
      <c r="Z89" s="41">
        <f>IF(B89="Retired",MAX(O89-P89,0),0)</f>
        <v/>
      </c>
      <c r="AA89" s="44">
        <f>IF(B89="Working",IF(D89=0,0,N89/D89),0)</f>
        <v/>
      </c>
      <c r="AB89" s="41">
        <f>IF(AND($C$14&gt;0,A89=$C$13),$C$14*($C$15+$C$18),0)+IF(AND($C$14&gt;0,A89=$C$13),$C$24,0)</f>
        <v/>
      </c>
      <c r="AC89" s="41">
        <f>IF(OR($C$14&lt;=0,A89&lt;$C$13),0,IF(AND($C$14&gt;0,$C$17&gt;0,A89&gt;=$C$13,A89&lt;($C$13+$C$17)),IF($C$17&lt;=0,0,IF($C$16=0,MAX($C$14*(1-$C$15),0)/$C$17,-PMT($C$16/12,$C$17*12,MAX($C$14*(1-$C$15),0))*12)),0)+AD89*($C$19+$C$20+$C$21)+$C$22+$C$23)</f>
        <v/>
      </c>
      <c r="AD89" s="41">
        <f>IF(AND($C$14&gt;0,A89&gt;=$C$13),$C$14*(1+$C$25)^(A89-$C$13),0)</f>
        <v/>
      </c>
      <c r="AE89" s="41">
        <f>IF(OR($C$14&lt;=0,$C$17&lt;=0,A89&lt;$C$13,MIN(MAX((A89-$C$13+1)*12,0),$C$17*12)&gt;=$C$17*12),0,IF($C$16=0,MAX(MAX($C$14*(1-$C$15),0)-(IF($C$17&lt;=0,0,IF($C$16=0,MAX($C$14*(1-$C$15),0)/$C$17,-PMT($C$16/12,$C$17*12,MAX($C$14*(1-$C$15),0))*12))/12)*MIN(MAX((A89-$C$13+1)*12,0),$C$17*12),0),MAX(MAX($C$14*(1-$C$15),0)*(1+$C$16/12)^MIN(MAX((A89-$C$13+1)*12,0),$C$17*12)-(IF($C$17&lt;=0,0,IF($C$16=0,MAX($C$14*(1-$C$15),0)/$C$17,-PMT($C$16/12,$C$17*12,MAX($C$14*(1-$C$15),0))*12))/12)*(((1+$C$16/12)^MIN(MAX((A89-$C$13+1)*12,0),$C$17*12)-1)/($C$16/12)),0)))</f>
        <v/>
      </c>
      <c r="AF89" s="41">
        <f>MAX(AD89-AE89,0)</f>
        <v/>
      </c>
      <c r="AG89" s="87">
        <f>Y89+AF89</f>
        <v/>
      </c>
    </row>
    <row r="90" ht="18" customHeight="1" s="326">
      <c r="A90" s="84" t="n">
        <v>11</v>
      </c>
      <c r="B90" s="72">
        <f>IF(AND(C90&gt;0,A90&lt;=$C$11),"Working","Retired")</f>
        <v/>
      </c>
      <c r="C90" s="73">
        <f>N('Savings Projection'!$B$29)</f>
        <v/>
      </c>
      <c r="D90" s="43">
        <f>IF(B90="Working",C90*$C$6,0)</f>
        <v/>
      </c>
      <c r="E90" s="73">
        <f>IF(OR(B90="Retired",D90=0),0,MIN(D90,'Tax Assumptions'!$B$19))</f>
        <v/>
      </c>
      <c r="F90" s="73">
        <f>IF(B90="Working",N('Savings Projection'!$E$29),0)</f>
        <v/>
      </c>
      <c r="G90" s="73">
        <f>IF(B90="Working",N('Savings Projection'!$F$29),0)</f>
        <v/>
      </c>
      <c r="H90" s="43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/>
      </c>
      <c r="I90" s="43">
        <f>IF(B90="Working",D90-E90-F90-G90-H90,0)</f>
        <v/>
      </c>
      <c r="J90" s="73">
        <f>IF(B90="Working",N('Savings Projection'!$S$29)*$C$8,0)</f>
        <v/>
      </c>
      <c r="K90" s="73">
        <f>IF(B90="Working",N('Savings Projection'!$T$29)*$C$9,0)</f>
        <v/>
      </c>
      <c r="L90" s="43">
        <f>IF(B90="Working",MIN(MAX(I90-J90-K90-AB90-AC90,0),'Tax Assumptions'!$B$20),0)</f>
        <v/>
      </c>
      <c r="M90" s="43">
        <f>IF(B90="Working",I90-J90-K90-L90-AB90-AC90,0)</f>
        <v/>
      </c>
      <c r="N90" s="73">
        <f>IF(B90="Working",M90+L90+E90+F90,-P90)</f>
        <v/>
      </c>
      <c r="O90" s="73">
        <f>IF(B90="Retired",$C$12+AB90+AC90,0)</f>
        <v/>
      </c>
      <c r="P90" s="73">
        <f>Q90+R90+S90+T90</f>
        <v/>
      </c>
      <c r="Q90" s="73">
        <f>IF(B90="Retired",MIN(((U89)*(1+$C$10)+IF(B90="Working",M90,0)),O90),0)</f>
        <v/>
      </c>
      <c r="R90" s="73">
        <f>IF(B90="Retired",MIN(MAX(O90-Q90,0),((V89)*(1+$C$10)+IF(B90="Working",E90,0))),0)</f>
        <v/>
      </c>
      <c r="S90" s="73">
        <f>IF(B90="Retired",MIN(MAX(O90-Q90-R90,0),((W89)*(1+$C$10)+IF(B90="Working",L90,0))),0)</f>
        <v/>
      </c>
      <c r="T90" s="73">
        <f>IF(B90="Retired",MIN(MAX(O90-Q90-R90-S90,0),((X89)*(1+$C$10)+IF(B90="Working",F90,0))),0)</f>
        <v/>
      </c>
      <c r="U90" s="43">
        <f>MAX(((U89)*(1+$C$10)+IF(B90="Working",M90,0))-Q90,0)</f>
        <v/>
      </c>
      <c r="V90" s="43">
        <f>MAX(((V89)*(1+$C$10)+IF(B90="Working",E90,0))-R90,0)</f>
        <v/>
      </c>
      <c r="W90" s="43">
        <f>MAX(((W89)*(1+$C$10)+IF(B90="Working",L90,0))-S90,0)</f>
        <v/>
      </c>
      <c r="X90" s="43">
        <f>MAX(((X89)*(1+$C$10)+IF(B90="Working",F90,0))-T90,0)</f>
        <v/>
      </c>
      <c r="Y90" s="43">
        <f>U90+V90+W90+X90</f>
        <v/>
      </c>
      <c r="Z90" s="73">
        <f>IF(B90="Retired",MAX(O90-P90,0),0)</f>
        <v/>
      </c>
      <c r="AA90" s="74">
        <f>IF(B90="Working",IF(D90=0,0,N90/D90),0)</f>
        <v/>
      </c>
      <c r="AB90" s="43">
        <f>IF(AND($C$14&gt;0,A90=$C$13),$C$14*($C$15+$C$18),0)+IF(AND($C$14&gt;0,A90=$C$13),$C$24,0)</f>
        <v/>
      </c>
      <c r="AC90" s="43">
        <f>IF(OR($C$14&lt;=0,A90&lt;$C$13),0,IF(AND($C$14&gt;0,$C$17&gt;0,A90&gt;=$C$13,A90&lt;($C$13+$C$17)),IF($C$17&lt;=0,0,IF($C$16=0,MAX($C$14*(1-$C$15),0)/$C$17,-PMT($C$16/12,$C$17*12,MAX($C$14*(1-$C$15),0))*12)),0)+AD90*($C$19+$C$20+$C$21)+$C$22+$C$23)</f>
        <v/>
      </c>
      <c r="AD90" s="43">
        <f>IF(AND($C$14&gt;0,A90&gt;=$C$13),$C$14*(1+$C$25)^(A90-$C$13),0)</f>
        <v/>
      </c>
      <c r="AE90" s="43">
        <f>IF(OR($C$14&lt;=0,$C$17&lt;=0,A90&lt;$C$13,MIN(MAX((A90-$C$13+1)*12,0),$C$17*12)&gt;=$C$17*12),0,IF($C$16=0,MAX(MAX($C$14*(1-$C$15),0)-(IF($C$17&lt;=0,0,IF($C$16=0,MAX($C$14*(1-$C$15),0)/$C$17,-PMT($C$16/12,$C$17*12,MAX($C$14*(1-$C$15),0))*12))/12)*MIN(MAX((A90-$C$13+1)*12,0),$C$17*12),0),MAX(MAX($C$14*(1-$C$15),0)*(1+$C$16/12)^MIN(MAX((A90-$C$13+1)*12,0),$C$17*12)-(IF($C$17&lt;=0,0,IF($C$16=0,MAX($C$14*(1-$C$15),0)/$C$17,-PMT($C$16/12,$C$17*12,MAX($C$14*(1-$C$15),0))*12))/12)*(((1+$C$16/12)^MIN(MAX((A90-$C$13+1)*12,0),$C$17*12)-1)/($C$16/12)),0)))</f>
        <v/>
      </c>
      <c r="AF90" s="43">
        <f>MAX(AD90-AE90,0)</f>
        <v/>
      </c>
      <c r="AG90" s="85">
        <f>Y90+AF90</f>
        <v/>
      </c>
    </row>
    <row r="91" ht="18" customHeight="1" s="326">
      <c r="A91" s="86" t="n">
        <v>12</v>
      </c>
      <c r="B91" s="40">
        <f>IF(AND(C91&gt;0,A91&lt;=$C$11),"Working","Retired")</f>
        <v/>
      </c>
      <c r="C91" s="41">
        <f>N('Savings Projection'!$B$30)</f>
        <v/>
      </c>
      <c r="D91" s="41">
        <f>IF(B91="Working",C91*$C$6,0)</f>
        <v/>
      </c>
      <c r="E91" s="41">
        <f>IF(OR(B91="Retired",D91=0),0,MIN(D91,'Tax Assumptions'!$B$19))</f>
        <v/>
      </c>
      <c r="F91" s="41">
        <f>IF(B91="Working",N('Savings Projection'!$E$30),0)</f>
        <v/>
      </c>
      <c r="G91" s="41">
        <f>IF(B91="Working",N('Savings Projection'!$F$30),0)</f>
        <v/>
      </c>
      <c r="H91" s="41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/>
      </c>
      <c r="I91" s="41">
        <f>IF(B91="Working",D91-E91-F91-G91-H91,0)</f>
        <v/>
      </c>
      <c r="J91" s="41">
        <f>IF(B91="Working",N('Savings Projection'!$S$30)*$C$8,0)</f>
        <v/>
      </c>
      <c r="K91" s="41">
        <f>IF(B91="Working",N('Savings Projection'!$T$30)*$C$9,0)</f>
        <v/>
      </c>
      <c r="L91" s="41">
        <f>IF(B91="Working",MIN(MAX(I91-J91-K91-AB91-AC91,0),'Tax Assumptions'!$B$20),0)</f>
        <v/>
      </c>
      <c r="M91" s="41">
        <f>IF(B91="Working",I91-J91-K91-L91-AB91-AC91,0)</f>
        <v/>
      </c>
      <c r="N91" s="41">
        <f>IF(B91="Working",M91+L91+E91+F91,-P91)</f>
        <v/>
      </c>
      <c r="O91" s="41">
        <f>IF(B91="Retired",$C$12+AB91+AC91,0)</f>
        <v/>
      </c>
      <c r="P91" s="41">
        <f>Q91+R91+S91+T91</f>
        <v/>
      </c>
      <c r="Q91" s="41">
        <f>IF(B91="Retired",MIN(((U90)*(1+$C$10)+IF(B91="Working",M91,0)),O91),0)</f>
        <v/>
      </c>
      <c r="R91" s="41">
        <f>IF(B91="Retired",MIN(MAX(O91-Q91,0),((V90)*(1+$C$10)+IF(B91="Working",E91,0))),0)</f>
        <v/>
      </c>
      <c r="S91" s="41">
        <f>IF(B91="Retired",MIN(MAX(O91-Q91-R91,0),((W90)*(1+$C$10)+IF(B91="Working",L91,0))),0)</f>
        <v/>
      </c>
      <c r="T91" s="41">
        <f>IF(B91="Retired",MIN(MAX(O91-Q91-R91-S91,0),((X90)*(1+$C$10)+IF(B91="Working",F91,0))),0)</f>
        <v/>
      </c>
      <c r="U91" s="41">
        <f>MAX(((U90)*(1+$C$10)+IF(B91="Working",M91,0))-Q91,0)</f>
        <v/>
      </c>
      <c r="V91" s="41">
        <f>MAX(((V90)*(1+$C$10)+IF(B91="Working",E91,0))-R91,0)</f>
        <v/>
      </c>
      <c r="W91" s="41">
        <f>MAX(((W90)*(1+$C$10)+IF(B91="Working",L91,0))-S91,0)</f>
        <v/>
      </c>
      <c r="X91" s="41">
        <f>MAX(((X90)*(1+$C$10)+IF(B91="Working",F91,0))-T91,0)</f>
        <v/>
      </c>
      <c r="Y91" s="41">
        <f>U91+V91+W91+X91</f>
        <v/>
      </c>
      <c r="Z91" s="41">
        <f>IF(B91="Retired",MAX(O91-P91,0),0)</f>
        <v/>
      </c>
      <c r="AA91" s="44">
        <f>IF(B91="Working",IF(D91=0,0,N91/D91),0)</f>
        <v/>
      </c>
      <c r="AB91" s="41">
        <f>IF(AND($C$14&gt;0,A91=$C$13),$C$14*($C$15+$C$18),0)+IF(AND($C$14&gt;0,A91=$C$13),$C$24,0)</f>
        <v/>
      </c>
      <c r="AC91" s="41">
        <f>IF(OR($C$14&lt;=0,A91&lt;$C$13),0,IF(AND($C$14&gt;0,$C$17&gt;0,A91&gt;=$C$13,A91&lt;($C$13+$C$17)),IF($C$17&lt;=0,0,IF($C$16=0,MAX($C$14*(1-$C$15),0)/$C$17,-PMT($C$16/12,$C$17*12,MAX($C$14*(1-$C$15),0))*12)),0)+AD91*($C$19+$C$20+$C$21)+$C$22+$C$23)</f>
        <v/>
      </c>
      <c r="AD91" s="41">
        <f>IF(AND($C$14&gt;0,A91&gt;=$C$13),$C$14*(1+$C$25)^(A91-$C$13),0)</f>
        <v/>
      </c>
      <c r="AE91" s="41">
        <f>IF(OR($C$14&lt;=0,$C$17&lt;=0,A91&lt;$C$13,MIN(MAX((A91-$C$13+1)*12,0),$C$17*12)&gt;=$C$17*12),0,IF($C$16=0,MAX(MAX($C$14*(1-$C$15),0)-(IF($C$17&lt;=0,0,IF($C$16=0,MAX($C$14*(1-$C$15),0)/$C$17,-PMT($C$16/12,$C$17*12,MAX($C$14*(1-$C$15),0))*12))/12)*MIN(MAX((A91-$C$13+1)*12,0),$C$17*12),0),MAX(MAX($C$14*(1-$C$15),0)*(1+$C$16/12)^MIN(MAX((A91-$C$13+1)*12,0),$C$17*12)-(IF($C$17&lt;=0,0,IF($C$16=0,MAX($C$14*(1-$C$15),0)/$C$17,-PMT($C$16/12,$C$17*12,MAX($C$14*(1-$C$15),0))*12))/12)*(((1+$C$16/12)^MIN(MAX((A91-$C$13+1)*12,0),$C$17*12)-1)/($C$16/12)),0)))</f>
        <v/>
      </c>
      <c r="AF91" s="41">
        <f>MAX(AD91-AE91,0)</f>
        <v/>
      </c>
      <c r="AG91" s="87">
        <f>Y91+AF91</f>
        <v/>
      </c>
    </row>
    <row r="92" ht="18" customHeight="1" s="326">
      <c r="A92" s="84" t="n">
        <v>13</v>
      </c>
      <c r="B92" s="72">
        <f>IF(AND(C92&gt;0,A92&lt;=$C$11),"Working","Retired")</f>
        <v/>
      </c>
      <c r="C92" s="73">
        <f>N('Savings Projection'!$B$31)</f>
        <v/>
      </c>
      <c r="D92" s="43">
        <f>IF(B92="Working",C92*$C$6,0)</f>
        <v/>
      </c>
      <c r="E92" s="73">
        <f>IF(OR(B92="Retired",D92=0),0,MIN(D92,'Tax Assumptions'!$B$19))</f>
        <v/>
      </c>
      <c r="F92" s="73">
        <f>IF(B92="Working",N('Savings Projection'!$E$31),0)</f>
        <v/>
      </c>
      <c r="G92" s="73">
        <f>IF(B92="Working",N('Savings Projection'!$F$31),0)</f>
        <v/>
      </c>
      <c r="H92" s="43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/>
      </c>
      <c r="I92" s="43">
        <f>IF(B92="Working",D92-E92-F92-G92-H92,0)</f>
        <v/>
      </c>
      <c r="J92" s="73">
        <f>IF(B92="Working",N('Savings Projection'!$S$31)*$C$8,0)</f>
        <v/>
      </c>
      <c r="K92" s="73">
        <f>IF(B92="Working",N('Savings Projection'!$T$31)*$C$9,0)</f>
        <v/>
      </c>
      <c r="L92" s="43">
        <f>IF(B92="Working",MIN(MAX(I92-J92-K92-AB92-AC92,0),'Tax Assumptions'!$B$20),0)</f>
        <v/>
      </c>
      <c r="M92" s="43">
        <f>IF(B92="Working",I92-J92-K92-L92-AB92-AC92,0)</f>
        <v/>
      </c>
      <c r="N92" s="73">
        <f>IF(B92="Working",M92+L92+E92+F92,-P92)</f>
        <v/>
      </c>
      <c r="O92" s="73">
        <f>IF(B92="Retired",$C$12+AB92+AC92,0)</f>
        <v/>
      </c>
      <c r="P92" s="73">
        <f>Q92+R92+S92+T92</f>
        <v/>
      </c>
      <c r="Q92" s="73">
        <f>IF(B92="Retired",MIN(((U91)*(1+$C$10)+IF(B92="Working",M92,0)),O92),0)</f>
        <v/>
      </c>
      <c r="R92" s="73">
        <f>IF(B92="Retired",MIN(MAX(O92-Q92,0),((V91)*(1+$C$10)+IF(B92="Working",E92,0))),0)</f>
        <v/>
      </c>
      <c r="S92" s="73">
        <f>IF(B92="Retired",MIN(MAX(O92-Q92-R92,0),((W91)*(1+$C$10)+IF(B92="Working",L92,0))),0)</f>
        <v/>
      </c>
      <c r="T92" s="73">
        <f>IF(B92="Retired",MIN(MAX(O92-Q92-R92-S92,0),((X91)*(1+$C$10)+IF(B92="Working",F92,0))),0)</f>
        <v/>
      </c>
      <c r="U92" s="43">
        <f>MAX(((U91)*(1+$C$10)+IF(B92="Working",M92,0))-Q92,0)</f>
        <v/>
      </c>
      <c r="V92" s="43">
        <f>MAX(((V91)*(1+$C$10)+IF(B92="Working",E92,0))-R92,0)</f>
        <v/>
      </c>
      <c r="W92" s="43">
        <f>MAX(((W91)*(1+$C$10)+IF(B92="Working",L92,0))-S92,0)</f>
        <v/>
      </c>
      <c r="X92" s="43">
        <f>MAX(((X91)*(1+$C$10)+IF(B92="Working",F92,0))-T92,0)</f>
        <v/>
      </c>
      <c r="Y92" s="43">
        <f>U92+V92+W92+X92</f>
        <v/>
      </c>
      <c r="Z92" s="73">
        <f>IF(B92="Retired",MAX(O92-P92,0),0)</f>
        <v/>
      </c>
      <c r="AA92" s="74">
        <f>IF(B92="Working",IF(D92=0,0,N92/D92),0)</f>
        <v/>
      </c>
      <c r="AB92" s="43">
        <f>IF(AND($C$14&gt;0,A92=$C$13),$C$14*($C$15+$C$18),0)+IF(AND($C$14&gt;0,A92=$C$13),$C$24,0)</f>
        <v/>
      </c>
      <c r="AC92" s="43">
        <f>IF(OR($C$14&lt;=0,A92&lt;$C$13),0,IF(AND($C$14&gt;0,$C$17&gt;0,A92&gt;=$C$13,A92&lt;($C$13+$C$17)),IF($C$17&lt;=0,0,IF($C$16=0,MAX($C$14*(1-$C$15),0)/$C$17,-PMT($C$16/12,$C$17*12,MAX($C$14*(1-$C$15),0))*12)),0)+AD92*($C$19+$C$20+$C$21)+$C$22+$C$23)</f>
        <v/>
      </c>
      <c r="AD92" s="43">
        <f>IF(AND($C$14&gt;0,A92&gt;=$C$13),$C$14*(1+$C$25)^(A92-$C$13),0)</f>
        <v/>
      </c>
      <c r="AE92" s="43">
        <f>IF(OR($C$14&lt;=0,$C$17&lt;=0,A92&lt;$C$13,MIN(MAX((A92-$C$13+1)*12,0),$C$17*12)&gt;=$C$17*12),0,IF($C$16=0,MAX(MAX($C$14*(1-$C$15),0)-(IF($C$17&lt;=0,0,IF($C$16=0,MAX($C$14*(1-$C$15),0)/$C$17,-PMT($C$16/12,$C$17*12,MAX($C$14*(1-$C$15),0))*12))/12)*MIN(MAX((A92-$C$13+1)*12,0),$C$17*12),0),MAX(MAX($C$14*(1-$C$15),0)*(1+$C$16/12)^MIN(MAX((A92-$C$13+1)*12,0),$C$17*12)-(IF($C$17&lt;=0,0,IF($C$16=0,MAX($C$14*(1-$C$15),0)/$C$17,-PMT($C$16/12,$C$17*12,MAX($C$14*(1-$C$15),0))*12))/12)*(((1+$C$16/12)^MIN(MAX((A92-$C$13+1)*12,0),$C$17*12)-1)/($C$16/12)),0)))</f>
        <v/>
      </c>
      <c r="AF92" s="43">
        <f>MAX(AD92-AE92,0)</f>
        <v/>
      </c>
      <c r="AG92" s="85">
        <f>Y92+AF92</f>
        <v/>
      </c>
    </row>
    <row r="93" ht="18" customHeight="1" s="326">
      <c r="A93" s="86" t="n">
        <v>14</v>
      </c>
      <c r="B93" s="40">
        <f>IF(AND(C93&gt;0,A93&lt;=$C$11),"Working","Retired")</f>
        <v/>
      </c>
      <c r="C93" s="41">
        <f>N('Savings Projection'!$B$32)</f>
        <v/>
      </c>
      <c r="D93" s="41">
        <f>IF(B93="Working",C93*$C$6,0)</f>
        <v/>
      </c>
      <c r="E93" s="41">
        <f>IF(OR(B93="Retired",D93=0),0,MIN(D93,'Tax Assumptions'!$B$19))</f>
        <v/>
      </c>
      <c r="F93" s="41">
        <f>IF(B93="Working",N('Savings Projection'!$E$32),0)</f>
        <v/>
      </c>
      <c r="G93" s="41">
        <f>IF(B93="Working",N('Savings Projection'!$F$32),0)</f>
        <v/>
      </c>
      <c r="H93" s="41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/>
      </c>
      <c r="I93" s="41">
        <f>IF(B93="Working",D93-E93-F93-G93-H93,0)</f>
        <v/>
      </c>
      <c r="J93" s="41">
        <f>IF(B93="Working",N('Savings Projection'!$S$32)*$C$8,0)</f>
        <v/>
      </c>
      <c r="K93" s="41">
        <f>IF(B93="Working",N('Savings Projection'!$T$32)*$C$9,0)</f>
        <v/>
      </c>
      <c r="L93" s="41">
        <f>IF(B93="Working",MIN(MAX(I93-J93-K93-AB93-AC93,0),'Tax Assumptions'!$B$20),0)</f>
        <v/>
      </c>
      <c r="M93" s="41">
        <f>IF(B93="Working",I93-J93-K93-L93-AB93-AC93,0)</f>
        <v/>
      </c>
      <c r="N93" s="41">
        <f>IF(B93="Working",M93+L93+E93+F93,-P93)</f>
        <v/>
      </c>
      <c r="O93" s="41">
        <f>IF(B93="Retired",$C$12+AB93+AC93,0)</f>
        <v/>
      </c>
      <c r="P93" s="41">
        <f>Q93+R93+S93+T93</f>
        <v/>
      </c>
      <c r="Q93" s="41">
        <f>IF(B93="Retired",MIN(((U92)*(1+$C$10)+IF(B93="Working",M93,0)),O93),0)</f>
        <v/>
      </c>
      <c r="R93" s="41">
        <f>IF(B93="Retired",MIN(MAX(O93-Q93,0),((V92)*(1+$C$10)+IF(B93="Working",E93,0))),0)</f>
        <v/>
      </c>
      <c r="S93" s="41">
        <f>IF(B93="Retired",MIN(MAX(O93-Q93-R93,0),((W92)*(1+$C$10)+IF(B93="Working",L93,0))),0)</f>
        <v/>
      </c>
      <c r="T93" s="41">
        <f>IF(B93="Retired",MIN(MAX(O93-Q93-R93-S93,0),((X92)*(1+$C$10)+IF(B93="Working",F93,0))),0)</f>
        <v/>
      </c>
      <c r="U93" s="41">
        <f>MAX(((U92)*(1+$C$10)+IF(B93="Working",M93,0))-Q93,0)</f>
        <v/>
      </c>
      <c r="V93" s="41">
        <f>MAX(((V92)*(1+$C$10)+IF(B93="Working",E93,0))-R93,0)</f>
        <v/>
      </c>
      <c r="W93" s="41">
        <f>MAX(((W92)*(1+$C$10)+IF(B93="Working",L93,0))-S93,0)</f>
        <v/>
      </c>
      <c r="X93" s="41">
        <f>MAX(((X92)*(1+$C$10)+IF(B93="Working",F93,0))-T93,0)</f>
        <v/>
      </c>
      <c r="Y93" s="41">
        <f>U93+V93+W93+X93</f>
        <v/>
      </c>
      <c r="Z93" s="41">
        <f>IF(B93="Retired",MAX(O93-P93,0),0)</f>
        <v/>
      </c>
      <c r="AA93" s="44">
        <f>IF(B93="Working",IF(D93=0,0,N93/D93),0)</f>
        <v/>
      </c>
      <c r="AB93" s="41">
        <f>IF(AND($C$14&gt;0,A93=$C$13),$C$14*($C$15+$C$18),0)+IF(AND($C$14&gt;0,A93=$C$13),$C$24,0)</f>
        <v/>
      </c>
      <c r="AC93" s="41">
        <f>IF(OR($C$14&lt;=0,A93&lt;$C$13),0,IF(AND($C$14&gt;0,$C$17&gt;0,A93&gt;=$C$13,A93&lt;($C$13+$C$17)),IF($C$17&lt;=0,0,IF($C$16=0,MAX($C$14*(1-$C$15),0)/$C$17,-PMT($C$16/12,$C$17*12,MAX($C$14*(1-$C$15),0))*12)),0)+AD93*($C$19+$C$20+$C$21)+$C$22+$C$23)</f>
        <v/>
      </c>
      <c r="AD93" s="41">
        <f>IF(AND($C$14&gt;0,A93&gt;=$C$13),$C$14*(1+$C$25)^(A93-$C$13),0)</f>
        <v/>
      </c>
      <c r="AE93" s="41">
        <f>IF(OR($C$14&lt;=0,$C$17&lt;=0,A93&lt;$C$13,MIN(MAX((A93-$C$13+1)*12,0),$C$17*12)&gt;=$C$17*12),0,IF($C$16=0,MAX(MAX($C$14*(1-$C$15),0)-(IF($C$17&lt;=0,0,IF($C$16=0,MAX($C$14*(1-$C$15),0)/$C$17,-PMT($C$16/12,$C$17*12,MAX($C$14*(1-$C$15),0))*12))/12)*MIN(MAX((A93-$C$13+1)*12,0),$C$17*12),0),MAX(MAX($C$14*(1-$C$15),0)*(1+$C$16/12)^MIN(MAX((A93-$C$13+1)*12,0),$C$17*12)-(IF($C$17&lt;=0,0,IF($C$16=0,MAX($C$14*(1-$C$15),0)/$C$17,-PMT($C$16/12,$C$17*12,MAX($C$14*(1-$C$15),0))*12))/12)*(((1+$C$16/12)^MIN(MAX((A93-$C$13+1)*12,0),$C$17*12)-1)/($C$16/12)),0)))</f>
        <v/>
      </c>
      <c r="AF93" s="41">
        <f>MAX(AD93-AE93,0)</f>
        <v/>
      </c>
      <c r="AG93" s="87">
        <f>Y93+AF93</f>
        <v/>
      </c>
    </row>
    <row r="94" ht="18" customHeight="1" s="326">
      <c r="A94" s="84" t="n">
        <v>15</v>
      </c>
      <c r="B94" s="72">
        <f>IF(AND(C94&gt;0,A94&lt;=$C$11),"Working","Retired")</f>
        <v/>
      </c>
      <c r="C94" s="73">
        <f>N('Savings Projection'!$B$33)</f>
        <v/>
      </c>
      <c r="D94" s="43">
        <f>IF(B94="Working",C94*$C$6,0)</f>
        <v/>
      </c>
      <c r="E94" s="73">
        <f>IF(OR(B94="Retired",D94=0),0,MIN(D94,'Tax Assumptions'!$B$19))</f>
        <v/>
      </c>
      <c r="F94" s="73">
        <f>IF(B94="Working",N('Savings Projection'!$E$33),0)</f>
        <v/>
      </c>
      <c r="G94" s="73">
        <f>IF(B94="Working",N('Savings Projection'!$F$33),0)</f>
        <v/>
      </c>
      <c r="H94" s="43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/>
      </c>
      <c r="I94" s="43">
        <f>IF(B94="Working",D94-E94-F94-G94-H94,0)</f>
        <v/>
      </c>
      <c r="J94" s="73">
        <f>IF(B94="Working",N('Savings Projection'!$S$33)*$C$8,0)</f>
        <v/>
      </c>
      <c r="K94" s="73">
        <f>IF(B94="Working",N('Savings Projection'!$T$33)*$C$9,0)</f>
        <v/>
      </c>
      <c r="L94" s="43">
        <f>IF(B94="Working",MIN(MAX(I94-J94-K94-AB94-AC94,0),'Tax Assumptions'!$B$20),0)</f>
        <v/>
      </c>
      <c r="M94" s="43">
        <f>IF(B94="Working",I94-J94-K94-L94-AB94-AC94,0)</f>
        <v/>
      </c>
      <c r="N94" s="73">
        <f>IF(B94="Working",M94+L94+E94+F94,-P94)</f>
        <v/>
      </c>
      <c r="O94" s="73">
        <f>IF(B94="Retired",$C$12+AB94+AC94,0)</f>
        <v/>
      </c>
      <c r="P94" s="73">
        <f>Q94+R94+S94+T94</f>
        <v/>
      </c>
      <c r="Q94" s="73">
        <f>IF(B94="Retired",MIN(((U93)*(1+$C$10)+IF(B94="Working",M94,0)),O94),0)</f>
        <v/>
      </c>
      <c r="R94" s="73">
        <f>IF(B94="Retired",MIN(MAX(O94-Q94,0),((V93)*(1+$C$10)+IF(B94="Working",E94,0))),0)</f>
        <v/>
      </c>
      <c r="S94" s="73">
        <f>IF(B94="Retired",MIN(MAX(O94-Q94-R94,0),((W93)*(1+$C$10)+IF(B94="Working",L94,0))),0)</f>
        <v/>
      </c>
      <c r="T94" s="73">
        <f>IF(B94="Retired",MIN(MAX(O94-Q94-R94-S94,0),((X93)*(1+$C$10)+IF(B94="Working",F94,0))),0)</f>
        <v/>
      </c>
      <c r="U94" s="43">
        <f>MAX(((U93)*(1+$C$10)+IF(B94="Working",M94,0))-Q94,0)</f>
        <v/>
      </c>
      <c r="V94" s="43">
        <f>MAX(((V93)*(1+$C$10)+IF(B94="Working",E94,0))-R94,0)</f>
        <v/>
      </c>
      <c r="W94" s="43">
        <f>MAX(((W93)*(1+$C$10)+IF(B94="Working",L94,0))-S94,0)</f>
        <v/>
      </c>
      <c r="X94" s="43">
        <f>MAX(((X93)*(1+$C$10)+IF(B94="Working",F94,0))-T94,0)</f>
        <v/>
      </c>
      <c r="Y94" s="43">
        <f>U94+V94+W94+X94</f>
        <v/>
      </c>
      <c r="Z94" s="73">
        <f>IF(B94="Retired",MAX(O94-P94,0),0)</f>
        <v/>
      </c>
      <c r="AA94" s="74">
        <f>IF(B94="Working",IF(D94=0,0,N94/D94),0)</f>
        <v/>
      </c>
      <c r="AB94" s="43">
        <f>IF(AND($C$14&gt;0,A94=$C$13),$C$14*($C$15+$C$18),0)+IF(AND($C$14&gt;0,A94=$C$13),$C$24,0)</f>
        <v/>
      </c>
      <c r="AC94" s="43">
        <f>IF(OR($C$14&lt;=0,A94&lt;$C$13),0,IF(AND($C$14&gt;0,$C$17&gt;0,A94&gt;=$C$13,A94&lt;($C$13+$C$17)),IF($C$17&lt;=0,0,IF($C$16=0,MAX($C$14*(1-$C$15),0)/$C$17,-PMT($C$16/12,$C$17*12,MAX($C$14*(1-$C$15),0))*12)),0)+AD94*($C$19+$C$20+$C$21)+$C$22+$C$23)</f>
        <v/>
      </c>
      <c r="AD94" s="43">
        <f>IF(AND($C$14&gt;0,A94&gt;=$C$13),$C$14*(1+$C$25)^(A94-$C$13),0)</f>
        <v/>
      </c>
      <c r="AE94" s="43">
        <f>IF(OR($C$14&lt;=0,$C$17&lt;=0,A94&lt;$C$13,MIN(MAX((A94-$C$13+1)*12,0),$C$17*12)&gt;=$C$17*12),0,IF($C$16=0,MAX(MAX($C$14*(1-$C$15),0)-(IF($C$17&lt;=0,0,IF($C$16=0,MAX($C$14*(1-$C$15),0)/$C$17,-PMT($C$16/12,$C$17*12,MAX($C$14*(1-$C$15),0))*12))/12)*MIN(MAX((A94-$C$13+1)*12,0),$C$17*12),0),MAX(MAX($C$14*(1-$C$15),0)*(1+$C$16/12)^MIN(MAX((A94-$C$13+1)*12,0),$C$17*12)-(IF($C$17&lt;=0,0,IF($C$16=0,MAX($C$14*(1-$C$15),0)/$C$17,-PMT($C$16/12,$C$17*12,MAX($C$14*(1-$C$15),0))*12))/12)*(((1+$C$16/12)^MIN(MAX((A94-$C$13+1)*12,0),$C$17*12)-1)/($C$16/12)),0)))</f>
        <v/>
      </c>
      <c r="AF94" s="43">
        <f>MAX(AD94-AE94,0)</f>
        <v/>
      </c>
      <c r="AG94" s="85">
        <f>Y94+AF94</f>
        <v/>
      </c>
    </row>
    <row r="95" ht="18" customHeight="1" s="326">
      <c r="A95" s="86" t="n">
        <v>16</v>
      </c>
      <c r="B95" s="40">
        <f>IF(AND(C95&gt;0,A95&lt;=$C$11),"Working","Retired")</f>
        <v/>
      </c>
      <c r="C95" s="41">
        <f>N('Savings Projection'!$B$34)</f>
        <v/>
      </c>
      <c r="D95" s="41">
        <f>IF(B95="Working",C95*$C$6,0)</f>
        <v/>
      </c>
      <c r="E95" s="41">
        <f>IF(OR(B95="Retired",D95=0),0,MIN(D95,'Tax Assumptions'!$B$19))</f>
        <v/>
      </c>
      <c r="F95" s="41">
        <f>IF(B95="Working",N('Savings Projection'!$E$34),0)</f>
        <v/>
      </c>
      <c r="G95" s="41">
        <f>IF(B95="Working",N('Savings Projection'!$F$34),0)</f>
        <v/>
      </c>
      <c r="H95" s="41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/>
      </c>
      <c r="I95" s="41">
        <f>IF(B95="Working",D95-E95-F95-G95-H95,0)</f>
        <v/>
      </c>
      <c r="J95" s="41">
        <f>IF(B95="Working",N('Savings Projection'!$S$34)*$C$8,0)</f>
        <v/>
      </c>
      <c r="K95" s="41">
        <f>IF(B95="Working",N('Savings Projection'!$T$34)*$C$9,0)</f>
        <v/>
      </c>
      <c r="L95" s="41">
        <f>IF(B95="Working",MIN(MAX(I95-J95-K95-AB95-AC95,0),'Tax Assumptions'!$B$20),0)</f>
        <v/>
      </c>
      <c r="M95" s="41">
        <f>IF(B95="Working",I95-J95-K95-L95-AB95-AC95,0)</f>
        <v/>
      </c>
      <c r="N95" s="41">
        <f>IF(B95="Working",M95+L95+E95+F95,-P95)</f>
        <v/>
      </c>
      <c r="O95" s="41">
        <f>IF(B95="Retired",$C$12+AB95+AC95,0)</f>
        <v/>
      </c>
      <c r="P95" s="41">
        <f>Q95+R95+S95+T95</f>
        <v/>
      </c>
      <c r="Q95" s="41">
        <f>IF(B95="Retired",MIN(((U94)*(1+$C$10)+IF(B95="Working",M95,0)),O95),0)</f>
        <v/>
      </c>
      <c r="R95" s="41">
        <f>IF(B95="Retired",MIN(MAX(O95-Q95,0),((V94)*(1+$C$10)+IF(B95="Working",E95,0))),0)</f>
        <v/>
      </c>
      <c r="S95" s="41">
        <f>IF(B95="Retired",MIN(MAX(O95-Q95-R95,0),((W94)*(1+$C$10)+IF(B95="Working",L95,0))),0)</f>
        <v/>
      </c>
      <c r="T95" s="41">
        <f>IF(B95="Retired",MIN(MAX(O95-Q95-R95-S95,0),((X94)*(1+$C$10)+IF(B95="Working",F95,0))),0)</f>
        <v/>
      </c>
      <c r="U95" s="41">
        <f>MAX(((U94)*(1+$C$10)+IF(B95="Working",M95,0))-Q95,0)</f>
        <v/>
      </c>
      <c r="V95" s="41">
        <f>MAX(((V94)*(1+$C$10)+IF(B95="Working",E95,0))-R95,0)</f>
        <v/>
      </c>
      <c r="W95" s="41">
        <f>MAX(((W94)*(1+$C$10)+IF(B95="Working",L95,0))-S95,0)</f>
        <v/>
      </c>
      <c r="X95" s="41">
        <f>MAX(((X94)*(1+$C$10)+IF(B95="Working",F95,0))-T95,0)</f>
        <v/>
      </c>
      <c r="Y95" s="41">
        <f>U95+V95+W95+X95</f>
        <v/>
      </c>
      <c r="Z95" s="41">
        <f>IF(B95="Retired",MAX(O95-P95,0),0)</f>
        <v/>
      </c>
      <c r="AA95" s="44">
        <f>IF(B95="Working",IF(D95=0,0,N95/D95),0)</f>
        <v/>
      </c>
      <c r="AB95" s="41">
        <f>IF(AND($C$14&gt;0,A95=$C$13),$C$14*($C$15+$C$18),0)+IF(AND($C$14&gt;0,A95=$C$13),$C$24,0)</f>
        <v/>
      </c>
      <c r="AC95" s="41">
        <f>IF(OR($C$14&lt;=0,A95&lt;$C$13),0,IF(AND($C$14&gt;0,$C$17&gt;0,A95&gt;=$C$13,A95&lt;($C$13+$C$17)),IF($C$17&lt;=0,0,IF($C$16=0,MAX($C$14*(1-$C$15),0)/$C$17,-PMT($C$16/12,$C$17*12,MAX($C$14*(1-$C$15),0))*12)),0)+AD95*($C$19+$C$20+$C$21)+$C$22+$C$23)</f>
        <v/>
      </c>
      <c r="AD95" s="41">
        <f>IF(AND($C$14&gt;0,A95&gt;=$C$13),$C$14*(1+$C$25)^(A95-$C$13),0)</f>
        <v/>
      </c>
      <c r="AE95" s="41">
        <f>IF(OR($C$14&lt;=0,$C$17&lt;=0,A95&lt;$C$13,MIN(MAX((A95-$C$13+1)*12,0),$C$17*12)&gt;=$C$17*12),0,IF($C$16=0,MAX(MAX($C$14*(1-$C$15),0)-(IF($C$17&lt;=0,0,IF($C$16=0,MAX($C$14*(1-$C$15),0)/$C$17,-PMT($C$16/12,$C$17*12,MAX($C$14*(1-$C$15),0))*12))/12)*MIN(MAX((A95-$C$13+1)*12,0),$C$17*12),0),MAX(MAX($C$14*(1-$C$15),0)*(1+$C$16/12)^MIN(MAX((A95-$C$13+1)*12,0),$C$17*12)-(IF($C$17&lt;=0,0,IF($C$16=0,MAX($C$14*(1-$C$15),0)/$C$17,-PMT($C$16/12,$C$17*12,MAX($C$14*(1-$C$15),0))*12))/12)*(((1+$C$16/12)^MIN(MAX((A95-$C$13+1)*12,0),$C$17*12)-1)/($C$16/12)),0)))</f>
        <v/>
      </c>
      <c r="AF95" s="41">
        <f>MAX(AD95-AE95,0)</f>
        <v/>
      </c>
      <c r="AG95" s="87">
        <f>Y95+AF95</f>
        <v/>
      </c>
    </row>
    <row r="96" ht="18" customHeight="1" s="326">
      <c r="A96" s="84" t="n">
        <v>17</v>
      </c>
      <c r="B96" s="72">
        <f>IF(AND(C96&gt;0,A96&lt;=$C$11),"Working","Retired")</f>
        <v/>
      </c>
      <c r="C96" s="73">
        <f>N('Savings Projection'!$B$35)</f>
        <v/>
      </c>
      <c r="D96" s="43">
        <f>IF(B96="Working",C96*$C$6,0)</f>
        <v/>
      </c>
      <c r="E96" s="73">
        <f>IF(OR(B96="Retired",D96=0),0,MIN(D96,'Tax Assumptions'!$B$19))</f>
        <v/>
      </c>
      <c r="F96" s="73">
        <f>IF(B96="Working",N('Savings Projection'!$E$35),0)</f>
        <v/>
      </c>
      <c r="G96" s="73">
        <f>IF(B96="Working",N('Savings Projection'!$F$35),0)</f>
        <v/>
      </c>
      <c r="H96" s="43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/>
      </c>
      <c r="I96" s="43">
        <f>IF(B96="Working",D96-E96-F96-G96-H96,0)</f>
        <v/>
      </c>
      <c r="J96" s="73">
        <f>IF(B96="Working",N('Savings Projection'!$S$35)*$C$8,0)</f>
        <v/>
      </c>
      <c r="K96" s="73">
        <f>IF(B96="Working",N('Savings Projection'!$T$35)*$C$9,0)</f>
        <v/>
      </c>
      <c r="L96" s="43">
        <f>IF(B96="Working",MIN(MAX(I96-J96-K96-AB96-AC96,0),'Tax Assumptions'!$B$20),0)</f>
        <v/>
      </c>
      <c r="M96" s="43">
        <f>IF(B96="Working",I96-J96-K96-L96-AB96-AC96,0)</f>
        <v/>
      </c>
      <c r="N96" s="73">
        <f>IF(B96="Working",M96+L96+E96+F96,-P96)</f>
        <v/>
      </c>
      <c r="O96" s="73">
        <f>IF(B96="Retired",$C$12+AB96+AC96,0)</f>
        <v/>
      </c>
      <c r="P96" s="73">
        <f>Q96+R96+S96+T96</f>
        <v/>
      </c>
      <c r="Q96" s="73">
        <f>IF(B96="Retired",MIN(((U95)*(1+$C$10)+IF(B96="Working",M96,0)),O96),0)</f>
        <v/>
      </c>
      <c r="R96" s="73">
        <f>IF(B96="Retired",MIN(MAX(O96-Q96,0),((V95)*(1+$C$10)+IF(B96="Working",E96,0))),0)</f>
        <v/>
      </c>
      <c r="S96" s="73">
        <f>IF(B96="Retired",MIN(MAX(O96-Q96-R96,0),((W95)*(1+$C$10)+IF(B96="Working",L96,0))),0)</f>
        <v/>
      </c>
      <c r="T96" s="73">
        <f>IF(B96="Retired",MIN(MAX(O96-Q96-R96-S96,0),((X95)*(1+$C$10)+IF(B96="Working",F96,0))),0)</f>
        <v/>
      </c>
      <c r="U96" s="43">
        <f>MAX(((U95)*(1+$C$10)+IF(B96="Working",M96,0))-Q96,0)</f>
        <v/>
      </c>
      <c r="V96" s="43">
        <f>MAX(((V95)*(1+$C$10)+IF(B96="Working",E96,0))-R96,0)</f>
        <v/>
      </c>
      <c r="W96" s="43">
        <f>MAX(((W95)*(1+$C$10)+IF(B96="Working",L96,0))-S96,0)</f>
        <v/>
      </c>
      <c r="X96" s="43">
        <f>MAX(((X95)*(1+$C$10)+IF(B96="Working",F96,0))-T96,0)</f>
        <v/>
      </c>
      <c r="Y96" s="43">
        <f>U96+V96+W96+X96</f>
        <v/>
      </c>
      <c r="Z96" s="73">
        <f>IF(B96="Retired",MAX(O96-P96,0),0)</f>
        <v/>
      </c>
      <c r="AA96" s="74">
        <f>IF(B96="Working",IF(D96=0,0,N96/D96),0)</f>
        <v/>
      </c>
      <c r="AB96" s="43">
        <f>IF(AND($C$14&gt;0,A96=$C$13),$C$14*($C$15+$C$18),0)+IF(AND($C$14&gt;0,A96=$C$13),$C$24,0)</f>
        <v/>
      </c>
      <c r="AC96" s="43">
        <f>IF(OR($C$14&lt;=0,A96&lt;$C$13),0,IF(AND($C$14&gt;0,$C$17&gt;0,A96&gt;=$C$13,A96&lt;($C$13+$C$17)),IF($C$17&lt;=0,0,IF($C$16=0,MAX($C$14*(1-$C$15),0)/$C$17,-PMT($C$16/12,$C$17*12,MAX($C$14*(1-$C$15),0))*12)),0)+AD96*($C$19+$C$20+$C$21)+$C$22+$C$23)</f>
        <v/>
      </c>
      <c r="AD96" s="43">
        <f>IF(AND($C$14&gt;0,A96&gt;=$C$13),$C$14*(1+$C$25)^(A96-$C$13),0)</f>
        <v/>
      </c>
      <c r="AE96" s="43">
        <f>IF(OR($C$14&lt;=0,$C$17&lt;=0,A96&lt;$C$13,MIN(MAX((A96-$C$13+1)*12,0),$C$17*12)&gt;=$C$17*12),0,IF($C$16=0,MAX(MAX($C$14*(1-$C$15),0)-(IF($C$17&lt;=0,0,IF($C$16=0,MAX($C$14*(1-$C$15),0)/$C$17,-PMT($C$16/12,$C$17*12,MAX($C$14*(1-$C$15),0))*12))/12)*MIN(MAX((A96-$C$13+1)*12,0),$C$17*12),0),MAX(MAX($C$14*(1-$C$15),0)*(1+$C$16/12)^MIN(MAX((A96-$C$13+1)*12,0),$C$17*12)-(IF($C$17&lt;=0,0,IF($C$16=0,MAX($C$14*(1-$C$15),0)/$C$17,-PMT($C$16/12,$C$17*12,MAX($C$14*(1-$C$15),0))*12))/12)*(((1+$C$16/12)^MIN(MAX((A96-$C$13+1)*12,0),$C$17*12)-1)/($C$16/12)),0)))</f>
        <v/>
      </c>
      <c r="AF96" s="43">
        <f>MAX(AD96-AE96,0)</f>
        <v/>
      </c>
      <c r="AG96" s="85">
        <f>Y96+AF96</f>
        <v/>
      </c>
    </row>
    <row r="97" ht="18" customHeight="1" s="326">
      <c r="A97" s="86" t="n">
        <v>18</v>
      </c>
      <c r="B97" s="40">
        <f>IF(AND(C97&gt;0,A97&lt;=$C$11),"Working","Retired")</f>
        <v/>
      </c>
      <c r="C97" s="41">
        <f>N('Savings Projection'!$B$36)</f>
        <v/>
      </c>
      <c r="D97" s="41">
        <f>IF(B97="Working",C97*$C$6,0)</f>
        <v/>
      </c>
      <c r="E97" s="41">
        <f>IF(OR(B97="Retired",D97=0),0,MIN(D97,'Tax Assumptions'!$B$19))</f>
        <v/>
      </c>
      <c r="F97" s="41">
        <f>IF(B97="Working",N('Savings Projection'!$E$36),0)</f>
        <v/>
      </c>
      <c r="G97" s="41">
        <f>IF(B97="Working",N('Savings Projection'!$F$36),0)</f>
        <v/>
      </c>
      <c r="H97" s="41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/>
      </c>
      <c r="I97" s="41">
        <f>IF(B97="Working",D97-E97-F97-G97-H97,0)</f>
        <v/>
      </c>
      <c r="J97" s="41">
        <f>IF(B97="Working",N('Savings Projection'!$S$36)*$C$8,0)</f>
        <v/>
      </c>
      <c r="K97" s="41">
        <f>IF(B97="Working",N('Savings Projection'!$T$36)*$C$9,0)</f>
        <v/>
      </c>
      <c r="L97" s="41">
        <f>IF(B97="Working",MIN(MAX(I97-J97-K97-AB97-AC97,0),'Tax Assumptions'!$B$20),0)</f>
        <v/>
      </c>
      <c r="M97" s="41">
        <f>IF(B97="Working",I97-J97-K97-L97-AB97-AC97,0)</f>
        <v/>
      </c>
      <c r="N97" s="41">
        <f>IF(B97="Working",M97+L97+E97+F97,-P97)</f>
        <v/>
      </c>
      <c r="O97" s="41">
        <f>IF(B97="Retired",$C$12+AB97+AC97,0)</f>
        <v/>
      </c>
      <c r="P97" s="41">
        <f>Q97+R97+S97+T97</f>
        <v/>
      </c>
      <c r="Q97" s="41">
        <f>IF(B97="Retired",MIN(((U96)*(1+$C$10)+IF(B97="Working",M97,0)),O97),0)</f>
        <v/>
      </c>
      <c r="R97" s="41">
        <f>IF(B97="Retired",MIN(MAX(O97-Q97,0),((V96)*(1+$C$10)+IF(B97="Working",E97,0))),0)</f>
        <v/>
      </c>
      <c r="S97" s="41">
        <f>IF(B97="Retired",MIN(MAX(O97-Q97-R97,0),((W96)*(1+$C$10)+IF(B97="Working",L97,0))),0)</f>
        <v/>
      </c>
      <c r="T97" s="41">
        <f>IF(B97="Retired",MIN(MAX(O97-Q97-R97-S97,0),((X96)*(1+$C$10)+IF(B97="Working",F97,0))),0)</f>
        <v/>
      </c>
      <c r="U97" s="41">
        <f>MAX(((U96)*(1+$C$10)+IF(B97="Working",M97,0))-Q97,0)</f>
        <v/>
      </c>
      <c r="V97" s="41">
        <f>MAX(((V96)*(1+$C$10)+IF(B97="Working",E97,0))-R97,0)</f>
        <v/>
      </c>
      <c r="W97" s="41">
        <f>MAX(((W96)*(1+$C$10)+IF(B97="Working",L97,0))-S97,0)</f>
        <v/>
      </c>
      <c r="X97" s="41">
        <f>MAX(((X96)*(1+$C$10)+IF(B97="Working",F97,0))-T97,0)</f>
        <v/>
      </c>
      <c r="Y97" s="41">
        <f>U97+V97+W97+X97</f>
        <v/>
      </c>
      <c r="Z97" s="41">
        <f>IF(B97="Retired",MAX(O97-P97,0),0)</f>
        <v/>
      </c>
      <c r="AA97" s="44">
        <f>IF(B97="Working",IF(D97=0,0,N97/D97),0)</f>
        <v/>
      </c>
      <c r="AB97" s="41">
        <f>IF(AND($C$14&gt;0,A97=$C$13),$C$14*($C$15+$C$18),0)+IF(AND($C$14&gt;0,A97=$C$13),$C$24,0)</f>
        <v/>
      </c>
      <c r="AC97" s="41">
        <f>IF(OR($C$14&lt;=0,A97&lt;$C$13),0,IF(AND($C$14&gt;0,$C$17&gt;0,A97&gt;=$C$13,A97&lt;($C$13+$C$17)),IF($C$17&lt;=0,0,IF($C$16=0,MAX($C$14*(1-$C$15),0)/$C$17,-PMT($C$16/12,$C$17*12,MAX($C$14*(1-$C$15),0))*12)),0)+AD97*($C$19+$C$20+$C$21)+$C$22+$C$23)</f>
        <v/>
      </c>
      <c r="AD97" s="41">
        <f>IF(AND($C$14&gt;0,A97&gt;=$C$13),$C$14*(1+$C$25)^(A97-$C$13),0)</f>
        <v/>
      </c>
      <c r="AE97" s="41">
        <f>IF(OR($C$14&lt;=0,$C$17&lt;=0,A97&lt;$C$13,MIN(MAX((A97-$C$13+1)*12,0),$C$17*12)&gt;=$C$17*12),0,IF($C$16=0,MAX(MAX($C$14*(1-$C$15),0)-(IF($C$17&lt;=0,0,IF($C$16=0,MAX($C$14*(1-$C$15),0)/$C$17,-PMT($C$16/12,$C$17*12,MAX($C$14*(1-$C$15),0))*12))/12)*MIN(MAX((A97-$C$13+1)*12,0),$C$17*12),0),MAX(MAX($C$14*(1-$C$15),0)*(1+$C$16/12)^MIN(MAX((A97-$C$13+1)*12,0),$C$17*12)-(IF($C$17&lt;=0,0,IF($C$16=0,MAX($C$14*(1-$C$15),0)/$C$17,-PMT($C$16/12,$C$17*12,MAX($C$14*(1-$C$15),0))*12))/12)*(((1+$C$16/12)^MIN(MAX((A97-$C$13+1)*12,0),$C$17*12)-1)/($C$16/12)),0)))</f>
        <v/>
      </c>
      <c r="AF97" s="41">
        <f>MAX(AD97-AE97,0)</f>
        <v/>
      </c>
      <c r="AG97" s="87">
        <f>Y97+AF97</f>
        <v/>
      </c>
    </row>
    <row r="98" ht="18" customHeight="1" s="326">
      <c r="A98" s="84" t="n">
        <v>19</v>
      </c>
      <c r="B98" s="72">
        <f>IF(AND(C98&gt;0,A98&lt;=$C$11),"Working","Retired")</f>
        <v/>
      </c>
      <c r="C98" s="73">
        <f>N('Savings Projection'!$B$37)</f>
        <v/>
      </c>
      <c r="D98" s="43">
        <f>IF(B98="Working",C98*$C$6,0)</f>
        <v/>
      </c>
      <c r="E98" s="73">
        <f>IF(OR(B98="Retired",D98=0),0,MIN(D98,'Tax Assumptions'!$B$19))</f>
        <v/>
      </c>
      <c r="F98" s="73">
        <f>IF(B98="Working",N('Savings Projection'!$E$37),0)</f>
        <v/>
      </c>
      <c r="G98" s="73">
        <f>IF(B98="Working",N('Savings Projection'!$F$37),0)</f>
        <v/>
      </c>
      <c r="H98" s="43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/>
      </c>
      <c r="I98" s="43">
        <f>IF(B98="Working",D98-E98-F98-G98-H98,0)</f>
        <v/>
      </c>
      <c r="J98" s="73">
        <f>IF(B98="Working",N('Savings Projection'!$S$37)*$C$8,0)</f>
        <v/>
      </c>
      <c r="K98" s="73">
        <f>IF(B98="Working",N('Savings Projection'!$T$37)*$C$9,0)</f>
        <v/>
      </c>
      <c r="L98" s="43">
        <f>IF(B98="Working",MIN(MAX(I98-J98-K98-AB98-AC98,0),'Tax Assumptions'!$B$20),0)</f>
        <v/>
      </c>
      <c r="M98" s="43">
        <f>IF(B98="Working",I98-J98-K98-L98-AB98-AC98,0)</f>
        <v/>
      </c>
      <c r="N98" s="73">
        <f>IF(B98="Working",M98+L98+E98+F98,-P98)</f>
        <v/>
      </c>
      <c r="O98" s="73">
        <f>IF(B98="Retired",$C$12+AB98+AC98,0)</f>
        <v/>
      </c>
      <c r="P98" s="73">
        <f>Q98+R98+S98+T98</f>
        <v/>
      </c>
      <c r="Q98" s="73">
        <f>IF(B98="Retired",MIN(((U97)*(1+$C$10)+IF(B98="Working",M98,0)),O98),0)</f>
        <v/>
      </c>
      <c r="R98" s="73">
        <f>IF(B98="Retired",MIN(MAX(O98-Q98,0),((V97)*(1+$C$10)+IF(B98="Working",E98,0))),0)</f>
        <v/>
      </c>
      <c r="S98" s="73">
        <f>IF(B98="Retired",MIN(MAX(O98-Q98-R98,0),((W97)*(1+$C$10)+IF(B98="Working",L98,0))),0)</f>
        <v/>
      </c>
      <c r="T98" s="73">
        <f>IF(B98="Retired",MIN(MAX(O98-Q98-R98-S98,0),((X97)*(1+$C$10)+IF(B98="Working",F98,0))),0)</f>
        <v/>
      </c>
      <c r="U98" s="43">
        <f>MAX(((U97)*(1+$C$10)+IF(B98="Working",M98,0))-Q98,0)</f>
        <v/>
      </c>
      <c r="V98" s="43">
        <f>MAX(((V97)*(1+$C$10)+IF(B98="Working",E98,0))-R98,0)</f>
        <v/>
      </c>
      <c r="W98" s="43">
        <f>MAX(((W97)*(1+$C$10)+IF(B98="Working",L98,0))-S98,0)</f>
        <v/>
      </c>
      <c r="X98" s="43">
        <f>MAX(((X97)*(1+$C$10)+IF(B98="Working",F98,0))-T98,0)</f>
        <v/>
      </c>
      <c r="Y98" s="43">
        <f>U98+V98+W98+X98</f>
        <v/>
      </c>
      <c r="Z98" s="73">
        <f>IF(B98="Retired",MAX(O98-P98,0),0)</f>
        <v/>
      </c>
      <c r="AA98" s="74">
        <f>IF(B98="Working",IF(D98=0,0,N98/D98),0)</f>
        <v/>
      </c>
      <c r="AB98" s="43">
        <f>IF(AND($C$14&gt;0,A98=$C$13),$C$14*($C$15+$C$18),0)+IF(AND($C$14&gt;0,A98=$C$13),$C$24,0)</f>
        <v/>
      </c>
      <c r="AC98" s="43">
        <f>IF(OR($C$14&lt;=0,A98&lt;$C$13),0,IF(AND($C$14&gt;0,$C$17&gt;0,A98&gt;=$C$13,A98&lt;($C$13+$C$17)),IF($C$17&lt;=0,0,IF($C$16=0,MAX($C$14*(1-$C$15),0)/$C$17,-PMT($C$16/12,$C$17*12,MAX($C$14*(1-$C$15),0))*12)),0)+AD98*($C$19+$C$20+$C$21)+$C$22+$C$23)</f>
        <v/>
      </c>
      <c r="AD98" s="43">
        <f>IF(AND($C$14&gt;0,A98&gt;=$C$13),$C$14*(1+$C$25)^(A98-$C$13),0)</f>
        <v/>
      </c>
      <c r="AE98" s="43">
        <f>IF(OR($C$14&lt;=0,$C$17&lt;=0,A98&lt;$C$13,MIN(MAX((A98-$C$13+1)*12,0),$C$17*12)&gt;=$C$17*12),0,IF($C$16=0,MAX(MAX($C$14*(1-$C$15),0)-(IF($C$17&lt;=0,0,IF($C$16=0,MAX($C$14*(1-$C$15),0)/$C$17,-PMT($C$16/12,$C$17*12,MAX($C$14*(1-$C$15),0))*12))/12)*MIN(MAX((A98-$C$13+1)*12,0),$C$17*12),0),MAX(MAX($C$14*(1-$C$15),0)*(1+$C$16/12)^MIN(MAX((A98-$C$13+1)*12,0),$C$17*12)-(IF($C$17&lt;=0,0,IF($C$16=0,MAX($C$14*(1-$C$15),0)/$C$17,-PMT($C$16/12,$C$17*12,MAX($C$14*(1-$C$15),0))*12))/12)*(((1+$C$16/12)^MIN(MAX((A98-$C$13+1)*12,0),$C$17*12)-1)/($C$16/12)),0)))</f>
        <v/>
      </c>
      <c r="AF98" s="43">
        <f>MAX(AD98-AE98,0)</f>
        <v/>
      </c>
      <c r="AG98" s="85">
        <f>Y98+AF98</f>
        <v/>
      </c>
    </row>
    <row r="99" ht="18" customHeight="1" s="326">
      <c r="A99" s="86" t="n">
        <v>20</v>
      </c>
      <c r="B99" s="40">
        <f>IF(AND(C99&gt;0,A99&lt;=$C$11),"Working","Retired")</f>
        <v/>
      </c>
      <c r="C99" s="41">
        <f>N('Savings Projection'!$B$38)</f>
        <v/>
      </c>
      <c r="D99" s="41">
        <f>IF(B99="Working",C99*$C$6,0)</f>
        <v/>
      </c>
      <c r="E99" s="41">
        <f>IF(OR(B99="Retired",D99=0),0,MIN(D99,'Tax Assumptions'!$B$19))</f>
        <v/>
      </c>
      <c r="F99" s="41">
        <f>IF(B99="Working",N('Savings Projection'!$E$38),0)</f>
        <v/>
      </c>
      <c r="G99" s="41">
        <f>IF(B99="Working",N('Savings Projection'!$F$38),0)</f>
        <v/>
      </c>
      <c r="H99" s="41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/>
      </c>
      <c r="I99" s="41">
        <f>IF(B99="Working",D99-E99-F99-G99-H99,0)</f>
        <v/>
      </c>
      <c r="J99" s="41">
        <f>IF(B99="Working",N('Savings Projection'!$S$38)*$C$8,0)</f>
        <v/>
      </c>
      <c r="K99" s="41">
        <f>IF(B99="Working",N('Savings Projection'!$T$38)*$C$9,0)</f>
        <v/>
      </c>
      <c r="L99" s="41">
        <f>IF(B99="Working",MIN(MAX(I99-J99-K99-AB99-AC99,0),'Tax Assumptions'!$B$20),0)</f>
        <v/>
      </c>
      <c r="M99" s="41">
        <f>IF(B99="Working",I99-J99-K99-L99-AB99-AC99,0)</f>
        <v/>
      </c>
      <c r="N99" s="41">
        <f>IF(B99="Working",M99+L99+E99+F99,-P99)</f>
        <v/>
      </c>
      <c r="O99" s="41">
        <f>IF(B99="Retired",$C$12+AB99+AC99,0)</f>
        <v/>
      </c>
      <c r="P99" s="41">
        <f>Q99+R99+S99+T99</f>
        <v/>
      </c>
      <c r="Q99" s="41">
        <f>IF(B99="Retired",MIN(((U98)*(1+$C$10)+IF(B99="Working",M99,0)),O99),0)</f>
        <v/>
      </c>
      <c r="R99" s="41">
        <f>IF(B99="Retired",MIN(MAX(O99-Q99,0),((V98)*(1+$C$10)+IF(B99="Working",E99,0))),0)</f>
        <v/>
      </c>
      <c r="S99" s="41">
        <f>IF(B99="Retired",MIN(MAX(O99-Q99-R99,0),((W98)*(1+$C$10)+IF(B99="Working",L99,0))),0)</f>
        <v/>
      </c>
      <c r="T99" s="41">
        <f>IF(B99="Retired",MIN(MAX(O99-Q99-R99-S99,0),((X98)*(1+$C$10)+IF(B99="Working",F99,0))),0)</f>
        <v/>
      </c>
      <c r="U99" s="41">
        <f>MAX(((U98)*(1+$C$10)+IF(B99="Working",M99,0))-Q99,0)</f>
        <v/>
      </c>
      <c r="V99" s="41">
        <f>MAX(((V98)*(1+$C$10)+IF(B99="Working",E99,0))-R99,0)</f>
        <v/>
      </c>
      <c r="W99" s="41">
        <f>MAX(((W98)*(1+$C$10)+IF(B99="Working",L99,0))-S99,0)</f>
        <v/>
      </c>
      <c r="X99" s="41">
        <f>MAX(((X98)*(1+$C$10)+IF(B99="Working",F99,0))-T99,0)</f>
        <v/>
      </c>
      <c r="Y99" s="41">
        <f>U99+V99+W99+X99</f>
        <v/>
      </c>
      <c r="Z99" s="41">
        <f>IF(B99="Retired",MAX(O99-P99,0),0)</f>
        <v/>
      </c>
      <c r="AA99" s="44">
        <f>IF(B99="Working",IF(D99=0,0,N99/D99),0)</f>
        <v/>
      </c>
      <c r="AB99" s="41">
        <f>IF(AND($C$14&gt;0,A99=$C$13),$C$14*($C$15+$C$18),0)+IF(AND($C$14&gt;0,A99=$C$13),$C$24,0)</f>
        <v/>
      </c>
      <c r="AC99" s="41">
        <f>IF(OR($C$14&lt;=0,A99&lt;$C$13),0,IF(AND($C$14&gt;0,$C$17&gt;0,A99&gt;=$C$13,A99&lt;($C$13+$C$17)),IF($C$17&lt;=0,0,IF($C$16=0,MAX($C$14*(1-$C$15),0)/$C$17,-PMT($C$16/12,$C$17*12,MAX($C$14*(1-$C$15),0))*12)),0)+AD99*($C$19+$C$20+$C$21)+$C$22+$C$23)</f>
        <v/>
      </c>
      <c r="AD99" s="41">
        <f>IF(AND($C$14&gt;0,A99&gt;=$C$13),$C$14*(1+$C$25)^(A99-$C$13),0)</f>
        <v/>
      </c>
      <c r="AE99" s="41">
        <f>IF(OR($C$14&lt;=0,$C$17&lt;=0,A99&lt;$C$13,MIN(MAX((A99-$C$13+1)*12,0),$C$17*12)&gt;=$C$17*12),0,IF($C$16=0,MAX(MAX($C$14*(1-$C$15),0)-(IF($C$17&lt;=0,0,IF($C$16=0,MAX($C$14*(1-$C$15),0)/$C$17,-PMT($C$16/12,$C$17*12,MAX($C$14*(1-$C$15),0))*12))/12)*MIN(MAX((A99-$C$13+1)*12,0),$C$17*12),0),MAX(MAX($C$14*(1-$C$15),0)*(1+$C$16/12)^MIN(MAX((A99-$C$13+1)*12,0),$C$17*12)-(IF($C$17&lt;=0,0,IF($C$16=0,MAX($C$14*(1-$C$15),0)/$C$17,-PMT($C$16/12,$C$17*12,MAX($C$14*(1-$C$15),0))*12))/12)*(((1+$C$16/12)^MIN(MAX((A99-$C$13+1)*12,0),$C$17*12)-1)/($C$16/12)),0)))</f>
        <v/>
      </c>
      <c r="AF99" s="41">
        <f>MAX(AD99-AE99,0)</f>
        <v/>
      </c>
      <c r="AG99" s="87">
        <f>Y99+AF99</f>
        <v/>
      </c>
    </row>
    <row r="100" ht="18" customHeight="1" s="326">
      <c r="A100" s="84" t="n">
        <v>21</v>
      </c>
      <c r="B100" s="72">
        <f>IF(AND(C100&gt;0,A100&lt;=$C$11),"Working","Retired")</f>
        <v/>
      </c>
      <c r="C100" s="73">
        <f>N('Savings Projection'!$B$39)</f>
        <v/>
      </c>
      <c r="D100" s="43">
        <f>IF(B100="Working",C100*$C$6,0)</f>
        <v/>
      </c>
      <c r="E100" s="73">
        <f>IF(OR(B100="Retired",D100=0),0,MIN(D100,'Tax Assumptions'!$B$19))</f>
        <v/>
      </c>
      <c r="F100" s="73">
        <f>IF(B100="Working",N('Savings Projection'!$E$39),0)</f>
        <v/>
      </c>
      <c r="G100" s="73">
        <f>IF(B100="Working",N('Savings Projection'!$F$39),0)</f>
        <v/>
      </c>
      <c r="H100" s="43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/>
      </c>
      <c r="I100" s="43">
        <f>IF(B100="Working",D100-E100-F100-G100-H100,0)</f>
        <v/>
      </c>
      <c r="J100" s="73">
        <f>IF(B100="Working",N('Savings Projection'!$S$39)*$C$8,0)</f>
        <v/>
      </c>
      <c r="K100" s="73">
        <f>IF(B100="Working",N('Savings Projection'!$T$39)*$C$9,0)</f>
        <v/>
      </c>
      <c r="L100" s="43">
        <f>IF(B100="Working",MIN(MAX(I100-J100-K100-AB100-AC100,0),'Tax Assumptions'!$B$20),0)</f>
        <v/>
      </c>
      <c r="M100" s="43">
        <f>IF(B100="Working",I100-J100-K100-L100-AB100-AC100,0)</f>
        <v/>
      </c>
      <c r="N100" s="73">
        <f>IF(B100="Working",M100+L100+E100+F100,-P100)</f>
        <v/>
      </c>
      <c r="O100" s="73">
        <f>IF(B100="Retired",$C$12+AB100+AC100,0)</f>
        <v/>
      </c>
      <c r="P100" s="73">
        <f>Q100+R100+S100+T100</f>
        <v/>
      </c>
      <c r="Q100" s="73">
        <f>IF(B100="Retired",MIN(((U99)*(1+$C$10)+IF(B100="Working",M100,0)),O100),0)</f>
        <v/>
      </c>
      <c r="R100" s="73">
        <f>IF(B100="Retired",MIN(MAX(O100-Q100,0),((V99)*(1+$C$10)+IF(B100="Working",E100,0))),0)</f>
        <v/>
      </c>
      <c r="S100" s="73">
        <f>IF(B100="Retired",MIN(MAX(O100-Q100-R100,0),((W99)*(1+$C$10)+IF(B100="Working",L100,0))),0)</f>
        <v/>
      </c>
      <c r="T100" s="73">
        <f>IF(B100="Retired",MIN(MAX(O100-Q100-R100-S100,0),((X99)*(1+$C$10)+IF(B100="Working",F100,0))),0)</f>
        <v/>
      </c>
      <c r="U100" s="43">
        <f>MAX(((U99)*(1+$C$10)+IF(B100="Working",M100,0))-Q100,0)</f>
        <v/>
      </c>
      <c r="V100" s="43">
        <f>MAX(((V99)*(1+$C$10)+IF(B100="Working",E100,0))-R100,0)</f>
        <v/>
      </c>
      <c r="W100" s="43">
        <f>MAX(((W99)*(1+$C$10)+IF(B100="Working",L100,0))-S100,0)</f>
        <v/>
      </c>
      <c r="X100" s="43">
        <f>MAX(((X99)*(1+$C$10)+IF(B100="Working",F100,0))-T100,0)</f>
        <v/>
      </c>
      <c r="Y100" s="43">
        <f>U100+V100+W100+X100</f>
        <v/>
      </c>
      <c r="Z100" s="73">
        <f>IF(B100="Retired",MAX(O100-P100,0),0)</f>
        <v/>
      </c>
      <c r="AA100" s="74">
        <f>IF(B100="Working",IF(D100=0,0,N100/D100),0)</f>
        <v/>
      </c>
      <c r="AB100" s="43">
        <f>IF(AND($C$14&gt;0,A100=$C$13),$C$14*($C$15+$C$18),0)+IF(AND($C$14&gt;0,A100=$C$13),$C$24,0)</f>
        <v/>
      </c>
      <c r="AC100" s="43">
        <f>IF(OR($C$14&lt;=0,A100&lt;$C$13),0,IF(AND($C$14&gt;0,$C$17&gt;0,A100&gt;=$C$13,A100&lt;($C$13+$C$17)),IF($C$17&lt;=0,0,IF($C$16=0,MAX($C$14*(1-$C$15),0)/$C$17,-PMT($C$16/12,$C$17*12,MAX($C$14*(1-$C$15),0))*12)),0)+AD100*($C$19+$C$20+$C$21)+$C$22+$C$23)</f>
        <v/>
      </c>
      <c r="AD100" s="43">
        <f>IF(AND($C$14&gt;0,A100&gt;=$C$13),$C$14*(1+$C$25)^(A100-$C$13),0)</f>
        <v/>
      </c>
      <c r="AE100" s="43">
        <f>IF(OR($C$14&lt;=0,$C$17&lt;=0,A100&lt;$C$13,MIN(MAX((A100-$C$13+1)*12,0),$C$17*12)&gt;=$C$17*12),0,IF($C$16=0,MAX(MAX($C$14*(1-$C$15),0)-(IF($C$17&lt;=0,0,IF($C$16=0,MAX($C$14*(1-$C$15),0)/$C$17,-PMT($C$16/12,$C$17*12,MAX($C$14*(1-$C$15),0))*12))/12)*MIN(MAX((A100-$C$13+1)*12,0),$C$17*12),0),MAX(MAX($C$14*(1-$C$15),0)*(1+$C$16/12)^MIN(MAX((A100-$C$13+1)*12,0),$C$17*12)-(IF($C$17&lt;=0,0,IF($C$16=0,MAX($C$14*(1-$C$15),0)/$C$17,-PMT($C$16/12,$C$17*12,MAX($C$14*(1-$C$15),0))*12))/12)*(((1+$C$16/12)^MIN(MAX((A100-$C$13+1)*12,0),$C$17*12)-1)/($C$16/12)),0)))</f>
        <v/>
      </c>
      <c r="AF100" s="43">
        <f>MAX(AD100-AE100,0)</f>
        <v/>
      </c>
      <c r="AG100" s="85">
        <f>Y100+AF100</f>
        <v/>
      </c>
    </row>
    <row r="101" ht="18" customHeight="1" s="326">
      <c r="A101" s="86" t="n">
        <v>22</v>
      </c>
      <c r="B101" s="40">
        <f>IF(AND(C101&gt;0,A101&lt;=$C$11),"Working","Retired")</f>
        <v/>
      </c>
      <c r="C101" s="41">
        <f>N('Savings Projection'!$B$40)</f>
        <v/>
      </c>
      <c r="D101" s="41">
        <f>IF(B101="Working",C101*$C$6,0)</f>
        <v/>
      </c>
      <c r="E101" s="41">
        <f>IF(OR(B101="Retired",D101=0),0,MIN(D101,'Tax Assumptions'!$B$19))</f>
        <v/>
      </c>
      <c r="F101" s="41">
        <f>IF(B101="Working",N('Savings Projection'!$E$40),0)</f>
        <v/>
      </c>
      <c r="G101" s="41">
        <f>IF(B101="Working",N('Savings Projection'!$F$40),0)</f>
        <v/>
      </c>
      <c r="H101" s="41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/>
      </c>
      <c r="I101" s="41">
        <f>IF(B101="Working",D101-E101-F101-G101-H101,0)</f>
        <v/>
      </c>
      <c r="J101" s="41">
        <f>IF(B101="Working",N('Savings Projection'!$S$40)*$C$8,0)</f>
        <v/>
      </c>
      <c r="K101" s="41">
        <f>IF(B101="Working",N('Savings Projection'!$T$40)*$C$9,0)</f>
        <v/>
      </c>
      <c r="L101" s="41">
        <f>IF(B101="Working",MIN(MAX(I101-J101-K101-AB101-AC101,0),'Tax Assumptions'!$B$20),0)</f>
        <v/>
      </c>
      <c r="M101" s="41">
        <f>IF(B101="Working",I101-J101-K101-L101-AB101-AC101,0)</f>
        <v/>
      </c>
      <c r="N101" s="41">
        <f>IF(B101="Working",M101+L101+E101+F101,-P101)</f>
        <v/>
      </c>
      <c r="O101" s="41">
        <f>IF(B101="Retired",$C$12+AB101+AC101,0)</f>
        <v/>
      </c>
      <c r="P101" s="41">
        <f>Q101+R101+S101+T101</f>
        <v/>
      </c>
      <c r="Q101" s="41">
        <f>IF(B101="Retired",MIN(((U100)*(1+$C$10)+IF(B101="Working",M101,0)),O101),0)</f>
        <v/>
      </c>
      <c r="R101" s="41">
        <f>IF(B101="Retired",MIN(MAX(O101-Q101,0),((V100)*(1+$C$10)+IF(B101="Working",E101,0))),0)</f>
        <v/>
      </c>
      <c r="S101" s="41">
        <f>IF(B101="Retired",MIN(MAX(O101-Q101-R101,0),((W100)*(1+$C$10)+IF(B101="Working",L101,0))),0)</f>
        <v/>
      </c>
      <c r="T101" s="41">
        <f>IF(B101="Retired",MIN(MAX(O101-Q101-R101-S101,0),((X100)*(1+$C$10)+IF(B101="Working",F101,0))),0)</f>
        <v/>
      </c>
      <c r="U101" s="41">
        <f>MAX(((U100)*(1+$C$10)+IF(B101="Working",M101,0))-Q101,0)</f>
        <v/>
      </c>
      <c r="V101" s="41">
        <f>MAX(((V100)*(1+$C$10)+IF(B101="Working",E101,0))-R101,0)</f>
        <v/>
      </c>
      <c r="W101" s="41">
        <f>MAX(((W100)*(1+$C$10)+IF(B101="Working",L101,0))-S101,0)</f>
        <v/>
      </c>
      <c r="X101" s="41">
        <f>MAX(((X100)*(1+$C$10)+IF(B101="Working",F101,0))-T101,0)</f>
        <v/>
      </c>
      <c r="Y101" s="41">
        <f>U101+V101+W101+X101</f>
        <v/>
      </c>
      <c r="Z101" s="41">
        <f>IF(B101="Retired",MAX(O101-P101,0),0)</f>
        <v/>
      </c>
      <c r="AA101" s="44">
        <f>IF(B101="Working",IF(D101=0,0,N101/D101),0)</f>
        <v/>
      </c>
      <c r="AB101" s="41">
        <f>IF(AND($C$14&gt;0,A101=$C$13),$C$14*($C$15+$C$18),0)+IF(AND($C$14&gt;0,A101=$C$13),$C$24,0)</f>
        <v/>
      </c>
      <c r="AC101" s="41">
        <f>IF(OR($C$14&lt;=0,A101&lt;$C$13),0,IF(AND($C$14&gt;0,$C$17&gt;0,A101&gt;=$C$13,A101&lt;($C$13+$C$17)),IF($C$17&lt;=0,0,IF($C$16=0,MAX($C$14*(1-$C$15),0)/$C$17,-PMT($C$16/12,$C$17*12,MAX($C$14*(1-$C$15),0))*12)),0)+AD101*($C$19+$C$20+$C$21)+$C$22+$C$23)</f>
        <v/>
      </c>
      <c r="AD101" s="41">
        <f>IF(AND($C$14&gt;0,A101&gt;=$C$13),$C$14*(1+$C$25)^(A101-$C$13),0)</f>
        <v/>
      </c>
      <c r="AE101" s="41">
        <f>IF(OR($C$14&lt;=0,$C$17&lt;=0,A101&lt;$C$13,MIN(MAX((A101-$C$13+1)*12,0),$C$17*12)&gt;=$C$17*12),0,IF($C$16=0,MAX(MAX($C$14*(1-$C$15),0)-(IF($C$17&lt;=0,0,IF($C$16=0,MAX($C$14*(1-$C$15),0)/$C$17,-PMT($C$16/12,$C$17*12,MAX($C$14*(1-$C$15),0))*12))/12)*MIN(MAX((A101-$C$13+1)*12,0),$C$17*12),0),MAX(MAX($C$14*(1-$C$15),0)*(1+$C$16/12)^MIN(MAX((A101-$C$13+1)*12,0),$C$17*12)-(IF($C$17&lt;=0,0,IF($C$16=0,MAX($C$14*(1-$C$15),0)/$C$17,-PMT($C$16/12,$C$17*12,MAX($C$14*(1-$C$15),0))*12))/12)*(((1+$C$16/12)^MIN(MAX((A101-$C$13+1)*12,0),$C$17*12)-1)/($C$16/12)),0)))</f>
        <v/>
      </c>
      <c r="AF101" s="41">
        <f>MAX(AD101-AE101,0)</f>
        <v/>
      </c>
      <c r="AG101" s="87">
        <f>Y101+AF101</f>
        <v/>
      </c>
    </row>
    <row r="102" ht="18" customHeight="1" s="326">
      <c r="A102" s="84" t="n">
        <v>23</v>
      </c>
      <c r="B102" s="72">
        <f>IF(AND(C102&gt;0,A102&lt;=$C$11),"Working","Retired")</f>
        <v/>
      </c>
      <c r="C102" s="73">
        <f>N('Savings Projection'!$B$41)</f>
        <v/>
      </c>
      <c r="D102" s="43">
        <f>IF(B102="Working",C102*$C$6,0)</f>
        <v/>
      </c>
      <c r="E102" s="73">
        <f>IF(OR(B102="Retired",D102=0),0,MIN(D102,'Tax Assumptions'!$B$19))</f>
        <v/>
      </c>
      <c r="F102" s="73">
        <f>IF(B102="Working",N('Savings Projection'!$E$41),0)</f>
        <v/>
      </c>
      <c r="G102" s="73">
        <f>IF(B102="Working",N('Savings Projection'!$F$41),0)</f>
        <v/>
      </c>
      <c r="H102" s="43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/>
      </c>
      <c r="I102" s="43">
        <f>IF(B102="Working",D102-E102-F102-G102-H102,0)</f>
        <v/>
      </c>
      <c r="J102" s="73">
        <f>IF(B102="Working",N('Savings Projection'!$S$41)*$C$8,0)</f>
        <v/>
      </c>
      <c r="K102" s="73">
        <f>IF(B102="Working",N('Savings Projection'!$T$41)*$C$9,0)</f>
        <v/>
      </c>
      <c r="L102" s="43">
        <f>IF(B102="Working",MIN(MAX(I102-J102-K102-AB102-AC102,0),'Tax Assumptions'!$B$20),0)</f>
        <v/>
      </c>
      <c r="M102" s="43">
        <f>IF(B102="Working",I102-J102-K102-L102-AB102-AC102,0)</f>
        <v/>
      </c>
      <c r="N102" s="73">
        <f>IF(B102="Working",M102+L102+E102+F102,-P102)</f>
        <v/>
      </c>
      <c r="O102" s="73">
        <f>IF(B102="Retired",$C$12+AB102+AC102,0)</f>
        <v/>
      </c>
      <c r="P102" s="73">
        <f>Q102+R102+S102+T102</f>
        <v/>
      </c>
      <c r="Q102" s="73">
        <f>IF(B102="Retired",MIN(((U101)*(1+$C$10)+IF(B102="Working",M102,0)),O102),0)</f>
        <v/>
      </c>
      <c r="R102" s="73">
        <f>IF(B102="Retired",MIN(MAX(O102-Q102,0),((V101)*(1+$C$10)+IF(B102="Working",E102,0))),0)</f>
        <v/>
      </c>
      <c r="S102" s="73">
        <f>IF(B102="Retired",MIN(MAX(O102-Q102-R102,0),((W101)*(1+$C$10)+IF(B102="Working",L102,0))),0)</f>
        <v/>
      </c>
      <c r="T102" s="73">
        <f>IF(B102="Retired",MIN(MAX(O102-Q102-R102-S102,0),((X101)*(1+$C$10)+IF(B102="Working",F102,0))),0)</f>
        <v/>
      </c>
      <c r="U102" s="43">
        <f>MAX(((U101)*(1+$C$10)+IF(B102="Working",M102,0))-Q102,0)</f>
        <v/>
      </c>
      <c r="V102" s="43">
        <f>MAX(((V101)*(1+$C$10)+IF(B102="Working",E102,0))-R102,0)</f>
        <v/>
      </c>
      <c r="W102" s="43">
        <f>MAX(((W101)*(1+$C$10)+IF(B102="Working",L102,0))-S102,0)</f>
        <v/>
      </c>
      <c r="X102" s="43">
        <f>MAX(((X101)*(1+$C$10)+IF(B102="Working",F102,0))-T102,0)</f>
        <v/>
      </c>
      <c r="Y102" s="43">
        <f>U102+V102+W102+X102</f>
        <v/>
      </c>
      <c r="Z102" s="73">
        <f>IF(B102="Retired",MAX(O102-P102,0),0)</f>
        <v/>
      </c>
      <c r="AA102" s="74">
        <f>IF(B102="Working",IF(D102=0,0,N102/D102),0)</f>
        <v/>
      </c>
      <c r="AB102" s="43">
        <f>IF(AND($C$14&gt;0,A102=$C$13),$C$14*($C$15+$C$18),0)+IF(AND($C$14&gt;0,A102=$C$13),$C$24,0)</f>
        <v/>
      </c>
      <c r="AC102" s="43">
        <f>IF(OR($C$14&lt;=0,A102&lt;$C$13),0,IF(AND($C$14&gt;0,$C$17&gt;0,A102&gt;=$C$13,A102&lt;($C$13+$C$17)),IF($C$17&lt;=0,0,IF($C$16=0,MAX($C$14*(1-$C$15),0)/$C$17,-PMT($C$16/12,$C$17*12,MAX($C$14*(1-$C$15),0))*12)),0)+AD102*($C$19+$C$20+$C$21)+$C$22+$C$23)</f>
        <v/>
      </c>
      <c r="AD102" s="43">
        <f>IF(AND($C$14&gt;0,A102&gt;=$C$13),$C$14*(1+$C$25)^(A102-$C$13),0)</f>
        <v/>
      </c>
      <c r="AE102" s="43">
        <f>IF(OR($C$14&lt;=0,$C$17&lt;=0,A102&lt;$C$13,MIN(MAX((A102-$C$13+1)*12,0),$C$17*12)&gt;=$C$17*12),0,IF($C$16=0,MAX(MAX($C$14*(1-$C$15),0)-(IF($C$17&lt;=0,0,IF($C$16=0,MAX($C$14*(1-$C$15),0)/$C$17,-PMT($C$16/12,$C$17*12,MAX($C$14*(1-$C$15),0))*12))/12)*MIN(MAX((A102-$C$13+1)*12,0),$C$17*12),0),MAX(MAX($C$14*(1-$C$15),0)*(1+$C$16/12)^MIN(MAX((A102-$C$13+1)*12,0),$C$17*12)-(IF($C$17&lt;=0,0,IF($C$16=0,MAX($C$14*(1-$C$15),0)/$C$17,-PMT($C$16/12,$C$17*12,MAX($C$14*(1-$C$15),0))*12))/12)*(((1+$C$16/12)^MIN(MAX((A102-$C$13+1)*12,0),$C$17*12)-1)/($C$16/12)),0)))</f>
        <v/>
      </c>
      <c r="AF102" s="43">
        <f>MAX(AD102-AE102,0)</f>
        <v/>
      </c>
      <c r="AG102" s="85">
        <f>Y102+AF102</f>
        <v/>
      </c>
    </row>
    <row r="103" ht="18" customHeight="1" s="326">
      <c r="A103" s="86" t="n">
        <v>24</v>
      </c>
      <c r="B103" s="40">
        <f>IF(AND(C103&gt;0,A103&lt;=$C$11),"Working","Retired")</f>
        <v/>
      </c>
      <c r="C103" s="41">
        <f>N('Savings Projection'!$B$42)</f>
        <v/>
      </c>
      <c r="D103" s="41">
        <f>IF(B103="Working",C103*$C$6,0)</f>
        <v/>
      </c>
      <c r="E103" s="41">
        <f>IF(OR(B103="Retired",D103=0),0,MIN(D103,'Tax Assumptions'!$B$19))</f>
        <v/>
      </c>
      <c r="F103" s="41">
        <f>IF(B103="Working",N('Savings Projection'!$E$42),0)</f>
        <v/>
      </c>
      <c r="G103" s="41">
        <f>IF(B103="Working",N('Savings Projection'!$F$42),0)</f>
        <v/>
      </c>
      <c r="H103" s="41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/>
      </c>
      <c r="I103" s="41">
        <f>IF(B103="Working",D103-E103-F103-G103-H103,0)</f>
        <v/>
      </c>
      <c r="J103" s="41">
        <f>IF(B103="Working",N('Savings Projection'!$S$42)*$C$8,0)</f>
        <v/>
      </c>
      <c r="K103" s="41">
        <f>IF(B103="Working",N('Savings Projection'!$T$42)*$C$9,0)</f>
        <v/>
      </c>
      <c r="L103" s="41">
        <f>IF(B103="Working",MIN(MAX(I103-J103-K103-AB103-AC103,0),'Tax Assumptions'!$B$20),0)</f>
        <v/>
      </c>
      <c r="M103" s="41">
        <f>IF(B103="Working",I103-J103-K103-L103-AB103-AC103,0)</f>
        <v/>
      </c>
      <c r="N103" s="41">
        <f>IF(B103="Working",M103+L103+E103+F103,-P103)</f>
        <v/>
      </c>
      <c r="O103" s="41">
        <f>IF(B103="Retired",$C$12+AB103+AC103,0)</f>
        <v/>
      </c>
      <c r="P103" s="41">
        <f>Q103+R103+S103+T103</f>
        <v/>
      </c>
      <c r="Q103" s="41">
        <f>IF(B103="Retired",MIN(((U102)*(1+$C$10)+IF(B103="Working",M103,0)),O103),0)</f>
        <v/>
      </c>
      <c r="R103" s="41">
        <f>IF(B103="Retired",MIN(MAX(O103-Q103,0),((V102)*(1+$C$10)+IF(B103="Working",E103,0))),0)</f>
        <v/>
      </c>
      <c r="S103" s="41">
        <f>IF(B103="Retired",MIN(MAX(O103-Q103-R103,0),((W102)*(1+$C$10)+IF(B103="Working",L103,0))),0)</f>
        <v/>
      </c>
      <c r="T103" s="41">
        <f>IF(B103="Retired",MIN(MAX(O103-Q103-R103-S103,0),((X102)*(1+$C$10)+IF(B103="Working",F103,0))),0)</f>
        <v/>
      </c>
      <c r="U103" s="41">
        <f>MAX(((U102)*(1+$C$10)+IF(B103="Working",M103,0))-Q103,0)</f>
        <v/>
      </c>
      <c r="V103" s="41">
        <f>MAX(((V102)*(1+$C$10)+IF(B103="Working",E103,0))-R103,0)</f>
        <v/>
      </c>
      <c r="W103" s="41">
        <f>MAX(((W102)*(1+$C$10)+IF(B103="Working",L103,0))-S103,0)</f>
        <v/>
      </c>
      <c r="X103" s="41">
        <f>MAX(((X102)*(1+$C$10)+IF(B103="Working",F103,0))-T103,0)</f>
        <v/>
      </c>
      <c r="Y103" s="41">
        <f>U103+V103+W103+X103</f>
        <v/>
      </c>
      <c r="Z103" s="41">
        <f>IF(B103="Retired",MAX(O103-P103,0),0)</f>
        <v/>
      </c>
      <c r="AA103" s="44">
        <f>IF(B103="Working",IF(D103=0,0,N103/D103),0)</f>
        <v/>
      </c>
      <c r="AB103" s="41">
        <f>IF(AND($C$14&gt;0,A103=$C$13),$C$14*($C$15+$C$18),0)+IF(AND($C$14&gt;0,A103=$C$13),$C$24,0)</f>
        <v/>
      </c>
      <c r="AC103" s="41">
        <f>IF(OR($C$14&lt;=0,A103&lt;$C$13),0,IF(AND($C$14&gt;0,$C$17&gt;0,A103&gt;=$C$13,A103&lt;($C$13+$C$17)),IF($C$17&lt;=0,0,IF($C$16=0,MAX($C$14*(1-$C$15),0)/$C$17,-PMT($C$16/12,$C$17*12,MAX($C$14*(1-$C$15),0))*12)),0)+AD103*($C$19+$C$20+$C$21)+$C$22+$C$23)</f>
        <v/>
      </c>
      <c r="AD103" s="41">
        <f>IF(AND($C$14&gt;0,A103&gt;=$C$13),$C$14*(1+$C$25)^(A103-$C$13),0)</f>
        <v/>
      </c>
      <c r="AE103" s="41">
        <f>IF(OR($C$14&lt;=0,$C$17&lt;=0,A103&lt;$C$13,MIN(MAX((A103-$C$13+1)*12,0),$C$17*12)&gt;=$C$17*12),0,IF($C$16=0,MAX(MAX($C$14*(1-$C$15),0)-(IF($C$17&lt;=0,0,IF($C$16=0,MAX($C$14*(1-$C$15),0)/$C$17,-PMT($C$16/12,$C$17*12,MAX($C$14*(1-$C$15),0))*12))/12)*MIN(MAX((A103-$C$13+1)*12,0),$C$17*12),0),MAX(MAX($C$14*(1-$C$15),0)*(1+$C$16/12)^MIN(MAX((A103-$C$13+1)*12,0),$C$17*12)-(IF($C$17&lt;=0,0,IF($C$16=0,MAX($C$14*(1-$C$15),0)/$C$17,-PMT($C$16/12,$C$17*12,MAX($C$14*(1-$C$15),0))*12))/12)*(((1+$C$16/12)^MIN(MAX((A103-$C$13+1)*12,0),$C$17*12)-1)/($C$16/12)),0)))</f>
        <v/>
      </c>
      <c r="AF103" s="41">
        <f>MAX(AD103-AE103,0)</f>
        <v/>
      </c>
      <c r="AG103" s="87">
        <f>Y103+AF103</f>
        <v/>
      </c>
    </row>
    <row r="104" ht="18" customHeight="1" s="326">
      <c r="A104" s="84" t="n">
        <v>25</v>
      </c>
      <c r="B104" s="72">
        <f>IF(AND(C104&gt;0,A104&lt;=$C$11),"Working","Retired")</f>
        <v/>
      </c>
      <c r="C104" s="73">
        <f>N('Savings Projection'!$B$43)</f>
        <v/>
      </c>
      <c r="D104" s="43">
        <f>IF(B104="Working",C104*$C$6,0)</f>
        <v/>
      </c>
      <c r="E104" s="73">
        <f>IF(OR(B104="Retired",D104=0),0,MIN(D104,'Tax Assumptions'!$B$19))</f>
        <v/>
      </c>
      <c r="F104" s="73">
        <f>IF(B104="Working",N('Savings Projection'!$E$43),0)</f>
        <v/>
      </c>
      <c r="G104" s="73">
        <f>IF(B104="Working",N('Savings Projection'!$F$43),0)</f>
        <v/>
      </c>
      <c r="H104" s="43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/>
      </c>
      <c r="I104" s="43">
        <f>IF(B104="Working",D104-E104-F104-G104-H104,0)</f>
        <v/>
      </c>
      <c r="J104" s="73">
        <f>IF(B104="Working",N('Savings Projection'!$S$43)*$C$8,0)</f>
        <v/>
      </c>
      <c r="K104" s="73">
        <f>IF(B104="Working",N('Savings Projection'!$T$43)*$C$9,0)</f>
        <v/>
      </c>
      <c r="L104" s="43">
        <f>IF(B104="Working",MIN(MAX(I104-J104-K104-AB104-AC104,0),'Tax Assumptions'!$B$20),0)</f>
        <v/>
      </c>
      <c r="M104" s="43">
        <f>IF(B104="Working",I104-J104-K104-L104-AB104-AC104,0)</f>
        <v/>
      </c>
      <c r="N104" s="73">
        <f>IF(B104="Working",M104+L104+E104+F104,-P104)</f>
        <v/>
      </c>
      <c r="O104" s="73">
        <f>IF(B104="Retired",$C$12+AB104+AC104,0)</f>
        <v/>
      </c>
      <c r="P104" s="73">
        <f>Q104+R104+S104+T104</f>
        <v/>
      </c>
      <c r="Q104" s="73">
        <f>IF(B104="Retired",MIN(((U103)*(1+$C$10)+IF(B104="Working",M104,0)),O104),0)</f>
        <v/>
      </c>
      <c r="R104" s="73">
        <f>IF(B104="Retired",MIN(MAX(O104-Q104,0),((V103)*(1+$C$10)+IF(B104="Working",E104,0))),0)</f>
        <v/>
      </c>
      <c r="S104" s="73">
        <f>IF(B104="Retired",MIN(MAX(O104-Q104-R104,0),((W103)*(1+$C$10)+IF(B104="Working",L104,0))),0)</f>
        <v/>
      </c>
      <c r="T104" s="73">
        <f>IF(B104="Retired",MIN(MAX(O104-Q104-R104-S104,0),((X103)*(1+$C$10)+IF(B104="Working",F104,0))),0)</f>
        <v/>
      </c>
      <c r="U104" s="43">
        <f>MAX(((U103)*(1+$C$10)+IF(B104="Working",M104,0))-Q104,0)</f>
        <v/>
      </c>
      <c r="V104" s="43">
        <f>MAX(((V103)*(1+$C$10)+IF(B104="Working",E104,0))-R104,0)</f>
        <v/>
      </c>
      <c r="W104" s="43">
        <f>MAX(((W103)*(1+$C$10)+IF(B104="Working",L104,0))-S104,0)</f>
        <v/>
      </c>
      <c r="X104" s="43">
        <f>MAX(((X103)*(1+$C$10)+IF(B104="Working",F104,0))-T104,0)</f>
        <v/>
      </c>
      <c r="Y104" s="43">
        <f>U104+V104+W104+X104</f>
        <v/>
      </c>
      <c r="Z104" s="73">
        <f>IF(B104="Retired",MAX(O104-P104,0),0)</f>
        <v/>
      </c>
      <c r="AA104" s="74">
        <f>IF(B104="Working",IF(D104=0,0,N104/D104),0)</f>
        <v/>
      </c>
      <c r="AB104" s="43">
        <f>IF(AND($C$14&gt;0,A104=$C$13),$C$14*($C$15+$C$18),0)+IF(AND($C$14&gt;0,A104=$C$13),$C$24,0)</f>
        <v/>
      </c>
      <c r="AC104" s="43">
        <f>IF(OR($C$14&lt;=0,A104&lt;$C$13),0,IF(AND($C$14&gt;0,$C$17&gt;0,A104&gt;=$C$13,A104&lt;($C$13+$C$17)),IF($C$17&lt;=0,0,IF($C$16=0,MAX($C$14*(1-$C$15),0)/$C$17,-PMT($C$16/12,$C$17*12,MAX($C$14*(1-$C$15),0))*12)),0)+AD104*($C$19+$C$20+$C$21)+$C$22+$C$23)</f>
        <v/>
      </c>
      <c r="AD104" s="43">
        <f>IF(AND($C$14&gt;0,A104&gt;=$C$13),$C$14*(1+$C$25)^(A104-$C$13),0)</f>
        <v/>
      </c>
      <c r="AE104" s="43">
        <f>IF(OR($C$14&lt;=0,$C$17&lt;=0,A104&lt;$C$13,MIN(MAX((A104-$C$13+1)*12,0),$C$17*12)&gt;=$C$17*12),0,IF($C$16=0,MAX(MAX($C$14*(1-$C$15),0)-(IF($C$17&lt;=0,0,IF($C$16=0,MAX($C$14*(1-$C$15),0)/$C$17,-PMT($C$16/12,$C$17*12,MAX($C$14*(1-$C$15),0))*12))/12)*MIN(MAX((A104-$C$13+1)*12,0),$C$17*12),0),MAX(MAX($C$14*(1-$C$15),0)*(1+$C$16/12)^MIN(MAX((A104-$C$13+1)*12,0),$C$17*12)-(IF($C$17&lt;=0,0,IF($C$16=0,MAX($C$14*(1-$C$15),0)/$C$17,-PMT($C$16/12,$C$17*12,MAX($C$14*(1-$C$15),0))*12))/12)*(((1+$C$16/12)^MIN(MAX((A104-$C$13+1)*12,0),$C$17*12)-1)/($C$16/12)),0)))</f>
        <v/>
      </c>
      <c r="AF104" s="43">
        <f>MAX(AD104-AE104,0)</f>
        <v/>
      </c>
      <c r="AG104" s="85">
        <f>Y104+AF104</f>
        <v/>
      </c>
    </row>
    <row r="105" ht="18" customHeight="1" s="326">
      <c r="A105" s="86" t="n">
        <v>26</v>
      </c>
      <c r="B105" s="40">
        <f>IF(AND(C105&gt;0,A105&lt;=$C$11),"Working","Retired")</f>
        <v/>
      </c>
      <c r="C105" s="41">
        <f>N('Savings Projection'!$B$44)</f>
        <v/>
      </c>
      <c r="D105" s="41">
        <f>IF(B105="Working",C105*$C$6,0)</f>
        <v/>
      </c>
      <c r="E105" s="41">
        <f>IF(OR(B105="Retired",D105=0),0,MIN(D105,'Tax Assumptions'!$B$19))</f>
        <v/>
      </c>
      <c r="F105" s="41">
        <f>IF(B105="Working",N('Savings Projection'!$E$44),0)</f>
        <v/>
      </c>
      <c r="G105" s="41">
        <f>IF(B105="Working",N('Savings Projection'!$F$44),0)</f>
        <v/>
      </c>
      <c r="H105" s="41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/>
      </c>
      <c r="I105" s="41">
        <f>IF(B105="Working",D105-E105-F105-G105-H105,0)</f>
        <v/>
      </c>
      <c r="J105" s="41">
        <f>IF(B105="Working",N('Savings Projection'!$S$44)*$C$8,0)</f>
        <v/>
      </c>
      <c r="K105" s="41">
        <f>IF(B105="Working",N('Savings Projection'!$T$44)*$C$9,0)</f>
        <v/>
      </c>
      <c r="L105" s="41">
        <f>IF(B105="Working",MIN(MAX(I105-J105-K105-AB105-AC105,0),'Tax Assumptions'!$B$20),0)</f>
        <v/>
      </c>
      <c r="M105" s="41">
        <f>IF(B105="Working",I105-J105-K105-L105-AB105-AC105,0)</f>
        <v/>
      </c>
      <c r="N105" s="41">
        <f>IF(B105="Working",M105+L105+E105+F105,-P105)</f>
        <v/>
      </c>
      <c r="O105" s="41">
        <f>IF(B105="Retired",$C$12+AB105+AC105,0)</f>
        <v/>
      </c>
      <c r="P105" s="41">
        <f>Q105+R105+S105+T105</f>
        <v/>
      </c>
      <c r="Q105" s="41">
        <f>IF(B105="Retired",MIN(((U104)*(1+$C$10)+IF(B105="Working",M105,0)),O105),0)</f>
        <v/>
      </c>
      <c r="R105" s="41">
        <f>IF(B105="Retired",MIN(MAX(O105-Q105,0),((V104)*(1+$C$10)+IF(B105="Working",E105,0))),0)</f>
        <v/>
      </c>
      <c r="S105" s="41">
        <f>IF(B105="Retired",MIN(MAX(O105-Q105-R105,0),((W104)*(1+$C$10)+IF(B105="Working",L105,0))),0)</f>
        <v/>
      </c>
      <c r="T105" s="41">
        <f>IF(B105="Retired",MIN(MAX(O105-Q105-R105-S105,0),((X104)*(1+$C$10)+IF(B105="Working",F105,0))),0)</f>
        <v/>
      </c>
      <c r="U105" s="41">
        <f>MAX(((U104)*(1+$C$10)+IF(B105="Working",M105,0))-Q105,0)</f>
        <v/>
      </c>
      <c r="V105" s="41">
        <f>MAX(((V104)*(1+$C$10)+IF(B105="Working",E105,0))-R105,0)</f>
        <v/>
      </c>
      <c r="W105" s="41">
        <f>MAX(((W104)*(1+$C$10)+IF(B105="Working",L105,0))-S105,0)</f>
        <v/>
      </c>
      <c r="X105" s="41">
        <f>MAX(((X104)*(1+$C$10)+IF(B105="Working",F105,0))-T105,0)</f>
        <v/>
      </c>
      <c r="Y105" s="41">
        <f>U105+V105+W105+X105</f>
        <v/>
      </c>
      <c r="Z105" s="41">
        <f>IF(B105="Retired",MAX(O105-P105,0),0)</f>
        <v/>
      </c>
      <c r="AA105" s="44">
        <f>IF(B105="Working",IF(D105=0,0,N105/D105),0)</f>
        <v/>
      </c>
      <c r="AB105" s="41">
        <f>IF(AND($C$14&gt;0,A105=$C$13),$C$14*($C$15+$C$18),0)+IF(AND($C$14&gt;0,A105=$C$13),$C$24,0)</f>
        <v/>
      </c>
      <c r="AC105" s="41">
        <f>IF(OR($C$14&lt;=0,A105&lt;$C$13),0,IF(AND($C$14&gt;0,$C$17&gt;0,A105&gt;=$C$13,A105&lt;($C$13+$C$17)),IF($C$17&lt;=0,0,IF($C$16=0,MAX($C$14*(1-$C$15),0)/$C$17,-PMT($C$16/12,$C$17*12,MAX($C$14*(1-$C$15),0))*12)),0)+AD105*($C$19+$C$20+$C$21)+$C$22+$C$23)</f>
        <v/>
      </c>
      <c r="AD105" s="41">
        <f>IF(AND($C$14&gt;0,A105&gt;=$C$13),$C$14*(1+$C$25)^(A105-$C$13),0)</f>
        <v/>
      </c>
      <c r="AE105" s="41">
        <f>IF(OR($C$14&lt;=0,$C$17&lt;=0,A105&lt;$C$13,MIN(MAX((A105-$C$13+1)*12,0),$C$17*12)&gt;=$C$17*12),0,IF($C$16=0,MAX(MAX($C$14*(1-$C$15),0)-(IF($C$17&lt;=0,0,IF($C$16=0,MAX($C$14*(1-$C$15),0)/$C$17,-PMT($C$16/12,$C$17*12,MAX($C$14*(1-$C$15),0))*12))/12)*MIN(MAX((A105-$C$13+1)*12,0),$C$17*12),0),MAX(MAX($C$14*(1-$C$15),0)*(1+$C$16/12)^MIN(MAX((A105-$C$13+1)*12,0),$C$17*12)-(IF($C$17&lt;=0,0,IF($C$16=0,MAX($C$14*(1-$C$15),0)/$C$17,-PMT($C$16/12,$C$17*12,MAX($C$14*(1-$C$15),0))*12))/12)*(((1+$C$16/12)^MIN(MAX((A105-$C$13+1)*12,0),$C$17*12)-1)/($C$16/12)),0)))</f>
        <v/>
      </c>
      <c r="AF105" s="41">
        <f>MAX(AD105-AE105,0)</f>
        <v/>
      </c>
      <c r="AG105" s="87">
        <f>Y105+AF105</f>
        <v/>
      </c>
    </row>
    <row r="106" ht="18" customHeight="1" s="326">
      <c r="A106" s="84" t="n">
        <v>27</v>
      </c>
      <c r="B106" s="72">
        <f>IF(AND(C106&gt;0,A106&lt;=$C$11),"Working","Retired")</f>
        <v/>
      </c>
      <c r="C106" s="73">
        <f>N('Savings Projection'!$B$45)</f>
        <v/>
      </c>
      <c r="D106" s="43">
        <f>IF(B106="Working",C106*$C$6,0)</f>
        <v/>
      </c>
      <c r="E106" s="73">
        <f>IF(OR(B106="Retired",D106=0),0,MIN(D106,'Tax Assumptions'!$B$19))</f>
        <v/>
      </c>
      <c r="F106" s="73">
        <f>IF(B106="Working",N('Savings Projection'!$E$45),0)</f>
        <v/>
      </c>
      <c r="G106" s="73">
        <f>IF(B106="Working",N('Savings Projection'!$F$45),0)</f>
        <v/>
      </c>
      <c r="H106" s="43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/>
      </c>
      <c r="I106" s="43">
        <f>IF(B106="Working",D106-E106-F106-G106-H106,0)</f>
        <v/>
      </c>
      <c r="J106" s="73">
        <f>IF(B106="Working",N('Savings Projection'!$S$45)*$C$8,0)</f>
        <v/>
      </c>
      <c r="K106" s="73">
        <f>IF(B106="Working",N('Savings Projection'!$T$45)*$C$9,0)</f>
        <v/>
      </c>
      <c r="L106" s="43">
        <f>IF(B106="Working",MIN(MAX(I106-J106-K106-AB106-AC106,0),'Tax Assumptions'!$B$20),0)</f>
        <v/>
      </c>
      <c r="M106" s="43">
        <f>IF(B106="Working",I106-J106-K106-L106-AB106-AC106,0)</f>
        <v/>
      </c>
      <c r="N106" s="73">
        <f>IF(B106="Working",M106+L106+E106+F106,-P106)</f>
        <v/>
      </c>
      <c r="O106" s="73">
        <f>IF(B106="Retired",$C$12+AB106+AC106,0)</f>
        <v/>
      </c>
      <c r="P106" s="73">
        <f>Q106+R106+S106+T106</f>
        <v/>
      </c>
      <c r="Q106" s="73">
        <f>IF(B106="Retired",MIN(((U105)*(1+$C$10)+IF(B106="Working",M106,0)),O106),0)</f>
        <v/>
      </c>
      <c r="R106" s="73">
        <f>IF(B106="Retired",MIN(MAX(O106-Q106,0),((V105)*(1+$C$10)+IF(B106="Working",E106,0))),0)</f>
        <v/>
      </c>
      <c r="S106" s="73">
        <f>IF(B106="Retired",MIN(MAX(O106-Q106-R106,0),((W105)*(1+$C$10)+IF(B106="Working",L106,0))),0)</f>
        <v/>
      </c>
      <c r="T106" s="73">
        <f>IF(B106="Retired",MIN(MAX(O106-Q106-R106-S106,0),((X105)*(1+$C$10)+IF(B106="Working",F106,0))),0)</f>
        <v/>
      </c>
      <c r="U106" s="43">
        <f>MAX(((U105)*(1+$C$10)+IF(B106="Working",M106,0))-Q106,0)</f>
        <v/>
      </c>
      <c r="V106" s="43">
        <f>MAX(((V105)*(1+$C$10)+IF(B106="Working",E106,0))-R106,0)</f>
        <v/>
      </c>
      <c r="W106" s="43">
        <f>MAX(((W105)*(1+$C$10)+IF(B106="Working",L106,0))-S106,0)</f>
        <v/>
      </c>
      <c r="X106" s="43">
        <f>MAX(((X105)*(1+$C$10)+IF(B106="Working",F106,0))-T106,0)</f>
        <v/>
      </c>
      <c r="Y106" s="43">
        <f>U106+V106+W106+X106</f>
        <v/>
      </c>
      <c r="Z106" s="73">
        <f>IF(B106="Retired",MAX(O106-P106,0),0)</f>
        <v/>
      </c>
      <c r="AA106" s="74">
        <f>IF(B106="Working",IF(D106=0,0,N106/D106),0)</f>
        <v/>
      </c>
      <c r="AB106" s="43">
        <f>IF(AND($C$14&gt;0,A106=$C$13),$C$14*($C$15+$C$18),0)+IF(AND($C$14&gt;0,A106=$C$13),$C$24,0)</f>
        <v/>
      </c>
      <c r="AC106" s="43">
        <f>IF(OR($C$14&lt;=0,A106&lt;$C$13),0,IF(AND($C$14&gt;0,$C$17&gt;0,A106&gt;=$C$13,A106&lt;($C$13+$C$17)),IF($C$17&lt;=0,0,IF($C$16=0,MAX($C$14*(1-$C$15),0)/$C$17,-PMT($C$16/12,$C$17*12,MAX($C$14*(1-$C$15),0))*12)),0)+AD106*($C$19+$C$20+$C$21)+$C$22+$C$23)</f>
        <v/>
      </c>
      <c r="AD106" s="43">
        <f>IF(AND($C$14&gt;0,A106&gt;=$C$13),$C$14*(1+$C$25)^(A106-$C$13),0)</f>
        <v/>
      </c>
      <c r="AE106" s="43">
        <f>IF(OR($C$14&lt;=0,$C$17&lt;=0,A106&lt;$C$13,MIN(MAX((A106-$C$13+1)*12,0),$C$17*12)&gt;=$C$17*12),0,IF($C$16=0,MAX(MAX($C$14*(1-$C$15),0)-(IF($C$17&lt;=0,0,IF($C$16=0,MAX($C$14*(1-$C$15),0)/$C$17,-PMT($C$16/12,$C$17*12,MAX($C$14*(1-$C$15),0))*12))/12)*MIN(MAX((A106-$C$13+1)*12,0),$C$17*12),0),MAX(MAX($C$14*(1-$C$15),0)*(1+$C$16/12)^MIN(MAX((A106-$C$13+1)*12,0),$C$17*12)-(IF($C$17&lt;=0,0,IF($C$16=0,MAX($C$14*(1-$C$15),0)/$C$17,-PMT($C$16/12,$C$17*12,MAX($C$14*(1-$C$15),0))*12))/12)*(((1+$C$16/12)^MIN(MAX((A106-$C$13+1)*12,0),$C$17*12)-1)/($C$16/12)),0)))</f>
        <v/>
      </c>
      <c r="AF106" s="43">
        <f>MAX(AD106-AE106,0)</f>
        <v/>
      </c>
      <c r="AG106" s="85">
        <f>Y106+AF106</f>
        <v/>
      </c>
    </row>
    <row r="107" ht="18" customHeight="1" s="326">
      <c r="A107" s="86" t="n">
        <v>28</v>
      </c>
      <c r="B107" s="40">
        <f>IF(AND(C107&gt;0,A107&lt;=$C$11),"Working","Retired")</f>
        <v/>
      </c>
      <c r="C107" s="41">
        <f>N('Savings Projection'!$B$46)</f>
        <v/>
      </c>
      <c r="D107" s="41">
        <f>IF(B107="Working",C107*$C$6,0)</f>
        <v/>
      </c>
      <c r="E107" s="41">
        <f>IF(OR(B107="Retired",D107=0),0,MIN(D107,'Tax Assumptions'!$B$19))</f>
        <v/>
      </c>
      <c r="F107" s="41">
        <f>IF(B107="Working",N('Savings Projection'!$E$46),0)</f>
        <v/>
      </c>
      <c r="G107" s="41">
        <f>IF(B107="Working",N('Savings Projection'!$F$46),0)</f>
        <v/>
      </c>
      <c r="H107" s="41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/>
      </c>
      <c r="I107" s="41">
        <f>IF(B107="Working",D107-E107-F107-G107-H107,0)</f>
        <v/>
      </c>
      <c r="J107" s="41">
        <f>IF(B107="Working",N('Savings Projection'!$S$46)*$C$8,0)</f>
        <v/>
      </c>
      <c r="K107" s="41">
        <f>IF(B107="Working",N('Savings Projection'!$T$46)*$C$9,0)</f>
        <v/>
      </c>
      <c r="L107" s="41">
        <f>IF(B107="Working",MIN(MAX(I107-J107-K107-AB107-AC107,0),'Tax Assumptions'!$B$20),0)</f>
        <v/>
      </c>
      <c r="M107" s="41">
        <f>IF(B107="Working",I107-J107-K107-L107-AB107-AC107,0)</f>
        <v/>
      </c>
      <c r="N107" s="41">
        <f>IF(B107="Working",M107+L107+E107+F107,-P107)</f>
        <v/>
      </c>
      <c r="O107" s="41">
        <f>IF(B107="Retired",$C$12+AB107+AC107,0)</f>
        <v/>
      </c>
      <c r="P107" s="41">
        <f>Q107+R107+S107+T107</f>
        <v/>
      </c>
      <c r="Q107" s="41">
        <f>IF(B107="Retired",MIN(((U106)*(1+$C$10)+IF(B107="Working",M107,0)),O107),0)</f>
        <v/>
      </c>
      <c r="R107" s="41">
        <f>IF(B107="Retired",MIN(MAX(O107-Q107,0),((V106)*(1+$C$10)+IF(B107="Working",E107,0))),0)</f>
        <v/>
      </c>
      <c r="S107" s="41">
        <f>IF(B107="Retired",MIN(MAX(O107-Q107-R107,0),((W106)*(1+$C$10)+IF(B107="Working",L107,0))),0)</f>
        <v/>
      </c>
      <c r="T107" s="41">
        <f>IF(B107="Retired",MIN(MAX(O107-Q107-R107-S107,0),((X106)*(1+$C$10)+IF(B107="Working",F107,0))),0)</f>
        <v/>
      </c>
      <c r="U107" s="41">
        <f>MAX(((U106)*(1+$C$10)+IF(B107="Working",M107,0))-Q107,0)</f>
        <v/>
      </c>
      <c r="V107" s="41">
        <f>MAX(((V106)*(1+$C$10)+IF(B107="Working",E107,0))-R107,0)</f>
        <v/>
      </c>
      <c r="W107" s="41">
        <f>MAX(((W106)*(1+$C$10)+IF(B107="Working",L107,0))-S107,0)</f>
        <v/>
      </c>
      <c r="X107" s="41">
        <f>MAX(((X106)*(1+$C$10)+IF(B107="Working",F107,0))-T107,0)</f>
        <v/>
      </c>
      <c r="Y107" s="41">
        <f>U107+V107+W107+X107</f>
        <v/>
      </c>
      <c r="Z107" s="41">
        <f>IF(B107="Retired",MAX(O107-P107,0),0)</f>
        <v/>
      </c>
      <c r="AA107" s="44">
        <f>IF(B107="Working",IF(D107=0,0,N107/D107),0)</f>
        <v/>
      </c>
      <c r="AB107" s="41">
        <f>IF(AND($C$14&gt;0,A107=$C$13),$C$14*($C$15+$C$18),0)+IF(AND($C$14&gt;0,A107=$C$13),$C$24,0)</f>
        <v/>
      </c>
      <c r="AC107" s="41">
        <f>IF(OR($C$14&lt;=0,A107&lt;$C$13),0,IF(AND($C$14&gt;0,$C$17&gt;0,A107&gt;=$C$13,A107&lt;($C$13+$C$17)),IF($C$17&lt;=0,0,IF($C$16=0,MAX($C$14*(1-$C$15),0)/$C$17,-PMT($C$16/12,$C$17*12,MAX($C$14*(1-$C$15),0))*12)),0)+AD107*($C$19+$C$20+$C$21)+$C$22+$C$23)</f>
        <v/>
      </c>
      <c r="AD107" s="41">
        <f>IF(AND($C$14&gt;0,A107&gt;=$C$13),$C$14*(1+$C$25)^(A107-$C$13),0)</f>
        <v/>
      </c>
      <c r="AE107" s="41">
        <f>IF(OR($C$14&lt;=0,$C$17&lt;=0,A107&lt;$C$13,MIN(MAX((A107-$C$13+1)*12,0),$C$17*12)&gt;=$C$17*12),0,IF($C$16=0,MAX(MAX($C$14*(1-$C$15),0)-(IF($C$17&lt;=0,0,IF($C$16=0,MAX($C$14*(1-$C$15),0)/$C$17,-PMT($C$16/12,$C$17*12,MAX($C$14*(1-$C$15),0))*12))/12)*MIN(MAX((A107-$C$13+1)*12,0),$C$17*12),0),MAX(MAX($C$14*(1-$C$15),0)*(1+$C$16/12)^MIN(MAX((A107-$C$13+1)*12,0),$C$17*12)-(IF($C$17&lt;=0,0,IF($C$16=0,MAX($C$14*(1-$C$15),0)/$C$17,-PMT($C$16/12,$C$17*12,MAX($C$14*(1-$C$15),0))*12))/12)*(((1+$C$16/12)^MIN(MAX((A107-$C$13+1)*12,0),$C$17*12)-1)/($C$16/12)),0)))</f>
        <v/>
      </c>
      <c r="AF107" s="41">
        <f>MAX(AD107-AE107,0)</f>
        <v/>
      </c>
      <c r="AG107" s="87">
        <f>Y107+AF107</f>
        <v/>
      </c>
    </row>
    <row r="108" ht="18" customHeight="1" s="326">
      <c r="A108" s="84" t="n">
        <v>29</v>
      </c>
      <c r="B108" s="72">
        <f>IF(AND(C108&gt;0,A108&lt;=$C$11),"Working","Retired")</f>
        <v/>
      </c>
      <c r="C108" s="73">
        <f>N('Savings Projection'!$B$47)</f>
        <v/>
      </c>
      <c r="D108" s="43">
        <f>IF(B108="Working",C108*$C$6,0)</f>
        <v/>
      </c>
      <c r="E108" s="73">
        <f>IF(OR(B108="Retired",D108=0),0,MIN(D108,'Tax Assumptions'!$B$19))</f>
        <v/>
      </c>
      <c r="F108" s="73">
        <f>IF(B108="Working",N('Savings Projection'!$E$47),0)</f>
        <v/>
      </c>
      <c r="G108" s="73">
        <f>IF(B108="Working",N('Savings Projection'!$F$47),0)</f>
        <v/>
      </c>
      <c r="H108" s="43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/>
      </c>
      <c r="I108" s="43">
        <f>IF(B108="Working",D108-E108-F108-G108-H108,0)</f>
        <v/>
      </c>
      <c r="J108" s="73">
        <f>IF(B108="Working",N('Savings Projection'!$S$47)*$C$8,0)</f>
        <v/>
      </c>
      <c r="K108" s="73">
        <f>IF(B108="Working",N('Savings Projection'!$T$47)*$C$9,0)</f>
        <v/>
      </c>
      <c r="L108" s="43">
        <f>IF(B108="Working",MIN(MAX(I108-J108-K108-AB108-AC108,0),'Tax Assumptions'!$B$20),0)</f>
        <v/>
      </c>
      <c r="M108" s="43">
        <f>IF(B108="Working",I108-J108-K108-L108-AB108-AC108,0)</f>
        <v/>
      </c>
      <c r="N108" s="73">
        <f>IF(B108="Working",M108+L108+E108+F108,-P108)</f>
        <v/>
      </c>
      <c r="O108" s="73">
        <f>IF(B108="Retired",$C$12+AB108+AC108,0)</f>
        <v/>
      </c>
      <c r="P108" s="73">
        <f>Q108+R108+S108+T108</f>
        <v/>
      </c>
      <c r="Q108" s="73">
        <f>IF(B108="Retired",MIN(((U107)*(1+$C$10)+IF(B108="Working",M108,0)),O108),0)</f>
        <v/>
      </c>
      <c r="R108" s="73">
        <f>IF(B108="Retired",MIN(MAX(O108-Q108,0),((V107)*(1+$C$10)+IF(B108="Working",E108,0))),0)</f>
        <v/>
      </c>
      <c r="S108" s="73">
        <f>IF(B108="Retired",MIN(MAX(O108-Q108-R108,0),((W107)*(1+$C$10)+IF(B108="Working",L108,0))),0)</f>
        <v/>
      </c>
      <c r="T108" s="73">
        <f>IF(B108="Retired",MIN(MAX(O108-Q108-R108-S108,0),((X107)*(1+$C$10)+IF(B108="Working",F108,0))),0)</f>
        <v/>
      </c>
      <c r="U108" s="43">
        <f>MAX(((U107)*(1+$C$10)+IF(B108="Working",M108,0))-Q108,0)</f>
        <v/>
      </c>
      <c r="V108" s="43">
        <f>MAX(((V107)*(1+$C$10)+IF(B108="Working",E108,0))-R108,0)</f>
        <v/>
      </c>
      <c r="W108" s="43">
        <f>MAX(((W107)*(1+$C$10)+IF(B108="Working",L108,0))-S108,0)</f>
        <v/>
      </c>
      <c r="X108" s="43">
        <f>MAX(((X107)*(1+$C$10)+IF(B108="Working",F108,0))-T108,0)</f>
        <v/>
      </c>
      <c r="Y108" s="43">
        <f>U108+V108+W108+X108</f>
        <v/>
      </c>
      <c r="Z108" s="73">
        <f>IF(B108="Retired",MAX(O108-P108,0),0)</f>
        <v/>
      </c>
      <c r="AA108" s="74">
        <f>IF(B108="Working",IF(D108=0,0,N108/D108),0)</f>
        <v/>
      </c>
      <c r="AB108" s="43">
        <f>IF(AND($C$14&gt;0,A108=$C$13),$C$14*($C$15+$C$18),0)+IF(AND($C$14&gt;0,A108=$C$13),$C$24,0)</f>
        <v/>
      </c>
      <c r="AC108" s="43">
        <f>IF(OR($C$14&lt;=0,A108&lt;$C$13),0,IF(AND($C$14&gt;0,$C$17&gt;0,A108&gt;=$C$13,A108&lt;($C$13+$C$17)),IF($C$17&lt;=0,0,IF($C$16=0,MAX($C$14*(1-$C$15),0)/$C$17,-PMT($C$16/12,$C$17*12,MAX($C$14*(1-$C$15),0))*12)),0)+AD108*($C$19+$C$20+$C$21)+$C$22+$C$23)</f>
        <v/>
      </c>
      <c r="AD108" s="43">
        <f>IF(AND($C$14&gt;0,A108&gt;=$C$13),$C$14*(1+$C$25)^(A108-$C$13),0)</f>
        <v/>
      </c>
      <c r="AE108" s="43">
        <f>IF(OR($C$14&lt;=0,$C$17&lt;=0,A108&lt;$C$13,MIN(MAX((A108-$C$13+1)*12,0),$C$17*12)&gt;=$C$17*12),0,IF($C$16=0,MAX(MAX($C$14*(1-$C$15),0)-(IF($C$17&lt;=0,0,IF($C$16=0,MAX($C$14*(1-$C$15),0)/$C$17,-PMT($C$16/12,$C$17*12,MAX($C$14*(1-$C$15),0))*12))/12)*MIN(MAX((A108-$C$13+1)*12,0),$C$17*12),0),MAX(MAX($C$14*(1-$C$15),0)*(1+$C$16/12)^MIN(MAX((A108-$C$13+1)*12,0),$C$17*12)-(IF($C$17&lt;=0,0,IF($C$16=0,MAX($C$14*(1-$C$15),0)/$C$17,-PMT($C$16/12,$C$17*12,MAX($C$14*(1-$C$15),0))*12))/12)*(((1+$C$16/12)^MIN(MAX((A108-$C$13+1)*12,0),$C$17*12)-1)/($C$16/12)),0)))</f>
        <v/>
      </c>
      <c r="AF108" s="43">
        <f>MAX(AD108-AE108,0)</f>
        <v/>
      </c>
      <c r="AG108" s="85">
        <f>Y108+AF108</f>
        <v/>
      </c>
    </row>
    <row r="109" ht="18" customHeight="1" s="326">
      <c r="A109" s="86" t="n">
        <v>30</v>
      </c>
      <c r="B109" s="40">
        <f>IF(AND(C109&gt;0,A109&lt;=$C$11),"Working","Retired")</f>
        <v/>
      </c>
      <c r="C109" s="41">
        <f>N('Savings Projection'!$B$48)</f>
        <v/>
      </c>
      <c r="D109" s="41">
        <f>IF(B109="Working",C109*$C$6,0)</f>
        <v/>
      </c>
      <c r="E109" s="41">
        <f>IF(OR(B109="Retired",D109=0),0,MIN(D109,'Tax Assumptions'!$B$19))</f>
        <v/>
      </c>
      <c r="F109" s="41">
        <f>IF(B109="Working",N('Savings Projection'!$E$48),0)</f>
        <v/>
      </c>
      <c r="G109" s="41">
        <f>IF(B109="Working",N('Savings Projection'!$F$48),0)</f>
        <v/>
      </c>
      <c r="H109" s="41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/>
      </c>
      <c r="I109" s="41">
        <f>IF(B109="Working",D109-E109-F109-G109-H109,0)</f>
        <v/>
      </c>
      <c r="J109" s="41">
        <f>IF(B109="Working",N('Savings Projection'!$S$48)*$C$8,0)</f>
        <v/>
      </c>
      <c r="K109" s="41">
        <f>IF(B109="Working",N('Savings Projection'!$T$48)*$C$9,0)</f>
        <v/>
      </c>
      <c r="L109" s="41">
        <f>IF(B109="Working",MIN(MAX(I109-J109-K109-AB109-AC109,0),'Tax Assumptions'!$B$20),0)</f>
        <v/>
      </c>
      <c r="M109" s="41">
        <f>IF(B109="Working",I109-J109-K109-L109-AB109-AC109,0)</f>
        <v/>
      </c>
      <c r="N109" s="41">
        <f>IF(B109="Working",M109+L109+E109+F109,-P109)</f>
        <v/>
      </c>
      <c r="O109" s="41">
        <f>IF(B109="Retired",$C$12+AB109+AC109,0)</f>
        <v/>
      </c>
      <c r="P109" s="41">
        <f>Q109+R109+S109+T109</f>
        <v/>
      </c>
      <c r="Q109" s="41">
        <f>IF(B109="Retired",MIN(((U108)*(1+$C$10)+IF(B109="Working",M109,0)),O109),0)</f>
        <v/>
      </c>
      <c r="R109" s="41">
        <f>IF(B109="Retired",MIN(MAX(O109-Q109,0),((V108)*(1+$C$10)+IF(B109="Working",E109,0))),0)</f>
        <v/>
      </c>
      <c r="S109" s="41">
        <f>IF(B109="Retired",MIN(MAX(O109-Q109-R109,0),((W108)*(1+$C$10)+IF(B109="Working",L109,0))),0)</f>
        <v/>
      </c>
      <c r="T109" s="41">
        <f>IF(B109="Retired",MIN(MAX(O109-Q109-R109-S109,0),((X108)*(1+$C$10)+IF(B109="Working",F109,0))),0)</f>
        <v/>
      </c>
      <c r="U109" s="41">
        <f>MAX(((U108)*(1+$C$10)+IF(B109="Working",M109,0))-Q109,0)</f>
        <v/>
      </c>
      <c r="V109" s="41">
        <f>MAX(((V108)*(1+$C$10)+IF(B109="Working",E109,0))-R109,0)</f>
        <v/>
      </c>
      <c r="W109" s="41">
        <f>MAX(((W108)*(1+$C$10)+IF(B109="Working",L109,0))-S109,0)</f>
        <v/>
      </c>
      <c r="X109" s="41">
        <f>MAX(((X108)*(1+$C$10)+IF(B109="Working",F109,0))-T109,0)</f>
        <v/>
      </c>
      <c r="Y109" s="41">
        <f>U109+V109+W109+X109</f>
        <v/>
      </c>
      <c r="Z109" s="41">
        <f>IF(B109="Retired",MAX(O109-P109,0),0)</f>
        <v/>
      </c>
      <c r="AA109" s="44">
        <f>IF(B109="Working",IF(D109=0,0,N109/D109),0)</f>
        <v/>
      </c>
      <c r="AB109" s="41">
        <f>IF(AND($C$14&gt;0,A109=$C$13),$C$14*($C$15+$C$18),0)+IF(AND($C$14&gt;0,A109=$C$13),$C$24,0)</f>
        <v/>
      </c>
      <c r="AC109" s="41">
        <f>IF(OR($C$14&lt;=0,A109&lt;$C$13),0,IF(AND($C$14&gt;0,$C$17&gt;0,A109&gt;=$C$13,A109&lt;($C$13+$C$17)),IF($C$17&lt;=0,0,IF($C$16=0,MAX($C$14*(1-$C$15),0)/$C$17,-PMT($C$16/12,$C$17*12,MAX($C$14*(1-$C$15),0))*12)),0)+AD109*($C$19+$C$20+$C$21)+$C$22+$C$23)</f>
        <v/>
      </c>
      <c r="AD109" s="41">
        <f>IF(AND($C$14&gt;0,A109&gt;=$C$13),$C$14*(1+$C$25)^(A109-$C$13),0)</f>
        <v/>
      </c>
      <c r="AE109" s="41">
        <f>IF(OR($C$14&lt;=0,$C$17&lt;=0,A109&lt;$C$13,MIN(MAX((A109-$C$13+1)*12,0),$C$17*12)&gt;=$C$17*12),0,IF($C$16=0,MAX(MAX($C$14*(1-$C$15),0)-(IF($C$17&lt;=0,0,IF($C$16=0,MAX($C$14*(1-$C$15),0)/$C$17,-PMT($C$16/12,$C$17*12,MAX($C$14*(1-$C$15),0))*12))/12)*MIN(MAX((A109-$C$13+1)*12,0),$C$17*12),0),MAX(MAX($C$14*(1-$C$15),0)*(1+$C$16/12)^MIN(MAX((A109-$C$13+1)*12,0),$C$17*12)-(IF($C$17&lt;=0,0,IF($C$16=0,MAX($C$14*(1-$C$15),0)/$C$17,-PMT($C$16/12,$C$17*12,MAX($C$14*(1-$C$15),0))*12))/12)*(((1+$C$16/12)^MIN(MAX((A109-$C$13+1)*12,0),$C$17*12)-1)/($C$16/12)),0)))</f>
        <v/>
      </c>
      <c r="AF109" s="41">
        <f>MAX(AD109-AE109,0)</f>
        <v/>
      </c>
      <c r="AG109" s="87">
        <f>Y109+AF109</f>
        <v/>
      </c>
    </row>
    <row r="110" ht="18" customHeight="1" s="326">
      <c r="A110" s="84" t="n">
        <v>31</v>
      </c>
      <c r="B110" s="72">
        <f>IF(AND(C110&gt;0,A110&lt;=$C$11),"Working","Retired")</f>
        <v/>
      </c>
      <c r="C110" s="73">
        <f>N('Savings Projection'!$B$49)</f>
        <v/>
      </c>
      <c r="D110" s="43">
        <f>IF(B110="Working",C110*$C$6,0)</f>
        <v/>
      </c>
      <c r="E110" s="73">
        <f>IF(OR(B110="Retired",D110=0),0,MIN(D110,'Tax Assumptions'!$B$19))</f>
        <v/>
      </c>
      <c r="F110" s="73">
        <f>IF(B110="Working",N('Savings Projection'!$E$49),0)</f>
        <v/>
      </c>
      <c r="G110" s="73">
        <f>IF(B110="Working",N('Savings Projection'!$F$49),0)</f>
        <v/>
      </c>
      <c r="H110" s="43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/>
      </c>
      <c r="I110" s="43">
        <f>IF(B110="Working",D110-E110-F110-G110-H110,0)</f>
        <v/>
      </c>
      <c r="J110" s="73">
        <f>IF(B110="Working",N('Savings Projection'!$S$49)*$C$8,0)</f>
        <v/>
      </c>
      <c r="K110" s="73">
        <f>IF(B110="Working",N('Savings Projection'!$T$49)*$C$9,0)</f>
        <v/>
      </c>
      <c r="L110" s="43">
        <f>IF(B110="Working",MIN(MAX(I110-J110-K110-AB110-AC110,0),'Tax Assumptions'!$B$20),0)</f>
        <v/>
      </c>
      <c r="M110" s="43">
        <f>IF(B110="Working",I110-J110-K110-L110-AB110-AC110,0)</f>
        <v/>
      </c>
      <c r="N110" s="73">
        <f>IF(B110="Working",M110+L110+E110+F110,-P110)</f>
        <v/>
      </c>
      <c r="O110" s="73">
        <f>IF(B110="Retired",$C$12+AB110+AC110,0)</f>
        <v/>
      </c>
      <c r="P110" s="73">
        <f>Q110+R110+S110+T110</f>
        <v/>
      </c>
      <c r="Q110" s="73">
        <f>IF(B110="Retired",MIN(((U109)*(1+$C$10)+IF(B110="Working",M110,0)),O110),0)</f>
        <v/>
      </c>
      <c r="R110" s="73">
        <f>IF(B110="Retired",MIN(MAX(O110-Q110,0),((V109)*(1+$C$10)+IF(B110="Working",E110,0))),0)</f>
        <v/>
      </c>
      <c r="S110" s="73">
        <f>IF(B110="Retired",MIN(MAX(O110-Q110-R110,0),((W109)*(1+$C$10)+IF(B110="Working",L110,0))),0)</f>
        <v/>
      </c>
      <c r="T110" s="73">
        <f>IF(B110="Retired",MIN(MAX(O110-Q110-R110-S110,0),((X109)*(1+$C$10)+IF(B110="Working",F110,0))),0)</f>
        <v/>
      </c>
      <c r="U110" s="43">
        <f>MAX(((U109)*(1+$C$10)+IF(B110="Working",M110,0))-Q110,0)</f>
        <v/>
      </c>
      <c r="V110" s="43">
        <f>MAX(((V109)*(1+$C$10)+IF(B110="Working",E110,0))-R110,0)</f>
        <v/>
      </c>
      <c r="W110" s="43">
        <f>MAX(((W109)*(1+$C$10)+IF(B110="Working",L110,0))-S110,0)</f>
        <v/>
      </c>
      <c r="X110" s="43">
        <f>MAX(((X109)*(1+$C$10)+IF(B110="Working",F110,0))-T110,0)</f>
        <v/>
      </c>
      <c r="Y110" s="43">
        <f>U110+V110+W110+X110</f>
        <v/>
      </c>
      <c r="Z110" s="73">
        <f>IF(B110="Retired",MAX(O110-P110,0),0)</f>
        <v/>
      </c>
      <c r="AA110" s="74">
        <f>IF(B110="Working",IF(D110=0,0,N110/D110),0)</f>
        <v/>
      </c>
      <c r="AB110" s="43">
        <f>IF(AND($C$14&gt;0,A110=$C$13),$C$14*($C$15+$C$18),0)+IF(AND($C$14&gt;0,A110=$C$13),$C$24,0)</f>
        <v/>
      </c>
      <c r="AC110" s="43">
        <f>IF(OR($C$14&lt;=0,A110&lt;$C$13),0,IF(AND($C$14&gt;0,$C$17&gt;0,A110&gt;=$C$13,A110&lt;($C$13+$C$17)),IF($C$17&lt;=0,0,IF($C$16=0,MAX($C$14*(1-$C$15),0)/$C$17,-PMT($C$16/12,$C$17*12,MAX($C$14*(1-$C$15),0))*12)),0)+AD110*($C$19+$C$20+$C$21)+$C$22+$C$23)</f>
        <v/>
      </c>
      <c r="AD110" s="43">
        <f>IF(AND($C$14&gt;0,A110&gt;=$C$13),$C$14*(1+$C$25)^(A110-$C$13),0)</f>
        <v/>
      </c>
      <c r="AE110" s="43">
        <f>IF(OR($C$14&lt;=0,$C$17&lt;=0,A110&lt;$C$13,MIN(MAX((A110-$C$13+1)*12,0),$C$17*12)&gt;=$C$17*12),0,IF($C$16=0,MAX(MAX($C$14*(1-$C$15),0)-(IF($C$17&lt;=0,0,IF($C$16=0,MAX($C$14*(1-$C$15),0)/$C$17,-PMT($C$16/12,$C$17*12,MAX($C$14*(1-$C$15),0))*12))/12)*MIN(MAX((A110-$C$13+1)*12,0),$C$17*12),0),MAX(MAX($C$14*(1-$C$15),0)*(1+$C$16/12)^MIN(MAX((A110-$C$13+1)*12,0),$C$17*12)-(IF($C$17&lt;=0,0,IF($C$16=0,MAX($C$14*(1-$C$15),0)/$C$17,-PMT($C$16/12,$C$17*12,MAX($C$14*(1-$C$15),0))*12))/12)*(((1+$C$16/12)^MIN(MAX((A110-$C$13+1)*12,0),$C$17*12)-1)/($C$16/12)),0)))</f>
        <v/>
      </c>
      <c r="AF110" s="43">
        <f>MAX(AD110-AE110,0)</f>
        <v/>
      </c>
      <c r="AG110" s="85">
        <f>Y110+AF110</f>
        <v/>
      </c>
    </row>
    <row r="111" ht="18" customHeight="1" s="326">
      <c r="A111" s="86" t="n">
        <v>32</v>
      </c>
      <c r="B111" s="40">
        <f>IF(AND(C111&gt;0,A111&lt;=$C$11),"Working","Retired")</f>
        <v/>
      </c>
      <c r="C111" s="41">
        <f>N('Savings Projection'!$B$50)</f>
        <v/>
      </c>
      <c r="D111" s="41">
        <f>IF(B111="Working",C111*$C$6,0)</f>
        <v/>
      </c>
      <c r="E111" s="41">
        <f>IF(OR(B111="Retired",D111=0),0,MIN(D111,'Tax Assumptions'!$B$19))</f>
        <v/>
      </c>
      <c r="F111" s="41">
        <f>IF(B111="Working",N('Savings Projection'!$E$50),0)</f>
        <v/>
      </c>
      <c r="G111" s="41">
        <f>IF(B111="Working",N('Savings Projection'!$F$50),0)</f>
        <v/>
      </c>
      <c r="H111" s="41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/>
      </c>
      <c r="I111" s="41">
        <f>IF(B111="Working",D111-E111-F111-G111-H111,0)</f>
        <v/>
      </c>
      <c r="J111" s="41">
        <f>IF(B111="Working",N('Savings Projection'!$S$50)*$C$8,0)</f>
        <v/>
      </c>
      <c r="K111" s="41">
        <f>IF(B111="Working",N('Savings Projection'!$T$50)*$C$9,0)</f>
        <v/>
      </c>
      <c r="L111" s="41">
        <f>IF(B111="Working",MIN(MAX(I111-J111-K111-AB111-AC111,0),'Tax Assumptions'!$B$20),0)</f>
        <v/>
      </c>
      <c r="M111" s="41">
        <f>IF(B111="Working",I111-J111-K111-L111-AB111-AC111,0)</f>
        <v/>
      </c>
      <c r="N111" s="41">
        <f>IF(B111="Working",M111+L111+E111+F111,-P111)</f>
        <v/>
      </c>
      <c r="O111" s="41">
        <f>IF(B111="Retired",$C$12+AB111+AC111,0)</f>
        <v/>
      </c>
      <c r="P111" s="41">
        <f>Q111+R111+S111+T111</f>
        <v/>
      </c>
      <c r="Q111" s="41">
        <f>IF(B111="Retired",MIN(((U110)*(1+$C$10)+IF(B111="Working",M111,0)),O111),0)</f>
        <v/>
      </c>
      <c r="R111" s="41">
        <f>IF(B111="Retired",MIN(MAX(O111-Q111,0),((V110)*(1+$C$10)+IF(B111="Working",E111,0))),0)</f>
        <v/>
      </c>
      <c r="S111" s="41">
        <f>IF(B111="Retired",MIN(MAX(O111-Q111-R111,0),((W110)*(1+$C$10)+IF(B111="Working",L111,0))),0)</f>
        <v/>
      </c>
      <c r="T111" s="41">
        <f>IF(B111="Retired",MIN(MAX(O111-Q111-R111-S111,0),((X110)*(1+$C$10)+IF(B111="Working",F111,0))),0)</f>
        <v/>
      </c>
      <c r="U111" s="41">
        <f>MAX(((U110)*(1+$C$10)+IF(B111="Working",M111,0))-Q111,0)</f>
        <v/>
      </c>
      <c r="V111" s="41">
        <f>MAX(((V110)*(1+$C$10)+IF(B111="Working",E111,0))-R111,0)</f>
        <v/>
      </c>
      <c r="W111" s="41">
        <f>MAX(((W110)*(1+$C$10)+IF(B111="Working",L111,0))-S111,0)</f>
        <v/>
      </c>
      <c r="X111" s="41">
        <f>MAX(((X110)*(1+$C$10)+IF(B111="Working",F111,0))-T111,0)</f>
        <v/>
      </c>
      <c r="Y111" s="41">
        <f>U111+V111+W111+X111</f>
        <v/>
      </c>
      <c r="Z111" s="41">
        <f>IF(B111="Retired",MAX(O111-P111,0),0)</f>
        <v/>
      </c>
      <c r="AA111" s="44">
        <f>IF(B111="Working",IF(D111=0,0,N111/D111),0)</f>
        <v/>
      </c>
      <c r="AB111" s="41">
        <f>IF(AND($C$14&gt;0,A111=$C$13),$C$14*($C$15+$C$18),0)+IF(AND($C$14&gt;0,A111=$C$13),$C$24,0)</f>
        <v/>
      </c>
      <c r="AC111" s="41">
        <f>IF(OR($C$14&lt;=0,A111&lt;$C$13),0,IF(AND($C$14&gt;0,$C$17&gt;0,A111&gt;=$C$13,A111&lt;($C$13+$C$17)),IF($C$17&lt;=0,0,IF($C$16=0,MAX($C$14*(1-$C$15),0)/$C$17,-PMT($C$16/12,$C$17*12,MAX($C$14*(1-$C$15),0))*12)),0)+AD111*($C$19+$C$20+$C$21)+$C$22+$C$23)</f>
        <v/>
      </c>
      <c r="AD111" s="41">
        <f>IF(AND($C$14&gt;0,A111&gt;=$C$13),$C$14*(1+$C$25)^(A111-$C$13),0)</f>
        <v/>
      </c>
      <c r="AE111" s="41">
        <f>IF(OR($C$14&lt;=0,$C$17&lt;=0,A111&lt;$C$13,MIN(MAX((A111-$C$13+1)*12,0),$C$17*12)&gt;=$C$17*12),0,IF($C$16=0,MAX(MAX($C$14*(1-$C$15),0)-(IF($C$17&lt;=0,0,IF($C$16=0,MAX($C$14*(1-$C$15),0)/$C$17,-PMT($C$16/12,$C$17*12,MAX($C$14*(1-$C$15),0))*12))/12)*MIN(MAX((A111-$C$13+1)*12,0),$C$17*12),0),MAX(MAX($C$14*(1-$C$15),0)*(1+$C$16/12)^MIN(MAX((A111-$C$13+1)*12,0),$C$17*12)-(IF($C$17&lt;=0,0,IF($C$16=0,MAX($C$14*(1-$C$15),0)/$C$17,-PMT($C$16/12,$C$17*12,MAX($C$14*(1-$C$15),0))*12))/12)*(((1+$C$16/12)^MIN(MAX((A111-$C$13+1)*12,0),$C$17*12)-1)/($C$16/12)),0)))</f>
        <v/>
      </c>
      <c r="AF111" s="41">
        <f>MAX(AD111-AE111,0)</f>
        <v/>
      </c>
      <c r="AG111" s="87">
        <f>Y111+AF111</f>
        <v/>
      </c>
    </row>
    <row r="112" ht="18" customHeight="1" s="326">
      <c r="A112" s="84" t="n">
        <v>33</v>
      </c>
      <c r="B112" s="72">
        <f>IF(AND(C112&gt;0,A112&lt;=$C$11),"Working","Retired")</f>
        <v/>
      </c>
      <c r="C112" s="73">
        <f>N('Savings Projection'!$B$51)</f>
        <v/>
      </c>
      <c r="D112" s="43">
        <f>IF(B112="Working",C112*$C$6,0)</f>
        <v/>
      </c>
      <c r="E112" s="73">
        <f>IF(OR(B112="Retired",D112=0),0,MIN(D112,'Tax Assumptions'!$B$19))</f>
        <v/>
      </c>
      <c r="F112" s="73">
        <f>IF(B112="Working",N('Savings Projection'!$E$51),0)</f>
        <v/>
      </c>
      <c r="G112" s="73">
        <f>IF(B112="Working",N('Savings Projection'!$F$51),0)</f>
        <v/>
      </c>
      <c r="H112" s="43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/>
      </c>
      <c r="I112" s="43">
        <f>IF(B112="Working",D112-E112-F112-G112-H112,0)</f>
        <v/>
      </c>
      <c r="J112" s="73">
        <f>IF(B112="Working",N('Savings Projection'!$S$51)*$C$8,0)</f>
        <v/>
      </c>
      <c r="K112" s="73">
        <f>IF(B112="Working",N('Savings Projection'!$T$51)*$C$9,0)</f>
        <v/>
      </c>
      <c r="L112" s="43">
        <f>IF(B112="Working",MIN(MAX(I112-J112-K112-AB112-AC112,0),'Tax Assumptions'!$B$20),0)</f>
        <v/>
      </c>
      <c r="M112" s="43">
        <f>IF(B112="Working",I112-J112-K112-L112-AB112-AC112,0)</f>
        <v/>
      </c>
      <c r="N112" s="73">
        <f>IF(B112="Working",M112+L112+E112+F112,-P112)</f>
        <v/>
      </c>
      <c r="O112" s="73">
        <f>IF(B112="Retired",$C$12+AB112+AC112,0)</f>
        <v/>
      </c>
      <c r="P112" s="73">
        <f>Q112+R112+S112+T112</f>
        <v/>
      </c>
      <c r="Q112" s="73">
        <f>IF(B112="Retired",MIN(((U111)*(1+$C$10)+IF(B112="Working",M112,0)),O112),0)</f>
        <v/>
      </c>
      <c r="R112" s="73">
        <f>IF(B112="Retired",MIN(MAX(O112-Q112,0),((V111)*(1+$C$10)+IF(B112="Working",E112,0))),0)</f>
        <v/>
      </c>
      <c r="S112" s="73">
        <f>IF(B112="Retired",MIN(MAX(O112-Q112-R112,0),((W111)*(1+$C$10)+IF(B112="Working",L112,0))),0)</f>
        <v/>
      </c>
      <c r="T112" s="73">
        <f>IF(B112="Retired",MIN(MAX(O112-Q112-R112-S112,0),((X111)*(1+$C$10)+IF(B112="Working",F112,0))),0)</f>
        <v/>
      </c>
      <c r="U112" s="43">
        <f>MAX(((U111)*(1+$C$10)+IF(B112="Working",M112,0))-Q112,0)</f>
        <v/>
      </c>
      <c r="V112" s="43">
        <f>MAX(((V111)*(1+$C$10)+IF(B112="Working",E112,0))-R112,0)</f>
        <v/>
      </c>
      <c r="W112" s="43">
        <f>MAX(((W111)*(1+$C$10)+IF(B112="Working",L112,0))-S112,0)</f>
        <v/>
      </c>
      <c r="X112" s="43">
        <f>MAX(((X111)*(1+$C$10)+IF(B112="Working",F112,0))-T112,0)</f>
        <v/>
      </c>
      <c r="Y112" s="43">
        <f>U112+V112+W112+X112</f>
        <v/>
      </c>
      <c r="Z112" s="73">
        <f>IF(B112="Retired",MAX(O112-P112,0),0)</f>
        <v/>
      </c>
      <c r="AA112" s="74">
        <f>IF(B112="Working",IF(D112=0,0,N112/D112),0)</f>
        <v/>
      </c>
      <c r="AB112" s="43">
        <f>IF(AND($C$14&gt;0,A112=$C$13),$C$14*($C$15+$C$18),0)+IF(AND($C$14&gt;0,A112=$C$13),$C$24,0)</f>
        <v/>
      </c>
      <c r="AC112" s="43">
        <f>IF(OR($C$14&lt;=0,A112&lt;$C$13),0,IF(AND($C$14&gt;0,$C$17&gt;0,A112&gt;=$C$13,A112&lt;($C$13+$C$17)),IF($C$17&lt;=0,0,IF($C$16=0,MAX($C$14*(1-$C$15),0)/$C$17,-PMT($C$16/12,$C$17*12,MAX($C$14*(1-$C$15),0))*12)),0)+AD112*($C$19+$C$20+$C$21)+$C$22+$C$23)</f>
        <v/>
      </c>
      <c r="AD112" s="43">
        <f>IF(AND($C$14&gt;0,A112&gt;=$C$13),$C$14*(1+$C$25)^(A112-$C$13),0)</f>
        <v/>
      </c>
      <c r="AE112" s="43">
        <f>IF(OR($C$14&lt;=0,$C$17&lt;=0,A112&lt;$C$13,MIN(MAX((A112-$C$13+1)*12,0),$C$17*12)&gt;=$C$17*12),0,IF($C$16=0,MAX(MAX($C$14*(1-$C$15),0)-(IF($C$17&lt;=0,0,IF($C$16=0,MAX($C$14*(1-$C$15),0)/$C$17,-PMT($C$16/12,$C$17*12,MAX($C$14*(1-$C$15),0))*12))/12)*MIN(MAX((A112-$C$13+1)*12,0),$C$17*12),0),MAX(MAX($C$14*(1-$C$15),0)*(1+$C$16/12)^MIN(MAX((A112-$C$13+1)*12,0),$C$17*12)-(IF($C$17&lt;=0,0,IF($C$16=0,MAX($C$14*(1-$C$15),0)/$C$17,-PMT($C$16/12,$C$17*12,MAX($C$14*(1-$C$15),0))*12))/12)*(((1+$C$16/12)^MIN(MAX((A112-$C$13+1)*12,0),$C$17*12)-1)/($C$16/12)),0)))</f>
        <v/>
      </c>
      <c r="AF112" s="43">
        <f>MAX(AD112-AE112,0)</f>
        <v/>
      </c>
      <c r="AG112" s="85">
        <f>Y112+AF112</f>
        <v/>
      </c>
    </row>
    <row r="113" ht="18" customHeight="1" s="326">
      <c r="A113" s="86" t="n">
        <v>34</v>
      </c>
      <c r="B113" s="40">
        <f>IF(AND(C113&gt;0,A113&lt;=$C$11),"Working","Retired")</f>
        <v/>
      </c>
      <c r="C113" s="41">
        <f>N('Savings Projection'!$B$52)</f>
        <v/>
      </c>
      <c r="D113" s="41">
        <f>IF(B113="Working",C113*$C$6,0)</f>
        <v/>
      </c>
      <c r="E113" s="41">
        <f>IF(OR(B113="Retired",D113=0),0,MIN(D113,'Tax Assumptions'!$B$19))</f>
        <v/>
      </c>
      <c r="F113" s="41">
        <f>IF(B113="Working",N('Savings Projection'!$E$52),0)</f>
        <v/>
      </c>
      <c r="G113" s="41">
        <f>IF(B113="Working",N('Savings Projection'!$F$52),0)</f>
        <v/>
      </c>
      <c r="H113" s="41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/>
      </c>
      <c r="I113" s="41">
        <f>IF(B113="Working",D113-E113-F113-G113-H113,0)</f>
        <v/>
      </c>
      <c r="J113" s="41">
        <f>IF(B113="Working",N('Savings Projection'!$S$52)*$C$8,0)</f>
        <v/>
      </c>
      <c r="K113" s="41">
        <f>IF(B113="Working",N('Savings Projection'!$T$52)*$C$9,0)</f>
        <v/>
      </c>
      <c r="L113" s="41">
        <f>IF(B113="Working",MIN(MAX(I113-J113-K113-AB113-AC113,0),'Tax Assumptions'!$B$20),0)</f>
        <v/>
      </c>
      <c r="M113" s="41">
        <f>IF(B113="Working",I113-J113-K113-L113-AB113-AC113,0)</f>
        <v/>
      </c>
      <c r="N113" s="41">
        <f>IF(B113="Working",M113+L113+E113+F113,-P113)</f>
        <v/>
      </c>
      <c r="O113" s="41">
        <f>IF(B113="Retired",$C$12+AB113+AC113,0)</f>
        <v/>
      </c>
      <c r="P113" s="41">
        <f>Q113+R113+S113+T113</f>
        <v/>
      </c>
      <c r="Q113" s="41">
        <f>IF(B113="Retired",MIN(((U112)*(1+$C$10)+IF(B113="Working",M113,0)),O113),0)</f>
        <v/>
      </c>
      <c r="R113" s="41">
        <f>IF(B113="Retired",MIN(MAX(O113-Q113,0),((V112)*(1+$C$10)+IF(B113="Working",E113,0))),0)</f>
        <v/>
      </c>
      <c r="S113" s="41">
        <f>IF(B113="Retired",MIN(MAX(O113-Q113-R113,0),((W112)*(1+$C$10)+IF(B113="Working",L113,0))),0)</f>
        <v/>
      </c>
      <c r="T113" s="41">
        <f>IF(B113="Retired",MIN(MAX(O113-Q113-R113-S113,0),((X112)*(1+$C$10)+IF(B113="Working",F113,0))),0)</f>
        <v/>
      </c>
      <c r="U113" s="41">
        <f>MAX(((U112)*(1+$C$10)+IF(B113="Working",M113,0))-Q113,0)</f>
        <v/>
      </c>
      <c r="V113" s="41">
        <f>MAX(((V112)*(1+$C$10)+IF(B113="Working",E113,0))-R113,0)</f>
        <v/>
      </c>
      <c r="W113" s="41">
        <f>MAX(((W112)*(1+$C$10)+IF(B113="Working",L113,0))-S113,0)</f>
        <v/>
      </c>
      <c r="X113" s="41">
        <f>MAX(((X112)*(1+$C$10)+IF(B113="Working",F113,0))-T113,0)</f>
        <v/>
      </c>
      <c r="Y113" s="41">
        <f>U113+V113+W113+X113</f>
        <v/>
      </c>
      <c r="Z113" s="41">
        <f>IF(B113="Retired",MAX(O113-P113,0),0)</f>
        <v/>
      </c>
      <c r="AA113" s="44">
        <f>IF(B113="Working",IF(D113=0,0,N113/D113),0)</f>
        <v/>
      </c>
      <c r="AB113" s="41">
        <f>IF(AND($C$14&gt;0,A113=$C$13),$C$14*($C$15+$C$18),0)+IF(AND($C$14&gt;0,A113=$C$13),$C$24,0)</f>
        <v/>
      </c>
      <c r="AC113" s="41">
        <f>IF(OR($C$14&lt;=0,A113&lt;$C$13),0,IF(AND($C$14&gt;0,$C$17&gt;0,A113&gt;=$C$13,A113&lt;($C$13+$C$17)),IF($C$17&lt;=0,0,IF($C$16=0,MAX($C$14*(1-$C$15),0)/$C$17,-PMT($C$16/12,$C$17*12,MAX($C$14*(1-$C$15),0))*12)),0)+AD113*($C$19+$C$20+$C$21)+$C$22+$C$23)</f>
        <v/>
      </c>
      <c r="AD113" s="41">
        <f>IF(AND($C$14&gt;0,A113&gt;=$C$13),$C$14*(1+$C$25)^(A113-$C$13),0)</f>
        <v/>
      </c>
      <c r="AE113" s="41">
        <f>IF(OR($C$14&lt;=0,$C$17&lt;=0,A113&lt;$C$13,MIN(MAX((A113-$C$13+1)*12,0),$C$17*12)&gt;=$C$17*12),0,IF($C$16=0,MAX(MAX($C$14*(1-$C$15),0)-(IF($C$17&lt;=0,0,IF($C$16=0,MAX($C$14*(1-$C$15),0)/$C$17,-PMT($C$16/12,$C$17*12,MAX($C$14*(1-$C$15),0))*12))/12)*MIN(MAX((A113-$C$13+1)*12,0),$C$17*12),0),MAX(MAX($C$14*(1-$C$15),0)*(1+$C$16/12)^MIN(MAX((A113-$C$13+1)*12,0),$C$17*12)-(IF($C$17&lt;=0,0,IF($C$16=0,MAX($C$14*(1-$C$15),0)/$C$17,-PMT($C$16/12,$C$17*12,MAX($C$14*(1-$C$15),0))*12))/12)*(((1+$C$16/12)^MIN(MAX((A113-$C$13+1)*12,0),$C$17*12)-1)/($C$16/12)),0)))</f>
        <v/>
      </c>
      <c r="AF113" s="41">
        <f>MAX(AD113-AE113,0)</f>
        <v/>
      </c>
      <c r="AG113" s="87">
        <f>Y113+AF113</f>
        <v/>
      </c>
    </row>
    <row r="114" ht="18" customHeight="1" s="326">
      <c r="A114" s="84" t="n">
        <v>35</v>
      </c>
      <c r="B114" s="72">
        <f>IF(AND(C114&gt;0,A114&lt;=$C$11),"Working","Retired")</f>
        <v/>
      </c>
      <c r="C114" s="73">
        <f>N('Savings Projection'!$B$53)</f>
        <v/>
      </c>
      <c r="D114" s="43">
        <f>IF(B114="Working",C114*$C$6,0)</f>
        <v/>
      </c>
      <c r="E114" s="73">
        <f>IF(OR(B114="Retired",D114=0),0,MIN(D114,'Tax Assumptions'!$B$19))</f>
        <v/>
      </c>
      <c r="F114" s="73">
        <f>IF(B114="Working",N('Savings Projection'!$E$53),0)</f>
        <v/>
      </c>
      <c r="G114" s="73">
        <f>IF(B114="Working",N('Savings Projection'!$F$53),0)</f>
        <v/>
      </c>
      <c r="H114" s="43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/>
      </c>
      <c r="I114" s="43">
        <f>IF(B114="Working",D114-E114-F114-G114-H114,0)</f>
        <v/>
      </c>
      <c r="J114" s="73">
        <f>IF(B114="Working",N('Savings Projection'!$S$53)*$C$8,0)</f>
        <v/>
      </c>
      <c r="K114" s="73">
        <f>IF(B114="Working",N('Savings Projection'!$T$53)*$C$9,0)</f>
        <v/>
      </c>
      <c r="L114" s="43">
        <f>IF(B114="Working",MIN(MAX(I114-J114-K114-AB114-AC114,0),'Tax Assumptions'!$B$20),0)</f>
        <v/>
      </c>
      <c r="M114" s="43">
        <f>IF(B114="Working",I114-J114-K114-L114-AB114-AC114,0)</f>
        <v/>
      </c>
      <c r="N114" s="73">
        <f>IF(B114="Working",M114+L114+E114+F114,-P114)</f>
        <v/>
      </c>
      <c r="O114" s="73">
        <f>IF(B114="Retired",$C$12+AB114+AC114,0)</f>
        <v/>
      </c>
      <c r="P114" s="73">
        <f>Q114+R114+S114+T114</f>
        <v/>
      </c>
      <c r="Q114" s="73">
        <f>IF(B114="Retired",MIN(((U113)*(1+$C$10)+IF(B114="Working",M114,0)),O114),0)</f>
        <v/>
      </c>
      <c r="R114" s="73">
        <f>IF(B114="Retired",MIN(MAX(O114-Q114,0),((V113)*(1+$C$10)+IF(B114="Working",E114,0))),0)</f>
        <v/>
      </c>
      <c r="S114" s="73">
        <f>IF(B114="Retired",MIN(MAX(O114-Q114-R114,0),((W113)*(1+$C$10)+IF(B114="Working",L114,0))),0)</f>
        <v/>
      </c>
      <c r="T114" s="73">
        <f>IF(B114="Retired",MIN(MAX(O114-Q114-R114-S114,0),((X113)*(1+$C$10)+IF(B114="Working",F114,0))),0)</f>
        <v/>
      </c>
      <c r="U114" s="43">
        <f>MAX(((U113)*(1+$C$10)+IF(B114="Working",M114,0))-Q114,0)</f>
        <v/>
      </c>
      <c r="V114" s="43">
        <f>MAX(((V113)*(1+$C$10)+IF(B114="Working",E114,0))-R114,0)</f>
        <v/>
      </c>
      <c r="W114" s="43">
        <f>MAX(((W113)*(1+$C$10)+IF(B114="Working",L114,0))-S114,0)</f>
        <v/>
      </c>
      <c r="X114" s="43">
        <f>MAX(((X113)*(1+$C$10)+IF(B114="Working",F114,0))-T114,0)</f>
        <v/>
      </c>
      <c r="Y114" s="43">
        <f>U114+V114+W114+X114</f>
        <v/>
      </c>
      <c r="Z114" s="73">
        <f>IF(B114="Retired",MAX(O114-P114,0),0)</f>
        <v/>
      </c>
      <c r="AA114" s="74">
        <f>IF(B114="Working",IF(D114=0,0,N114/D114),0)</f>
        <v/>
      </c>
      <c r="AB114" s="43">
        <f>IF(AND($C$14&gt;0,A114=$C$13),$C$14*($C$15+$C$18),0)+IF(AND($C$14&gt;0,A114=$C$13),$C$24,0)</f>
        <v/>
      </c>
      <c r="AC114" s="43">
        <f>IF(OR($C$14&lt;=0,A114&lt;$C$13),0,IF(AND($C$14&gt;0,$C$17&gt;0,A114&gt;=$C$13,A114&lt;($C$13+$C$17)),IF($C$17&lt;=0,0,IF($C$16=0,MAX($C$14*(1-$C$15),0)/$C$17,-PMT($C$16/12,$C$17*12,MAX($C$14*(1-$C$15),0))*12)),0)+AD114*($C$19+$C$20+$C$21)+$C$22+$C$23)</f>
        <v/>
      </c>
      <c r="AD114" s="43">
        <f>IF(AND($C$14&gt;0,A114&gt;=$C$13),$C$14*(1+$C$25)^(A114-$C$13),0)</f>
        <v/>
      </c>
      <c r="AE114" s="43">
        <f>IF(OR($C$14&lt;=0,$C$17&lt;=0,A114&lt;$C$13,MIN(MAX((A114-$C$13+1)*12,0),$C$17*12)&gt;=$C$17*12),0,IF($C$16=0,MAX(MAX($C$14*(1-$C$15),0)-(IF($C$17&lt;=0,0,IF($C$16=0,MAX($C$14*(1-$C$15),0)/$C$17,-PMT($C$16/12,$C$17*12,MAX($C$14*(1-$C$15),0))*12))/12)*MIN(MAX((A114-$C$13+1)*12,0),$C$17*12),0),MAX(MAX($C$14*(1-$C$15),0)*(1+$C$16/12)^MIN(MAX((A114-$C$13+1)*12,0),$C$17*12)-(IF($C$17&lt;=0,0,IF($C$16=0,MAX($C$14*(1-$C$15),0)/$C$17,-PMT($C$16/12,$C$17*12,MAX($C$14*(1-$C$15),0))*12))/12)*(((1+$C$16/12)^MIN(MAX((A114-$C$13+1)*12,0),$C$17*12)-1)/($C$16/12)),0)))</f>
        <v/>
      </c>
      <c r="AF114" s="43">
        <f>MAX(AD114-AE114,0)</f>
        <v/>
      </c>
      <c r="AG114" s="85">
        <f>Y114+AF114</f>
        <v/>
      </c>
    </row>
    <row r="115" ht="18" customHeight="1" s="326">
      <c r="A115" s="86" t="n">
        <v>36</v>
      </c>
      <c r="B115" s="40">
        <f>IF(AND(C115&gt;0,A115&lt;=$C$11),"Working","Retired")</f>
        <v/>
      </c>
      <c r="C115" s="41">
        <f>N('Savings Projection'!$B$54)</f>
        <v/>
      </c>
      <c r="D115" s="41">
        <f>IF(B115="Working",C115*$C$6,0)</f>
        <v/>
      </c>
      <c r="E115" s="41">
        <f>IF(OR(B115="Retired",D115=0),0,MIN(D115,'Tax Assumptions'!$B$19))</f>
        <v/>
      </c>
      <c r="F115" s="41">
        <f>IF(B115="Working",N('Savings Projection'!$E$54),0)</f>
        <v/>
      </c>
      <c r="G115" s="41">
        <f>IF(B115="Working",N('Savings Projection'!$F$54),0)</f>
        <v/>
      </c>
      <c r="H115" s="41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/>
      </c>
      <c r="I115" s="41">
        <f>IF(B115="Working",D115-E115-F115-G115-H115,0)</f>
        <v/>
      </c>
      <c r="J115" s="41">
        <f>IF(B115="Working",N('Savings Projection'!$S$54)*$C$8,0)</f>
        <v/>
      </c>
      <c r="K115" s="41">
        <f>IF(B115="Working",N('Savings Projection'!$T$54)*$C$9,0)</f>
        <v/>
      </c>
      <c r="L115" s="41">
        <f>IF(B115="Working",MIN(MAX(I115-J115-K115-AB115-AC115,0),'Tax Assumptions'!$B$20),0)</f>
        <v/>
      </c>
      <c r="M115" s="41">
        <f>IF(B115="Working",I115-J115-K115-L115-AB115-AC115,0)</f>
        <v/>
      </c>
      <c r="N115" s="41">
        <f>IF(B115="Working",M115+L115+E115+F115,-P115)</f>
        <v/>
      </c>
      <c r="O115" s="41">
        <f>IF(B115="Retired",$C$12+AB115+AC115,0)</f>
        <v/>
      </c>
      <c r="P115" s="41">
        <f>Q115+R115+S115+T115</f>
        <v/>
      </c>
      <c r="Q115" s="41">
        <f>IF(B115="Retired",MIN(((U114)*(1+$C$10)+IF(B115="Working",M115,0)),O115),0)</f>
        <v/>
      </c>
      <c r="R115" s="41">
        <f>IF(B115="Retired",MIN(MAX(O115-Q115,0),((V114)*(1+$C$10)+IF(B115="Working",E115,0))),0)</f>
        <v/>
      </c>
      <c r="S115" s="41">
        <f>IF(B115="Retired",MIN(MAX(O115-Q115-R115,0),((W114)*(1+$C$10)+IF(B115="Working",L115,0))),0)</f>
        <v/>
      </c>
      <c r="T115" s="41">
        <f>IF(B115="Retired",MIN(MAX(O115-Q115-R115-S115,0),((X114)*(1+$C$10)+IF(B115="Working",F115,0))),0)</f>
        <v/>
      </c>
      <c r="U115" s="41">
        <f>MAX(((U114)*(1+$C$10)+IF(B115="Working",M115,0))-Q115,0)</f>
        <v/>
      </c>
      <c r="V115" s="41">
        <f>MAX(((V114)*(1+$C$10)+IF(B115="Working",E115,0))-R115,0)</f>
        <v/>
      </c>
      <c r="W115" s="41">
        <f>MAX(((W114)*(1+$C$10)+IF(B115="Working",L115,0))-S115,0)</f>
        <v/>
      </c>
      <c r="X115" s="41">
        <f>MAX(((X114)*(1+$C$10)+IF(B115="Working",F115,0))-T115,0)</f>
        <v/>
      </c>
      <c r="Y115" s="41">
        <f>U115+V115+W115+X115</f>
        <v/>
      </c>
      <c r="Z115" s="41">
        <f>IF(B115="Retired",MAX(O115-P115,0),0)</f>
        <v/>
      </c>
      <c r="AA115" s="44">
        <f>IF(B115="Working",IF(D115=0,0,N115/D115),0)</f>
        <v/>
      </c>
      <c r="AB115" s="41">
        <f>IF(AND($C$14&gt;0,A115=$C$13),$C$14*($C$15+$C$18),0)+IF(AND($C$14&gt;0,A115=$C$13),$C$24,0)</f>
        <v/>
      </c>
      <c r="AC115" s="41">
        <f>IF(OR($C$14&lt;=0,A115&lt;$C$13),0,IF(AND($C$14&gt;0,$C$17&gt;0,A115&gt;=$C$13,A115&lt;($C$13+$C$17)),IF($C$17&lt;=0,0,IF($C$16=0,MAX($C$14*(1-$C$15),0)/$C$17,-PMT($C$16/12,$C$17*12,MAX($C$14*(1-$C$15),0))*12)),0)+AD115*($C$19+$C$20+$C$21)+$C$22+$C$23)</f>
        <v/>
      </c>
      <c r="AD115" s="41">
        <f>IF(AND($C$14&gt;0,A115&gt;=$C$13),$C$14*(1+$C$25)^(A115-$C$13),0)</f>
        <v/>
      </c>
      <c r="AE115" s="41">
        <f>IF(OR($C$14&lt;=0,$C$17&lt;=0,A115&lt;$C$13,MIN(MAX((A115-$C$13+1)*12,0),$C$17*12)&gt;=$C$17*12),0,IF($C$16=0,MAX(MAX($C$14*(1-$C$15),0)-(IF($C$17&lt;=0,0,IF($C$16=0,MAX($C$14*(1-$C$15),0)/$C$17,-PMT($C$16/12,$C$17*12,MAX($C$14*(1-$C$15),0))*12))/12)*MIN(MAX((A115-$C$13+1)*12,0),$C$17*12),0),MAX(MAX($C$14*(1-$C$15),0)*(1+$C$16/12)^MIN(MAX((A115-$C$13+1)*12,0),$C$17*12)-(IF($C$17&lt;=0,0,IF($C$16=0,MAX($C$14*(1-$C$15),0)/$C$17,-PMT($C$16/12,$C$17*12,MAX($C$14*(1-$C$15),0))*12))/12)*(((1+$C$16/12)^MIN(MAX((A115-$C$13+1)*12,0),$C$17*12)-1)/($C$16/12)),0)))</f>
        <v/>
      </c>
      <c r="AF115" s="41">
        <f>MAX(AD115-AE115,0)</f>
        <v/>
      </c>
      <c r="AG115" s="87">
        <f>Y115+AF115</f>
        <v/>
      </c>
    </row>
    <row r="116" ht="18" customHeight="1" s="326">
      <c r="A116" s="84" t="n">
        <v>37</v>
      </c>
      <c r="B116" s="72">
        <f>IF(AND(C116&gt;0,A116&lt;=$C$11),"Working","Retired")</f>
        <v/>
      </c>
      <c r="C116" s="73">
        <f>N('Savings Projection'!$B$55)</f>
        <v/>
      </c>
      <c r="D116" s="43">
        <f>IF(B116="Working",C116*$C$6,0)</f>
        <v/>
      </c>
      <c r="E116" s="73">
        <f>IF(OR(B116="Retired",D116=0),0,MIN(D116,'Tax Assumptions'!$B$19))</f>
        <v/>
      </c>
      <c r="F116" s="73">
        <f>IF(B116="Working",N('Savings Projection'!$E$55),0)</f>
        <v/>
      </c>
      <c r="G116" s="73">
        <f>IF(B116="Working",N('Savings Projection'!$F$55),0)</f>
        <v/>
      </c>
      <c r="H116" s="43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/>
      </c>
      <c r="I116" s="43">
        <f>IF(B116="Working",D116-E116-F116-G116-H116,0)</f>
        <v/>
      </c>
      <c r="J116" s="73">
        <f>IF(B116="Working",N('Savings Projection'!$S$55)*$C$8,0)</f>
        <v/>
      </c>
      <c r="K116" s="73">
        <f>IF(B116="Working",N('Savings Projection'!$T$55)*$C$9,0)</f>
        <v/>
      </c>
      <c r="L116" s="43">
        <f>IF(B116="Working",MIN(MAX(I116-J116-K116-AB116-AC116,0),'Tax Assumptions'!$B$20),0)</f>
        <v/>
      </c>
      <c r="M116" s="43">
        <f>IF(B116="Working",I116-J116-K116-L116-AB116-AC116,0)</f>
        <v/>
      </c>
      <c r="N116" s="73">
        <f>IF(B116="Working",M116+L116+E116+F116,-P116)</f>
        <v/>
      </c>
      <c r="O116" s="73">
        <f>IF(B116="Retired",$C$12+AB116+AC116,0)</f>
        <v/>
      </c>
      <c r="P116" s="73">
        <f>Q116+R116+S116+T116</f>
        <v/>
      </c>
      <c r="Q116" s="73">
        <f>IF(B116="Retired",MIN(((U115)*(1+$C$10)+IF(B116="Working",M116,0)),O116),0)</f>
        <v/>
      </c>
      <c r="R116" s="73">
        <f>IF(B116="Retired",MIN(MAX(O116-Q116,0),((V115)*(1+$C$10)+IF(B116="Working",E116,0))),0)</f>
        <v/>
      </c>
      <c r="S116" s="73">
        <f>IF(B116="Retired",MIN(MAX(O116-Q116-R116,0),((W115)*(1+$C$10)+IF(B116="Working",L116,0))),0)</f>
        <v/>
      </c>
      <c r="T116" s="73">
        <f>IF(B116="Retired",MIN(MAX(O116-Q116-R116-S116,0),((X115)*(1+$C$10)+IF(B116="Working",F116,0))),0)</f>
        <v/>
      </c>
      <c r="U116" s="43">
        <f>MAX(((U115)*(1+$C$10)+IF(B116="Working",M116,0))-Q116,0)</f>
        <v/>
      </c>
      <c r="V116" s="43">
        <f>MAX(((V115)*(1+$C$10)+IF(B116="Working",E116,0))-R116,0)</f>
        <v/>
      </c>
      <c r="W116" s="43">
        <f>MAX(((W115)*(1+$C$10)+IF(B116="Working",L116,0))-S116,0)</f>
        <v/>
      </c>
      <c r="X116" s="43">
        <f>MAX(((X115)*(1+$C$10)+IF(B116="Working",F116,0))-T116,0)</f>
        <v/>
      </c>
      <c r="Y116" s="43">
        <f>U116+V116+W116+X116</f>
        <v/>
      </c>
      <c r="Z116" s="73">
        <f>IF(B116="Retired",MAX(O116-P116,0),0)</f>
        <v/>
      </c>
      <c r="AA116" s="74">
        <f>IF(B116="Working",IF(D116=0,0,N116/D116),0)</f>
        <v/>
      </c>
      <c r="AB116" s="43">
        <f>IF(AND($C$14&gt;0,A116=$C$13),$C$14*($C$15+$C$18),0)+IF(AND($C$14&gt;0,A116=$C$13),$C$24,0)</f>
        <v/>
      </c>
      <c r="AC116" s="43">
        <f>IF(OR($C$14&lt;=0,A116&lt;$C$13),0,IF(AND($C$14&gt;0,$C$17&gt;0,A116&gt;=$C$13,A116&lt;($C$13+$C$17)),IF($C$17&lt;=0,0,IF($C$16=0,MAX($C$14*(1-$C$15),0)/$C$17,-PMT($C$16/12,$C$17*12,MAX($C$14*(1-$C$15),0))*12)),0)+AD116*($C$19+$C$20+$C$21)+$C$22+$C$23)</f>
        <v/>
      </c>
      <c r="AD116" s="43">
        <f>IF(AND($C$14&gt;0,A116&gt;=$C$13),$C$14*(1+$C$25)^(A116-$C$13),0)</f>
        <v/>
      </c>
      <c r="AE116" s="43">
        <f>IF(OR($C$14&lt;=0,$C$17&lt;=0,A116&lt;$C$13,MIN(MAX((A116-$C$13+1)*12,0),$C$17*12)&gt;=$C$17*12),0,IF($C$16=0,MAX(MAX($C$14*(1-$C$15),0)-(IF($C$17&lt;=0,0,IF($C$16=0,MAX($C$14*(1-$C$15),0)/$C$17,-PMT($C$16/12,$C$17*12,MAX($C$14*(1-$C$15),0))*12))/12)*MIN(MAX((A116-$C$13+1)*12,0),$C$17*12),0),MAX(MAX($C$14*(1-$C$15),0)*(1+$C$16/12)^MIN(MAX((A116-$C$13+1)*12,0),$C$17*12)-(IF($C$17&lt;=0,0,IF($C$16=0,MAX($C$14*(1-$C$15),0)/$C$17,-PMT($C$16/12,$C$17*12,MAX($C$14*(1-$C$15),0))*12))/12)*(((1+$C$16/12)^MIN(MAX((A116-$C$13+1)*12,0),$C$17*12)-1)/($C$16/12)),0)))</f>
        <v/>
      </c>
      <c r="AF116" s="43">
        <f>MAX(AD116-AE116,0)</f>
        <v/>
      </c>
      <c r="AG116" s="85">
        <f>Y116+AF116</f>
        <v/>
      </c>
    </row>
    <row r="117" ht="18" customHeight="1" s="326">
      <c r="A117" s="86" t="n">
        <v>38</v>
      </c>
      <c r="B117" s="40">
        <f>IF(AND(C117&gt;0,A117&lt;=$C$11),"Working","Retired")</f>
        <v/>
      </c>
      <c r="C117" s="41">
        <f>N('Savings Projection'!$B$56)</f>
        <v/>
      </c>
      <c r="D117" s="41">
        <f>IF(B117="Working",C117*$C$6,0)</f>
        <v/>
      </c>
      <c r="E117" s="41">
        <f>IF(OR(B117="Retired",D117=0),0,MIN(D117,'Tax Assumptions'!$B$19))</f>
        <v/>
      </c>
      <c r="F117" s="41">
        <f>IF(B117="Working",N('Savings Projection'!$E$56),0)</f>
        <v/>
      </c>
      <c r="G117" s="41">
        <f>IF(B117="Working",N('Savings Projection'!$F$56),0)</f>
        <v/>
      </c>
      <c r="H117" s="41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/>
      </c>
      <c r="I117" s="41">
        <f>IF(B117="Working",D117-E117-F117-G117-H117,0)</f>
        <v/>
      </c>
      <c r="J117" s="41">
        <f>IF(B117="Working",N('Savings Projection'!$S$56)*$C$8,0)</f>
        <v/>
      </c>
      <c r="K117" s="41">
        <f>IF(B117="Working",N('Savings Projection'!$T$56)*$C$9,0)</f>
        <v/>
      </c>
      <c r="L117" s="41">
        <f>IF(B117="Working",MIN(MAX(I117-J117-K117-AB117-AC117,0),'Tax Assumptions'!$B$20),0)</f>
        <v/>
      </c>
      <c r="M117" s="41">
        <f>IF(B117="Working",I117-J117-K117-L117-AB117-AC117,0)</f>
        <v/>
      </c>
      <c r="N117" s="41">
        <f>IF(B117="Working",M117+L117+E117+F117,-P117)</f>
        <v/>
      </c>
      <c r="O117" s="41">
        <f>IF(B117="Retired",$C$12+AB117+AC117,0)</f>
        <v/>
      </c>
      <c r="P117" s="41">
        <f>Q117+R117+S117+T117</f>
        <v/>
      </c>
      <c r="Q117" s="41">
        <f>IF(B117="Retired",MIN(((U116)*(1+$C$10)+IF(B117="Working",M117,0)),O117),0)</f>
        <v/>
      </c>
      <c r="R117" s="41">
        <f>IF(B117="Retired",MIN(MAX(O117-Q117,0),((V116)*(1+$C$10)+IF(B117="Working",E117,0))),0)</f>
        <v/>
      </c>
      <c r="S117" s="41">
        <f>IF(B117="Retired",MIN(MAX(O117-Q117-R117,0),((W116)*(1+$C$10)+IF(B117="Working",L117,0))),0)</f>
        <v/>
      </c>
      <c r="T117" s="41">
        <f>IF(B117="Retired",MIN(MAX(O117-Q117-R117-S117,0),((X116)*(1+$C$10)+IF(B117="Working",F117,0))),0)</f>
        <v/>
      </c>
      <c r="U117" s="41">
        <f>MAX(((U116)*(1+$C$10)+IF(B117="Working",M117,0))-Q117,0)</f>
        <v/>
      </c>
      <c r="V117" s="41">
        <f>MAX(((V116)*(1+$C$10)+IF(B117="Working",E117,0))-R117,0)</f>
        <v/>
      </c>
      <c r="W117" s="41">
        <f>MAX(((W116)*(1+$C$10)+IF(B117="Working",L117,0))-S117,0)</f>
        <v/>
      </c>
      <c r="X117" s="41">
        <f>MAX(((X116)*(1+$C$10)+IF(B117="Working",F117,0))-T117,0)</f>
        <v/>
      </c>
      <c r="Y117" s="41">
        <f>U117+V117+W117+X117</f>
        <v/>
      </c>
      <c r="Z117" s="41">
        <f>IF(B117="Retired",MAX(O117-P117,0),0)</f>
        <v/>
      </c>
      <c r="AA117" s="44">
        <f>IF(B117="Working",IF(D117=0,0,N117/D117),0)</f>
        <v/>
      </c>
      <c r="AB117" s="41">
        <f>IF(AND($C$14&gt;0,A117=$C$13),$C$14*($C$15+$C$18),0)+IF(AND($C$14&gt;0,A117=$C$13),$C$24,0)</f>
        <v/>
      </c>
      <c r="AC117" s="41">
        <f>IF(OR($C$14&lt;=0,A117&lt;$C$13),0,IF(AND($C$14&gt;0,$C$17&gt;0,A117&gt;=$C$13,A117&lt;($C$13+$C$17)),IF($C$17&lt;=0,0,IF($C$16=0,MAX($C$14*(1-$C$15),0)/$C$17,-PMT($C$16/12,$C$17*12,MAX($C$14*(1-$C$15),0))*12)),0)+AD117*($C$19+$C$20+$C$21)+$C$22+$C$23)</f>
        <v/>
      </c>
      <c r="AD117" s="41">
        <f>IF(AND($C$14&gt;0,A117&gt;=$C$13),$C$14*(1+$C$25)^(A117-$C$13),0)</f>
        <v/>
      </c>
      <c r="AE117" s="41">
        <f>IF(OR($C$14&lt;=0,$C$17&lt;=0,A117&lt;$C$13,MIN(MAX((A117-$C$13+1)*12,0),$C$17*12)&gt;=$C$17*12),0,IF($C$16=0,MAX(MAX($C$14*(1-$C$15),0)-(IF($C$17&lt;=0,0,IF($C$16=0,MAX($C$14*(1-$C$15),0)/$C$17,-PMT($C$16/12,$C$17*12,MAX($C$14*(1-$C$15),0))*12))/12)*MIN(MAX((A117-$C$13+1)*12,0),$C$17*12),0),MAX(MAX($C$14*(1-$C$15),0)*(1+$C$16/12)^MIN(MAX((A117-$C$13+1)*12,0),$C$17*12)-(IF($C$17&lt;=0,0,IF($C$16=0,MAX($C$14*(1-$C$15),0)/$C$17,-PMT($C$16/12,$C$17*12,MAX($C$14*(1-$C$15),0))*12))/12)*(((1+$C$16/12)^MIN(MAX((A117-$C$13+1)*12,0),$C$17*12)-1)/($C$16/12)),0)))</f>
        <v/>
      </c>
      <c r="AF117" s="41">
        <f>MAX(AD117-AE117,0)</f>
        <v/>
      </c>
      <c r="AG117" s="87">
        <f>Y117+AF117</f>
        <v/>
      </c>
    </row>
    <row r="118" ht="18" customHeight="1" s="326">
      <c r="A118" s="84" t="n">
        <v>39</v>
      </c>
      <c r="B118" s="72">
        <f>IF(AND(C118&gt;0,A118&lt;=$C$11),"Working","Retired")</f>
        <v/>
      </c>
      <c r="C118" s="73">
        <f>N('Savings Projection'!$B$57)</f>
        <v/>
      </c>
      <c r="D118" s="43">
        <f>IF(B118="Working",C118*$C$6,0)</f>
        <v/>
      </c>
      <c r="E118" s="73">
        <f>IF(OR(B118="Retired",D118=0),0,MIN(D118,'Tax Assumptions'!$B$19))</f>
        <v/>
      </c>
      <c r="F118" s="73">
        <f>IF(B118="Working",N('Savings Projection'!$E$57),0)</f>
        <v/>
      </c>
      <c r="G118" s="73">
        <f>IF(B118="Working",N('Savings Projection'!$F$57),0)</f>
        <v/>
      </c>
      <c r="H118" s="43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/>
      </c>
      <c r="I118" s="43">
        <f>IF(B118="Working",D118-E118-F118-G118-H118,0)</f>
        <v/>
      </c>
      <c r="J118" s="73">
        <f>IF(B118="Working",N('Savings Projection'!$S$57)*$C$8,0)</f>
        <v/>
      </c>
      <c r="K118" s="73">
        <f>IF(B118="Working",N('Savings Projection'!$T$57)*$C$9,0)</f>
        <v/>
      </c>
      <c r="L118" s="43">
        <f>IF(B118="Working",MIN(MAX(I118-J118-K118-AB118-AC118,0),'Tax Assumptions'!$B$20),0)</f>
        <v/>
      </c>
      <c r="M118" s="43">
        <f>IF(B118="Working",I118-J118-K118-L118-AB118-AC118,0)</f>
        <v/>
      </c>
      <c r="N118" s="73">
        <f>IF(B118="Working",M118+L118+E118+F118,-P118)</f>
        <v/>
      </c>
      <c r="O118" s="73">
        <f>IF(B118="Retired",$C$12+AB118+AC118,0)</f>
        <v/>
      </c>
      <c r="P118" s="73">
        <f>Q118+R118+S118+T118</f>
        <v/>
      </c>
      <c r="Q118" s="73">
        <f>IF(B118="Retired",MIN(((U117)*(1+$C$10)+IF(B118="Working",M118,0)),O118),0)</f>
        <v/>
      </c>
      <c r="R118" s="73">
        <f>IF(B118="Retired",MIN(MAX(O118-Q118,0),((V117)*(1+$C$10)+IF(B118="Working",E118,0))),0)</f>
        <v/>
      </c>
      <c r="S118" s="73">
        <f>IF(B118="Retired",MIN(MAX(O118-Q118-R118,0),((W117)*(1+$C$10)+IF(B118="Working",L118,0))),0)</f>
        <v/>
      </c>
      <c r="T118" s="73">
        <f>IF(B118="Retired",MIN(MAX(O118-Q118-R118-S118,0),((X117)*(1+$C$10)+IF(B118="Working",F118,0))),0)</f>
        <v/>
      </c>
      <c r="U118" s="43">
        <f>MAX(((U117)*(1+$C$10)+IF(B118="Working",M118,0))-Q118,0)</f>
        <v/>
      </c>
      <c r="V118" s="43">
        <f>MAX(((V117)*(1+$C$10)+IF(B118="Working",E118,0))-R118,0)</f>
        <v/>
      </c>
      <c r="W118" s="43">
        <f>MAX(((W117)*(1+$C$10)+IF(B118="Working",L118,0))-S118,0)</f>
        <v/>
      </c>
      <c r="X118" s="43">
        <f>MAX(((X117)*(1+$C$10)+IF(B118="Working",F118,0))-T118,0)</f>
        <v/>
      </c>
      <c r="Y118" s="43">
        <f>U118+V118+W118+X118</f>
        <v/>
      </c>
      <c r="Z118" s="73">
        <f>IF(B118="Retired",MAX(O118-P118,0),0)</f>
        <v/>
      </c>
      <c r="AA118" s="74">
        <f>IF(B118="Working",IF(D118=0,0,N118/D118),0)</f>
        <v/>
      </c>
      <c r="AB118" s="43">
        <f>IF(AND($C$14&gt;0,A118=$C$13),$C$14*($C$15+$C$18),0)+IF(AND($C$14&gt;0,A118=$C$13),$C$24,0)</f>
        <v/>
      </c>
      <c r="AC118" s="43">
        <f>IF(OR($C$14&lt;=0,A118&lt;$C$13),0,IF(AND($C$14&gt;0,$C$17&gt;0,A118&gt;=$C$13,A118&lt;($C$13+$C$17)),IF($C$17&lt;=0,0,IF($C$16=0,MAX($C$14*(1-$C$15),0)/$C$17,-PMT($C$16/12,$C$17*12,MAX($C$14*(1-$C$15),0))*12)),0)+AD118*($C$19+$C$20+$C$21)+$C$22+$C$23)</f>
        <v/>
      </c>
      <c r="AD118" s="43">
        <f>IF(AND($C$14&gt;0,A118&gt;=$C$13),$C$14*(1+$C$25)^(A118-$C$13),0)</f>
        <v/>
      </c>
      <c r="AE118" s="43">
        <f>IF(OR($C$14&lt;=0,$C$17&lt;=0,A118&lt;$C$13,MIN(MAX((A118-$C$13+1)*12,0),$C$17*12)&gt;=$C$17*12),0,IF($C$16=0,MAX(MAX($C$14*(1-$C$15),0)-(IF($C$17&lt;=0,0,IF($C$16=0,MAX($C$14*(1-$C$15),0)/$C$17,-PMT($C$16/12,$C$17*12,MAX($C$14*(1-$C$15),0))*12))/12)*MIN(MAX((A118-$C$13+1)*12,0),$C$17*12),0),MAX(MAX($C$14*(1-$C$15),0)*(1+$C$16/12)^MIN(MAX((A118-$C$13+1)*12,0),$C$17*12)-(IF($C$17&lt;=0,0,IF($C$16=0,MAX($C$14*(1-$C$15),0)/$C$17,-PMT($C$16/12,$C$17*12,MAX($C$14*(1-$C$15),0))*12))/12)*(((1+$C$16/12)^MIN(MAX((A118-$C$13+1)*12,0),$C$17*12)-1)/($C$16/12)),0)))</f>
        <v/>
      </c>
      <c r="AF118" s="43">
        <f>MAX(AD118-AE118,0)</f>
        <v/>
      </c>
      <c r="AG118" s="85">
        <f>Y118+AF118</f>
        <v/>
      </c>
    </row>
    <row r="119" ht="18" customHeight="1" s="326">
      <c r="A119" s="86" t="n">
        <v>40</v>
      </c>
      <c r="B119" s="40">
        <f>IF(AND(C119&gt;0,A119&lt;=$C$11),"Working","Retired")</f>
        <v/>
      </c>
      <c r="C119" s="41">
        <f>N('Savings Projection'!$B$58)</f>
        <v/>
      </c>
      <c r="D119" s="41">
        <f>IF(B119="Working",C119*$C$6,0)</f>
        <v/>
      </c>
      <c r="E119" s="41">
        <f>IF(OR(B119="Retired",D119=0),0,MIN(D119,'Tax Assumptions'!$B$19))</f>
        <v/>
      </c>
      <c r="F119" s="41">
        <f>IF(B119="Working",N('Savings Projection'!$E$58),0)</f>
        <v/>
      </c>
      <c r="G119" s="41">
        <f>IF(B119="Working",N('Savings Projection'!$F$58),0)</f>
        <v/>
      </c>
      <c r="H119" s="41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/>
      </c>
      <c r="I119" s="41">
        <f>IF(B119="Working",D119-E119-F119-G119-H119,0)</f>
        <v/>
      </c>
      <c r="J119" s="41">
        <f>IF(B119="Working",N('Savings Projection'!$S$58)*$C$8,0)</f>
        <v/>
      </c>
      <c r="K119" s="41">
        <f>IF(B119="Working",N('Savings Projection'!$T$58)*$C$9,0)</f>
        <v/>
      </c>
      <c r="L119" s="41">
        <f>IF(B119="Working",MIN(MAX(I119-J119-K119-AB119-AC119,0),'Tax Assumptions'!$B$20),0)</f>
        <v/>
      </c>
      <c r="M119" s="41">
        <f>IF(B119="Working",I119-J119-K119-L119-AB119-AC119,0)</f>
        <v/>
      </c>
      <c r="N119" s="41">
        <f>IF(B119="Working",M119+L119+E119+F119,-P119)</f>
        <v/>
      </c>
      <c r="O119" s="41">
        <f>IF(B119="Retired",$C$12+AB119+AC119,0)</f>
        <v/>
      </c>
      <c r="P119" s="41">
        <f>Q119+R119+S119+T119</f>
        <v/>
      </c>
      <c r="Q119" s="41">
        <f>IF(B119="Retired",MIN(((U118)*(1+$C$10)+IF(B119="Working",M119,0)),O119),0)</f>
        <v/>
      </c>
      <c r="R119" s="41">
        <f>IF(B119="Retired",MIN(MAX(O119-Q119,0),((V118)*(1+$C$10)+IF(B119="Working",E119,0))),0)</f>
        <v/>
      </c>
      <c r="S119" s="41">
        <f>IF(B119="Retired",MIN(MAX(O119-Q119-R119,0),((W118)*(1+$C$10)+IF(B119="Working",L119,0))),0)</f>
        <v/>
      </c>
      <c r="T119" s="41">
        <f>IF(B119="Retired",MIN(MAX(O119-Q119-R119-S119,0),((X118)*(1+$C$10)+IF(B119="Working",F119,0))),0)</f>
        <v/>
      </c>
      <c r="U119" s="41">
        <f>MAX(((U118)*(1+$C$10)+IF(B119="Working",M119,0))-Q119,0)</f>
        <v/>
      </c>
      <c r="V119" s="41">
        <f>MAX(((V118)*(1+$C$10)+IF(B119="Working",E119,0))-R119,0)</f>
        <v/>
      </c>
      <c r="W119" s="41">
        <f>MAX(((W118)*(1+$C$10)+IF(B119="Working",L119,0))-S119,0)</f>
        <v/>
      </c>
      <c r="X119" s="41">
        <f>MAX(((X118)*(1+$C$10)+IF(B119="Working",F119,0))-T119,0)</f>
        <v/>
      </c>
      <c r="Y119" s="41">
        <f>U119+V119+W119+X119</f>
        <v/>
      </c>
      <c r="Z119" s="41">
        <f>IF(B119="Retired",MAX(O119-P119,0),0)</f>
        <v/>
      </c>
      <c r="AA119" s="44">
        <f>IF(B119="Working",IF(D119=0,0,N119/D119),0)</f>
        <v/>
      </c>
      <c r="AB119" s="41">
        <f>IF(AND($C$14&gt;0,A119=$C$13),$C$14*($C$15+$C$18),0)+IF(AND($C$14&gt;0,A119=$C$13),$C$24,0)</f>
        <v/>
      </c>
      <c r="AC119" s="41">
        <f>IF(OR($C$14&lt;=0,A119&lt;$C$13),0,IF(AND($C$14&gt;0,$C$17&gt;0,A119&gt;=$C$13,A119&lt;($C$13+$C$17)),IF($C$17&lt;=0,0,IF($C$16=0,MAX($C$14*(1-$C$15),0)/$C$17,-PMT($C$16/12,$C$17*12,MAX($C$14*(1-$C$15),0))*12)),0)+AD119*($C$19+$C$20+$C$21)+$C$22+$C$23)</f>
        <v/>
      </c>
      <c r="AD119" s="41">
        <f>IF(AND($C$14&gt;0,A119&gt;=$C$13),$C$14*(1+$C$25)^(A119-$C$13),0)</f>
        <v/>
      </c>
      <c r="AE119" s="41">
        <f>IF(OR($C$14&lt;=0,$C$17&lt;=0,A119&lt;$C$13,MIN(MAX((A119-$C$13+1)*12,0),$C$17*12)&gt;=$C$17*12),0,IF($C$16=0,MAX(MAX($C$14*(1-$C$15),0)-(IF($C$17&lt;=0,0,IF($C$16=0,MAX($C$14*(1-$C$15),0)/$C$17,-PMT($C$16/12,$C$17*12,MAX($C$14*(1-$C$15),0))*12))/12)*MIN(MAX((A119-$C$13+1)*12,0),$C$17*12),0),MAX(MAX($C$14*(1-$C$15),0)*(1+$C$16/12)^MIN(MAX((A119-$C$13+1)*12,0),$C$17*12)-(IF($C$17&lt;=0,0,IF($C$16=0,MAX($C$14*(1-$C$15),0)/$C$17,-PMT($C$16/12,$C$17*12,MAX($C$14*(1-$C$15),0))*12))/12)*(((1+$C$16/12)^MIN(MAX((A119-$C$13+1)*12,0),$C$17*12)-1)/($C$16/12)),0)))</f>
        <v/>
      </c>
      <c r="AF119" s="41">
        <f>MAX(AD119-AE119,0)</f>
        <v/>
      </c>
      <c r="AG119" s="87">
        <f>Y119+AF119</f>
        <v/>
      </c>
    </row>
    <row r="120" ht="18" customHeight="1" s="326">
      <c r="A120" s="88" t="inlineStr">
        <is>
          <t>Totals / Ending</t>
        </is>
      </c>
      <c r="B120" s="89" t="n"/>
      <c r="C120" s="89" t="n"/>
      <c r="D120" s="90">
        <f>SUM(D80:D119)</f>
        <v/>
      </c>
      <c r="E120" s="90">
        <f>SUM(E80:E119)</f>
        <v/>
      </c>
      <c r="F120" s="90">
        <f>SUM(F80:F119)</f>
        <v/>
      </c>
      <c r="G120" s="90">
        <f>SUM(G80:G119)</f>
        <v/>
      </c>
      <c r="H120" s="90">
        <f>SUM(H80:H119)</f>
        <v/>
      </c>
      <c r="I120" s="90">
        <f>SUM(I80:I119)</f>
        <v/>
      </c>
      <c r="J120" s="90">
        <f>SUM(J80:J119)</f>
        <v/>
      </c>
      <c r="K120" s="90">
        <f>SUM(K80:K119)</f>
        <v/>
      </c>
      <c r="L120" s="90">
        <f>SUM(L80:L119)</f>
        <v/>
      </c>
      <c r="M120" s="90">
        <f>SUM(M80:M119)</f>
        <v/>
      </c>
      <c r="N120" s="90">
        <f>SUM(N80:N119)</f>
        <v/>
      </c>
      <c r="O120" s="90">
        <f>SUM(O80:O119)</f>
        <v/>
      </c>
      <c r="P120" s="90">
        <f>SUM(P80:P119)</f>
        <v/>
      </c>
      <c r="Q120" s="90">
        <f>SUM(Q80:Q119)</f>
        <v/>
      </c>
      <c r="R120" s="90">
        <f>SUM(R80:R119)</f>
        <v/>
      </c>
      <c r="S120" s="90">
        <f>SUM(S80:S119)</f>
        <v/>
      </c>
      <c r="T120" s="90">
        <f>SUM(T80:T119)</f>
        <v/>
      </c>
      <c r="U120" s="90">
        <f>U119</f>
        <v/>
      </c>
      <c r="V120" s="90">
        <f>V119</f>
        <v/>
      </c>
      <c r="W120" s="90">
        <f>W119</f>
        <v/>
      </c>
      <c r="X120" s="90">
        <f>X119</f>
        <v/>
      </c>
      <c r="Y120" s="90">
        <f>Y119</f>
        <v/>
      </c>
      <c r="Z120" s="90">
        <f>Z119</f>
        <v/>
      </c>
      <c r="AA120" s="91">
        <f>AVERAGEIF(AA80:AA119,"&gt;0",AA80:AA119)</f>
        <v/>
      </c>
      <c r="AB120" s="90">
        <f>SUM(AB80:AB119)</f>
        <v/>
      </c>
      <c r="AC120" s="90">
        <f>SUM(AC80:AC119)</f>
        <v/>
      </c>
      <c r="AD120" s="90">
        <f>AD119</f>
        <v/>
      </c>
      <c r="AE120" s="90">
        <f>AE119</f>
        <v/>
      </c>
      <c r="AF120" s="90">
        <f>AF119</f>
        <v/>
      </c>
      <c r="AG120" s="92">
        <f>AG119</f>
        <v/>
      </c>
    </row>
    <row r="121" ht="18" customHeight="1" s="326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</row>
    <row r="122" ht="18" customHeight="1" s="326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</row>
    <row r="123" ht="18" customHeight="1" s="326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</row>
    <row r="124" ht="18" customHeight="1" s="326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</row>
    <row r="125" ht="18" customHeight="1" s="326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</row>
    <row r="126" ht="18" customHeight="1" s="326">
      <c r="A126" s="394">
        <f>D$5&amp;" Scenario"</f>
        <v/>
      </c>
      <c r="B126" s="352" t="n"/>
      <c r="C126" s="352" t="n"/>
      <c r="D126" s="352" t="n"/>
      <c r="E126" s="352" t="n"/>
      <c r="F126" s="352" t="n"/>
      <c r="G126" s="352" t="n"/>
      <c r="H126" s="352" t="n"/>
      <c r="I126" s="352" t="n"/>
      <c r="J126" s="352" t="n"/>
      <c r="K126" s="352" t="n"/>
      <c r="L126" s="352" t="n"/>
      <c r="M126" s="352" t="n"/>
      <c r="N126" s="352" t="n"/>
      <c r="O126" s="352" t="n"/>
      <c r="P126" s="352" t="n"/>
      <c r="Q126" s="352" t="n"/>
      <c r="R126" s="352" t="n"/>
      <c r="S126" s="352" t="n"/>
      <c r="T126" s="352" t="n"/>
      <c r="U126" s="352" t="n"/>
      <c r="V126" s="352" t="n"/>
      <c r="W126" s="352" t="n"/>
      <c r="X126" s="352" t="n"/>
      <c r="Y126" s="352" t="n"/>
      <c r="Z126" s="352" t="n"/>
      <c r="AA126" s="352" t="n"/>
      <c r="AB126" s="352" t="n"/>
      <c r="AC126" s="352" t="n"/>
      <c r="AD126" s="352" t="n"/>
      <c r="AE126" s="352" t="n"/>
      <c r="AF126" s="352" t="n"/>
      <c r="AG126" s="353" t="n"/>
    </row>
    <row r="127" ht="18" customHeight="1" s="326">
      <c r="A127" s="490" t="inlineStr">
        <is>
          <t>Year</t>
        </is>
      </c>
      <c r="B127" s="486" t="inlineStr">
        <is>
          <t>Phase</t>
        </is>
      </c>
      <c r="C127" s="486" t="inlineStr">
        <is>
          <t>Base Gross</t>
        </is>
      </c>
      <c r="D127" s="486" t="inlineStr">
        <is>
          <t>Scenario Gross</t>
        </is>
      </c>
      <c r="E127" s="486" t="inlineStr">
        <is>
          <t>401(k)</t>
        </is>
      </c>
      <c r="F127" s="486" t="inlineStr">
        <is>
          <t>HSA</t>
        </is>
      </c>
      <c r="G127" s="486" t="inlineStr">
        <is>
          <t>After-Tax Payroll</t>
        </is>
      </c>
      <c r="H127" s="486" t="inlineStr">
        <is>
          <t>Adj. Total Tax</t>
        </is>
      </c>
      <c r="I127" s="486" t="inlineStr">
        <is>
          <t>Post-Tax Cash</t>
        </is>
      </c>
      <c r="J127" s="486" t="inlineStr">
        <is>
          <t>Rent</t>
        </is>
      </c>
      <c r="K127" s="486" t="inlineStr">
        <is>
          <t>Living</t>
        </is>
      </c>
      <c r="L127" s="486" t="inlineStr">
        <is>
          <t>Roth</t>
        </is>
      </c>
      <c r="M127" s="486" t="inlineStr">
        <is>
          <t>Taxable Savings / (Draw)</t>
        </is>
      </c>
      <c r="N127" s="486" t="inlineStr">
        <is>
          <t>Net Portfolio Flow</t>
        </is>
      </c>
      <c r="O127" s="486" t="inlineStr">
        <is>
          <t>Planned Retirement Need</t>
        </is>
      </c>
      <c r="P127" s="486" t="inlineStr">
        <is>
          <t>Actual Withdrawal</t>
        </is>
      </c>
      <c r="Q127" s="486" t="inlineStr">
        <is>
          <t>Taxable Draw</t>
        </is>
      </c>
      <c r="R127" s="486" t="inlineStr">
        <is>
          <t>401(k) Draw</t>
        </is>
      </c>
      <c r="S127" s="486" t="inlineStr">
        <is>
          <t>Roth Draw</t>
        </is>
      </c>
      <c r="T127" s="486" t="inlineStr">
        <is>
          <t>HSA Draw</t>
        </is>
      </c>
      <c r="U127" s="486" t="inlineStr">
        <is>
          <t>Taxable Balance</t>
        </is>
      </c>
      <c r="V127" s="486" t="inlineStr">
        <is>
          <t>401(k) Balance</t>
        </is>
      </c>
      <c r="W127" s="486" t="inlineStr">
        <is>
          <t>Roth Balance</t>
        </is>
      </c>
      <c r="X127" s="486" t="inlineStr">
        <is>
          <t>HSA Balance</t>
        </is>
      </c>
      <c r="Y127" s="486" t="inlineStr">
        <is>
          <t>Liquid Wealth</t>
        </is>
      </c>
      <c r="Z127" s="486" t="inlineStr">
        <is>
          <t>Funding Gap</t>
        </is>
      </c>
      <c r="AA127" s="486" t="inlineStr">
        <is>
          <t>Total Savings Rate</t>
        </is>
      </c>
      <c r="AB127" s="486" t="inlineStr">
        <is>
          <t>Home Purchase Cash</t>
        </is>
      </c>
      <c r="AC127" s="486" t="inlineStr">
        <is>
          <t>Annual Housing Carry</t>
        </is>
      </c>
      <c r="AD127" s="486" t="inlineStr">
        <is>
          <t>House Value</t>
        </is>
      </c>
      <c r="AE127" s="486" t="inlineStr">
        <is>
          <t>Mortgage Balance</t>
        </is>
      </c>
      <c r="AF127" s="486" t="inlineStr">
        <is>
          <t>Home Equity</t>
        </is>
      </c>
      <c r="AG127" s="491" t="inlineStr">
        <is>
          <t>Net Worth Incl. Home</t>
        </is>
      </c>
    </row>
    <row r="128" ht="18" customHeight="1" s="326">
      <c r="A128" s="93" t="n">
        <v>1</v>
      </c>
      <c r="B128" s="72">
        <f>IF(AND(C128&gt;0,A128&lt;=$D$11),"Working","Retired")</f>
        <v/>
      </c>
      <c r="C128" s="73">
        <f>N('Savings Projection'!$B$19)</f>
        <v/>
      </c>
      <c r="D128" s="43">
        <f>IF(B128="Working",C128*$D$6,0)</f>
        <v/>
      </c>
      <c r="E128" s="73">
        <f>IF(OR(B128="Retired",D128=0),0,MIN(D128,'Tax Assumptions'!$B$19))</f>
        <v/>
      </c>
      <c r="F128" s="73">
        <f>IF(B128="Working",N('Savings Projection'!$E$19),0)</f>
        <v/>
      </c>
      <c r="G128" s="73">
        <f>IF(B128="Working",N('Savings Projection'!$F$19),0)</f>
        <v/>
      </c>
      <c r="H128" s="43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/>
      </c>
      <c r="I128" s="43">
        <f>IF(B128="Working",D128-E128-F128-G128-H128,0)</f>
        <v/>
      </c>
      <c r="J128" s="73">
        <f>IF(B128="Working",N('Savings Projection'!$S$19)*$D$8,0)</f>
        <v/>
      </c>
      <c r="K128" s="73">
        <f>IF(B128="Working",N('Savings Projection'!$T$19)*$D$9,0)</f>
        <v/>
      </c>
      <c r="L128" s="43">
        <f>IF(B128="Working",MIN(MAX(I128-J128-K128-AB128-AC128,0),'Tax Assumptions'!$B$20),0)</f>
        <v/>
      </c>
      <c r="M128" s="43">
        <f>IF(B128="Working",I128-J128-K128-L128-AB128-AC128,0)</f>
        <v/>
      </c>
      <c r="N128" s="73">
        <f>IF(B128="Working",M128+L128+E128+F128,-P128)</f>
        <v/>
      </c>
      <c r="O128" s="73">
        <f>IF(B128="Retired",$D$12+AB128+AC128,0)</f>
        <v/>
      </c>
      <c r="P128" s="73">
        <f>Q128+R128+S128+T128</f>
        <v/>
      </c>
      <c r="Q128" s="73">
        <f>IF(B128="Retired",MIN((('Savings Projection'!$B$7)*(1+$D$10)+IF(B128="Working",M128,0)),O128),0)</f>
        <v/>
      </c>
      <c r="R128" s="73">
        <f>IF(B128="Retired",MIN(MAX(O128-Q128,0),(('Savings Projection'!$B$8)*(1+$D$10)+IF(B128="Working",E128,0))),0)</f>
        <v/>
      </c>
      <c r="S128" s="73">
        <f>IF(B128="Retired",MIN(MAX(O128-Q128-R128,0),(('Savings Projection'!$B$9)*(1+$D$10)+IF(B128="Working",L128,0))),0)</f>
        <v/>
      </c>
      <c r="T128" s="73">
        <f>IF(B128="Retired",MIN(MAX(O128-Q128-R128-S128,0),(('Savings Projection'!$B$10)*(1+$D$10)+IF(B128="Working",F128,0))),0)</f>
        <v/>
      </c>
      <c r="U128" s="43">
        <f>MAX((('Savings Projection'!$B$7)*(1+$D$10)+IF(B128="Working",M128,0))-Q128,0)</f>
        <v/>
      </c>
      <c r="V128" s="43">
        <f>MAX((('Savings Projection'!$B$8)*(1+$D$10)+IF(B128="Working",E128,0))-R128,0)</f>
        <v/>
      </c>
      <c r="W128" s="43">
        <f>MAX((('Savings Projection'!$B$9)*(1+$D$10)+IF(B128="Working",L128,0))-S128,0)</f>
        <v/>
      </c>
      <c r="X128" s="43">
        <f>MAX((('Savings Projection'!$B$10)*(1+$D$10)+IF(B128="Working",F128,0))-T128,0)</f>
        <v/>
      </c>
      <c r="Y128" s="43">
        <f>U128+V128+W128+X128</f>
        <v/>
      </c>
      <c r="Z128" s="73">
        <f>IF(B128="Retired",MAX(O128-P128,0),0)</f>
        <v/>
      </c>
      <c r="AA128" s="74">
        <f>IF(B128="Working",IF(D128=0,0,N128/D128),0)</f>
        <v/>
      </c>
      <c r="AB128" s="43">
        <f>IF(AND($D$14&gt;0,A128=$D$13),$D$14*($D$15+$D$18),0)+IF(AND($D$14&gt;0,A128=$D$13),$D$24,0)</f>
        <v/>
      </c>
      <c r="AC128" s="43">
        <f>IF(OR($D$14&lt;=0,A128&lt;$D$13),0,IF(AND($D$14&gt;0,$D$17&gt;0,A128&gt;=$D$13,A128&lt;($D$13+$D$17)),IF($D$17&lt;=0,0,IF($D$16=0,MAX($D$14*(1-$D$15),0)/$D$17,-PMT($D$16/12,$D$17*12,MAX($D$14*(1-$D$15),0))*12)),0)+AD128*($D$19+$D$20+$D$21)+$D$22+$D$23)</f>
        <v/>
      </c>
      <c r="AD128" s="43">
        <f>IF(AND($D$14&gt;0,A128&gt;=$D$13),$D$14*(1+$D$25)^(A128-$D$13),0)</f>
        <v/>
      </c>
      <c r="AE128" s="43">
        <f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/>
      </c>
      <c r="AF128" s="43">
        <f>MAX(AD128-AE128,0)</f>
        <v/>
      </c>
      <c r="AG128" s="94">
        <f>Y128+AF128</f>
        <v/>
      </c>
    </row>
    <row r="129" ht="18" customHeight="1" s="326">
      <c r="A129" s="95" t="n">
        <v>2</v>
      </c>
      <c r="B129" s="40">
        <f>IF(AND(C129&gt;0,A129&lt;=$D$11),"Working","Retired")</f>
        <v/>
      </c>
      <c r="C129" s="41">
        <f>N('Savings Projection'!$B$20)</f>
        <v/>
      </c>
      <c r="D129" s="41">
        <f>IF(B129="Working",C129*$D$6,0)</f>
        <v/>
      </c>
      <c r="E129" s="41">
        <f>IF(OR(B129="Retired",D129=0),0,MIN(D129,'Tax Assumptions'!$B$19))</f>
        <v/>
      </c>
      <c r="F129" s="41">
        <f>IF(B129="Working",N('Savings Projection'!$E$20),0)</f>
        <v/>
      </c>
      <c r="G129" s="41">
        <f>IF(B129="Working",N('Savings Projection'!$F$20),0)</f>
        <v/>
      </c>
      <c r="H129" s="41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/>
      </c>
      <c r="I129" s="41">
        <f>IF(B129="Working",D129-E129-F129-G129-H129,0)</f>
        <v/>
      </c>
      <c r="J129" s="41">
        <f>IF(B129="Working",N('Savings Projection'!$S$20)*$D$8,0)</f>
        <v/>
      </c>
      <c r="K129" s="41">
        <f>IF(B129="Working",N('Savings Projection'!$T$20)*$D$9,0)</f>
        <v/>
      </c>
      <c r="L129" s="41">
        <f>IF(B129="Working",MIN(MAX(I129-J129-K129-AB129-AC129,0),'Tax Assumptions'!$B$20),0)</f>
        <v/>
      </c>
      <c r="M129" s="41">
        <f>IF(B129="Working",I129-J129-K129-L129-AB129-AC129,0)</f>
        <v/>
      </c>
      <c r="N129" s="41">
        <f>IF(B129="Working",M129+L129+E129+F129,-P129)</f>
        <v/>
      </c>
      <c r="O129" s="41">
        <f>IF(B129="Retired",$D$12+AB129+AC129,0)</f>
        <v/>
      </c>
      <c r="P129" s="41">
        <f>Q129+R129+S129+T129</f>
        <v/>
      </c>
      <c r="Q129" s="41">
        <f>IF(B129="Retired",MIN(((U128)*(1+$D$10)+IF(B129="Working",M129,0)),O129),0)</f>
        <v/>
      </c>
      <c r="R129" s="41">
        <f>IF(B129="Retired",MIN(MAX(O129-Q129,0),((V128)*(1+$D$10)+IF(B129="Working",E129,0))),0)</f>
        <v/>
      </c>
      <c r="S129" s="41">
        <f>IF(B129="Retired",MIN(MAX(O129-Q129-R129,0),((W128)*(1+$D$10)+IF(B129="Working",L129,0))),0)</f>
        <v/>
      </c>
      <c r="T129" s="41">
        <f>IF(B129="Retired",MIN(MAX(O129-Q129-R129-S129,0),((X128)*(1+$D$10)+IF(B129="Working",F129,0))),0)</f>
        <v/>
      </c>
      <c r="U129" s="41">
        <f>MAX(((U128)*(1+$D$10)+IF(B129="Working",M129,0))-Q129,0)</f>
        <v/>
      </c>
      <c r="V129" s="41">
        <f>MAX(((V128)*(1+$D$10)+IF(B129="Working",E129,0))-R129,0)</f>
        <v/>
      </c>
      <c r="W129" s="41">
        <f>MAX(((W128)*(1+$D$10)+IF(B129="Working",L129,0))-S129,0)</f>
        <v/>
      </c>
      <c r="X129" s="41">
        <f>MAX(((X128)*(1+$D$10)+IF(B129="Working",F129,0))-T129,0)</f>
        <v/>
      </c>
      <c r="Y129" s="41">
        <f>U129+V129+W129+X129</f>
        <v/>
      </c>
      <c r="Z129" s="41">
        <f>IF(B129="Retired",MAX(O129-P129,0),0)</f>
        <v/>
      </c>
      <c r="AA129" s="44">
        <f>IF(B129="Working",IF(D129=0,0,N129/D129),0)</f>
        <v/>
      </c>
      <c r="AB129" s="41">
        <f>IF(AND($D$14&gt;0,A129=$D$13),$D$14*($D$15+$D$18),0)+IF(AND($D$14&gt;0,A129=$D$13),$D$24,0)</f>
        <v/>
      </c>
      <c r="AC129" s="41">
        <f>IF(OR($D$14&lt;=0,A129&lt;$D$13),0,IF(AND($D$14&gt;0,$D$17&gt;0,A129&gt;=$D$13,A129&lt;($D$13+$D$17)),IF($D$17&lt;=0,0,IF($D$16=0,MAX($D$14*(1-$D$15),0)/$D$17,-PMT($D$16/12,$D$17*12,MAX($D$14*(1-$D$15),0))*12)),0)+AD129*($D$19+$D$20+$D$21)+$D$22+$D$23)</f>
        <v/>
      </c>
      <c r="AD129" s="41">
        <f>IF(AND($D$14&gt;0,A129&gt;=$D$13),$D$14*(1+$D$25)^(A129-$D$13),0)</f>
        <v/>
      </c>
      <c r="AE129" s="41">
        <f>IF(OR($D$14&lt;=0,$D$17&lt;=0,A129&lt;$D$13,MIN(MAX((A129-$D$13+1)*12,0),$D$17*12)&gt;=$D$17*12),0,IF($D$16=0,MAX(MAX($D$14*(1-$D$15),0)-(IF($D$17&lt;=0,0,IF($D$16=0,MAX($D$14*(1-$D$15),0)/$D$17,-PMT($D$16/12,$D$17*12,MAX($D$14*(1-$D$15),0))*12))/12)*MIN(MAX((A129-$D$13+1)*12,0),$D$17*12),0),MAX(MAX($D$14*(1-$D$15),0)*(1+$D$16/12)^MIN(MAX((A129-$D$13+1)*12,0),$D$17*12)-(IF($D$17&lt;=0,0,IF($D$16=0,MAX($D$14*(1-$D$15),0)/$D$17,-PMT($D$16/12,$D$17*12,MAX($D$14*(1-$D$15),0))*12))/12)*(((1+$D$16/12)^MIN(MAX((A129-$D$13+1)*12,0),$D$17*12)-1)/($D$16/12)),0)))</f>
        <v/>
      </c>
      <c r="AF129" s="41">
        <f>MAX(AD129-AE129,0)</f>
        <v/>
      </c>
      <c r="AG129" s="96">
        <f>Y129+AF129</f>
        <v/>
      </c>
    </row>
    <row r="130" ht="18" customHeight="1" s="326">
      <c r="A130" s="93" t="n">
        <v>3</v>
      </c>
      <c r="B130" s="72">
        <f>IF(AND(C130&gt;0,A130&lt;=$D$11),"Working","Retired")</f>
        <v/>
      </c>
      <c r="C130" s="73">
        <f>N('Savings Projection'!$B$21)</f>
        <v/>
      </c>
      <c r="D130" s="43">
        <f>IF(B130="Working",C130*$D$6,0)</f>
        <v/>
      </c>
      <c r="E130" s="73">
        <f>IF(OR(B130="Retired",D130=0),0,MIN(D130,'Tax Assumptions'!$B$19))</f>
        <v/>
      </c>
      <c r="F130" s="73">
        <f>IF(B130="Working",N('Savings Projection'!$E$21),0)</f>
        <v/>
      </c>
      <c r="G130" s="73">
        <f>IF(B130="Working",N('Savings Projection'!$F$21),0)</f>
        <v/>
      </c>
      <c r="H130" s="43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/>
      </c>
      <c r="I130" s="43">
        <f>IF(B130="Working",D130-E130-F130-G130-H130,0)</f>
        <v/>
      </c>
      <c r="J130" s="73">
        <f>IF(B130="Working",N('Savings Projection'!$S$21)*$D$8,0)</f>
        <v/>
      </c>
      <c r="K130" s="73">
        <f>IF(B130="Working",N('Savings Projection'!$T$21)*$D$9,0)</f>
        <v/>
      </c>
      <c r="L130" s="43">
        <f>IF(B130="Working",MIN(MAX(I130-J130-K130-AB130-AC130,0),'Tax Assumptions'!$B$20),0)</f>
        <v/>
      </c>
      <c r="M130" s="43">
        <f>IF(B130="Working",I130-J130-K130-L130-AB130-AC130,0)</f>
        <v/>
      </c>
      <c r="N130" s="73">
        <f>IF(B130="Working",M130+L130+E130+F130,-P130)</f>
        <v/>
      </c>
      <c r="O130" s="73">
        <f>IF(B130="Retired",$D$12+AB130+AC130,0)</f>
        <v/>
      </c>
      <c r="P130" s="73">
        <f>Q130+R130+S130+T130</f>
        <v/>
      </c>
      <c r="Q130" s="73">
        <f>IF(B130="Retired",MIN(((U129)*(1+$D$10)+IF(B130="Working",M130,0)),O130),0)</f>
        <v/>
      </c>
      <c r="R130" s="73">
        <f>IF(B130="Retired",MIN(MAX(O130-Q130,0),((V129)*(1+$D$10)+IF(B130="Working",E130,0))),0)</f>
        <v/>
      </c>
      <c r="S130" s="73">
        <f>IF(B130="Retired",MIN(MAX(O130-Q130-R130,0),((W129)*(1+$D$10)+IF(B130="Working",L130,0))),0)</f>
        <v/>
      </c>
      <c r="T130" s="73">
        <f>IF(B130="Retired",MIN(MAX(O130-Q130-R130-S130,0),((X129)*(1+$D$10)+IF(B130="Working",F130,0))),0)</f>
        <v/>
      </c>
      <c r="U130" s="43">
        <f>MAX(((U129)*(1+$D$10)+IF(B130="Working",M130,0))-Q130,0)</f>
        <v/>
      </c>
      <c r="V130" s="43">
        <f>MAX(((V129)*(1+$D$10)+IF(B130="Working",E130,0))-R130,0)</f>
        <v/>
      </c>
      <c r="W130" s="43">
        <f>MAX(((W129)*(1+$D$10)+IF(B130="Working",L130,0))-S130,0)</f>
        <v/>
      </c>
      <c r="X130" s="43">
        <f>MAX(((X129)*(1+$D$10)+IF(B130="Working",F130,0))-T130,0)</f>
        <v/>
      </c>
      <c r="Y130" s="43">
        <f>U130+V130+W130+X130</f>
        <v/>
      </c>
      <c r="Z130" s="73">
        <f>IF(B130="Retired",MAX(O130-P130,0),0)</f>
        <v/>
      </c>
      <c r="AA130" s="74">
        <f>IF(B130="Working",IF(D130=0,0,N130/D130),0)</f>
        <v/>
      </c>
      <c r="AB130" s="43">
        <f>IF(AND($D$14&gt;0,A130=$D$13),$D$14*($D$15+$D$18),0)+IF(AND($D$14&gt;0,A130=$D$13),$D$24,0)</f>
        <v/>
      </c>
      <c r="AC130" s="43">
        <f>IF(OR($D$14&lt;=0,A130&lt;$D$13),0,IF(AND($D$14&gt;0,$D$17&gt;0,A130&gt;=$D$13,A130&lt;($D$13+$D$17)),IF($D$17&lt;=0,0,IF($D$16=0,MAX($D$14*(1-$D$15),0)/$D$17,-PMT($D$16/12,$D$17*12,MAX($D$14*(1-$D$15),0))*12)),0)+AD130*($D$19+$D$20+$D$21)+$D$22+$D$23)</f>
        <v/>
      </c>
      <c r="AD130" s="43">
        <f>IF(AND($D$14&gt;0,A130&gt;=$D$13),$D$14*(1+$D$25)^(A130-$D$13),0)</f>
        <v/>
      </c>
      <c r="AE130" s="43">
        <f>IF(OR($D$14&lt;=0,$D$17&lt;=0,A130&lt;$D$13,MIN(MAX((A130-$D$13+1)*12,0),$D$17*12)&gt;=$D$17*12),0,IF($D$16=0,MAX(MAX($D$14*(1-$D$15),0)-(IF($D$17&lt;=0,0,IF($D$16=0,MAX($D$14*(1-$D$15),0)/$D$17,-PMT($D$16/12,$D$17*12,MAX($D$14*(1-$D$15),0))*12))/12)*MIN(MAX((A130-$D$13+1)*12,0),$D$17*12),0),MAX(MAX($D$14*(1-$D$15),0)*(1+$D$16/12)^MIN(MAX((A130-$D$13+1)*12,0),$D$17*12)-(IF($D$17&lt;=0,0,IF($D$16=0,MAX($D$14*(1-$D$15),0)/$D$17,-PMT($D$16/12,$D$17*12,MAX($D$14*(1-$D$15),0))*12))/12)*(((1+$D$16/12)^MIN(MAX((A130-$D$13+1)*12,0),$D$17*12)-1)/($D$16/12)),0)))</f>
        <v/>
      </c>
      <c r="AF130" s="43">
        <f>MAX(AD130-AE130,0)</f>
        <v/>
      </c>
      <c r="AG130" s="94">
        <f>Y130+AF130</f>
        <v/>
      </c>
    </row>
    <row r="131" ht="18" customHeight="1" s="326">
      <c r="A131" s="95" t="n">
        <v>4</v>
      </c>
      <c r="B131" s="40">
        <f>IF(AND(C131&gt;0,A131&lt;=$D$11),"Working","Retired")</f>
        <v/>
      </c>
      <c r="C131" s="41">
        <f>N('Savings Projection'!$B$22)</f>
        <v/>
      </c>
      <c r="D131" s="41">
        <f>IF(B131="Working",C131*$D$6,0)</f>
        <v/>
      </c>
      <c r="E131" s="41">
        <f>IF(OR(B131="Retired",D131=0),0,MIN(D131,'Tax Assumptions'!$B$19))</f>
        <v/>
      </c>
      <c r="F131" s="41">
        <f>IF(B131="Working",N('Savings Projection'!$E$22),0)</f>
        <v/>
      </c>
      <c r="G131" s="41">
        <f>IF(B131="Working",N('Savings Projection'!$F$22),0)</f>
        <v/>
      </c>
      <c r="H131" s="41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/>
      </c>
      <c r="I131" s="41">
        <f>IF(B131="Working",D131-E131-F131-G131-H131,0)</f>
        <v/>
      </c>
      <c r="J131" s="41">
        <f>IF(B131="Working",N('Savings Projection'!$S$22)*$D$8,0)</f>
        <v/>
      </c>
      <c r="K131" s="41">
        <f>IF(B131="Working",N('Savings Projection'!$T$22)*$D$9,0)</f>
        <v/>
      </c>
      <c r="L131" s="41">
        <f>IF(B131="Working",MIN(MAX(I131-J131-K131-AB131-AC131,0),'Tax Assumptions'!$B$20),0)</f>
        <v/>
      </c>
      <c r="M131" s="41">
        <f>IF(B131="Working",I131-J131-K131-L131-AB131-AC131,0)</f>
        <v/>
      </c>
      <c r="N131" s="41">
        <f>IF(B131="Working",M131+L131+E131+F131,-P131)</f>
        <v/>
      </c>
      <c r="O131" s="41">
        <f>IF(B131="Retired",$D$12+AB131+AC131,0)</f>
        <v/>
      </c>
      <c r="P131" s="41">
        <f>Q131+R131+S131+T131</f>
        <v/>
      </c>
      <c r="Q131" s="41">
        <f>IF(B131="Retired",MIN(((U130)*(1+$D$10)+IF(B131="Working",M131,0)),O131),0)</f>
        <v/>
      </c>
      <c r="R131" s="41">
        <f>IF(B131="Retired",MIN(MAX(O131-Q131,0),((V130)*(1+$D$10)+IF(B131="Working",E131,0))),0)</f>
        <v/>
      </c>
      <c r="S131" s="41">
        <f>IF(B131="Retired",MIN(MAX(O131-Q131-R131,0),((W130)*(1+$D$10)+IF(B131="Working",L131,0))),0)</f>
        <v/>
      </c>
      <c r="T131" s="41">
        <f>IF(B131="Retired",MIN(MAX(O131-Q131-R131-S131,0),((X130)*(1+$D$10)+IF(B131="Working",F131,0))),0)</f>
        <v/>
      </c>
      <c r="U131" s="41">
        <f>MAX(((U130)*(1+$D$10)+IF(B131="Working",M131,0))-Q131,0)</f>
        <v/>
      </c>
      <c r="V131" s="41">
        <f>MAX(((V130)*(1+$D$10)+IF(B131="Working",E131,0))-R131,0)</f>
        <v/>
      </c>
      <c r="W131" s="41">
        <f>MAX(((W130)*(1+$D$10)+IF(B131="Working",L131,0))-S131,0)</f>
        <v/>
      </c>
      <c r="X131" s="41">
        <f>MAX(((X130)*(1+$D$10)+IF(B131="Working",F131,0))-T131,0)</f>
        <v/>
      </c>
      <c r="Y131" s="41">
        <f>U131+V131+W131+X131</f>
        <v/>
      </c>
      <c r="Z131" s="41">
        <f>IF(B131="Retired",MAX(O131-P131,0),0)</f>
        <v/>
      </c>
      <c r="AA131" s="44">
        <f>IF(B131="Working",IF(D131=0,0,N131/D131),0)</f>
        <v/>
      </c>
      <c r="AB131" s="41">
        <f>IF(AND($D$14&gt;0,A131=$D$13),$D$14*($D$15+$D$18),0)+IF(AND($D$14&gt;0,A131=$D$13),$D$24,0)</f>
        <v/>
      </c>
      <c r="AC131" s="41">
        <f>IF(OR($D$14&lt;=0,A131&lt;$D$13),0,IF(AND($D$14&gt;0,$D$17&gt;0,A131&gt;=$D$13,A131&lt;($D$13+$D$17)),IF($D$17&lt;=0,0,IF($D$16=0,MAX($D$14*(1-$D$15),0)/$D$17,-PMT($D$16/12,$D$17*12,MAX($D$14*(1-$D$15),0))*12)),0)+AD131*($D$19+$D$20+$D$21)+$D$22+$D$23)</f>
        <v/>
      </c>
      <c r="AD131" s="41">
        <f>IF(AND($D$14&gt;0,A131&gt;=$D$13),$D$14*(1+$D$25)^(A131-$D$13),0)</f>
        <v/>
      </c>
      <c r="AE131" s="41">
        <f>IF(OR($D$14&lt;=0,$D$17&lt;=0,A131&lt;$D$13,MIN(MAX((A131-$D$13+1)*12,0),$D$17*12)&gt;=$D$17*12),0,IF($D$16=0,MAX(MAX($D$14*(1-$D$15),0)-(IF($D$17&lt;=0,0,IF($D$16=0,MAX($D$14*(1-$D$15),0)/$D$17,-PMT($D$16/12,$D$17*12,MAX($D$14*(1-$D$15),0))*12))/12)*MIN(MAX((A131-$D$13+1)*12,0),$D$17*12),0),MAX(MAX($D$14*(1-$D$15),0)*(1+$D$16/12)^MIN(MAX((A131-$D$13+1)*12,0),$D$17*12)-(IF($D$17&lt;=0,0,IF($D$16=0,MAX($D$14*(1-$D$15),0)/$D$17,-PMT($D$16/12,$D$17*12,MAX($D$14*(1-$D$15),0))*12))/12)*(((1+$D$16/12)^MIN(MAX((A131-$D$13+1)*12,0),$D$17*12)-1)/($D$16/12)),0)))</f>
        <v/>
      </c>
      <c r="AF131" s="41">
        <f>MAX(AD131-AE131,0)</f>
        <v/>
      </c>
      <c r="AG131" s="96">
        <f>Y131+AF131</f>
        <v/>
      </c>
    </row>
    <row r="132" ht="18" customHeight="1" s="326">
      <c r="A132" s="93" t="n">
        <v>5</v>
      </c>
      <c r="B132" s="72">
        <f>IF(AND(C132&gt;0,A132&lt;=$D$11),"Working","Retired")</f>
        <v/>
      </c>
      <c r="C132" s="73">
        <f>N('Savings Projection'!$B$23)</f>
        <v/>
      </c>
      <c r="D132" s="43">
        <f>IF(B132="Working",C132*$D$6,0)</f>
        <v/>
      </c>
      <c r="E132" s="73">
        <f>IF(OR(B132="Retired",D132=0),0,MIN(D132,'Tax Assumptions'!$B$19))</f>
        <v/>
      </c>
      <c r="F132" s="73">
        <f>IF(B132="Working",N('Savings Projection'!$E$23),0)</f>
        <v/>
      </c>
      <c r="G132" s="73">
        <f>IF(B132="Working",N('Savings Projection'!$F$23),0)</f>
        <v/>
      </c>
      <c r="H132" s="43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/>
      </c>
      <c r="I132" s="43">
        <f>IF(B132="Working",D132-E132-F132-G132-H132,0)</f>
        <v/>
      </c>
      <c r="J132" s="73">
        <f>IF(B132="Working",N('Savings Projection'!$S$23)*$D$8,0)</f>
        <v/>
      </c>
      <c r="K132" s="73">
        <f>IF(B132="Working",N('Savings Projection'!$T$23)*$D$9,0)</f>
        <v/>
      </c>
      <c r="L132" s="43">
        <f>IF(B132="Working",MIN(MAX(I132-J132-K132-AB132-AC132,0),'Tax Assumptions'!$B$20),0)</f>
        <v/>
      </c>
      <c r="M132" s="43">
        <f>IF(B132="Working",I132-J132-K132-L132-AB132-AC132,0)</f>
        <v/>
      </c>
      <c r="N132" s="73">
        <f>IF(B132="Working",M132+L132+E132+F132,-P132)</f>
        <v/>
      </c>
      <c r="O132" s="73">
        <f>IF(B132="Retired",$D$12+AB132+AC132,0)</f>
        <v/>
      </c>
      <c r="P132" s="73">
        <f>Q132+R132+S132+T132</f>
        <v/>
      </c>
      <c r="Q132" s="73">
        <f>IF(B132="Retired",MIN(((U131)*(1+$D$10)+IF(B132="Working",M132,0)),O132),0)</f>
        <v/>
      </c>
      <c r="R132" s="73">
        <f>IF(B132="Retired",MIN(MAX(O132-Q132,0),((V131)*(1+$D$10)+IF(B132="Working",E132,0))),0)</f>
        <v/>
      </c>
      <c r="S132" s="73">
        <f>IF(B132="Retired",MIN(MAX(O132-Q132-R132,0),((W131)*(1+$D$10)+IF(B132="Working",L132,0))),0)</f>
        <v/>
      </c>
      <c r="T132" s="73">
        <f>IF(B132="Retired",MIN(MAX(O132-Q132-R132-S132,0),((X131)*(1+$D$10)+IF(B132="Working",F132,0))),0)</f>
        <v/>
      </c>
      <c r="U132" s="43">
        <f>MAX(((U131)*(1+$D$10)+IF(B132="Working",M132,0))-Q132,0)</f>
        <v/>
      </c>
      <c r="V132" s="43">
        <f>MAX(((V131)*(1+$D$10)+IF(B132="Working",E132,0))-R132,0)</f>
        <v/>
      </c>
      <c r="W132" s="43">
        <f>MAX(((W131)*(1+$D$10)+IF(B132="Working",L132,0))-S132,0)</f>
        <v/>
      </c>
      <c r="X132" s="43">
        <f>MAX(((X131)*(1+$D$10)+IF(B132="Working",F132,0))-T132,0)</f>
        <v/>
      </c>
      <c r="Y132" s="43">
        <f>U132+V132+W132+X132</f>
        <v/>
      </c>
      <c r="Z132" s="73">
        <f>IF(B132="Retired",MAX(O132-P132,0),0)</f>
        <v/>
      </c>
      <c r="AA132" s="74">
        <f>IF(B132="Working",IF(D132=0,0,N132/D132),0)</f>
        <v/>
      </c>
      <c r="AB132" s="43">
        <f>IF(AND($D$14&gt;0,A132=$D$13),$D$14*($D$15+$D$18),0)+IF(AND($D$14&gt;0,A132=$D$13),$D$24,0)</f>
        <v/>
      </c>
      <c r="AC132" s="43">
        <f>IF(OR($D$14&lt;=0,A132&lt;$D$13),0,IF(AND($D$14&gt;0,$D$17&gt;0,A132&gt;=$D$13,A132&lt;($D$13+$D$17)),IF($D$17&lt;=0,0,IF($D$16=0,MAX($D$14*(1-$D$15),0)/$D$17,-PMT($D$16/12,$D$17*12,MAX($D$14*(1-$D$15),0))*12)),0)+AD132*($D$19+$D$20+$D$21)+$D$22+$D$23)</f>
        <v/>
      </c>
      <c r="AD132" s="43">
        <f>IF(AND($D$14&gt;0,A132&gt;=$D$13),$D$14*(1+$D$25)^(A132-$D$13),0)</f>
        <v/>
      </c>
      <c r="AE132" s="43">
        <f>IF(OR($D$14&lt;=0,$D$17&lt;=0,A132&lt;$D$13,MIN(MAX((A132-$D$13+1)*12,0),$D$17*12)&gt;=$D$17*12),0,IF($D$16=0,MAX(MAX($D$14*(1-$D$15),0)-(IF($D$17&lt;=0,0,IF($D$16=0,MAX($D$14*(1-$D$15),0)/$D$17,-PMT($D$16/12,$D$17*12,MAX($D$14*(1-$D$15),0))*12))/12)*MIN(MAX((A132-$D$13+1)*12,0),$D$17*12),0),MAX(MAX($D$14*(1-$D$15),0)*(1+$D$16/12)^MIN(MAX((A132-$D$13+1)*12,0),$D$17*12)-(IF($D$17&lt;=0,0,IF($D$16=0,MAX($D$14*(1-$D$15),0)/$D$17,-PMT($D$16/12,$D$17*12,MAX($D$14*(1-$D$15),0))*12))/12)*(((1+$D$16/12)^MIN(MAX((A132-$D$13+1)*12,0),$D$17*12)-1)/($D$16/12)),0)))</f>
        <v/>
      </c>
      <c r="AF132" s="43">
        <f>MAX(AD132-AE132,0)</f>
        <v/>
      </c>
      <c r="AG132" s="94">
        <f>Y132+AF132</f>
        <v/>
      </c>
    </row>
    <row r="133" ht="18" customHeight="1" s="326">
      <c r="A133" s="95" t="n">
        <v>6</v>
      </c>
      <c r="B133" s="40">
        <f>IF(AND(C133&gt;0,A133&lt;=$D$11),"Working","Retired")</f>
        <v/>
      </c>
      <c r="C133" s="41">
        <f>N('Savings Projection'!$B$24)</f>
        <v/>
      </c>
      <c r="D133" s="41">
        <f>IF(B133="Working",C133*$D$6,0)</f>
        <v/>
      </c>
      <c r="E133" s="41">
        <f>IF(OR(B133="Retired",D133=0),0,MIN(D133,'Tax Assumptions'!$B$19))</f>
        <v/>
      </c>
      <c r="F133" s="41">
        <f>IF(B133="Working",N('Savings Projection'!$E$24),0)</f>
        <v/>
      </c>
      <c r="G133" s="41">
        <f>IF(B133="Working",N('Savings Projection'!$F$24),0)</f>
        <v/>
      </c>
      <c r="H133" s="41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/>
      </c>
      <c r="I133" s="41">
        <f>IF(B133="Working",D133-E133-F133-G133-H133,0)</f>
        <v/>
      </c>
      <c r="J133" s="41">
        <f>IF(B133="Working",N('Savings Projection'!$S$24)*$D$8,0)</f>
        <v/>
      </c>
      <c r="K133" s="41">
        <f>IF(B133="Working",N('Savings Projection'!$T$24)*$D$9,0)</f>
        <v/>
      </c>
      <c r="L133" s="41">
        <f>IF(B133="Working",MIN(MAX(I133-J133-K133-AB133-AC133,0),'Tax Assumptions'!$B$20),0)</f>
        <v/>
      </c>
      <c r="M133" s="41">
        <f>IF(B133="Working",I133-J133-K133-L133-AB133-AC133,0)</f>
        <v/>
      </c>
      <c r="N133" s="41">
        <f>IF(B133="Working",M133+L133+E133+F133,-P133)</f>
        <v/>
      </c>
      <c r="O133" s="41">
        <f>IF(B133="Retired",$D$12+AB133+AC133,0)</f>
        <v/>
      </c>
      <c r="P133" s="41">
        <f>Q133+R133+S133+T133</f>
        <v/>
      </c>
      <c r="Q133" s="41">
        <f>IF(B133="Retired",MIN(((U132)*(1+$D$10)+IF(B133="Working",M133,0)),O133),0)</f>
        <v/>
      </c>
      <c r="R133" s="41">
        <f>IF(B133="Retired",MIN(MAX(O133-Q133,0),((V132)*(1+$D$10)+IF(B133="Working",E133,0))),0)</f>
        <v/>
      </c>
      <c r="S133" s="41">
        <f>IF(B133="Retired",MIN(MAX(O133-Q133-R133,0),((W132)*(1+$D$10)+IF(B133="Working",L133,0))),0)</f>
        <v/>
      </c>
      <c r="T133" s="41">
        <f>IF(B133="Retired",MIN(MAX(O133-Q133-R133-S133,0),((X132)*(1+$D$10)+IF(B133="Working",F133,0))),0)</f>
        <v/>
      </c>
      <c r="U133" s="41">
        <f>MAX(((U132)*(1+$D$10)+IF(B133="Working",M133,0))-Q133,0)</f>
        <v/>
      </c>
      <c r="V133" s="41">
        <f>MAX(((V132)*(1+$D$10)+IF(B133="Working",E133,0))-R133,0)</f>
        <v/>
      </c>
      <c r="W133" s="41">
        <f>MAX(((W132)*(1+$D$10)+IF(B133="Working",L133,0))-S133,0)</f>
        <v/>
      </c>
      <c r="X133" s="41">
        <f>MAX(((X132)*(1+$D$10)+IF(B133="Working",F133,0))-T133,0)</f>
        <v/>
      </c>
      <c r="Y133" s="41">
        <f>U133+V133+W133+X133</f>
        <v/>
      </c>
      <c r="Z133" s="41">
        <f>IF(B133="Retired",MAX(O133-P133,0),0)</f>
        <v/>
      </c>
      <c r="AA133" s="44">
        <f>IF(B133="Working",IF(D133=0,0,N133/D133),0)</f>
        <v/>
      </c>
      <c r="AB133" s="41">
        <f>IF(AND($D$14&gt;0,A133=$D$13),$D$14*($D$15+$D$18),0)+IF(AND($D$14&gt;0,A133=$D$13),$D$24,0)</f>
        <v/>
      </c>
      <c r="AC133" s="41">
        <f>IF(OR($D$14&lt;=0,A133&lt;$D$13),0,IF(AND($D$14&gt;0,$D$17&gt;0,A133&gt;=$D$13,A133&lt;($D$13+$D$17)),IF($D$17&lt;=0,0,IF($D$16=0,MAX($D$14*(1-$D$15),0)/$D$17,-PMT($D$16/12,$D$17*12,MAX($D$14*(1-$D$15),0))*12)),0)+AD133*($D$19+$D$20+$D$21)+$D$22+$D$23)</f>
        <v/>
      </c>
      <c r="AD133" s="41">
        <f>IF(AND($D$14&gt;0,A133&gt;=$D$13),$D$14*(1+$D$25)^(A133-$D$13),0)</f>
        <v/>
      </c>
      <c r="AE133" s="41">
        <f>IF(OR($D$14&lt;=0,$D$17&lt;=0,A133&lt;$D$13,MIN(MAX((A133-$D$13+1)*12,0),$D$17*12)&gt;=$D$17*12),0,IF($D$16=0,MAX(MAX($D$14*(1-$D$15),0)-(IF($D$17&lt;=0,0,IF($D$16=0,MAX($D$14*(1-$D$15),0)/$D$17,-PMT($D$16/12,$D$17*12,MAX($D$14*(1-$D$15),0))*12))/12)*MIN(MAX((A133-$D$13+1)*12,0),$D$17*12),0),MAX(MAX($D$14*(1-$D$15),0)*(1+$D$16/12)^MIN(MAX((A133-$D$13+1)*12,0),$D$17*12)-(IF($D$17&lt;=0,0,IF($D$16=0,MAX($D$14*(1-$D$15),0)/$D$17,-PMT($D$16/12,$D$17*12,MAX($D$14*(1-$D$15),0))*12))/12)*(((1+$D$16/12)^MIN(MAX((A133-$D$13+1)*12,0),$D$17*12)-1)/($D$16/12)),0)))</f>
        <v/>
      </c>
      <c r="AF133" s="41">
        <f>MAX(AD133-AE133,0)</f>
        <v/>
      </c>
      <c r="AG133" s="96">
        <f>Y133+AF133</f>
        <v/>
      </c>
    </row>
    <row r="134" ht="18" customHeight="1" s="326">
      <c r="A134" s="93" t="n">
        <v>7</v>
      </c>
      <c r="B134" s="72">
        <f>IF(AND(C134&gt;0,A134&lt;=$D$11),"Working","Retired")</f>
        <v/>
      </c>
      <c r="C134" s="73">
        <f>N('Savings Projection'!$B$25)</f>
        <v/>
      </c>
      <c r="D134" s="43">
        <f>IF(B134="Working",C134*$D$6,0)</f>
        <v/>
      </c>
      <c r="E134" s="73">
        <f>IF(OR(B134="Retired",D134=0),0,MIN(D134,'Tax Assumptions'!$B$19))</f>
        <v/>
      </c>
      <c r="F134" s="73">
        <f>IF(B134="Working",N('Savings Projection'!$E$25),0)</f>
        <v/>
      </c>
      <c r="G134" s="73">
        <f>IF(B134="Working",N('Savings Projection'!$F$25),0)</f>
        <v/>
      </c>
      <c r="H134" s="43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/>
      </c>
      <c r="I134" s="43">
        <f>IF(B134="Working",D134-E134-F134-G134-H134,0)</f>
        <v/>
      </c>
      <c r="J134" s="73">
        <f>IF(B134="Working",N('Savings Projection'!$S$25)*$D$8,0)</f>
        <v/>
      </c>
      <c r="K134" s="73">
        <f>IF(B134="Working",N('Savings Projection'!$T$25)*$D$9,0)</f>
        <v/>
      </c>
      <c r="L134" s="43">
        <f>IF(B134="Working",MIN(MAX(I134-J134-K134-AB134-AC134,0),'Tax Assumptions'!$B$20),0)</f>
        <v/>
      </c>
      <c r="M134" s="43">
        <f>IF(B134="Working",I134-J134-K134-L134-AB134-AC134,0)</f>
        <v/>
      </c>
      <c r="N134" s="73">
        <f>IF(B134="Working",M134+L134+E134+F134,-P134)</f>
        <v/>
      </c>
      <c r="O134" s="73">
        <f>IF(B134="Retired",$D$12+AB134+AC134,0)</f>
        <v/>
      </c>
      <c r="P134" s="73">
        <f>Q134+R134+S134+T134</f>
        <v/>
      </c>
      <c r="Q134" s="73">
        <f>IF(B134="Retired",MIN(((U133)*(1+$D$10)+IF(B134="Working",M134,0)),O134),0)</f>
        <v/>
      </c>
      <c r="R134" s="73">
        <f>IF(B134="Retired",MIN(MAX(O134-Q134,0),((V133)*(1+$D$10)+IF(B134="Working",E134,0))),0)</f>
        <v/>
      </c>
      <c r="S134" s="73">
        <f>IF(B134="Retired",MIN(MAX(O134-Q134-R134,0),((W133)*(1+$D$10)+IF(B134="Working",L134,0))),0)</f>
        <v/>
      </c>
      <c r="T134" s="73">
        <f>IF(B134="Retired",MIN(MAX(O134-Q134-R134-S134,0),((X133)*(1+$D$10)+IF(B134="Working",F134,0))),0)</f>
        <v/>
      </c>
      <c r="U134" s="43">
        <f>MAX(((U133)*(1+$D$10)+IF(B134="Working",M134,0))-Q134,0)</f>
        <v/>
      </c>
      <c r="V134" s="43">
        <f>MAX(((V133)*(1+$D$10)+IF(B134="Working",E134,0))-R134,0)</f>
        <v/>
      </c>
      <c r="W134" s="43">
        <f>MAX(((W133)*(1+$D$10)+IF(B134="Working",L134,0))-S134,0)</f>
        <v/>
      </c>
      <c r="X134" s="43">
        <f>MAX(((X133)*(1+$D$10)+IF(B134="Working",F134,0))-T134,0)</f>
        <v/>
      </c>
      <c r="Y134" s="43">
        <f>U134+V134+W134+X134</f>
        <v/>
      </c>
      <c r="Z134" s="73">
        <f>IF(B134="Retired",MAX(O134-P134,0),0)</f>
        <v/>
      </c>
      <c r="AA134" s="74">
        <f>IF(B134="Working",IF(D134=0,0,N134/D134),0)</f>
        <v/>
      </c>
      <c r="AB134" s="43">
        <f>IF(AND($D$14&gt;0,A134=$D$13),$D$14*($D$15+$D$18),0)+IF(AND($D$14&gt;0,A134=$D$13),$D$24,0)</f>
        <v/>
      </c>
      <c r="AC134" s="43">
        <f>IF(OR($D$14&lt;=0,A134&lt;$D$13),0,IF(AND($D$14&gt;0,$D$17&gt;0,A134&gt;=$D$13,A134&lt;($D$13+$D$17)),IF($D$17&lt;=0,0,IF($D$16=0,MAX($D$14*(1-$D$15),0)/$D$17,-PMT($D$16/12,$D$17*12,MAX($D$14*(1-$D$15),0))*12)),0)+AD134*($D$19+$D$20+$D$21)+$D$22+$D$23)</f>
        <v/>
      </c>
      <c r="AD134" s="43">
        <f>IF(AND($D$14&gt;0,A134&gt;=$D$13),$D$14*(1+$D$25)^(A134-$D$13),0)</f>
        <v/>
      </c>
      <c r="AE134" s="43">
        <f>IF(OR($D$14&lt;=0,$D$17&lt;=0,A134&lt;$D$13,MIN(MAX((A134-$D$13+1)*12,0),$D$17*12)&gt;=$D$17*12),0,IF($D$16=0,MAX(MAX($D$14*(1-$D$15),0)-(IF($D$17&lt;=0,0,IF($D$16=0,MAX($D$14*(1-$D$15),0)/$D$17,-PMT($D$16/12,$D$17*12,MAX($D$14*(1-$D$15),0))*12))/12)*MIN(MAX((A134-$D$13+1)*12,0),$D$17*12),0),MAX(MAX($D$14*(1-$D$15),0)*(1+$D$16/12)^MIN(MAX((A134-$D$13+1)*12,0),$D$17*12)-(IF($D$17&lt;=0,0,IF($D$16=0,MAX($D$14*(1-$D$15),0)/$D$17,-PMT($D$16/12,$D$17*12,MAX($D$14*(1-$D$15),0))*12))/12)*(((1+$D$16/12)^MIN(MAX((A134-$D$13+1)*12,0),$D$17*12)-1)/($D$16/12)),0)))</f>
        <v/>
      </c>
      <c r="AF134" s="43">
        <f>MAX(AD134-AE134,0)</f>
        <v/>
      </c>
      <c r="AG134" s="94">
        <f>Y134+AF134</f>
        <v/>
      </c>
    </row>
    <row r="135" ht="18" customHeight="1" s="326">
      <c r="A135" s="95" t="n">
        <v>8</v>
      </c>
      <c r="B135" s="40">
        <f>IF(AND(C135&gt;0,A135&lt;=$D$11),"Working","Retired")</f>
        <v/>
      </c>
      <c r="C135" s="41">
        <f>N('Savings Projection'!$B$26)</f>
        <v/>
      </c>
      <c r="D135" s="41">
        <f>IF(B135="Working",C135*$D$6,0)</f>
        <v/>
      </c>
      <c r="E135" s="41">
        <f>IF(OR(B135="Retired",D135=0),0,MIN(D135,'Tax Assumptions'!$B$19))</f>
        <v/>
      </c>
      <c r="F135" s="41">
        <f>IF(B135="Working",N('Savings Projection'!$E$26),0)</f>
        <v/>
      </c>
      <c r="G135" s="41">
        <f>IF(B135="Working",N('Savings Projection'!$F$26),0)</f>
        <v/>
      </c>
      <c r="H135" s="41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/>
      </c>
      <c r="I135" s="41">
        <f>IF(B135="Working",D135-E135-F135-G135-H135,0)</f>
        <v/>
      </c>
      <c r="J135" s="41">
        <f>IF(B135="Working",N('Savings Projection'!$S$26)*$D$8,0)</f>
        <v/>
      </c>
      <c r="K135" s="41">
        <f>IF(B135="Working",N('Savings Projection'!$T$26)*$D$9,0)</f>
        <v/>
      </c>
      <c r="L135" s="41">
        <f>IF(B135="Working",MIN(MAX(I135-J135-K135-AB135-AC135,0),'Tax Assumptions'!$B$20),0)</f>
        <v/>
      </c>
      <c r="M135" s="41">
        <f>IF(B135="Working",I135-J135-K135-L135-AB135-AC135,0)</f>
        <v/>
      </c>
      <c r="N135" s="41">
        <f>IF(B135="Working",M135+L135+E135+F135,-P135)</f>
        <v/>
      </c>
      <c r="O135" s="41">
        <f>IF(B135="Retired",$D$12+AB135+AC135,0)</f>
        <v/>
      </c>
      <c r="P135" s="41">
        <f>Q135+R135+S135+T135</f>
        <v/>
      </c>
      <c r="Q135" s="41">
        <f>IF(B135="Retired",MIN(((U134)*(1+$D$10)+IF(B135="Working",M135,0)),O135),0)</f>
        <v/>
      </c>
      <c r="R135" s="41">
        <f>IF(B135="Retired",MIN(MAX(O135-Q135,0),((V134)*(1+$D$10)+IF(B135="Working",E135,0))),0)</f>
        <v/>
      </c>
      <c r="S135" s="41">
        <f>IF(B135="Retired",MIN(MAX(O135-Q135-R135,0),((W134)*(1+$D$10)+IF(B135="Working",L135,0))),0)</f>
        <v/>
      </c>
      <c r="T135" s="41">
        <f>IF(B135="Retired",MIN(MAX(O135-Q135-R135-S135,0),((X134)*(1+$D$10)+IF(B135="Working",F135,0))),0)</f>
        <v/>
      </c>
      <c r="U135" s="41">
        <f>MAX(((U134)*(1+$D$10)+IF(B135="Working",M135,0))-Q135,0)</f>
        <v/>
      </c>
      <c r="V135" s="41">
        <f>MAX(((V134)*(1+$D$10)+IF(B135="Working",E135,0))-R135,0)</f>
        <v/>
      </c>
      <c r="W135" s="41">
        <f>MAX(((W134)*(1+$D$10)+IF(B135="Working",L135,0))-S135,0)</f>
        <v/>
      </c>
      <c r="X135" s="41">
        <f>MAX(((X134)*(1+$D$10)+IF(B135="Working",F135,0))-T135,0)</f>
        <v/>
      </c>
      <c r="Y135" s="41">
        <f>U135+V135+W135+X135</f>
        <v/>
      </c>
      <c r="Z135" s="41">
        <f>IF(B135="Retired",MAX(O135-P135,0),0)</f>
        <v/>
      </c>
      <c r="AA135" s="44">
        <f>IF(B135="Working",IF(D135=0,0,N135/D135),0)</f>
        <v/>
      </c>
      <c r="AB135" s="41">
        <f>IF(AND($D$14&gt;0,A135=$D$13),$D$14*($D$15+$D$18),0)+IF(AND($D$14&gt;0,A135=$D$13),$D$24,0)</f>
        <v/>
      </c>
      <c r="AC135" s="41">
        <f>IF(OR($D$14&lt;=0,A135&lt;$D$13),0,IF(AND($D$14&gt;0,$D$17&gt;0,A135&gt;=$D$13,A135&lt;($D$13+$D$17)),IF($D$17&lt;=0,0,IF($D$16=0,MAX($D$14*(1-$D$15),0)/$D$17,-PMT($D$16/12,$D$17*12,MAX($D$14*(1-$D$15),0))*12)),0)+AD135*($D$19+$D$20+$D$21)+$D$22+$D$23)</f>
        <v/>
      </c>
      <c r="AD135" s="41">
        <f>IF(AND($D$14&gt;0,A135&gt;=$D$13),$D$14*(1+$D$25)^(A135-$D$13),0)</f>
        <v/>
      </c>
      <c r="AE135" s="41">
        <f>IF(OR($D$14&lt;=0,$D$17&lt;=0,A135&lt;$D$13,MIN(MAX((A135-$D$13+1)*12,0),$D$17*12)&gt;=$D$17*12),0,IF($D$16=0,MAX(MAX($D$14*(1-$D$15),0)-(IF($D$17&lt;=0,0,IF($D$16=0,MAX($D$14*(1-$D$15),0)/$D$17,-PMT($D$16/12,$D$17*12,MAX($D$14*(1-$D$15),0))*12))/12)*MIN(MAX((A135-$D$13+1)*12,0),$D$17*12),0),MAX(MAX($D$14*(1-$D$15),0)*(1+$D$16/12)^MIN(MAX((A135-$D$13+1)*12,0),$D$17*12)-(IF($D$17&lt;=0,0,IF($D$16=0,MAX($D$14*(1-$D$15),0)/$D$17,-PMT($D$16/12,$D$17*12,MAX($D$14*(1-$D$15),0))*12))/12)*(((1+$D$16/12)^MIN(MAX((A135-$D$13+1)*12,0),$D$17*12)-1)/($D$16/12)),0)))</f>
        <v/>
      </c>
      <c r="AF135" s="41">
        <f>MAX(AD135-AE135,0)</f>
        <v/>
      </c>
      <c r="AG135" s="96">
        <f>Y135+AF135</f>
        <v/>
      </c>
    </row>
    <row r="136" ht="18" customHeight="1" s="326">
      <c r="A136" s="93" t="n">
        <v>9</v>
      </c>
      <c r="B136" s="72">
        <f>IF(AND(C136&gt;0,A136&lt;=$D$11),"Working","Retired")</f>
        <v/>
      </c>
      <c r="C136" s="73">
        <f>N('Savings Projection'!$B$27)</f>
        <v/>
      </c>
      <c r="D136" s="43">
        <f>IF(B136="Working",C136*$D$6,0)</f>
        <v/>
      </c>
      <c r="E136" s="73">
        <f>IF(OR(B136="Retired",D136=0),0,MIN(D136,'Tax Assumptions'!$B$19))</f>
        <v/>
      </c>
      <c r="F136" s="73">
        <f>IF(B136="Working",N('Savings Projection'!$E$27),0)</f>
        <v/>
      </c>
      <c r="G136" s="73">
        <f>IF(B136="Working",N('Savings Projection'!$F$27),0)</f>
        <v/>
      </c>
      <c r="H136" s="43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/>
      </c>
      <c r="I136" s="43">
        <f>IF(B136="Working",D136-E136-F136-G136-H136,0)</f>
        <v/>
      </c>
      <c r="J136" s="73">
        <f>IF(B136="Working",N('Savings Projection'!$S$27)*$D$8,0)</f>
        <v/>
      </c>
      <c r="K136" s="73">
        <f>IF(B136="Working",N('Savings Projection'!$T$27)*$D$9,0)</f>
        <v/>
      </c>
      <c r="L136" s="43">
        <f>IF(B136="Working",MIN(MAX(I136-J136-K136-AB136-AC136,0),'Tax Assumptions'!$B$20),0)</f>
        <v/>
      </c>
      <c r="M136" s="43">
        <f>IF(B136="Working",I136-J136-K136-L136-AB136-AC136,0)</f>
        <v/>
      </c>
      <c r="N136" s="73">
        <f>IF(B136="Working",M136+L136+E136+F136,-P136)</f>
        <v/>
      </c>
      <c r="O136" s="73">
        <f>IF(B136="Retired",$D$12+AB136+AC136,0)</f>
        <v/>
      </c>
      <c r="P136" s="73">
        <f>Q136+R136+S136+T136</f>
        <v/>
      </c>
      <c r="Q136" s="73">
        <f>IF(B136="Retired",MIN(((U135)*(1+$D$10)+IF(B136="Working",M136,0)),O136),0)</f>
        <v/>
      </c>
      <c r="R136" s="73">
        <f>IF(B136="Retired",MIN(MAX(O136-Q136,0),((V135)*(1+$D$10)+IF(B136="Working",E136,0))),0)</f>
        <v/>
      </c>
      <c r="S136" s="73">
        <f>IF(B136="Retired",MIN(MAX(O136-Q136-R136,0),((W135)*(1+$D$10)+IF(B136="Working",L136,0))),0)</f>
        <v/>
      </c>
      <c r="T136" s="73">
        <f>IF(B136="Retired",MIN(MAX(O136-Q136-R136-S136,0),((X135)*(1+$D$10)+IF(B136="Working",F136,0))),0)</f>
        <v/>
      </c>
      <c r="U136" s="43">
        <f>MAX(((U135)*(1+$D$10)+IF(B136="Working",M136,0))-Q136,0)</f>
        <v/>
      </c>
      <c r="V136" s="43">
        <f>MAX(((V135)*(1+$D$10)+IF(B136="Working",E136,0))-R136,0)</f>
        <v/>
      </c>
      <c r="W136" s="43">
        <f>MAX(((W135)*(1+$D$10)+IF(B136="Working",L136,0))-S136,0)</f>
        <v/>
      </c>
      <c r="X136" s="43">
        <f>MAX(((X135)*(1+$D$10)+IF(B136="Working",F136,0))-T136,0)</f>
        <v/>
      </c>
      <c r="Y136" s="43">
        <f>U136+V136+W136+X136</f>
        <v/>
      </c>
      <c r="Z136" s="73">
        <f>IF(B136="Retired",MAX(O136-P136,0),0)</f>
        <v/>
      </c>
      <c r="AA136" s="74">
        <f>IF(B136="Working",IF(D136=0,0,N136/D136),0)</f>
        <v/>
      </c>
      <c r="AB136" s="43">
        <f>IF(AND($D$14&gt;0,A136=$D$13),$D$14*($D$15+$D$18),0)+IF(AND($D$14&gt;0,A136=$D$13),$D$24,0)</f>
        <v/>
      </c>
      <c r="AC136" s="43">
        <f>IF(OR($D$14&lt;=0,A136&lt;$D$13),0,IF(AND($D$14&gt;0,$D$17&gt;0,A136&gt;=$D$13,A136&lt;($D$13+$D$17)),IF($D$17&lt;=0,0,IF($D$16=0,MAX($D$14*(1-$D$15),0)/$D$17,-PMT($D$16/12,$D$17*12,MAX($D$14*(1-$D$15),0))*12)),0)+AD136*($D$19+$D$20+$D$21)+$D$22+$D$23)</f>
        <v/>
      </c>
      <c r="AD136" s="43">
        <f>IF(AND($D$14&gt;0,A136&gt;=$D$13),$D$14*(1+$D$25)^(A136-$D$13),0)</f>
        <v/>
      </c>
      <c r="AE136" s="43">
        <f>IF(OR($D$14&lt;=0,$D$17&lt;=0,A136&lt;$D$13,MIN(MAX((A136-$D$13+1)*12,0),$D$17*12)&gt;=$D$17*12),0,IF($D$16=0,MAX(MAX($D$14*(1-$D$15),0)-(IF($D$17&lt;=0,0,IF($D$16=0,MAX($D$14*(1-$D$15),0)/$D$17,-PMT($D$16/12,$D$17*12,MAX($D$14*(1-$D$15),0))*12))/12)*MIN(MAX((A136-$D$13+1)*12,0),$D$17*12),0),MAX(MAX($D$14*(1-$D$15),0)*(1+$D$16/12)^MIN(MAX((A136-$D$13+1)*12,0),$D$17*12)-(IF($D$17&lt;=0,0,IF($D$16=0,MAX($D$14*(1-$D$15),0)/$D$17,-PMT($D$16/12,$D$17*12,MAX($D$14*(1-$D$15),0))*12))/12)*(((1+$D$16/12)^MIN(MAX((A136-$D$13+1)*12,0),$D$17*12)-1)/($D$16/12)),0)))</f>
        <v/>
      </c>
      <c r="AF136" s="43">
        <f>MAX(AD136-AE136,0)</f>
        <v/>
      </c>
      <c r="AG136" s="94">
        <f>Y136+AF136</f>
        <v/>
      </c>
    </row>
    <row r="137" ht="18" customHeight="1" s="326">
      <c r="A137" s="95" t="n">
        <v>10</v>
      </c>
      <c r="B137" s="40">
        <f>IF(AND(C137&gt;0,A137&lt;=$D$11),"Working","Retired")</f>
        <v/>
      </c>
      <c r="C137" s="41">
        <f>N('Savings Projection'!$B$28)</f>
        <v/>
      </c>
      <c r="D137" s="41">
        <f>IF(B137="Working",C137*$D$6,0)</f>
        <v/>
      </c>
      <c r="E137" s="41">
        <f>IF(OR(B137="Retired",D137=0),0,MIN(D137,'Tax Assumptions'!$B$19))</f>
        <v/>
      </c>
      <c r="F137" s="41">
        <f>IF(B137="Working",N('Savings Projection'!$E$28),0)</f>
        <v/>
      </c>
      <c r="G137" s="41">
        <f>IF(B137="Working",N('Savings Projection'!$F$28),0)</f>
        <v/>
      </c>
      <c r="H137" s="41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/>
      </c>
      <c r="I137" s="41">
        <f>IF(B137="Working",D137-E137-F137-G137-H137,0)</f>
        <v/>
      </c>
      <c r="J137" s="41">
        <f>IF(B137="Working",N('Savings Projection'!$S$28)*$D$8,0)</f>
        <v/>
      </c>
      <c r="K137" s="41">
        <f>IF(B137="Working",N('Savings Projection'!$T$28)*$D$9,0)</f>
        <v/>
      </c>
      <c r="L137" s="41">
        <f>IF(B137="Working",MIN(MAX(I137-J137-K137-AB137-AC137,0),'Tax Assumptions'!$B$20),0)</f>
        <v/>
      </c>
      <c r="M137" s="41">
        <f>IF(B137="Working",I137-J137-K137-L137-AB137-AC137,0)</f>
        <v/>
      </c>
      <c r="N137" s="41">
        <f>IF(B137="Working",M137+L137+E137+F137,-P137)</f>
        <v/>
      </c>
      <c r="O137" s="41">
        <f>IF(B137="Retired",$D$12+AB137+AC137,0)</f>
        <v/>
      </c>
      <c r="P137" s="41">
        <f>Q137+R137+S137+T137</f>
        <v/>
      </c>
      <c r="Q137" s="41">
        <f>IF(B137="Retired",MIN(((U136)*(1+$D$10)+IF(B137="Working",M137,0)),O137),0)</f>
        <v/>
      </c>
      <c r="R137" s="41">
        <f>IF(B137="Retired",MIN(MAX(O137-Q137,0),((V136)*(1+$D$10)+IF(B137="Working",E137,0))),0)</f>
        <v/>
      </c>
      <c r="S137" s="41">
        <f>IF(B137="Retired",MIN(MAX(O137-Q137-R137,0),((W136)*(1+$D$10)+IF(B137="Working",L137,0))),0)</f>
        <v/>
      </c>
      <c r="T137" s="41">
        <f>IF(B137="Retired",MIN(MAX(O137-Q137-R137-S137,0),((X136)*(1+$D$10)+IF(B137="Working",F137,0))),0)</f>
        <v/>
      </c>
      <c r="U137" s="41">
        <f>MAX(((U136)*(1+$D$10)+IF(B137="Working",M137,0))-Q137,0)</f>
        <v/>
      </c>
      <c r="V137" s="41">
        <f>MAX(((V136)*(1+$D$10)+IF(B137="Working",E137,0))-R137,0)</f>
        <v/>
      </c>
      <c r="W137" s="41">
        <f>MAX(((W136)*(1+$D$10)+IF(B137="Working",L137,0))-S137,0)</f>
        <v/>
      </c>
      <c r="X137" s="41">
        <f>MAX(((X136)*(1+$D$10)+IF(B137="Working",F137,0))-T137,0)</f>
        <v/>
      </c>
      <c r="Y137" s="41">
        <f>U137+V137+W137+X137</f>
        <v/>
      </c>
      <c r="Z137" s="41">
        <f>IF(B137="Retired",MAX(O137-P137,0),0)</f>
        <v/>
      </c>
      <c r="AA137" s="44">
        <f>IF(B137="Working",IF(D137=0,0,N137/D137),0)</f>
        <v/>
      </c>
      <c r="AB137" s="41">
        <f>IF(AND($D$14&gt;0,A137=$D$13),$D$14*($D$15+$D$18),0)+IF(AND($D$14&gt;0,A137=$D$13),$D$24,0)</f>
        <v/>
      </c>
      <c r="AC137" s="41">
        <f>IF(OR($D$14&lt;=0,A137&lt;$D$13),0,IF(AND($D$14&gt;0,$D$17&gt;0,A137&gt;=$D$13,A137&lt;($D$13+$D$17)),IF($D$17&lt;=0,0,IF($D$16=0,MAX($D$14*(1-$D$15),0)/$D$17,-PMT($D$16/12,$D$17*12,MAX($D$14*(1-$D$15),0))*12)),0)+AD137*($D$19+$D$20+$D$21)+$D$22+$D$23)</f>
        <v/>
      </c>
      <c r="AD137" s="41">
        <f>IF(AND($D$14&gt;0,A137&gt;=$D$13),$D$14*(1+$D$25)^(A137-$D$13),0)</f>
        <v/>
      </c>
      <c r="AE137" s="41">
        <f>IF(OR($D$14&lt;=0,$D$17&lt;=0,A137&lt;$D$13,MIN(MAX((A137-$D$13+1)*12,0),$D$17*12)&gt;=$D$17*12),0,IF($D$16=0,MAX(MAX($D$14*(1-$D$15),0)-(IF($D$17&lt;=0,0,IF($D$16=0,MAX($D$14*(1-$D$15),0)/$D$17,-PMT($D$16/12,$D$17*12,MAX($D$14*(1-$D$15),0))*12))/12)*MIN(MAX((A137-$D$13+1)*12,0),$D$17*12),0),MAX(MAX($D$14*(1-$D$15),0)*(1+$D$16/12)^MIN(MAX((A137-$D$13+1)*12,0),$D$17*12)-(IF($D$17&lt;=0,0,IF($D$16=0,MAX($D$14*(1-$D$15),0)/$D$17,-PMT($D$16/12,$D$17*12,MAX($D$14*(1-$D$15),0))*12))/12)*(((1+$D$16/12)^MIN(MAX((A137-$D$13+1)*12,0),$D$17*12)-1)/($D$16/12)),0)))</f>
        <v/>
      </c>
      <c r="AF137" s="41">
        <f>MAX(AD137-AE137,0)</f>
        <v/>
      </c>
      <c r="AG137" s="96">
        <f>Y137+AF137</f>
        <v/>
      </c>
    </row>
    <row r="138" ht="18" customHeight="1" s="326">
      <c r="A138" s="93" t="n">
        <v>11</v>
      </c>
      <c r="B138" s="72">
        <f>IF(AND(C138&gt;0,A138&lt;=$D$11),"Working","Retired")</f>
        <v/>
      </c>
      <c r="C138" s="73">
        <f>N('Savings Projection'!$B$29)</f>
        <v/>
      </c>
      <c r="D138" s="43">
        <f>IF(B138="Working",C138*$D$6,0)</f>
        <v/>
      </c>
      <c r="E138" s="73">
        <f>IF(OR(B138="Retired",D138=0),0,MIN(D138,'Tax Assumptions'!$B$19))</f>
        <v/>
      </c>
      <c r="F138" s="73">
        <f>IF(B138="Working",N('Savings Projection'!$E$29),0)</f>
        <v/>
      </c>
      <c r="G138" s="73">
        <f>IF(B138="Working",N('Savings Projection'!$F$29),0)</f>
        <v/>
      </c>
      <c r="H138" s="43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/>
      </c>
      <c r="I138" s="43">
        <f>IF(B138="Working",D138-E138-F138-G138-H138,0)</f>
        <v/>
      </c>
      <c r="J138" s="73">
        <f>IF(B138="Working",N('Savings Projection'!$S$29)*$D$8,0)</f>
        <v/>
      </c>
      <c r="K138" s="73">
        <f>IF(B138="Working",N('Savings Projection'!$T$29)*$D$9,0)</f>
        <v/>
      </c>
      <c r="L138" s="43">
        <f>IF(B138="Working",MIN(MAX(I138-J138-K138-AB138-AC138,0),'Tax Assumptions'!$B$20),0)</f>
        <v/>
      </c>
      <c r="M138" s="43">
        <f>IF(B138="Working",I138-J138-K138-L138-AB138-AC138,0)</f>
        <v/>
      </c>
      <c r="N138" s="73">
        <f>IF(B138="Working",M138+L138+E138+F138,-P138)</f>
        <v/>
      </c>
      <c r="O138" s="73">
        <f>IF(B138="Retired",$D$12+AB138+AC138,0)</f>
        <v/>
      </c>
      <c r="P138" s="73">
        <f>Q138+R138+S138+T138</f>
        <v/>
      </c>
      <c r="Q138" s="73">
        <f>IF(B138="Retired",MIN(((U137)*(1+$D$10)+IF(B138="Working",M138,0)),O138),0)</f>
        <v/>
      </c>
      <c r="R138" s="73">
        <f>IF(B138="Retired",MIN(MAX(O138-Q138,0),((V137)*(1+$D$10)+IF(B138="Working",E138,0))),0)</f>
        <v/>
      </c>
      <c r="S138" s="73">
        <f>IF(B138="Retired",MIN(MAX(O138-Q138-R138,0),((W137)*(1+$D$10)+IF(B138="Working",L138,0))),0)</f>
        <v/>
      </c>
      <c r="T138" s="73">
        <f>IF(B138="Retired",MIN(MAX(O138-Q138-R138-S138,0),((X137)*(1+$D$10)+IF(B138="Working",F138,0))),0)</f>
        <v/>
      </c>
      <c r="U138" s="43">
        <f>MAX(((U137)*(1+$D$10)+IF(B138="Working",M138,0))-Q138,0)</f>
        <v/>
      </c>
      <c r="V138" s="43">
        <f>MAX(((V137)*(1+$D$10)+IF(B138="Working",E138,0))-R138,0)</f>
        <v/>
      </c>
      <c r="W138" s="43">
        <f>MAX(((W137)*(1+$D$10)+IF(B138="Working",L138,0))-S138,0)</f>
        <v/>
      </c>
      <c r="X138" s="43">
        <f>MAX(((X137)*(1+$D$10)+IF(B138="Working",F138,0))-T138,0)</f>
        <v/>
      </c>
      <c r="Y138" s="43">
        <f>U138+V138+W138+X138</f>
        <v/>
      </c>
      <c r="Z138" s="73">
        <f>IF(B138="Retired",MAX(O138-P138,0),0)</f>
        <v/>
      </c>
      <c r="AA138" s="74">
        <f>IF(B138="Working",IF(D138=0,0,N138/D138),0)</f>
        <v/>
      </c>
      <c r="AB138" s="43">
        <f>IF(AND($D$14&gt;0,A138=$D$13),$D$14*($D$15+$D$18),0)+IF(AND($D$14&gt;0,A138=$D$13),$D$24,0)</f>
        <v/>
      </c>
      <c r="AC138" s="43">
        <f>IF(OR($D$14&lt;=0,A138&lt;$D$13),0,IF(AND($D$14&gt;0,$D$17&gt;0,A138&gt;=$D$13,A138&lt;($D$13+$D$17)),IF($D$17&lt;=0,0,IF($D$16=0,MAX($D$14*(1-$D$15),0)/$D$17,-PMT($D$16/12,$D$17*12,MAX($D$14*(1-$D$15),0))*12)),0)+AD138*($D$19+$D$20+$D$21)+$D$22+$D$23)</f>
        <v/>
      </c>
      <c r="AD138" s="43">
        <f>IF(AND($D$14&gt;0,A138&gt;=$D$13),$D$14*(1+$D$25)^(A138-$D$13),0)</f>
        <v/>
      </c>
      <c r="AE138" s="43">
        <f>IF(OR($D$14&lt;=0,$D$17&lt;=0,A138&lt;$D$13,MIN(MAX((A138-$D$13+1)*12,0),$D$17*12)&gt;=$D$17*12),0,IF($D$16=0,MAX(MAX($D$14*(1-$D$15),0)-(IF($D$17&lt;=0,0,IF($D$16=0,MAX($D$14*(1-$D$15),0)/$D$17,-PMT($D$16/12,$D$17*12,MAX($D$14*(1-$D$15),0))*12))/12)*MIN(MAX((A138-$D$13+1)*12,0),$D$17*12),0),MAX(MAX($D$14*(1-$D$15),0)*(1+$D$16/12)^MIN(MAX((A138-$D$13+1)*12,0),$D$17*12)-(IF($D$17&lt;=0,0,IF($D$16=0,MAX($D$14*(1-$D$15),0)/$D$17,-PMT($D$16/12,$D$17*12,MAX($D$14*(1-$D$15),0))*12))/12)*(((1+$D$16/12)^MIN(MAX((A138-$D$13+1)*12,0),$D$17*12)-1)/($D$16/12)),0)))</f>
        <v/>
      </c>
      <c r="AF138" s="43">
        <f>MAX(AD138-AE138,0)</f>
        <v/>
      </c>
      <c r="AG138" s="94">
        <f>Y138+AF138</f>
        <v/>
      </c>
    </row>
    <row r="139" ht="18" customHeight="1" s="326">
      <c r="A139" s="95" t="n">
        <v>12</v>
      </c>
      <c r="B139" s="40">
        <f>IF(AND(C139&gt;0,A139&lt;=$D$11),"Working","Retired")</f>
        <v/>
      </c>
      <c r="C139" s="41">
        <f>N('Savings Projection'!$B$30)</f>
        <v/>
      </c>
      <c r="D139" s="41">
        <f>IF(B139="Working",C139*$D$6,0)</f>
        <v/>
      </c>
      <c r="E139" s="41">
        <f>IF(OR(B139="Retired",D139=0),0,MIN(D139,'Tax Assumptions'!$B$19))</f>
        <v/>
      </c>
      <c r="F139" s="41">
        <f>IF(B139="Working",N('Savings Projection'!$E$30),0)</f>
        <v/>
      </c>
      <c r="G139" s="41">
        <f>IF(B139="Working",N('Savings Projection'!$F$30),0)</f>
        <v/>
      </c>
      <c r="H139" s="41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/>
      </c>
      <c r="I139" s="41">
        <f>IF(B139="Working",D139-E139-F139-G139-H139,0)</f>
        <v/>
      </c>
      <c r="J139" s="41">
        <f>IF(B139="Working",N('Savings Projection'!$S$30)*$D$8,0)</f>
        <v/>
      </c>
      <c r="K139" s="41">
        <f>IF(B139="Working",N('Savings Projection'!$T$30)*$D$9,0)</f>
        <v/>
      </c>
      <c r="L139" s="41">
        <f>IF(B139="Working",MIN(MAX(I139-J139-K139-AB139-AC139,0),'Tax Assumptions'!$B$20),0)</f>
        <v/>
      </c>
      <c r="M139" s="41">
        <f>IF(B139="Working",I139-J139-K139-L139-AB139-AC139,0)</f>
        <v/>
      </c>
      <c r="N139" s="41">
        <f>IF(B139="Working",M139+L139+E139+F139,-P139)</f>
        <v/>
      </c>
      <c r="O139" s="41">
        <f>IF(B139="Retired",$D$12+AB139+AC139,0)</f>
        <v/>
      </c>
      <c r="P139" s="41">
        <f>Q139+R139+S139+T139</f>
        <v/>
      </c>
      <c r="Q139" s="41">
        <f>IF(B139="Retired",MIN(((U138)*(1+$D$10)+IF(B139="Working",M139,0)),O139),0)</f>
        <v/>
      </c>
      <c r="R139" s="41">
        <f>IF(B139="Retired",MIN(MAX(O139-Q139,0),((V138)*(1+$D$10)+IF(B139="Working",E139,0))),0)</f>
        <v/>
      </c>
      <c r="S139" s="41">
        <f>IF(B139="Retired",MIN(MAX(O139-Q139-R139,0),((W138)*(1+$D$10)+IF(B139="Working",L139,0))),0)</f>
        <v/>
      </c>
      <c r="T139" s="41">
        <f>IF(B139="Retired",MIN(MAX(O139-Q139-R139-S139,0),((X138)*(1+$D$10)+IF(B139="Working",F139,0))),0)</f>
        <v/>
      </c>
      <c r="U139" s="41">
        <f>MAX(((U138)*(1+$D$10)+IF(B139="Working",M139,0))-Q139,0)</f>
        <v/>
      </c>
      <c r="V139" s="41">
        <f>MAX(((V138)*(1+$D$10)+IF(B139="Working",E139,0))-R139,0)</f>
        <v/>
      </c>
      <c r="W139" s="41">
        <f>MAX(((W138)*(1+$D$10)+IF(B139="Working",L139,0))-S139,0)</f>
        <v/>
      </c>
      <c r="X139" s="41">
        <f>MAX(((X138)*(1+$D$10)+IF(B139="Working",F139,0))-T139,0)</f>
        <v/>
      </c>
      <c r="Y139" s="41">
        <f>U139+V139+W139+X139</f>
        <v/>
      </c>
      <c r="Z139" s="41">
        <f>IF(B139="Retired",MAX(O139-P139,0),0)</f>
        <v/>
      </c>
      <c r="AA139" s="44">
        <f>IF(B139="Working",IF(D139=0,0,N139/D139),0)</f>
        <v/>
      </c>
      <c r="AB139" s="41">
        <f>IF(AND($D$14&gt;0,A139=$D$13),$D$14*($D$15+$D$18),0)+IF(AND($D$14&gt;0,A139=$D$13),$D$24,0)</f>
        <v/>
      </c>
      <c r="AC139" s="41">
        <f>IF(OR($D$14&lt;=0,A139&lt;$D$13),0,IF(AND($D$14&gt;0,$D$17&gt;0,A139&gt;=$D$13,A139&lt;($D$13+$D$17)),IF($D$17&lt;=0,0,IF($D$16=0,MAX($D$14*(1-$D$15),0)/$D$17,-PMT($D$16/12,$D$17*12,MAX($D$14*(1-$D$15),0))*12)),0)+AD139*($D$19+$D$20+$D$21)+$D$22+$D$23)</f>
        <v/>
      </c>
      <c r="AD139" s="41">
        <f>IF(AND($D$14&gt;0,A139&gt;=$D$13),$D$14*(1+$D$25)^(A139-$D$13),0)</f>
        <v/>
      </c>
      <c r="AE139" s="41">
        <f>IF(OR($D$14&lt;=0,$D$17&lt;=0,A139&lt;$D$13,MIN(MAX((A139-$D$13+1)*12,0),$D$17*12)&gt;=$D$17*12),0,IF($D$16=0,MAX(MAX($D$14*(1-$D$15),0)-(IF($D$17&lt;=0,0,IF($D$16=0,MAX($D$14*(1-$D$15),0)/$D$17,-PMT($D$16/12,$D$17*12,MAX($D$14*(1-$D$15),0))*12))/12)*MIN(MAX((A139-$D$13+1)*12,0),$D$17*12),0),MAX(MAX($D$14*(1-$D$15),0)*(1+$D$16/12)^MIN(MAX((A139-$D$13+1)*12,0),$D$17*12)-(IF($D$17&lt;=0,0,IF($D$16=0,MAX($D$14*(1-$D$15),0)/$D$17,-PMT($D$16/12,$D$17*12,MAX($D$14*(1-$D$15),0))*12))/12)*(((1+$D$16/12)^MIN(MAX((A139-$D$13+1)*12,0),$D$17*12)-1)/($D$16/12)),0)))</f>
        <v/>
      </c>
      <c r="AF139" s="41">
        <f>MAX(AD139-AE139,0)</f>
        <v/>
      </c>
      <c r="AG139" s="96">
        <f>Y139+AF139</f>
        <v/>
      </c>
    </row>
    <row r="140" ht="18" customHeight="1" s="326">
      <c r="A140" s="93" t="n">
        <v>13</v>
      </c>
      <c r="B140" s="72">
        <f>IF(AND(C140&gt;0,A140&lt;=$D$11),"Working","Retired")</f>
        <v/>
      </c>
      <c r="C140" s="73">
        <f>N('Savings Projection'!$B$31)</f>
        <v/>
      </c>
      <c r="D140" s="43">
        <f>IF(B140="Working",C140*$D$6,0)</f>
        <v/>
      </c>
      <c r="E140" s="73">
        <f>IF(OR(B140="Retired",D140=0),0,MIN(D140,'Tax Assumptions'!$B$19))</f>
        <v/>
      </c>
      <c r="F140" s="73">
        <f>IF(B140="Working",N('Savings Projection'!$E$31),0)</f>
        <v/>
      </c>
      <c r="G140" s="73">
        <f>IF(B140="Working",N('Savings Projection'!$F$31),0)</f>
        <v/>
      </c>
      <c r="H140" s="43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/>
      </c>
      <c r="I140" s="43">
        <f>IF(B140="Working",D140-E140-F140-G140-H140,0)</f>
        <v/>
      </c>
      <c r="J140" s="73">
        <f>IF(B140="Working",N('Savings Projection'!$S$31)*$D$8,0)</f>
        <v/>
      </c>
      <c r="K140" s="73">
        <f>IF(B140="Working",N('Savings Projection'!$T$31)*$D$9,0)</f>
        <v/>
      </c>
      <c r="L140" s="43">
        <f>IF(B140="Working",MIN(MAX(I140-J140-K140-AB140-AC140,0),'Tax Assumptions'!$B$20),0)</f>
        <v/>
      </c>
      <c r="M140" s="43">
        <f>IF(B140="Working",I140-J140-K140-L140-AB140-AC140,0)</f>
        <v/>
      </c>
      <c r="N140" s="73">
        <f>IF(B140="Working",M140+L140+E140+F140,-P140)</f>
        <v/>
      </c>
      <c r="O140" s="73">
        <f>IF(B140="Retired",$D$12+AB140+AC140,0)</f>
        <v/>
      </c>
      <c r="P140" s="73">
        <f>Q140+R140+S140+T140</f>
        <v/>
      </c>
      <c r="Q140" s="73">
        <f>IF(B140="Retired",MIN(((U139)*(1+$D$10)+IF(B140="Working",M140,0)),O140),0)</f>
        <v/>
      </c>
      <c r="R140" s="73">
        <f>IF(B140="Retired",MIN(MAX(O140-Q140,0),((V139)*(1+$D$10)+IF(B140="Working",E140,0))),0)</f>
        <v/>
      </c>
      <c r="S140" s="73">
        <f>IF(B140="Retired",MIN(MAX(O140-Q140-R140,0),((W139)*(1+$D$10)+IF(B140="Working",L140,0))),0)</f>
        <v/>
      </c>
      <c r="T140" s="73">
        <f>IF(B140="Retired",MIN(MAX(O140-Q140-R140-S140,0),((X139)*(1+$D$10)+IF(B140="Working",F140,0))),0)</f>
        <v/>
      </c>
      <c r="U140" s="43">
        <f>MAX(((U139)*(1+$D$10)+IF(B140="Working",M140,0))-Q140,0)</f>
        <v/>
      </c>
      <c r="V140" s="43">
        <f>MAX(((V139)*(1+$D$10)+IF(B140="Working",E140,0))-R140,0)</f>
        <v/>
      </c>
      <c r="W140" s="43">
        <f>MAX(((W139)*(1+$D$10)+IF(B140="Working",L140,0))-S140,0)</f>
        <v/>
      </c>
      <c r="X140" s="43">
        <f>MAX(((X139)*(1+$D$10)+IF(B140="Working",F140,0))-T140,0)</f>
        <v/>
      </c>
      <c r="Y140" s="43">
        <f>U140+V140+W140+X140</f>
        <v/>
      </c>
      <c r="Z140" s="73">
        <f>IF(B140="Retired",MAX(O140-P140,0),0)</f>
        <v/>
      </c>
      <c r="AA140" s="74">
        <f>IF(B140="Working",IF(D140=0,0,N140/D140),0)</f>
        <v/>
      </c>
      <c r="AB140" s="43">
        <f>IF(AND($D$14&gt;0,A140=$D$13),$D$14*($D$15+$D$18),0)+IF(AND($D$14&gt;0,A140=$D$13),$D$24,0)</f>
        <v/>
      </c>
      <c r="AC140" s="43">
        <f>IF(OR($D$14&lt;=0,A140&lt;$D$13),0,IF(AND($D$14&gt;0,$D$17&gt;0,A140&gt;=$D$13,A140&lt;($D$13+$D$17)),IF($D$17&lt;=0,0,IF($D$16=0,MAX($D$14*(1-$D$15),0)/$D$17,-PMT($D$16/12,$D$17*12,MAX($D$14*(1-$D$15),0))*12)),0)+AD140*($D$19+$D$20+$D$21)+$D$22+$D$23)</f>
        <v/>
      </c>
      <c r="AD140" s="43">
        <f>IF(AND($D$14&gt;0,A140&gt;=$D$13),$D$14*(1+$D$25)^(A140-$D$13),0)</f>
        <v/>
      </c>
      <c r="AE140" s="43">
        <f>IF(OR($D$14&lt;=0,$D$17&lt;=0,A140&lt;$D$13,MIN(MAX((A140-$D$13+1)*12,0),$D$17*12)&gt;=$D$17*12),0,IF($D$16=0,MAX(MAX($D$14*(1-$D$15),0)-(IF($D$17&lt;=0,0,IF($D$16=0,MAX($D$14*(1-$D$15),0)/$D$17,-PMT($D$16/12,$D$17*12,MAX($D$14*(1-$D$15),0))*12))/12)*MIN(MAX((A140-$D$13+1)*12,0),$D$17*12),0),MAX(MAX($D$14*(1-$D$15),0)*(1+$D$16/12)^MIN(MAX((A140-$D$13+1)*12,0),$D$17*12)-(IF($D$17&lt;=0,0,IF($D$16=0,MAX($D$14*(1-$D$15),0)/$D$17,-PMT($D$16/12,$D$17*12,MAX($D$14*(1-$D$15),0))*12))/12)*(((1+$D$16/12)^MIN(MAX((A140-$D$13+1)*12,0),$D$17*12)-1)/($D$16/12)),0)))</f>
        <v/>
      </c>
      <c r="AF140" s="43">
        <f>MAX(AD140-AE140,0)</f>
        <v/>
      </c>
      <c r="AG140" s="94">
        <f>Y140+AF140</f>
        <v/>
      </c>
    </row>
    <row r="141" ht="18" customHeight="1" s="326">
      <c r="A141" s="95" t="n">
        <v>14</v>
      </c>
      <c r="B141" s="40">
        <f>IF(AND(C141&gt;0,A141&lt;=$D$11),"Working","Retired")</f>
        <v/>
      </c>
      <c r="C141" s="41">
        <f>N('Savings Projection'!$B$32)</f>
        <v/>
      </c>
      <c r="D141" s="41">
        <f>IF(B141="Working",C141*$D$6,0)</f>
        <v/>
      </c>
      <c r="E141" s="41">
        <f>IF(OR(B141="Retired",D141=0),0,MIN(D141,'Tax Assumptions'!$B$19))</f>
        <v/>
      </c>
      <c r="F141" s="41">
        <f>IF(B141="Working",N('Savings Projection'!$E$32),0)</f>
        <v/>
      </c>
      <c r="G141" s="41">
        <f>IF(B141="Working",N('Savings Projection'!$F$32),0)</f>
        <v/>
      </c>
      <c r="H141" s="41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/>
      </c>
      <c r="I141" s="41">
        <f>IF(B141="Working",D141-E141-F141-G141-H141,0)</f>
        <v/>
      </c>
      <c r="J141" s="41">
        <f>IF(B141="Working",N('Savings Projection'!$S$32)*$D$8,0)</f>
        <v/>
      </c>
      <c r="K141" s="41">
        <f>IF(B141="Working",N('Savings Projection'!$T$32)*$D$9,0)</f>
        <v/>
      </c>
      <c r="L141" s="41">
        <f>IF(B141="Working",MIN(MAX(I141-J141-K141-AB141-AC141,0),'Tax Assumptions'!$B$20),0)</f>
        <v/>
      </c>
      <c r="M141" s="41">
        <f>IF(B141="Working",I141-J141-K141-L141-AB141-AC141,0)</f>
        <v/>
      </c>
      <c r="N141" s="41">
        <f>IF(B141="Working",M141+L141+E141+F141,-P141)</f>
        <v/>
      </c>
      <c r="O141" s="41">
        <f>IF(B141="Retired",$D$12+AB141+AC141,0)</f>
        <v/>
      </c>
      <c r="P141" s="41">
        <f>Q141+R141+S141+T141</f>
        <v/>
      </c>
      <c r="Q141" s="41">
        <f>IF(B141="Retired",MIN(((U140)*(1+$D$10)+IF(B141="Working",M141,0)),O141),0)</f>
        <v/>
      </c>
      <c r="R141" s="41">
        <f>IF(B141="Retired",MIN(MAX(O141-Q141,0),((V140)*(1+$D$10)+IF(B141="Working",E141,0))),0)</f>
        <v/>
      </c>
      <c r="S141" s="41">
        <f>IF(B141="Retired",MIN(MAX(O141-Q141-R141,0),((W140)*(1+$D$10)+IF(B141="Working",L141,0))),0)</f>
        <v/>
      </c>
      <c r="T141" s="41">
        <f>IF(B141="Retired",MIN(MAX(O141-Q141-R141-S141,0),((X140)*(1+$D$10)+IF(B141="Working",F141,0))),0)</f>
        <v/>
      </c>
      <c r="U141" s="41">
        <f>MAX(((U140)*(1+$D$10)+IF(B141="Working",M141,0))-Q141,0)</f>
        <v/>
      </c>
      <c r="V141" s="41">
        <f>MAX(((V140)*(1+$D$10)+IF(B141="Working",E141,0))-R141,0)</f>
        <v/>
      </c>
      <c r="W141" s="41">
        <f>MAX(((W140)*(1+$D$10)+IF(B141="Working",L141,0))-S141,0)</f>
        <v/>
      </c>
      <c r="X141" s="41">
        <f>MAX(((X140)*(1+$D$10)+IF(B141="Working",F141,0))-T141,0)</f>
        <v/>
      </c>
      <c r="Y141" s="41">
        <f>U141+V141+W141+X141</f>
        <v/>
      </c>
      <c r="Z141" s="41">
        <f>IF(B141="Retired",MAX(O141-P141,0),0)</f>
        <v/>
      </c>
      <c r="AA141" s="44">
        <f>IF(B141="Working",IF(D141=0,0,N141/D141),0)</f>
        <v/>
      </c>
      <c r="AB141" s="41">
        <f>IF(AND($D$14&gt;0,A141=$D$13),$D$14*($D$15+$D$18),0)+IF(AND($D$14&gt;0,A141=$D$13),$D$24,0)</f>
        <v/>
      </c>
      <c r="AC141" s="41">
        <f>IF(OR($D$14&lt;=0,A141&lt;$D$13),0,IF(AND($D$14&gt;0,$D$17&gt;0,A141&gt;=$D$13,A141&lt;($D$13+$D$17)),IF($D$17&lt;=0,0,IF($D$16=0,MAX($D$14*(1-$D$15),0)/$D$17,-PMT($D$16/12,$D$17*12,MAX($D$14*(1-$D$15),0))*12)),0)+AD141*($D$19+$D$20+$D$21)+$D$22+$D$23)</f>
        <v/>
      </c>
      <c r="AD141" s="41">
        <f>IF(AND($D$14&gt;0,A141&gt;=$D$13),$D$14*(1+$D$25)^(A141-$D$13),0)</f>
        <v/>
      </c>
      <c r="AE141" s="41">
        <f>IF(OR($D$14&lt;=0,$D$17&lt;=0,A141&lt;$D$13,MIN(MAX((A141-$D$13+1)*12,0),$D$17*12)&gt;=$D$17*12),0,IF($D$16=0,MAX(MAX($D$14*(1-$D$15),0)-(IF($D$17&lt;=0,0,IF($D$16=0,MAX($D$14*(1-$D$15),0)/$D$17,-PMT($D$16/12,$D$17*12,MAX($D$14*(1-$D$15),0))*12))/12)*MIN(MAX((A141-$D$13+1)*12,0),$D$17*12),0),MAX(MAX($D$14*(1-$D$15),0)*(1+$D$16/12)^MIN(MAX((A141-$D$13+1)*12,0),$D$17*12)-(IF($D$17&lt;=0,0,IF($D$16=0,MAX($D$14*(1-$D$15),0)/$D$17,-PMT($D$16/12,$D$17*12,MAX($D$14*(1-$D$15),0))*12))/12)*(((1+$D$16/12)^MIN(MAX((A141-$D$13+1)*12,0),$D$17*12)-1)/($D$16/12)),0)))</f>
        <v/>
      </c>
      <c r="AF141" s="41">
        <f>MAX(AD141-AE141,0)</f>
        <v/>
      </c>
      <c r="AG141" s="96">
        <f>Y141+AF141</f>
        <v/>
      </c>
    </row>
    <row r="142" ht="18" customHeight="1" s="326">
      <c r="A142" s="93" t="n">
        <v>15</v>
      </c>
      <c r="B142" s="72">
        <f>IF(AND(C142&gt;0,A142&lt;=$D$11),"Working","Retired")</f>
        <v/>
      </c>
      <c r="C142" s="73">
        <f>N('Savings Projection'!$B$33)</f>
        <v/>
      </c>
      <c r="D142" s="43">
        <f>IF(B142="Working",C142*$D$6,0)</f>
        <v/>
      </c>
      <c r="E142" s="73">
        <f>IF(OR(B142="Retired",D142=0),0,MIN(D142,'Tax Assumptions'!$B$19))</f>
        <v/>
      </c>
      <c r="F142" s="73">
        <f>IF(B142="Working",N('Savings Projection'!$E$33),0)</f>
        <v/>
      </c>
      <c r="G142" s="73">
        <f>IF(B142="Working",N('Savings Projection'!$F$33),0)</f>
        <v/>
      </c>
      <c r="H142" s="43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/>
      </c>
      <c r="I142" s="43">
        <f>IF(B142="Working",D142-E142-F142-G142-H142,0)</f>
        <v/>
      </c>
      <c r="J142" s="73">
        <f>IF(B142="Working",N('Savings Projection'!$S$33)*$D$8,0)</f>
        <v/>
      </c>
      <c r="K142" s="73">
        <f>IF(B142="Working",N('Savings Projection'!$T$33)*$D$9,0)</f>
        <v/>
      </c>
      <c r="L142" s="43">
        <f>IF(B142="Working",MIN(MAX(I142-J142-K142-AB142-AC142,0),'Tax Assumptions'!$B$20),0)</f>
        <v/>
      </c>
      <c r="M142" s="43">
        <f>IF(B142="Working",I142-J142-K142-L142-AB142-AC142,0)</f>
        <v/>
      </c>
      <c r="N142" s="73">
        <f>IF(B142="Working",M142+L142+E142+F142,-P142)</f>
        <v/>
      </c>
      <c r="O142" s="73">
        <f>IF(B142="Retired",$D$12+AB142+AC142,0)</f>
        <v/>
      </c>
      <c r="P142" s="73">
        <f>Q142+R142+S142+T142</f>
        <v/>
      </c>
      <c r="Q142" s="73">
        <f>IF(B142="Retired",MIN(((U141)*(1+$D$10)+IF(B142="Working",M142,0)),O142),0)</f>
        <v/>
      </c>
      <c r="R142" s="73">
        <f>IF(B142="Retired",MIN(MAX(O142-Q142,0),((V141)*(1+$D$10)+IF(B142="Working",E142,0))),0)</f>
        <v/>
      </c>
      <c r="S142" s="73">
        <f>IF(B142="Retired",MIN(MAX(O142-Q142-R142,0),((W141)*(1+$D$10)+IF(B142="Working",L142,0))),0)</f>
        <v/>
      </c>
      <c r="T142" s="73">
        <f>IF(B142="Retired",MIN(MAX(O142-Q142-R142-S142,0),((X141)*(1+$D$10)+IF(B142="Working",F142,0))),0)</f>
        <v/>
      </c>
      <c r="U142" s="43">
        <f>MAX(((U141)*(1+$D$10)+IF(B142="Working",M142,0))-Q142,0)</f>
        <v/>
      </c>
      <c r="V142" s="43">
        <f>MAX(((V141)*(1+$D$10)+IF(B142="Working",E142,0))-R142,0)</f>
        <v/>
      </c>
      <c r="W142" s="43">
        <f>MAX(((W141)*(1+$D$10)+IF(B142="Working",L142,0))-S142,0)</f>
        <v/>
      </c>
      <c r="X142" s="43">
        <f>MAX(((X141)*(1+$D$10)+IF(B142="Working",F142,0))-T142,0)</f>
        <v/>
      </c>
      <c r="Y142" s="43">
        <f>U142+V142+W142+X142</f>
        <v/>
      </c>
      <c r="Z142" s="73">
        <f>IF(B142="Retired",MAX(O142-P142,0),0)</f>
        <v/>
      </c>
      <c r="AA142" s="74">
        <f>IF(B142="Working",IF(D142=0,0,N142/D142),0)</f>
        <v/>
      </c>
      <c r="AB142" s="43">
        <f>IF(AND($D$14&gt;0,A142=$D$13),$D$14*($D$15+$D$18),0)+IF(AND($D$14&gt;0,A142=$D$13),$D$24,0)</f>
        <v/>
      </c>
      <c r="AC142" s="43">
        <f>IF(OR($D$14&lt;=0,A142&lt;$D$13),0,IF(AND($D$14&gt;0,$D$17&gt;0,A142&gt;=$D$13,A142&lt;($D$13+$D$17)),IF($D$17&lt;=0,0,IF($D$16=0,MAX($D$14*(1-$D$15),0)/$D$17,-PMT($D$16/12,$D$17*12,MAX($D$14*(1-$D$15),0))*12)),0)+AD142*($D$19+$D$20+$D$21)+$D$22+$D$23)</f>
        <v/>
      </c>
      <c r="AD142" s="43">
        <f>IF(AND($D$14&gt;0,A142&gt;=$D$13),$D$14*(1+$D$25)^(A142-$D$13),0)</f>
        <v/>
      </c>
      <c r="AE142" s="43">
        <f>IF(OR($D$14&lt;=0,$D$17&lt;=0,A142&lt;$D$13,MIN(MAX((A142-$D$13+1)*12,0),$D$17*12)&gt;=$D$17*12),0,IF($D$16=0,MAX(MAX($D$14*(1-$D$15),0)-(IF($D$17&lt;=0,0,IF($D$16=0,MAX($D$14*(1-$D$15),0)/$D$17,-PMT($D$16/12,$D$17*12,MAX($D$14*(1-$D$15),0))*12))/12)*MIN(MAX((A142-$D$13+1)*12,0),$D$17*12),0),MAX(MAX($D$14*(1-$D$15),0)*(1+$D$16/12)^MIN(MAX((A142-$D$13+1)*12,0),$D$17*12)-(IF($D$17&lt;=0,0,IF($D$16=0,MAX($D$14*(1-$D$15),0)/$D$17,-PMT($D$16/12,$D$17*12,MAX($D$14*(1-$D$15),0))*12))/12)*(((1+$D$16/12)^MIN(MAX((A142-$D$13+1)*12,0),$D$17*12)-1)/($D$16/12)),0)))</f>
        <v/>
      </c>
      <c r="AF142" s="43">
        <f>MAX(AD142-AE142,0)</f>
        <v/>
      </c>
      <c r="AG142" s="94">
        <f>Y142+AF142</f>
        <v/>
      </c>
    </row>
    <row r="143" ht="18" customHeight="1" s="326">
      <c r="A143" s="95" t="n">
        <v>16</v>
      </c>
      <c r="B143" s="40">
        <f>IF(AND(C143&gt;0,A143&lt;=$D$11),"Working","Retired")</f>
        <v/>
      </c>
      <c r="C143" s="41">
        <f>N('Savings Projection'!$B$34)</f>
        <v/>
      </c>
      <c r="D143" s="41">
        <f>IF(B143="Working",C143*$D$6,0)</f>
        <v/>
      </c>
      <c r="E143" s="41">
        <f>IF(OR(B143="Retired",D143=0),0,MIN(D143,'Tax Assumptions'!$B$19))</f>
        <v/>
      </c>
      <c r="F143" s="41">
        <f>IF(B143="Working",N('Savings Projection'!$E$34),0)</f>
        <v/>
      </c>
      <c r="G143" s="41">
        <f>IF(B143="Working",N('Savings Projection'!$F$34),0)</f>
        <v/>
      </c>
      <c r="H143" s="41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/>
      </c>
      <c r="I143" s="41">
        <f>IF(B143="Working",D143-E143-F143-G143-H143,0)</f>
        <v/>
      </c>
      <c r="J143" s="41">
        <f>IF(B143="Working",N('Savings Projection'!$S$34)*$D$8,0)</f>
        <v/>
      </c>
      <c r="K143" s="41">
        <f>IF(B143="Working",N('Savings Projection'!$T$34)*$D$9,0)</f>
        <v/>
      </c>
      <c r="L143" s="41">
        <f>IF(B143="Working",MIN(MAX(I143-J143-K143-AB143-AC143,0),'Tax Assumptions'!$B$20),0)</f>
        <v/>
      </c>
      <c r="M143" s="41">
        <f>IF(B143="Working",I143-J143-K143-L143-AB143-AC143,0)</f>
        <v/>
      </c>
      <c r="N143" s="41">
        <f>IF(B143="Working",M143+L143+E143+F143,-P143)</f>
        <v/>
      </c>
      <c r="O143" s="41">
        <f>IF(B143="Retired",$D$12+AB143+AC143,0)</f>
        <v/>
      </c>
      <c r="P143" s="41">
        <f>Q143+R143+S143+T143</f>
        <v/>
      </c>
      <c r="Q143" s="41">
        <f>IF(B143="Retired",MIN(((U142)*(1+$D$10)+IF(B143="Working",M143,0)),O143),0)</f>
        <v/>
      </c>
      <c r="R143" s="41">
        <f>IF(B143="Retired",MIN(MAX(O143-Q143,0),((V142)*(1+$D$10)+IF(B143="Working",E143,0))),0)</f>
        <v/>
      </c>
      <c r="S143" s="41">
        <f>IF(B143="Retired",MIN(MAX(O143-Q143-R143,0),((W142)*(1+$D$10)+IF(B143="Working",L143,0))),0)</f>
        <v/>
      </c>
      <c r="T143" s="41">
        <f>IF(B143="Retired",MIN(MAX(O143-Q143-R143-S143,0),((X142)*(1+$D$10)+IF(B143="Working",F143,0))),0)</f>
        <v/>
      </c>
      <c r="U143" s="41">
        <f>MAX(((U142)*(1+$D$10)+IF(B143="Working",M143,0))-Q143,0)</f>
        <v/>
      </c>
      <c r="V143" s="41">
        <f>MAX(((V142)*(1+$D$10)+IF(B143="Working",E143,0))-R143,0)</f>
        <v/>
      </c>
      <c r="W143" s="41">
        <f>MAX(((W142)*(1+$D$10)+IF(B143="Working",L143,0))-S143,0)</f>
        <v/>
      </c>
      <c r="X143" s="41">
        <f>MAX(((X142)*(1+$D$10)+IF(B143="Working",F143,0))-T143,0)</f>
        <v/>
      </c>
      <c r="Y143" s="41">
        <f>U143+V143+W143+X143</f>
        <v/>
      </c>
      <c r="Z143" s="41">
        <f>IF(B143="Retired",MAX(O143-P143,0),0)</f>
        <v/>
      </c>
      <c r="AA143" s="44">
        <f>IF(B143="Working",IF(D143=0,0,N143/D143),0)</f>
        <v/>
      </c>
      <c r="AB143" s="41">
        <f>IF(AND($D$14&gt;0,A143=$D$13),$D$14*($D$15+$D$18),0)+IF(AND($D$14&gt;0,A143=$D$13),$D$24,0)</f>
        <v/>
      </c>
      <c r="AC143" s="41">
        <f>IF(OR($D$14&lt;=0,A143&lt;$D$13),0,IF(AND($D$14&gt;0,$D$17&gt;0,A143&gt;=$D$13,A143&lt;($D$13+$D$17)),IF($D$17&lt;=0,0,IF($D$16=0,MAX($D$14*(1-$D$15),0)/$D$17,-PMT($D$16/12,$D$17*12,MAX($D$14*(1-$D$15),0))*12)),0)+AD143*($D$19+$D$20+$D$21)+$D$22+$D$23)</f>
        <v/>
      </c>
      <c r="AD143" s="41">
        <f>IF(AND($D$14&gt;0,A143&gt;=$D$13),$D$14*(1+$D$25)^(A143-$D$13),0)</f>
        <v/>
      </c>
      <c r="AE143" s="41">
        <f>IF(OR($D$14&lt;=0,$D$17&lt;=0,A143&lt;$D$13,MIN(MAX((A143-$D$13+1)*12,0),$D$17*12)&gt;=$D$17*12),0,IF($D$16=0,MAX(MAX($D$14*(1-$D$15),0)-(IF($D$17&lt;=0,0,IF($D$16=0,MAX($D$14*(1-$D$15),0)/$D$17,-PMT($D$16/12,$D$17*12,MAX($D$14*(1-$D$15),0))*12))/12)*MIN(MAX((A143-$D$13+1)*12,0),$D$17*12),0),MAX(MAX($D$14*(1-$D$15),0)*(1+$D$16/12)^MIN(MAX((A143-$D$13+1)*12,0),$D$17*12)-(IF($D$17&lt;=0,0,IF($D$16=0,MAX($D$14*(1-$D$15),0)/$D$17,-PMT($D$16/12,$D$17*12,MAX($D$14*(1-$D$15),0))*12))/12)*(((1+$D$16/12)^MIN(MAX((A143-$D$13+1)*12,0),$D$17*12)-1)/($D$16/12)),0)))</f>
        <v/>
      </c>
      <c r="AF143" s="41">
        <f>MAX(AD143-AE143,0)</f>
        <v/>
      </c>
      <c r="AG143" s="96">
        <f>Y143+AF143</f>
        <v/>
      </c>
    </row>
    <row r="144" ht="18" customHeight="1" s="326">
      <c r="A144" s="93" t="n">
        <v>17</v>
      </c>
      <c r="B144" s="72">
        <f>IF(AND(C144&gt;0,A144&lt;=$D$11),"Working","Retired")</f>
        <v/>
      </c>
      <c r="C144" s="73">
        <f>N('Savings Projection'!$B$35)</f>
        <v/>
      </c>
      <c r="D144" s="43">
        <f>IF(B144="Working",C144*$D$6,0)</f>
        <v/>
      </c>
      <c r="E144" s="73">
        <f>IF(OR(B144="Retired",D144=0),0,MIN(D144,'Tax Assumptions'!$B$19))</f>
        <v/>
      </c>
      <c r="F144" s="73">
        <f>IF(B144="Working",N('Savings Projection'!$E$35),0)</f>
        <v/>
      </c>
      <c r="G144" s="73">
        <f>IF(B144="Working",N('Savings Projection'!$F$35),0)</f>
        <v/>
      </c>
      <c r="H144" s="43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/>
      </c>
      <c r="I144" s="43">
        <f>IF(B144="Working",D144-E144-F144-G144-H144,0)</f>
        <v/>
      </c>
      <c r="J144" s="73">
        <f>IF(B144="Working",N('Savings Projection'!$S$35)*$D$8,0)</f>
        <v/>
      </c>
      <c r="K144" s="73">
        <f>IF(B144="Working",N('Savings Projection'!$T$35)*$D$9,0)</f>
        <v/>
      </c>
      <c r="L144" s="43">
        <f>IF(B144="Working",MIN(MAX(I144-J144-K144-AB144-AC144,0),'Tax Assumptions'!$B$20),0)</f>
        <v/>
      </c>
      <c r="M144" s="43">
        <f>IF(B144="Working",I144-J144-K144-L144-AB144-AC144,0)</f>
        <v/>
      </c>
      <c r="N144" s="73">
        <f>IF(B144="Working",M144+L144+E144+F144,-P144)</f>
        <v/>
      </c>
      <c r="O144" s="73">
        <f>IF(B144="Retired",$D$12+AB144+AC144,0)</f>
        <v/>
      </c>
      <c r="P144" s="73">
        <f>Q144+R144+S144+T144</f>
        <v/>
      </c>
      <c r="Q144" s="73">
        <f>IF(B144="Retired",MIN(((U143)*(1+$D$10)+IF(B144="Working",M144,0)),O144),0)</f>
        <v/>
      </c>
      <c r="R144" s="73">
        <f>IF(B144="Retired",MIN(MAX(O144-Q144,0),((V143)*(1+$D$10)+IF(B144="Working",E144,0))),0)</f>
        <v/>
      </c>
      <c r="S144" s="73">
        <f>IF(B144="Retired",MIN(MAX(O144-Q144-R144,0),((W143)*(1+$D$10)+IF(B144="Working",L144,0))),0)</f>
        <v/>
      </c>
      <c r="T144" s="73">
        <f>IF(B144="Retired",MIN(MAX(O144-Q144-R144-S144,0),((X143)*(1+$D$10)+IF(B144="Working",F144,0))),0)</f>
        <v/>
      </c>
      <c r="U144" s="43">
        <f>MAX(((U143)*(1+$D$10)+IF(B144="Working",M144,0))-Q144,0)</f>
        <v/>
      </c>
      <c r="V144" s="43">
        <f>MAX(((V143)*(1+$D$10)+IF(B144="Working",E144,0))-R144,0)</f>
        <v/>
      </c>
      <c r="W144" s="43">
        <f>MAX(((W143)*(1+$D$10)+IF(B144="Working",L144,0))-S144,0)</f>
        <v/>
      </c>
      <c r="X144" s="43">
        <f>MAX(((X143)*(1+$D$10)+IF(B144="Working",F144,0))-T144,0)</f>
        <v/>
      </c>
      <c r="Y144" s="43">
        <f>U144+V144+W144+X144</f>
        <v/>
      </c>
      <c r="Z144" s="73">
        <f>IF(B144="Retired",MAX(O144-P144,0),0)</f>
        <v/>
      </c>
      <c r="AA144" s="74">
        <f>IF(B144="Working",IF(D144=0,0,N144/D144),0)</f>
        <v/>
      </c>
      <c r="AB144" s="43">
        <f>IF(AND($D$14&gt;0,A144=$D$13),$D$14*($D$15+$D$18),0)+IF(AND($D$14&gt;0,A144=$D$13),$D$24,0)</f>
        <v/>
      </c>
      <c r="AC144" s="43">
        <f>IF(OR($D$14&lt;=0,A144&lt;$D$13),0,IF(AND($D$14&gt;0,$D$17&gt;0,A144&gt;=$D$13,A144&lt;($D$13+$D$17)),IF($D$17&lt;=0,0,IF($D$16=0,MAX($D$14*(1-$D$15),0)/$D$17,-PMT($D$16/12,$D$17*12,MAX($D$14*(1-$D$15),0))*12)),0)+AD144*($D$19+$D$20+$D$21)+$D$22+$D$23)</f>
        <v/>
      </c>
      <c r="AD144" s="43">
        <f>IF(AND($D$14&gt;0,A144&gt;=$D$13),$D$14*(1+$D$25)^(A144-$D$13),0)</f>
        <v/>
      </c>
      <c r="AE144" s="43">
        <f>IF(OR($D$14&lt;=0,$D$17&lt;=0,A144&lt;$D$13,MIN(MAX((A144-$D$13+1)*12,0),$D$17*12)&gt;=$D$17*12),0,IF($D$16=0,MAX(MAX($D$14*(1-$D$15),0)-(IF($D$17&lt;=0,0,IF($D$16=0,MAX($D$14*(1-$D$15),0)/$D$17,-PMT($D$16/12,$D$17*12,MAX($D$14*(1-$D$15),0))*12))/12)*MIN(MAX((A144-$D$13+1)*12,0),$D$17*12),0),MAX(MAX($D$14*(1-$D$15),0)*(1+$D$16/12)^MIN(MAX((A144-$D$13+1)*12,0),$D$17*12)-(IF($D$17&lt;=0,0,IF($D$16=0,MAX($D$14*(1-$D$15),0)/$D$17,-PMT($D$16/12,$D$17*12,MAX($D$14*(1-$D$15),0))*12))/12)*(((1+$D$16/12)^MIN(MAX((A144-$D$13+1)*12,0),$D$17*12)-1)/($D$16/12)),0)))</f>
        <v/>
      </c>
      <c r="AF144" s="43">
        <f>MAX(AD144-AE144,0)</f>
        <v/>
      </c>
      <c r="AG144" s="94">
        <f>Y144+AF144</f>
        <v/>
      </c>
    </row>
    <row r="145" ht="18" customHeight="1" s="326">
      <c r="A145" s="95" t="n">
        <v>18</v>
      </c>
      <c r="B145" s="40">
        <f>IF(AND(C145&gt;0,A145&lt;=$D$11),"Working","Retired")</f>
        <v/>
      </c>
      <c r="C145" s="41">
        <f>N('Savings Projection'!$B$36)</f>
        <v/>
      </c>
      <c r="D145" s="41">
        <f>IF(B145="Working",C145*$D$6,0)</f>
        <v/>
      </c>
      <c r="E145" s="41">
        <f>IF(OR(B145="Retired",D145=0),0,MIN(D145,'Tax Assumptions'!$B$19))</f>
        <v/>
      </c>
      <c r="F145" s="41">
        <f>IF(B145="Working",N('Savings Projection'!$E$36),0)</f>
        <v/>
      </c>
      <c r="G145" s="41">
        <f>IF(B145="Working",N('Savings Projection'!$F$36),0)</f>
        <v/>
      </c>
      <c r="H145" s="41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/>
      </c>
      <c r="I145" s="41">
        <f>IF(B145="Working",D145-E145-F145-G145-H145,0)</f>
        <v/>
      </c>
      <c r="J145" s="41">
        <f>IF(B145="Working",N('Savings Projection'!$S$36)*$D$8,0)</f>
        <v/>
      </c>
      <c r="K145" s="41">
        <f>IF(B145="Working",N('Savings Projection'!$T$36)*$D$9,0)</f>
        <v/>
      </c>
      <c r="L145" s="41">
        <f>IF(B145="Working",MIN(MAX(I145-J145-K145-AB145-AC145,0),'Tax Assumptions'!$B$20),0)</f>
        <v/>
      </c>
      <c r="M145" s="41">
        <f>IF(B145="Working",I145-J145-K145-L145-AB145-AC145,0)</f>
        <v/>
      </c>
      <c r="N145" s="41">
        <f>IF(B145="Working",M145+L145+E145+F145,-P145)</f>
        <v/>
      </c>
      <c r="O145" s="41">
        <f>IF(B145="Retired",$D$12+AB145+AC145,0)</f>
        <v/>
      </c>
      <c r="P145" s="41">
        <f>Q145+R145+S145+T145</f>
        <v/>
      </c>
      <c r="Q145" s="41">
        <f>IF(B145="Retired",MIN(((U144)*(1+$D$10)+IF(B145="Working",M145,0)),O145),0)</f>
        <v/>
      </c>
      <c r="R145" s="41">
        <f>IF(B145="Retired",MIN(MAX(O145-Q145,0),((V144)*(1+$D$10)+IF(B145="Working",E145,0))),0)</f>
        <v/>
      </c>
      <c r="S145" s="41">
        <f>IF(B145="Retired",MIN(MAX(O145-Q145-R145,0),((W144)*(1+$D$10)+IF(B145="Working",L145,0))),0)</f>
        <v/>
      </c>
      <c r="T145" s="41">
        <f>IF(B145="Retired",MIN(MAX(O145-Q145-R145-S145,0),((X144)*(1+$D$10)+IF(B145="Working",F145,0))),0)</f>
        <v/>
      </c>
      <c r="U145" s="41">
        <f>MAX(((U144)*(1+$D$10)+IF(B145="Working",M145,0))-Q145,0)</f>
        <v/>
      </c>
      <c r="V145" s="41">
        <f>MAX(((V144)*(1+$D$10)+IF(B145="Working",E145,0))-R145,0)</f>
        <v/>
      </c>
      <c r="W145" s="41">
        <f>MAX(((W144)*(1+$D$10)+IF(B145="Working",L145,0))-S145,0)</f>
        <v/>
      </c>
      <c r="X145" s="41">
        <f>MAX(((X144)*(1+$D$10)+IF(B145="Working",F145,0))-T145,0)</f>
        <v/>
      </c>
      <c r="Y145" s="41">
        <f>U145+V145+W145+X145</f>
        <v/>
      </c>
      <c r="Z145" s="41">
        <f>IF(B145="Retired",MAX(O145-P145,0),0)</f>
        <v/>
      </c>
      <c r="AA145" s="44">
        <f>IF(B145="Working",IF(D145=0,0,N145/D145),0)</f>
        <v/>
      </c>
      <c r="AB145" s="41">
        <f>IF(AND($D$14&gt;0,A145=$D$13),$D$14*($D$15+$D$18),0)+IF(AND($D$14&gt;0,A145=$D$13),$D$24,0)</f>
        <v/>
      </c>
      <c r="AC145" s="41">
        <f>IF(OR($D$14&lt;=0,A145&lt;$D$13),0,IF(AND($D$14&gt;0,$D$17&gt;0,A145&gt;=$D$13,A145&lt;($D$13+$D$17)),IF($D$17&lt;=0,0,IF($D$16=0,MAX($D$14*(1-$D$15),0)/$D$17,-PMT($D$16/12,$D$17*12,MAX($D$14*(1-$D$15),0))*12)),0)+AD145*($D$19+$D$20+$D$21)+$D$22+$D$23)</f>
        <v/>
      </c>
      <c r="AD145" s="41">
        <f>IF(AND($D$14&gt;0,A145&gt;=$D$13),$D$14*(1+$D$25)^(A145-$D$13),0)</f>
        <v/>
      </c>
      <c r="AE145" s="41">
        <f>IF(OR($D$14&lt;=0,$D$17&lt;=0,A145&lt;$D$13,MIN(MAX((A145-$D$13+1)*12,0),$D$17*12)&gt;=$D$17*12),0,IF($D$16=0,MAX(MAX($D$14*(1-$D$15),0)-(IF($D$17&lt;=0,0,IF($D$16=0,MAX($D$14*(1-$D$15),0)/$D$17,-PMT($D$16/12,$D$17*12,MAX($D$14*(1-$D$15),0))*12))/12)*MIN(MAX((A145-$D$13+1)*12,0),$D$17*12),0),MAX(MAX($D$14*(1-$D$15),0)*(1+$D$16/12)^MIN(MAX((A145-$D$13+1)*12,0),$D$17*12)-(IF($D$17&lt;=0,0,IF($D$16=0,MAX($D$14*(1-$D$15),0)/$D$17,-PMT($D$16/12,$D$17*12,MAX($D$14*(1-$D$15),0))*12))/12)*(((1+$D$16/12)^MIN(MAX((A145-$D$13+1)*12,0),$D$17*12)-1)/($D$16/12)),0)))</f>
        <v/>
      </c>
      <c r="AF145" s="41">
        <f>MAX(AD145-AE145,0)</f>
        <v/>
      </c>
      <c r="AG145" s="96">
        <f>Y145+AF145</f>
        <v/>
      </c>
    </row>
    <row r="146" ht="18" customHeight="1" s="326">
      <c r="A146" s="93" t="n">
        <v>19</v>
      </c>
      <c r="B146" s="72">
        <f>IF(AND(C146&gt;0,A146&lt;=$D$11),"Working","Retired")</f>
        <v/>
      </c>
      <c r="C146" s="73">
        <f>N('Savings Projection'!$B$37)</f>
        <v/>
      </c>
      <c r="D146" s="43">
        <f>IF(B146="Working",C146*$D$6,0)</f>
        <v/>
      </c>
      <c r="E146" s="73">
        <f>IF(OR(B146="Retired",D146=0),0,MIN(D146,'Tax Assumptions'!$B$19))</f>
        <v/>
      </c>
      <c r="F146" s="73">
        <f>IF(B146="Working",N('Savings Projection'!$E$37),0)</f>
        <v/>
      </c>
      <c r="G146" s="73">
        <f>IF(B146="Working",N('Savings Projection'!$F$37),0)</f>
        <v/>
      </c>
      <c r="H146" s="43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/>
      </c>
      <c r="I146" s="43">
        <f>IF(B146="Working",D146-E146-F146-G146-H146,0)</f>
        <v/>
      </c>
      <c r="J146" s="73">
        <f>IF(B146="Working",N('Savings Projection'!$S$37)*$D$8,0)</f>
        <v/>
      </c>
      <c r="K146" s="73">
        <f>IF(B146="Working",N('Savings Projection'!$T$37)*$D$9,0)</f>
        <v/>
      </c>
      <c r="L146" s="43">
        <f>IF(B146="Working",MIN(MAX(I146-J146-K146-AB146-AC146,0),'Tax Assumptions'!$B$20),0)</f>
        <v/>
      </c>
      <c r="M146" s="43">
        <f>IF(B146="Working",I146-J146-K146-L146-AB146-AC146,0)</f>
        <v/>
      </c>
      <c r="N146" s="73">
        <f>IF(B146="Working",M146+L146+E146+F146,-P146)</f>
        <v/>
      </c>
      <c r="O146" s="73">
        <f>IF(B146="Retired",$D$12+AB146+AC146,0)</f>
        <v/>
      </c>
      <c r="P146" s="73">
        <f>Q146+R146+S146+T146</f>
        <v/>
      </c>
      <c r="Q146" s="73">
        <f>IF(B146="Retired",MIN(((U145)*(1+$D$10)+IF(B146="Working",M146,0)),O146),0)</f>
        <v/>
      </c>
      <c r="R146" s="73">
        <f>IF(B146="Retired",MIN(MAX(O146-Q146,0),((V145)*(1+$D$10)+IF(B146="Working",E146,0))),0)</f>
        <v/>
      </c>
      <c r="S146" s="73">
        <f>IF(B146="Retired",MIN(MAX(O146-Q146-R146,0),((W145)*(1+$D$10)+IF(B146="Working",L146,0))),0)</f>
        <v/>
      </c>
      <c r="T146" s="73">
        <f>IF(B146="Retired",MIN(MAX(O146-Q146-R146-S146,0),((X145)*(1+$D$10)+IF(B146="Working",F146,0))),0)</f>
        <v/>
      </c>
      <c r="U146" s="43">
        <f>MAX(((U145)*(1+$D$10)+IF(B146="Working",M146,0))-Q146,0)</f>
        <v/>
      </c>
      <c r="V146" s="43">
        <f>MAX(((V145)*(1+$D$10)+IF(B146="Working",E146,0))-R146,0)</f>
        <v/>
      </c>
      <c r="W146" s="43">
        <f>MAX(((W145)*(1+$D$10)+IF(B146="Working",L146,0))-S146,0)</f>
        <v/>
      </c>
      <c r="X146" s="43">
        <f>MAX(((X145)*(1+$D$10)+IF(B146="Working",F146,0))-T146,0)</f>
        <v/>
      </c>
      <c r="Y146" s="43">
        <f>U146+V146+W146+X146</f>
        <v/>
      </c>
      <c r="Z146" s="73">
        <f>IF(B146="Retired",MAX(O146-P146,0),0)</f>
        <v/>
      </c>
      <c r="AA146" s="74">
        <f>IF(B146="Working",IF(D146=0,0,N146/D146),0)</f>
        <v/>
      </c>
      <c r="AB146" s="43">
        <f>IF(AND($D$14&gt;0,A146=$D$13),$D$14*($D$15+$D$18),0)+IF(AND($D$14&gt;0,A146=$D$13),$D$24,0)</f>
        <v/>
      </c>
      <c r="AC146" s="43">
        <f>IF(OR($D$14&lt;=0,A146&lt;$D$13),0,IF(AND($D$14&gt;0,$D$17&gt;0,A146&gt;=$D$13,A146&lt;($D$13+$D$17)),IF($D$17&lt;=0,0,IF($D$16=0,MAX($D$14*(1-$D$15),0)/$D$17,-PMT($D$16/12,$D$17*12,MAX($D$14*(1-$D$15),0))*12)),0)+AD146*($D$19+$D$20+$D$21)+$D$22+$D$23)</f>
        <v/>
      </c>
      <c r="AD146" s="43">
        <f>IF(AND($D$14&gt;0,A146&gt;=$D$13),$D$14*(1+$D$25)^(A146-$D$13),0)</f>
        <v/>
      </c>
      <c r="AE146" s="43">
        <f>IF(OR($D$14&lt;=0,$D$17&lt;=0,A146&lt;$D$13,MIN(MAX((A146-$D$13+1)*12,0),$D$17*12)&gt;=$D$17*12),0,IF($D$16=0,MAX(MAX($D$14*(1-$D$15),0)-(IF($D$17&lt;=0,0,IF($D$16=0,MAX($D$14*(1-$D$15),0)/$D$17,-PMT($D$16/12,$D$17*12,MAX($D$14*(1-$D$15),0))*12))/12)*MIN(MAX((A146-$D$13+1)*12,0),$D$17*12),0),MAX(MAX($D$14*(1-$D$15),0)*(1+$D$16/12)^MIN(MAX((A146-$D$13+1)*12,0),$D$17*12)-(IF($D$17&lt;=0,0,IF($D$16=0,MAX($D$14*(1-$D$15),0)/$D$17,-PMT($D$16/12,$D$17*12,MAX($D$14*(1-$D$15),0))*12))/12)*(((1+$D$16/12)^MIN(MAX((A146-$D$13+1)*12,0),$D$17*12)-1)/($D$16/12)),0)))</f>
        <v/>
      </c>
      <c r="AF146" s="43">
        <f>MAX(AD146-AE146,0)</f>
        <v/>
      </c>
      <c r="AG146" s="94">
        <f>Y146+AF146</f>
        <v/>
      </c>
    </row>
    <row r="147" ht="18" customHeight="1" s="326">
      <c r="A147" s="95" t="n">
        <v>20</v>
      </c>
      <c r="B147" s="40">
        <f>IF(AND(C147&gt;0,A147&lt;=$D$11),"Working","Retired")</f>
        <v/>
      </c>
      <c r="C147" s="41">
        <f>N('Savings Projection'!$B$38)</f>
        <v/>
      </c>
      <c r="D147" s="41">
        <f>IF(B147="Working",C147*$D$6,0)</f>
        <v/>
      </c>
      <c r="E147" s="41">
        <f>IF(OR(B147="Retired",D147=0),0,MIN(D147,'Tax Assumptions'!$B$19))</f>
        <v/>
      </c>
      <c r="F147" s="41">
        <f>IF(B147="Working",N('Savings Projection'!$E$38),0)</f>
        <v/>
      </c>
      <c r="G147" s="41">
        <f>IF(B147="Working",N('Savings Projection'!$F$38),0)</f>
        <v/>
      </c>
      <c r="H147" s="41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/>
      </c>
      <c r="I147" s="41">
        <f>IF(B147="Working",D147-E147-F147-G147-H147,0)</f>
        <v/>
      </c>
      <c r="J147" s="41">
        <f>IF(B147="Working",N('Savings Projection'!$S$38)*$D$8,0)</f>
        <v/>
      </c>
      <c r="K147" s="41">
        <f>IF(B147="Working",N('Savings Projection'!$T$38)*$D$9,0)</f>
        <v/>
      </c>
      <c r="L147" s="41">
        <f>IF(B147="Working",MIN(MAX(I147-J147-K147-AB147-AC147,0),'Tax Assumptions'!$B$20),0)</f>
        <v/>
      </c>
      <c r="M147" s="41">
        <f>IF(B147="Working",I147-J147-K147-L147-AB147-AC147,0)</f>
        <v/>
      </c>
      <c r="N147" s="41">
        <f>IF(B147="Working",M147+L147+E147+F147,-P147)</f>
        <v/>
      </c>
      <c r="O147" s="41">
        <f>IF(B147="Retired",$D$12+AB147+AC147,0)</f>
        <v/>
      </c>
      <c r="P147" s="41">
        <f>Q147+R147+S147+T147</f>
        <v/>
      </c>
      <c r="Q147" s="41">
        <f>IF(B147="Retired",MIN(((U146)*(1+$D$10)+IF(B147="Working",M147,0)),O147),0)</f>
        <v/>
      </c>
      <c r="R147" s="41">
        <f>IF(B147="Retired",MIN(MAX(O147-Q147,0),((V146)*(1+$D$10)+IF(B147="Working",E147,0))),0)</f>
        <v/>
      </c>
      <c r="S147" s="41">
        <f>IF(B147="Retired",MIN(MAX(O147-Q147-R147,0),((W146)*(1+$D$10)+IF(B147="Working",L147,0))),0)</f>
        <v/>
      </c>
      <c r="T147" s="41">
        <f>IF(B147="Retired",MIN(MAX(O147-Q147-R147-S147,0),((X146)*(1+$D$10)+IF(B147="Working",F147,0))),0)</f>
        <v/>
      </c>
      <c r="U147" s="41">
        <f>MAX(((U146)*(1+$D$10)+IF(B147="Working",M147,0))-Q147,0)</f>
        <v/>
      </c>
      <c r="V147" s="41">
        <f>MAX(((V146)*(1+$D$10)+IF(B147="Working",E147,0))-R147,0)</f>
        <v/>
      </c>
      <c r="W147" s="41">
        <f>MAX(((W146)*(1+$D$10)+IF(B147="Working",L147,0))-S147,0)</f>
        <v/>
      </c>
      <c r="X147" s="41">
        <f>MAX(((X146)*(1+$D$10)+IF(B147="Working",F147,0))-T147,0)</f>
        <v/>
      </c>
      <c r="Y147" s="41">
        <f>U147+V147+W147+X147</f>
        <v/>
      </c>
      <c r="Z147" s="41">
        <f>IF(B147="Retired",MAX(O147-P147,0),0)</f>
        <v/>
      </c>
      <c r="AA147" s="44">
        <f>IF(B147="Working",IF(D147=0,0,N147/D147),0)</f>
        <v/>
      </c>
      <c r="AB147" s="41">
        <f>IF(AND($D$14&gt;0,A147=$D$13),$D$14*($D$15+$D$18),0)+IF(AND($D$14&gt;0,A147=$D$13),$D$24,0)</f>
        <v/>
      </c>
      <c r="AC147" s="41">
        <f>IF(OR($D$14&lt;=0,A147&lt;$D$13),0,IF(AND($D$14&gt;0,$D$17&gt;0,A147&gt;=$D$13,A147&lt;($D$13+$D$17)),IF($D$17&lt;=0,0,IF($D$16=0,MAX($D$14*(1-$D$15),0)/$D$17,-PMT($D$16/12,$D$17*12,MAX($D$14*(1-$D$15),0))*12)),0)+AD147*($D$19+$D$20+$D$21)+$D$22+$D$23)</f>
        <v/>
      </c>
      <c r="AD147" s="41">
        <f>IF(AND($D$14&gt;0,A147&gt;=$D$13),$D$14*(1+$D$25)^(A147-$D$13),0)</f>
        <v/>
      </c>
      <c r="AE147" s="41">
        <f>IF(OR($D$14&lt;=0,$D$17&lt;=0,A147&lt;$D$13,MIN(MAX((A147-$D$13+1)*12,0),$D$17*12)&gt;=$D$17*12),0,IF($D$16=0,MAX(MAX($D$14*(1-$D$15),0)-(IF($D$17&lt;=0,0,IF($D$16=0,MAX($D$14*(1-$D$15),0)/$D$17,-PMT($D$16/12,$D$17*12,MAX($D$14*(1-$D$15),0))*12))/12)*MIN(MAX((A147-$D$13+1)*12,0),$D$17*12),0),MAX(MAX($D$14*(1-$D$15),0)*(1+$D$16/12)^MIN(MAX((A147-$D$13+1)*12,0),$D$17*12)-(IF($D$17&lt;=0,0,IF($D$16=0,MAX($D$14*(1-$D$15),0)/$D$17,-PMT($D$16/12,$D$17*12,MAX($D$14*(1-$D$15),0))*12))/12)*(((1+$D$16/12)^MIN(MAX((A147-$D$13+1)*12,0),$D$17*12)-1)/($D$16/12)),0)))</f>
        <v/>
      </c>
      <c r="AF147" s="41">
        <f>MAX(AD147-AE147,0)</f>
        <v/>
      </c>
      <c r="AG147" s="96">
        <f>Y147+AF147</f>
        <v/>
      </c>
    </row>
    <row r="148" ht="18" customHeight="1" s="326">
      <c r="A148" s="93" t="n">
        <v>21</v>
      </c>
      <c r="B148" s="72">
        <f>IF(AND(C148&gt;0,A148&lt;=$D$11),"Working","Retired")</f>
        <v/>
      </c>
      <c r="C148" s="73">
        <f>N('Savings Projection'!$B$39)</f>
        <v/>
      </c>
      <c r="D148" s="43">
        <f>IF(B148="Working",C148*$D$6,0)</f>
        <v/>
      </c>
      <c r="E148" s="73">
        <f>IF(OR(B148="Retired",D148=0),0,MIN(D148,'Tax Assumptions'!$B$19))</f>
        <v/>
      </c>
      <c r="F148" s="73">
        <f>IF(B148="Working",N('Savings Projection'!$E$39),0)</f>
        <v/>
      </c>
      <c r="G148" s="73">
        <f>IF(B148="Working",N('Savings Projection'!$F$39),0)</f>
        <v/>
      </c>
      <c r="H148" s="43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/>
      </c>
      <c r="I148" s="43">
        <f>IF(B148="Working",D148-E148-F148-G148-H148,0)</f>
        <v/>
      </c>
      <c r="J148" s="73">
        <f>IF(B148="Working",N('Savings Projection'!$S$39)*$D$8,0)</f>
        <v/>
      </c>
      <c r="K148" s="73">
        <f>IF(B148="Working",N('Savings Projection'!$T$39)*$D$9,0)</f>
        <v/>
      </c>
      <c r="L148" s="43">
        <f>IF(B148="Working",MIN(MAX(I148-J148-K148-AB148-AC148,0),'Tax Assumptions'!$B$20),0)</f>
        <v/>
      </c>
      <c r="M148" s="43">
        <f>IF(B148="Working",I148-J148-K148-L148-AB148-AC148,0)</f>
        <v/>
      </c>
      <c r="N148" s="73">
        <f>IF(B148="Working",M148+L148+E148+F148,-P148)</f>
        <v/>
      </c>
      <c r="O148" s="73">
        <f>IF(B148="Retired",$D$12+AB148+AC148,0)</f>
        <v/>
      </c>
      <c r="P148" s="73">
        <f>Q148+R148+S148+T148</f>
        <v/>
      </c>
      <c r="Q148" s="73">
        <f>IF(B148="Retired",MIN(((U147)*(1+$D$10)+IF(B148="Working",M148,0)),O148),0)</f>
        <v/>
      </c>
      <c r="R148" s="73">
        <f>IF(B148="Retired",MIN(MAX(O148-Q148,0),((V147)*(1+$D$10)+IF(B148="Working",E148,0))),0)</f>
        <v/>
      </c>
      <c r="S148" s="73">
        <f>IF(B148="Retired",MIN(MAX(O148-Q148-R148,0),((W147)*(1+$D$10)+IF(B148="Working",L148,0))),0)</f>
        <v/>
      </c>
      <c r="T148" s="73">
        <f>IF(B148="Retired",MIN(MAX(O148-Q148-R148-S148,0),((X147)*(1+$D$10)+IF(B148="Working",F148,0))),0)</f>
        <v/>
      </c>
      <c r="U148" s="43">
        <f>MAX(((U147)*(1+$D$10)+IF(B148="Working",M148,0))-Q148,0)</f>
        <v/>
      </c>
      <c r="V148" s="43">
        <f>MAX(((V147)*(1+$D$10)+IF(B148="Working",E148,0))-R148,0)</f>
        <v/>
      </c>
      <c r="W148" s="43">
        <f>MAX(((W147)*(1+$D$10)+IF(B148="Working",L148,0))-S148,0)</f>
        <v/>
      </c>
      <c r="X148" s="43">
        <f>MAX(((X147)*(1+$D$10)+IF(B148="Working",F148,0))-T148,0)</f>
        <v/>
      </c>
      <c r="Y148" s="43">
        <f>U148+V148+W148+X148</f>
        <v/>
      </c>
      <c r="Z148" s="73">
        <f>IF(B148="Retired",MAX(O148-P148,0),0)</f>
        <v/>
      </c>
      <c r="AA148" s="74">
        <f>IF(B148="Working",IF(D148=0,0,N148/D148),0)</f>
        <v/>
      </c>
      <c r="AB148" s="43">
        <f>IF(AND($D$14&gt;0,A148=$D$13),$D$14*($D$15+$D$18),0)+IF(AND($D$14&gt;0,A148=$D$13),$D$24,0)</f>
        <v/>
      </c>
      <c r="AC148" s="43">
        <f>IF(OR($D$14&lt;=0,A148&lt;$D$13),0,IF(AND($D$14&gt;0,$D$17&gt;0,A148&gt;=$D$13,A148&lt;($D$13+$D$17)),IF($D$17&lt;=0,0,IF($D$16=0,MAX($D$14*(1-$D$15),0)/$D$17,-PMT($D$16/12,$D$17*12,MAX($D$14*(1-$D$15),0))*12)),0)+AD148*($D$19+$D$20+$D$21)+$D$22+$D$23)</f>
        <v/>
      </c>
      <c r="AD148" s="43">
        <f>IF(AND($D$14&gt;0,A148&gt;=$D$13),$D$14*(1+$D$25)^(A148-$D$13),0)</f>
        <v/>
      </c>
      <c r="AE148" s="43">
        <f>IF(OR($D$14&lt;=0,$D$17&lt;=0,A148&lt;$D$13,MIN(MAX((A148-$D$13+1)*12,0),$D$17*12)&gt;=$D$17*12),0,IF($D$16=0,MAX(MAX($D$14*(1-$D$15),0)-(IF($D$17&lt;=0,0,IF($D$16=0,MAX($D$14*(1-$D$15),0)/$D$17,-PMT($D$16/12,$D$17*12,MAX($D$14*(1-$D$15),0))*12))/12)*MIN(MAX((A148-$D$13+1)*12,0),$D$17*12),0),MAX(MAX($D$14*(1-$D$15),0)*(1+$D$16/12)^MIN(MAX((A148-$D$13+1)*12,0),$D$17*12)-(IF($D$17&lt;=0,0,IF($D$16=0,MAX($D$14*(1-$D$15),0)/$D$17,-PMT($D$16/12,$D$17*12,MAX($D$14*(1-$D$15),0))*12))/12)*(((1+$D$16/12)^MIN(MAX((A148-$D$13+1)*12,0),$D$17*12)-1)/($D$16/12)),0)))</f>
        <v/>
      </c>
      <c r="AF148" s="43">
        <f>MAX(AD148-AE148,0)</f>
        <v/>
      </c>
      <c r="AG148" s="94">
        <f>Y148+AF148</f>
        <v/>
      </c>
    </row>
    <row r="149" ht="18" customHeight="1" s="326">
      <c r="A149" s="95" t="n">
        <v>22</v>
      </c>
      <c r="B149" s="40">
        <f>IF(AND(C149&gt;0,A149&lt;=$D$11),"Working","Retired")</f>
        <v/>
      </c>
      <c r="C149" s="41">
        <f>N('Savings Projection'!$B$40)</f>
        <v/>
      </c>
      <c r="D149" s="41">
        <f>IF(B149="Working",C149*$D$6,0)</f>
        <v/>
      </c>
      <c r="E149" s="41">
        <f>IF(OR(B149="Retired",D149=0),0,MIN(D149,'Tax Assumptions'!$B$19))</f>
        <v/>
      </c>
      <c r="F149" s="41">
        <f>IF(B149="Working",N('Savings Projection'!$E$40),0)</f>
        <v/>
      </c>
      <c r="G149" s="41">
        <f>IF(B149="Working",N('Savings Projection'!$F$40),0)</f>
        <v/>
      </c>
      <c r="H149" s="41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/>
      </c>
      <c r="I149" s="41">
        <f>IF(B149="Working",D149-E149-F149-G149-H149,0)</f>
        <v/>
      </c>
      <c r="J149" s="41">
        <f>IF(B149="Working",N('Savings Projection'!$S$40)*$D$8,0)</f>
        <v/>
      </c>
      <c r="K149" s="41">
        <f>IF(B149="Working",N('Savings Projection'!$T$40)*$D$9,0)</f>
        <v/>
      </c>
      <c r="L149" s="41">
        <f>IF(B149="Working",MIN(MAX(I149-J149-K149-AB149-AC149,0),'Tax Assumptions'!$B$20),0)</f>
        <v/>
      </c>
      <c r="M149" s="41">
        <f>IF(B149="Working",I149-J149-K149-L149-AB149-AC149,0)</f>
        <v/>
      </c>
      <c r="N149" s="41">
        <f>IF(B149="Working",M149+L149+E149+F149,-P149)</f>
        <v/>
      </c>
      <c r="O149" s="41">
        <f>IF(B149="Retired",$D$12+AB149+AC149,0)</f>
        <v/>
      </c>
      <c r="P149" s="41">
        <f>Q149+R149+S149+T149</f>
        <v/>
      </c>
      <c r="Q149" s="41">
        <f>IF(B149="Retired",MIN(((U148)*(1+$D$10)+IF(B149="Working",M149,0)),O149),0)</f>
        <v/>
      </c>
      <c r="R149" s="41">
        <f>IF(B149="Retired",MIN(MAX(O149-Q149,0),((V148)*(1+$D$10)+IF(B149="Working",E149,0))),0)</f>
        <v/>
      </c>
      <c r="S149" s="41">
        <f>IF(B149="Retired",MIN(MAX(O149-Q149-R149,0),((W148)*(1+$D$10)+IF(B149="Working",L149,0))),0)</f>
        <v/>
      </c>
      <c r="T149" s="41">
        <f>IF(B149="Retired",MIN(MAX(O149-Q149-R149-S149,0),((X148)*(1+$D$10)+IF(B149="Working",F149,0))),0)</f>
        <v/>
      </c>
      <c r="U149" s="41">
        <f>MAX(((U148)*(1+$D$10)+IF(B149="Working",M149,0))-Q149,0)</f>
        <v/>
      </c>
      <c r="V149" s="41">
        <f>MAX(((V148)*(1+$D$10)+IF(B149="Working",E149,0))-R149,0)</f>
        <v/>
      </c>
      <c r="W149" s="41">
        <f>MAX(((W148)*(1+$D$10)+IF(B149="Working",L149,0))-S149,0)</f>
        <v/>
      </c>
      <c r="X149" s="41">
        <f>MAX(((X148)*(1+$D$10)+IF(B149="Working",F149,0))-T149,0)</f>
        <v/>
      </c>
      <c r="Y149" s="41">
        <f>U149+V149+W149+X149</f>
        <v/>
      </c>
      <c r="Z149" s="41">
        <f>IF(B149="Retired",MAX(O149-P149,0),0)</f>
        <v/>
      </c>
      <c r="AA149" s="44">
        <f>IF(B149="Working",IF(D149=0,0,N149/D149),0)</f>
        <v/>
      </c>
      <c r="AB149" s="41">
        <f>IF(AND($D$14&gt;0,A149=$D$13),$D$14*($D$15+$D$18),0)+IF(AND($D$14&gt;0,A149=$D$13),$D$24,0)</f>
        <v/>
      </c>
      <c r="AC149" s="41">
        <f>IF(OR($D$14&lt;=0,A149&lt;$D$13),0,IF(AND($D$14&gt;0,$D$17&gt;0,A149&gt;=$D$13,A149&lt;($D$13+$D$17)),IF($D$17&lt;=0,0,IF($D$16=0,MAX($D$14*(1-$D$15),0)/$D$17,-PMT($D$16/12,$D$17*12,MAX($D$14*(1-$D$15),0))*12)),0)+AD149*($D$19+$D$20+$D$21)+$D$22+$D$23)</f>
        <v/>
      </c>
      <c r="AD149" s="41">
        <f>IF(AND($D$14&gt;0,A149&gt;=$D$13),$D$14*(1+$D$25)^(A149-$D$13),0)</f>
        <v/>
      </c>
      <c r="AE149" s="41">
        <f>IF(OR($D$14&lt;=0,$D$17&lt;=0,A149&lt;$D$13,MIN(MAX((A149-$D$13+1)*12,0),$D$17*12)&gt;=$D$17*12),0,IF($D$16=0,MAX(MAX($D$14*(1-$D$15),0)-(IF($D$17&lt;=0,0,IF($D$16=0,MAX($D$14*(1-$D$15),0)/$D$17,-PMT($D$16/12,$D$17*12,MAX($D$14*(1-$D$15),0))*12))/12)*MIN(MAX((A149-$D$13+1)*12,0),$D$17*12),0),MAX(MAX($D$14*(1-$D$15),0)*(1+$D$16/12)^MIN(MAX((A149-$D$13+1)*12,0),$D$17*12)-(IF($D$17&lt;=0,0,IF($D$16=0,MAX($D$14*(1-$D$15),0)/$D$17,-PMT($D$16/12,$D$17*12,MAX($D$14*(1-$D$15),0))*12))/12)*(((1+$D$16/12)^MIN(MAX((A149-$D$13+1)*12,0),$D$17*12)-1)/($D$16/12)),0)))</f>
        <v/>
      </c>
      <c r="AF149" s="41">
        <f>MAX(AD149-AE149,0)</f>
        <v/>
      </c>
      <c r="AG149" s="96">
        <f>Y149+AF149</f>
        <v/>
      </c>
    </row>
    <row r="150" ht="18" customHeight="1" s="326">
      <c r="A150" s="93" t="n">
        <v>23</v>
      </c>
      <c r="B150" s="72">
        <f>IF(AND(C150&gt;0,A150&lt;=$D$11),"Working","Retired")</f>
        <v/>
      </c>
      <c r="C150" s="73">
        <f>N('Savings Projection'!$B$41)</f>
        <v/>
      </c>
      <c r="D150" s="43">
        <f>IF(B150="Working",C150*$D$6,0)</f>
        <v/>
      </c>
      <c r="E150" s="73">
        <f>IF(OR(B150="Retired",D150=0),0,MIN(D150,'Tax Assumptions'!$B$19))</f>
        <v/>
      </c>
      <c r="F150" s="73">
        <f>IF(B150="Working",N('Savings Projection'!$E$41),0)</f>
        <v/>
      </c>
      <c r="G150" s="73">
        <f>IF(B150="Working",N('Savings Projection'!$F$41),0)</f>
        <v/>
      </c>
      <c r="H150" s="43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/>
      </c>
      <c r="I150" s="43">
        <f>IF(B150="Working",D150-E150-F150-G150-H150,0)</f>
        <v/>
      </c>
      <c r="J150" s="73">
        <f>IF(B150="Working",N('Savings Projection'!$S$41)*$D$8,0)</f>
        <v/>
      </c>
      <c r="K150" s="73">
        <f>IF(B150="Working",N('Savings Projection'!$T$41)*$D$9,0)</f>
        <v/>
      </c>
      <c r="L150" s="43">
        <f>IF(B150="Working",MIN(MAX(I150-J150-K150-AB150-AC150,0),'Tax Assumptions'!$B$20),0)</f>
        <v/>
      </c>
      <c r="M150" s="43">
        <f>IF(B150="Working",I150-J150-K150-L150-AB150-AC150,0)</f>
        <v/>
      </c>
      <c r="N150" s="73">
        <f>IF(B150="Working",M150+L150+E150+F150,-P150)</f>
        <v/>
      </c>
      <c r="O150" s="73">
        <f>IF(B150="Retired",$D$12+AB150+AC150,0)</f>
        <v/>
      </c>
      <c r="P150" s="73">
        <f>Q150+R150+S150+T150</f>
        <v/>
      </c>
      <c r="Q150" s="73">
        <f>IF(B150="Retired",MIN(((U149)*(1+$D$10)+IF(B150="Working",M150,0)),O150),0)</f>
        <v/>
      </c>
      <c r="R150" s="73">
        <f>IF(B150="Retired",MIN(MAX(O150-Q150,0),((V149)*(1+$D$10)+IF(B150="Working",E150,0))),0)</f>
        <v/>
      </c>
      <c r="S150" s="73">
        <f>IF(B150="Retired",MIN(MAX(O150-Q150-R150,0),((W149)*(1+$D$10)+IF(B150="Working",L150,0))),0)</f>
        <v/>
      </c>
      <c r="T150" s="73">
        <f>IF(B150="Retired",MIN(MAX(O150-Q150-R150-S150,0),((X149)*(1+$D$10)+IF(B150="Working",F150,0))),0)</f>
        <v/>
      </c>
      <c r="U150" s="43">
        <f>MAX(((U149)*(1+$D$10)+IF(B150="Working",M150,0))-Q150,0)</f>
        <v/>
      </c>
      <c r="V150" s="43">
        <f>MAX(((V149)*(1+$D$10)+IF(B150="Working",E150,0))-R150,0)</f>
        <v/>
      </c>
      <c r="W150" s="43">
        <f>MAX(((W149)*(1+$D$10)+IF(B150="Working",L150,0))-S150,0)</f>
        <v/>
      </c>
      <c r="X150" s="43">
        <f>MAX(((X149)*(1+$D$10)+IF(B150="Working",F150,0))-T150,0)</f>
        <v/>
      </c>
      <c r="Y150" s="43">
        <f>U150+V150+W150+X150</f>
        <v/>
      </c>
      <c r="Z150" s="73">
        <f>IF(B150="Retired",MAX(O150-P150,0),0)</f>
        <v/>
      </c>
      <c r="AA150" s="74">
        <f>IF(B150="Working",IF(D150=0,0,N150/D150),0)</f>
        <v/>
      </c>
      <c r="AB150" s="43">
        <f>IF(AND($D$14&gt;0,A150=$D$13),$D$14*($D$15+$D$18),0)+IF(AND($D$14&gt;0,A150=$D$13),$D$24,0)</f>
        <v/>
      </c>
      <c r="AC150" s="43">
        <f>IF(OR($D$14&lt;=0,A150&lt;$D$13),0,IF(AND($D$14&gt;0,$D$17&gt;0,A150&gt;=$D$13,A150&lt;($D$13+$D$17)),IF($D$17&lt;=0,0,IF($D$16=0,MAX($D$14*(1-$D$15),0)/$D$17,-PMT($D$16/12,$D$17*12,MAX($D$14*(1-$D$15),0))*12)),0)+AD150*($D$19+$D$20+$D$21)+$D$22+$D$23)</f>
        <v/>
      </c>
      <c r="AD150" s="43">
        <f>IF(AND($D$14&gt;0,A150&gt;=$D$13),$D$14*(1+$D$25)^(A150-$D$13),0)</f>
        <v/>
      </c>
      <c r="AE150" s="43">
        <f>IF(OR($D$14&lt;=0,$D$17&lt;=0,A150&lt;$D$13,MIN(MAX((A150-$D$13+1)*12,0),$D$17*12)&gt;=$D$17*12),0,IF($D$16=0,MAX(MAX($D$14*(1-$D$15),0)-(IF($D$17&lt;=0,0,IF($D$16=0,MAX($D$14*(1-$D$15),0)/$D$17,-PMT($D$16/12,$D$17*12,MAX($D$14*(1-$D$15),0))*12))/12)*MIN(MAX((A150-$D$13+1)*12,0),$D$17*12),0),MAX(MAX($D$14*(1-$D$15),0)*(1+$D$16/12)^MIN(MAX((A150-$D$13+1)*12,0),$D$17*12)-(IF($D$17&lt;=0,0,IF($D$16=0,MAX($D$14*(1-$D$15),0)/$D$17,-PMT($D$16/12,$D$17*12,MAX($D$14*(1-$D$15),0))*12))/12)*(((1+$D$16/12)^MIN(MAX((A150-$D$13+1)*12,0),$D$17*12)-1)/($D$16/12)),0)))</f>
        <v/>
      </c>
      <c r="AF150" s="43">
        <f>MAX(AD150-AE150,0)</f>
        <v/>
      </c>
      <c r="AG150" s="94">
        <f>Y150+AF150</f>
        <v/>
      </c>
    </row>
    <row r="151" ht="18" customHeight="1" s="326">
      <c r="A151" s="95" t="n">
        <v>24</v>
      </c>
      <c r="B151" s="40">
        <f>IF(AND(C151&gt;0,A151&lt;=$D$11),"Working","Retired")</f>
        <v/>
      </c>
      <c r="C151" s="41">
        <f>N('Savings Projection'!$B$42)</f>
        <v/>
      </c>
      <c r="D151" s="41">
        <f>IF(B151="Working",C151*$D$6,0)</f>
        <v/>
      </c>
      <c r="E151" s="41">
        <f>IF(OR(B151="Retired",D151=0),0,MIN(D151,'Tax Assumptions'!$B$19))</f>
        <v/>
      </c>
      <c r="F151" s="41">
        <f>IF(B151="Working",N('Savings Projection'!$E$42),0)</f>
        <v/>
      </c>
      <c r="G151" s="41">
        <f>IF(B151="Working",N('Savings Projection'!$F$42),0)</f>
        <v/>
      </c>
      <c r="H151" s="41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/>
      </c>
      <c r="I151" s="41">
        <f>IF(B151="Working",D151-E151-F151-G151-H151,0)</f>
        <v/>
      </c>
      <c r="J151" s="41">
        <f>IF(B151="Working",N('Savings Projection'!$S$42)*$D$8,0)</f>
        <v/>
      </c>
      <c r="K151" s="41">
        <f>IF(B151="Working",N('Savings Projection'!$T$42)*$D$9,0)</f>
        <v/>
      </c>
      <c r="L151" s="41">
        <f>IF(B151="Working",MIN(MAX(I151-J151-K151-AB151-AC151,0),'Tax Assumptions'!$B$20),0)</f>
        <v/>
      </c>
      <c r="M151" s="41">
        <f>IF(B151="Working",I151-J151-K151-L151-AB151-AC151,0)</f>
        <v/>
      </c>
      <c r="N151" s="41">
        <f>IF(B151="Working",M151+L151+E151+F151,-P151)</f>
        <v/>
      </c>
      <c r="O151" s="41">
        <f>IF(B151="Retired",$D$12+AB151+AC151,0)</f>
        <v/>
      </c>
      <c r="P151" s="41">
        <f>Q151+R151+S151+T151</f>
        <v/>
      </c>
      <c r="Q151" s="41">
        <f>IF(B151="Retired",MIN(((U150)*(1+$D$10)+IF(B151="Working",M151,0)),O151),0)</f>
        <v/>
      </c>
      <c r="R151" s="41">
        <f>IF(B151="Retired",MIN(MAX(O151-Q151,0),((V150)*(1+$D$10)+IF(B151="Working",E151,0))),0)</f>
        <v/>
      </c>
      <c r="S151" s="41">
        <f>IF(B151="Retired",MIN(MAX(O151-Q151-R151,0),((W150)*(1+$D$10)+IF(B151="Working",L151,0))),0)</f>
        <v/>
      </c>
      <c r="T151" s="41">
        <f>IF(B151="Retired",MIN(MAX(O151-Q151-R151-S151,0),((X150)*(1+$D$10)+IF(B151="Working",F151,0))),0)</f>
        <v/>
      </c>
      <c r="U151" s="41">
        <f>MAX(((U150)*(1+$D$10)+IF(B151="Working",M151,0))-Q151,0)</f>
        <v/>
      </c>
      <c r="V151" s="41">
        <f>MAX(((V150)*(1+$D$10)+IF(B151="Working",E151,0))-R151,0)</f>
        <v/>
      </c>
      <c r="W151" s="41">
        <f>MAX(((W150)*(1+$D$10)+IF(B151="Working",L151,0))-S151,0)</f>
        <v/>
      </c>
      <c r="X151" s="41">
        <f>MAX(((X150)*(1+$D$10)+IF(B151="Working",F151,0))-T151,0)</f>
        <v/>
      </c>
      <c r="Y151" s="41">
        <f>U151+V151+W151+X151</f>
        <v/>
      </c>
      <c r="Z151" s="41">
        <f>IF(B151="Retired",MAX(O151-P151,0),0)</f>
        <v/>
      </c>
      <c r="AA151" s="44">
        <f>IF(B151="Working",IF(D151=0,0,N151/D151),0)</f>
        <v/>
      </c>
      <c r="AB151" s="41">
        <f>IF(AND($D$14&gt;0,A151=$D$13),$D$14*($D$15+$D$18),0)+IF(AND($D$14&gt;0,A151=$D$13),$D$24,0)</f>
        <v/>
      </c>
      <c r="AC151" s="41">
        <f>IF(OR($D$14&lt;=0,A151&lt;$D$13),0,IF(AND($D$14&gt;0,$D$17&gt;0,A151&gt;=$D$13,A151&lt;($D$13+$D$17)),IF($D$17&lt;=0,0,IF($D$16=0,MAX($D$14*(1-$D$15),0)/$D$17,-PMT($D$16/12,$D$17*12,MAX($D$14*(1-$D$15),0))*12)),0)+AD151*($D$19+$D$20+$D$21)+$D$22+$D$23)</f>
        <v/>
      </c>
      <c r="AD151" s="41">
        <f>IF(AND($D$14&gt;0,A151&gt;=$D$13),$D$14*(1+$D$25)^(A151-$D$13),0)</f>
        <v/>
      </c>
      <c r="AE151" s="41">
        <f>IF(OR($D$14&lt;=0,$D$17&lt;=0,A151&lt;$D$13,MIN(MAX((A151-$D$13+1)*12,0),$D$17*12)&gt;=$D$17*12),0,IF($D$16=0,MAX(MAX($D$14*(1-$D$15),0)-(IF($D$17&lt;=0,0,IF($D$16=0,MAX($D$14*(1-$D$15),0)/$D$17,-PMT($D$16/12,$D$17*12,MAX($D$14*(1-$D$15),0))*12))/12)*MIN(MAX((A151-$D$13+1)*12,0),$D$17*12),0),MAX(MAX($D$14*(1-$D$15),0)*(1+$D$16/12)^MIN(MAX((A151-$D$13+1)*12,0),$D$17*12)-(IF($D$17&lt;=0,0,IF($D$16=0,MAX($D$14*(1-$D$15),0)/$D$17,-PMT($D$16/12,$D$17*12,MAX($D$14*(1-$D$15),0))*12))/12)*(((1+$D$16/12)^MIN(MAX((A151-$D$13+1)*12,0),$D$17*12)-1)/($D$16/12)),0)))</f>
        <v/>
      </c>
      <c r="AF151" s="41">
        <f>MAX(AD151-AE151,0)</f>
        <v/>
      </c>
      <c r="AG151" s="96">
        <f>Y151+AF151</f>
        <v/>
      </c>
    </row>
    <row r="152" ht="18" customHeight="1" s="326">
      <c r="A152" s="93" t="n">
        <v>25</v>
      </c>
      <c r="B152" s="72">
        <f>IF(AND(C152&gt;0,A152&lt;=$D$11),"Working","Retired")</f>
        <v/>
      </c>
      <c r="C152" s="73">
        <f>N('Savings Projection'!$B$43)</f>
        <v/>
      </c>
      <c r="D152" s="43">
        <f>IF(B152="Working",C152*$D$6,0)</f>
        <v/>
      </c>
      <c r="E152" s="73">
        <f>IF(OR(B152="Retired",D152=0),0,MIN(D152,'Tax Assumptions'!$B$19))</f>
        <v/>
      </c>
      <c r="F152" s="73">
        <f>IF(B152="Working",N('Savings Projection'!$E$43),0)</f>
        <v/>
      </c>
      <c r="G152" s="73">
        <f>IF(B152="Working",N('Savings Projection'!$F$43),0)</f>
        <v/>
      </c>
      <c r="H152" s="43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/>
      </c>
      <c r="I152" s="43">
        <f>IF(B152="Working",D152-E152-F152-G152-H152,0)</f>
        <v/>
      </c>
      <c r="J152" s="73">
        <f>IF(B152="Working",N('Savings Projection'!$S$43)*$D$8,0)</f>
        <v/>
      </c>
      <c r="K152" s="73">
        <f>IF(B152="Working",N('Savings Projection'!$T$43)*$D$9,0)</f>
        <v/>
      </c>
      <c r="L152" s="43">
        <f>IF(B152="Working",MIN(MAX(I152-J152-K152-AB152-AC152,0),'Tax Assumptions'!$B$20),0)</f>
        <v/>
      </c>
      <c r="M152" s="43">
        <f>IF(B152="Working",I152-J152-K152-L152-AB152-AC152,0)</f>
        <v/>
      </c>
      <c r="N152" s="73">
        <f>IF(B152="Working",M152+L152+E152+F152,-P152)</f>
        <v/>
      </c>
      <c r="O152" s="73">
        <f>IF(B152="Retired",$D$12+AB152+AC152,0)</f>
        <v/>
      </c>
      <c r="P152" s="73">
        <f>Q152+R152+S152+T152</f>
        <v/>
      </c>
      <c r="Q152" s="73">
        <f>IF(B152="Retired",MIN(((U151)*(1+$D$10)+IF(B152="Working",M152,0)),O152),0)</f>
        <v/>
      </c>
      <c r="R152" s="73">
        <f>IF(B152="Retired",MIN(MAX(O152-Q152,0),((V151)*(1+$D$10)+IF(B152="Working",E152,0))),0)</f>
        <v/>
      </c>
      <c r="S152" s="73">
        <f>IF(B152="Retired",MIN(MAX(O152-Q152-R152,0),((W151)*(1+$D$10)+IF(B152="Working",L152,0))),0)</f>
        <v/>
      </c>
      <c r="T152" s="73">
        <f>IF(B152="Retired",MIN(MAX(O152-Q152-R152-S152,0),((X151)*(1+$D$10)+IF(B152="Working",F152,0))),0)</f>
        <v/>
      </c>
      <c r="U152" s="43">
        <f>MAX(((U151)*(1+$D$10)+IF(B152="Working",M152,0))-Q152,0)</f>
        <v/>
      </c>
      <c r="V152" s="43">
        <f>MAX(((V151)*(1+$D$10)+IF(B152="Working",E152,0))-R152,0)</f>
        <v/>
      </c>
      <c r="W152" s="43">
        <f>MAX(((W151)*(1+$D$10)+IF(B152="Working",L152,0))-S152,0)</f>
        <v/>
      </c>
      <c r="X152" s="43">
        <f>MAX(((X151)*(1+$D$10)+IF(B152="Working",F152,0))-T152,0)</f>
        <v/>
      </c>
      <c r="Y152" s="43">
        <f>U152+V152+W152+X152</f>
        <v/>
      </c>
      <c r="Z152" s="73">
        <f>IF(B152="Retired",MAX(O152-P152,0),0)</f>
        <v/>
      </c>
      <c r="AA152" s="74">
        <f>IF(B152="Working",IF(D152=0,0,N152/D152),0)</f>
        <v/>
      </c>
      <c r="AB152" s="43">
        <f>IF(AND($D$14&gt;0,A152=$D$13),$D$14*($D$15+$D$18),0)+IF(AND($D$14&gt;0,A152=$D$13),$D$24,0)</f>
        <v/>
      </c>
      <c r="AC152" s="43">
        <f>IF(OR($D$14&lt;=0,A152&lt;$D$13),0,IF(AND($D$14&gt;0,$D$17&gt;0,A152&gt;=$D$13,A152&lt;($D$13+$D$17)),IF($D$17&lt;=0,0,IF($D$16=0,MAX($D$14*(1-$D$15),0)/$D$17,-PMT($D$16/12,$D$17*12,MAX($D$14*(1-$D$15),0))*12)),0)+AD152*($D$19+$D$20+$D$21)+$D$22+$D$23)</f>
        <v/>
      </c>
      <c r="AD152" s="43">
        <f>IF(AND($D$14&gt;0,A152&gt;=$D$13),$D$14*(1+$D$25)^(A152-$D$13),0)</f>
        <v/>
      </c>
      <c r="AE152" s="43">
        <f>IF(OR($D$14&lt;=0,$D$17&lt;=0,A152&lt;$D$13,MIN(MAX((A152-$D$13+1)*12,0),$D$17*12)&gt;=$D$17*12),0,IF($D$16=0,MAX(MAX($D$14*(1-$D$15),0)-(IF($D$17&lt;=0,0,IF($D$16=0,MAX($D$14*(1-$D$15),0)/$D$17,-PMT($D$16/12,$D$17*12,MAX($D$14*(1-$D$15),0))*12))/12)*MIN(MAX((A152-$D$13+1)*12,0),$D$17*12),0),MAX(MAX($D$14*(1-$D$15),0)*(1+$D$16/12)^MIN(MAX((A152-$D$13+1)*12,0),$D$17*12)-(IF($D$17&lt;=0,0,IF($D$16=0,MAX($D$14*(1-$D$15),0)/$D$17,-PMT($D$16/12,$D$17*12,MAX($D$14*(1-$D$15),0))*12))/12)*(((1+$D$16/12)^MIN(MAX((A152-$D$13+1)*12,0),$D$17*12)-1)/($D$16/12)),0)))</f>
        <v/>
      </c>
      <c r="AF152" s="43">
        <f>MAX(AD152-AE152,0)</f>
        <v/>
      </c>
      <c r="AG152" s="94">
        <f>Y152+AF152</f>
        <v/>
      </c>
    </row>
    <row r="153" ht="18" customHeight="1" s="326">
      <c r="A153" s="95" t="n">
        <v>26</v>
      </c>
      <c r="B153" s="40">
        <f>IF(AND(C153&gt;0,A153&lt;=$D$11),"Working","Retired")</f>
        <v/>
      </c>
      <c r="C153" s="41">
        <f>N('Savings Projection'!$B$44)</f>
        <v/>
      </c>
      <c r="D153" s="41">
        <f>IF(B153="Working",C153*$D$6,0)</f>
        <v/>
      </c>
      <c r="E153" s="41">
        <f>IF(OR(B153="Retired",D153=0),0,MIN(D153,'Tax Assumptions'!$B$19))</f>
        <v/>
      </c>
      <c r="F153" s="41">
        <f>IF(B153="Working",N('Savings Projection'!$E$44),0)</f>
        <v/>
      </c>
      <c r="G153" s="41">
        <f>IF(B153="Working",N('Savings Projection'!$F$44),0)</f>
        <v/>
      </c>
      <c r="H153" s="41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/>
      </c>
      <c r="I153" s="41">
        <f>IF(B153="Working",D153-E153-F153-G153-H153,0)</f>
        <v/>
      </c>
      <c r="J153" s="41">
        <f>IF(B153="Working",N('Savings Projection'!$S$44)*$D$8,0)</f>
        <v/>
      </c>
      <c r="K153" s="41">
        <f>IF(B153="Working",N('Savings Projection'!$T$44)*$D$9,0)</f>
        <v/>
      </c>
      <c r="L153" s="41">
        <f>IF(B153="Working",MIN(MAX(I153-J153-K153-AB153-AC153,0),'Tax Assumptions'!$B$20),0)</f>
        <v/>
      </c>
      <c r="M153" s="41">
        <f>IF(B153="Working",I153-J153-K153-L153-AB153-AC153,0)</f>
        <v/>
      </c>
      <c r="N153" s="41">
        <f>IF(B153="Working",M153+L153+E153+F153,-P153)</f>
        <v/>
      </c>
      <c r="O153" s="41">
        <f>IF(B153="Retired",$D$12+AB153+AC153,0)</f>
        <v/>
      </c>
      <c r="P153" s="41">
        <f>Q153+R153+S153+T153</f>
        <v/>
      </c>
      <c r="Q153" s="41">
        <f>IF(B153="Retired",MIN(((U152)*(1+$D$10)+IF(B153="Working",M153,0)),O153),0)</f>
        <v/>
      </c>
      <c r="R153" s="41">
        <f>IF(B153="Retired",MIN(MAX(O153-Q153,0),((V152)*(1+$D$10)+IF(B153="Working",E153,0))),0)</f>
        <v/>
      </c>
      <c r="S153" s="41">
        <f>IF(B153="Retired",MIN(MAX(O153-Q153-R153,0),((W152)*(1+$D$10)+IF(B153="Working",L153,0))),0)</f>
        <v/>
      </c>
      <c r="T153" s="41">
        <f>IF(B153="Retired",MIN(MAX(O153-Q153-R153-S153,0),((X152)*(1+$D$10)+IF(B153="Working",F153,0))),0)</f>
        <v/>
      </c>
      <c r="U153" s="41">
        <f>MAX(((U152)*(1+$D$10)+IF(B153="Working",M153,0))-Q153,0)</f>
        <v/>
      </c>
      <c r="V153" s="41">
        <f>MAX(((V152)*(1+$D$10)+IF(B153="Working",E153,0))-R153,0)</f>
        <v/>
      </c>
      <c r="W153" s="41">
        <f>MAX(((W152)*(1+$D$10)+IF(B153="Working",L153,0))-S153,0)</f>
        <v/>
      </c>
      <c r="X153" s="41">
        <f>MAX(((X152)*(1+$D$10)+IF(B153="Working",F153,0))-T153,0)</f>
        <v/>
      </c>
      <c r="Y153" s="41">
        <f>U153+V153+W153+X153</f>
        <v/>
      </c>
      <c r="Z153" s="41">
        <f>IF(B153="Retired",MAX(O153-P153,0),0)</f>
        <v/>
      </c>
      <c r="AA153" s="44">
        <f>IF(B153="Working",IF(D153=0,0,N153/D153),0)</f>
        <v/>
      </c>
      <c r="AB153" s="41">
        <f>IF(AND($D$14&gt;0,A153=$D$13),$D$14*($D$15+$D$18),0)+IF(AND($D$14&gt;0,A153=$D$13),$D$24,0)</f>
        <v/>
      </c>
      <c r="AC153" s="41">
        <f>IF(OR($D$14&lt;=0,A153&lt;$D$13),0,IF(AND($D$14&gt;0,$D$17&gt;0,A153&gt;=$D$13,A153&lt;($D$13+$D$17)),IF($D$17&lt;=0,0,IF($D$16=0,MAX($D$14*(1-$D$15),0)/$D$17,-PMT($D$16/12,$D$17*12,MAX($D$14*(1-$D$15),0))*12)),0)+AD153*($D$19+$D$20+$D$21)+$D$22+$D$23)</f>
        <v/>
      </c>
      <c r="AD153" s="41">
        <f>IF(AND($D$14&gt;0,A153&gt;=$D$13),$D$14*(1+$D$25)^(A153-$D$13),0)</f>
        <v/>
      </c>
      <c r="AE153" s="41">
        <f>IF(OR($D$14&lt;=0,$D$17&lt;=0,A153&lt;$D$13,MIN(MAX((A153-$D$13+1)*12,0),$D$17*12)&gt;=$D$17*12),0,IF($D$16=0,MAX(MAX($D$14*(1-$D$15),0)-(IF($D$17&lt;=0,0,IF($D$16=0,MAX($D$14*(1-$D$15),0)/$D$17,-PMT($D$16/12,$D$17*12,MAX($D$14*(1-$D$15),0))*12))/12)*MIN(MAX((A153-$D$13+1)*12,0),$D$17*12),0),MAX(MAX($D$14*(1-$D$15),0)*(1+$D$16/12)^MIN(MAX((A153-$D$13+1)*12,0),$D$17*12)-(IF($D$17&lt;=0,0,IF($D$16=0,MAX($D$14*(1-$D$15),0)/$D$17,-PMT($D$16/12,$D$17*12,MAX($D$14*(1-$D$15),0))*12))/12)*(((1+$D$16/12)^MIN(MAX((A153-$D$13+1)*12,0),$D$17*12)-1)/($D$16/12)),0)))</f>
        <v/>
      </c>
      <c r="AF153" s="41">
        <f>MAX(AD153-AE153,0)</f>
        <v/>
      </c>
      <c r="AG153" s="96">
        <f>Y153+AF153</f>
        <v/>
      </c>
    </row>
    <row r="154" ht="18" customHeight="1" s="326">
      <c r="A154" s="93" t="n">
        <v>27</v>
      </c>
      <c r="B154" s="72">
        <f>IF(AND(C154&gt;0,A154&lt;=$D$11),"Working","Retired")</f>
        <v/>
      </c>
      <c r="C154" s="73">
        <f>N('Savings Projection'!$B$45)</f>
        <v/>
      </c>
      <c r="D154" s="43">
        <f>IF(B154="Working",C154*$D$6,0)</f>
        <v/>
      </c>
      <c r="E154" s="73">
        <f>IF(OR(B154="Retired",D154=0),0,MIN(D154,'Tax Assumptions'!$B$19))</f>
        <v/>
      </c>
      <c r="F154" s="73">
        <f>IF(B154="Working",N('Savings Projection'!$E$45),0)</f>
        <v/>
      </c>
      <c r="G154" s="73">
        <f>IF(B154="Working",N('Savings Projection'!$F$45),0)</f>
        <v/>
      </c>
      <c r="H154" s="43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/>
      </c>
      <c r="I154" s="43">
        <f>IF(B154="Working",D154-E154-F154-G154-H154,0)</f>
        <v/>
      </c>
      <c r="J154" s="73">
        <f>IF(B154="Working",N('Savings Projection'!$S$45)*$D$8,0)</f>
        <v/>
      </c>
      <c r="K154" s="73">
        <f>IF(B154="Working",N('Savings Projection'!$T$45)*$D$9,0)</f>
        <v/>
      </c>
      <c r="L154" s="43">
        <f>IF(B154="Working",MIN(MAX(I154-J154-K154-AB154-AC154,0),'Tax Assumptions'!$B$20),0)</f>
        <v/>
      </c>
      <c r="M154" s="43">
        <f>IF(B154="Working",I154-J154-K154-L154-AB154-AC154,0)</f>
        <v/>
      </c>
      <c r="N154" s="73">
        <f>IF(B154="Working",M154+L154+E154+F154,-P154)</f>
        <v/>
      </c>
      <c r="O154" s="73">
        <f>IF(B154="Retired",$D$12+AB154+AC154,0)</f>
        <v/>
      </c>
      <c r="P154" s="73">
        <f>Q154+R154+S154+T154</f>
        <v/>
      </c>
      <c r="Q154" s="73">
        <f>IF(B154="Retired",MIN(((U153)*(1+$D$10)+IF(B154="Working",M154,0)),O154),0)</f>
        <v/>
      </c>
      <c r="R154" s="73">
        <f>IF(B154="Retired",MIN(MAX(O154-Q154,0),((V153)*(1+$D$10)+IF(B154="Working",E154,0))),0)</f>
        <v/>
      </c>
      <c r="S154" s="73">
        <f>IF(B154="Retired",MIN(MAX(O154-Q154-R154,0),((W153)*(1+$D$10)+IF(B154="Working",L154,0))),0)</f>
        <v/>
      </c>
      <c r="T154" s="73">
        <f>IF(B154="Retired",MIN(MAX(O154-Q154-R154-S154,0),((X153)*(1+$D$10)+IF(B154="Working",F154,0))),0)</f>
        <v/>
      </c>
      <c r="U154" s="43">
        <f>MAX(((U153)*(1+$D$10)+IF(B154="Working",M154,0))-Q154,0)</f>
        <v/>
      </c>
      <c r="V154" s="43">
        <f>MAX(((V153)*(1+$D$10)+IF(B154="Working",E154,0))-R154,0)</f>
        <v/>
      </c>
      <c r="W154" s="43">
        <f>MAX(((W153)*(1+$D$10)+IF(B154="Working",L154,0))-S154,0)</f>
        <v/>
      </c>
      <c r="X154" s="43">
        <f>MAX(((X153)*(1+$D$10)+IF(B154="Working",F154,0))-T154,0)</f>
        <v/>
      </c>
      <c r="Y154" s="43">
        <f>U154+V154+W154+X154</f>
        <v/>
      </c>
      <c r="Z154" s="73">
        <f>IF(B154="Retired",MAX(O154-P154,0),0)</f>
        <v/>
      </c>
      <c r="AA154" s="74">
        <f>IF(B154="Working",IF(D154=0,0,N154/D154),0)</f>
        <v/>
      </c>
      <c r="AB154" s="43">
        <f>IF(AND($D$14&gt;0,A154=$D$13),$D$14*($D$15+$D$18),0)+IF(AND($D$14&gt;0,A154=$D$13),$D$24,0)</f>
        <v/>
      </c>
      <c r="AC154" s="43">
        <f>IF(OR($D$14&lt;=0,A154&lt;$D$13),0,IF(AND($D$14&gt;0,$D$17&gt;0,A154&gt;=$D$13,A154&lt;($D$13+$D$17)),IF($D$17&lt;=0,0,IF($D$16=0,MAX($D$14*(1-$D$15),0)/$D$17,-PMT($D$16/12,$D$17*12,MAX($D$14*(1-$D$15),0))*12)),0)+AD154*($D$19+$D$20+$D$21)+$D$22+$D$23)</f>
        <v/>
      </c>
      <c r="AD154" s="43">
        <f>IF(AND($D$14&gt;0,A154&gt;=$D$13),$D$14*(1+$D$25)^(A154-$D$13),0)</f>
        <v/>
      </c>
      <c r="AE154" s="43">
        <f>IF(OR($D$14&lt;=0,$D$17&lt;=0,A154&lt;$D$13,MIN(MAX((A154-$D$13+1)*12,0),$D$17*12)&gt;=$D$17*12),0,IF($D$16=0,MAX(MAX($D$14*(1-$D$15),0)-(IF($D$17&lt;=0,0,IF($D$16=0,MAX($D$14*(1-$D$15),0)/$D$17,-PMT($D$16/12,$D$17*12,MAX($D$14*(1-$D$15),0))*12))/12)*MIN(MAX((A154-$D$13+1)*12,0),$D$17*12),0),MAX(MAX($D$14*(1-$D$15),0)*(1+$D$16/12)^MIN(MAX((A154-$D$13+1)*12,0),$D$17*12)-(IF($D$17&lt;=0,0,IF($D$16=0,MAX($D$14*(1-$D$15),0)/$D$17,-PMT($D$16/12,$D$17*12,MAX($D$14*(1-$D$15),0))*12))/12)*(((1+$D$16/12)^MIN(MAX((A154-$D$13+1)*12,0),$D$17*12)-1)/($D$16/12)),0)))</f>
        <v/>
      </c>
      <c r="AF154" s="43">
        <f>MAX(AD154-AE154,0)</f>
        <v/>
      </c>
      <c r="AG154" s="94">
        <f>Y154+AF154</f>
        <v/>
      </c>
    </row>
    <row r="155" ht="18" customHeight="1" s="326">
      <c r="A155" s="95" t="n">
        <v>28</v>
      </c>
      <c r="B155" s="40">
        <f>IF(AND(C155&gt;0,A155&lt;=$D$11),"Working","Retired")</f>
        <v/>
      </c>
      <c r="C155" s="41">
        <f>N('Savings Projection'!$B$46)</f>
        <v/>
      </c>
      <c r="D155" s="41">
        <f>IF(B155="Working",C155*$D$6,0)</f>
        <v/>
      </c>
      <c r="E155" s="41">
        <f>IF(OR(B155="Retired",D155=0),0,MIN(D155,'Tax Assumptions'!$B$19))</f>
        <v/>
      </c>
      <c r="F155" s="41">
        <f>IF(B155="Working",N('Savings Projection'!$E$46),0)</f>
        <v/>
      </c>
      <c r="G155" s="41">
        <f>IF(B155="Working",N('Savings Projection'!$F$46),0)</f>
        <v/>
      </c>
      <c r="H155" s="41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/>
      </c>
      <c r="I155" s="41">
        <f>IF(B155="Working",D155-E155-F155-G155-H155,0)</f>
        <v/>
      </c>
      <c r="J155" s="41">
        <f>IF(B155="Working",N('Savings Projection'!$S$46)*$D$8,0)</f>
        <v/>
      </c>
      <c r="K155" s="41">
        <f>IF(B155="Working",N('Savings Projection'!$T$46)*$D$9,0)</f>
        <v/>
      </c>
      <c r="L155" s="41">
        <f>IF(B155="Working",MIN(MAX(I155-J155-K155-AB155-AC155,0),'Tax Assumptions'!$B$20),0)</f>
        <v/>
      </c>
      <c r="M155" s="41">
        <f>IF(B155="Working",I155-J155-K155-L155-AB155-AC155,0)</f>
        <v/>
      </c>
      <c r="N155" s="41">
        <f>IF(B155="Working",M155+L155+E155+F155,-P155)</f>
        <v/>
      </c>
      <c r="O155" s="41">
        <f>IF(B155="Retired",$D$12+AB155+AC155,0)</f>
        <v/>
      </c>
      <c r="P155" s="41">
        <f>Q155+R155+S155+T155</f>
        <v/>
      </c>
      <c r="Q155" s="41">
        <f>IF(B155="Retired",MIN(((U154)*(1+$D$10)+IF(B155="Working",M155,0)),O155),0)</f>
        <v/>
      </c>
      <c r="R155" s="41">
        <f>IF(B155="Retired",MIN(MAX(O155-Q155,0),((V154)*(1+$D$10)+IF(B155="Working",E155,0))),0)</f>
        <v/>
      </c>
      <c r="S155" s="41">
        <f>IF(B155="Retired",MIN(MAX(O155-Q155-R155,0),((W154)*(1+$D$10)+IF(B155="Working",L155,0))),0)</f>
        <v/>
      </c>
      <c r="T155" s="41">
        <f>IF(B155="Retired",MIN(MAX(O155-Q155-R155-S155,0),((X154)*(1+$D$10)+IF(B155="Working",F155,0))),0)</f>
        <v/>
      </c>
      <c r="U155" s="41">
        <f>MAX(((U154)*(1+$D$10)+IF(B155="Working",M155,0))-Q155,0)</f>
        <v/>
      </c>
      <c r="V155" s="41">
        <f>MAX(((V154)*(1+$D$10)+IF(B155="Working",E155,0))-R155,0)</f>
        <v/>
      </c>
      <c r="W155" s="41">
        <f>MAX(((W154)*(1+$D$10)+IF(B155="Working",L155,0))-S155,0)</f>
        <v/>
      </c>
      <c r="X155" s="41">
        <f>MAX(((X154)*(1+$D$10)+IF(B155="Working",F155,0))-T155,0)</f>
        <v/>
      </c>
      <c r="Y155" s="41">
        <f>U155+V155+W155+X155</f>
        <v/>
      </c>
      <c r="Z155" s="41">
        <f>IF(B155="Retired",MAX(O155-P155,0),0)</f>
        <v/>
      </c>
      <c r="AA155" s="44">
        <f>IF(B155="Working",IF(D155=0,0,N155/D155),0)</f>
        <v/>
      </c>
      <c r="AB155" s="41">
        <f>IF(AND($D$14&gt;0,A155=$D$13),$D$14*($D$15+$D$18),0)+IF(AND($D$14&gt;0,A155=$D$13),$D$24,0)</f>
        <v/>
      </c>
      <c r="AC155" s="41">
        <f>IF(OR($D$14&lt;=0,A155&lt;$D$13),0,IF(AND($D$14&gt;0,$D$17&gt;0,A155&gt;=$D$13,A155&lt;($D$13+$D$17)),IF($D$17&lt;=0,0,IF($D$16=0,MAX($D$14*(1-$D$15),0)/$D$17,-PMT($D$16/12,$D$17*12,MAX($D$14*(1-$D$15),0))*12)),0)+AD155*($D$19+$D$20+$D$21)+$D$22+$D$23)</f>
        <v/>
      </c>
      <c r="AD155" s="41">
        <f>IF(AND($D$14&gt;0,A155&gt;=$D$13),$D$14*(1+$D$25)^(A155-$D$13),0)</f>
        <v/>
      </c>
      <c r="AE155" s="41">
        <f>IF(OR($D$14&lt;=0,$D$17&lt;=0,A155&lt;$D$13,MIN(MAX((A155-$D$13+1)*12,0),$D$17*12)&gt;=$D$17*12),0,IF($D$16=0,MAX(MAX($D$14*(1-$D$15),0)-(IF($D$17&lt;=0,0,IF($D$16=0,MAX($D$14*(1-$D$15),0)/$D$17,-PMT($D$16/12,$D$17*12,MAX($D$14*(1-$D$15),0))*12))/12)*MIN(MAX((A155-$D$13+1)*12,0),$D$17*12),0),MAX(MAX($D$14*(1-$D$15),0)*(1+$D$16/12)^MIN(MAX((A155-$D$13+1)*12,0),$D$17*12)-(IF($D$17&lt;=0,0,IF($D$16=0,MAX($D$14*(1-$D$15),0)/$D$17,-PMT($D$16/12,$D$17*12,MAX($D$14*(1-$D$15),0))*12))/12)*(((1+$D$16/12)^MIN(MAX((A155-$D$13+1)*12,0),$D$17*12)-1)/($D$16/12)),0)))</f>
        <v/>
      </c>
      <c r="AF155" s="41">
        <f>MAX(AD155-AE155,0)</f>
        <v/>
      </c>
      <c r="AG155" s="96">
        <f>Y155+AF155</f>
        <v/>
      </c>
    </row>
    <row r="156" ht="18" customHeight="1" s="326">
      <c r="A156" s="93" t="n">
        <v>29</v>
      </c>
      <c r="B156" s="72">
        <f>IF(AND(C156&gt;0,A156&lt;=$D$11),"Working","Retired")</f>
        <v/>
      </c>
      <c r="C156" s="73">
        <f>N('Savings Projection'!$B$47)</f>
        <v/>
      </c>
      <c r="D156" s="43">
        <f>IF(B156="Working",C156*$D$6,0)</f>
        <v/>
      </c>
      <c r="E156" s="73">
        <f>IF(OR(B156="Retired",D156=0),0,MIN(D156,'Tax Assumptions'!$B$19))</f>
        <v/>
      </c>
      <c r="F156" s="73">
        <f>IF(B156="Working",N('Savings Projection'!$E$47),0)</f>
        <v/>
      </c>
      <c r="G156" s="73">
        <f>IF(B156="Working",N('Savings Projection'!$F$47),0)</f>
        <v/>
      </c>
      <c r="H156" s="43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/>
      </c>
      <c r="I156" s="43">
        <f>IF(B156="Working",D156-E156-F156-G156-H156,0)</f>
        <v/>
      </c>
      <c r="J156" s="73">
        <f>IF(B156="Working",N('Savings Projection'!$S$47)*$D$8,0)</f>
        <v/>
      </c>
      <c r="K156" s="73">
        <f>IF(B156="Working",N('Savings Projection'!$T$47)*$D$9,0)</f>
        <v/>
      </c>
      <c r="L156" s="43">
        <f>IF(B156="Working",MIN(MAX(I156-J156-K156-AB156-AC156,0),'Tax Assumptions'!$B$20),0)</f>
        <v/>
      </c>
      <c r="M156" s="43">
        <f>IF(B156="Working",I156-J156-K156-L156-AB156-AC156,0)</f>
        <v/>
      </c>
      <c r="N156" s="73">
        <f>IF(B156="Working",M156+L156+E156+F156,-P156)</f>
        <v/>
      </c>
      <c r="O156" s="73">
        <f>IF(B156="Retired",$D$12+AB156+AC156,0)</f>
        <v/>
      </c>
      <c r="P156" s="73">
        <f>Q156+R156+S156+T156</f>
        <v/>
      </c>
      <c r="Q156" s="73">
        <f>IF(B156="Retired",MIN(((U155)*(1+$D$10)+IF(B156="Working",M156,0)),O156),0)</f>
        <v/>
      </c>
      <c r="R156" s="73">
        <f>IF(B156="Retired",MIN(MAX(O156-Q156,0),((V155)*(1+$D$10)+IF(B156="Working",E156,0))),0)</f>
        <v/>
      </c>
      <c r="S156" s="73">
        <f>IF(B156="Retired",MIN(MAX(O156-Q156-R156,0),((W155)*(1+$D$10)+IF(B156="Working",L156,0))),0)</f>
        <v/>
      </c>
      <c r="T156" s="73">
        <f>IF(B156="Retired",MIN(MAX(O156-Q156-R156-S156,0),((X155)*(1+$D$10)+IF(B156="Working",F156,0))),0)</f>
        <v/>
      </c>
      <c r="U156" s="43">
        <f>MAX(((U155)*(1+$D$10)+IF(B156="Working",M156,0))-Q156,0)</f>
        <v/>
      </c>
      <c r="V156" s="43">
        <f>MAX(((V155)*(1+$D$10)+IF(B156="Working",E156,0))-R156,0)</f>
        <v/>
      </c>
      <c r="W156" s="43">
        <f>MAX(((W155)*(1+$D$10)+IF(B156="Working",L156,0))-S156,0)</f>
        <v/>
      </c>
      <c r="X156" s="43">
        <f>MAX(((X155)*(1+$D$10)+IF(B156="Working",F156,0))-T156,0)</f>
        <v/>
      </c>
      <c r="Y156" s="43">
        <f>U156+V156+W156+X156</f>
        <v/>
      </c>
      <c r="Z156" s="73">
        <f>IF(B156="Retired",MAX(O156-P156,0),0)</f>
        <v/>
      </c>
      <c r="AA156" s="74">
        <f>IF(B156="Working",IF(D156=0,0,N156/D156),0)</f>
        <v/>
      </c>
      <c r="AB156" s="43">
        <f>IF(AND($D$14&gt;0,A156=$D$13),$D$14*($D$15+$D$18),0)+IF(AND($D$14&gt;0,A156=$D$13),$D$24,0)</f>
        <v/>
      </c>
      <c r="AC156" s="43">
        <f>IF(OR($D$14&lt;=0,A156&lt;$D$13),0,IF(AND($D$14&gt;0,$D$17&gt;0,A156&gt;=$D$13,A156&lt;($D$13+$D$17)),IF($D$17&lt;=0,0,IF($D$16=0,MAX($D$14*(1-$D$15),0)/$D$17,-PMT($D$16/12,$D$17*12,MAX($D$14*(1-$D$15),0))*12)),0)+AD156*($D$19+$D$20+$D$21)+$D$22+$D$23)</f>
        <v/>
      </c>
      <c r="AD156" s="43">
        <f>IF(AND($D$14&gt;0,A156&gt;=$D$13),$D$14*(1+$D$25)^(A156-$D$13),0)</f>
        <v/>
      </c>
      <c r="AE156" s="43">
        <f>IF(OR($D$14&lt;=0,$D$17&lt;=0,A156&lt;$D$13,MIN(MAX((A156-$D$13+1)*12,0),$D$17*12)&gt;=$D$17*12),0,IF($D$16=0,MAX(MAX($D$14*(1-$D$15),0)-(IF($D$17&lt;=0,0,IF($D$16=0,MAX($D$14*(1-$D$15),0)/$D$17,-PMT($D$16/12,$D$17*12,MAX($D$14*(1-$D$15),0))*12))/12)*MIN(MAX((A156-$D$13+1)*12,0),$D$17*12),0),MAX(MAX($D$14*(1-$D$15),0)*(1+$D$16/12)^MIN(MAX((A156-$D$13+1)*12,0),$D$17*12)-(IF($D$17&lt;=0,0,IF($D$16=0,MAX($D$14*(1-$D$15),0)/$D$17,-PMT($D$16/12,$D$17*12,MAX($D$14*(1-$D$15),0))*12))/12)*(((1+$D$16/12)^MIN(MAX((A156-$D$13+1)*12,0),$D$17*12)-1)/($D$16/12)),0)))</f>
        <v/>
      </c>
      <c r="AF156" s="43">
        <f>MAX(AD156-AE156,0)</f>
        <v/>
      </c>
      <c r="AG156" s="94">
        <f>Y156+AF156</f>
        <v/>
      </c>
    </row>
    <row r="157" ht="18" customHeight="1" s="326">
      <c r="A157" s="95" t="n">
        <v>30</v>
      </c>
      <c r="B157" s="40">
        <f>IF(AND(C157&gt;0,A157&lt;=$D$11),"Working","Retired")</f>
        <v/>
      </c>
      <c r="C157" s="41">
        <f>N('Savings Projection'!$B$48)</f>
        <v/>
      </c>
      <c r="D157" s="41">
        <f>IF(B157="Working",C157*$D$6,0)</f>
        <v/>
      </c>
      <c r="E157" s="41">
        <f>IF(OR(B157="Retired",D157=0),0,MIN(D157,'Tax Assumptions'!$B$19))</f>
        <v/>
      </c>
      <c r="F157" s="41">
        <f>IF(B157="Working",N('Savings Projection'!$E$48),0)</f>
        <v/>
      </c>
      <c r="G157" s="41">
        <f>IF(B157="Working",N('Savings Projection'!$F$48),0)</f>
        <v/>
      </c>
      <c r="H157" s="41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/>
      </c>
      <c r="I157" s="41">
        <f>IF(B157="Working",D157-E157-F157-G157-H157,0)</f>
        <v/>
      </c>
      <c r="J157" s="41">
        <f>IF(B157="Working",N('Savings Projection'!$S$48)*$D$8,0)</f>
        <v/>
      </c>
      <c r="K157" s="41">
        <f>IF(B157="Working",N('Savings Projection'!$T$48)*$D$9,0)</f>
        <v/>
      </c>
      <c r="L157" s="41">
        <f>IF(B157="Working",MIN(MAX(I157-J157-K157-AB157-AC157,0),'Tax Assumptions'!$B$20),0)</f>
        <v/>
      </c>
      <c r="M157" s="41">
        <f>IF(B157="Working",I157-J157-K157-L157-AB157-AC157,0)</f>
        <v/>
      </c>
      <c r="N157" s="41">
        <f>IF(B157="Working",M157+L157+E157+F157,-P157)</f>
        <v/>
      </c>
      <c r="O157" s="41">
        <f>IF(B157="Retired",$D$12+AB157+AC157,0)</f>
        <v/>
      </c>
      <c r="P157" s="41">
        <f>Q157+R157+S157+T157</f>
        <v/>
      </c>
      <c r="Q157" s="41">
        <f>IF(B157="Retired",MIN(((U156)*(1+$D$10)+IF(B157="Working",M157,0)),O157),0)</f>
        <v/>
      </c>
      <c r="R157" s="41">
        <f>IF(B157="Retired",MIN(MAX(O157-Q157,0),((V156)*(1+$D$10)+IF(B157="Working",E157,0))),0)</f>
        <v/>
      </c>
      <c r="S157" s="41">
        <f>IF(B157="Retired",MIN(MAX(O157-Q157-R157,0),((W156)*(1+$D$10)+IF(B157="Working",L157,0))),0)</f>
        <v/>
      </c>
      <c r="T157" s="41">
        <f>IF(B157="Retired",MIN(MAX(O157-Q157-R157-S157,0),((X156)*(1+$D$10)+IF(B157="Working",F157,0))),0)</f>
        <v/>
      </c>
      <c r="U157" s="41">
        <f>MAX(((U156)*(1+$D$10)+IF(B157="Working",M157,0))-Q157,0)</f>
        <v/>
      </c>
      <c r="V157" s="41">
        <f>MAX(((V156)*(1+$D$10)+IF(B157="Working",E157,0))-R157,0)</f>
        <v/>
      </c>
      <c r="W157" s="41">
        <f>MAX(((W156)*(1+$D$10)+IF(B157="Working",L157,0))-S157,0)</f>
        <v/>
      </c>
      <c r="X157" s="41">
        <f>MAX(((X156)*(1+$D$10)+IF(B157="Working",F157,0))-T157,0)</f>
        <v/>
      </c>
      <c r="Y157" s="41">
        <f>U157+V157+W157+X157</f>
        <v/>
      </c>
      <c r="Z157" s="41">
        <f>IF(B157="Retired",MAX(O157-P157,0),0)</f>
        <v/>
      </c>
      <c r="AA157" s="44">
        <f>IF(B157="Working",IF(D157=0,0,N157/D157),0)</f>
        <v/>
      </c>
      <c r="AB157" s="41">
        <f>IF(AND($D$14&gt;0,A157=$D$13),$D$14*($D$15+$D$18),0)+IF(AND($D$14&gt;0,A157=$D$13),$D$24,0)</f>
        <v/>
      </c>
      <c r="AC157" s="41">
        <f>IF(OR($D$14&lt;=0,A157&lt;$D$13),0,IF(AND($D$14&gt;0,$D$17&gt;0,A157&gt;=$D$13,A157&lt;($D$13+$D$17)),IF($D$17&lt;=0,0,IF($D$16=0,MAX($D$14*(1-$D$15),0)/$D$17,-PMT($D$16/12,$D$17*12,MAX($D$14*(1-$D$15),0))*12)),0)+AD157*($D$19+$D$20+$D$21)+$D$22+$D$23)</f>
        <v/>
      </c>
      <c r="AD157" s="41">
        <f>IF(AND($D$14&gt;0,A157&gt;=$D$13),$D$14*(1+$D$25)^(A157-$D$13),0)</f>
        <v/>
      </c>
      <c r="AE157" s="41">
        <f>IF(OR($D$14&lt;=0,$D$17&lt;=0,A157&lt;$D$13,MIN(MAX((A157-$D$13+1)*12,0),$D$17*12)&gt;=$D$17*12),0,IF($D$16=0,MAX(MAX($D$14*(1-$D$15),0)-(IF($D$17&lt;=0,0,IF($D$16=0,MAX($D$14*(1-$D$15),0)/$D$17,-PMT($D$16/12,$D$17*12,MAX($D$14*(1-$D$15),0))*12))/12)*MIN(MAX((A157-$D$13+1)*12,0),$D$17*12),0),MAX(MAX($D$14*(1-$D$15),0)*(1+$D$16/12)^MIN(MAX((A157-$D$13+1)*12,0),$D$17*12)-(IF($D$17&lt;=0,0,IF($D$16=0,MAX($D$14*(1-$D$15),0)/$D$17,-PMT($D$16/12,$D$17*12,MAX($D$14*(1-$D$15),0))*12))/12)*(((1+$D$16/12)^MIN(MAX((A157-$D$13+1)*12,0),$D$17*12)-1)/($D$16/12)),0)))</f>
        <v/>
      </c>
      <c r="AF157" s="41">
        <f>MAX(AD157-AE157,0)</f>
        <v/>
      </c>
      <c r="AG157" s="96">
        <f>Y157+AF157</f>
        <v/>
      </c>
    </row>
    <row r="158" ht="18" customHeight="1" s="326">
      <c r="A158" s="93" t="n">
        <v>31</v>
      </c>
      <c r="B158" s="72">
        <f>IF(AND(C158&gt;0,A158&lt;=$D$11),"Working","Retired")</f>
        <v/>
      </c>
      <c r="C158" s="73">
        <f>N('Savings Projection'!$B$49)</f>
        <v/>
      </c>
      <c r="D158" s="43">
        <f>IF(B158="Working",C158*$D$6,0)</f>
        <v/>
      </c>
      <c r="E158" s="73">
        <f>IF(OR(B158="Retired",D158=0),0,MIN(D158,'Tax Assumptions'!$B$19))</f>
        <v/>
      </c>
      <c r="F158" s="73">
        <f>IF(B158="Working",N('Savings Projection'!$E$49),0)</f>
        <v/>
      </c>
      <c r="G158" s="73">
        <f>IF(B158="Working",N('Savings Projection'!$F$49),0)</f>
        <v/>
      </c>
      <c r="H158" s="43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/>
      </c>
      <c r="I158" s="43">
        <f>IF(B158="Working",D158-E158-F158-G158-H158,0)</f>
        <v/>
      </c>
      <c r="J158" s="73">
        <f>IF(B158="Working",N('Savings Projection'!$S$49)*$D$8,0)</f>
        <v/>
      </c>
      <c r="K158" s="73">
        <f>IF(B158="Working",N('Savings Projection'!$T$49)*$D$9,0)</f>
        <v/>
      </c>
      <c r="L158" s="43">
        <f>IF(B158="Working",MIN(MAX(I158-J158-K158-AB158-AC158,0),'Tax Assumptions'!$B$20),0)</f>
        <v/>
      </c>
      <c r="M158" s="43">
        <f>IF(B158="Working",I158-J158-K158-L158-AB158-AC158,0)</f>
        <v/>
      </c>
      <c r="N158" s="73">
        <f>IF(B158="Working",M158+L158+E158+F158,-P158)</f>
        <v/>
      </c>
      <c r="O158" s="73">
        <f>IF(B158="Retired",$D$12+AB158+AC158,0)</f>
        <v/>
      </c>
      <c r="P158" s="73">
        <f>Q158+R158+S158+T158</f>
        <v/>
      </c>
      <c r="Q158" s="73">
        <f>IF(B158="Retired",MIN(((U157)*(1+$D$10)+IF(B158="Working",M158,0)),O158),0)</f>
        <v/>
      </c>
      <c r="R158" s="73">
        <f>IF(B158="Retired",MIN(MAX(O158-Q158,0),((V157)*(1+$D$10)+IF(B158="Working",E158,0))),0)</f>
        <v/>
      </c>
      <c r="S158" s="73">
        <f>IF(B158="Retired",MIN(MAX(O158-Q158-R158,0),((W157)*(1+$D$10)+IF(B158="Working",L158,0))),0)</f>
        <v/>
      </c>
      <c r="T158" s="73">
        <f>IF(B158="Retired",MIN(MAX(O158-Q158-R158-S158,0),((X157)*(1+$D$10)+IF(B158="Working",F158,0))),0)</f>
        <v/>
      </c>
      <c r="U158" s="43">
        <f>MAX(((U157)*(1+$D$10)+IF(B158="Working",M158,0))-Q158,0)</f>
        <v/>
      </c>
      <c r="V158" s="43">
        <f>MAX(((V157)*(1+$D$10)+IF(B158="Working",E158,0))-R158,0)</f>
        <v/>
      </c>
      <c r="W158" s="43">
        <f>MAX(((W157)*(1+$D$10)+IF(B158="Working",L158,0))-S158,0)</f>
        <v/>
      </c>
      <c r="X158" s="43">
        <f>MAX(((X157)*(1+$D$10)+IF(B158="Working",F158,0))-T158,0)</f>
        <v/>
      </c>
      <c r="Y158" s="43">
        <f>U158+V158+W158+X158</f>
        <v/>
      </c>
      <c r="Z158" s="73">
        <f>IF(B158="Retired",MAX(O158-P158,0),0)</f>
        <v/>
      </c>
      <c r="AA158" s="74">
        <f>IF(B158="Working",IF(D158=0,0,N158/D158),0)</f>
        <v/>
      </c>
      <c r="AB158" s="43">
        <f>IF(AND($D$14&gt;0,A158=$D$13),$D$14*($D$15+$D$18),0)+IF(AND($D$14&gt;0,A158=$D$13),$D$24,0)</f>
        <v/>
      </c>
      <c r="AC158" s="43">
        <f>IF(OR($D$14&lt;=0,A158&lt;$D$13),0,IF(AND($D$14&gt;0,$D$17&gt;0,A158&gt;=$D$13,A158&lt;($D$13+$D$17)),IF($D$17&lt;=0,0,IF($D$16=0,MAX($D$14*(1-$D$15),0)/$D$17,-PMT($D$16/12,$D$17*12,MAX($D$14*(1-$D$15),0))*12)),0)+AD158*($D$19+$D$20+$D$21)+$D$22+$D$23)</f>
        <v/>
      </c>
      <c r="AD158" s="43">
        <f>IF(AND($D$14&gt;0,A158&gt;=$D$13),$D$14*(1+$D$25)^(A158-$D$13),0)</f>
        <v/>
      </c>
      <c r="AE158" s="43">
        <f>IF(OR($D$14&lt;=0,$D$17&lt;=0,A158&lt;$D$13,MIN(MAX((A158-$D$13+1)*12,0),$D$17*12)&gt;=$D$17*12),0,IF($D$16=0,MAX(MAX($D$14*(1-$D$15),0)-(IF($D$17&lt;=0,0,IF($D$16=0,MAX($D$14*(1-$D$15),0)/$D$17,-PMT($D$16/12,$D$17*12,MAX($D$14*(1-$D$15),0))*12))/12)*MIN(MAX((A158-$D$13+1)*12,0),$D$17*12),0),MAX(MAX($D$14*(1-$D$15),0)*(1+$D$16/12)^MIN(MAX((A158-$D$13+1)*12,0),$D$17*12)-(IF($D$17&lt;=0,0,IF($D$16=0,MAX($D$14*(1-$D$15),0)/$D$17,-PMT($D$16/12,$D$17*12,MAX($D$14*(1-$D$15),0))*12))/12)*(((1+$D$16/12)^MIN(MAX((A158-$D$13+1)*12,0),$D$17*12)-1)/($D$16/12)),0)))</f>
        <v/>
      </c>
      <c r="AF158" s="43">
        <f>MAX(AD158-AE158,0)</f>
        <v/>
      </c>
      <c r="AG158" s="94">
        <f>Y158+AF158</f>
        <v/>
      </c>
    </row>
    <row r="159" ht="18" customHeight="1" s="326">
      <c r="A159" s="95" t="n">
        <v>32</v>
      </c>
      <c r="B159" s="40">
        <f>IF(AND(C159&gt;0,A159&lt;=$D$11),"Working","Retired")</f>
        <v/>
      </c>
      <c r="C159" s="41">
        <f>N('Savings Projection'!$B$50)</f>
        <v/>
      </c>
      <c r="D159" s="41">
        <f>IF(B159="Working",C159*$D$6,0)</f>
        <v/>
      </c>
      <c r="E159" s="41">
        <f>IF(OR(B159="Retired",D159=0),0,MIN(D159,'Tax Assumptions'!$B$19))</f>
        <v/>
      </c>
      <c r="F159" s="41">
        <f>IF(B159="Working",N('Savings Projection'!$E$50),0)</f>
        <v/>
      </c>
      <c r="G159" s="41">
        <f>IF(B159="Working",N('Savings Projection'!$F$50),0)</f>
        <v/>
      </c>
      <c r="H159" s="41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/>
      </c>
      <c r="I159" s="41">
        <f>IF(B159="Working",D159-E159-F159-G159-H159,0)</f>
        <v/>
      </c>
      <c r="J159" s="41">
        <f>IF(B159="Working",N('Savings Projection'!$S$50)*$D$8,0)</f>
        <v/>
      </c>
      <c r="K159" s="41">
        <f>IF(B159="Working",N('Savings Projection'!$T$50)*$D$9,0)</f>
        <v/>
      </c>
      <c r="L159" s="41">
        <f>IF(B159="Working",MIN(MAX(I159-J159-K159-AB159-AC159,0),'Tax Assumptions'!$B$20),0)</f>
        <v/>
      </c>
      <c r="M159" s="41">
        <f>IF(B159="Working",I159-J159-K159-L159-AB159-AC159,0)</f>
        <v/>
      </c>
      <c r="N159" s="41">
        <f>IF(B159="Working",M159+L159+E159+F159,-P159)</f>
        <v/>
      </c>
      <c r="O159" s="41">
        <f>IF(B159="Retired",$D$12+AB159+AC159,0)</f>
        <v/>
      </c>
      <c r="P159" s="41">
        <f>Q159+R159+S159+T159</f>
        <v/>
      </c>
      <c r="Q159" s="41">
        <f>IF(B159="Retired",MIN(((U158)*(1+$D$10)+IF(B159="Working",M159,0)),O159),0)</f>
        <v/>
      </c>
      <c r="R159" s="41">
        <f>IF(B159="Retired",MIN(MAX(O159-Q159,0),((V158)*(1+$D$10)+IF(B159="Working",E159,0))),0)</f>
        <v/>
      </c>
      <c r="S159" s="41">
        <f>IF(B159="Retired",MIN(MAX(O159-Q159-R159,0),((W158)*(1+$D$10)+IF(B159="Working",L159,0))),0)</f>
        <v/>
      </c>
      <c r="T159" s="41">
        <f>IF(B159="Retired",MIN(MAX(O159-Q159-R159-S159,0),((X158)*(1+$D$10)+IF(B159="Working",F159,0))),0)</f>
        <v/>
      </c>
      <c r="U159" s="41">
        <f>MAX(((U158)*(1+$D$10)+IF(B159="Working",M159,0))-Q159,0)</f>
        <v/>
      </c>
      <c r="V159" s="41">
        <f>MAX(((V158)*(1+$D$10)+IF(B159="Working",E159,0))-R159,0)</f>
        <v/>
      </c>
      <c r="W159" s="41">
        <f>MAX(((W158)*(1+$D$10)+IF(B159="Working",L159,0))-S159,0)</f>
        <v/>
      </c>
      <c r="X159" s="41">
        <f>MAX(((X158)*(1+$D$10)+IF(B159="Working",F159,0))-T159,0)</f>
        <v/>
      </c>
      <c r="Y159" s="41">
        <f>U159+V159+W159+X159</f>
        <v/>
      </c>
      <c r="Z159" s="41">
        <f>IF(B159="Retired",MAX(O159-P159,0),0)</f>
        <v/>
      </c>
      <c r="AA159" s="44">
        <f>IF(B159="Working",IF(D159=0,0,N159/D159),0)</f>
        <v/>
      </c>
      <c r="AB159" s="41">
        <f>IF(AND($D$14&gt;0,A159=$D$13),$D$14*($D$15+$D$18),0)+IF(AND($D$14&gt;0,A159=$D$13),$D$24,0)</f>
        <v/>
      </c>
      <c r="AC159" s="41">
        <f>IF(OR($D$14&lt;=0,A159&lt;$D$13),0,IF(AND($D$14&gt;0,$D$17&gt;0,A159&gt;=$D$13,A159&lt;($D$13+$D$17)),IF($D$17&lt;=0,0,IF($D$16=0,MAX($D$14*(1-$D$15),0)/$D$17,-PMT($D$16/12,$D$17*12,MAX($D$14*(1-$D$15),0))*12)),0)+AD159*($D$19+$D$20+$D$21)+$D$22+$D$23)</f>
        <v/>
      </c>
      <c r="AD159" s="41">
        <f>IF(AND($D$14&gt;0,A159&gt;=$D$13),$D$14*(1+$D$25)^(A159-$D$13),0)</f>
        <v/>
      </c>
      <c r="AE159" s="41">
        <f>IF(OR($D$14&lt;=0,$D$17&lt;=0,A159&lt;$D$13,MIN(MAX((A159-$D$13+1)*12,0),$D$17*12)&gt;=$D$17*12),0,IF($D$16=0,MAX(MAX($D$14*(1-$D$15),0)-(IF($D$17&lt;=0,0,IF($D$16=0,MAX($D$14*(1-$D$15),0)/$D$17,-PMT($D$16/12,$D$17*12,MAX($D$14*(1-$D$15),0))*12))/12)*MIN(MAX((A159-$D$13+1)*12,0),$D$17*12),0),MAX(MAX($D$14*(1-$D$15),0)*(1+$D$16/12)^MIN(MAX((A159-$D$13+1)*12,0),$D$17*12)-(IF($D$17&lt;=0,0,IF($D$16=0,MAX($D$14*(1-$D$15),0)/$D$17,-PMT($D$16/12,$D$17*12,MAX($D$14*(1-$D$15),0))*12))/12)*(((1+$D$16/12)^MIN(MAX((A159-$D$13+1)*12,0),$D$17*12)-1)/($D$16/12)),0)))</f>
        <v/>
      </c>
      <c r="AF159" s="41">
        <f>MAX(AD159-AE159,0)</f>
        <v/>
      </c>
      <c r="AG159" s="96">
        <f>Y159+AF159</f>
        <v/>
      </c>
    </row>
    <row r="160" ht="18" customHeight="1" s="326">
      <c r="A160" s="93" t="n">
        <v>33</v>
      </c>
      <c r="B160" s="72">
        <f>IF(AND(C160&gt;0,A160&lt;=$D$11),"Working","Retired")</f>
        <v/>
      </c>
      <c r="C160" s="73">
        <f>N('Savings Projection'!$B$51)</f>
        <v/>
      </c>
      <c r="D160" s="43">
        <f>IF(B160="Working",C160*$D$6,0)</f>
        <v/>
      </c>
      <c r="E160" s="73">
        <f>IF(OR(B160="Retired",D160=0),0,MIN(D160,'Tax Assumptions'!$B$19))</f>
        <v/>
      </c>
      <c r="F160" s="73">
        <f>IF(B160="Working",N('Savings Projection'!$E$51),0)</f>
        <v/>
      </c>
      <c r="G160" s="73">
        <f>IF(B160="Working",N('Savings Projection'!$F$51),0)</f>
        <v/>
      </c>
      <c r="H160" s="43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/>
      </c>
      <c r="I160" s="43">
        <f>IF(B160="Working",D160-E160-F160-G160-H160,0)</f>
        <v/>
      </c>
      <c r="J160" s="73">
        <f>IF(B160="Working",N('Savings Projection'!$S$51)*$D$8,0)</f>
        <v/>
      </c>
      <c r="K160" s="73">
        <f>IF(B160="Working",N('Savings Projection'!$T$51)*$D$9,0)</f>
        <v/>
      </c>
      <c r="L160" s="43">
        <f>IF(B160="Working",MIN(MAX(I160-J160-K160-AB160-AC160,0),'Tax Assumptions'!$B$20),0)</f>
        <v/>
      </c>
      <c r="M160" s="43">
        <f>IF(B160="Working",I160-J160-K160-L160-AB160-AC160,0)</f>
        <v/>
      </c>
      <c r="N160" s="73">
        <f>IF(B160="Working",M160+L160+E160+F160,-P160)</f>
        <v/>
      </c>
      <c r="O160" s="73">
        <f>IF(B160="Retired",$D$12+AB160+AC160,0)</f>
        <v/>
      </c>
      <c r="P160" s="73">
        <f>Q160+R160+S160+T160</f>
        <v/>
      </c>
      <c r="Q160" s="73">
        <f>IF(B160="Retired",MIN(((U159)*(1+$D$10)+IF(B160="Working",M160,0)),O160),0)</f>
        <v/>
      </c>
      <c r="R160" s="73">
        <f>IF(B160="Retired",MIN(MAX(O160-Q160,0),((V159)*(1+$D$10)+IF(B160="Working",E160,0))),0)</f>
        <v/>
      </c>
      <c r="S160" s="73">
        <f>IF(B160="Retired",MIN(MAX(O160-Q160-R160,0),((W159)*(1+$D$10)+IF(B160="Working",L160,0))),0)</f>
        <v/>
      </c>
      <c r="T160" s="73">
        <f>IF(B160="Retired",MIN(MAX(O160-Q160-R160-S160,0),((X159)*(1+$D$10)+IF(B160="Working",F160,0))),0)</f>
        <v/>
      </c>
      <c r="U160" s="43">
        <f>MAX(((U159)*(1+$D$10)+IF(B160="Working",M160,0))-Q160,0)</f>
        <v/>
      </c>
      <c r="V160" s="43">
        <f>MAX(((V159)*(1+$D$10)+IF(B160="Working",E160,0))-R160,0)</f>
        <v/>
      </c>
      <c r="W160" s="43">
        <f>MAX(((W159)*(1+$D$10)+IF(B160="Working",L160,0))-S160,0)</f>
        <v/>
      </c>
      <c r="X160" s="43">
        <f>MAX(((X159)*(1+$D$10)+IF(B160="Working",F160,0))-T160,0)</f>
        <v/>
      </c>
      <c r="Y160" s="43">
        <f>U160+V160+W160+X160</f>
        <v/>
      </c>
      <c r="Z160" s="73">
        <f>IF(B160="Retired",MAX(O160-P160,0),0)</f>
        <v/>
      </c>
      <c r="AA160" s="74">
        <f>IF(B160="Working",IF(D160=0,0,N160/D160),0)</f>
        <v/>
      </c>
      <c r="AB160" s="43">
        <f>IF(AND($D$14&gt;0,A160=$D$13),$D$14*($D$15+$D$18),0)+IF(AND($D$14&gt;0,A160=$D$13),$D$24,0)</f>
        <v/>
      </c>
      <c r="AC160" s="43">
        <f>IF(OR($D$14&lt;=0,A160&lt;$D$13),0,IF(AND($D$14&gt;0,$D$17&gt;0,A160&gt;=$D$13,A160&lt;($D$13+$D$17)),IF($D$17&lt;=0,0,IF($D$16=0,MAX($D$14*(1-$D$15),0)/$D$17,-PMT($D$16/12,$D$17*12,MAX($D$14*(1-$D$15),0))*12)),0)+AD160*($D$19+$D$20+$D$21)+$D$22+$D$23)</f>
        <v/>
      </c>
      <c r="AD160" s="43">
        <f>IF(AND($D$14&gt;0,A160&gt;=$D$13),$D$14*(1+$D$25)^(A160-$D$13),0)</f>
        <v/>
      </c>
      <c r="AE160" s="43">
        <f>IF(OR($D$14&lt;=0,$D$17&lt;=0,A160&lt;$D$13,MIN(MAX((A160-$D$13+1)*12,0),$D$17*12)&gt;=$D$17*12),0,IF($D$16=0,MAX(MAX($D$14*(1-$D$15),0)-(IF($D$17&lt;=0,0,IF($D$16=0,MAX($D$14*(1-$D$15),0)/$D$17,-PMT($D$16/12,$D$17*12,MAX($D$14*(1-$D$15),0))*12))/12)*MIN(MAX((A160-$D$13+1)*12,0),$D$17*12),0),MAX(MAX($D$14*(1-$D$15),0)*(1+$D$16/12)^MIN(MAX((A160-$D$13+1)*12,0),$D$17*12)-(IF($D$17&lt;=0,0,IF($D$16=0,MAX($D$14*(1-$D$15),0)/$D$17,-PMT($D$16/12,$D$17*12,MAX($D$14*(1-$D$15),0))*12))/12)*(((1+$D$16/12)^MIN(MAX((A160-$D$13+1)*12,0),$D$17*12)-1)/($D$16/12)),0)))</f>
        <v/>
      </c>
      <c r="AF160" s="43">
        <f>MAX(AD160-AE160,0)</f>
        <v/>
      </c>
      <c r="AG160" s="94">
        <f>Y160+AF160</f>
        <v/>
      </c>
    </row>
    <row r="161" ht="18" customHeight="1" s="326">
      <c r="A161" s="95" t="n">
        <v>34</v>
      </c>
      <c r="B161" s="40">
        <f>IF(AND(C161&gt;0,A161&lt;=$D$11),"Working","Retired")</f>
        <v/>
      </c>
      <c r="C161" s="41">
        <f>N('Savings Projection'!$B$52)</f>
        <v/>
      </c>
      <c r="D161" s="41">
        <f>IF(B161="Working",C161*$D$6,0)</f>
        <v/>
      </c>
      <c r="E161" s="41">
        <f>IF(OR(B161="Retired",D161=0),0,MIN(D161,'Tax Assumptions'!$B$19))</f>
        <v/>
      </c>
      <c r="F161" s="41">
        <f>IF(B161="Working",N('Savings Projection'!$E$52),0)</f>
        <v/>
      </c>
      <c r="G161" s="41">
        <f>IF(B161="Working",N('Savings Projection'!$F$52),0)</f>
        <v/>
      </c>
      <c r="H161" s="41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/>
      </c>
      <c r="I161" s="41">
        <f>IF(B161="Working",D161-E161-F161-G161-H161,0)</f>
        <v/>
      </c>
      <c r="J161" s="41">
        <f>IF(B161="Working",N('Savings Projection'!$S$52)*$D$8,0)</f>
        <v/>
      </c>
      <c r="K161" s="41">
        <f>IF(B161="Working",N('Savings Projection'!$T$52)*$D$9,0)</f>
        <v/>
      </c>
      <c r="L161" s="41">
        <f>IF(B161="Working",MIN(MAX(I161-J161-K161-AB161-AC161,0),'Tax Assumptions'!$B$20),0)</f>
        <v/>
      </c>
      <c r="M161" s="41">
        <f>IF(B161="Working",I161-J161-K161-L161-AB161-AC161,0)</f>
        <v/>
      </c>
      <c r="N161" s="41">
        <f>IF(B161="Working",M161+L161+E161+F161,-P161)</f>
        <v/>
      </c>
      <c r="O161" s="41">
        <f>IF(B161="Retired",$D$12+AB161+AC161,0)</f>
        <v/>
      </c>
      <c r="P161" s="41">
        <f>Q161+R161+S161+T161</f>
        <v/>
      </c>
      <c r="Q161" s="41">
        <f>IF(B161="Retired",MIN(((U160)*(1+$D$10)+IF(B161="Working",M161,0)),O161),0)</f>
        <v/>
      </c>
      <c r="R161" s="41">
        <f>IF(B161="Retired",MIN(MAX(O161-Q161,0),((V160)*(1+$D$10)+IF(B161="Working",E161,0))),0)</f>
        <v/>
      </c>
      <c r="S161" s="41">
        <f>IF(B161="Retired",MIN(MAX(O161-Q161-R161,0),((W160)*(1+$D$10)+IF(B161="Working",L161,0))),0)</f>
        <v/>
      </c>
      <c r="T161" s="41">
        <f>IF(B161="Retired",MIN(MAX(O161-Q161-R161-S161,0),((X160)*(1+$D$10)+IF(B161="Working",F161,0))),0)</f>
        <v/>
      </c>
      <c r="U161" s="41">
        <f>MAX(((U160)*(1+$D$10)+IF(B161="Working",M161,0))-Q161,0)</f>
        <v/>
      </c>
      <c r="V161" s="41">
        <f>MAX(((V160)*(1+$D$10)+IF(B161="Working",E161,0))-R161,0)</f>
        <v/>
      </c>
      <c r="W161" s="41">
        <f>MAX(((W160)*(1+$D$10)+IF(B161="Working",L161,0))-S161,0)</f>
        <v/>
      </c>
      <c r="X161" s="41">
        <f>MAX(((X160)*(1+$D$10)+IF(B161="Working",F161,0))-T161,0)</f>
        <v/>
      </c>
      <c r="Y161" s="41">
        <f>U161+V161+W161+X161</f>
        <v/>
      </c>
      <c r="Z161" s="41">
        <f>IF(B161="Retired",MAX(O161-P161,0),0)</f>
        <v/>
      </c>
      <c r="AA161" s="44">
        <f>IF(B161="Working",IF(D161=0,0,N161/D161),0)</f>
        <v/>
      </c>
      <c r="AB161" s="41">
        <f>IF(AND($D$14&gt;0,A161=$D$13),$D$14*($D$15+$D$18),0)+IF(AND($D$14&gt;0,A161=$D$13),$D$24,0)</f>
        <v/>
      </c>
      <c r="AC161" s="41">
        <f>IF(OR($D$14&lt;=0,A161&lt;$D$13),0,IF(AND($D$14&gt;0,$D$17&gt;0,A161&gt;=$D$13,A161&lt;($D$13+$D$17)),IF($D$17&lt;=0,0,IF($D$16=0,MAX($D$14*(1-$D$15),0)/$D$17,-PMT($D$16/12,$D$17*12,MAX($D$14*(1-$D$15),0))*12)),0)+AD161*($D$19+$D$20+$D$21)+$D$22+$D$23)</f>
        <v/>
      </c>
      <c r="AD161" s="41">
        <f>IF(AND($D$14&gt;0,A161&gt;=$D$13),$D$14*(1+$D$25)^(A161-$D$13),0)</f>
        <v/>
      </c>
      <c r="AE161" s="41">
        <f>IF(OR($D$14&lt;=0,$D$17&lt;=0,A161&lt;$D$13,MIN(MAX((A161-$D$13+1)*12,0),$D$17*12)&gt;=$D$17*12),0,IF($D$16=0,MAX(MAX($D$14*(1-$D$15),0)-(IF($D$17&lt;=0,0,IF($D$16=0,MAX($D$14*(1-$D$15),0)/$D$17,-PMT($D$16/12,$D$17*12,MAX($D$14*(1-$D$15),0))*12))/12)*MIN(MAX((A161-$D$13+1)*12,0),$D$17*12),0),MAX(MAX($D$14*(1-$D$15),0)*(1+$D$16/12)^MIN(MAX((A161-$D$13+1)*12,0),$D$17*12)-(IF($D$17&lt;=0,0,IF($D$16=0,MAX($D$14*(1-$D$15),0)/$D$17,-PMT($D$16/12,$D$17*12,MAX($D$14*(1-$D$15),0))*12))/12)*(((1+$D$16/12)^MIN(MAX((A161-$D$13+1)*12,0),$D$17*12)-1)/($D$16/12)),0)))</f>
        <v/>
      </c>
      <c r="AF161" s="41">
        <f>MAX(AD161-AE161,0)</f>
        <v/>
      </c>
      <c r="AG161" s="96">
        <f>Y161+AF161</f>
        <v/>
      </c>
    </row>
    <row r="162" ht="18" customHeight="1" s="326">
      <c r="A162" s="93" t="n">
        <v>35</v>
      </c>
      <c r="B162" s="72">
        <f>IF(AND(C162&gt;0,A162&lt;=$D$11),"Working","Retired")</f>
        <v/>
      </c>
      <c r="C162" s="73">
        <f>N('Savings Projection'!$B$53)</f>
        <v/>
      </c>
      <c r="D162" s="43">
        <f>IF(B162="Working",C162*$D$6,0)</f>
        <v/>
      </c>
      <c r="E162" s="73">
        <f>IF(OR(B162="Retired",D162=0),0,MIN(D162,'Tax Assumptions'!$B$19))</f>
        <v/>
      </c>
      <c r="F162" s="73">
        <f>IF(B162="Working",N('Savings Projection'!$E$53),0)</f>
        <v/>
      </c>
      <c r="G162" s="73">
        <f>IF(B162="Working",N('Savings Projection'!$F$53),0)</f>
        <v/>
      </c>
      <c r="H162" s="43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/>
      </c>
      <c r="I162" s="43">
        <f>IF(B162="Working",D162-E162-F162-G162-H162,0)</f>
        <v/>
      </c>
      <c r="J162" s="73">
        <f>IF(B162="Working",N('Savings Projection'!$S$53)*$D$8,0)</f>
        <v/>
      </c>
      <c r="K162" s="73">
        <f>IF(B162="Working",N('Savings Projection'!$T$53)*$D$9,0)</f>
        <v/>
      </c>
      <c r="L162" s="43">
        <f>IF(B162="Working",MIN(MAX(I162-J162-K162-AB162-AC162,0),'Tax Assumptions'!$B$20),0)</f>
        <v/>
      </c>
      <c r="M162" s="43">
        <f>IF(B162="Working",I162-J162-K162-L162-AB162-AC162,0)</f>
        <v/>
      </c>
      <c r="N162" s="73">
        <f>IF(B162="Working",M162+L162+E162+F162,-P162)</f>
        <v/>
      </c>
      <c r="O162" s="73">
        <f>IF(B162="Retired",$D$12+AB162+AC162,0)</f>
        <v/>
      </c>
      <c r="P162" s="73">
        <f>Q162+R162+S162+T162</f>
        <v/>
      </c>
      <c r="Q162" s="73">
        <f>IF(B162="Retired",MIN(((U161)*(1+$D$10)+IF(B162="Working",M162,0)),O162),0)</f>
        <v/>
      </c>
      <c r="R162" s="73">
        <f>IF(B162="Retired",MIN(MAX(O162-Q162,0),((V161)*(1+$D$10)+IF(B162="Working",E162,0))),0)</f>
        <v/>
      </c>
      <c r="S162" s="73">
        <f>IF(B162="Retired",MIN(MAX(O162-Q162-R162,0),((W161)*(1+$D$10)+IF(B162="Working",L162,0))),0)</f>
        <v/>
      </c>
      <c r="T162" s="73">
        <f>IF(B162="Retired",MIN(MAX(O162-Q162-R162-S162,0),((X161)*(1+$D$10)+IF(B162="Working",F162,0))),0)</f>
        <v/>
      </c>
      <c r="U162" s="43">
        <f>MAX(((U161)*(1+$D$10)+IF(B162="Working",M162,0))-Q162,0)</f>
        <v/>
      </c>
      <c r="V162" s="43">
        <f>MAX(((V161)*(1+$D$10)+IF(B162="Working",E162,0))-R162,0)</f>
        <v/>
      </c>
      <c r="W162" s="43">
        <f>MAX(((W161)*(1+$D$10)+IF(B162="Working",L162,0))-S162,0)</f>
        <v/>
      </c>
      <c r="X162" s="43">
        <f>MAX(((X161)*(1+$D$10)+IF(B162="Working",F162,0))-T162,0)</f>
        <v/>
      </c>
      <c r="Y162" s="43">
        <f>U162+V162+W162+X162</f>
        <v/>
      </c>
      <c r="Z162" s="73">
        <f>IF(B162="Retired",MAX(O162-P162,0),0)</f>
        <v/>
      </c>
      <c r="AA162" s="74">
        <f>IF(B162="Working",IF(D162=0,0,N162/D162),0)</f>
        <v/>
      </c>
      <c r="AB162" s="43">
        <f>IF(AND($D$14&gt;0,A162=$D$13),$D$14*($D$15+$D$18),0)+IF(AND($D$14&gt;0,A162=$D$13),$D$24,0)</f>
        <v/>
      </c>
      <c r="AC162" s="43">
        <f>IF(OR($D$14&lt;=0,A162&lt;$D$13),0,IF(AND($D$14&gt;0,$D$17&gt;0,A162&gt;=$D$13,A162&lt;($D$13+$D$17)),IF($D$17&lt;=0,0,IF($D$16=0,MAX($D$14*(1-$D$15),0)/$D$17,-PMT($D$16/12,$D$17*12,MAX($D$14*(1-$D$15),0))*12)),0)+AD162*($D$19+$D$20+$D$21)+$D$22+$D$23)</f>
        <v/>
      </c>
      <c r="AD162" s="43">
        <f>IF(AND($D$14&gt;0,A162&gt;=$D$13),$D$14*(1+$D$25)^(A162-$D$13),0)</f>
        <v/>
      </c>
      <c r="AE162" s="43">
        <f>IF(OR($D$14&lt;=0,$D$17&lt;=0,A162&lt;$D$13,MIN(MAX((A162-$D$13+1)*12,0),$D$17*12)&gt;=$D$17*12),0,IF($D$16=0,MAX(MAX($D$14*(1-$D$15),0)-(IF($D$17&lt;=0,0,IF($D$16=0,MAX($D$14*(1-$D$15),0)/$D$17,-PMT($D$16/12,$D$17*12,MAX($D$14*(1-$D$15),0))*12))/12)*MIN(MAX((A162-$D$13+1)*12,0),$D$17*12),0),MAX(MAX($D$14*(1-$D$15),0)*(1+$D$16/12)^MIN(MAX((A162-$D$13+1)*12,0),$D$17*12)-(IF($D$17&lt;=0,0,IF($D$16=0,MAX($D$14*(1-$D$15),0)/$D$17,-PMT($D$16/12,$D$17*12,MAX($D$14*(1-$D$15),0))*12))/12)*(((1+$D$16/12)^MIN(MAX((A162-$D$13+1)*12,0),$D$17*12)-1)/($D$16/12)),0)))</f>
        <v/>
      </c>
      <c r="AF162" s="43">
        <f>MAX(AD162-AE162,0)</f>
        <v/>
      </c>
      <c r="AG162" s="94">
        <f>Y162+AF162</f>
        <v/>
      </c>
    </row>
    <row r="163" ht="18" customHeight="1" s="326">
      <c r="A163" s="95" t="n">
        <v>36</v>
      </c>
      <c r="B163" s="40">
        <f>IF(AND(C163&gt;0,A163&lt;=$D$11),"Working","Retired")</f>
        <v/>
      </c>
      <c r="C163" s="41">
        <f>N('Savings Projection'!$B$54)</f>
        <v/>
      </c>
      <c r="D163" s="41">
        <f>IF(B163="Working",C163*$D$6,0)</f>
        <v/>
      </c>
      <c r="E163" s="41">
        <f>IF(OR(B163="Retired",D163=0),0,MIN(D163,'Tax Assumptions'!$B$19))</f>
        <v/>
      </c>
      <c r="F163" s="41">
        <f>IF(B163="Working",N('Savings Projection'!$E$54),0)</f>
        <v/>
      </c>
      <c r="G163" s="41">
        <f>IF(B163="Working",N('Savings Projection'!$F$54),0)</f>
        <v/>
      </c>
      <c r="H163" s="41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/>
      </c>
      <c r="I163" s="41">
        <f>IF(B163="Working",D163-E163-F163-G163-H163,0)</f>
        <v/>
      </c>
      <c r="J163" s="41">
        <f>IF(B163="Working",N('Savings Projection'!$S$54)*$D$8,0)</f>
        <v/>
      </c>
      <c r="K163" s="41">
        <f>IF(B163="Working",N('Savings Projection'!$T$54)*$D$9,0)</f>
        <v/>
      </c>
      <c r="L163" s="41">
        <f>IF(B163="Working",MIN(MAX(I163-J163-K163-AB163-AC163,0),'Tax Assumptions'!$B$20),0)</f>
        <v/>
      </c>
      <c r="M163" s="41">
        <f>IF(B163="Working",I163-J163-K163-L163-AB163-AC163,0)</f>
        <v/>
      </c>
      <c r="N163" s="41">
        <f>IF(B163="Working",M163+L163+E163+F163,-P163)</f>
        <v/>
      </c>
      <c r="O163" s="41">
        <f>IF(B163="Retired",$D$12+AB163+AC163,0)</f>
        <v/>
      </c>
      <c r="P163" s="41">
        <f>Q163+R163+S163+T163</f>
        <v/>
      </c>
      <c r="Q163" s="41">
        <f>IF(B163="Retired",MIN(((U162)*(1+$D$10)+IF(B163="Working",M163,0)),O163),0)</f>
        <v/>
      </c>
      <c r="R163" s="41">
        <f>IF(B163="Retired",MIN(MAX(O163-Q163,0),((V162)*(1+$D$10)+IF(B163="Working",E163,0))),0)</f>
        <v/>
      </c>
      <c r="S163" s="41">
        <f>IF(B163="Retired",MIN(MAX(O163-Q163-R163,0),((W162)*(1+$D$10)+IF(B163="Working",L163,0))),0)</f>
        <v/>
      </c>
      <c r="T163" s="41">
        <f>IF(B163="Retired",MIN(MAX(O163-Q163-R163-S163,0),((X162)*(1+$D$10)+IF(B163="Working",F163,0))),0)</f>
        <v/>
      </c>
      <c r="U163" s="41">
        <f>MAX(((U162)*(1+$D$10)+IF(B163="Working",M163,0))-Q163,0)</f>
        <v/>
      </c>
      <c r="V163" s="41">
        <f>MAX(((V162)*(1+$D$10)+IF(B163="Working",E163,0))-R163,0)</f>
        <v/>
      </c>
      <c r="W163" s="41">
        <f>MAX(((W162)*(1+$D$10)+IF(B163="Working",L163,0))-S163,0)</f>
        <v/>
      </c>
      <c r="X163" s="41">
        <f>MAX(((X162)*(1+$D$10)+IF(B163="Working",F163,0))-T163,0)</f>
        <v/>
      </c>
      <c r="Y163" s="41">
        <f>U163+V163+W163+X163</f>
        <v/>
      </c>
      <c r="Z163" s="41">
        <f>IF(B163="Retired",MAX(O163-P163,0),0)</f>
        <v/>
      </c>
      <c r="AA163" s="44">
        <f>IF(B163="Working",IF(D163=0,0,N163/D163),0)</f>
        <v/>
      </c>
      <c r="AB163" s="41">
        <f>IF(AND($D$14&gt;0,A163=$D$13),$D$14*($D$15+$D$18),0)+IF(AND($D$14&gt;0,A163=$D$13),$D$24,0)</f>
        <v/>
      </c>
      <c r="AC163" s="41">
        <f>IF(OR($D$14&lt;=0,A163&lt;$D$13),0,IF(AND($D$14&gt;0,$D$17&gt;0,A163&gt;=$D$13,A163&lt;($D$13+$D$17)),IF($D$17&lt;=0,0,IF($D$16=0,MAX($D$14*(1-$D$15),0)/$D$17,-PMT($D$16/12,$D$17*12,MAX($D$14*(1-$D$15),0))*12)),0)+AD163*($D$19+$D$20+$D$21)+$D$22+$D$23)</f>
        <v/>
      </c>
      <c r="AD163" s="41">
        <f>IF(AND($D$14&gt;0,A163&gt;=$D$13),$D$14*(1+$D$25)^(A163-$D$13),0)</f>
        <v/>
      </c>
      <c r="AE163" s="41">
        <f>IF(OR($D$14&lt;=0,$D$17&lt;=0,A163&lt;$D$13,MIN(MAX((A163-$D$13+1)*12,0),$D$17*12)&gt;=$D$17*12),0,IF($D$16=0,MAX(MAX($D$14*(1-$D$15),0)-(IF($D$17&lt;=0,0,IF($D$16=0,MAX($D$14*(1-$D$15),0)/$D$17,-PMT($D$16/12,$D$17*12,MAX($D$14*(1-$D$15),0))*12))/12)*MIN(MAX((A163-$D$13+1)*12,0),$D$17*12),0),MAX(MAX($D$14*(1-$D$15),0)*(1+$D$16/12)^MIN(MAX((A163-$D$13+1)*12,0),$D$17*12)-(IF($D$17&lt;=0,0,IF($D$16=0,MAX($D$14*(1-$D$15),0)/$D$17,-PMT($D$16/12,$D$17*12,MAX($D$14*(1-$D$15),0))*12))/12)*(((1+$D$16/12)^MIN(MAX((A163-$D$13+1)*12,0),$D$17*12)-1)/($D$16/12)),0)))</f>
        <v/>
      </c>
      <c r="AF163" s="41">
        <f>MAX(AD163-AE163,0)</f>
        <v/>
      </c>
      <c r="AG163" s="96">
        <f>Y163+AF163</f>
        <v/>
      </c>
    </row>
    <row r="164" ht="18" customHeight="1" s="326">
      <c r="A164" s="93" t="n">
        <v>37</v>
      </c>
      <c r="B164" s="72">
        <f>IF(AND(C164&gt;0,A164&lt;=$D$11),"Working","Retired")</f>
        <v/>
      </c>
      <c r="C164" s="73">
        <f>N('Savings Projection'!$B$55)</f>
        <v/>
      </c>
      <c r="D164" s="43">
        <f>IF(B164="Working",C164*$D$6,0)</f>
        <v/>
      </c>
      <c r="E164" s="73">
        <f>IF(OR(B164="Retired",D164=0),0,MIN(D164,'Tax Assumptions'!$B$19))</f>
        <v/>
      </c>
      <c r="F164" s="73">
        <f>IF(B164="Working",N('Savings Projection'!$E$55),0)</f>
        <v/>
      </c>
      <c r="G164" s="73">
        <f>IF(B164="Working",N('Savings Projection'!$F$55),0)</f>
        <v/>
      </c>
      <c r="H164" s="43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/>
      </c>
      <c r="I164" s="43">
        <f>IF(B164="Working",D164-E164-F164-G164-H164,0)</f>
        <v/>
      </c>
      <c r="J164" s="73">
        <f>IF(B164="Working",N('Savings Projection'!$S$55)*$D$8,0)</f>
        <v/>
      </c>
      <c r="K164" s="73">
        <f>IF(B164="Working",N('Savings Projection'!$T$55)*$D$9,0)</f>
        <v/>
      </c>
      <c r="L164" s="43">
        <f>IF(B164="Working",MIN(MAX(I164-J164-K164-AB164-AC164,0),'Tax Assumptions'!$B$20),0)</f>
        <v/>
      </c>
      <c r="M164" s="43">
        <f>IF(B164="Working",I164-J164-K164-L164-AB164-AC164,0)</f>
        <v/>
      </c>
      <c r="N164" s="73">
        <f>IF(B164="Working",M164+L164+E164+F164,-P164)</f>
        <v/>
      </c>
      <c r="O164" s="73">
        <f>IF(B164="Retired",$D$12+AB164+AC164,0)</f>
        <v/>
      </c>
      <c r="P164" s="73">
        <f>Q164+R164+S164+T164</f>
        <v/>
      </c>
      <c r="Q164" s="73">
        <f>IF(B164="Retired",MIN(((U163)*(1+$D$10)+IF(B164="Working",M164,0)),O164),0)</f>
        <v/>
      </c>
      <c r="R164" s="73">
        <f>IF(B164="Retired",MIN(MAX(O164-Q164,0),((V163)*(1+$D$10)+IF(B164="Working",E164,0))),0)</f>
        <v/>
      </c>
      <c r="S164" s="73">
        <f>IF(B164="Retired",MIN(MAX(O164-Q164-R164,0),((W163)*(1+$D$10)+IF(B164="Working",L164,0))),0)</f>
        <v/>
      </c>
      <c r="T164" s="73">
        <f>IF(B164="Retired",MIN(MAX(O164-Q164-R164-S164,0),((X163)*(1+$D$10)+IF(B164="Working",F164,0))),0)</f>
        <v/>
      </c>
      <c r="U164" s="43">
        <f>MAX(((U163)*(1+$D$10)+IF(B164="Working",M164,0))-Q164,0)</f>
        <v/>
      </c>
      <c r="V164" s="43">
        <f>MAX(((V163)*(1+$D$10)+IF(B164="Working",E164,0))-R164,0)</f>
        <v/>
      </c>
      <c r="W164" s="43">
        <f>MAX(((W163)*(1+$D$10)+IF(B164="Working",L164,0))-S164,0)</f>
        <v/>
      </c>
      <c r="X164" s="43">
        <f>MAX(((X163)*(1+$D$10)+IF(B164="Working",F164,0))-T164,0)</f>
        <v/>
      </c>
      <c r="Y164" s="43">
        <f>U164+V164+W164+X164</f>
        <v/>
      </c>
      <c r="Z164" s="73">
        <f>IF(B164="Retired",MAX(O164-P164,0),0)</f>
        <v/>
      </c>
      <c r="AA164" s="74">
        <f>IF(B164="Working",IF(D164=0,0,N164/D164),0)</f>
        <v/>
      </c>
      <c r="AB164" s="43">
        <f>IF(AND($D$14&gt;0,A164=$D$13),$D$14*($D$15+$D$18),0)+IF(AND($D$14&gt;0,A164=$D$13),$D$24,0)</f>
        <v/>
      </c>
      <c r="AC164" s="43">
        <f>IF(OR($D$14&lt;=0,A164&lt;$D$13),0,IF(AND($D$14&gt;0,$D$17&gt;0,A164&gt;=$D$13,A164&lt;($D$13+$D$17)),IF($D$17&lt;=0,0,IF($D$16=0,MAX($D$14*(1-$D$15),0)/$D$17,-PMT($D$16/12,$D$17*12,MAX($D$14*(1-$D$15),0))*12)),0)+AD164*($D$19+$D$20+$D$21)+$D$22+$D$23)</f>
        <v/>
      </c>
      <c r="AD164" s="43">
        <f>IF(AND($D$14&gt;0,A164&gt;=$D$13),$D$14*(1+$D$25)^(A164-$D$13),0)</f>
        <v/>
      </c>
      <c r="AE164" s="43">
        <f>IF(OR($D$14&lt;=0,$D$17&lt;=0,A164&lt;$D$13,MIN(MAX((A164-$D$13+1)*12,0),$D$17*12)&gt;=$D$17*12),0,IF($D$16=0,MAX(MAX($D$14*(1-$D$15),0)-(IF($D$17&lt;=0,0,IF($D$16=0,MAX($D$14*(1-$D$15),0)/$D$17,-PMT($D$16/12,$D$17*12,MAX($D$14*(1-$D$15),0))*12))/12)*MIN(MAX((A164-$D$13+1)*12,0),$D$17*12),0),MAX(MAX($D$14*(1-$D$15),0)*(1+$D$16/12)^MIN(MAX((A164-$D$13+1)*12,0),$D$17*12)-(IF($D$17&lt;=0,0,IF($D$16=0,MAX($D$14*(1-$D$15),0)/$D$17,-PMT($D$16/12,$D$17*12,MAX($D$14*(1-$D$15),0))*12))/12)*(((1+$D$16/12)^MIN(MAX((A164-$D$13+1)*12,0),$D$17*12)-1)/($D$16/12)),0)))</f>
        <v/>
      </c>
      <c r="AF164" s="43">
        <f>MAX(AD164-AE164,0)</f>
        <v/>
      </c>
      <c r="AG164" s="94">
        <f>Y164+AF164</f>
        <v/>
      </c>
    </row>
    <row r="165" ht="18" customHeight="1" s="326">
      <c r="A165" s="95" t="n">
        <v>38</v>
      </c>
      <c r="B165" s="40">
        <f>IF(AND(C165&gt;0,A165&lt;=$D$11),"Working","Retired")</f>
        <v/>
      </c>
      <c r="C165" s="41">
        <f>N('Savings Projection'!$B$56)</f>
        <v/>
      </c>
      <c r="D165" s="41">
        <f>IF(B165="Working",C165*$D$6,0)</f>
        <v/>
      </c>
      <c r="E165" s="41">
        <f>IF(OR(B165="Retired",D165=0),0,MIN(D165,'Tax Assumptions'!$B$19))</f>
        <v/>
      </c>
      <c r="F165" s="41">
        <f>IF(B165="Working",N('Savings Projection'!$E$56),0)</f>
        <v/>
      </c>
      <c r="G165" s="41">
        <f>IF(B165="Working",N('Savings Projection'!$F$56),0)</f>
        <v/>
      </c>
      <c r="H165" s="41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/>
      </c>
      <c r="I165" s="41">
        <f>IF(B165="Working",D165-E165-F165-G165-H165,0)</f>
        <v/>
      </c>
      <c r="J165" s="41">
        <f>IF(B165="Working",N('Savings Projection'!$S$56)*$D$8,0)</f>
        <v/>
      </c>
      <c r="K165" s="41">
        <f>IF(B165="Working",N('Savings Projection'!$T$56)*$D$9,0)</f>
        <v/>
      </c>
      <c r="L165" s="41">
        <f>IF(B165="Working",MIN(MAX(I165-J165-K165-AB165-AC165,0),'Tax Assumptions'!$B$20),0)</f>
        <v/>
      </c>
      <c r="M165" s="41">
        <f>IF(B165="Working",I165-J165-K165-L165-AB165-AC165,0)</f>
        <v/>
      </c>
      <c r="N165" s="41">
        <f>IF(B165="Working",M165+L165+E165+F165,-P165)</f>
        <v/>
      </c>
      <c r="O165" s="41">
        <f>IF(B165="Retired",$D$12+AB165+AC165,0)</f>
        <v/>
      </c>
      <c r="P165" s="41">
        <f>Q165+R165+S165+T165</f>
        <v/>
      </c>
      <c r="Q165" s="41">
        <f>IF(B165="Retired",MIN(((U164)*(1+$D$10)+IF(B165="Working",M165,0)),O165),0)</f>
        <v/>
      </c>
      <c r="R165" s="41">
        <f>IF(B165="Retired",MIN(MAX(O165-Q165,0),((V164)*(1+$D$10)+IF(B165="Working",E165,0))),0)</f>
        <v/>
      </c>
      <c r="S165" s="41">
        <f>IF(B165="Retired",MIN(MAX(O165-Q165-R165,0),((W164)*(1+$D$10)+IF(B165="Working",L165,0))),0)</f>
        <v/>
      </c>
      <c r="T165" s="41">
        <f>IF(B165="Retired",MIN(MAX(O165-Q165-R165-S165,0),((X164)*(1+$D$10)+IF(B165="Working",F165,0))),0)</f>
        <v/>
      </c>
      <c r="U165" s="41">
        <f>MAX(((U164)*(1+$D$10)+IF(B165="Working",M165,0))-Q165,0)</f>
        <v/>
      </c>
      <c r="V165" s="41">
        <f>MAX(((V164)*(1+$D$10)+IF(B165="Working",E165,0))-R165,0)</f>
        <v/>
      </c>
      <c r="W165" s="41">
        <f>MAX(((W164)*(1+$D$10)+IF(B165="Working",L165,0))-S165,0)</f>
        <v/>
      </c>
      <c r="X165" s="41">
        <f>MAX(((X164)*(1+$D$10)+IF(B165="Working",F165,0))-T165,0)</f>
        <v/>
      </c>
      <c r="Y165" s="41">
        <f>U165+V165+W165+X165</f>
        <v/>
      </c>
      <c r="Z165" s="41">
        <f>IF(B165="Retired",MAX(O165-P165,0),0)</f>
        <v/>
      </c>
      <c r="AA165" s="44">
        <f>IF(B165="Working",IF(D165=0,0,N165/D165),0)</f>
        <v/>
      </c>
      <c r="AB165" s="41">
        <f>IF(AND($D$14&gt;0,A165=$D$13),$D$14*($D$15+$D$18),0)+IF(AND($D$14&gt;0,A165=$D$13),$D$24,0)</f>
        <v/>
      </c>
      <c r="AC165" s="41">
        <f>IF(OR($D$14&lt;=0,A165&lt;$D$13),0,IF(AND($D$14&gt;0,$D$17&gt;0,A165&gt;=$D$13,A165&lt;($D$13+$D$17)),IF($D$17&lt;=0,0,IF($D$16=0,MAX($D$14*(1-$D$15),0)/$D$17,-PMT($D$16/12,$D$17*12,MAX($D$14*(1-$D$15),0))*12)),0)+AD165*($D$19+$D$20+$D$21)+$D$22+$D$23)</f>
        <v/>
      </c>
      <c r="AD165" s="41">
        <f>IF(AND($D$14&gt;0,A165&gt;=$D$13),$D$14*(1+$D$25)^(A165-$D$13),0)</f>
        <v/>
      </c>
      <c r="AE165" s="41">
        <f>IF(OR($D$14&lt;=0,$D$17&lt;=0,A165&lt;$D$13,MIN(MAX((A165-$D$13+1)*12,0),$D$17*12)&gt;=$D$17*12),0,IF($D$16=0,MAX(MAX($D$14*(1-$D$15),0)-(IF($D$17&lt;=0,0,IF($D$16=0,MAX($D$14*(1-$D$15),0)/$D$17,-PMT($D$16/12,$D$17*12,MAX($D$14*(1-$D$15),0))*12))/12)*MIN(MAX((A165-$D$13+1)*12,0),$D$17*12),0),MAX(MAX($D$14*(1-$D$15),0)*(1+$D$16/12)^MIN(MAX((A165-$D$13+1)*12,0),$D$17*12)-(IF($D$17&lt;=0,0,IF($D$16=0,MAX($D$14*(1-$D$15),0)/$D$17,-PMT($D$16/12,$D$17*12,MAX($D$14*(1-$D$15),0))*12))/12)*(((1+$D$16/12)^MIN(MAX((A165-$D$13+1)*12,0),$D$17*12)-1)/($D$16/12)),0)))</f>
        <v/>
      </c>
      <c r="AF165" s="41">
        <f>MAX(AD165-AE165,0)</f>
        <v/>
      </c>
      <c r="AG165" s="96">
        <f>Y165+AF165</f>
        <v/>
      </c>
    </row>
    <row r="166" ht="18" customHeight="1" s="326">
      <c r="A166" s="93" t="n">
        <v>39</v>
      </c>
      <c r="B166" s="72">
        <f>IF(AND(C166&gt;0,A166&lt;=$D$11),"Working","Retired")</f>
        <v/>
      </c>
      <c r="C166" s="73">
        <f>N('Savings Projection'!$B$57)</f>
        <v/>
      </c>
      <c r="D166" s="43">
        <f>IF(B166="Working",C166*$D$6,0)</f>
        <v/>
      </c>
      <c r="E166" s="73">
        <f>IF(OR(B166="Retired",D166=0),0,MIN(D166,'Tax Assumptions'!$B$19))</f>
        <v/>
      </c>
      <c r="F166" s="73">
        <f>IF(B166="Working",N('Savings Projection'!$E$57),0)</f>
        <v/>
      </c>
      <c r="G166" s="73">
        <f>IF(B166="Working",N('Savings Projection'!$F$57),0)</f>
        <v/>
      </c>
      <c r="H166" s="43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/>
      </c>
      <c r="I166" s="43">
        <f>IF(B166="Working",D166-E166-F166-G166-H166,0)</f>
        <v/>
      </c>
      <c r="J166" s="73">
        <f>IF(B166="Working",N('Savings Projection'!$S$57)*$D$8,0)</f>
        <v/>
      </c>
      <c r="K166" s="73">
        <f>IF(B166="Working",N('Savings Projection'!$T$57)*$D$9,0)</f>
        <v/>
      </c>
      <c r="L166" s="43">
        <f>IF(B166="Working",MIN(MAX(I166-J166-K166-AB166-AC166,0),'Tax Assumptions'!$B$20),0)</f>
        <v/>
      </c>
      <c r="M166" s="43">
        <f>IF(B166="Working",I166-J166-K166-L166-AB166-AC166,0)</f>
        <v/>
      </c>
      <c r="N166" s="73">
        <f>IF(B166="Working",M166+L166+E166+F166,-P166)</f>
        <v/>
      </c>
      <c r="O166" s="73">
        <f>IF(B166="Retired",$D$12+AB166+AC166,0)</f>
        <v/>
      </c>
      <c r="P166" s="73">
        <f>Q166+R166+S166+T166</f>
        <v/>
      </c>
      <c r="Q166" s="73">
        <f>IF(B166="Retired",MIN(((U165)*(1+$D$10)+IF(B166="Working",M166,0)),O166),0)</f>
        <v/>
      </c>
      <c r="R166" s="73">
        <f>IF(B166="Retired",MIN(MAX(O166-Q166,0),((V165)*(1+$D$10)+IF(B166="Working",E166,0))),0)</f>
        <v/>
      </c>
      <c r="S166" s="73">
        <f>IF(B166="Retired",MIN(MAX(O166-Q166-R166,0),((W165)*(1+$D$10)+IF(B166="Working",L166,0))),0)</f>
        <v/>
      </c>
      <c r="T166" s="73">
        <f>IF(B166="Retired",MIN(MAX(O166-Q166-R166-S166,0),((X165)*(1+$D$10)+IF(B166="Working",F166,0))),0)</f>
        <v/>
      </c>
      <c r="U166" s="43">
        <f>MAX(((U165)*(1+$D$10)+IF(B166="Working",M166,0))-Q166,0)</f>
        <v/>
      </c>
      <c r="V166" s="43">
        <f>MAX(((V165)*(1+$D$10)+IF(B166="Working",E166,0))-R166,0)</f>
        <v/>
      </c>
      <c r="W166" s="43">
        <f>MAX(((W165)*(1+$D$10)+IF(B166="Working",L166,0))-S166,0)</f>
        <v/>
      </c>
      <c r="X166" s="43">
        <f>MAX(((X165)*(1+$D$10)+IF(B166="Working",F166,0))-T166,0)</f>
        <v/>
      </c>
      <c r="Y166" s="43">
        <f>U166+V166+W166+X166</f>
        <v/>
      </c>
      <c r="Z166" s="73">
        <f>IF(B166="Retired",MAX(O166-P166,0),0)</f>
        <v/>
      </c>
      <c r="AA166" s="74">
        <f>IF(B166="Working",IF(D166=0,0,N166/D166),0)</f>
        <v/>
      </c>
      <c r="AB166" s="43">
        <f>IF(AND($D$14&gt;0,A166=$D$13),$D$14*($D$15+$D$18),0)+IF(AND($D$14&gt;0,A166=$D$13),$D$24,0)</f>
        <v/>
      </c>
      <c r="AC166" s="43">
        <f>IF(OR($D$14&lt;=0,A166&lt;$D$13),0,IF(AND($D$14&gt;0,$D$17&gt;0,A166&gt;=$D$13,A166&lt;($D$13+$D$17)),IF($D$17&lt;=0,0,IF($D$16=0,MAX($D$14*(1-$D$15),0)/$D$17,-PMT($D$16/12,$D$17*12,MAX($D$14*(1-$D$15),0))*12)),0)+AD166*($D$19+$D$20+$D$21)+$D$22+$D$23)</f>
        <v/>
      </c>
      <c r="AD166" s="43">
        <f>IF(AND($D$14&gt;0,A166&gt;=$D$13),$D$14*(1+$D$25)^(A166-$D$13),0)</f>
        <v/>
      </c>
      <c r="AE166" s="43">
        <f>IF(OR($D$14&lt;=0,$D$17&lt;=0,A166&lt;$D$13,MIN(MAX((A166-$D$13+1)*12,0),$D$17*12)&gt;=$D$17*12),0,IF($D$16=0,MAX(MAX($D$14*(1-$D$15),0)-(IF($D$17&lt;=0,0,IF($D$16=0,MAX($D$14*(1-$D$15),0)/$D$17,-PMT($D$16/12,$D$17*12,MAX($D$14*(1-$D$15),0))*12))/12)*MIN(MAX((A166-$D$13+1)*12,0),$D$17*12),0),MAX(MAX($D$14*(1-$D$15),0)*(1+$D$16/12)^MIN(MAX((A166-$D$13+1)*12,0),$D$17*12)-(IF($D$17&lt;=0,0,IF($D$16=0,MAX($D$14*(1-$D$15),0)/$D$17,-PMT($D$16/12,$D$17*12,MAX($D$14*(1-$D$15),0))*12))/12)*(((1+$D$16/12)^MIN(MAX((A166-$D$13+1)*12,0),$D$17*12)-1)/($D$16/12)),0)))</f>
        <v/>
      </c>
      <c r="AF166" s="43">
        <f>MAX(AD166-AE166,0)</f>
        <v/>
      </c>
      <c r="AG166" s="94">
        <f>Y166+AF166</f>
        <v/>
      </c>
    </row>
    <row r="167" ht="18" customHeight="1" s="326">
      <c r="A167" s="95" t="n">
        <v>40</v>
      </c>
      <c r="B167" s="40">
        <f>IF(AND(C167&gt;0,A167&lt;=$D$11),"Working","Retired")</f>
        <v/>
      </c>
      <c r="C167" s="41">
        <f>N('Savings Projection'!$B$58)</f>
        <v/>
      </c>
      <c r="D167" s="41">
        <f>IF(B167="Working",C167*$D$6,0)</f>
        <v/>
      </c>
      <c r="E167" s="41">
        <f>IF(OR(B167="Retired",D167=0),0,MIN(D167,'Tax Assumptions'!$B$19))</f>
        <v/>
      </c>
      <c r="F167" s="41">
        <f>IF(B167="Working",N('Savings Projection'!$E$58),0)</f>
        <v/>
      </c>
      <c r="G167" s="41">
        <f>IF(B167="Working",N('Savings Projection'!$F$58),0)</f>
        <v/>
      </c>
      <c r="H167" s="41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/>
      </c>
      <c r="I167" s="41">
        <f>IF(B167="Working",D167-E167-F167-G167-H167,0)</f>
        <v/>
      </c>
      <c r="J167" s="41">
        <f>IF(B167="Working",N('Savings Projection'!$S$58)*$D$8,0)</f>
        <v/>
      </c>
      <c r="K167" s="41">
        <f>IF(B167="Working",N('Savings Projection'!$T$58)*$D$9,0)</f>
        <v/>
      </c>
      <c r="L167" s="41">
        <f>IF(B167="Working",MIN(MAX(I167-J167-K167-AB167-AC167,0),'Tax Assumptions'!$B$20),0)</f>
        <v/>
      </c>
      <c r="M167" s="41">
        <f>IF(B167="Working",I167-J167-K167-L167-AB167-AC167,0)</f>
        <v/>
      </c>
      <c r="N167" s="41">
        <f>IF(B167="Working",M167+L167+E167+F167,-P167)</f>
        <v/>
      </c>
      <c r="O167" s="41">
        <f>IF(B167="Retired",$D$12+AB167+AC167,0)</f>
        <v/>
      </c>
      <c r="P167" s="41">
        <f>Q167+R167+S167+T167</f>
        <v/>
      </c>
      <c r="Q167" s="41">
        <f>IF(B167="Retired",MIN(((U166)*(1+$D$10)+IF(B167="Working",M167,0)),O167),0)</f>
        <v/>
      </c>
      <c r="R167" s="41">
        <f>IF(B167="Retired",MIN(MAX(O167-Q167,0),((V166)*(1+$D$10)+IF(B167="Working",E167,0))),0)</f>
        <v/>
      </c>
      <c r="S167" s="41">
        <f>IF(B167="Retired",MIN(MAX(O167-Q167-R167,0),((W166)*(1+$D$10)+IF(B167="Working",L167,0))),0)</f>
        <v/>
      </c>
      <c r="T167" s="41">
        <f>IF(B167="Retired",MIN(MAX(O167-Q167-R167-S167,0),((X166)*(1+$D$10)+IF(B167="Working",F167,0))),0)</f>
        <v/>
      </c>
      <c r="U167" s="41">
        <f>MAX(((U166)*(1+$D$10)+IF(B167="Working",M167,0))-Q167,0)</f>
        <v/>
      </c>
      <c r="V167" s="41">
        <f>MAX(((V166)*(1+$D$10)+IF(B167="Working",E167,0))-R167,0)</f>
        <v/>
      </c>
      <c r="W167" s="41">
        <f>MAX(((W166)*(1+$D$10)+IF(B167="Working",L167,0))-S167,0)</f>
        <v/>
      </c>
      <c r="X167" s="41">
        <f>MAX(((X166)*(1+$D$10)+IF(B167="Working",F167,0))-T167,0)</f>
        <v/>
      </c>
      <c r="Y167" s="41">
        <f>U167+V167+W167+X167</f>
        <v/>
      </c>
      <c r="Z167" s="41">
        <f>IF(B167="Retired",MAX(O167-P167,0),0)</f>
        <v/>
      </c>
      <c r="AA167" s="44">
        <f>IF(B167="Working",IF(D167=0,0,N167/D167),0)</f>
        <v/>
      </c>
      <c r="AB167" s="41">
        <f>IF(AND($D$14&gt;0,A167=$D$13),$D$14*($D$15+$D$18),0)+IF(AND($D$14&gt;0,A167=$D$13),$D$24,0)</f>
        <v/>
      </c>
      <c r="AC167" s="41">
        <f>IF(OR($D$14&lt;=0,A167&lt;$D$13),0,IF(AND($D$14&gt;0,$D$17&gt;0,A167&gt;=$D$13,A167&lt;($D$13+$D$17)),IF($D$17&lt;=0,0,IF($D$16=0,MAX($D$14*(1-$D$15),0)/$D$17,-PMT($D$16/12,$D$17*12,MAX($D$14*(1-$D$15),0))*12)),0)+AD167*($D$19+$D$20+$D$21)+$D$22+$D$23)</f>
        <v/>
      </c>
      <c r="AD167" s="41">
        <f>IF(AND($D$14&gt;0,A167&gt;=$D$13),$D$14*(1+$D$25)^(A167-$D$13),0)</f>
        <v/>
      </c>
      <c r="AE167" s="41">
        <f>IF(OR($D$14&lt;=0,$D$17&lt;=0,A167&lt;$D$13,MIN(MAX((A167-$D$13+1)*12,0),$D$17*12)&gt;=$D$17*12),0,IF($D$16=0,MAX(MAX($D$14*(1-$D$15),0)-(IF($D$17&lt;=0,0,IF($D$16=0,MAX($D$14*(1-$D$15),0)/$D$17,-PMT($D$16/12,$D$17*12,MAX($D$14*(1-$D$15),0))*12))/12)*MIN(MAX((A167-$D$13+1)*12,0),$D$17*12),0),MAX(MAX($D$14*(1-$D$15),0)*(1+$D$16/12)^MIN(MAX((A167-$D$13+1)*12,0),$D$17*12)-(IF($D$17&lt;=0,0,IF($D$16=0,MAX($D$14*(1-$D$15),0)/$D$17,-PMT($D$16/12,$D$17*12,MAX($D$14*(1-$D$15),0))*12))/12)*(((1+$D$16/12)^MIN(MAX((A167-$D$13+1)*12,0),$D$17*12)-1)/($D$16/12)),0)))</f>
        <v/>
      </c>
      <c r="AF167" s="41">
        <f>MAX(AD167-AE167,0)</f>
        <v/>
      </c>
      <c r="AG167" s="96">
        <f>Y167+AF167</f>
        <v/>
      </c>
    </row>
    <row r="168">
      <c r="A168" s="97" t="inlineStr">
        <is>
          <t>Totals / Ending</t>
        </is>
      </c>
      <c r="B168" s="98" t="n"/>
      <c r="C168" s="98" t="n"/>
      <c r="D168" s="99">
        <f>SUM(D128:D167)</f>
        <v/>
      </c>
      <c r="E168" s="99">
        <f>SUM(E128:E167)</f>
        <v/>
      </c>
      <c r="F168" s="99">
        <f>SUM(F128:F167)</f>
        <v/>
      </c>
      <c r="G168" s="99">
        <f>SUM(G128:G167)</f>
        <v/>
      </c>
      <c r="H168" s="99">
        <f>SUM(H128:H167)</f>
        <v/>
      </c>
      <c r="I168" s="99">
        <f>SUM(I128:I167)</f>
        <v/>
      </c>
      <c r="J168" s="99">
        <f>SUM(J128:J167)</f>
        <v/>
      </c>
      <c r="K168" s="99">
        <f>SUM(K128:K167)</f>
        <v/>
      </c>
      <c r="L168" s="99">
        <f>SUM(L128:L167)</f>
        <v/>
      </c>
      <c r="M168" s="99">
        <f>SUM(M128:M167)</f>
        <v/>
      </c>
      <c r="N168" s="99">
        <f>SUM(N128:N167)</f>
        <v/>
      </c>
      <c r="O168" s="99">
        <f>SUM(O128:O167)</f>
        <v/>
      </c>
      <c r="P168" s="99">
        <f>SUM(P128:P167)</f>
        <v/>
      </c>
      <c r="Q168" s="99">
        <f>SUM(Q128:Q167)</f>
        <v/>
      </c>
      <c r="R168" s="99">
        <f>SUM(R128:R167)</f>
        <v/>
      </c>
      <c r="S168" s="99">
        <f>SUM(S128:S167)</f>
        <v/>
      </c>
      <c r="T168" s="99">
        <f>SUM(T128:T167)</f>
        <v/>
      </c>
      <c r="U168" s="99">
        <f>U167</f>
        <v/>
      </c>
      <c r="V168" s="99">
        <f>V167</f>
        <v/>
      </c>
      <c r="W168" s="99">
        <f>W167</f>
        <v/>
      </c>
      <c r="X168" s="99">
        <f>X167</f>
        <v/>
      </c>
      <c r="Y168" s="99">
        <f>Y167</f>
        <v/>
      </c>
      <c r="Z168" s="99">
        <f>Z167</f>
        <v/>
      </c>
      <c r="AA168" s="100">
        <f>AVERAGEIF(AA128:AA167,"&gt;0",AA128:AA167)</f>
        <v/>
      </c>
      <c r="AB168" s="99">
        <f>SUM(AB128:AB167)</f>
        <v/>
      </c>
      <c r="AC168" s="99">
        <f>SUM(AC128:AC167)</f>
        <v/>
      </c>
      <c r="AD168" s="99">
        <f>AD167</f>
        <v/>
      </c>
      <c r="AE168" s="99">
        <f>AE167</f>
        <v/>
      </c>
      <c r="AF168" s="99">
        <f>AF167</f>
        <v/>
      </c>
      <c r="AG168" s="101">
        <f>AG167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329" t="inlineStr">
        <is>
          <t>Dashboard Helper (Liquid Wealth)</t>
        </is>
      </c>
      <c r="L171" s="33" t="n"/>
      <c r="M171" s="33" t="n"/>
      <c r="N171" s="32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4" t="inlineStr">
        <is>
          <t>Year</t>
        </is>
      </c>
      <c r="L172" s="55">
        <f>B5</f>
        <v/>
      </c>
      <c r="M172" s="56">
        <f>C5</f>
        <v/>
      </c>
      <c r="N172" s="57">
        <f>D5</f>
        <v/>
      </c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102" t="n">
        <v>1</v>
      </c>
      <c r="L173" s="9">
        <f>Y32</f>
        <v/>
      </c>
      <c r="M173" s="9">
        <f>Y80</f>
        <v/>
      </c>
      <c r="N173" s="61">
        <f>Y128</f>
        <v/>
      </c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102" t="n">
        <v>2</v>
      </c>
      <c r="L174" s="9">
        <f>Y33</f>
        <v/>
      </c>
      <c r="M174" s="9">
        <f>Y81</f>
        <v/>
      </c>
      <c r="N174" s="61">
        <f>Y129</f>
        <v/>
      </c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102" t="n">
        <v>3</v>
      </c>
      <c r="L175" s="9">
        <f>Y34</f>
        <v/>
      </c>
      <c r="M175" s="9">
        <f>Y82</f>
        <v/>
      </c>
      <c r="N175" s="61">
        <f>Y130</f>
        <v/>
      </c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102" t="n">
        <v>4</v>
      </c>
      <c r="L176" s="9">
        <f>Y35</f>
        <v/>
      </c>
      <c r="M176" s="9">
        <f>Y83</f>
        <v/>
      </c>
      <c r="N176" s="61">
        <f>Y131</f>
        <v/>
      </c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102" t="n">
        <v>5</v>
      </c>
      <c r="L177" s="9">
        <f>Y36</f>
        <v/>
      </c>
      <c r="M177" s="9">
        <f>Y84</f>
        <v/>
      </c>
      <c r="N177" s="61">
        <f>Y132</f>
        <v/>
      </c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102" t="n">
        <v>6</v>
      </c>
      <c r="L178" s="9">
        <f>Y37</f>
        <v/>
      </c>
      <c r="M178" s="9">
        <f>Y85</f>
        <v/>
      </c>
      <c r="N178" s="61">
        <f>Y133</f>
        <v/>
      </c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102" t="n">
        <v>7</v>
      </c>
      <c r="L179" s="9">
        <f>Y38</f>
        <v/>
      </c>
      <c r="M179" s="9">
        <f>Y86</f>
        <v/>
      </c>
      <c r="N179" s="61">
        <f>Y134</f>
        <v/>
      </c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102" t="n">
        <v>8</v>
      </c>
      <c r="L180" s="9">
        <f>Y39</f>
        <v/>
      </c>
      <c r="M180" s="9">
        <f>Y87</f>
        <v/>
      </c>
      <c r="N180" s="61">
        <f>Y135</f>
        <v/>
      </c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102" t="n">
        <v>9</v>
      </c>
      <c r="L181" s="9">
        <f>Y40</f>
        <v/>
      </c>
      <c r="M181" s="9">
        <f>Y88</f>
        <v/>
      </c>
      <c r="N181" s="61">
        <f>Y136</f>
        <v/>
      </c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102" t="n">
        <v>10</v>
      </c>
      <c r="L182" s="9">
        <f>Y41</f>
        <v/>
      </c>
      <c r="M182" s="9">
        <f>Y89</f>
        <v/>
      </c>
      <c r="N182" s="61">
        <f>Y137</f>
        <v/>
      </c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102" t="n">
        <v>11</v>
      </c>
      <c r="L183" s="9">
        <f>Y42</f>
        <v/>
      </c>
      <c r="M183" s="9">
        <f>Y90</f>
        <v/>
      </c>
      <c r="N183" s="61">
        <f>Y138</f>
        <v/>
      </c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102" t="n">
        <v>12</v>
      </c>
      <c r="L184" s="9">
        <f>Y43</f>
        <v/>
      </c>
      <c r="M184" s="9">
        <f>Y91</f>
        <v/>
      </c>
      <c r="N184" s="61">
        <f>Y139</f>
        <v/>
      </c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102" t="n">
        <v>13</v>
      </c>
      <c r="L185" s="9">
        <f>Y44</f>
        <v/>
      </c>
      <c r="M185" s="9">
        <f>Y92</f>
        <v/>
      </c>
      <c r="N185" s="61">
        <f>Y140</f>
        <v/>
      </c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102" t="n">
        <v>14</v>
      </c>
      <c r="L186" s="9">
        <f>Y45</f>
        <v/>
      </c>
      <c r="M186" s="9">
        <f>Y93</f>
        <v/>
      </c>
      <c r="N186" s="61">
        <f>Y141</f>
        <v/>
      </c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102" t="n">
        <v>15</v>
      </c>
      <c r="L187" s="9">
        <f>Y46</f>
        <v/>
      </c>
      <c r="M187" s="9">
        <f>Y94</f>
        <v/>
      </c>
      <c r="N187" s="61">
        <f>Y142</f>
        <v/>
      </c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102" t="n">
        <v>16</v>
      </c>
      <c r="L188" s="9">
        <f>Y47</f>
        <v/>
      </c>
      <c r="M188" s="9">
        <f>Y95</f>
        <v/>
      </c>
      <c r="N188" s="61">
        <f>Y143</f>
        <v/>
      </c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102" t="n">
        <v>17</v>
      </c>
      <c r="L189" s="9">
        <f>Y48</f>
        <v/>
      </c>
      <c r="M189" s="9">
        <f>Y96</f>
        <v/>
      </c>
      <c r="N189" s="61">
        <f>Y144</f>
        <v/>
      </c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102" t="n">
        <v>18</v>
      </c>
      <c r="L190" s="9">
        <f>Y49</f>
        <v/>
      </c>
      <c r="M190" s="9">
        <f>Y97</f>
        <v/>
      </c>
      <c r="N190" s="61">
        <f>Y145</f>
        <v/>
      </c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102" t="n">
        <v>19</v>
      </c>
      <c r="L191" s="9">
        <f>Y50</f>
        <v/>
      </c>
      <c r="M191" s="9">
        <f>Y98</f>
        <v/>
      </c>
      <c r="N191" s="61">
        <f>Y146</f>
        <v/>
      </c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102" t="n">
        <v>20</v>
      </c>
      <c r="L192" s="9">
        <f>Y51</f>
        <v/>
      </c>
      <c r="M192" s="9">
        <f>Y99</f>
        <v/>
      </c>
      <c r="N192" s="61">
        <f>Y147</f>
        <v/>
      </c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102" t="n">
        <v>21</v>
      </c>
      <c r="L193" s="9">
        <f>Y52</f>
        <v/>
      </c>
      <c r="M193" s="9">
        <f>Y100</f>
        <v/>
      </c>
      <c r="N193" s="61">
        <f>Y148</f>
        <v/>
      </c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102" t="n">
        <v>22</v>
      </c>
      <c r="L194" s="9">
        <f>Y53</f>
        <v/>
      </c>
      <c r="M194" s="9">
        <f>Y101</f>
        <v/>
      </c>
      <c r="N194" s="61">
        <f>Y149</f>
        <v/>
      </c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102" t="n">
        <v>23</v>
      </c>
      <c r="L195" s="9">
        <f>Y54</f>
        <v/>
      </c>
      <c r="M195" s="9">
        <f>Y102</f>
        <v/>
      </c>
      <c r="N195" s="61">
        <f>Y150</f>
        <v/>
      </c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102" t="n">
        <v>24</v>
      </c>
      <c r="L196" s="9">
        <f>Y55</f>
        <v/>
      </c>
      <c r="M196" s="9">
        <f>Y103</f>
        <v/>
      </c>
      <c r="N196" s="61">
        <f>Y151</f>
        <v/>
      </c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102" t="n">
        <v>25</v>
      </c>
      <c r="L197" s="9">
        <f>Y56</f>
        <v/>
      </c>
      <c r="M197" s="9">
        <f>Y104</f>
        <v/>
      </c>
      <c r="N197" s="61">
        <f>Y152</f>
        <v/>
      </c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102" t="n">
        <v>26</v>
      </c>
      <c r="L198" s="9">
        <f>Y57</f>
        <v/>
      </c>
      <c r="M198" s="9">
        <f>Y105</f>
        <v/>
      </c>
      <c r="N198" s="61">
        <f>Y153</f>
        <v/>
      </c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102" t="n">
        <v>27</v>
      </c>
      <c r="L199" s="9">
        <f>Y58</f>
        <v/>
      </c>
      <c r="M199" s="9">
        <f>Y106</f>
        <v/>
      </c>
      <c r="N199" s="61">
        <f>Y154</f>
        <v/>
      </c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102" t="n">
        <v>28</v>
      </c>
      <c r="L200" s="9">
        <f>Y59</f>
        <v/>
      </c>
      <c r="M200" s="9">
        <f>Y107</f>
        <v/>
      </c>
      <c r="N200" s="61">
        <f>Y155</f>
        <v/>
      </c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102" t="n">
        <v>29</v>
      </c>
      <c r="L201" s="9">
        <f>Y60</f>
        <v/>
      </c>
      <c r="M201" s="9">
        <f>Y108</f>
        <v/>
      </c>
      <c r="N201" s="61">
        <f>Y156</f>
        <v/>
      </c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102" t="n">
        <v>30</v>
      </c>
      <c r="L202" s="9">
        <f>Y61</f>
        <v/>
      </c>
      <c r="M202" s="9">
        <f>Y109</f>
        <v/>
      </c>
      <c r="N202" s="61">
        <f>Y157</f>
        <v/>
      </c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102" t="n">
        <v>31</v>
      </c>
      <c r="L203" s="9">
        <f>Y62</f>
        <v/>
      </c>
      <c r="M203" s="9">
        <f>Y110</f>
        <v/>
      </c>
      <c r="N203" s="61">
        <f>Y158</f>
        <v/>
      </c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102" t="n">
        <v>32</v>
      </c>
      <c r="L204" s="9">
        <f>Y63</f>
        <v/>
      </c>
      <c r="M204" s="9">
        <f>Y111</f>
        <v/>
      </c>
      <c r="N204" s="61">
        <f>Y159</f>
        <v/>
      </c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102" t="n">
        <v>33</v>
      </c>
      <c r="L205" s="9">
        <f>Y64</f>
        <v/>
      </c>
      <c r="M205" s="9">
        <f>Y112</f>
        <v/>
      </c>
      <c r="N205" s="61">
        <f>Y160</f>
        <v/>
      </c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102" t="n">
        <v>34</v>
      </c>
      <c r="L206" s="9">
        <f>Y65</f>
        <v/>
      </c>
      <c r="M206" s="9">
        <f>Y113</f>
        <v/>
      </c>
      <c r="N206" s="61">
        <f>Y161</f>
        <v/>
      </c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102" t="n">
        <v>35</v>
      </c>
      <c r="L207" s="9">
        <f>Y66</f>
        <v/>
      </c>
      <c r="M207" s="9">
        <f>Y114</f>
        <v/>
      </c>
      <c r="N207" s="61">
        <f>Y162</f>
        <v/>
      </c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102" t="n">
        <v>36</v>
      </c>
      <c r="L208" s="9">
        <f>Y67</f>
        <v/>
      </c>
      <c r="M208" s="9">
        <f>Y115</f>
        <v/>
      </c>
      <c r="N208" s="61">
        <f>Y163</f>
        <v/>
      </c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102" t="n">
        <v>37</v>
      </c>
      <c r="L209" s="9">
        <f>Y68</f>
        <v/>
      </c>
      <c r="M209" s="9">
        <f>Y116</f>
        <v/>
      </c>
      <c r="N209" s="61">
        <f>Y164</f>
        <v/>
      </c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102" t="n">
        <v>38</v>
      </c>
      <c r="L210" s="9">
        <f>Y69</f>
        <v/>
      </c>
      <c r="M210" s="9">
        <f>Y117</f>
        <v/>
      </c>
      <c r="N210" s="61">
        <f>Y165</f>
        <v/>
      </c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102" t="n">
        <v>39</v>
      </c>
      <c r="L211" s="9">
        <f>Y70</f>
        <v/>
      </c>
      <c r="M211" s="9">
        <f>Y118</f>
        <v/>
      </c>
      <c r="N211" s="61">
        <f>Y166</f>
        <v/>
      </c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12" t="n">
        <v>40</v>
      </c>
      <c r="L212" s="13">
        <f>Y71</f>
        <v/>
      </c>
      <c r="M212" s="13">
        <f>Y119</f>
        <v/>
      </c>
      <c r="N212" s="70">
        <f>Y167</f>
        <v/>
      </c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</row>
    <row r="216" ht="16" customHeight="1" s="326">
      <c r="A216" s="395" t="inlineStr">
        <is>
          <t>Base Scenario House x Spend Frontier (Live Sensitivity Engine)</t>
        </is>
      </c>
      <c r="B216" s="306" t="n"/>
      <c r="C216" s="306" t="n"/>
      <c r="D216" s="306" t="n"/>
      <c r="E216" s="306" t="n"/>
      <c r="F216" s="306" t="n"/>
      <c r="G216" s="306" t="n"/>
      <c r="H216" s="306" t="n"/>
      <c r="I216" s="307" t="n"/>
      <c r="J216" s="393" t="inlineStr">
        <is>
          <t>Frontier Summary</t>
        </is>
      </c>
      <c r="K216" s="306" t="n"/>
      <c r="L216" s="306" t="n"/>
      <c r="M216" s="306" t="n"/>
      <c r="N216" s="306" t="n"/>
      <c r="O216" s="306" t="n"/>
      <c r="P216" s="306" t="n"/>
      <c r="Q216" s="307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</row>
    <row r="217">
      <c r="A217" s="392" t="inlineStr">
        <is>
          <t>Tested House Band</t>
        </is>
      </c>
      <c r="B217" s="301" t="n"/>
      <c r="C217" s="397" t="inlineStr">
        <is>
          <t>Tested Baseline Retirement Spend</t>
        </is>
      </c>
      <c r="D217" s="300" t="n"/>
      <c r="E217" s="300" t="n"/>
      <c r="F217" s="300" t="n"/>
      <c r="G217" s="301" t="n"/>
      <c r="H217" s="103" t="n"/>
      <c r="I217" s="104" t="n"/>
      <c r="J217" s="308" t="inlineStr">
        <is>
          <t>Reference-case liquidity margin</t>
        </is>
      </c>
      <c r="K217" s="300" t="n"/>
      <c r="L217" s="300" t="n"/>
      <c r="M217" s="301" t="n"/>
      <c r="N217" s="390">
        <f>O239</f>
        <v/>
      </c>
      <c r="O217" s="300" t="n"/>
      <c r="P217" s="300" t="n"/>
      <c r="Q217" s="301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</row>
    <row r="218">
      <c r="A218" s="105" t="inlineStr">
        <is>
          <t>Delta</t>
        </is>
      </c>
      <c r="B218" s="106" t="inlineStr">
        <is>
          <t>House Price</t>
        </is>
      </c>
      <c r="C218" s="107" t="n">
        <v>-0.3</v>
      </c>
      <c r="D218" s="107" t="n">
        <v>-0.15</v>
      </c>
      <c r="E218" s="107" t="n">
        <v>0</v>
      </c>
      <c r="F218" s="107" t="n">
        <v>0.15</v>
      </c>
      <c r="G218" s="107" t="n">
        <v>0.3</v>
      </c>
      <c r="H218" s="103" t="n"/>
      <c r="I218" s="104" t="n"/>
      <c r="J218" s="308" t="inlineStr">
        <is>
          <t>Max tested house @ reference spend</t>
        </is>
      </c>
      <c r="K218" s="300" t="n"/>
      <c r="L218" s="300" t="n"/>
      <c r="M218" s="301" t="n"/>
      <c r="N218" s="390">
        <f>IF(O249&gt;=0,L249,IF(O244&gt;=0,L244,IF(O239&gt;=0,L239,IF(O234&gt;=0,L234,IF(O229&gt;=0,L229,0)))))</f>
        <v/>
      </c>
      <c r="O218" s="300" t="n"/>
      <c r="P218" s="300" t="n"/>
      <c r="Q218" s="301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</row>
    <row r="219">
      <c r="A219" s="105" t="inlineStr">
        <is>
          <t>Reference</t>
        </is>
      </c>
      <c r="B219" s="110">
        <f>IF($C$14&lt;=0,$H$22,IF($H$22&gt;0,MIN($C$14,$H$22),$C$14))</f>
        <v/>
      </c>
      <c r="C219" s="108">
        <f>MAX($C$12*(1+C218),0)</f>
        <v/>
      </c>
      <c r="D219" s="108">
        <f>MAX($C$12*(1+D218),0)</f>
        <v/>
      </c>
      <c r="E219" s="108">
        <f>MAX($C$12*(1+E218),0)</f>
        <v/>
      </c>
      <c r="F219" s="108">
        <f>MAX($C$12*(1+F218),0)</f>
        <v/>
      </c>
      <c r="G219" s="108">
        <f>MAX($C$12*(1+G218),0)</f>
        <v/>
      </c>
      <c r="H219" s="103" t="n"/>
      <c r="I219" s="104" t="n"/>
      <c r="J219" s="308" t="inlineStr">
        <is>
          <t>Max tested spend @ reference house</t>
        </is>
      </c>
      <c r="K219" s="300" t="n"/>
      <c r="L219" s="300" t="n"/>
      <c r="M219" s="301" t="n"/>
      <c r="N219" s="390">
        <f>IF(O241&gt;=0,N241,IF(O240&gt;=0,N240,IF(O239&gt;=0,N239,IF(O238&gt;=0,N238,IF(O237&gt;=0,N237,0)))))</f>
        <v/>
      </c>
      <c r="O219" s="300" t="n"/>
      <c r="P219" s="300" t="n"/>
      <c r="Q219" s="301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</row>
    <row r="220">
      <c r="A220" s="109" t="n">
        <v>-0.4</v>
      </c>
      <c r="B220" s="110">
        <f>MAX($B$219*(1+A220),0)</f>
        <v/>
      </c>
      <c r="C220" s="111">
        <f>O227</f>
        <v/>
      </c>
      <c r="D220" s="111">
        <f>O228</f>
        <v/>
      </c>
      <c r="E220" s="111">
        <f>O229</f>
        <v/>
      </c>
      <c r="F220" s="111">
        <f>O230</f>
        <v/>
      </c>
      <c r="G220" s="111">
        <f>O231</f>
        <v/>
      </c>
      <c r="H220" s="103" t="n"/>
      <c r="I220" s="104" t="n"/>
      <c r="J220" s="308" t="inlineStr">
        <is>
          <t>Best tested liquidity margin</t>
        </is>
      </c>
      <c r="K220" s="300" t="n"/>
      <c r="L220" s="300" t="n"/>
      <c r="M220" s="301" t="n"/>
      <c r="N220" s="390">
        <f>MAX(O227:O251)</f>
        <v/>
      </c>
      <c r="O220" s="300" t="n"/>
      <c r="P220" s="300" t="n"/>
      <c r="Q220" s="301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</row>
    <row r="221">
      <c r="A221" s="109" t="n">
        <v>-0.2</v>
      </c>
      <c r="B221" s="110">
        <f>MAX($B$219*(1+A221),0)</f>
        <v/>
      </c>
      <c r="C221" s="111">
        <f>O232</f>
        <v/>
      </c>
      <c r="D221" s="111">
        <f>O233</f>
        <v/>
      </c>
      <c r="E221" s="111">
        <f>O234</f>
        <v/>
      </c>
      <c r="F221" s="111">
        <f>O235</f>
        <v/>
      </c>
      <c r="G221" s="111">
        <f>O236</f>
        <v/>
      </c>
      <c r="H221" s="103" t="n"/>
      <c r="I221" s="104" t="n"/>
      <c r="J221" s="308" t="inlineStr">
        <is>
          <t>Worst tested liquidity margin</t>
        </is>
      </c>
      <c r="K221" s="300" t="n"/>
      <c r="L221" s="300" t="n"/>
      <c r="M221" s="301" t="n"/>
      <c r="N221" s="390">
        <f>MIN(O227:O251)</f>
        <v/>
      </c>
      <c r="O221" s="300" t="n"/>
      <c r="P221" s="300" t="n"/>
      <c r="Q221" s="301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</row>
    <row r="222">
      <c r="A222" s="109" t="n">
        <v>0</v>
      </c>
      <c r="B222" s="110">
        <f>MAX($B$219*(1+A222),0)</f>
        <v/>
      </c>
      <c r="C222" s="111">
        <f>O237</f>
        <v/>
      </c>
      <c r="D222" s="111">
        <f>O238</f>
        <v/>
      </c>
      <c r="E222" s="111">
        <f>O239</f>
        <v/>
      </c>
      <c r="F222" s="111">
        <f>O240</f>
        <v/>
      </c>
      <c r="G222" s="111">
        <f>O241</f>
        <v/>
      </c>
      <c r="H222" s="103" t="n"/>
      <c r="I222" s="104" t="n"/>
      <c r="J222" s="308" t="inlineStr">
        <is>
          <t>Reference-case ending liquid wealth</t>
        </is>
      </c>
      <c r="K222" s="300" t="n"/>
      <c r="L222" s="300" t="n"/>
      <c r="M222" s="301" t="n"/>
      <c r="N222" s="390">
        <f>P239</f>
        <v/>
      </c>
      <c r="O222" s="300" t="n"/>
      <c r="P222" s="300" t="n"/>
      <c r="Q222" s="301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</row>
    <row r="223">
      <c r="A223" s="109" t="n">
        <v>0.2</v>
      </c>
      <c r="B223" s="110">
        <f>MAX($B$219*(1+A223),0)</f>
        <v/>
      </c>
      <c r="C223" s="111">
        <f>O242</f>
        <v/>
      </c>
      <c r="D223" s="111">
        <f>O243</f>
        <v/>
      </c>
      <c r="E223" s="111">
        <f>O244</f>
        <v/>
      </c>
      <c r="F223" s="111">
        <f>O245</f>
        <v/>
      </c>
      <c r="G223" s="111">
        <f>O246</f>
        <v/>
      </c>
      <c r="H223" s="103" t="n"/>
      <c r="I223" s="104" t="n"/>
      <c r="J223" s="308" t="inlineStr">
        <is>
          <t>Reference-case ending net worth</t>
        </is>
      </c>
      <c r="K223" s="300" t="n"/>
      <c r="L223" s="300" t="n"/>
      <c r="M223" s="301" t="n"/>
      <c r="N223" s="390">
        <f>R239</f>
        <v/>
      </c>
      <c r="O223" s="300" t="n"/>
      <c r="P223" s="300" t="n"/>
      <c r="Q223" s="301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</row>
    <row r="224" ht="54" customHeight="1" s="326">
      <c r="A224" s="112" t="n">
        <v>0.4</v>
      </c>
      <c r="B224" s="113">
        <f>MAX($B$219*(1+A224),0)</f>
        <v/>
      </c>
      <c r="C224" s="114">
        <f>O247</f>
        <v/>
      </c>
      <c r="D224" s="114">
        <f>O248</f>
        <v/>
      </c>
      <c r="E224" s="114">
        <f>O249</f>
        <v/>
      </c>
      <c r="F224" s="114">
        <f>O250</f>
        <v/>
      </c>
      <c r="G224" s="114">
        <f>O251</f>
        <v/>
      </c>
      <c r="H224" s="115" t="n"/>
      <c r="I224" s="14" t="n"/>
      <c r="J224" s="388" t="inlineStr">
        <is>
          <t>This grid centers the house band on the smaller of your current target house and the base planning max house so the frontier stays near a feasible region. Positive margin means liquid wealth stayed above the reserve floor. The repeated case blocks below are live dashboard support calculations; use outline controls to collapse them when reading the sheet.</t>
        </is>
      </c>
      <c r="K224" s="314" t="n"/>
      <c r="L224" s="314" t="n"/>
      <c r="M224" s="314" t="n"/>
      <c r="N224" s="314" t="n"/>
      <c r="O224" s="314" t="n"/>
      <c r="P224" s="314" t="n"/>
      <c r="Q224" s="31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</row>
    <row r="226" ht="32" customHeight="1" s="3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6" t="inlineStr">
        <is>
          <t>Case</t>
        </is>
      </c>
      <c r="K226" s="117" t="inlineStr">
        <is>
          <t>House Delta</t>
        </is>
      </c>
      <c r="L226" s="117" t="inlineStr">
        <is>
          <t>House Price</t>
        </is>
      </c>
      <c r="M226" s="117" t="inlineStr">
        <is>
          <t>Spend Delta</t>
        </is>
      </c>
      <c r="N226" s="117" t="inlineStr">
        <is>
          <t>Baseline Spend</t>
        </is>
      </c>
      <c r="O226" s="117" t="inlineStr">
        <is>
          <t>Liquidity Margin</t>
        </is>
      </c>
      <c r="P226" s="117" t="inlineStr">
        <is>
          <t>Ending Liquid</t>
        </is>
      </c>
      <c r="Q226" s="117" t="inlineStr">
        <is>
          <t>First Shortfall</t>
        </is>
      </c>
      <c r="R226" s="118" t="inlineStr">
        <is>
          <t>Ending Net Worth</t>
        </is>
      </c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9" t="inlineStr">
        <is>
          <t>Case 01</t>
        </is>
      </c>
      <c r="K227" s="120" t="n">
        <v>-0.4</v>
      </c>
      <c r="L227" s="121">
        <f>MAX($B$219*(1+K227),0)</f>
        <v/>
      </c>
      <c r="M227" s="120" t="n">
        <v>-0.3</v>
      </c>
      <c r="N227" s="121">
        <f>MAX($C$12*(1+M227),0)</f>
        <v/>
      </c>
      <c r="O227" s="121">
        <f>W297</f>
        <v/>
      </c>
      <c r="P227" s="121">
        <f>U296</f>
        <v/>
      </c>
      <c r="Q227" s="122">
        <f>IF(COUNTIF(V257:V296,"&gt;0")=0,0,INDEX(A257:A296,MATCH(1,INDEX((V257:V296&gt;0)*1,0),0)))</f>
        <v/>
      </c>
      <c r="R227" s="123">
        <f>AA296</f>
        <v/>
      </c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24" t="inlineStr">
        <is>
          <t>Case 02</t>
        </is>
      </c>
      <c r="K228" s="125" t="n">
        <v>-0.4</v>
      </c>
      <c r="L228" s="126">
        <f>MAX($B$219*(1+K228),0)</f>
        <v/>
      </c>
      <c r="M228" s="125" t="n">
        <v>-0.15</v>
      </c>
      <c r="N228" s="126">
        <f>MAX($C$12*(1+M228),0)</f>
        <v/>
      </c>
      <c r="O228" s="126">
        <f>W341</f>
        <v/>
      </c>
      <c r="P228" s="126">
        <f>U340</f>
        <v/>
      </c>
      <c r="Q228" s="127">
        <f>IF(COUNTIF(V301:V340,"&gt;0")=0,0,INDEX(A301:A340,MATCH(1,INDEX((V301:V340&gt;0)*1,0),0)))</f>
        <v/>
      </c>
      <c r="R228" s="128">
        <f>AA340</f>
        <v/>
      </c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9" t="inlineStr">
        <is>
          <t>Case 03</t>
        </is>
      </c>
      <c r="K229" s="120" t="n">
        <v>-0.4</v>
      </c>
      <c r="L229" s="121">
        <f>MAX($B$219*(1+K229),0)</f>
        <v/>
      </c>
      <c r="M229" s="120" t="n">
        <v>0</v>
      </c>
      <c r="N229" s="121">
        <f>MAX($C$12*(1+M229),0)</f>
        <v/>
      </c>
      <c r="O229" s="121">
        <f>W385</f>
        <v/>
      </c>
      <c r="P229" s="121">
        <f>U384</f>
        <v/>
      </c>
      <c r="Q229" s="122">
        <f>IF(COUNTIF(V345:V384,"&gt;0")=0,0,INDEX(A345:A384,MATCH(1,INDEX((V345:V384&gt;0)*1,0),0)))</f>
        <v/>
      </c>
      <c r="R229" s="123">
        <f>AA384</f>
        <v/>
      </c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24" t="inlineStr">
        <is>
          <t>Case 04</t>
        </is>
      </c>
      <c r="K230" s="125" t="n">
        <v>-0.4</v>
      </c>
      <c r="L230" s="126">
        <f>MAX($B$219*(1+K230),0)</f>
        <v/>
      </c>
      <c r="M230" s="125" t="n">
        <v>0.15</v>
      </c>
      <c r="N230" s="126">
        <f>MAX($C$12*(1+M230),0)</f>
        <v/>
      </c>
      <c r="O230" s="126">
        <f>W429</f>
        <v/>
      </c>
      <c r="P230" s="126">
        <f>U428</f>
        <v/>
      </c>
      <c r="Q230" s="127">
        <f>IF(COUNTIF(V389:V428,"&gt;0")=0,0,INDEX(A389:A428,MATCH(1,INDEX((V389:V428&gt;0)*1,0),0)))</f>
        <v/>
      </c>
      <c r="R230" s="128">
        <f>AA428</f>
        <v/>
      </c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9" t="inlineStr">
        <is>
          <t>Case 05</t>
        </is>
      </c>
      <c r="K231" s="120" t="n">
        <v>-0.4</v>
      </c>
      <c r="L231" s="121">
        <f>MAX($B$219*(1+K231),0)</f>
        <v/>
      </c>
      <c r="M231" s="120" t="n">
        <v>0.3</v>
      </c>
      <c r="N231" s="121">
        <f>MAX($C$12*(1+M231),0)</f>
        <v/>
      </c>
      <c r="O231" s="121">
        <f>W473</f>
        <v/>
      </c>
      <c r="P231" s="121">
        <f>U472</f>
        <v/>
      </c>
      <c r="Q231" s="122">
        <f>IF(COUNTIF(V433:V472,"&gt;0")=0,0,INDEX(A433:A472,MATCH(1,INDEX((V433:V472&gt;0)*1,0),0)))</f>
        <v/>
      </c>
      <c r="R231" s="123">
        <f>AA472</f>
        <v/>
      </c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24" t="inlineStr">
        <is>
          <t>Case 06</t>
        </is>
      </c>
      <c r="K232" s="125" t="n">
        <v>-0.2</v>
      </c>
      <c r="L232" s="126">
        <f>MAX($B$219*(1+K232),0)</f>
        <v/>
      </c>
      <c r="M232" s="125" t="n">
        <v>-0.3</v>
      </c>
      <c r="N232" s="126">
        <f>MAX($C$12*(1+M232),0)</f>
        <v/>
      </c>
      <c r="O232" s="126">
        <f>W517</f>
        <v/>
      </c>
      <c r="P232" s="126">
        <f>U516</f>
        <v/>
      </c>
      <c r="Q232" s="127">
        <f>IF(COUNTIF(V477:V516,"&gt;0")=0,0,INDEX(A477:A516,MATCH(1,INDEX((V477:V516&gt;0)*1,0),0)))</f>
        <v/>
      </c>
      <c r="R232" s="128">
        <f>AA516</f>
        <v/>
      </c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9" t="inlineStr">
        <is>
          <t>Case 07</t>
        </is>
      </c>
      <c r="K233" s="120" t="n">
        <v>-0.2</v>
      </c>
      <c r="L233" s="121">
        <f>MAX($B$219*(1+K233),0)</f>
        <v/>
      </c>
      <c r="M233" s="120" t="n">
        <v>-0.15</v>
      </c>
      <c r="N233" s="121">
        <f>MAX($C$12*(1+M233),0)</f>
        <v/>
      </c>
      <c r="O233" s="121">
        <f>W561</f>
        <v/>
      </c>
      <c r="P233" s="121">
        <f>U560</f>
        <v/>
      </c>
      <c r="Q233" s="122">
        <f>IF(COUNTIF(V521:V560,"&gt;0")=0,0,INDEX(A521:A560,MATCH(1,INDEX((V521:V560&gt;0)*1,0),0)))</f>
        <v/>
      </c>
      <c r="R233" s="123">
        <f>AA560</f>
        <v/>
      </c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24" t="inlineStr">
        <is>
          <t>Case 08</t>
        </is>
      </c>
      <c r="K234" s="125" t="n">
        <v>-0.2</v>
      </c>
      <c r="L234" s="126">
        <f>MAX($B$219*(1+K234),0)</f>
        <v/>
      </c>
      <c r="M234" s="125" t="n">
        <v>0</v>
      </c>
      <c r="N234" s="126">
        <f>MAX($C$12*(1+M234),0)</f>
        <v/>
      </c>
      <c r="O234" s="126">
        <f>W605</f>
        <v/>
      </c>
      <c r="P234" s="126">
        <f>U604</f>
        <v/>
      </c>
      <c r="Q234" s="127">
        <f>IF(COUNTIF(V565:V604,"&gt;0")=0,0,INDEX(A565:A604,MATCH(1,INDEX((V565:V604&gt;0)*1,0),0)))</f>
        <v/>
      </c>
      <c r="R234" s="128">
        <f>AA604</f>
        <v/>
      </c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9" t="inlineStr">
        <is>
          <t>Case 09</t>
        </is>
      </c>
      <c r="K235" s="120" t="n">
        <v>-0.2</v>
      </c>
      <c r="L235" s="121">
        <f>MAX($B$219*(1+K235),0)</f>
        <v/>
      </c>
      <c r="M235" s="120" t="n">
        <v>0.15</v>
      </c>
      <c r="N235" s="121">
        <f>MAX($C$12*(1+M235),0)</f>
        <v/>
      </c>
      <c r="O235" s="121">
        <f>W649</f>
        <v/>
      </c>
      <c r="P235" s="121">
        <f>U648</f>
        <v/>
      </c>
      <c r="Q235" s="122">
        <f>IF(COUNTIF(V609:V648,"&gt;0")=0,0,INDEX(A609:A648,MATCH(1,INDEX((V609:V648&gt;0)*1,0),0)))</f>
        <v/>
      </c>
      <c r="R235" s="123">
        <f>AA648</f>
        <v/>
      </c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24" t="inlineStr">
        <is>
          <t>Case 10</t>
        </is>
      </c>
      <c r="K236" s="125" t="n">
        <v>-0.2</v>
      </c>
      <c r="L236" s="126">
        <f>MAX($B$219*(1+K236),0)</f>
        <v/>
      </c>
      <c r="M236" s="125" t="n">
        <v>0.3</v>
      </c>
      <c r="N236" s="126">
        <f>MAX($C$12*(1+M236),0)</f>
        <v/>
      </c>
      <c r="O236" s="126">
        <f>W693</f>
        <v/>
      </c>
      <c r="P236" s="126">
        <f>U692</f>
        <v/>
      </c>
      <c r="Q236" s="127">
        <f>IF(COUNTIF(V653:V692,"&gt;0")=0,0,INDEX(A653:A692,MATCH(1,INDEX((V653:V692&gt;0)*1,0),0)))</f>
        <v/>
      </c>
      <c r="R236" s="128">
        <f>AA692</f>
        <v/>
      </c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9" t="inlineStr">
        <is>
          <t>Case 11</t>
        </is>
      </c>
      <c r="K237" s="120" t="n">
        <v>0</v>
      </c>
      <c r="L237" s="121">
        <f>MAX($B$219*(1+K237),0)</f>
        <v/>
      </c>
      <c r="M237" s="120" t="n">
        <v>-0.3</v>
      </c>
      <c r="N237" s="121">
        <f>MAX($C$12*(1+M237),0)</f>
        <v/>
      </c>
      <c r="O237" s="121">
        <f>W737</f>
        <v/>
      </c>
      <c r="P237" s="121">
        <f>U736</f>
        <v/>
      </c>
      <c r="Q237" s="122">
        <f>IF(COUNTIF(V697:V736,"&gt;0")=0,0,INDEX(A697:A736,MATCH(1,INDEX((V697:V736&gt;0)*1,0),0)))</f>
        <v/>
      </c>
      <c r="R237" s="123">
        <f>AA736</f>
        <v/>
      </c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24" t="inlineStr">
        <is>
          <t>Case 12</t>
        </is>
      </c>
      <c r="K238" s="125" t="n">
        <v>0</v>
      </c>
      <c r="L238" s="126">
        <f>MAX($B$219*(1+K238),0)</f>
        <v/>
      </c>
      <c r="M238" s="125" t="n">
        <v>-0.15</v>
      </c>
      <c r="N238" s="126">
        <f>MAX($C$12*(1+M238),0)</f>
        <v/>
      </c>
      <c r="O238" s="126">
        <f>W781</f>
        <v/>
      </c>
      <c r="P238" s="126">
        <f>U780</f>
        <v/>
      </c>
      <c r="Q238" s="127">
        <f>IF(COUNTIF(V741:V780,"&gt;0")=0,0,INDEX(A741:A780,MATCH(1,INDEX((V741:V780&gt;0)*1,0),0)))</f>
        <v/>
      </c>
      <c r="R238" s="128">
        <f>AA780</f>
        <v/>
      </c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9" t="inlineStr">
        <is>
          <t>Case 13</t>
        </is>
      </c>
      <c r="K239" s="120" t="n">
        <v>0</v>
      </c>
      <c r="L239" s="121">
        <f>MAX($B$219*(1+K239),0)</f>
        <v/>
      </c>
      <c r="M239" s="120" t="n">
        <v>0</v>
      </c>
      <c r="N239" s="121">
        <f>MAX($C$12*(1+M239),0)</f>
        <v/>
      </c>
      <c r="O239" s="121">
        <f>W825</f>
        <v/>
      </c>
      <c r="P239" s="121">
        <f>U824</f>
        <v/>
      </c>
      <c r="Q239" s="122">
        <f>IF(COUNTIF(V785:V824,"&gt;0")=0,0,INDEX(A785:A824,MATCH(1,INDEX((V785:V824&gt;0)*1,0),0)))</f>
        <v/>
      </c>
      <c r="R239" s="123">
        <f>AA824</f>
        <v/>
      </c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24" t="inlineStr">
        <is>
          <t>Case 14</t>
        </is>
      </c>
      <c r="K240" s="125" t="n">
        <v>0</v>
      </c>
      <c r="L240" s="126">
        <f>MAX($B$219*(1+K240),0)</f>
        <v/>
      </c>
      <c r="M240" s="125" t="n">
        <v>0.15</v>
      </c>
      <c r="N240" s="126">
        <f>MAX($C$12*(1+M240),0)</f>
        <v/>
      </c>
      <c r="O240" s="126">
        <f>W869</f>
        <v/>
      </c>
      <c r="P240" s="126">
        <f>U868</f>
        <v/>
      </c>
      <c r="Q240" s="127">
        <f>IF(COUNTIF(V829:V868,"&gt;0")=0,0,INDEX(A829:A868,MATCH(1,INDEX((V829:V868&gt;0)*1,0),0)))</f>
        <v/>
      </c>
      <c r="R240" s="128">
        <f>AA868</f>
        <v/>
      </c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9" t="inlineStr">
        <is>
          <t>Case 15</t>
        </is>
      </c>
      <c r="K241" s="120" t="n">
        <v>0</v>
      </c>
      <c r="L241" s="121">
        <f>MAX($B$219*(1+K241),0)</f>
        <v/>
      </c>
      <c r="M241" s="120" t="n">
        <v>0.3</v>
      </c>
      <c r="N241" s="121">
        <f>MAX($C$12*(1+M241),0)</f>
        <v/>
      </c>
      <c r="O241" s="121">
        <f>W913</f>
        <v/>
      </c>
      <c r="P241" s="121">
        <f>U912</f>
        <v/>
      </c>
      <c r="Q241" s="122">
        <f>IF(COUNTIF(V873:V912,"&gt;0")=0,0,INDEX(A873:A912,MATCH(1,INDEX((V873:V912&gt;0)*1,0),0)))</f>
        <v/>
      </c>
      <c r="R241" s="123">
        <f>AA912</f>
        <v/>
      </c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24" t="inlineStr">
        <is>
          <t>Case 16</t>
        </is>
      </c>
      <c r="K242" s="125" t="n">
        <v>0.2</v>
      </c>
      <c r="L242" s="126">
        <f>MAX($B$219*(1+K242),0)</f>
        <v/>
      </c>
      <c r="M242" s="125" t="n">
        <v>-0.3</v>
      </c>
      <c r="N242" s="126">
        <f>MAX($C$12*(1+M242),0)</f>
        <v/>
      </c>
      <c r="O242" s="126">
        <f>W957</f>
        <v/>
      </c>
      <c r="P242" s="126">
        <f>U956</f>
        <v/>
      </c>
      <c r="Q242" s="127">
        <f>IF(COUNTIF(V917:V956,"&gt;0")=0,0,INDEX(A917:A956,MATCH(1,INDEX((V917:V956&gt;0)*1,0),0)))</f>
        <v/>
      </c>
      <c r="R242" s="128">
        <f>AA956</f>
        <v/>
      </c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9" t="inlineStr">
        <is>
          <t>Case 17</t>
        </is>
      </c>
      <c r="K243" s="120" t="n">
        <v>0.2</v>
      </c>
      <c r="L243" s="121">
        <f>MAX($B$219*(1+K243),0)</f>
        <v/>
      </c>
      <c r="M243" s="120" t="n">
        <v>-0.15</v>
      </c>
      <c r="N243" s="121">
        <f>MAX($C$12*(1+M243),0)</f>
        <v/>
      </c>
      <c r="O243" s="121">
        <f>W1001</f>
        <v/>
      </c>
      <c r="P243" s="121">
        <f>U1000</f>
        <v/>
      </c>
      <c r="Q243" s="122">
        <f>IF(COUNTIF(V961:V1000,"&gt;0")=0,0,INDEX(A961:A1000,MATCH(1,INDEX((V961:V1000&gt;0)*1,0),0)))</f>
        <v/>
      </c>
      <c r="R243" s="123">
        <f>AA1000</f>
        <v/>
      </c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24" t="inlineStr">
        <is>
          <t>Case 18</t>
        </is>
      </c>
      <c r="K244" s="125" t="n">
        <v>0.2</v>
      </c>
      <c r="L244" s="126">
        <f>MAX($B$219*(1+K244),0)</f>
        <v/>
      </c>
      <c r="M244" s="125" t="n">
        <v>0</v>
      </c>
      <c r="N244" s="126">
        <f>MAX($C$12*(1+M244),0)</f>
        <v/>
      </c>
      <c r="O244" s="126">
        <f>W1045</f>
        <v/>
      </c>
      <c r="P244" s="126">
        <f>U1044</f>
        <v/>
      </c>
      <c r="Q244" s="127">
        <f>IF(COUNTIF(V1005:V1044,"&gt;0")=0,0,INDEX(A1005:A1044,MATCH(1,INDEX((V1005:V1044&gt;0)*1,0),0)))</f>
        <v/>
      </c>
      <c r="R244" s="128">
        <f>AA1044</f>
        <v/>
      </c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9" t="inlineStr">
        <is>
          <t>Case 19</t>
        </is>
      </c>
      <c r="K245" s="120" t="n">
        <v>0.2</v>
      </c>
      <c r="L245" s="121">
        <f>MAX($B$219*(1+K245),0)</f>
        <v/>
      </c>
      <c r="M245" s="120" t="n">
        <v>0.15</v>
      </c>
      <c r="N245" s="121">
        <f>MAX($C$12*(1+M245),0)</f>
        <v/>
      </c>
      <c r="O245" s="121">
        <f>W1089</f>
        <v/>
      </c>
      <c r="P245" s="121">
        <f>U1088</f>
        <v/>
      </c>
      <c r="Q245" s="122">
        <f>IF(COUNTIF(V1049:V1088,"&gt;0")=0,0,INDEX(A1049:A1088,MATCH(1,INDEX((V1049:V1088&gt;0)*1,0),0)))</f>
        <v/>
      </c>
      <c r="R245" s="123">
        <f>AA1088</f>
        <v/>
      </c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24" t="inlineStr">
        <is>
          <t>Case 20</t>
        </is>
      </c>
      <c r="K246" s="125" t="n">
        <v>0.2</v>
      </c>
      <c r="L246" s="126">
        <f>MAX($B$219*(1+K246),0)</f>
        <v/>
      </c>
      <c r="M246" s="125" t="n">
        <v>0.3</v>
      </c>
      <c r="N246" s="126">
        <f>MAX($C$12*(1+M246),0)</f>
        <v/>
      </c>
      <c r="O246" s="126">
        <f>W1133</f>
        <v/>
      </c>
      <c r="P246" s="126">
        <f>U1132</f>
        <v/>
      </c>
      <c r="Q246" s="127">
        <f>IF(COUNTIF(V1093:V1132,"&gt;0")=0,0,INDEX(A1093:A1132,MATCH(1,INDEX((V1093:V1132&gt;0)*1,0),0)))</f>
        <v/>
      </c>
      <c r="R246" s="128">
        <f>AA1132</f>
        <v/>
      </c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9" t="inlineStr">
        <is>
          <t>Case 21</t>
        </is>
      </c>
      <c r="K247" s="120" t="n">
        <v>0.4</v>
      </c>
      <c r="L247" s="121">
        <f>MAX($B$219*(1+K247),0)</f>
        <v/>
      </c>
      <c r="M247" s="120" t="n">
        <v>-0.3</v>
      </c>
      <c r="N247" s="121">
        <f>MAX($C$12*(1+M247),0)</f>
        <v/>
      </c>
      <c r="O247" s="121">
        <f>W1177</f>
        <v/>
      </c>
      <c r="P247" s="121">
        <f>U1176</f>
        <v/>
      </c>
      <c r="Q247" s="122">
        <f>IF(COUNTIF(V1137:V1176,"&gt;0")=0,0,INDEX(A1137:A1176,MATCH(1,INDEX((V1137:V1176&gt;0)*1,0),0)))</f>
        <v/>
      </c>
      <c r="R247" s="123">
        <f>AA1176</f>
        <v/>
      </c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24" t="inlineStr">
        <is>
          <t>Case 22</t>
        </is>
      </c>
      <c r="K248" s="125" t="n">
        <v>0.4</v>
      </c>
      <c r="L248" s="126">
        <f>MAX($B$219*(1+K248),0)</f>
        <v/>
      </c>
      <c r="M248" s="125" t="n">
        <v>-0.15</v>
      </c>
      <c r="N248" s="126">
        <f>MAX($C$12*(1+M248),0)</f>
        <v/>
      </c>
      <c r="O248" s="126">
        <f>W1221</f>
        <v/>
      </c>
      <c r="P248" s="126">
        <f>U1220</f>
        <v/>
      </c>
      <c r="Q248" s="127">
        <f>IF(COUNTIF(V1181:V1220,"&gt;0")=0,0,INDEX(A1181:A1220,MATCH(1,INDEX((V1181:V1220&gt;0)*1,0),0)))</f>
        <v/>
      </c>
      <c r="R248" s="128">
        <f>AA1220</f>
        <v/>
      </c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9" t="inlineStr">
        <is>
          <t>Case 23</t>
        </is>
      </c>
      <c r="K249" s="120" t="n">
        <v>0.4</v>
      </c>
      <c r="L249" s="121">
        <f>MAX($B$219*(1+K249),0)</f>
        <v/>
      </c>
      <c r="M249" s="120" t="n">
        <v>0</v>
      </c>
      <c r="N249" s="121">
        <f>MAX($C$12*(1+M249),0)</f>
        <v/>
      </c>
      <c r="O249" s="121">
        <f>W1265</f>
        <v/>
      </c>
      <c r="P249" s="121">
        <f>U1264</f>
        <v/>
      </c>
      <c r="Q249" s="122">
        <f>IF(COUNTIF(V1225:V1264,"&gt;0")=0,0,INDEX(A1225:A1264,MATCH(1,INDEX((V1225:V1264&gt;0)*1,0),0)))</f>
        <v/>
      </c>
      <c r="R249" s="123">
        <f>AA1264</f>
        <v/>
      </c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24" t="inlineStr">
        <is>
          <t>Case 24</t>
        </is>
      </c>
      <c r="K250" s="125" t="n">
        <v>0.4</v>
      </c>
      <c r="L250" s="126">
        <f>MAX($B$219*(1+K250),0)</f>
        <v/>
      </c>
      <c r="M250" s="125" t="n">
        <v>0.15</v>
      </c>
      <c r="N250" s="126">
        <f>MAX($C$12*(1+M250),0)</f>
        <v/>
      </c>
      <c r="O250" s="126">
        <f>W1309</f>
        <v/>
      </c>
      <c r="P250" s="126">
        <f>U1308</f>
        <v/>
      </c>
      <c r="Q250" s="127">
        <f>IF(COUNTIF(V1269:V1308,"&gt;0")=0,0,INDEX(A1269:A1308,MATCH(1,INDEX((V1269:V1308&gt;0)*1,0),0)))</f>
        <v/>
      </c>
      <c r="R250" s="128">
        <f>AA1308</f>
        <v/>
      </c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29" t="inlineStr">
        <is>
          <t>Case 25</t>
        </is>
      </c>
      <c r="K251" s="130" t="n">
        <v>0.4</v>
      </c>
      <c r="L251" s="131">
        <f>MAX($B$219*(1+K251),0)</f>
        <v/>
      </c>
      <c r="M251" s="130" t="n">
        <v>0.3</v>
      </c>
      <c r="N251" s="131">
        <f>MAX($C$12*(1+M251),0)</f>
        <v/>
      </c>
      <c r="O251" s="131">
        <f>W1353</f>
        <v/>
      </c>
      <c r="P251" s="131">
        <f>U1352</f>
        <v/>
      </c>
      <c r="Q251" s="132">
        <f>IF(COUNTIF(V1313:V1352,"&gt;0")=0,0,INDEX(A1313:A1352,MATCH(1,INDEX((V1313:V1352&gt;0)*1,0),0)))</f>
        <v/>
      </c>
      <c r="R251" s="133">
        <f>AA1352</f>
        <v/>
      </c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</row>
    <row r="255">
      <c r="A255" s="387">
        <f>J227&amp;" | House "&amp;TEXT($L$227,"$#,##0")&amp;" | Spend "&amp;TEXT($N$227,"$#,##0")</f>
        <v/>
      </c>
      <c r="B255" s="345" t="n"/>
      <c r="C255" s="345" t="n"/>
      <c r="D255" s="345" t="n"/>
      <c r="E255" s="345" t="n"/>
      <c r="F255" s="345" t="n"/>
      <c r="G255" s="345" t="n"/>
      <c r="H255" s="345" t="n"/>
      <c r="I255" s="345" t="n"/>
      <c r="J255" s="345" t="n"/>
      <c r="K255" s="345" t="n"/>
      <c r="L255" s="345" t="n"/>
      <c r="M255" s="345" t="n"/>
      <c r="N255" s="345" t="n"/>
      <c r="O255" s="345" t="n"/>
      <c r="P255" s="345" t="n"/>
      <c r="Q255" s="345" t="n"/>
      <c r="R255" s="345" t="n"/>
      <c r="S255" s="345" t="n"/>
      <c r="T255" s="345" t="n"/>
      <c r="U255" s="345" t="n"/>
      <c r="V255" s="345" t="n"/>
      <c r="W255" s="345" t="n"/>
      <c r="X255" s="345" t="n"/>
      <c r="Y255" s="345" t="n"/>
      <c r="Z255" s="345" t="n"/>
      <c r="AA255" s="346" t="n"/>
      <c r="AB255" s="5" t="n"/>
      <c r="AC255" s="5" t="n"/>
      <c r="AD255" s="5" t="n"/>
      <c r="AE255" s="5" t="n"/>
      <c r="AF255" s="5" t="n"/>
      <c r="AG255" s="5" t="n"/>
    </row>
    <row r="256" outlineLevel="1" ht="34" customHeight="1" s="326">
      <c r="A256" s="134" t="inlineStr">
        <is>
          <t>Year</t>
        </is>
      </c>
      <c r="B256" s="83" t="inlineStr">
        <is>
          <t>Phase</t>
        </is>
      </c>
      <c r="C256" s="83" t="inlineStr">
        <is>
          <t>Gross</t>
        </is>
      </c>
      <c r="D256" s="83" t="inlineStr">
        <is>
          <t>Post-Tax Cash</t>
        </is>
      </c>
      <c r="E256" s="83" t="inlineStr">
        <is>
          <t>Rent</t>
        </is>
      </c>
      <c r="F256" s="83" t="inlineStr">
        <is>
          <t>Living</t>
        </is>
      </c>
      <c r="G256" s="83" t="inlineStr">
        <is>
          <t>House Cash</t>
        </is>
      </c>
      <c r="H256" s="83" t="inlineStr">
        <is>
          <t>Housing Carry</t>
        </is>
      </c>
      <c r="I256" s="83" t="inlineStr">
        <is>
          <t>Roth</t>
        </is>
      </c>
      <c r="J256" s="83" t="inlineStr">
        <is>
          <t>Taxable Sav / (Draw)</t>
        </is>
      </c>
      <c r="K256" s="83" t="inlineStr">
        <is>
          <t>Planned Need</t>
        </is>
      </c>
      <c r="L256" s="83" t="inlineStr">
        <is>
          <t>Actual W/D</t>
        </is>
      </c>
      <c r="M256" s="83" t="inlineStr">
        <is>
          <t>Taxable Draw</t>
        </is>
      </c>
      <c r="N256" s="83" t="inlineStr">
        <is>
          <t>401(k) Draw</t>
        </is>
      </c>
      <c r="O256" s="83" t="inlineStr">
        <is>
          <t>Roth Draw</t>
        </is>
      </c>
      <c r="P256" s="83" t="inlineStr">
        <is>
          <t>HSA Draw</t>
        </is>
      </c>
      <c r="Q256" s="83" t="inlineStr">
        <is>
          <t>Taxable Bal</t>
        </is>
      </c>
      <c r="R256" s="83" t="inlineStr">
        <is>
          <t>401(k) Bal</t>
        </is>
      </c>
      <c r="S256" s="83" t="inlineStr">
        <is>
          <t>Roth Bal</t>
        </is>
      </c>
      <c r="T256" s="83" t="inlineStr">
        <is>
          <t>HSA Bal</t>
        </is>
      </c>
      <c r="U256" s="83" t="inlineStr">
        <is>
          <t>Liquid Wealth</t>
        </is>
      </c>
      <c r="V256" s="83" t="inlineStr">
        <is>
          <t>Funding Gap</t>
        </is>
      </c>
      <c r="W256" s="83" t="inlineStr">
        <is>
          <t>Margin vs Reserve</t>
        </is>
      </c>
      <c r="X256" s="83" t="inlineStr">
        <is>
          <t>House Value</t>
        </is>
      </c>
      <c r="Y256" s="83" t="inlineStr">
        <is>
          <t>Mortgage Balance</t>
        </is>
      </c>
      <c r="Z256" s="83" t="inlineStr">
        <is>
          <t>Home Equity</t>
        </is>
      </c>
      <c r="AA256" s="135" t="inlineStr">
        <is>
          <t>Net Worth</t>
        </is>
      </c>
      <c r="AB256" s="5" t="n"/>
      <c r="AC256" s="5" t="n"/>
      <c r="AD256" s="5" t="n"/>
      <c r="AE256" s="5" t="n"/>
      <c r="AF256" s="5" t="n"/>
      <c r="AG256" s="5" t="n"/>
    </row>
    <row r="257" outlineLevel="1" s="326">
      <c r="A257" s="136" t="n">
        <v>1</v>
      </c>
      <c r="B257" s="72">
        <f>B80</f>
        <v/>
      </c>
      <c r="C257" s="137">
        <f>D80</f>
        <v/>
      </c>
      <c r="D257" s="137">
        <f>I80</f>
        <v/>
      </c>
      <c r="E257" s="137">
        <f>J80</f>
        <v/>
      </c>
      <c r="F257" s="137">
        <f>K80</f>
        <v/>
      </c>
      <c r="G257" s="138">
        <f>IF(AND($L$227&gt;0,A257=$C$13),$L$227*($C$15+$C$18),0)+IF(AND($L$227&gt;0,A257=$C$13),$C$24,0)</f>
        <v/>
      </c>
      <c r="H257" s="138">
        <f>IF(OR($L$227&lt;=0,A257&lt;$C$13),0,IF(AND($L$227&gt;0,$C$17&gt;0,A257&gt;=$C$13,A257&lt;($C$13+$C$17)),IF($C$17&lt;=0,0,IF($C$16=0,MAX($L$227*(1-$C$15),0)/$C$17,-PMT($C$16/12,$C$17*12,MAX($L$227*(1-$C$15),0))*12)),0)+X257*($C$19+$C$20+$C$21)+$C$22+$C$23)</f>
        <v/>
      </c>
      <c r="I257" s="138">
        <f>IF(B257="Working",MIN(MAX(D257-E257-F257-G257-H257,0),'Tax Assumptions'!$B$20),0)</f>
        <v/>
      </c>
      <c r="J257" s="138">
        <f>IF(B257="Working",D257-E257-F257-I257-G257-H257,-L257)</f>
        <v/>
      </c>
      <c r="K257" s="137">
        <f>IF(B257="Retired",$N$227+G257+H257,0)</f>
        <v/>
      </c>
      <c r="L257" s="137">
        <f>M257+N257+O257+P257</f>
        <v/>
      </c>
      <c r="M257" s="137">
        <f>IF(B257="Retired",MIN((('Savings Projection'!$B$7)*(1+$C$10)+IF(B257="Working",J257,0)),K257),0)</f>
        <v/>
      </c>
      <c r="N257" s="137">
        <f>IF(B257="Retired",MIN(MAX(K257-M257,0),(('Savings Projection'!$B$8)*(1+$C$10)+IF(B257="Working",E80,0))),0)</f>
        <v/>
      </c>
      <c r="O257" s="137">
        <f>IF(B257="Retired",MIN(MAX(K257-M257-N257,0),(('Savings Projection'!$B$9)*(1+$C$10)+IF(B257="Working",I257,0))),0)</f>
        <v/>
      </c>
      <c r="P257" s="137">
        <f>IF(B257="Retired",MIN(MAX(K257-M257-N257-O257,0),(('Savings Projection'!$B$10)*(1+$C$10)+IF(B257="Working",F80,0))),0)</f>
        <v/>
      </c>
      <c r="Q257" s="138">
        <f>MAX((('Savings Projection'!$B$7)*(1+$C$10)+IF(B257="Working",J257,0))-M257,0)</f>
        <v/>
      </c>
      <c r="R257" s="138">
        <f>MAX((('Savings Projection'!$B$8)*(1+$C$10)+IF(B257="Working",E80,0))-N257,0)</f>
        <v/>
      </c>
      <c r="S257" s="138">
        <f>MAX((('Savings Projection'!$B$9)*(1+$C$10)+IF(B257="Working",I257,0))-O257,0)</f>
        <v/>
      </c>
      <c r="T257" s="138">
        <f>MAX((('Savings Projection'!$B$10)*(1+$C$10)+IF(B257="Working",F80,0))-P257,0)</f>
        <v/>
      </c>
      <c r="U257" s="138">
        <f>Q257+R257+S257+T257</f>
        <v/>
      </c>
      <c r="V257" s="138">
        <f>IF(B257="Working",MAX(-((('Savings Projection'!$B$7)*(1+$C$10)+IF(B257="Working",J257,0))),0),MAX(K257-L257,0))</f>
        <v/>
      </c>
      <c r="W257" s="138">
        <f>IF(OR(A257&gt;=$C$13,B257="Retired"),IF(V257&gt;0,-V257,U257-'Model Inputs'!$B$18),"")</f>
        <v/>
      </c>
      <c r="X257" s="138">
        <f>IF(AND($L$227&gt;0,A257&gt;=$C$13),$L$227*(1+$C$25)^(A257-$C$13),0)</f>
        <v/>
      </c>
      <c r="Y257" s="138">
        <f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/>
      </c>
      <c r="Z257" s="138">
        <f>MAX(X257-Y257,0)</f>
        <v/>
      </c>
      <c r="AA257" s="139">
        <f>U257+Z257</f>
        <v/>
      </c>
      <c r="AB257" s="5" t="n"/>
      <c r="AC257" s="5" t="n"/>
      <c r="AD257" s="5" t="n"/>
      <c r="AE257" s="5" t="n"/>
      <c r="AF257" s="5" t="n"/>
      <c r="AG257" s="5" t="n"/>
    </row>
    <row r="258" outlineLevel="1" s="326">
      <c r="A258" s="140" t="n">
        <v>2</v>
      </c>
      <c r="B258" s="40">
        <f>B81</f>
        <v/>
      </c>
      <c r="C258" s="141">
        <f>D81</f>
        <v/>
      </c>
      <c r="D258" s="141">
        <f>I81</f>
        <v/>
      </c>
      <c r="E258" s="141">
        <f>J81</f>
        <v/>
      </c>
      <c r="F258" s="141">
        <f>K81</f>
        <v/>
      </c>
      <c r="G258" s="138">
        <f>IF(AND($L$227&gt;0,A258=$C$13),$L$227*($C$15+$C$18),0)+IF(AND($L$227&gt;0,A258=$C$13),$C$24,0)</f>
        <v/>
      </c>
      <c r="H258" s="138">
        <f>IF(OR($L$227&lt;=0,A258&lt;$C$13),0,IF(AND($L$227&gt;0,$C$17&gt;0,A258&gt;=$C$13,A258&lt;($C$13+$C$17)),IF($C$17&lt;=0,0,IF($C$16=0,MAX($L$227*(1-$C$15),0)/$C$17,-PMT($C$16/12,$C$17*12,MAX($L$227*(1-$C$15),0))*12)),0)+X258*($C$19+$C$20+$C$21)+$C$22+$C$23)</f>
        <v/>
      </c>
      <c r="I258" s="138">
        <f>IF(B258="Working",MIN(MAX(D258-E258-F258-G258-H258,0),'Tax Assumptions'!$B$20),0)</f>
        <v/>
      </c>
      <c r="J258" s="138">
        <f>IF(B258="Working",D258-E258-F258-I258-G258-H258,-L258)</f>
        <v/>
      </c>
      <c r="K258" s="141">
        <f>IF(B258="Retired",$N$227+G258+H258,0)</f>
        <v/>
      </c>
      <c r="L258" s="141">
        <f>M258+N258+O258+P258</f>
        <v/>
      </c>
      <c r="M258" s="141">
        <f>IF(B258="Retired",MIN(((Q257)*(1+$C$10)+IF(B258="Working",J258,0)),K258),0)</f>
        <v/>
      </c>
      <c r="N258" s="141">
        <f>IF(B258="Retired",MIN(MAX(K258-M258,0),((R257)*(1+$C$10)+IF(B258="Working",E81,0))),0)</f>
        <v/>
      </c>
      <c r="O258" s="141">
        <f>IF(B258="Retired",MIN(MAX(K258-M258-N258,0),((S257)*(1+$C$10)+IF(B258="Working",I258,0))),0)</f>
        <v/>
      </c>
      <c r="P258" s="141">
        <f>IF(B258="Retired",MIN(MAX(K258-M258-N258-O258,0),((T257)*(1+$C$10)+IF(B258="Working",F81,0))),0)</f>
        <v/>
      </c>
      <c r="Q258" s="138">
        <f>MAX(((Q257)*(1+$C$10)+IF(B258="Working",J258,0))-M258,0)</f>
        <v/>
      </c>
      <c r="R258" s="138">
        <f>MAX(((R257)*(1+$C$10)+IF(B258="Working",E81,0))-N258,0)</f>
        <v/>
      </c>
      <c r="S258" s="138">
        <f>MAX(((S257)*(1+$C$10)+IF(B258="Working",I258,0))-O258,0)</f>
        <v/>
      </c>
      <c r="T258" s="138">
        <f>MAX(((T257)*(1+$C$10)+IF(B258="Working",F81,0))-P258,0)</f>
        <v/>
      </c>
      <c r="U258" s="138">
        <f>Q258+R258+S258+T258</f>
        <v/>
      </c>
      <c r="V258" s="138">
        <f>IF(B258="Working",MAX(-(((Q257)*(1+$C$10)+IF(B258="Working",J258,0))),0),MAX(K258-L258,0))</f>
        <v/>
      </c>
      <c r="W258" s="138">
        <f>IF(OR(A258&gt;=$C$13,B258="Retired"),IF(V258&gt;0,-V258,U258-'Model Inputs'!$B$18),"")</f>
        <v/>
      </c>
      <c r="X258" s="138">
        <f>IF(AND($L$227&gt;0,A258&gt;=$C$13),$L$227*(1+$C$25)^(A258-$C$13),0)</f>
        <v/>
      </c>
      <c r="Y258" s="138">
        <f>IF(OR($L$227&lt;=0,$C$17&lt;=0,A258&lt;$C$13,MIN(MAX((A258-$C$13+1)*12,0),$C$17*12)&gt;=$C$17*12),0,IF($C$16=0,MAX(MAX($L$227*(1-$C$15),0)-(IF($C$17&lt;=0,0,IF($C$16=0,MAX($L$227*(1-$C$15),0)/$C$17,-PMT($C$16/12,$C$17*12,MAX($L$227*(1-$C$15),0))*12))/12)*MIN(MAX((A258-$C$13+1)*12,0),$C$17*12),0),MAX(MAX($L$227*(1-$C$15),0)*(1+$C$16/12)^MIN(MAX((A258-$C$13+1)*12,0),$C$17*12)-(IF($C$17&lt;=0,0,IF($C$16=0,MAX($L$227*(1-$C$15),0)/$C$17,-PMT($C$16/12,$C$17*12,MAX($L$227*(1-$C$15),0))*12))/12)*(((1+$C$16/12)^MIN(MAX((A258-$C$13+1)*12,0),$C$17*12)-1)/($C$16/12)),0)))</f>
        <v/>
      </c>
      <c r="Z258" s="138">
        <f>MAX(X258-Y258,0)</f>
        <v/>
      </c>
      <c r="AA258" s="142">
        <f>U258+Z258</f>
        <v/>
      </c>
      <c r="AB258" s="5" t="n"/>
      <c r="AC258" s="5" t="n"/>
      <c r="AD258" s="5" t="n"/>
      <c r="AE258" s="5" t="n"/>
      <c r="AF258" s="5" t="n"/>
      <c r="AG258" s="5" t="n"/>
    </row>
    <row r="259" outlineLevel="1" s="326">
      <c r="A259" s="136" t="n">
        <v>3</v>
      </c>
      <c r="B259" s="72">
        <f>B82</f>
        <v/>
      </c>
      <c r="C259" s="137">
        <f>D82</f>
        <v/>
      </c>
      <c r="D259" s="137">
        <f>I82</f>
        <v/>
      </c>
      <c r="E259" s="137">
        <f>J82</f>
        <v/>
      </c>
      <c r="F259" s="137">
        <f>K82</f>
        <v/>
      </c>
      <c r="G259" s="138">
        <f>IF(AND($L$227&gt;0,A259=$C$13),$L$227*($C$15+$C$18),0)+IF(AND($L$227&gt;0,A259=$C$13),$C$24,0)</f>
        <v/>
      </c>
      <c r="H259" s="138">
        <f>IF(OR($L$227&lt;=0,A259&lt;$C$13),0,IF(AND($L$227&gt;0,$C$17&gt;0,A259&gt;=$C$13,A259&lt;($C$13+$C$17)),IF($C$17&lt;=0,0,IF($C$16=0,MAX($L$227*(1-$C$15),0)/$C$17,-PMT($C$16/12,$C$17*12,MAX($L$227*(1-$C$15),0))*12)),0)+X259*($C$19+$C$20+$C$21)+$C$22+$C$23)</f>
        <v/>
      </c>
      <c r="I259" s="138">
        <f>IF(B259="Working",MIN(MAX(D259-E259-F259-G259-H259,0),'Tax Assumptions'!$B$20),0)</f>
        <v/>
      </c>
      <c r="J259" s="138">
        <f>IF(B259="Working",D259-E259-F259-I259-G259-H259,-L259)</f>
        <v/>
      </c>
      <c r="K259" s="137">
        <f>IF(B259="Retired",$N$227+G259+H259,0)</f>
        <v/>
      </c>
      <c r="L259" s="137">
        <f>M259+N259+O259+P259</f>
        <v/>
      </c>
      <c r="M259" s="137">
        <f>IF(B259="Retired",MIN(((Q258)*(1+$C$10)+IF(B259="Working",J259,0)),K259),0)</f>
        <v/>
      </c>
      <c r="N259" s="137">
        <f>IF(B259="Retired",MIN(MAX(K259-M259,0),((R258)*(1+$C$10)+IF(B259="Working",E82,0))),0)</f>
        <v/>
      </c>
      <c r="O259" s="137">
        <f>IF(B259="Retired",MIN(MAX(K259-M259-N259,0),((S258)*(1+$C$10)+IF(B259="Working",I259,0))),0)</f>
        <v/>
      </c>
      <c r="P259" s="137">
        <f>IF(B259="Retired",MIN(MAX(K259-M259-N259-O259,0),((T258)*(1+$C$10)+IF(B259="Working",F82,0))),0)</f>
        <v/>
      </c>
      <c r="Q259" s="138">
        <f>MAX(((Q258)*(1+$C$10)+IF(B259="Working",J259,0))-M259,0)</f>
        <v/>
      </c>
      <c r="R259" s="138">
        <f>MAX(((R258)*(1+$C$10)+IF(B259="Working",E82,0))-N259,0)</f>
        <v/>
      </c>
      <c r="S259" s="138">
        <f>MAX(((S258)*(1+$C$10)+IF(B259="Working",I259,0))-O259,0)</f>
        <v/>
      </c>
      <c r="T259" s="138">
        <f>MAX(((T258)*(1+$C$10)+IF(B259="Working",F82,0))-P259,0)</f>
        <v/>
      </c>
      <c r="U259" s="138">
        <f>Q259+R259+S259+T259</f>
        <v/>
      </c>
      <c r="V259" s="138">
        <f>IF(B259="Working",MAX(-(((Q258)*(1+$C$10)+IF(B259="Working",J259,0))),0),MAX(K259-L259,0))</f>
        <v/>
      </c>
      <c r="W259" s="138">
        <f>IF(OR(A259&gt;=$C$13,B259="Retired"),IF(V259&gt;0,-V259,U259-'Model Inputs'!$B$18),"")</f>
        <v/>
      </c>
      <c r="X259" s="138">
        <f>IF(AND($L$227&gt;0,A259&gt;=$C$13),$L$227*(1+$C$25)^(A259-$C$13),0)</f>
        <v/>
      </c>
      <c r="Y259" s="138">
        <f>IF(OR($L$227&lt;=0,$C$17&lt;=0,A259&lt;$C$13,MIN(MAX((A259-$C$13+1)*12,0),$C$17*12)&gt;=$C$17*12),0,IF($C$16=0,MAX(MAX($L$227*(1-$C$15),0)-(IF($C$17&lt;=0,0,IF($C$16=0,MAX($L$227*(1-$C$15),0)/$C$17,-PMT($C$16/12,$C$17*12,MAX($L$227*(1-$C$15),0))*12))/12)*MIN(MAX((A259-$C$13+1)*12,0),$C$17*12),0),MAX(MAX($L$227*(1-$C$15),0)*(1+$C$16/12)^MIN(MAX((A259-$C$13+1)*12,0),$C$17*12)-(IF($C$17&lt;=0,0,IF($C$16=0,MAX($L$227*(1-$C$15),0)/$C$17,-PMT($C$16/12,$C$17*12,MAX($L$227*(1-$C$15),0))*12))/12)*(((1+$C$16/12)^MIN(MAX((A259-$C$13+1)*12,0),$C$17*12)-1)/($C$16/12)),0)))</f>
        <v/>
      </c>
      <c r="Z259" s="138">
        <f>MAX(X259-Y259,0)</f>
        <v/>
      </c>
      <c r="AA259" s="139">
        <f>U259+Z259</f>
        <v/>
      </c>
      <c r="AB259" s="5" t="n"/>
      <c r="AC259" s="5" t="n"/>
      <c r="AD259" s="5" t="n"/>
      <c r="AE259" s="5" t="n"/>
      <c r="AF259" s="5" t="n"/>
      <c r="AG259" s="5" t="n"/>
    </row>
    <row r="260" outlineLevel="1" s="326">
      <c r="A260" s="140" t="n">
        <v>4</v>
      </c>
      <c r="B260" s="40">
        <f>B83</f>
        <v/>
      </c>
      <c r="C260" s="141">
        <f>D83</f>
        <v/>
      </c>
      <c r="D260" s="141">
        <f>I83</f>
        <v/>
      </c>
      <c r="E260" s="141">
        <f>J83</f>
        <v/>
      </c>
      <c r="F260" s="141">
        <f>K83</f>
        <v/>
      </c>
      <c r="G260" s="138">
        <f>IF(AND($L$227&gt;0,A260=$C$13),$L$227*($C$15+$C$18),0)+IF(AND($L$227&gt;0,A260=$C$13),$C$24,0)</f>
        <v/>
      </c>
      <c r="H260" s="138">
        <f>IF(OR($L$227&lt;=0,A260&lt;$C$13),0,IF(AND($L$227&gt;0,$C$17&gt;0,A260&gt;=$C$13,A260&lt;($C$13+$C$17)),IF($C$17&lt;=0,0,IF($C$16=0,MAX($L$227*(1-$C$15),0)/$C$17,-PMT($C$16/12,$C$17*12,MAX($L$227*(1-$C$15),0))*12)),0)+X260*($C$19+$C$20+$C$21)+$C$22+$C$23)</f>
        <v/>
      </c>
      <c r="I260" s="138">
        <f>IF(B260="Working",MIN(MAX(D260-E260-F260-G260-H260,0),'Tax Assumptions'!$B$20),0)</f>
        <v/>
      </c>
      <c r="J260" s="138">
        <f>IF(B260="Working",D260-E260-F260-I260-G260-H260,-L260)</f>
        <v/>
      </c>
      <c r="K260" s="141">
        <f>IF(B260="Retired",$N$227+G260+H260,0)</f>
        <v/>
      </c>
      <c r="L260" s="141">
        <f>M260+N260+O260+P260</f>
        <v/>
      </c>
      <c r="M260" s="141">
        <f>IF(B260="Retired",MIN(((Q259)*(1+$C$10)+IF(B260="Working",J260,0)),K260),0)</f>
        <v/>
      </c>
      <c r="N260" s="141">
        <f>IF(B260="Retired",MIN(MAX(K260-M260,0),((R259)*(1+$C$10)+IF(B260="Working",E83,0))),0)</f>
        <v/>
      </c>
      <c r="O260" s="141">
        <f>IF(B260="Retired",MIN(MAX(K260-M260-N260,0),((S259)*(1+$C$10)+IF(B260="Working",I260,0))),0)</f>
        <v/>
      </c>
      <c r="P260" s="141">
        <f>IF(B260="Retired",MIN(MAX(K260-M260-N260-O260,0),((T259)*(1+$C$10)+IF(B260="Working",F83,0))),0)</f>
        <v/>
      </c>
      <c r="Q260" s="138">
        <f>MAX(((Q259)*(1+$C$10)+IF(B260="Working",J260,0))-M260,0)</f>
        <v/>
      </c>
      <c r="R260" s="138">
        <f>MAX(((R259)*(1+$C$10)+IF(B260="Working",E83,0))-N260,0)</f>
        <v/>
      </c>
      <c r="S260" s="138">
        <f>MAX(((S259)*(1+$C$10)+IF(B260="Working",I260,0))-O260,0)</f>
        <v/>
      </c>
      <c r="T260" s="138">
        <f>MAX(((T259)*(1+$C$10)+IF(B260="Working",F83,0))-P260,0)</f>
        <v/>
      </c>
      <c r="U260" s="138">
        <f>Q260+R260+S260+T260</f>
        <v/>
      </c>
      <c r="V260" s="138">
        <f>IF(B260="Working",MAX(-(((Q259)*(1+$C$10)+IF(B260="Working",J260,0))),0),MAX(K260-L260,0))</f>
        <v/>
      </c>
      <c r="W260" s="138">
        <f>IF(OR(A260&gt;=$C$13,B260="Retired"),IF(V260&gt;0,-V260,U260-'Model Inputs'!$B$18),"")</f>
        <v/>
      </c>
      <c r="X260" s="138">
        <f>IF(AND($L$227&gt;0,A260&gt;=$C$13),$L$227*(1+$C$25)^(A260-$C$13),0)</f>
        <v/>
      </c>
      <c r="Y260" s="138">
        <f>IF(OR($L$227&lt;=0,$C$17&lt;=0,A260&lt;$C$13,MIN(MAX((A260-$C$13+1)*12,0),$C$17*12)&gt;=$C$17*12),0,IF($C$16=0,MAX(MAX($L$227*(1-$C$15),0)-(IF($C$17&lt;=0,0,IF($C$16=0,MAX($L$227*(1-$C$15),0)/$C$17,-PMT($C$16/12,$C$17*12,MAX($L$227*(1-$C$15),0))*12))/12)*MIN(MAX((A260-$C$13+1)*12,0),$C$17*12),0),MAX(MAX($L$227*(1-$C$15),0)*(1+$C$16/12)^MIN(MAX((A260-$C$13+1)*12,0),$C$17*12)-(IF($C$17&lt;=0,0,IF($C$16=0,MAX($L$227*(1-$C$15),0)/$C$17,-PMT($C$16/12,$C$17*12,MAX($L$227*(1-$C$15),0))*12))/12)*(((1+$C$16/12)^MIN(MAX((A260-$C$13+1)*12,0),$C$17*12)-1)/($C$16/12)),0)))</f>
        <v/>
      </c>
      <c r="Z260" s="138">
        <f>MAX(X260-Y260,0)</f>
        <v/>
      </c>
      <c r="AA260" s="142">
        <f>U260+Z260</f>
        <v/>
      </c>
      <c r="AB260" s="5" t="n"/>
      <c r="AC260" s="5" t="n"/>
      <c r="AD260" s="5" t="n"/>
      <c r="AE260" s="5" t="n"/>
      <c r="AF260" s="5" t="n"/>
      <c r="AG260" s="5" t="n"/>
    </row>
    <row r="261" outlineLevel="1" s="326">
      <c r="A261" s="136" t="n">
        <v>5</v>
      </c>
      <c r="B261" s="72">
        <f>B84</f>
        <v/>
      </c>
      <c r="C261" s="137">
        <f>D84</f>
        <v/>
      </c>
      <c r="D261" s="137">
        <f>I84</f>
        <v/>
      </c>
      <c r="E261" s="137">
        <f>J84</f>
        <v/>
      </c>
      <c r="F261" s="137">
        <f>K84</f>
        <v/>
      </c>
      <c r="G261" s="138">
        <f>IF(AND($L$227&gt;0,A261=$C$13),$L$227*($C$15+$C$18),0)+IF(AND($L$227&gt;0,A261=$C$13),$C$24,0)</f>
        <v/>
      </c>
      <c r="H261" s="138">
        <f>IF(OR($L$227&lt;=0,A261&lt;$C$13),0,IF(AND($L$227&gt;0,$C$17&gt;0,A261&gt;=$C$13,A261&lt;($C$13+$C$17)),IF($C$17&lt;=0,0,IF($C$16=0,MAX($L$227*(1-$C$15),0)/$C$17,-PMT($C$16/12,$C$17*12,MAX($L$227*(1-$C$15),0))*12)),0)+X261*($C$19+$C$20+$C$21)+$C$22+$C$23)</f>
        <v/>
      </c>
      <c r="I261" s="138">
        <f>IF(B261="Working",MIN(MAX(D261-E261-F261-G261-H261,0),'Tax Assumptions'!$B$20),0)</f>
        <v/>
      </c>
      <c r="J261" s="138">
        <f>IF(B261="Working",D261-E261-F261-I261-G261-H261,-L261)</f>
        <v/>
      </c>
      <c r="K261" s="137">
        <f>IF(B261="Retired",$N$227+G261+H261,0)</f>
        <v/>
      </c>
      <c r="L261" s="137">
        <f>M261+N261+O261+P261</f>
        <v/>
      </c>
      <c r="M261" s="137">
        <f>IF(B261="Retired",MIN(((Q260)*(1+$C$10)+IF(B261="Working",J261,0)),K261),0)</f>
        <v/>
      </c>
      <c r="N261" s="137">
        <f>IF(B261="Retired",MIN(MAX(K261-M261,0),((R260)*(1+$C$10)+IF(B261="Working",E84,0))),0)</f>
        <v/>
      </c>
      <c r="O261" s="137">
        <f>IF(B261="Retired",MIN(MAX(K261-M261-N261,0),((S260)*(1+$C$10)+IF(B261="Working",I261,0))),0)</f>
        <v/>
      </c>
      <c r="P261" s="137">
        <f>IF(B261="Retired",MIN(MAX(K261-M261-N261-O261,0),((T260)*(1+$C$10)+IF(B261="Working",F84,0))),0)</f>
        <v/>
      </c>
      <c r="Q261" s="138">
        <f>MAX(((Q260)*(1+$C$10)+IF(B261="Working",J261,0))-M261,0)</f>
        <v/>
      </c>
      <c r="R261" s="138">
        <f>MAX(((R260)*(1+$C$10)+IF(B261="Working",E84,0))-N261,0)</f>
        <v/>
      </c>
      <c r="S261" s="138">
        <f>MAX(((S260)*(1+$C$10)+IF(B261="Working",I261,0))-O261,0)</f>
        <v/>
      </c>
      <c r="T261" s="138">
        <f>MAX(((T260)*(1+$C$10)+IF(B261="Working",F84,0))-P261,0)</f>
        <v/>
      </c>
      <c r="U261" s="138">
        <f>Q261+R261+S261+T261</f>
        <v/>
      </c>
      <c r="V261" s="138">
        <f>IF(B261="Working",MAX(-(((Q260)*(1+$C$10)+IF(B261="Working",J261,0))),0),MAX(K261-L261,0))</f>
        <v/>
      </c>
      <c r="W261" s="138">
        <f>IF(OR(A261&gt;=$C$13,B261="Retired"),IF(V261&gt;0,-V261,U261-'Model Inputs'!$B$18),"")</f>
        <v/>
      </c>
      <c r="X261" s="138">
        <f>IF(AND($L$227&gt;0,A261&gt;=$C$13),$L$227*(1+$C$25)^(A261-$C$13),0)</f>
        <v/>
      </c>
      <c r="Y261" s="138">
        <f>IF(OR($L$227&lt;=0,$C$17&lt;=0,A261&lt;$C$13,MIN(MAX((A261-$C$13+1)*12,0),$C$17*12)&gt;=$C$17*12),0,IF($C$16=0,MAX(MAX($L$227*(1-$C$15),0)-(IF($C$17&lt;=0,0,IF($C$16=0,MAX($L$227*(1-$C$15),0)/$C$17,-PMT($C$16/12,$C$17*12,MAX($L$227*(1-$C$15),0))*12))/12)*MIN(MAX((A261-$C$13+1)*12,0),$C$17*12),0),MAX(MAX($L$227*(1-$C$15),0)*(1+$C$16/12)^MIN(MAX((A261-$C$13+1)*12,0),$C$17*12)-(IF($C$17&lt;=0,0,IF($C$16=0,MAX($L$227*(1-$C$15),0)/$C$17,-PMT($C$16/12,$C$17*12,MAX($L$227*(1-$C$15),0))*12))/12)*(((1+$C$16/12)^MIN(MAX((A261-$C$13+1)*12,0),$C$17*12)-1)/($C$16/12)),0)))</f>
        <v/>
      </c>
      <c r="Z261" s="138">
        <f>MAX(X261-Y261,0)</f>
        <v/>
      </c>
      <c r="AA261" s="139">
        <f>U261+Z261</f>
        <v/>
      </c>
      <c r="AB261" s="5" t="n"/>
      <c r="AC261" s="5" t="n"/>
      <c r="AD261" s="5" t="n"/>
      <c r="AE261" s="5" t="n"/>
      <c r="AF261" s="5" t="n"/>
      <c r="AG261" s="5" t="n"/>
    </row>
    <row r="262" outlineLevel="1" s="326">
      <c r="A262" s="140" t="n">
        <v>6</v>
      </c>
      <c r="B262" s="40">
        <f>B85</f>
        <v/>
      </c>
      <c r="C262" s="141">
        <f>D85</f>
        <v/>
      </c>
      <c r="D262" s="141">
        <f>I85</f>
        <v/>
      </c>
      <c r="E262" s="141">
        <f>J85</f>
        <v/>
      </c>
      <c r="F262" s="141">
        <f>K85</f>
        <v/>
      </c>
      <c r="G262" s="138">
        <f>IF(AND($L$227&gt;0,A262=$C$13),$L$227*($C$15+$C$18),0)+IF(AND($L$227&gt;0,A262=$C$13),$C$24,0)</f>
        <v/>
      </c>
      <c r="H262" s="138">
        <f>IF(OR($L$227&lt;=0,A262&lt;$C$13),0,IF(AND($L$227&gt;0,$C$17&gt;0,A262&gt;=$C$13,A262&lt;($C$13+$C$17)),IF($C$17&lt;=0,0,IF($C$16=0,MAX($L$227*(1-$C$15),0)/$C$17,-PMT($C$16/12,$C$17*12,MAX($L$227*(1-$C$15),0))*12)),0)+X262*($C$19+$C$20+$C$21)+$C$22+$C$23)</f>
        <v/>
      </c>
      <c r="I262" s="138">
        <f>IF(B262="Working",MIN(MAX(D262-E262-F262-G262-H262,0),'Tax Assumptions'!$B$20),0)</f>
        <v/>
      </c>
      <c r="J262" s="138">
        <f>IF(B262="Working",D262-E262-F262-I262-G262-H262,-L262)</f>
        <v/>
      </c>
      <c r="K262" s="141">
        <f>IF(B262="Retired",$N$227+G262+H262,0)</f>
        <v/>
      </c>
      <c r="L262" s="141">
        <f>M262+N262+O262+P262</f>
        <v/>
      </c>
      <c r="M262" s="141">
        <f>IF(B262="Retired",MIN(((Q261)*(1+$C$10)+IF(B262="Working",J262,0)),K262),0)</f>
        <v/>
      </c>
      <c r="N262" s="141">
        <f>IF(B262="Retired",MIN(MAX(K262-M262,0),((R261)*(1+$C$10)+IF(B262="Working",E85,0))),0)</f>
        <v/>
      </c>
      <c r="O262" s="141">
        <f>IF(B262="Retired",MIN(MAX(K262-M262-N262,0),((S261)*(1+$C$10)+IF(B262="Working",I262,0))),0)</f>
        <v/>
      </c>
      <c r="P262" s="141">
        <f>IF(B262="Retired",MIN(MAX(K262-M262-N262-O262,0),((T261)*(1+$C$10)+IF(B262="Working",F85,0))),0)</f>
        <v/>
      </c>
      <c r="Q262" s="138">
        <f>MAX(((Q261)*(1+$C$10)+IF(B262="Working",J262,0))-M262,0)</f>
        <v/>
      </c>
      <c r="R262" s="138">
        <f>MAX(((R261)*(1+$C$10)+IF(B262="Working",E85,0))-N262,0)</f>
        <v/>
      </c>
      <c r="S262" s="138">
        <f>MAX(((S261)*(1+$C$10)+IF(B262="Working",I262,0))-O262,0)</f>
        <v/>
      </c>
      <c r="T262" s="138">
        <f>MAX(((T261)*(1+$C$10)+IF(B262="Working",F85,0))-P262,0)</f>
        <v/>
      </c>
      <c r="U262" s="138">
        <f>Q262+R262+S262+T262</f>
        <v/>
      </c>
      <c r="V262" s="138">
        <f>IF(B262="Working",MAX(-(((Q261)*(1+$C$10)+IF(B262="Working",J262,0))),0),MAX(K262-L262,0))</f>
        <v/>
      </c>
      <c r="W262" s="138">
        <f>IF(OR(A262&gt;=$C$13,B262="Retired"),IF(V262&gt;0,-V262,U262-'Model Inputs'!$B$18),"")</f>
        <v/>
      </c>
      <c r="X262" s="138">
        <f>IF(AND($L$227&gt;0,A262&gt;=$C$13),$L$227*(1+$C$25)^(A262-$C$13),0)</f>
        <v/>
      </c>
      <c r="Y262" s="138">
        <f>IF(OR($L$227&lt;=0,$C$17&lt;=0,A262&lt;$C$13,MIN(MAX((A262-$C$13+1)*12,0),$C$17*12)&gt;=$C$17*12),0,IF($C$16=0,MAX(MAX($L$227*(1-$C$15),0)-(IF($C$17&lt;=0,0,IF($C$16=0,MAX($L$227*(1-$C$15),0)/$C$17,-PMT($C$16/12,$C$17*12,MAX($L$227*(1-$C$15),0))*12))/12)*MIN(MAX((A262-$C$13+1)*12,0),$C$17*12),0),MAX(MAX($L$227*(1-$C$15),0)*(1+$C$16/12)^MIN(MAX((A262-$C$13+1)*12,0),$C$17*12)-(IF($C$17&lt;=0,0,IF($C$16=0,MAX($L$227*(1-$C$15),0)/$C$17,-PMT($C$16/12,$C$17*12,MAX($L$227*(1-$C$15),0))*12))/12)*(((1+$C$16/12)^MIN(MAX((A262-$C$13+1)*12,0),$C$17*12)-1)/($C$16/12)),0)))</f>
        <v/>
      </c>
      <c r="Z262" s="138">
        <f>MAX(X262-Y262,0)</f>
        <v/>
      </c>
      <c r="AA262" s="142">
        <f>U262+Z262</f>
        <v/>
      </c>
      <c r="AB262" s="5" t="n"/>
      <c r="AC262" s="5" t="n"/>
      <c r="AD262" s="5" t="n"/>
      <c r="AE262" s="5" t="n"/>
      <c r="AF262" s="5" t="n"/>
      <c r="AG262" s="5" t="n"/>
    </row>
    <row r="263" outlineLevel="1" s="326">
      <c r="A263" s="136" t="n">
        <v>7</v>
      </c>
      <c r="B263" s="72">
        <f>B86</f>
        <v/>
      </c>
      <c r="C263" s="137">
        <f>D86</f>
        <v/>
      </c>
      <c r="D263" s="137">
        <f>I86</f>
        <v/>
      </c>
      <c r="E263" s="137">
        <f>J86</f>
        <v/>
      </c>
      <c r="F263" s="137">
        <f>K86</f>
        <v/>
      </c>
      <c r="G263" s="138">
        <f>IF(AND($L$227&gt;0,A263=$C$13),$L$227*($C$15+$C$18),0)+IF(AND($L$227&gt;0,A263=$C$13),$C$24,0)</f>
        <v/>
      </c>
      <c r="H263" s="138">
        <f>IF(OR($L$227&lt;=0,A263&lt;$C$13),0,IF(AND($L$227&gt;0,$C$17&gt;0,A263&gt;=$C$13,A263&lt;($C$13+$C$17)),IF($C$17&lt;=0,0,IF($C$16=0,MAX($L$227*(1-$C$15),0)/$C$17,-PMT($C$16/12,$C$17*12,MAX($L$227*(1-$C$15),0))*12)),0)+X263*($C$19+$C$20+$C$21)+$C$22+$C$23)</f>
        <v/>
      </c>
      <c r="I263" s="138">
        <f>IF(B263="Working",MIN(MAX(D263-E263-F263-G263-H263,0),'Tax Assumptions'!$B$20),0)</f>
        <v/>
      </c>
      <c r="J263" s="138">
        <f>IF(B263="Working",D263-E263-F263-I263-G263-H263,-L263)</f>
        <v/>
      </c>
      <c r="K263" s="137">
        <f>IF(B263="Retired",$N$227+G263+H263,0)</f>
        <v/>
      </c>
      <c r="L263" s="137">
        <f>M263+N263+O263+P263</f>
        <v/>
      </c>
      <c r="M263" s="137">
        <f>IF(B263="Retired",MIN(((Q262)*(1+$C$10)+IF(B263="Working",J263,0)),K263),0)</f>
        <v/>
      </c>
      <c r="N263" s="137">
        <f>IF(B263="Retired",MIN(MAX(K263-M263,0),((R262)*(1+$C$10)+IF(B263="Working",E86,0))),0)</f>
        <v/>
      </c>
      <c r="O263" s="137">
        <f>IF(B263="Retired",MIN(MAX(K263-M263-N263,0),((S262)*(1+$C$10)+IF(B263="Working",I263,0))),0)</f>
        <v/>
      </c>
      <c r="P263" s="137">
        <f>IF(B263="Retired",MIN(MAX(K263-M263-N263-O263,0),((T262)*(1+$C$10)+IF(B263="Working",F86,0))),0)</f>
        <v/>
      </c>
      <c r="Q263" s="138">
        <f>MAX(((Q262)*(1+$C$10)+IF(B263="Working",J263,0))-M263,0)</f>
        <v/>
      </c>
      <c r="R263" s="138">
        <f>MAX(((R262)*(1+$C$10)+IF(B263="Working",E86,0))-N263,0)</f>
        <v/>
      </c>
      <c r="S263" s="138">
        <f>MAX(((S262)*(1+$C$10)+IF(B263="Working",I263,0))-O263,0)</f>
        <v/>
      </c>
      <c r="T263" s="138">
        <f>MAX(((T262)*(1+$C$10)+IF(B263="Working",F86,0))-P263,0)</f>
        <v/>
      </c>
      <c r="U263" s="138">
        <f>Q263+R263+S263+T263</f>
        <v/>
      </c>
      <c r="V263" s="138">
        <f>IF(B263="Working",MAX(-(((Q262)*(1+$C$10)+IF(B263="Working",J263,0))),0),MAX(K263-L263,0))</f>
        <v/>
      </c>
      <c r="W263" s="138">
        <f>IF(OR(A263&gt;=$C$13,B263="Retired"),IF(V263&gt;0,-V263,U263-'Model Inputs'!$B$18),"")</f>
        <v/>
      </c>
      <c r="X263" s="138">
        <f>IF(AND($L$227&gt;0,A263&gt;=$C$13),$L$227*(1+$C$25)^(A263-$C$13),0)</f>
        <v/>
      </c>
      <c r="Y263" s="138">
        <f>IF(OR($L$227&lt;=0,$C$17&lt;=0,A263&lt;$C$13,MIN(MAX((A263-$C$13+1)*12,0),$C$17*12)&gt;=$C$17*12),0,IF($C$16=0,MAX(MAX($L$227*(1-$C$15),0)-(IF($C$17&lt;=0,0,IF($C$16=0,MAX($L$227*(1-$C$15),0)/$C$17,-PMT($C$16/12,$C$17*12,MAX($L$227*(1-$C$15),0))*12))/12)*MIN(MAX((A263-$C$13+1)*12,0),$C$17*12),0),MAX(MAX($L$227*(1-$C$15),0)*(1+$C$16/12)^MIN(MAX((A263-$C$13+1)*12,0),$C$17*12)-(IF($C$17&lt;=0,0,IF($C$16=0,MAX($L$227*(1-$C$15),0)/$C$17,-PMT($C$16/12,$C$17*12,MAX($L$227*(1-$C$15),0))*12))/12)*(((1+$C$16/12)^MIN(MAX((A263-$C$13+1)*12,0),$C$17*12)-1)/($C$16/12)),0)))</f>
        <v/>
      </c>
      <c r="Z263" s="138">
        <f>MAX(X263-Y263,0)</f>
        <v/>
      </c>
      <c r="AA263" s="139">
        <f>U263+Z263</f>
        <v/>
      </c>
      <c r="AB263" s="5" t="n"/>
      <c r="AC263" s="5" t="n"/>
      <c r="AD263" s="5" t="n"/>
      <c r="AE263" s="5" t="n"/>
      <c r="AF263" s="5" t="n"/>
      <c r="AG263" s="5" t="n"/>
    </row>
    <row r="264" outlineLevel="1" s="326">
      <c r="A264" s="140" t="n">
        <v>8</v>
      </c>
      <c r="B264" s="40">
        <f>B87</f>
        <v/>
      </c>
      <c r="C264" s="141">
        <f>D87</f>
        <v/>
      </c>
      <c r="D264" s="141">
        <f>I87</f>
        <v/>
      </c>
      <c r="E264" s="141">
        <f>J87</f>
        <v/>
      </c>
      <c r="F264" s="141">
        <f>K87</f>
        <v/>
      </c>
      <c r="G264" s="138">
        <f>IF(AND($L$227&gt;0,A264=$C$13),$L$227*($C$15+$C$18),0)+IF(AND($L$227&gt;0,A264=$C$13),$C$24,0)</f>
        <v/>
      </c>
      <c r="H264" s="138">
        <f>IF(OR($L$227&lt;=0,A264&lt;$C$13),0,IF(AND($L$227&gt;0,$C$17&gt;0,A264&gt;=$C$13,A264&lt;($C$13+$C$17)),IF($C$17&lt;=0,0,IF($C$16=0,MAX($L$227*(1-$C$15),0)/$C$17,-PMT($C$16/12,$C$17*12,MAX($L$227*(1-$C$15),0))*12)),0)+X264*($C$19+$C$20+$C$21)+$C$22+$C$23)</f>
        <v/>
      </c>
      <c r="I264" s="138">
        <f>IF(B264="Working",MIN(MAX(D264-E264-F264-G264-H264,0),'Tax Assumptions'!$B$20),0)</f>
        <v/>
      </c>
      <c r="J264" s="138">
        <f>IF(B264="Working",D264-E264-F264-I264-G264-H264,-L264)</f>
        <v/>
      </c>
      <c r="K264" s="141">
        <f>IF(B264="Retired",$N$227+G264+H264,0)</f>
        <v/>
      </c>
      <c r="L264" s="141">
        <f>M264+N264+O264+P264</f>
        <v/>
      </c>
      <c r="M264" s="141">
        <f>IF(B264="Retired",MIN(((Q263)*(1+$C$10)+IF(B264="Working",J264,0)),K264),0)</f>
        <v/>
      </c>
      <c r="N264" s="141">
        <f>IF(B264="Retired",MIN(MAX(K264-M264,0),((R263)*(1+$C$10)+IF(B264="Working",E87,0))),0)</f>
        <v/>
      </c>
      <c r="O264" s="141">
        <f>IF(B264="Retired",MIN(MAX(K264-M264-N264,0),((S263)*(1+$C$10)+IF(B264="Working",I264,0))),0)</f>
        <v/>
      </c>
      <c r="P264" s="141">
        <f>IF(B264="Retired",MIN(MAX(K264-M264-N264-O264,0),((T263)*(1+$C$10)+IF(B264="Working",F87,0))),0)</f>
        <v/>
      </c>
      <c r="Q264" s="138">
        <f>MAX(((Q263)*(1+$C$10)+IF(B264="Working",J264,0))-M264,0)</f>
        <v/>
      </c>
      <c r="R264" s="138">
        <f>MAX(((R263)*(1+$C$10)+IF(B264="Working",E87,0))-N264,0)</f>
        <v/>
      </c>
      <c r="S264" s="138">
        <f>MAX(((S263)*(1+$C$10)+IF(B264="Working",I264,0))-O264,0)</f>
        <v/>
      </c>
      <c r="T264" s="138">
        <f>MAX(((T263)*(1+$C$10)+IF(B264="Working",F87,0))-P264,0)</f>
        <v/>
      </c>
      <c r="U264" s="138">
        <f>Q264+R264+S264+T264</f>
        <v/>
      </c>
      <c r="V264" s="138">
        <f>IF(B264="Working",MAX(-(((Q263)*(1+$C$10)+IF(B264="Working",J264,0))),0),MAX(K264-L264,0))</f>
        <v/>
      </c>
      <c r="W264" s="138">
        <f>IF(OR(A264&gt;=$C$13,B264="Retired"),IF(V264&gt;0,-V264,U264-'Model Inputs'!$B$18),"")</f>
        <v/>
      </c>
      <c r="X264" s="138">
        <f>IF(AND($L$227&gt;0,A264&gt;=$C$13),$L$227*(1+$C$25)^(A264-$C$13),0)</f>
        <v/>
      </c>
      <c r="Y264" s="138">
        <f>IF(OR($L$227&lt;=0,$C$17&lt;=0,A264&lt;$C$13,MIN(MAX((A264-$C$13+1)*12,0),$C$17*12)&gt;=$C$17*12),0,IF($C$16=0,MAX(MAX($L$227*(1-$C$15),0)-(IF($C$17&lt;=0,0,IF($C$16=0,MAX($L$227*(1-$C$15),0)/$C$17,-PMT($C$16/12,$C$17*12,MAX($L$227*(1-$C$15),0))*12))/12)*MIN(MAX((A264-$C$13+1)*12,0),$C$17*12),0),MAX(MAX($L$227*(1-$C$15),0)*(1+$C$16/12)^MIN(MAX((A264-$C$13+1)*12,0),$C$17*12)-(IF($C$17&lt;=0,0,IF($C$16=0,MAX($L$227*(1-$C$15),0)/$C$17,-PMT($C$16/12,$C$17*12,MAX($L$227*(1-$C$15),0))*12))/12)*(((1+$C$16/12)^MIN(MAX((A264-$C$13+1)*12,0),$C$17*12)-1)/($C$16/12)),0)))</f>
        <v/>
      </c>
      <c r="Z264" s="138">
        <f>MAX(X264-Y264,0)</f>
        <v/>
      </c>
      <c r="AA264" s="142">
        <f>U264+Z264</f>
        <v/>
      </c>
      <c r="AB264" s="5" t="n"/>
      <c r="AC264" s="5" t="n"/>
      <c r="AD264" s="5" t="n"/>
      <c r="AE264" s="5" t="n"/>
      <c r="AF264" s="5" t="n"/>
      <c r="AG264" s="5" t="n"/>
    </row>
    <row r="265" outlineLevel="1" s="326">
      <c r="A265" s="136" t="n">
        <v>9</v>
      </c>
      <c r="B265" s="72">
        <f>B88</f>
        <v/>
      </c>
      <c r="C265" s="137">
        <f>D88</f>
        <v/>
      </c>
      <c r="D265" s="137">
        <f>I88</f>
        <v/>
      </c>
      <c r="E265" s="137">
        <f>J88</f>
        <v/>
      </c>
      <c r="F265" s="137">
        <f>K88</f>
        <v/>
      </c>
      <c r="G265" s="138">
        <f>IF(AND($L$227&gt;0,A265=$C$13),$L$227*($C$15+$C$18),0)+IF(AND($L$227&gt;0,A265=$C$13),$C$24,0)</f>
        <v/>
      </c>
      <c r="H265" s="138">
        <f>IF(OR($L$227&lt;=0,A265&lt;$C$13),0,IF(AND($L$227&gt;0,$C$17&gt;0,A265&gt;=$C$13,A265&lt;($C$13+$C$17)),IF($C$17&lt;=0,0,IF($C$16=0,MAX($L$227*(1-$C$15),0)/$C$17,-PMT($C$16/12,$C$17*12,MAX($L$227*(1-$C$15),0))*12)),0)+X265*($C$19+$C$20+$C$21)+$C$22+$C$23)</f>
        <v/>
      </c>
      <c r="I265" s="138">
        <f>IF(B265="Working",MIN(MAX(D265-E265-F265-G265-H265,0),'Tax Assumptions'!$B$20),0)</f>
        <v/>
      </c>
      <c r="J265" s="138">
        <f>IF(B265="Working",D265-E265-F265-I265-G265-H265,-L265)</f>
        <v/>
      </c>
      <c r="K265" s="137">
        <f>IF(B265="Retired",$N$227+G265+H265,0)</f>
        <v/>
      </c>
      <c r="L265" s="137">
        <f>M265+N265+O265+P265</f>
        <v/>
      </c>
      <c r="M265" s="137">
        <f>IF(B265="Retired",MIN(((Q264)*(1+$C$10)+IF(B265="Working",J265,0)),K265),0)</f>
        <v/>
      </c>
      <c r="N265" s="137">
        <f>IF(B265="Retired",MIN(MAX(K265-M265,0),((R264)*(1+$C$10)+IF(B265="Working",E88,0))),0)</f>
        <v/>
      </c>
      <c r="O265" s="137">
        <f>IF(B265="Retired",MIN(MAX(K265-M265-N265,0),((S264)*(1+$C$10)+IF(B265="Working",I265,0))),0)</f>
        <v/>
      </c>
      <c r="P265" s="137">
        <f>IF(B265="Retired",MIN(MAX(K265-M265-N265-O265,0),((T264)*(1+$C$10)+IF(B265="Working",F88,0))),0)</f>
        <v/>
      </c>
      <c r="Q265" s="138">
        <f>MAX(((Q264)*(1+$C$10)+IF(B265="Working",J265,0))-M265,0)</f>
        <v/>
      </c>
      <c r="R265" s="138">
        <f>MAX(((R264)*(1+$C$10)+IF(B265="Working",E88,0))-N265,0)</f>
        <v/>
      </c>
      <c r="S265" s="138">
        <f>MAX(((S264)*(1+$C$10)+IF(B265="Working",I265,0))-O265,0)</f>
        <v/>
      </c>
      <c r="T265" s="138">
        <f>MAX(((T264)*(1+$C$10)+IF(B265="Working",F88,0))-P265,0)</f>
        <v/>
      </c>
      <c r="U265" s="138">
        <f>Q265+R265+S265+T265</f>
        <v/>
      </c>
      <c r="V265" s="138">
        <f>IF(B265="Working",MAX(-(((Q264)*(1+$C$10)+IF(B265="Working",J265,0))),0),MAX(K265-L265,0))</f>
        <v/>
      </c>
      <c r="W265" s="138">
        <f>IF(OR(A265&gt;=$C$13,B265="Retired"),IF(V265&gt;0,-V265,U265-'Model Inputs'!$B$18),"")</f>
        <v/>
      </c>
      <c r="X265" s="138">
        <f>IF(AND($L$227&gt;0,A265&gt;=$C$13),$L$227*(1+$C$25)^(A265-$C$13),0)</f>
        <v/>
      </c>
      <c r="Y265" s="138">
        <f>IF(OR($L$227&lt;=0,$C$17&lt;=0,A265&lt;$C$13,MIN(MAX((A265-$C$13+1)*12,0),$C$17*12)&gt;=$C$17*12),0,IF($C$16=0,MAX(MAX($L$227*(1-$C$15),0)-(IF($C$17&lt;=0,0,IF($C$16=0,MAX($L$227*(1-$C$15),0)/$C$17,-PMT($C$16/12,$C$17*12,MAX($L$227*(1-$C$15),0))*12))/12)*MIN(MAX((A265-$C$13+1)*12,0),$C$17*12),0),MAX(MAX($L$227*(1-$C$15),0)*(1+$C$16/12)^MIN(MAX((A265-$C$13+1)*12,0),$C$17*12)-(IF($C$17&lt;=0,0,IF($C$16=0,MAX($L$227*(1-$C$15),0)/$C$17,-PMT($C$16/12,$C$17*12,MAX($L$227*(1-$C$15),0))*12))/12)*(((1+$C$16/12)^MIN(MAX((A265-$C$13+1)*12,0),$C$17*12)-1)/($C$16/12)),0)))</f>
        <v/>
      </c>
      <c r="Z265" s="138">
        <f>MAX(X265-Y265,0)</f>
        <v/>
      </c>
      <c r="AA265" s="139">
        <f>U265+Z265</f>
        <v/>
      </c>
      <c r="AB265" s="5" t="n"/>
      <c r="AC265" s="5" t="n"/>
      <c r="AD265" s="5" t="n"/>
      <c r="AE265" s="5" t="n"/>
      <c r="AF265" s="5" t="n"/>
      <c r="AG265" s="5" t="n"/>
    </row>
    <row r="266" outlineLevel="1" s="326">
      <c r="A266" s="140" t="n">
        <v>10</v>
      </c>
      <c r="B266" s="40">
        <f>B89</f>
        <v/>
      </c>
      <c r="C266" s="141">
        <f>D89</f>
        <v/>
      </c>
      <c r="D266" s="141">
        <f>I89</f>
        <v/>
      </c>
      <c r="E266" s="141">
        <f>J89</f>
        <v/>
      </c>
      <c r="F266" s="141">
        <f>K89</f>
        <v/>
      </c>
      <c r="G266" s="138">
        <f>IF(AND($L$227&gt;0,A266=$C$13),$L$227*($C$15+$C$18),0)+IF(AND($L$227&gt;0,A266=$C$13),$C$24,0)</f>
        <v/>
      </c>
      <c r="H266" s="138">
        <f>IF(OR($L$227&lt;=0,A266&lt;$C$13),0,IF(AND($L$227&gt;0,$C$17&gt;0,A266&gt;=$C$13,A266&lt;($C$13+$C$17)),IF($C$17&lt;=0,0,IF($C$16=0,MAX($L$227*(1-$C$15),0)/$C$17,-PMT($C$16/12,$C$17*12,MAX($L$227*(1-$C$15),0))*12)),0)+X266*($C$19+$C$20+$C$21)+$C$22+$C$23)</f>
        <v/>
      </c>
      <c r="I266" s="138">
        <f>IF(B266="Working",MIN(MAX(D266-E266-F266-G266-H266,0),'Tax Assumptions'!$B$20),0)</f>
        <v/>
      </c>
      <c r="J266" s="138">
        <f>IF(B266="Working",D266-E266-F266-I266-G266-H266,-L266)</f>
        <v/>
      </c>
      <c r="K266" s="141">
        <f>IF(B266="Retired",$N$227+G266+H266,0)</f>
        <v/>
      </c>
      <c r="L266" s="141">
        <f>M266+N266+O266+P266</f>
        <v/>
      </c>
      <c r="M266" s="141">
        <f>IF(B266="Retired",MIN(((Q265)*(1+$C$10)+IF(B266="Working",J266,0)),K266),0)</f>
        <v/>
      </c>
      <c r="N266" s="141">
        <f>IF(B266="Retired",MIN(MAX(K266-M266,0),((R265)*(1+$C$10)+IF(B266="Working",E89,0))),0)</f>
        <v/>
      </c>
      <c r="O266" s="141">
        <f>IF(B266="Retired",MIN(MAX(K266-M266-N266,0),((S265)*(1+$C$10)+IF(B266="Working",I266,0))),0)</f>
        <v/>
      </c>
      <c r="P266" s="141">
        <f>IF(B266="Retired",MIN(MAX(K266-M266-N266-O266,0),((T265)*(1+$C$10)+IF(B266="Working",F89,0))),0)</f>
        <v/>
      </c>
      <c r="Q266" s="138">
        <f>MAX(((Q265)*(1+$C$10)+IF(B266="Working",J266,0))-M266,0)</f>
        <v/>
      </c>
      <c r="R266" s="138">
        <f>MAX(((R265)*(1+$C$10)+IF(B266="Working",E89,0))-N266,0)</f>
        <v/>
      </c>
      <c r="S266" s="138">
        <f>MAX(((S265)*(1+$C$10)+IF(B266="Working",I266,0))-O266,0)</f>
        <v/>
      </c>
      <c r="T266" s="138">
        <f>MAX(((T265)*(1+$C$10)+IF(B266="Working",F89,0))-P266,0)</f>
        <v/>
      </c>
      <c r="U266" s="138">
        <f>Q266+R266+S266+T266</f>
        <v/>
      </c>
      <c r="V266" s="138">
        <f>IF(B266="Working",MAX(-(((Q265)*(1+$C$10)+IF(B266="Working",J266,0))),0),MAX(K266-L266,0))</f>
        <v/>
      </c>
      <c r="W266" s="138">
        <f>IF(OR(A266&gt;=$C$13,B266="Retired"),IF(V266&gt;0,-V266,U266-'Model Inputs'!$B$18),"")</f>
        <v/>
      </c>
      <c r="X266" s="138">
        <f>IF(AND($L$227&gt;0,A266&gt;=$C$13),$L$227*(1+$C$25)^(A266-$C$13),0)</f>
        <v/>
      </c>
      <c r="Y266" s="138">
        <f>IF(OR($L$227&lt;=0,$C$17&lt;=0,A266&lt;$C$13,MIN(MAX((A266-$C$13+1)*12,0),$C$17*12)&gt;=$C$17*12),0,IF($C$16=0,MAX(MAX($L$227*(1-$C$15),0)-(IF($C$17&lt;=0,0,IF($C$16=0,MAX($L$227*(1-$C$15),0)/$C$17,-PMT($C$16/12,$C$17*12,MAX($L$227*(1-$C$15),0))*12))/12)*MIN(MAX((A266-$C$13+1)*12,0),$C$17*12),0),MAX(MAX($L$227*(1-$C$15),0)*(1+$C$16/12)^MIN(MAX((A266-$C$13+1)*12,0),$C$17*12)-(IF($C$17&lt;=0,0,IF($C$16=0,MAX($L$227*(1-$C$15),0)/$C$17,-PMT($C$16/12,$C$17*12,MAX($L$227*(1-$C$15),0))*12))/12)*(((1+$C$16/12)^MIN(MAX((A266-$C$13+1)*12,0),$C$17*12)-1)/($C$16/12)),0)))</f>
        <v/>
      </c>
      <c r="Z266" s="138">
        <f>MAX(X266-Y266,0)</f>
        <v/>
      </c>
      <c r="AA266" s="142">
        <f>U266+Z266</f>
        <v/>
      </c>
      <c r="AB266" s="5" t="n"/>
      <c r="AC266" s="5" t="n"/>
      <c r="AD266" s="5" t="n"/>
      <c r="AE266" s="5" t="n"/>
      <c r="AF266" s="5" t="n"/>
      <c r="AG266" s="5" t="n"/>
    </row>
    <row r="267" outlineLevel="1" s="326">
      <c r="A267" s="136" t="n">
        <v>11</v>
      </c>
      <c r="B267" s="72">
        <f>B90</f>
        <v/>
      </c>
      <c r="C267" s="137">
        <f>D90</f>
        <v/>
      </c>
      <c r="D267" s="137">
        <f>I90</f>
        <v/>
      </c>
      <c r="E267" s="137">
        <f>J90</f>
        <v/>
      </c>
      <c r="F267" s="137">
        <f>K90</f>
        <v/>
      </c>
      <c r="G267" s="138">
        <f>IF(AND($L$227&gt;0,A267=$C$13),$L$227*($C$15+$C$18),0)+IF(AND($L$227&gt;0,A267=$C$13),$C$24,0)</f>
        <v/>
      </c>
      <c r="H267" s="138">
        <f>IF(OR($L$227&lt;=0,A267&lt;$C$13),0,IF(AND($L$227&gt;0,$C$17&gt;0,A267&gt;=$C$13,A267&lt;($C$13+$C$17)),IF($C$17&lt;=0,0,IF($C$16=0,MAX($L$227*(1-$C$15),0)/$C$17,-PMT($C$16/12,$C$17*12,MAX($L$227*(1-$C$15),0))*12)),0)+X267*($C$19+$C$20+$C$21)+$C$22+$C$23)</f>
        <v/>
      </c>
      <c r="I267" s="138">
        <f>IF(B267="Working",MIN(MAX(D267-E267-F267-G267-H267,0),'Tax Assumptions'!$B$20),0)</f>
        <v/>
      </c>
      <c r="J267" s="138">
        <f>IF(B267="Working",D267-E267-F267-I267-G267-H267,-L267)</f>
        <v/>
      </c>
      <c r="K267" s="137">
        <f>IF(B267="Retired",$N$227+G267+H267,0)</f>
        <v/>
      </c>
      <c r="L267" s="137">
        <f>M267+N267+O267+P267</f>
        <v/>
      </c>
      <c r="M267" s="137">
        <f>IF(B267="Retired",MIN(((Q266)*(1+$C$10)+IF(B267="Working",J267,0)),K267),0)</f>
        <v/>
      </c>
      <c r="N267" s="137">
        <f>IF(B267="Retired",MIN(MAX(K267-M267,0),((R266)*(1+$C$10)+IF(B267="Working",E90,0))),0)</f>
        <v/>
      </c>
      <c r="O267" s="137">
        <f>IF(B267="Retired",MIN(MAX(K267-M267-N267,0),((S266)*(1+$C$10)+IF(B267="Working",I267,0))),0)</f>
        <v/>
      </c>
      <c r="P267" s="137">
        <f>IF(B267="Retired",MIN(MAX(K267-M267-N267-O267,0),((T266)*(1+$C$10)+IF(B267="Working",F90,0))),0)</f>
        <v/>
      </c>
      <c r="Q267" s="138">
        <f>MAX(((Q266)*(1+$C$10)+IF(B267="Working",J267,0))-M267,0)</f>
        <v/>
      </c>
      <c r="R267" s="138">
        <f>MAX(((R266)*(1+$C$10)+IF(B267="Working",E90,0))-N267,0)</f>
        <v/>
      </c>
      <c r="S267" s="138">
        <f>MAX(((S266)*(1+$C$10)+IF(B267="Working",I267,0))-O267,0)</f>
        <v/>
      </c>
      <c r="T267" s="138">
        <f>MAX(((T266)*(1+$C$10)+IF(B267="Working",F90,0))-P267,0)</f>
        <v/>
      </c>
      <c r="U267" s="138">
        <f>Q267+R267+S267+T267</f>
        <v/>
      </c>
      <c r="V267" s="138">
        <f>IF(B267="Working",MAX(-(((Q266)*(1+$C$10)+IF(B267="Working",J267,0))),0),MAX(K267-L267,0))</f>
        <v/>
      </c>
      <c r="W267" s="138">
        <f>IF(OR(A267&gt;=$C$13,B267="Retired"),IF(V267&gt;0,-V267,U267-'Model Inputs'!$B$18),"")</f>
        <v/>
      </c>
      <c r="X267" s="138">
        <f>IF(AND($L$227&gt;0,A267&gt;=$C$13),$L$227*(1+$C$25)^(A267-$C$13),0)</f>
        <v/>
      </c>
      <c r="Y267" s="138">
        <f>IF(OR($L$227&lt;=0,$C$17&lt;=0,A267&lt;$C$13,MIN(MAX((A267-$C$13+1)*12,0),$C$17*12)&gt;=$C$17*12),0,IF($C$16=0,MAX(MAX($L$227*(1-$C$15),0)-(IF($C$17&lt;=0,0,IF($C$16=0,MAX($L$227*(1-$C$15),0)/$C$17,-PMT($C$16/12,$C$17*12,MAX($L$227*(1-$C$15),0))*12))/12)*MIN(MAX((A267-$C$13+1)*12,0),$C$17*12),0),MAX(MAX($L$227*(1-$C$15),0)*(1+$C$16/12)^MIN(MAX((A267-$C$13+1)*12,0),$C$17*12)-(IF($C$17&lt;=0,0,IF($C$16=0,MAX($L$227*(1-$C$15),0)/$C$17,-PMT($C$16/12,$C$17*12,MAX($L$227*(1-$C$15),0))*12))/12)*(((1+$C$16/12)^MIN(MAX((A267-$C$13+1)*12,0),$C$17*12)-1)/($C$16/12)),0)))</f>
        <v/>
      </c>
      <c r="Z267" s="138">
        <f>MAX(X267-Y267,0)</f>
        <v/>
      </c>
      <c r="AA267" s="139">
        <f>U267+Z267</f>
        <v/>
      </c>
      <c r="AB267" s="5" t="n"/>
      <c r="AC267" s="5" t="n"/>
      <c r="AD267" s="5" t="n"/>
      <c r="AE267" s="5" t="n"/>
      <c r="AF267" s="5" t="n"/>
      <c r="AG267" s="5" t="n"/>
    </row>
    <row r="268" outlineLevel="1" s="326">
      <c r="A268" s="140" t="n">
        <v>12</v>
      </c>
      <c r="B268" s="40">
        <f>B91</f>
        <v/>
      </c>
      <c r="C268" s="141">
        <f>D91</f>
        <v/>
      </c>
      <c r="D268" s="141">
        <f>I91</f>
        <v/>
      </c>
      <c r="E268" s="141">
        <f>J91</f>
        <v/>
      </c>
      <c r="F268" s="141">
        <f>K91</f>
        <v/>
      </c>
      <c r="G268" s="138">
        <f>IF(AND($L$227&gt;0,A268=$C$13),$L$227*($C$15+$C$18),0)+IF(AND($L$227&gt;0,A268=$C$13),$C$24,0)</f>
        <v/>
      </c>
      <c r="H268" s="138">
        <f>IF(OR($L$227&lt;=0,A268&lt;$C$13),0,IF(AND($L$227&gt;0,$C$17&gt;0,A268&gt;=$C$13,A268&lt;($C$13+$C$17)),IF($C$17&lt;=0,0,IF($C$16=0,MAX($L$227*(1-$C$15),0)/$C$17,-PMT($C$16/12,$C$17*12,MAX($L$227*(1-$C$15),0))*12)),0)+X268*($C$19+$C$20+$C$21)+$C$22+$C$23)</f>
        <v/>
      </c>
      <c r="I268" s="138">
        <f>IF(B268="Working",MIN(MAX(D268-E268-F268-G268-H268,0),'Tax Assumptions'!$B$20),0)</f>
        <v/>
      </c>
      <c r="J268" s="138">
        <f>IF(B268="Working",D268-E268-F268-I268-G268-H268,-L268)</f>
        <v/>
      </c>
      <c r="K268" s="141">
        <f>IF(B268="Retired",$N$227+G268+H268,0)</f>
        <v/>
      </c>
      <c r="L268" s="141">
        <f>M268+N268+O268+P268</f>
        <v/>
      </c>
      <c r="M268" s="141">
        <f>IF(B268="Retired",MIN(((Q267)*(1+$C$10)+IF(B268="Working",J268,0)),K268),0)</f>
        <v/>
      </c>
      <c r="N268" s="141">
        <f>IF(B268="Retired",MIN(MAX(K268-M268,0),((R267)*(1+$C$10)+IF(B268="Working",E91,0))),0)</f>
        <v/>
      </c>
      <c r="O268" s="141">
        <f>IF(B268="Retired",MIN(MAX(K268-M268-N268,0),((S267)*(1+$C$10)+IF(B268="Working",I268,0))),0)</f>
        <v/>
      </c>
      <c r="P268" s="141">
        <f>IF(B268="Retired",MIN(MAX(K268-M268-N268-O268,0),((T267)*(1+$C$10)+IF(B268="Working",F91,0))),0)</f>
        <v/>
      </c>
      <c r="Q268" s="138">
        <f>MAX(((Q267)*(1+$C$10)+IF(B268="Working",J268,0))-M268,0)</f>
        <v/>
      </c>
      <c r="R268" s="138">
        <f>MAX(((R267)*(1+$C$10)+IF(B268="Working",E91,0))-N268,0)</f>
        <v/>
      </c>
      <c r="S268" s="138">
        <f>MAX(((S267)*(1+$C$10)+IF(B268="Working",I268,0))-O268,0)</f>
        <v/>
      </c>
      <c r="T268" s="138">
        <f>MAX(((T267)*(1+$C$10)+IF(B268="Working",F91,0))-P268,0)</f>
        <v/>
      </c>
      <c r="U268" s="138">
        <f>Q268+R268+S268+T268</f>
        <v/>
      </c>
      <c r="V268" s="138">
        <f>IF(B268="Working",MAX(-(((Q267)*(1+$C$10)+IF(B268="Working",J268,0))),0),MAX(K268-L268,0))</f>
        <v/>
      </c>
      <c r="W268" s="138">
        <f>IF(OR(A268&gt;=$C$13,B268="Retired"),IF(V268&gt;0,-V268,U268-'Model Inputs'!$B$18),"")</f>
        <v/>
      </c>
      <c r="X268" s="138">
        <f>IF(AND($L$227&gt;0,A268&gt;=$C$13),$L$227*(1+$C$25)^(A268-$C$13),0)</f>
        <v/>
      </c>
      <c r="Y268" s="138">
        <f>IF(OR($L$227&lt;=0,$C$17&lt;=0,A268&lt;$C$13,MIN(MAX((A268-$C$13+1)*12,0),$C$17*12)&gt;=$C$17*12),0,IF($C$16=0,MAX(MAX($L$227*(1-$C$15),0)-(IF($C$17&lt;=0,0,IF($C$16=0,MAX($L$227*(1-$C$15),0)/$C$17,-PMT($C$16/12,$C$17*12,MAX($L$227*(1-$C$15),0))*12))/12)*MIN(MAX((A268-$C$13+1)*12,0),$C$17*12),0),MAX(MAX($L$227*(1-$C$15),0)*(1+$C$16/12)^MIN(MAX((A268-$C$13+1)*12,0),$C$17*12)-(IF($C$17&lt;=0,0,IF($C$16=0,MAX($L$227*(1-$C$15),0)/$C$17,-PMT($C$16/12,$C$17*12,MAX($L$227*(1-$C$15),0))*12))/12)*(((1+$C$16/12)^MIN(MAX((A268-$C$13+1)*12,0),$C$17*12)-1)/($C$16/12)),0)))</f>
        <v/>
      </c>
      <c r="Z268" s="138">
        <f>MAX(X268-Y268,0)</f>
        <v/>
      </c>
      <c r="AA268" s="142">
        <f>U268+Z268</f>
        <v/>
      </c>
      <c r="AB268" s="5" t="n"/>
      <c r="AC268" s="5" t="n"/>
      <c r="AD268" s="5" t="n"/>
      <c r="AE268" s="5" t="n"/>
      <c r="AF268" s="5" t="n"/>
      <c r="AG268" s="5" t="n"/>
    </row>
    <row r="269" outlineLevel="1" s="326">
      <c r="A269" s="136" t="n">
        <v>13</v>
      </c>
      <c r="B269" s="72">
        <f>B92</f>
        <v/>
      </c>
      <c r="C269" s="137">
        <f>D92</f>
        <v/>
      </c>
      <c r="D269" s="137">
        <f>I92</f>
        <v/>
      </c>
      <c r="E269" s="137">
        <f>J92</f>
        <v/>
      </c>
      <c r="F269" s="137">
        <f>K92</f>
        <v/>
      </c>
      <c r="G269" s="138">
        <f>IF(AND($L$227&gt;0,A269=$C$13),$L$227*($C$15+$C$18),0)+IF(AND($L$227&gt;0,A269=$C$13),$C$24,0)</f>
        <v/>
      </c>
      <c r="H269" s="138">
        <f>IF(OR($L$227&lt;=0,A269&lt;$C$13),0,IF(AND($L$227&gt;0,$C$17&gt;0,A269&gt;=$C$13,A269&lt;($C$13+$C$17)),IF($C$17&lt;=0,0,IF($C$16=0,MAX($L$227*(1-$C$15),0)/$C$17,-PMT($C$16/12,$C$17*12,MAX($L$227*(1-$C$15),0))*12)),0)+X269*($C$19+$C$20+$C$21)+$C$22+$C$23)</f>
        <v/>
      </c>
      <c r="I269" s="138">
        <f>IF(B269="Working",MIN(MAX(D269-E269-F269-G269-H269,0),'Tax Assumptions'!$B$20),0)</f>
        <v/>
      </c>
      <c r="J269" s="138">
        <f>IF(B269="Working",D269-E269-F269-I269-G269-H269,-L269)</f>
        <v/>
      </c>
      <c r="K269" s="137">
        <f>IF(B269="Retired",$N$227+G269+H269,0)</f>
        <v/>
      </c>
      <c r="L269" s="137">
        <f>M269+N269+O269+P269</f>
        <v/>
      </c>
      <c r="M269" s="137">
        <f>IF(B269="Retired",MIN(((Q268)*(1+$C$10)+IF(B269="Working",J269,0)),K269),0)</f>
        <v/>
      </c>
      <c r="N269" s="137">
        <f>IF(B269="Retired",MIN(MAX(K269-M269,0),((R268)*(1+$C$10)+IF(B269="Working",E92,0))),0)</f>
        <v/>
      </c>
      <c r="O269" s="137">
        <f>IF(B269="Retired",MIN(MAX(K269-M269-N269,0),((S268)*(1+$C$10)+IF(B269="Working",I269,0))),0)</f>
        <v/>
      </c>
      <c r="P269" s="137">
        <f>IF(B269="Retired",MIN(MAX(K269-M269-N269-O269,0),((T268)*(1+$C$10)+IF(B269="Working",F92,0))),0)</f>
        <v/>
      </c>
      <c r="Q269" s="138">
        <f>MAX(((Q268)*(1+$C$10)+IF(B269="Working",J269,0))-M269,0)</f>
        <v/>
      </c>
      <c r="R269" s="138">
        <f>MAX(((R268)*(1+$C$10)+IF(B269="Working",E92,0))-N269,0)</f>
        <v/>
      </c>
      <c r="S269" s="138">
        <f>MAX(((S268)*(1+$C$10)+IF(B269="Working",I269,0))-O269,0)</f>
        <v/>
      </c>
      <c r="T269" s="138">
        <f>MAX(((T268)*(1+$C$10)+IF(B269="Working",F92,0))-P269,0)</f>
        <v/>
      </c>
      <c r="U269" s="138">
        <f>Q269+R269+S269+T269</f>
        <v/>
      </c>
      <c r="V269" s="138">
        <f>IF(B269="Working",MAX(-(((Q268)*(1+$C$10)+IF(B269="Working",J269,0))),0),MAX(K269-L269,0))</f>
        <v/>
      </c>
      <c r="W269" s="138">
        <f>IF(OR(A269&gt;=$C$13,B269="Retired"),IF(V269&gt;0,-V269,U269-'Model Inputs'!$B$18),"")</f>
        <v/>
      </c>
      <c r="X269" s="138">
        <f>IF(AND($L$227&gt;0,A269&gt;=$C$13),$L$227*(1+$C$25)^(A269-$C$13),0)</f>
        <v/>
      </c>
      <c r="Y269" s="138">
        <f>IF(OR($L$227&lt;=0,$C$17&lt;=0,A269&lt;$C$13,MIN(MAX((A269-$C$13+1)*12,0),$C$17*12)&gt;=$C$17*12),0,IF($C$16=0,MAX(MAX($L$227*(1-$C$15),0)-(IF($C$17&lt;=0,0,IF($C$16=0,MAX($L$227*(1-$C$15),0)/$C$17,-PMT($C$16/12,$C$17*12,MAX($L$227*(1-$C$15),0))*12))/12)*MIN(MAX((A269-$C$13+1)*12,0),$C$17*12),0),MAX(MAX($L$227*(1-$C$15),0)*(1+$C$16/12)^MIN(MAX((A269-$C$13+1)*12,0),$C$17*12)-(IF($C$17&lt;=0,0,IF($C$16=0,MAX($L$227*(1-$C$15),0)/$C$17,-PMT($C$16/12,$C$17*12,MAX($L$227*(1-$C$15),0))*12))/12)*(((1+$C$16/12)^MIN(MAX((A269-$C$13+1)*12,0),$C$17*12)-1)/($C$16/12)),0)))</f>
        <v/>
      </c>
      <c r="Z269" s="138">
        <f>MAX(X269-Y269,0)</f>
        <v/>
      </c>
      <c r="AA269" s="139">
        <f>U269+Z269</f>
        <v/>
      </c>
      <c r="AB269" s="5" t="n"/>
      <c r="AC269" s="5" t="n"/>
      <c r="AD269" s="5" t="n"/>
      <c r="AE269" s="5" t="n"/>
      <c r="AF269" s="5" t="n"/>
      <c r="AG269" s="5" t="n"/>
    </row>
    <row r="270" outlineLevel="1" s="326">
      <c r="A270" s="140" t="n">
        <v>14</v>
      </c>
      <c r="B270" s="40">
        <f>B93</f>
        <v/>
      </c>
      <c r="C270" s="141">
        <f>D93</f>
        <v/>
      </c>
      <c r="D270" s="141">
        <f>I93</f>
        <v/>
      </c>
      <c r="E270" s="141">
        <f>J93</f>
        <v/>
      </c>
      <c r="F270" s="141">
        <f>K93</f>
        <v/>
      </c>
      <c r="G270" s="138">
        <f>IF(AND($L$227&gt;0,A270=$C$13),$L$227*($C$15+$C$18),0)+IF(AND($L$227&gt;0,A270=$C$13),$C$24,0)</f>
        <v/>
      </c>
      <c r="H270" s="138">
        <f>IF(OR($L$227&lt;=0,A270&lt;$C$13),0,IF(AND($L$227&gt;0,$C$17&gt;0,A270&gt;=$C$13,A270&lt;($C$13+$C$17)),IF($C$17&lt;=0,0,IF($C$16=0,MAX($L$227*(1-$C$15),0)/$C$17,-PMT($C$16/12,$C$17*12,MAX($L$227*(1-$C$15),0))*12)),0)+X270*($C$19+$C$20+$C$21)+$C$22+$C$23)</f>
        <v/>
      </c>
      <c r="I270" s="138">
        <f>IF(B270="Working",MIN(MAX(D270-E270-F270-G270-H270,0),'Tax Assumptions'!$B$20),0)</f>
        <v/>
      </c>
      <c r="J270" s="138">
        <f>IF(B270="Working",D270-E270-F270-I270-G270-H270,-L270)</f>
        <v/>
      </c>
      <c r="K270" s="141">
        <f>IF(B270="Retired",$N$227+G270+H270,0)</f>
        <v/>
      </c>
      <c r="L270" s="141">
        <f>M270+N270+O270+P270</f>
        <v/>
      </c>
      <c r="M270" s="141">
        <f>IF(B270="Retired",MIN(((Q269)*(1+$C$10)+IF(B270="Working",J270,0)),K270),0)</f>
        <v/>
      </c>
      <c r="N270" s="141">
        <f>IF(B270="Retired",MIN(MAX(K270-M270,0),((R269)*(1+$C$10)+IF(B270="Working",E93,0))),0)</f>
        <v/>
      </c>
      <c r="O270" s="141">
        <f>IF(B270="Retired",MIN(MAX(K270-M270-N270,0),((S269)*(1+$C$10)+IF(B270="Working",I270,0))),0)</f>
        <v/>
      </c>
      <c r="P270" s="141">
        <f>IF(B270="Retired",MIN(MAX(K270-M270-N270-O270,0),((T269)*(1+$C$10)+IF(B270="Working",F93,0))),0)</f>
        <v/>
      </c>
      <c r="Q270" s="138">
        <f>MAX(((Q269)*(1+$C$10)+IF(B270="Working",J270,0))-M270,0)</f>
        <v/>
      </c>
      <c r="R270" s="138">
        <f>MAX(((R269)*(1+$C$10)+IF(B270="Working",E93,0))-N270,0)</f>
        <v/>
      </c>
      <c r="S270" s="138">
        <f>MAX(((S269)*(1+$C$10)+IF(B270="Working",I270,0))-O270,0)</f>
        <v/>
      </c>
      <c r="T270" s="138">
        <f>MAX(((T269)*(1+$C$10)+IF(B270="Working",F93,0))-P270,0)</f>
        <v/>
      </c>
      <c r="U270" s="138">
        <f>Q270+R270+S270+T270</f>
        <v/>
      </c>
      <c r="V270" s="138">
        <f>IF(B270="Working",MAX(-(((Q269)*(1+$C$10)+IF(B270="Working",J270,0))),0),MAX(K270-L270,0))</f>
        <v/>
      </c>
      <c r="W270" s="138">
        <f>IF(OR(A270&gt;=$C$13,B270="Retired"),IF(V270&gt;0,-V270,U270-'Model Inputs'!$B$18),"")</f>
        <v/>
      </c>
      <c r="X270" s="138">
        <f>IF(AND($L$227&gt;0,A270&gt;=$C$13),$L$227*(1+$C$25)^(A270-$C$13),0)</f>
        <v/>
      </c>
      <c r="Y270" s="138">
        <f>IF(OR($L$227&lt;=0,$C$17&lt;=0,A270&lt;$C$13,MIN(MAX((A270-$C$13+1)*12,0),$C$17*12)&gt;=$C$17*12),0,IF($C$16=0,MAX(MAX($L$227*(1-$C$15),0)-(IF($C$17&lt;=0,0,IF($C$16=0,MAX($L$227*(1-$C$15),0)/$C$17,-PMT($C$16/12,$C$17*12,MAX($L$227*(1-$C$15),0))*12))/12)*MIN(MAX((A270-$C$13+1)*12,0),$C$17*12),0),MAX(MAX($L$227*(1-$C$15),0)*(1+$C$16/12)^MIN(MAX((A270-$C$13+1)*12,0),$C$17*12)-(IF($C$17&lt;=0,0,IF($C$16=0,MAX($L$227*(1-$C$15),0)/$C$17,-PMT($C$16/12,$C$17*12,MAX($L$227*(1-$C$15),0))*12))/12)*(((1+$C$16/12)^MIN(MAX((A270-$C$13+1)*12,0),$C$17*12)-1)/($C$16/12)),0)))</f>
        <v/>
      </c>
      <c r="Z270" s="138">
        <f>MAX(X270-Y270,0)</f>
        <v/>
      </c>
      <c r="AA270" s="142">
        <f>U270+Z270</f>
        <v/>
      </c>
      <c r="AB270" s="5" t="n"/>
      <c r="AC270" s="5" t="n"/>
      <c r="AD270" s="5" t="n"/>
      <c r="AE270" s="5" t="n"/>
      <c r="AF270" s="5" t="n"/>
      <c r="AG270" s="5" t="n"/>
    </row>
    <row r="271" outlineLevel="1" s="326">
      <c r="A271" s="136" t="n">
        <v>15</v>
      </c>
      <c r="B271" s="72">
        <f>B94</f>
        <v/>
      </c>
      <c r="C271" s="137">
        <f>D94</f>
        <v/>
      </c>
      <c r="D271" s="137">
        <f>I94</f>
        <v/>
      </c>
      <c r="E271" s="137">
        <f>J94</f>
        <v/>
      </c>
      <c r="F271" s="137">
        <f>K94</f>
        <v/>
      </c>
      <c r="G271" s="138">
        <f>IF(AND($L$227&gt;0,A271=$C$13),$L$227*($C$15+$C$18),0)+IF(AND($L$227&gt;0,A271=$C$13),$C$24,0)</f>
        <v/>
      </c>
      <c r="H271" s="138">
        <f>IF(OR($L$227&lt;=0,A271&lt;$C$13),0,IF(AND($L$227&gt;0,$C$17&gt;0,A271&gt;=$C$13,A271&lt;($C$13+$C$17)),IF($C$17&lt;=0,0,IF($C$16=0,MAX($L$227*(1-$C$15),0)/$C$17,-PMT($C$16/12,$C$17*12,MAX($L$227*(1-$C$15),0))*12)),0)+X271*($C$19+$C$20+$C$21)+$C$22+$C$23)</f>
        <v/>
      </c>
      <c r="I271" s="138">
        <f>IF(B271="Working",MIN(MAX(D271-E271-F271-G271-H271,0),'Tax Assumptions'!$B$20),0)</f>
        <v/>
      </c>
      <c r="J271" s="138">
        <f>IF(B271="Working",D271-E271-F271-I271-G271-H271,-L271)</f>
        <v/>
      </c>
      <c r="K271" s="137">
        <f>IF(B271="Retired",$N$227+G271+H271,0)</f>
        <v/>
      </c>
      <c r="L271" s="137">
        <f>M271+N271+O271+P271</f>
        <v/>
      </c>
      <c r="M271" s="137">
        <f>IF(B271="Retired",MIN(((Q270)*(1+$C$10)+IF(B271="Working",J271,0)),K271),0)</f>
        <v/>
      </c>
      <c r="N271" s="137">
        <f>IF(B271="Retired",MIN(MAX(K271-M271,0),((R270)*(1+$C$10)+IF(B271="Working",E94,0))),0)</f>
        <v/>
      </c>
      <c r="O271" s="137">
        <f>IF(B271="Retired",MIN(MAX(K271-M271-N271,0),((S270)*(1+$C$10)+IF(B271="Working",I271,0))),0)</f>
        <v/>
      </c>
      <c r="P271" s="137">
        <f>IF(B271="Retired",MIN(MAX(K271-M271-N271-O271,0),((T270)*(1+$C$10)+IF(B271="Working",F94,0))),0)</f>
        <v/>
      </c>
      <c r="Q271" s="138">
        <f>MAX(((Q270)*(1+$C$10)+IF(B271="Working",J271,0))-M271,0)</f>
        <v/>
      </c>
      <c r="R271" s="138">
        <f>MAX(((R270)*(1+$C$10)+IF(B271="Working",E94,0))-N271,0)</f>
        <v/>
      </c>
      <c r="S271" s="138">
        <f>MAX(((S270)*(1+$C$10)+IF(B271="Working",I271,0))-O271,0)</f>
        <v/>
      </c>
      <c r="T271" s="138">
        <f>MAX(((T270)*(1+$C$10)+IF(B271="Working",F94,0))-P271,0)</f>
        <v/>
      </c>
      <c r="U271" s="138">
        <f>Q271+R271+S271+T271</f>
        <v/>
      </c>
      <c r="V271" s="138">
        <f>IF(B271="Working",MAX(-(((Q270)*(1+$C$10)+IF(B271="Working",J271,0))),0),MAX(K271-L271,0))</f>
        <v/>
      </c>
      <c r="W271" s="138">
        <f>IF(OR(A271&gt;=$C$13,B271="Retired"),IF(V271&gt;0,-V271,U271-'Model Inputs'!$B$18),"")</f>
        <v/>
      </c>
      <c r="X271" s="138">
        <f>IF(AND($L$227&gt;0,A271&gt;=$C$13),$L$227*(1+$C$25)^(A271-$C$13),0)</f>
        <v/>
      </c>
      <c r="Y271" s="138">
        <f>IF(OR($L$227&lt;=0,$C$17&lt;=0,A271&lt;$C$13,MIN(MAX((A271-$C$13+1)*12,0),$C$17*12)&gt;=$C$17*12),0,IF($C$16=0,MAX(MAX($L$227*(1-$C$15),0)-(IF($C$17&lt;=0,0,IF($C$16=0,MAX($L$227*(1-$C$15),0)/$C$17,-PMT($C$16/12,$C$17*12,MAX($L$227*(1-$C$15),0))*12))/12)*MIN(MAX((A271-$C$13+1)*12,0),$C$17*12),0),MAX(MAX($L$227*(1-$C$15),0)*(1+$C$16/12)^MIN(MAX((A271-$C$13+1)*12,0),$C$17*12)-(IF($C$17&lt;=0,0,IF($C$16=0,MAX($L$227*(1-$C$15),0)/$C$17,-PMT($C$16/12,$C$17*12,MAX($L$227*(1-$C$15),0))*12))/12)*(((1+$C$16/12)^MIN(MAX((A271-$C$13+1)*12,0),$C$17*12)-1)/($C$16/12)),0)))</f>
        <v/>
      </c>
      <c r="Z271" s="138">
        <f>MAX(X271-Y271,0)</f>
        <v/>
      </c>
      <c r="AA271" s="139">
        <f>U271+Z271</f>
        <v/>
      </c>
      <c r="AB271" s="5" t="n"/>
      <c r="AC271" s="5" t="n"/>
      <c r="AD271" s="5" t="n"/>
      <c r="AE271" s="5" t="n"/>
      <c r="AF271" s="5" t="n"/>
      <c r="AG271" s="5" t="n"/>
    </row>
    <row r="272" outlineLevel="1" s="326">
      <c r="A272" s="140" t="n">
        <v>16</v>
      </c>
      <c r="B272" s="40">
        <f>B95</f>
        <v/>
      </c>
      <c r="C272" s="141">
        <f>D95</f>
        <v/>
      </c>
      <c r="D272" s="141">
        <f>I95</f>
        <v/>
      </c>
      <c r="E272" s="141">
        <f>J95</f>
        <v/>
      </c>
      <c r="F272" s="141">
        <f>K95</f>
        <v/>
      </c>
      <c r="G272" s="138">
        <f>IF(AND($L$227&gt;0,A272=$C$13),$L$227*($C$15+$C$18),0)+IF(AND($L$227&gt;0,A272=$C$13),$C$24,0)</f>
        <v/>
      </c>
      <c r="H272" s="138">
        <f>IF(OR($L$227&lt;=0,A272&lt;$C$13),0,IF(AND($L$227&gt;0,$C$17&gt;0,A272&gt;=$C$13,A272&lt;($C$13+$C$17)),IF($C$17&lt;=0,0,IF($C$16=0,MAX($L$227*(1-$C$15),0)/$C$17,-PMT($C$16/12,$C$17*12,MAX($L$227*(1-$C$15),0))*12)),0)+X272*($C$19+$C$20+$C$21)+$C$22+$C$23)</f>
        <v/>
      </c>
      <c r="I272" s="138">
        <f>IF(B272="Working",MIN(MAX(D272-E272-F272-G272-H272,0),'Tax Assumptions'!$B$20),0)</f>
        <v/>
      </c>
      <c r="J272" s="138">
        <f>IF(B272="Working",D272-E272-F272-I272-G272-H272,-L272)</f>
        <v/>
      </c>
      <c r="K272" s="141">
        <f>IF(B272="Retired",$N$227+G272+H272,0)</f>
        <v/>
      </c>
      <c r="L272" s="141">
        <f>M272+N272+O272+P272</f>
        <v/>
      </c>
      <c r="M272" s="141">
        <f>IF(B272="Retired",MIN(((Q271)*(1+$C$10)+IF(B272="Working",J272,0)),K272),0)</f>
        <v/>
      </c>
      <c r="N272" s="141">
        <f>IF(B272="Retired",MIN(MAX(K272-M272,0),((R271)*(1+$C$10)+IF(B272="Working",E95,0))),0)</f>
        <v/>
      </c>
      <c r="O272" s="141">
        <f>IF(B272="Retired",MIN(MAX(K272-M272-N272,0),((S271)*(1+$C$10)+IF(B272="Working",I272,0))),0)</f>
        <v/>
      </c>
      <c r="P272" s="141">
        <f>IF(B272="Retired",MIN(MAX(K272-M272-N272-O272,0),((T271)*(1+$C$10)+IF(B272="Working",F95,0))),0)</f>
        <v/>
      </c>
      <c r="Q272" s="138">
        <f>MAX(((Q271)*(1+$C$10)+IF(B272="Working",J272,0))-M272,0)</f>
        <v/>
      </c>
      <c r="R272" s="138">
        <f>MAX(((R271)*(1+$C$10)+IF(B272="Working",E95,0))-N272,0)</f>
        <v/>
      </c>
      <c r="S272" s="138">
        <f>MAX(((S271)*(1+$C$10)+IF(B272="Working",I272,0))-O272,0)</f>
        <v/>
      </c>
      <c r="T272" s="138">
        <f>MAX(((T271)*(1+$C$10)+IF(B272="Working",F95,0))-P272,0)</f>
        <v/>
      </c>
      <c r="U272" s="138">
        <f>Q272+R272+S272+T272</f>
        <v/>
      </c>
      <c r="V272" s="138">
        <f>IF(B272="Working",MAX(-(((Q271)*(1+$C$10)+IF(B272="Working",J272,0))),0),MAX(K272-L272,0))</f>
        <v/>
      </c>
      <c r="W272" s="138">
        <f>IF(OR(A272&gt;=$C$13,B272="Retired"),IF(V272&gt;0,-V272,U272-'Model Inputs'!$B$18),"")</f>
        <v/>
      </c>
      <c r="X272" s="138">
        <f>IF(AND($L$227&gt;0,A272&gt;=$C$13),$L$227*(1+$C$25)^(A272-$C$13),0)</f>
        <v/>
      </c>
      <c r="Y272" s="138">
        <f>IF(OR($L$227&lt;=0,$C$17&lt;=0,A272&lt;$C$13,MIN(MAX((A272-$C$13+1)*12,0),$C$17*12)&gt;=$C$17*12),0,IF($C$16=0,MAX(MAX($L$227*(1-$C$15),0)-(IF($C$17&lt;=0,0,IF($C$16=0,MAX($L$227*(1-$C$15),0)/$C$17,-PMT($C$16/12,$C$17*12,MAX($L$227*(1-$C$15),0))*12))/12)*MIN(MAX((A272-$C$13+1)*12,0),$C$17*12),0),MAX(MAX($L$227*(1-$C$15),0)*(1+$C$16/12)^MIN(MAX((A272-$C$13+1)*12,0),$C$17*12)-(IF($C$17&lt;=0,0,IF($C$16=0,MAX($L$227*(1-$C$15),0)/$C$17,-PMT($C$16/12,$C$17*12,MAX($L$227*(1-$C$15),0))*12))/12)*(((1+$C$16/12)^MIN(MAX((A272-$C$13+1)*12,0),$C$17*12)-1)/($C$16/12)),0)))</f>
        <v/>
      </c>
      <c r="Z272" s="138">
        <f>MAX(X272-Y272,0)</f>
        <v/>
      </c>
      <c r="AA272" s="142">
        <f>U272+Z272</f>
        <v/>
      </c>
      <c r="AB272" s="5" t="n"/>
      <c r="AC272" s="5" t="n"/>
      <c r="AD272" s="5" t="n"/>
      <c r="AE272" s="5" t="n"/>
      <c r="AF272" s="5" t="n"/>
      <c r="AG272" s="5" t="n"/>
    </row>
    <row r="273" outlineLevel="1" s="326">
      <c r="A273" s="136" t="n">
        <v>17</v>
      </c>
      <c r="B273" s="72">
        <f>B96</f>
        <v/>
      </c>
      <c r="C273" s="137">
        <f>D96</f>
        <v/>
      </c>
      <c r="D273" s="137">
        <f>I96</f>
        <v/>
      </c>
      <c r="E273" s="137">
        <f>J96</f>
        <v/>
      </c>
      <c r="F273" s="137">
        <f>K96</f>
        <v/>
      </c>
      <c r="G273" s="138">
        <f>IF(AND($L$227&gt;0,A273=$C$13),$L$227*($C$15+$C$18),0)+IF(AND($L$227&gt;0,A273=$C$13),$C$24,0)</f>
        <v/>
      </c>
      <c r="H273" s="138">
        <f>IF(OR($L$227&lt;=0,A273&lt;$C$13),0,IF(AND($L$227&gt;0,$C$17&gt;0,A273&gt;=$C$13,A273&lt;($C$13+$C$17)),IF($C$17&lt;=0,0,IF($C$16=0,MAX($L$227*(1-$C$15),0)/$C$17,-PMT($C$16/12,$C$17*12,MAX($L$227*(1-$C$15),0))*12)),0)+X273*($C$19+$C$20+$C$21)+$C$22+$C$23)</f>
        <v/>
      </c>
      <c r="I273" s="138">
        <f>IF(B273="Working",MIN(MAX(D273-E273-F273-G273-H273,0),'Tax Assumptions'!$B$20),0)</f>
        <v/>
      </c>
      <c r="J273" s="138">
        <f>IF(B273="Working",D273-E273-F273-I273-G273-H273,-L273)</f>
        <v/>
      </c>
      <c r="K273" s="137">
        <f>IF(B273="Retired",$N$227+G273+H273,0)</f>
        <v/>
      </c>
      <c r="L273" s="137">
        <f>M273+N273+O273+P273</f>
        <v/>
      </c>
      <c r="M273" s="137">
        <f>IF(B273="Retired",MIN(((Q272)*(1+$C$10)+IF(B273="Working",J273,0)),K273),0)</f>
        <v/>
      </c>
      <c r="N273" s="137">
        <f>IF(B273="Retired",MIN(MAX(K273-M273,0),((R272)*(1+$C$10)+IF(B273="Working",E96,0))),0)</f>
        <v/>
      </c>
      <c r="O273" s="137">
        <f>IF(B273="Retired",MIN(MAX(K273-M273-N273,0),((S272)*(1+$C$10)+IF(B273="Working",I273,0))),0)</f>
        <v/>
      </c>
      <c r="P273" s="137">
        <f>IF(B273="Retired",MIN(MAX(K273-M273-N273-O273,0),((T272)*(1+$C$10)+IF(B273="Working",F96,0))),0)</f>
        <v/>
      </c>
      <c r="Q273" s="138">
        <f>MAX(((Q272)*(1+$C$10)+IF(B273="Working",J273,0))-M273,0)</f>
        <v/>
      </c>
      <c r="R273" s="138">
        <f>MAX(((R272)*(1+$C$10)+IF(B273="Working",E96,0))-N273,0)</f>
        <v/>
      </c>
      <c r="S273" s="138">
        <f>MAX(((S272)*(1+$C$10)+IF(B273="Working",I273,0))-O273,0)</f>
        <v/>
      </c>
      <c r="T273" s="138">
        <f>MAX(((T272)*(1+$C$10)+IF(B273="Working",F96,0))-P273,0)</f>
        <v/>
      </c>
      <c r="U273" s="138">
        <f>Q273+R273+S273+T273</f>
        <v/>
      </c>
      <c r="V273" s="138">
        <f>IF(B273="Working",MAX(-(((Q272)*(1+$C$10)+IF(B273="Working",J273,0))),0),MAX(K273-L273,0))</f>
        <v/>
      </c>
      <c r="W273" s="138">
        <f>IF(OR(A273&gt;=$C$13,B273="Retired"),IF(V273&gt;0,-V273,U273-'Model Inputs'!$B$18),"")</f>
        <v/>
      </c>
      <c r="X273" s="138">
        <f>IF(AND($L$227&gt;0,A273&gt;=$C$13),$L$227*(1+$C$25)^(A273-$C$13),0)</f>
        <v/>
      </c>
      <c r="Y273" s="138">
        <f>IF(OR($L$227&lt;=0,$C$17&lt;=0,A273&lt;$C$13,MIN(MAX((A273-$C$13+1)*12,0),$C$17*12)&gt;=$C$17*12),0,IF($C$16=0,MAX(MAX($L$227*(1-$C$15),0)-(IF($C$17&lt;=0,0,IF($C$16=0,MAX($L$227*(1-$C$15),0)/$C$17,-PMT($C$16/12,$C$17*12,MAX($L$227*(1-$C$15),0))*12))/12)*MIN(MAX((A273-$C$13+1)*12,0),$C$17*12),0),MAX(MAX($L$227*(1-$C$15),0)*(1+$C$16/12)^MIN(MAX((A273-$C$13+1)*12,0),$C$17*12)-(IF($C$17&lt;=0,0,IF($C$16=0,MAX($L$227*(1-$C$15),0)/$C$17,-PMT($C$16/12,$C$17*12,MAX($L$227*(1-$C$15),0))*12))/12)*(((1+$C$16/12)^MIN(MAX((A273-$C$13+1)*12,0),$C$17*12)-1)/($C$16/12)),0)))</f>
        <v/>
      </c>
      <c r="Z273" s="138">
        <f>MAX(X273-Y273,0)</f>
        <v/>
      </c>
      <c r="AA273" s="139">
        <f>U273+Z273</f>
        <v/>
      </c>
      <c r="AB273" s="5" t="n"/>
      <c r="AC273" s="5" t="n"/>
      <c r="AD273" s="5" t="n"/>
      <c r="AE273" s="5" t="n"/>
      <c r="AF273" s="5" t="n"/>
      <c r="AG273" s="5" t="n"/>
    </row>
    <row r="274" outlineLevel="1" s="326">
      <c r="A274" s="140" t="n">
        <v>18</v>
      </c>
      <c r="B274" s="40">
        <f>B97</f>
        <v/>
      </c>
      <c r="C274" s="141">
        <f>D97</f>
        <v/>
      </c>
      <c r="D274" s="141">
        <f>I97</f>
        <v/>
      </c>
      <c r="E274" s="141">
        <f>J97</f>
        <v/>
      </c>
      <c r="F274" s="141">
        <f>K97</f>
        <v/>
      </c>
      <c r="G274" s="138">
        <f>IF(AND($L$227&gt;0,A274=$C$13),$L$227*($C$15+$C$18),0)+IF(AND($L$227&gt;0,A274=$C$13),$C$24,0)</f>
        <v/>
      </c>
      <c r="H274" s="138">
        <f>IF(OR($L$227&lt;=0,A274&lt;$C$13),0,IF(AND($L$227&gt;0,$C$17&gt;0,A274&gt;=$C$13,A274&lt;($C$13+$C$17)),IF($C$17&lt;=0,0,IF($C$16=0,MAX($L$227*(1-$C$15),0)/$C$17,-PMT($C$16/12,$C$17*12,MAX($L$227*(1-$C$15),0))*12)),0)+X274*($C$19+$C$20+$C$21)+$C$22+$C$23)</f>
        <v/>
      </c>
      <c r="I274" s="138">
        <f>IF(B274="Working",MIN(MAX(D274-E274-F274-G274-H274,0),'Tax Assumptions'!$B$20),0)</f>
        <v/>
      </c>
      <c r="J274" s="138">
        <f>IF(B274="Working",D274-E274-F274-I274-G274-H274,-L274)</f>
        <v/>
      </c>
      <c r="K274" s="141">
        <f>IF(B274="Retired",$N$227+G274+H274,0)</f>
        <v/>
      </c>
      <c r="L274" s="141">
        <f>M274+N274+O274+P274</f>
        <v/>
      </c>
      <c r="M274" s="141">
        <f>IF(B274="Retired",MIN(((Q273)*(1+$C$10)+IF(B274="Working",J274,0)),K274),0)</f>
        <v/>
      </c>
      <c r="N274" s="141">
        <f>IF(B274="Retired",MIN(MAX(K274-M274,0),((R273)*(1+$C$10)+IF(B274="Working",E97,0))),0)</f>
        <v/>
      </c>
      <c r="O274" s="141">
        <f>IF(B274="Retired",MIN(MAX(K274-M274-N274,0),((S273)*(1+$C$10)+IF(B274="Working",I274,0))),0)</f>
        <v/>
      </c>
      <c r="P274" s="141">
        <f>IF(B274="Retired",MIN(MAX(K274-M274-N274-O274,0),((T273)*(1+$C$10)+IF(B274="Working",F97,0))),0)</f>
        <v/>
      </c>
      <c r="Q274" s="138">
        <f>MAX(((Q273)*(1+$C$10)+IF(B274="Working",J274,0))-M274,0)</f>
        <v/>
      </c>
      <c r="R274" s="138">
        <f>MAX(((R273)*(1+$C$10)+IF(B274="Working",E97,0))-N274,0)</f>
        <v/>
      </c>
      <c r="S274" s="138">
        <f>MAX(((S273)*(1+$C$10)+IF(B274="Working",I274,0))-O274,0)</f>
        <v/>
      </c>
      <c r="T274" s="138">
        <f>MAX(((T273)*(1+$C$10)+IF(B274="Working",F97,0))-P274,0)</f>
        <v/>
      </c>
      <c r="U274" s="138">
        <f>Q274+R274+S274+T274</f>
        <v/>
      </c>
      <c r="V274" s="138">
        <f>IF(B274="Working",MAX(-(((Q273)*(1+$C$10)+IF(B274="Working",J274,0))),0),MAX(K274-L274,0))</f>
        <v/>
      </c>
      <c r="W274" s="138">
        <f>IF(OR(A274&gt;=$C$13,B274="Retired"),IF(V274&gt;0,-V274,U274-'Model Inputs'!$B$18),"")</f>
        <v/>
      </c>
      <c r="X274" s="138">
        <f>IF(AND($L$227&gt;0,A274&gt;=$C$13),$L$227*(1+$C$25)^(A274-$C$13),0)</f>
        <v/>
      </c>
      <c r="Y274" s="138">
        <f>IF(OR($L$227&lt;=0,$C$17&lt;=0,A274&lt;$C$13,MIN(MAX((A274-$C$13+1)*12,0),$C$17*12)&gt;=$C$17*12),0,IF($C$16=0,MAX(MAX($L$227*(1-$C$15),0)-(IF($C$17&lt;=0,0,IF($C$16=0,MAX($L$227*(1-$C$15),0)/$C$17,-PMT($C$16/12,$C$17*12,MAX($L$227*(1-$C$15),0))*12))/12)*MIN(MAX((A274-$C$13+1)*12,0),$C$17*12),0),MAX(MAX($L$227*(1-$C$15),0)*(1+$C$16/12)^MIN(MAX((A274-$C$13+1)*12,0),$C$17*12)-(IF($C$17&lt;=0,0,IF($C$16=0,MAX($L$227*(1-$C$15),0)/$C$17,-PMT($C$16/12,$C$17*12,MAX($L$227*(1-$C$15),0))*12))/12)*(((1+$C$16/12)^MIN(MAX((A274-$C$13+1)*12,0),$C$17*12)-1)/($C$16/12)),0)))</f>
        <v/>
      </c>
      <c r="Z274" s="138">
        <f>MAX(X274-Y274,0)</f>
        <v/>
      </c>
      <c r="AA274" s="142">
        <f>U274+Z274</f>
        <v/>
      </c>
      <c r="AB274" s="5" t="n"/>
      <c r="AC274" s="5" t="n"/>
      <c r="AD274" s="5" t="n"/>
      <c r="AE274" s="5" t="n"/>
      <c r="AF274" s="5" t="n"/>
      <c r="AG274" s="5" t="n"/>
    </row>
    <row r="275" outlineLevel="1" s="326">
      <c r="A275" s="136" t="n">
        <v>19</v>
      </c>
      <c r="B275" s="72">
        <f>B98</f>
        <v/>
      </c>
      <c r="C275" s="137">
        <f>D98</f>
        <v/>
      </c>
      <c r="D275" s="137">
        <f>I98</f>
        <v/>
      </c>
      <c r="E275" s="137">
        <f>J98</f>
        <v/>
      </c>
      <c r="F275" s="137">
        <f>K98</f>
        <v/>
      </c>
      <c r="G275" s="138">
        <f>IF(AND($L$227&gt;0,A275=$C$13),$L$227*($C$15+$C$18),0)+IF(AND($L$227&gt;0,A275=$C$13),$C$24,0)</f>
        <v/>
      </c>
      <c r="H275" s="138">
        <f>IF(OR($L$227&lt;=0,A275&lt;$C$13),0,IF(AND($L$227&gt;0,$C$17&gt;0,A275&gt;=$C$13,A275&lt;($C$13+$C$17)),IF($C$17&lt;=0,0,IF($C$16=0,MAX($L$227*(1-$C$15),0)/$C$17,-PMT($C$16/12,$C$17*12,MAX($L$227*(1-$C$15),0))*12)),0)+X275*($C$19+$C$20+$C$21)+$C$22+$C$23)</f>
        <v/>
      </c>
      <c r="I275" s="138">
        <f>IF(B275="Working",MIN(MAX(D275-E275-F275-G275-H275,0),'Tax Assumptions'!$B$20),0)</f>
        <v/>
      </c>
      <c r="J275" s="138">
        <f>IF(B275="Working",D275-E275-F275-I275-G275-H275,-L275)</f>
        <v/>
      </c>
      <c r="K275" s="137">
        <f>IF(B275="Retired",$N$227+G275+H275,0)</f>
        <v/>
      </c>
      <c r="L275" s="137">
        <f>M275+N275+O275+P275</f>
        <v/>
      </c>
      <c r="M275" s="137">
        <f>IF(B275="Retired",MIN(((Q274)*(1+$C$10)+IF(B275="Working",J275,0)),K275),0)</f>
        <v/>
      </c>
      <c r="N275" s="137">
        <f>IF(B275="Retired",MIN(MAX(K275-M275,0),((R274)*(1+$C$10)+IF(B275="Working",E98,0))),0)</f>
        <v/>
      </c>
      <c r="O275" s="137">
        <f>IF(B275="Retired",MIN(MAX(K275-M275-N275,0),((S274)*(1+$C$10)+IF(B275="Working",I275,0))),0)</f>
        <v/>
      </c>
      <c r="P275" s="137">
        <f>IF(B275="Retired",MIN(MAX(K275-M275-N275-O275,0),((T274)*(1+$C$10)+IF(B275="Working",F98,0))),0)</f>
        <v/>
      </c>
      <c r="Q275" s="138">
        <f>MAX(((Q274)*(1+$C$10)+IF(B275="Working",J275,0))-M275,0)</f>
        <v/>
      </c>
      <c r="R275" s="138">
        <f>MAX(((R274)*(1+$C$10)+IF(B275="Working",E98,0))-N275,0)</f>
        <v/>
      </c>
      <c r="S275" s="138">
        <f>MAX(((S274)*(1+$C$10)+IF(B275="Working",I275,0))-O275,0)</f>
        <v/>
      </c>
      <c r="T275" s="138">
        <f>MAX(((T274)*(1+$C$10)+IF(B275="Working",F98,0))-P275,0)</f>
        <v/>
      </c>
      <c r="U275" s="138">
        <f>Q275+R275+S275+T275</f>
        <v/>
      </c>
      <c r="V275" s="138">
        <f>IF(B275="Working",MAX(-(((Q274)*(1+$C$10)+IF(B275="Working",J275,0))),0),MAX(K275-L275,0))</f>
        <v/>
      </c>
      <c r="W275" s="138">
        <f>IF(OR(A275&gt;=$C$13,B275="Retired"),IF(V275&gt;0,-V275,U275-'Model Inputs'!$B$18),"")</f>
        <v/>
      </c>
      <c r="X275" s="138">
        <f>IF(AND($L$227&gt;0,A275&gt;=$C$13),$L$227*(1+$C$25)^(A275-$C$13),0)</f>
        <v/>
      </c>
      <c r="Y275" s="138">
        <f>IF(OR($L$227&lt;=0,$C$17&lt;=0,A275&lt;$C$13,MIN(MAX((A275-$C$13+1)*12,0),$C$17*12)&gt;=$C$17*12),0,IF($C$16=0,MAX(MAX($L$227*(1-$C$15),0)-(IF($C$17&lt;=0,0,IF($C$16=0,MAX($L$227*(1-$C$15),0)/$C$17,-PMT($C$16/12,$C$17*12,MAX($L$227*(1-$C$15),0))*12))/12)*MIN(MAX((A275-$C$13+1)*12,0),$C$17*12),0),MAX(MAX($L$227*(1-$C$15),0)*(1+$C$16/12)^MIN(MAX((A275-$C$13+1)*12,0),$C$17*12)-(IF($C$17&lt;=0,0,IF($C$16=0,MAX($L$227*(1-$C$15),0)/$C$17,-PMT($C$16/12,$C$17*12,MAX($L$227*(1-$C$15),0))*12))/12)*(((1+$C$16/12)^MIN(MAX((A275-$C$13+1)*12,0),$C$17*12)-1)/($C$16/12)),0)))</f>
        <v/>
      </c>
      <c r="Z275" s="138">
        <f>MAX(X275-Y275,0)</f>
        <v/>
      </c>
      <c r="AA275" s="139">
        <f>U275+Z275</f>
        <v/>
      </c>
      <c r="AB275" s="5" t="n"/>
      <c r="AC275" s="5" t="n"/>
      <c r="AD275" s="5" t="n"/>
      <c r="AE275" s="5" t="n"/>
      <c r="AF275" s="5" t="n"/>
      <c r="AG275" s="5" t="n"/>
    </row>
    <row r="276" outlineLevel="1" s="326">
      <c r="A276" s="140" t="n">
        <v>20</v>
      </c>
      <c r="B276" s="40">
        <f>B99</f>
        <v/>
      </c>
      <c r="C276" s="141">
        <f>D99</f>
        <v/>
      </c>
      <c r="D276" s="141">
        <f>I99</f>
        <v/>
      </c>
      <c r="E276" s="141">
        <f>J99</f>
        <v/>
      </c>
      <c r="F276" s="141">
        <f>K99</f>
        <v/>
      </c>
      <c r="G276" s="138">
        <f>IF(AND($L$227&gt;0,A276=$C$13),$L$227*($C$15+$C$18),0)+IF(AND($L$227&gt;0,A276=$C$13),$C$24,0)</f>
        <v/>
      </c>
      <c r="H276" s="138">
        <f>IF(OR($L$227&lt;=0,A276&lt;$C$13),0,IF(AND($L$227&gt;0,$C$17&gt;0,A276&gt;=$C$13,A276&lt;($C$13+$C$17)),IF($C$17&lt;=0,0,IF($C$16=0,MAX($L$227*(1-$C$15),0)/$C$17,-PMT($C$16/12,$C$17*12,MAX($L$227*(1-$C$15),0))*12)),0)+X276*($C$19+$C$20+$C$21)+$C$22+$C$23)</f>
        <v/>
      </c>
      <c r="I276" s="138">
        <f>IF(B276="Working",MIN(MAX(D276-E276-F276-G276-H276,0),'Tax Assumptions'!$B$20),0)</f>
        <v/>
      </c>
      <c r="J276" s="138">
        <f>IF(B276="Working",D276-E276-F276-I276-G276-H276,-L276)</f>
        <v/>
      </c>
      <c r="K276" s="141">
        <f>IF(B276="Retired",$N$227+G276+H276,0)</f>
        <v/>
      </c>
      <c r="L276" s="141">
        <f>M276+N276+O276+P276</f>
        <v/>
      </c>
      <c r="M276" s="141">
        <f>IF(B276="Retired",MIN(((Q275)*(1+$C$10)+IF(B276="Working",J276,0)),K276),0)</f>
        <v/>
      </c>
      <c r="N276" s="141">
        <f>IF(B276="Retired",MIN(MAX(K276-M276,0),((R275)*(1+$C$10)+IF(B276="Working",E99,0))),0)</f>
        <v/>
      </c>
      <c r="O276" s="141">
        <f>IF(B276="Retired",MIN(MAX(K276-M276-N276,0),((S275)*(1+$C$10)+IF(B276="Working",I276,0))),0)</f>
        <v/>
      </c>
      <c r="P276" s="141">
        <f>IF(B276="Retired",MIN(MAX(K276-M276-N276-O276,0),((T275)*(1+$C$10)+IF(B276="Working",F99,0))),0)</f>
        <v/>
      </c>
      <c r="Q276" s="138">
        <f>MAX(((Q275)*(1+$C$10)+IF(B276="Working",J276,0))-M276,0)</f>
        <v/>
      </c>
      <c r="R276" s="138">
        <f>MAX(((R275)*(1+$C$10)+IF(B276="Working",E99,0))-N276,0)</f>
        <v/>
      </c>
      <c r="S276" s="138">
        <f>MAX(((S275)*(1+$C$10)+IF(B276="Working",I276,0))-O276,0)</f>
        <v/>
      </c>
      <c r="T276" s="138">
        <f>MAX(((T275)*(1+$C$10)+IF(B276="Working",F99,0))-P276,0)</f>
        <v/>
      </c>
      <c r="U276" s="138">
        <f>Q276+R276+S276+T276</f>
        <v/>
      </c>
      <c r="V276" s="138">
        <f>IF(B276="Working",MAX(-(((Q275)*(1+$C$10)+IF(B276="Working",J276,0))),0),MAX(K276-L276,0))</f>
        <v/>
      </c>
      <c r="W276" s="138">
        <f>IF(OR(A276&gt;=$C$13,B276="Retired"),IF(V276&gt;0,-V276,U276-'Model Inputs'!$B$18),"")</f>
        <v/>
      </c>
      <c r="X276" s="138">
        <f>IF(AND($L$227&gt;0,A276&gt;=$C$13),$L$227*(1+$C$25)^(A276-$C$13),0)</f>
        <v/>
      </c>
      <c r="Y276" s="138">
        <f>IF(OR($L$227&lt;=0,$C$17&lt;=0,A276&lt;$C$13,MIN(MAX((A276-$C$13+1)*12,0),$C$17*12)&gt;=$C$17*12),0,IF($C$16=0,MAX(MAX($L$227*(1-$C$15),0)-(IF($C$17&lt;=0,0,IF($C$16=0,MAX($L$227*(1-$C$15),0)/$C$17,-PMT($C$16/12,$C$17*12,MAX($L$227*(1-$C$15),0))*12))/12)*MIN(MAX((A276-$C$13+1)*12,0),$C$17*12),0),MAX(MAX($L$227*(1-$C$15),0)*(1+$C$16/12)^MIN(MAX((A276-$C$13+1)*12,0),$C$17*12)-(IF($C$17&lt;=0,0,IF($C$16=0,MAX($L$227*(1-$C$15),0)/$C$17,-PMT($C$16/12,$C$17*12,MAX($L$227*(1-$C$15),0))*12))/12)*(((1+$C$16/12)^MIN(MAX((A276-$C$13+1)*12,0),$C$17*12)-1)/($C$16/12)),0)))</f>
        <v/>
      </c>
      <c r="Z276" s="138">
        <f>MAX(X276-Y276,0)</f>
        <v/>
      </c>
      <c r="AA276" s="142">
        <f>U276+Z276</f>
        <v/>
      </c>
      <c r="AB276" s="5" t="n"/>
      <c r="AC276" s="5" t="n"/>
      <c r="AD276" s="5" t="n"/>
      <c r="AE276" s="5" t="n"/>
      <c r="AF276" s="5" t="n"/>
      <c r="AG276" s="5" t="n"/>
    </row>
    <row r="277" outlineLevel="1" s="326">
      <c r="A277" s="136" t="n">
        <v>21</v>
      </c>
      <c r="B277" s="72">
        <f>B100</f>
        <v/>
      </c>
      <c r="C277" s="137">
        <f>D100</f>
        <v/>
      </c>
      <c r="D277" s="137">
        <f>I100</f>
        <v/>
      </c>
      <c r="E277" s="137">
        <f>J100</f>
        <v/>
      </c>
      <c r="F277" s="137">
        <f>K100</f>
        <v/>
      </c>
      <c r="G277" s="138">
        <f>IF(AND($L$227&gt;0,A277=$C$13),$L$227*($C$15+$C$18),0)+IF(AND($L$227&gt;0,A277=$C$13),$C$24,0)</f>
        <v/>
      </c>
      <c r="H277" s="138">
        <f>IF(OR($L$227&lt;=0,A277&lt;$C$13),0,IF(AND($L$227&gt;0,$C$17&gt;0,A277&gt;=$C$13,A277&lt;($C$13+$C$17)),IF($C$17&lt;=0,0,IF($C$16=0,MAX($L$227*(1-$C$15),0)/$C$17,-PMT($C$16/12,$C$17*12,MAX($L$227*(1-$C$15),0))*12)),0)+X277*($C$19+$C$20+$C$21)+$C$22+$C$23)</f>
        <v/>
      </c>
      <c r="I277" s="138">
        <f>IF(B277="Working",MIN(MAX(D277-E277-F277-G277-H277,0),'Tax Assumptions'!$B$20),0)</f>
        <v/>
      </c>
      <c r="J277" s="138">
        <f>IF(B277="Working",D277-E277-F277-I277-G277-H277,-L277)</f>
        <v/>
      </c>
      <c r="K277" s="137">
        <f>IF(B277="Retired",$N$227+G277+H277,0)</f>
        <v/>
      </c>
      <c r="L277" s="137">
        <f>M277+N277+O277+P277</f>
        <v/>
      </c>
      <c r="M277" s="137">
        <f>IF(B277="Retired",MIN(((Q276)*(1+$C$10)+IF(B277="Working",J277,0)),K277),0)</f>
        <v/>
      </c>
      <c r="N277" s="137">
        <f>IF(B277="Retired",MIN(MAX(K277-M277,0),((R276)*(1+$C$10)+IF(B277="Working",E100,0))),0)</f>
        <v/>
      </c>
      <c r="O277" s="137">
        <f>IF(B277="Retired",MIN(MAX(K277-M277-N277,0),((S276)*(1+$C$10)+IF(B277="Working",I277,0))),0)</f>
        <v/>
      </c>
      <c r="P277" s="137">
        <f>IF(B277="Retired",MIN(MAX(K277-M277-N277-O277,0),((T276)*(1+$C$10)+IF(B277="Working",F100,0))),0)</f>
        <v/>
      </c>
      <c r="Q277" s="138">
        <f>MAX(((Q276)*(1+$C$10)+IF(B277="Working",J277,0))-M277,0)</f>
        <v/>
      </c>
      <c r="R277" s="138">
        <f>MAX(((R276)*(1+$C$10)+IF(B277="Working",E100,0))-N277,0)</f>
        <v/>
      </c>
      <c r="S277" s="138">
        <f>MAX(((S276)*(1+$C$10)+IF(B277="Working",I277,0))-O277,0)</f>
        <v/>
      </c>
      <c r="T277" s="138">
        <f>MAX(((T276)*(1+$C$10)+IF(B277="Working",F100,0))-P277,0)</f>
        <v/>
      </c>
      <c r="U277" s="138">
        <f>Q277+R277+S277+T277</f>
        <v/>
      </c>
      <c r="V277" s="138">
        <f>IF(B277="Working",MAX(-(((Q276)*(1+$C$10)+IF(B277="Working",J277,0))),0),MAX(K277-L277,0))</f>
        <v/>
      </c>
      <c r="W277" s="138">
        <f>IF(OR(A277&gt;=$C$13,B277="Retired"),IF(V277&gt;0,-V277,U277-'Model Inputs'!$B$18),"")</f>
        <v/>
      </c>
      <c r="X277" s="138">
        <f>IF(AND($L$227&gt;0,A277&gt;=$C$13),$L$227*(1+$C$25)^(A277-$C$13),0)</f>
        <v/>
      </c>
      <c r="Y277" s="138">
        <f>IF(OR($L$227&lt;=0,$C$17&lt;=0,A277&lt;$C$13,MIN(MAX((A277-$C$13+1)*12,0),$C$17*12)&gt;=$C$17*12),0,IF($C$16=0,MAX(MAX($L$227*(1-$C$15),0)-(IF($C$17&lt;=0,0,IF($C$16=0,MAX($L$227*(1-$C$15),0)/$C$17,-PMT($C$16/12,$C$17*12,MAX($L$227*(1-$C$15),0))*12))/12)*MIN(MAX((A277-$C$13+1)*12,0),$C$17*12),0),MAX(MAX($L$227*(1-$C$15),0)*(1+$C$16/12)^MIN(MAX((A277-$C$13+1)*12,0),$C$17*12)-(IF($C$17&lt;=0,0,IF($C$16=0,MAX($L$227*(1-$C$15),0)/$C$17,-PMT($C$16/12,$C$17*12,MAX($L$227*(1-$C$15),0))*12))/12)*(((1+$C$16/12)^MIN(MAX((A277-$C$13+1)*12,0),$C$17*12)-1)/($C$16/12)),0)))</f>
        <v/>
      </c>
      <c r="Z277" s="138">
        <f>MAX(X277-Y277,0)</f>
        <v/>
      </c>
      <c r="AA277" s="139">
        <f>U277+Z277</f>
        <v/>
      </c>
      <c r="AB277" s="5" t="n"/>
      <c r="AC277" s="5" t="n"/>
      <c r="AD277" s="5" t="n"/>
      <c r="AE277" s="5" t="n"/>
      <c r="AF277" s="5" t="n"/>
      <c r="AG277" s="5" t="n"/>
    </row>
    <row r="278" outlineLevel="1" s="326">
      <c r="A278" s="140" t="n">
        <v>22</v>
      </c>
      <c r="B278" s="40">
        <f>B101</f>
        <v/>
      </c>
      <c r="C278" s="141">
        <f>D101</f>
        <v/>
      </c>
      <c r="D278" s="141">
        <f>I101</f>
        <v/>
      </c>
      <c r="E278" s="141">
        <f>J101</f>
        <v/>
      </c>
      <c r="F278" s="141">
        <f>K101</f>
        <v/>
      </c>
      <c r="G278" s="138">
        <f>IF(AND($L$227&gt;0,A278=$C$13),$L$227*($C$15+$C$18),0)+IF(AND($L$227&gt;0,A278=$C$13),$C$24,0)</f>
        <v/>
      </c>
      <c r="H278" s="138">
        <f>IF(OR($L$227&lt;=0,A278&lt;$C$13),0,IF(AND($L$227&gt;0,$C$17&gt;0,A278&gt;=$C$13,A278&lt;($C$13+$C$17)),IF($C$17&lt;=0,0,IF($C$16=0,MAX($L$227*(1-$C$15),0)/$C$17,-PMT($C$16/12,$C$17*12,MAX($L$227*(1-$C$15),0))*12)),0)+X278*($C$19+$C$20+$C$21)+$C$22+$C$23)</f>
        <v/>
      </c>
      <c r="I278" s="138">
        <f>IF(B278="Working",MIN(MAX(D278-E278-F278-G278-H278,0),'Tax Assumptions'!$B$20),0)</f>
        <v/>
      </c>
      <c r="J278" s="138">
        <f>IF(B278="Working",D278-E278-F278-I278-G278-H278,-L278)</f>
        <v/>
      </c>
      <c r="K278" s="141">
        <f>IF(B278="Retired",$N$227+G278+H278,0)</f>
        <v/>
      </c>
      <c r="L278" s="141">
        <f>M278+N278+O278+P278</f>
        <v/>
      </c>
      <c r="M278" s="141">
        <f>IF(B278="Retired",MIN(((Q277)*(1+$C$10)+IF(B278="Working",J278,0)),K278),0)</f>
        <v/>
      </c>
      <c r="N278" s="141">
        <f>IF(B278="Retired",MIN(MAX(K278-M278,0),((R277)*(1+$C$10)+IF(B278="Working",E101,0))),0)</f>
        <v/>
      </c>
      <c r="O278" s="141">
        <f>IF(B278="Retired",MIN(MAX(K278-M278-N278,0),((S277)*(1+$C$10)+IF(B278="Working",I278,0))),0)</f>
        <v/>
      </c>
      <c r="P278" s="141">
        <f>IF(B278="Retired",MIN(MAX(K278-M278-N278-O278,0),((T277)*(1+$C$10)+IF(B278="Working",F101,0))),0)</f>
        <v/>
      </c>
      <c r="Q278" s="138">
        <f>MAX(((Q277)*(1+$C$10)+IF(B278="Working",J278,0))-M278,0)</f>
        <v/>
      </c>
      <c r="R278" s="138">
        <f>MAX(((R277)*(1+$C$10)+IF(B278="Working",E101,0))-N278,0)</f>
        <v/>
      </c>
      <c r="S278" s="138">
        <f>MAX(((S277)*(1+$C$10)+IF(B278="Working",I278,0))-O278,0)</f>
        <v/>
      </c>
      <c r="T278" s="138">
        <f>MAX(((T277)*(1+$C$10)+IF(B278="Working",F101,0))-P278,0)</f>
        <v/>
      </c>
      <c r="U278" s="138">
        <f>Q278+R278+S278+T278</f>
        <v/>
      </c>
      <c r="V278" s="138">
        <f>IF(B278="Working",MAX(-(((Q277)*(1+$C$10)+IF(B278="Working",J278,0))),0),MAX(K278-L278,0))</f>
        <v/>
      </c>
      <c r="W278" s="138">
        <f>IF(OR(A278&gt;=$C$13,B278="Retired"),IF(V278&gt;0,-V278,U278-'Model Inputs'!$B$18),"")</f>
        <v/>
      </c>
      <c r="X278" s="138">
        <f>IF(AND($L$227&gt;0,A278&gt;=$C$13),$L$227*(1+$C$25)^(A278-$C$13),0)</f>
        <v/>
      </c>
      <c r="Y278" s="138">
        <f>IF(OR($L$227&lt;=0,$C$17&lt;=0,A278&lt;$C$13,MIN(MAX((A278-$C$13+1)*12,0),$C$17*12)&gt;=$C$17*12),0,IF($C$16=0,MAX(MAX($L$227*(1-$C$15),0)-(IF($C$17&lt;=0,0,IF($C$16=0,MAX($L$227*(1-$C$15),0)/$C$17,-PMT($C$16/12,$C$17*12,MAX($L$227*(1-$C$15),0))*12))/12)*MIN(MAX((A278-$C$13+1)*12,0),$C$17*12),0),MAX(MAX($L$227*(1-$C$15),0)*(1+$C$16/12)^MIN(MAX((A278-$C$13+1)*12,0),$C$17*12)-(IF($C$17&lt;=0,0,IF($C$16=0,MAX($L$227*(1-$C$15),0)/$C$17,-PMT($C$16/12,$C$17*12,MAX($L$227*(1-$C$15),0))*12))/12)*(((1+$C$16/12)^MIN(MAX((A278-$C$13+1)*12,0),$C$17*12)-1)/($C$16/12)),0)))</f>
        <v/>
      </c>
      <c r="Z278" s="138">
        <f>MAX(X278-Y278,0)</f>
        <v/>
      </c>
      <c r="AA278" s="142">
        <f>U278+Z278</f>
        <v/>
      </c>
      <c r="AB278" s="5" t="n"/>
      <c r="AC278" s="5" t="n"/>
      <c r="AD278" s="5" t="n"/>
      <c r="AE278" s="5" t="n"/>
      <c r="AF278" s="5" t="n"/>
      <c r="AG278" s="5" t="n"/>
    </row>
    <row r="279" outlineLevel="1" s="326">
      <c r="A279" s="136" t="n">
        <v>23</v>
      </c>
      <c r="B279" s="72">
        <f>B102</f>
        <v/>
      </c>
      <c r="C279" s="137">
        <f>D102</f>
        <v/>
      </c>
      <c r="D279" s="137">
        <f>I102</f>
        <v/>
      </c>
      <c r="E279" s="137">
        <f>J102</f>
        <v/>
      </c>
      <c r="F279" s="137">
        <f>K102</f>
        <v/>
      </c>
      <c r="G279" s="138">
        <f>IF(AND($L$227&gt;0,A279=$C$13),$L$227*($C$15+$C$18),0)+IF(AND($L$227&gt;0,A279=$C$13),$C$24,0)</f>
        <v/>
      </c>
      <c r="H279" s="138">
        <f>IF(OR($L$227&lt;=0,A279&lt;$C$13),0,IF(AND($L$227&gt;0,$C$17&gt;0,A279&gt;=$C$13,A279&lt;($C$13+$C$17)),IF($C$17&lt;=0,0,IF($C$16=0,MAX($L$227*(1-$C$15),0)/$C$17,-PMT($C$16/12,$C$17*12,MAX($L$227*(1-$C$15),0))*12)),0)+X279*($C$19+$C$20+$C$21)+$C$22+$C$23)</f>
        <v/>
      </c>
      <c r="I279" s="138">
        <f>IF(B279="Working",MIN(MAX(D279-E279-F279-G279-H279,0),'Tax Assumptions'!$B$20),0)</f>
        <v/>
      </c>
      <c r="J279" s="138">
        <f>IF(B279="Working",D279-E279-F279-I279-G279-H279,-L279)</f>
        <v/>
      </c>
      <c r="K279" s="137">
        <f>IF(B279="Retired",$N$227+G279+H279,0)</f>
        <v/>
      </c>
      <c r="L279" s="137">
        <f>M279+N279+O279+P279</f>
        <v/>
      </c>
      <c r="M279" s="137">
        <f>IF(B279="Retired",MIN(((Q278)*(1+$C$10)+IF(B279="Working",J279,0)),K279),0)</f>
        <v/>
      </c>
      <c r="N279" s="137">
        <f>IF(B279="Retired",MIN(MAX(K279-M279,0),((R278)*(1+$C$10)+IF(B279="Working",E102,0))),0)</f>
        <v/>
      </c>
      <c r="O279" s="137">
        <f>IF(B279="Retired",MIN(MAX(K279-M279-N279,0),((S278)*(1+$C$10)+IF(B279="Working",I279,0))),0)</f>
        <v/>
      </c>
      <c r="P279" s="137">
        <f>IF(B279="Retired",MIN(MAX(K279-M279-N279-O279,0),((T278)*(1+$C$10)+IF(B279="Working",F102,0))),0)</f>
        <v/>
      </c>
      <c r="Q279" s="138">
        <f>MAX(((Q278)*(1+$C$10)+IF(B279="Working",J279,0))-M279,0)</f>
        <v/>
      </c>
      <c r="R279" s="138">
        <f>MAX(((R278)*(1+$C$10)+IF(B279="Working",E102,0))-N279,0)</f>
        <v/>
      </c>
      <c r="S279" s="138">
        <f>MAX(((S278)*(1+$C$10)+IF(B279="Working",I279,0))-O279,0)</f>
        <v/>
      </c>
      <c r="T279" s="138">
        <f>MAX(((T278)*(1+$C$10)+IF(B279="Working",F102,0))-P279,0)</f>
        <v/>
      </c>
      <c r="U279" s="138">
        <f>Q279+R279+S279+T279</f>
        <v/>
      </c>
      <c r="V279" s="138">
        <f>IF(B279="Working",MAX(-(((Q278)*(1+$C$10)+IF(B279="Working",J279,0))),0),MAX(K279-L279,0))</f>
        <v/>
      </c>
      <c r="W279" s="138">
        <f>IF(OR(A279&gt;=$C$13,B279="Retired"),IF(V279&gt;0,-V279,U279-'Model Inputs'!$B$18),"")</f>
        <v/>
      </c>
      <c r="X279" s="138">
        <f>IF(AND($L$227&gt;0,A279&gt;=$C$13),$L$227*(1+$C$25)^(A279-$C$13),0)</f>
        <v/>
      </c>
      <c r="Y279" s="138">
        <f>IF(OR($L$227&lt;=0,$C$17&lt;=0,A279&lt;$C$13,MIN(MAX((A279-$C$13+1)*12,0),$C$17*12)&gt;=$C$17*12),0,IF($C$16=0,MAX(MAX($L$227*(1-$C$15),0)-(IF($C$17&lt;=0,0,IF($C$16=0,MAX($L$227*(1-$C$15),0)/$C$17,-PMT($C$16/12,$C$17*12,MAX($L$227*(1-$C$15),0))*12))/12)*MIN(MAX((A279-$C$13+1)*12,0),$C$17*12),0),MAX(MAX($L$227*(1-$C$15),0)*(1+$C$16/12)^MIN(MAX((A279-$C$13+1)*12,0),$C$17*12)-(IF($C$17&lt;=0,0,IF($C$16=0,MAX($L$227*(1-$C$15),0)/$C$17,-PMT($C$16/12,$C$17*12,MAX($L$227*(1-$C$15),0))*12))/12)*(((1+$C$16/12)^MIN(MAX((A279-$C$13+1)*12,0),$C$17*12)-1)/($C$16/12)),0)))</f>
        <v/>
      </c>
      <c r="Z279" s="138">
        <f>MAX(X279-Y279,0)</f>
        <v/>
      </c>
      <c r="AA279" s="139">
        <f>U279+Z279</f>
        <v/>
      </c>
      <c r="AB279" s="5" t="n"/>
      <c r="AC279" s="5" t="n"/>
      <c r="AD279" s="5" t="n"/>
      <c r="AE279" s="5" t="n"/>
      <c r="AF279" s="5" t="n"/>
      <c r="AG279" s="5" t="n"/>
    </row>
    <row r="280" outlineLevel="1" s="326">
      <c r="A280" s="140" t="n">
        <v>24</v>
      </c>
      <c r="B280" s="40">
        <f>B103</f>
        <v/>
      </c>
      <c r="C280" s="141">
        <f>D103</f>
        <v/>
      </c>
      <c r="D280" s="141">
        <f>I103</f>
        <v/>
      </c>
      <c r="E280" s="141">
        <f>J103</f>
        <v/>
      </c>
      <c r="F280" s="141">
        <f>K103</f>
        <v/>
      </c>
      <c r="G280" s="138">
        <f>IF(AND($L$227&gt;0,A280=$C$13),$L$227*($C$15+$C$18),0)+IF(AND($L$227&gt;0,A280=$C$13),$C$24,0)</f>
        <v/>
      </c>
      <c r="H280" s="138">
        <f>IF(OR($L$227&lt;=0,A280&lt;$C$13),0,IF(AND($L$227&gt;0,$C$17&gt;0,A280&gt;=$C$13,A280&lt;($C$13+$C$17)),IF($C$17&lt;=0,0,IF($C$16=0,MAX($L$227*(1-$C$15),0)/$C$17,-PMT($C$16/12,$C$17*12,MAX($L$227*(1-$C$15),0))*12)),0)+X280*($C$19+$C$20+$C$21)+$C$22+$C$23)</f>
        <v/>
      </c>
      <c r="I280" s="138">
        <f>IF(B280="Working",MIN(MAX(D280-E280-F280-G280-H280,0),'Tax Assumptions'!$B$20),0)</f>
        <v/>
      </c>
      <c r="J280" s="138">
        <f>IF(B280="Working",D280-E280-F280-I280-G280-H280,-L280)</f>
        <v/>
      </c>
      <c r="K280" s="141">
        <f>IF(B280="Retired",$N$227+G280+H280,0)</f>
        <v/>
      </c>
      <c r="L280" s="141">
        <f>M280+N280+O280+P280</f>
        <v/>
      </c>
      <c r="M280" s="141">
        <f>IF(B280="Retired",MIN(((Q279)*(1+$C$10)+IF(B280="Working",J280,0)),K280),0)</f>
        <v/>
      </c>
      <c r="N280" s="141">
        <f>IF(B280="Retired",MIN(MAX(K280-M280,0),((R279)*(1+$C$10)+IF(B280="Working",E103,0))),0)</f>
        <v/>
      </c>
      <c r="O280" s="141">
        <f>IF(B280="Retired",MIN(MAX(K280-M280-N280,0),((S279)*(1+$C$10)+IF(B280="Working",I280,0))),0)</f>
        <v/>
      </c>
      <c r="P280" s="141">
        <f>IF(B280="Retired",MIN(MAX(K280-M280-N280-O280,0),((T279)*(1+$C$10)+IF(B280="Working",F103,0))),0)</f>
        <v/>
      </c>
      <c r="Q280" s="138">
        <f>MAX(((Q279)*(1+$C$10)+IF(B280="Working",J280,0))-M280,0)</f>
        <v/>
      </c>
      <c r="R280" s="138">
        <f>MAX(((R279)*(1+$C$10)+IF(B280="Working",E103,0))-N280,0)</f>
        <v/>
      </c>
      <c r="S280" s="138">
        <f>MAX(((S279)*(1+$C$10)+IF(B280="Working",I280,0))-O280,0)</f>
        <v/>
      </c>
      <c r="T280" s="138">
        <f>MAX(((T279)*(1+$C$10)+IF(B280="Working",F103,0))-P280,0)</f>
        <v/>
      </c>
      <c r="U280" s="138">
        <f>Q280+R280+S280+T280</f>
        <v/>
      </c>
      <c r="V280" s="138">
        <f>IF(B280="Working",MAX(-(((Q279)*(1+$C$10)+IF(B280="Working",J280,0))),0),MAX(K280-L280,0))</f>
        <v/>
      </c>
      <c r="W280" s="138">
        <f>IF(OR(A280&gt;=$C$13,B280="Retired"),IF(V280&gt;0,-V280,U280-'Model Inputs'!$B$18),"")</f>
        <v/>
      </c>
      <c r="X280" s="138">
        <f>IF(AND($L$227&gt;0,A280&gt;=$C$13),$L$227*(1+$C$25)^(A280-$C$13),0)</f>
        <v/>
      </c>
      <c r="Y280" s="138">
        <f>IF(OR($L$227&lt;=0,$C$17&lt;=0,A280&lt;$C$13,MIN(MAX((A280-$C$13+1)*12,0),$C$17*12)&gt;=$C$17*12),0,IF($C$16=0,MAX(MAX($L$227*(1-$C$15),0)-(IF($C$17&lt;=0,0,IF($C$16=0,MAX($L$227*(1-$C$15),0)/$C$17,-PMT($C$16/12,$C$17*12,MAX($L$227*(1-$C$15),0))*12))/12)*MIN(MAX((A280-$C$13+1)*12,0),$C$17*12),0),MAX(MAX($L$227*(1-$C$15),0)*(1+$C$16/12)^MIN(MAX((A280-$C$13+1)*12,0),$C$17*12)-(IF($C$17&lt;=0,0,IF($C$16=0,MAX($L$227*(1-$C$15),0)/$C$17,-PMT($C$16/12,$C$17*12,MAX($L$227*(1-$C$15),0))*12))/12)*(((1+$C$16/12)^MIN(MAX((A280-$C$13+1)*12,0),$C$17*12)-1)/($C$16/12)),0)))</f>
        <v/>
      </c>
      <c r="Z280" s="138">
        <f>MAX(X280-Y280,0)</f>
        <v/>
      </c>
      <c r="AA280" s="142">
        <f>U280+Z280</f>
        <v/>
      </c>
      <c r="AB280" s="5" t="n"/>
      <c r="AC280" s="5" t="n"/>
      <c r="AD280" s="5" t="n"/>
      <c r="AE280" s="5" t="n"/>
      <c r="AF280" s="5" t="n"/>
      <c r="AG280" s="5" t="n"/>
    </row>
    <row r="281" outlineLevel="1" s="326">
      <c r="A281" s="136" t="n">
        <v>25</v>
      </c>
      <c r="B281" s="72">
        <f>B104</f>
        <v/>
      </c>
      <c r="C281" s="137">
        <f>D104</f>
        <v/>
      </c>
      <c r="D281" s="137">
        <f>I104</f>
        <v/>
      </c>
      <c r="E281" s="137">
        <f>J104</f>
        <v/>
      </c>
      <c r="F281" s="137">
        <f>K104</f>
        <v/>
      </c>
      <c r="G281" s="138">
        <f>IF(AND($L$227&gt;0,A281=$C$13),$L$227*($C$15+$C$18),0)+IF(AND($L$227&gt;0,A281=$C$13),$C$24,0)</f>
        <v/>
      </c>
      <c r="H281" s="138">
        <f>IF(OR($L$227&lt;=0,A281&lt;$C$13),0,IF(AND($L$227&gt;0,$C$17&gt;0,A281&gt;=$C$13,A281&lt;($C$13+$C$17)),IF($C$17&lt;=0,0,IF($C$16=0,MAX($L$227*(1-$C$15),0)/$C$17,-PMT($C$16/12,$C$17*12,MAX($L$227*(1-$C$15),0))*12)),0)+X281*($C$19+$C$20+$C$21)+$C$22+$C$23)</f>
        <v/>
      </c>
      <c r="I281" s="138">
        <f>IF(B281="Working",MIN(MAX(D281-E281-F281-G281-H281,0),'Tax Assumptions'!$B$20),0)</f>
        <v/>
      </c>
      <c r="J281" s="138">
        <f>IF(B281="Working",D281-E281-F281-I281-G281-H281,-L281)</f>
        <v/>
      </c>
      <c r="K281" s="137">
        <f>IF(B281="Retired",$N$227+G281+H281,0)</f>
        <v/>
      </c>
      <c r="L281" s="137">
        <f>M281+N281+O281+P281</f>
        <v/>
      </c>
      <c r="M281" s="137">
        <f>IF(B281="Retired",MIN(((Q280)*(1+$C$10)+IF(B281="Working",J281,0)),K281),0)</f>
        <v/>
      </c>
      <c r="N281" s="137">
        <f>IF(B281="Retired",MIN(MAX(K281-M281,0),((R280)*(1+$C$10)+IF(B281="Working",E104,0))),0)</f>
        <v/>
      </c>
      <c r="O281" s="137">
        <f>IF(B281="Retired",MIN(MAX(K281-M281-N281,0),((S280)*(1+$C$10)+IF(B281="Working",I281,0))),0)</f>
        <v/>
      </c>
      <c r="P281" s="137">
        <f>IF(B281="Retired",MIN(MAX(K281-M281-N281-O281,0),((T280)*(1+$C$10)+IF(B281="Working",F104,0))),0)</f>
        <v/>
      </c>
      <c r="Q281" s="138">
        <f>MAX(((Q280)*(1+$C$10)+IF(B281="Working",J281,0))-M281,0)</f>
        <v/>
      </c>
      <c r="R281" s="138">
        <f>MAX(((R280)*(1+$C$10)+IF(B281="Working",E104,0))-N281,0)</f>
        <v/>
      </c>
      <c r="S281" s="138">
        <f>MAX(((S280)*(1+$C$10)+IF(B281="Working",I281,0))-O281,0)</f>
        <v/>
      </c>
      <c r="T281" s="138">
        <f>MAX(((T280)*(1+$C$10)+IF(B281="Working",F104,0))-P281,0)</f>
        <v/>
      </c>
      <c r="U281" s="138">
        <f>Q281+R281+S281+T281</f>
        <v/>
      </c>
      <c r="V281" s="138">
        <f>IF(B281="Working",MAX(-(((Q280)*(1+$C$10)+IF(B281="Working",J281,0))),0),MAX(K281-L281,0))</f>
        <v/>
      </c>
      <c r="W281" s="138">
        <f>IF(OR(A281&gt;=$C$13,B281="Retired"),IF(V281&gt;0,-V281,U281-'Model Inputs'!$B$18),"")</f>
        <v/>
      </c>
      <c r="X281" s="138">
        <f>IF(AND($L$227&gt;0,A281&gt;=$C$13),$L$227*(1+$C$25)^(A281-$C$13),0)</f>
        <v/>
      </c>
      <c r="Y281" s="138">
        <f>IF(OR($L$227&lt;=0,$C$17&lt;=0,A281&lt;$C$13,MIN(MAX((A281-$C$13+1)*12,0),$C$17*12)&gt;=$C$17*12),0,IF($C$16=0,MAX(MAX($L$227*(1-$C$15),0)-(IF($C$17&lt;=0,0,IF($C$16=0,MAX($L$227*(1-$C$15),0)/$C$17,-PMT($C$16/12,$C$17*12,MAX($L$227*(1-$C$15),0))*12))/12)*MIN(MAX((A281-$C$13+1)*12,0),$C$17*12),0),MAX(MAX($L$227*(1-$C$15),0)*(1+$C$16/12)^MIN(MAX((A281-$C$13+1)*12,0),$C$17*12)-(IF($C$17&lt;=0,0,IF($C$16=0,MAX($L$227*(1-$C$15),0)/$C$17,-PMT($C$16/12,$C$17*12,MAX($L$227*(1-$C$15),0))*12))/12)*(((1+$C$16/12)^MIN(MAX((A281-$C$13+1)*12,0),$C$17*12)-1)/($C$16/12)),0)))</f>
        <v/>
      </c>
      <c r="Z281" s="138">
        <f>MAX(X281-Y281,0)</f>
        <v/>
      </c>
      <c r="AA281" s="139">
        <f>U281+Z281</f>
        <v/>
      </c>
      <c r="AB281" s="5" t="n"/>
      <c r="AC281" s="5" t="n"/>
      <c r="AD281" s="5" t="n"/>
      <c r="AE281" s="5" t="n"/>
      <c r="AF281" s="5" t="n"/>
      <c r="AG281" s="5" t="n"/>
    </row>
    <row r="282" outlineLevel="1" s="326">
      <c r="A282" s="140" t="n">
        <v>26</v>
      </c>
      <c r="B282" s="40">
        <f>B105</f>
        <v/>
      </c>
      <c r="C282" s="141">
        <f>D105</f>
        <v/>
      </c>
      <c r="D282" s="141">
        <f>I105</f>
        <v/>
      </c>
      <c r="E282" s="141">
        <f>J105</f>
        <v/>
      </c>
      <c r="F282" s="141">
        <f>K105</f>
        <v/>
      </c>
      <c r="G282" s="138">
        <f>IF(AND($L$227&gt;0,A282=$C$13),$L$227*($C$15+$C$18),0)+IF(AND($L$227&gt;0,A282=$C$13),$C$24,0)</f>
        <v/>
      </c>
      <c r="H282" s="138">
        <f>IF(OR($L$227&lt;=0,A282&lt;$C$13),0,IF(AND($L$227&gt;0,$C$17&gt;0,A282&gt;=$C$13,A282&lt;($C$13+$C$17)),IF($C$17&lt;=0,0,IF($C$16=0,MAX($L$227*(1-$C$15),0)/$C$17,-PMT($C$16/12,$C$17*12,MAX($L$227*(1-$C$15),0))*12)),0)+X282*($C$19+$C$20+$C$21)+$C$22+$C$23)</f>
        <v/>
      </c>
      <c r="I282" s="138">
        <f>IF(B282="Working",MIN(MAX(D282-E282-F282-G282-H282,0),'Tax Assumptions'!$B$20),0)</f>
        <v/>
      </c>
      <c r="J282" s="138">
        <f>IF(B282="Working",D282-E282-F282-I282-G282-H282,-L282)</f>
        <v/>
      </c>
      <c r="K282" s="141">
        <f>IF(B282="Retired",$N$227+G282+H282,0)</f>
        <v/>
      </c>
      <c r="L282" s="141">
        <f>M282+N282+O282+P282</f>
        <v/>
      </c>
      <c r="M282" s="141">
        <f>IF(B282="Retired",MIN(((Q281)*(1+$C$10)+IF(B282="Working",J282,0)),K282),0)</f>
        <v/>
      </c>
      <c r="N282" s="141">
        <f>IF(B282="Retired",MIN(MAX(K282-M282,0),((R281)*(1+$C$10)+IF(B282="Working",E105,0))),0)</f>
        <v/>
      </c>
      <c r="O282" s="141">
        <f>IF(B282="Retired",MIN(MAX(K282-M282-N282,0),((S281)*(1+$C$10)+IF(B282="Working",I282,0))),0)</f>
        <v/>
      </c>
      <c r="P282" s="141">
        <f>IF(B282="Retired",MIN(MAX(K282-M282-N282-O282,0),((T281)*(1+$C$10)+IF(B282="Working",F105,0))),0)</f>
        <v/>
      </c>
      <c r="Q282" s="138">
        <f>MAX(((Q281)*(1+$C$10)+IF(B282="Working",J282,0))-M282,0)</f>
        <v/>
      </c>
      <c r="R282" s="138">
        <f>MAX(((R281)*(1+$C$10)+IF(B282="Working",E105,0))-N282,0)</f>
        <v/>
      </c>
      <c r="S282" s="138">
        <f>MAX(((S281)*(1+$C$10)+IF(B282="Working",I282,0))-O282,0)</f>
        <v/>
      </c>
      <c r="T282" s="138">
        <f>MAX(((T281)*(1+$C$10)+IF(B282="Working",F105,0))-P282,0)</f>
        <v/>
      </c>
      <c r="U282" s="138">
        <f>Q282+R282+S282+T282</f>
        <v/>
      </c>
      <c r="V282" s="138">
        <f>IF(B282="Working",MAX(-(((Q281)*(1+$C$10)+IF(B282="Working",J282,0))),0),MAX(K282-L282,0))</f>
        <v/>
      </c>
      <c r="W282" s="138">
        <f>IF(OR(A282&gt;=$C$13,B282="Retired"),IF(V282&gt;0,-V282,U282-'Model Inputs'!$B$18),"")</f>
        <v/>
      </c>
      <c r="X282" s="138">
        <f>IF(AND($L$227&gt;0,A282&gt;=$C$13),$L$227*(1+$C$25)^(A282-$C$13),0)</f>
        <v/>
      </c>
      <c r="Y282" s="138">
        <f>IF(OR($L$227&lt;=0,$C$17&lt;=0,A282&lt;$C$13,MIN(MAX((A282-$C$13+1)*12,0),$C$17*12)&gt;=$C$17*12),0,IF($C$16=0,MAX(MAX($L$227*(1-$C$15),0)-(IF($C$17&lt;=0,0,IF($C$16=0,MAX($L$227*(1-$C$15),0)/$C$17,-PMT($C$16/12,$C$17*12,MAX($L$227*(1-$C$15),0))*12))/12)*MIN(MAX((A282-$C$13+1)*12,0),$C$17*12),0),MAX(MAX($L$227*(1-$C$15),0)*(1+$C$16/12)^MIN(MAX((A282-$C$13+1)*12,0),$C$17*12)-(IF($C$17&lt;=0,0,IF($C$16=0,MAX($L$227*(1-$C$15),0)/$C$17,-PMT($C$16/12,$C$17*12,MAX($L$227*(1-$C$15),0))*12))/12)*(((1+$C$16/12)^MIN(MAX((A282-$C$13+1)*12,0),$C$17*12)-1)/($C$16/12)),0)))</f>
        <v/>
      </c>
      <c r="Z282" s="138">
        <f>MAX(X282-Y282,0)</f>
        <v/>
      </c>
      <c r="AA282" s="142">
        <f>U282+Z282</f>
        <v/>
      </c>
      <c r="AB282" s="5" t="n"/>
      <c r="AC282" s="5" t="n"/>
      <c r="AD282" s="5" t="n"/>
      <c r="AE282" s="5" t="n"/>
      <c r="AF282" s="5" t="n"/>
      <c r="AG282" s="5" t="n"/>
    </row>
    <row r="283" outlineLevel="1" s="326">
      <c r="A283" s="136" t="n">
        <v>27</v>
      </c>
      <c r="B283" s="72">
        <f>B106</f>
        <v/>
      </c>
      <c r="C283" s="137">
        <f>D106</f>
        <v/>
      </c>
      <c r="D283" s="137">
        <f>I106</f>
        <v/>
      </c>
      <c r="E283" s="137">
        <f>J106</f>
        <v/>
      </c>
      <c r="F283" s="137">
        <f>K106</f>
        <v/>
      </c>
      <c r="G283" s="138">
        <f>IF(AND($L$227&gt;0,A283=$C$13),$L$227*($C$15+$C$18),0)+IF(AND($L$227&gt;0,A283=$C$13),$C$24,0)</f>
        <v/>
      </c>
      <c r="H283" s="138">
        <f>IF(OR($L$227&lt;=0,A283&lt;$C$13),0,IF(AND($L$227&gt;0,$C$17&gt;0,A283&gt;=$C$13,A283&lt;($C$13+$C$17)),IF($C$17&lt;=0,0,IF($C$16=0,MAX($L$227*(1-$C$15),0)/$C$17,-PMT($C$16/12,$C$17*12,MAX($L$227*(1-$C$15),0))*12)),0)+X283*($C$19+$C$20+$C$21)+$C$22+$C$23)</f>
        <v/>
      </c>
      <c r="I283" s="138">
        <f>IF(B283="Working",MIN(MAX(D283-E283-F283-G283-H283,0),'Tax Assumptions'!$B$20),0)</f>
        <v/>
      </c>
      <c r="J283" s="138">
        <f>IF(B283="Working",D283-E283-F283-I283-G283-H283,-L283)</f>
        <v/>
      </c>
      <c r="K283" s="137">
        <f>IF(B283="Retired",$N$227+G283+H283,0)</f>
        <v/>
      </c>
      <c r="L283" s="137">
        <f>M283+N283+O283+P283</f>
        <v/>
      </c>
      <c r="M283" s="137">
        <f>IF(B283="Retired",MIN(((Q282)*(1+$C$10)+IF(B283="Working",J283,0)),K283),0)</f>
        <v/>
      </c>
      <c r="N283" s="137">
        <f>IF(B283="Retired",MIN(MAX(K283-M283,0),((R282)*(1+$C$10)+IF(B283="Working",E106,0))),0)</f>
        <v/>
      </c>
      <c r="O283" s="137">
        <f>IF(B283="Retired",MIN(MAX(K283-M283-N283,0),((S282)*(1+$C$10)+IF(B283="Working",I283,0))),0)</f>
        <v/>
      </c>
      <c r="P283" s="137">
        <f>IF(B283="Retired",MIN(MAX(K283-M283-N283-O283,0),((T282)*(1+$C$10)+IF(B283="Working",F106,0))),0)</f>
        <v/>
      </c>
      <c r="Q283" s="138">
        <f>MAX(((Q282)*(1+$C$10)+IF(B283="Working",J283,0))-M283,0)</f>
        <v/>
      </c>
      <c r="R283" s="138">
        <f>MAX(((R282)*(1+$C$10)+IF(B283="Working",E106,0))-N283,0)</f>
        <v/>
      </c>
      <c r="S283" s="138">
        <f>MAX(((S282)*(1+$C$10)+IF(B283="Working",I283,0))-O283,0)</f>
        <v/>
      </c>
      <c r="T283" s="138">
        <f>MAX(((T282)*(1+$C$10)+IF(B283="Working",F106,0))-P283,0)</f>
        <v/>
      </c>
      <c r="U283" s="138">
        <f>Q283+R283+S283+T283</f>
        <v/>
      </c>
      <c r="V283" s="138">
        <f>IF(B283="Working",MAX(-(((Q282)*(1+$C$10)+IF(B283="Working",J283,0))),0),MAX(K283-L283,0))</f>
        <v/>
      </c>
      <c r="W283" s="138">
        <f>IF(OR(A283&gt;=$C$13,B283="Retired"),IF(V283&gt;0,-V283,U283-'Model Inputs'!$B$18),"")</f>
        <v/>
      </c>
      <c r="X283" s="138">
        <f>IF(AND($L$227&gt;0,A283&gt;=$C$13),$L$227*(1+$C$25)^(A283-$C$13),0)</f>
        <v/>
      </c>
      <c r="Y283" s="138">
        <f>IF(OR($L$227&lt;=0,$C$17&lt;=0,A283&lt;$C$13,MIN(MAX((A283-$C$13+1)*12,0),$C$17*12)&gt;=$C$17*12),0,IF($C$16=0,MAX(MAX($L$227*(1-$C$15),0)-(IF($C$17&lt;=0,0,IF($C$16=0,MAX($L$227*(1-$C$15),0)/$C$17,-PMT($C$16/12,$C$17*12,MAX($L$227*(1-$C$15),0))*12))/12)*MIN(MAX((A283-$C$13+1)*12,0),$C$17*12),0),MAX(MAX($L$227*(1-$C$15),0)*(1+$C$16/12)^MIN(MAX((A283-$C$13+1)*12,0),$C$17*12)-(IF($C$17&lt;=0,0,IF($C$16=0,MAX($L$227*(1-$C$15),0)/$C$17,-PMT($C$16/12,$C$17*12,MAX($L$227*(1-$C$15),0))*12))/12)*(((1+$C$16/12)^MIN(MAX((A283-$C$13+1)*12,0),$C$17*12)-1)/($C$16/12)),0)))</f>
        <v/>
      </c>
      <c r="Z283" s="138">
        <f>MAX(X283-Y283,0)</f>
        <v/>
      </c>
      <c r="AA283" s="139">
        <f>U283+Z283</f>
        <v/>
      </c>
      <c r="AB283" s="5" t="n"/>
      <c r="AC283" s="5" t="n"/>
      <c r="AD283" s="5" t="n"/>
      <c r="AE283" s="5" t="n"/>
      <c r="AF283" s="5" t="n"/>
      <c r="AG283" s="5" t="n"/>
    </row>
    <row r="284" outlineLevel="1" s="326">
      <c r="A284" s="140" t="n">
        <v>28</v>
      </c>
      <c r="B284" s="40">
        <f>B107</f>
        <v/>
      </c>
      <c r="C284" s="141">
        <f>D107</f>
        <v/>
      </c>
      <c r="D284" s="141">
        <f>I107</f>
        <v/>
      </c>
      <c r="E284" s="141">
        <f>J107</f>
        <v/>
      </c>
      <c r="F284" s="141">
        <f>K107</f>
        <v/>
      </c>
      <c r="G284" s="138">
        <f>IF(AND($L$227&gt;0,A284=$C$13),$L$227*($C$15+$C$18),0)+IF(AND($L$227&gt;0,A284=$C$13),$C$24,0)</f>
        <v/>
      </c>
      <c r="H284" s="138">
        <f>IF(OR($L$227&lt;=0,A284&lt;$C$13),0,IF(AND($L$227&gt;0,$C$17&gt;0,A284&gt;=$C$13,A284&lt;($C$13+$C$17)),IF($C$17&lt;=0,0,IF($C$16=0,MAX($L$227*(1-$C$15),0)/$C$17,-PMT($C$16/12,$C$17*12,MAX($L$227*(1-$C$15),0))*12)),0)+X284*($C$19+$C$20+$C$21)+$C$22+$C$23)</f>
        <v/>
      </c>
      <c r="I284" s="138">
        <f>IF(B284="Working",MIN(MAX(D284-E284-F284-G284-H284,0),'Tax Assumptions'!$B$20),0)</f>
        <v/>
      </c>
      <c r="J284" s="138">
        <f>IF(B284="Working",D284-E284-F284-I284-G284-H284,-L284)</f>
        <v/>
      </c>
      <c r="K284" s="141">
        <f>IF(B284="Retired",$N$227+G284+H284,0)</f>
        <v/>
      </c>
      <c r="L284" s="141">
        <f>M284+N284+O284+P284</f>
        <v/>
      </c>
      <c r="M284" s="141">
        <f>IF(B284="Retired",MIN(((Q283)*(1+$C$10)+IF(B284="Working",J284,0)),K284),0)</f>
        <v/>
      </c>
      <c r="N284" s="141">
        <f>IF(B284="Retired",MIN(MAX(K284-M284,0),((R283)*(1+$C$10)+IF(B284="Working",E107,0))),0)</f>
        <v/>
      </c>
      <c r="O284" s="141">
        <f>IF(B284="Retired",MIN(MAX(K284-M284-N284,0),((S283)*(1+$C$10)+IF(B284="Working",I284,0))),0)</f>
        <v/>
      </c>
      <c r="P284" s="141">
        <f>IF(B284="Retired",MIN(MAX(K284-M284-N284-O284,0),((T283)*(1+$C$10)+IF(B284="Working",F107,0))),0)</f>
        <v/>
      </c>
      <c r="Q284" s="138">
        <f>MAX(((Q283)*(1+$C$10)+IF(B284="Working",J284,0))-M284,0)</f>
        <v/>
      </c>
      <c r="R284" s="138">
        <f>MAX(((R283)*(1+$C$10)+IF(B284="Working",E107,0))-N284,0)</f>
        <v/>
      </c>
      <c r="S284" s="138">
        <f>MAX(((S283)*(1+$C$10)+IF(B284="Working",I284,0))-O284,0)</f>
        <v/>
      </c>
      <c r="T284" s="138">
        <f>MAX(((T283)*(1+$C$10)+IF(B284="Working",F107,0))-P284,0)</f>
        <v/>
      </c>
      <c r="U284" s="138">
        <f>Q284+R284+S284+T284</f>
        <v/>
      </c>
      <c r="V284" s="138">
        <f>IF(B284="Working",MAX(-(((Q283)*(1+$C$10)+IF(B284="Working",J284,0))),0),MAX(K284-L284,0))</f>
        <v/>
      </c>
      <c r="W284" s="138">
        <f>IF(OR(A284&gt;=$C$13,B284="Retired"),IF(V284&gt;0,-V284,U284-'Model Inputs'!$B$18),"")</f>
        <v/>
      </c>
      <c r="X284" s="138">
        <f>IF(AND($L$227&gt;0,A284&gt;=$C$13),$L$227*(1+$C$25)^(A284-$C$13),0)</f>
        <v/>
      </c>
      <c r="Y284" s="138">
        <f>IF(OR($L$227&lt;=0,$C$17&lt;=0,A284&lt;$C$13,MIN(MAX((A284-$C$13+1)*12,0),$C$17*12)&gt;=$C$17*12),0,IF($C$16=0,MAX(MAX($L$227*(1-$C$15),0)-(IF($C$17&lt;=0,0,IF($C$16=0,MAX($L$227*(1-$C$15),0)/$C$17,-PMT($C$16/12,$C$17*12,MAX($L$227*(1-$C$15),0))*12))/12)*MIN(MAX((A284-$C$13+1)*12,0),$C$17*12),0),MAX(MAX($L$227*(1-$C$15),0)*(1+$C$16/12)^MIN(MAX((A284-$C$13+1)*12,0),$C$17*12)-(IF($C$17&lt;=0,0,IF($C$16=0,MAX($L$227*(1-$C$15),0)/$C$17,-PMT($C$16/12,$C$17*12,MAX($L$227*(1-$C$15),0))*12))/12)*(((1+$C$16/12)^MIN(MAX((A284-$C$13+1)*12,0),$C$17*12)-1)/($C$16/12)),0)))</f>
        <v/>
      </c>
      <c r="Z284" s="138">
        <f>MAX(X284-Y284,0)</f>
        <v/>
      </c>
      <c r="AA284" s="142">
        <f>U284+Z284</f>
        <v/>
      </c>
      <c r="AB284" s="5" t="n"/>
      <c r="AC284" s="5" t="n"/>
      <c r="AD284" s="5" t="n"/>
      <c r="AE284" s="5" t="n"/>
      <c r="AF284" s="5" t="n"/>
      <c r="AG284" s="5" t="n"/>
    </row>
    <row r="285" outlineLevel="1" s="326">
      <c r="A285" s="136" t="n">
        <v>29</v>
      </c>
      <c r="B285" s="72">
        <f>B108</f>
        <v/>
      </c>
      <c r="C285" s="137">
        <f>D108</f>
        <v/>
      </c>
      <c r="D285" s="137">
        <f>I108</f>
        <v/>
      </c>
      <c r="E285" s="137">
        <f>J108</f>
        <v/>
      </c>
      <c r="F285" s="137">
        <f>K108</f>
        <v/>
      </c>
      <c r="G285" s="138">
        <f>IF(AND($L$227&gt;0,A285=$C$13),$L$227*($C$15+$C$18),0)+IF(AND($L$227&gt;0,A285=$C$13),$C$24,0)</f>
        <v/>
      </c>
      <c r="H285" s="138">
        <f>IF(OR($L$227&lt;=0,A285&lt;$C$13),0,IF(AND($L$227&gt;0,$C$17&gt;0,A285&gt;=$C$13,A285&lt;($C$13+$C$17)),IF($C$17&lt;=0,0,IF($C$16=0,MAX($L$227*(1-$C$15),0)/$C$17,-PMT($C$16/12,$C$17*12,MAX($L$227*(1-$C$15),0))*12)),0)+X285*($C$19+$C$20+$C$21)+$C$22+$C$23)</f>
        <v/>
      </c>
      <c r="I285" s="138">
        <f>IF(B285="Working",MIN(MAX(D285-E285-F285-G285-H285,0),'Tax Assumptions'!$B$20),0)</f>
        <v/>
      </c>
      <c r="J285" s="138">
        <f>IF(B285="Working",D285-E285-F285-I285-G285-H285,-L285)</f>
        <v/>
      </c>
      <c r="K285" s="137">
        <f>IF(B285="Retired",$N$227+G285+H285,0)</f>
        <v/>
      </c>
      <c r="L285" s="137">
        <f>M285+N285+O285+P285</f>
        <v/>
      </c>
      <c r="M285" s="137">
        <f>IF(B285="Retired",MIN(((Q284)*(1+$C$10)+IF(B285="Working",J285,0)),K285),0)</f>
        <v/>
      </c>
      <c r="N285" s="137">
        <f>IF(B285="Retired",MIN(MAX(K285-M285,0),((R284)*(1+$C$10)+IF(B285="Working",E108,0))),0)</f>
        <v/>
      </c>
      <c r="O285" s="137">
        <f>IF(B285="Retired",MIN(MAX(K285-M285-N285,0),((S284)*(1+$C$10)+IF(B285="Working",I285,0))),0)</f>
        <v/>
      </c>
      <c r="P285" s="137">
        <f>IF(B285="Retired",MIN(MAX(K285-M285-N285-O285,0),((T284)*(1+$C$10)+IF(B285="Working",F108,0))),0)</f>
        <v/>
      </c>
      <c r="Q285" s="138">
        <f>MAX(((Q284)*(1+$C$10)+IF(B285="Working",J285,0))-M285,0)</f>
        <v/>
      </c>
      <c r="R285" s="138">
        <f>MAX(((R284)*(1+$C$10)+IF(B285="Working",E108,0))-N285,0)</f>
        <v/>
      </c>
      <c r="S285" s="138">
        <f>MAX(((S284)*(1+$C$10)+IF(B285="Working",I285,0))-O285,0)</f>
        <v/>
      </c>
      <c r="T285" s="138">
        <f>MAX(((T284)*(1+$C$10)+IF(B285="Working",F108,0))-P285,0)</f>
        <v/>
      </c>
      <c r="U285" s="138">
        <f>Q285+R285+S285+T285</f>
        <v/>
      </c>
      <c r="V285" s="138">
        <f>IF(B285="Working",MAX(-(((Q284)*(1+$C$10)+IF(B285="Working",J285,0))),0),MAX(K285-L285,0))</f>
        <v/>
      </c>
      <c r="W285" s="138">
        <f>IF(OR(A285&gt;=$C$13,B285="Retired"),IF(V285&gt;0,-V285,U285-'Model Inputs'!$B$18),"")</f>
        <v/>
      </c>
      <c r="X285" s="138">
        <f>IF(AND($L$227&gt;0,A285&gt;=$C$13),$L$227*(1+$C$25)^(A285-$C$13),0)</f>
        <v/>
      </c>
      <c r="Y285" s="138">
        <f>IF(OR($L$227&lt;=0,$C$17&lt;=0,A285&lt;$C$13,MIN(MAX((A285-$C$13+1)*12,0),$C$17*12)&gt;=$C$17*12),0,IF($C$16=0,MAX(MAX($L$227*(1-$C$15),0)-(IF($C$17&lt;=0,0,IF($C$16=0,MAX($L$227*(1-$C$15),0)/$C$17,-PMT($C$16/12,$C$17*12,MAX($L$227*(1-$C$15),0))*12))/12)*MIN(MAX((A285-$C$13+1)*12,0),$C$17*12),0),MAX(MAX($L$227*(1-$C$15),0)*(1+$C$16/12)^MIN(MAX((A285-$C$13+1)*12,0),$C$17*12)-(IF($C$17&lt;=0,0,IF($C$16=0,MAX($L$227*(1-$C$15),0)/$C$17,-PMT($C$16/12,$C$17*12,MAX($L$227*(1-$C$15),0))*12))/12)*(((1+$C$16/12)^MIN(MAX((A285-$C$13+1)*12,0),$C$17*12)-1)/($C$16/12)),0)))</f>
        <v/>
      </c>
      <c r="Z285" s="138">
        <f>MAX(X285-Y285,0)</f>
        <v/>
      </c>
      <c r="AA285" s="139">
        <f>U285+Z285</f>
        <v/>
      </c>
      <c r="AB285" s="5" t="n"/>
      <c r="AC285" s="5" t="n"/>
      <c r="AD285" s="5" t="n"/>
      <c r="AE285" s="5" t="n"/>
      <c r="AF285" s="5" t="n"/>
      <c r="AG285" s="5" t="n"/>
    </row>
    <row r="286" outlineLevel="1" s="326">
      <c r="A286" s="140" t="n">
        <v>30</v>
      </c>
      <c r="B286" s="40">
        <f>B109</f>
        <v/>
      </c>
      <c r="C286" s="141">
        <f>D109</f>
        <v/>
      </c>
      <c r="D286" s="141">
        <f>I109</f>
        <v/>
      </c>
      <c r="E286" s="141">
        <f>J109</f>
        <v/>
      </c>
      <c r="F286" s="141">
        <f>K109</f>
        <v/>
      </c>
      <c r="G286" s="138">
        <f>IF(AND($L$227&gt;0,A286=$C$13),$L$227*($C$15+$C$18),0)+IF(AND($L$227&gt;0,A286=$C$13),$C$24,0)</f>
        <v/>
      </c>
      <c r="H286" s="138">
        <f>IF(OR($L$227&lt;=0,A286&lt;$C$13),0,IF(AND($L$227&gt;0,$C$17&gt;0,A286&gt;=$C$13,A286&lt;($C$13+$C$17)),IF($C$17&lt;=0,0,IF($C$16=0,MAX($L$227*(1-$C$15),0)/$C$17,-PMT($C$16/12,$C$17*12,MAX($L$227*(1-$C$15),0))*12)),0)+X286*($C$19+$C$20+$C$21)+$C$22+$C$23)</f>
        <v/>
      </c>
      <c r="I286" s="138">
        <f>IF(B286="Working",MIN(MAX(D286-E286-F286-G286-H286,0),'Tax Assumptions'!$B$20),0)</f>
        <v/>
      </c>
      <c r="J286" s="138">
        <f>IF(B286="Working",D286-E286-F286-I286-G286-H286,-L286)</f>
        <v/>
      </c>
      <c r="K286" s="141">
        <f>IF(B286="Retired",$N$227+G286+H286,0)</f>
        <v/>
      </c>
      <c r="L286" s="141">
        <f>M286+N286+O286+P286</f>
        <v/>
      </c>
      <c r="M286" s="141">
        <f>IF(B286="Retired",MIN(((Q285)*(1+$C$10)+IF(B286="Working",J286,0)),K286),0)</f>
        <v/>
      </c>
      <c r="N286" s="141">
        <f>IF(B286="Retired",MIN(MAX(K286-M286,0),((R285)*(1+$C$10)+IF(B286="Working",E109,0))),0)</f>
        <v/>
      </c>
      <c r="O286" s="141">
        <f>IF(B286="Retired",MIN(MAX(K286-M286-N286,0),((S285)*(1+$C$10)+IF(B286="Working",I286,0))),0)</f>
        <v/>
      </c>
      <c r="P286" s="141">
        <f>IF(B286="Retired",MIN(MAX(K286-M286-N286-O286,0),((T285)*(1+$C$10)+IF(B286="Working",F109,0))),0)</f>
        <v/>
      </c>
      <c r="Q286" s="138">
        <f>MAX(((Q285)*(1+$C$10)+IF(B286="Working",J286,0))-M286,0)</f>
        <v/>
      </c>
      <c r="R286" s="138">
        <f>MAX(((R285)*(1+$C$10)+IF(B286="Working",E109,0))-N286,0)</f>
        <v/>
      </c>
      <c r="S286" s="138">
        <f>MAX(((S285)*(1+$C$10)+IF(B286="Working",I286,0))-O286,0)</f>
        <v/>
      </c>
      <c r="T286" s="138">
        <f>MAX(((T285)*(1+$C$10)+IF(B286="Working",F109,0))-P286,0)</f>
        <v/>
      </c>
      <c r="U286" s="138">
        <f>Q286+R286+S286+T286</f>
        <v/>
      </c>
      <c r="V286" s="138">
        <f>IF(B286="Working",MAX(-(((Q285)*(1+$C$10)+IF(B286="Working",J286,0))),0),MAX(K286-L286,0))</f>
        <v/>
      </c>
      <c r="W286" s="138">
        <f>IF(OR(A286&gt;=$C$13,B286="Retired"),IF(V286&gt;0,-V286,U286-'Model Inputs'!$B$18),"")</f>
        <v/>
      </c>
      <c r="X286" s="138">
        <f>IF(AND($L$227&gt;0,A286&gt;=$C$13),$L$227*(1+$C$25)^(A286-$C$13),0)</f>
        <v/>
      </c>
      <c r="Y286" s="138">
        <f>IF(OR($L$227&lt;=0,$C$17&lt;=0,A286&lt;$C$13,MIN(MAX((A286-$C$13+1)*12,0),$C$17*12)&gt;=$C$17*12),0,IF($C$16=0,MAX(MAX($L$227*(1-$C$15),0)-(IF($C$17&lt;=0,0,IF($C$16=0,MAX($L$227*(1-$C$15),0)/$C$17,-PMT($C$16/12,$C$17*12,MAX($L$227*(1-$C$15),0))*12))/12)*MIN(MAX((A286-$C$13+1)*12,0),$C$17*12),0),MAX(MAX($L$227*(1-$C$15),0)*(1+$C$16/12)^MIN(MAX((A286-$C$13+1)*12,0),$C$17*12)-(IF($C$17&lt;=0,0,IF($C$16=0,MAX($L$227*(1-$C$15),0)/$C$17,-PMT($C$16/12,$C$17*12,MAX($L$227*(1-$C$15),0))*12))/12)*(((1+$C$16/12)^MIN(MAX((A286-$C$13+1)*12,0),$C$17*12)-1)/($C$16/12)),0)))</f>
        <v/>
      </c>
      <c r="Z286" s="138">
        <f>MAX(X286-Y286,0)</f>
        <v/>
      </c>
      <c r="AA286" s="142">
        <f>U286+Z286</f>
        <v/>
      </c>
      <c r="AB286" s="5" t="n"/>
      <c r="AC286" s="5" t="n"/>
      <c r="AD286" s="5" t="n"/>
      <c r="AE286" s="5" t="n"/>
      <c r="AF286" s="5" t="n"/>
      <c r="AG286" s="5" t="n"/>
    </row>
    <row r="287" outlineLevel="1" s="326">
      <c r="A287" s="136" t="n">
        <v>31</v>
      </c>
      <c r="B287" s="72">
        <f>B110</f>
        <v/>
      </c>
      <c r="C287" s="137">
        <f>D110</f>
        <v/>
      </c>
      <c r="D287" s="137">
        <f>I110</f>
        <v/>
      </c>
      <c r="E287" s="137">
        <f>J110</f>
        <v/>
      </c>
      <c r="F287" s="137">
        <f>K110</f>
        <v/>
      </c>
      <c r="G287" s="138">
        <f>IF(AND($L$227&gt;0,A287=$C$13),$L$227*($C$15+$C$18),0)+IF(AND($L$227&gt;0,A287=$C$13),$C$24,0)</f>
        <v/>
      </c>
      <c r="H287" s="138">
        <f>IF(OR($L$227&lt;=0,A287&lt;$C$13),0,IF(AND($L$227&gt;0,$C$17&gt;0,A287&gt;=$C$13,A287&lt;($C$13+$C$17)),IF($C$17&lt;=0,0,IF($C$16=0,MAX($L$227*(1-$C$15),0)/$C$17,-PMT($C$16/12,$C$17*12,MAX($L$227*(1-$C$15),0))*12)),0)+X287*($C$19+$C$20+$C$21)+$C$22+$C$23)</f>
        <v/>
      </c>
      <c r="I287" s="138">
        <f>IF(B287="Working",MIN(MAX(D287-E287-F287-G287-H287,0),'Tax Assumptions'!$B$20),0)</f>
        <v/>
      </c>
      <c r="J287" s="138">
        <f>IF(B287="Working",D287-E287-F287-I287-G287-H287,-L287)</f>
        <v/>
      </c>
      <c r="K287" s="137">
        <f>IF(B287="Retired",$N$227+G287+H287,0)</f>
        <v/>
      </c>
      <c r="L287" s="137">
        <f>M287+N287+O287+P287</f>
        <v/>
      </c>
      <c r="M287" s="137">
        <f>IF(B287="Retired",MIN(((Q286)*(1+$C$10)+IF(B287="Working",J287,0)),K287),0)</f>
        <v/>
      </c>
      <c r="N287" s="137">
        <f>IF(B287="Retired",MIN(MAX(K287-M287,0),((R286)*(1+$C$10)+IF(B287="Working",E110,0))),0)</f>
        <v/>
      </c>
      <c r="O287" s="137">
        <f>IF(B287="Retired",MIN(MAX(K287-M287-N287,0),((S286)*(1+$C$10)+IF(B287="Working",I287,0))),0)</f>
        <v/>
      </c>
      <c r="P287" s="137">
        <f>IF(B287="Retired",MIN(MAX(K287-M287-N287-O287,0),((T286)*(1+$C$10)+IF(B287="Working",F110,0))),0)</f>
        <v/>
      </c>
      <c r="Q287" s="138">
        <f>MAX(((Q286)*(1+$C$10)+IF(B287="Working",J287,0))-M287,0)</f>
        <v/>
      </c>
      <c r="R287" s="138">
        <f>MAX(((R286)*(1+$C$10)+IF(B287="Working",E110,0))-N287,0)</f>
        <v/>
      </c>
      <c r="S287" s="138">
        <f>MAX(((S286)*(1+$C$10)+IF(B287="Working",I287,0))-O287,0)</f>
        <v/>
      </c>
      <c r="T287" s="138">
        <f>MAX(((T286)*(1+$C$10)+IF(B287="Working",F110,0))-P287,0)</f>
        <v/>
      </c>
      <c r="U287" s="138">
        <f>Q287+R287+S287+T287</f>
        <v/>
      </c>
      <c r="V287" s="138">
        <f>IF(B287="Working",MAX(-(((Q286)*(1+$C$10)+IF(B287="Working",J287,0))),0),MAX(K287-L287,0))</f>
        <v/>
      </c>
      <c r="W287" s="138">
        <f>IF(OR(A287&gt;=$C$13,B287="Retired"),IF(V287&gt;0,-V287,U287-'Model Inputs'!$B$18),"")</f>
        <v/>
      </c>
      <c r="X287" s="138">
        <f>IF(AND($L$227&gt;0,A287&gt;=$C$13),$L$227*(1+$C$25)^(A287-$C$13),0)</f>
        <v/>
      </c>
      <c r="Y287" s="138">
        <f>IF(OR($L$227&lt;=0,$C$17&lt;=0,A287&lt;$C$13,MIN(MAX((A287-$C$13+1)*12,0),$C$17*12)&gt;=$C$17*12),0,IF($C$16=0,MAX(MAX($L$227*(1-$C$15),0)-(IF($C$17&lt;=0,0,IF($C$16=0,MAX($L$227*(1-$C$15),0)/$C$17,-PMT($C$16/12,$C$17*12,MAX($L$227*(1-$C$15),0))*12))/12)*MIN(MAX((A287-$C$13+1)*12,0),$C$17*12),0),MAX(MAX($L$227*(1-$C$15),0)*(1+$C$16/12)^MIN(MAX((A287-$C$13+1)*12,0),$C$17*12)-(IF($C$17&lt;=0,0,IF($C$16=0,MAX($L$227*(1-$C$15),0)/$C$17,-PMT($C$16/12,$C$17*12,MAX($L$227*(1-$C$15),0))*12))/12)*(((1+$C$16/12)^MIN(MAX((A287-$C$13+1)*12,0),$C$17*12)-1)/($C$16/12)),0)))</f>
        <v/>
      </c>
      <c r="Z287" s="138">
        <f>MAX(X287-Y287,0)</f>
        <v/>
      </c>
      <c r="AA287" s="139">
        <f>U287+Z287</f>
        <v/>
      </c>
      <c r="AB287" s="5" t="n"/>
      <c r="AC287" s="5" t="n"/>
      <c r="AD287" s="5" t="n"/>
      <c r="AE287" s="5" t="n"/>
      <c r="AF287" s="5" t="n"/>
      <c r="AG287" s="5" t="n"/>
    </row>
    <row r="288" outlineLevel="1" s="326">
      <c r="A288" s="140" t="n">
        <v>32</v>
      </c>
      <c r="B288" s="40">
        <f>B111</f>
        <v/>
      </c>
      <c r="C288" s="141">
        <f>D111</f>
        <v/>
      </c>
      <c r="D288" s="141">
        <f>I111</f>
        <v/>
      </c>
      <c r="E288" s="141">
        <f>J111</f>
        <v/>
      </c>
      <c r="F288" s="141">
        <f>K111</f>
        <v/>
      </c>
      <c r="G288" s="138">
        <f>IF(AND($L$227&gt;0,A288=$C$13),$L$227*($C$15+$C$18),0)+IF(AND($L$227&gt;0,A288=$C$13),$C$24,0)</f>
        <v/>
      </c>
      <c r="H288" s="138">
        <f>IF(OR($L$227&lt;=0,A288&lt;$C$13),0,IF(AND($L$227&gt;0,$C$17&gt;0,A288&gt;=$C$13,A288&lt;($C$13+$C$17)),IF($C$17&lt;=0,0,IF($C$16=0,MAX($L$227*(1-$C$15),0)/$C$17,-PMT($C$16/12,$C$17*12,MAX($L$227*(1-$C$15),0))*12)),0)+X288*($C$19+$C$20+$C$21)+$C$22+$C$23)</f>
        <v/>
      </c>
      <c r="I288" s="138">
        <f>IF(B288="Working",MIN(MAX(D288-E288-F288-G288-H288,0),'Tax Assumptions'!$B$20),0)</f>
        <v/>
      </c>
      <c r="J288" s="138">
        <f>IF(B288="Working",D288-E288-F288-I288-G288-H288,-L288)</f>
        <v/>
      </c>
      <c r="K288" s="141">
        <f>IF(B288="Retired",$N$227+G288+H288,0)</f>
        <v/>
      </c>
      <c r="L288" s="141">
        <f>M288+N288+O288+P288</f>
        <v/>
      </c>
      <c r="M288" s="141">
        <f>IF(B288="Retired",MIN(((Q287)*(1+$C$10)+IF(B288="Working",J288,0)),K288),0)</f>
        <v/>
      </c>
      <c r="N288" s="141">
        <f>IF(B288="Retired",MIN(MAX(K288-M288,0),((R287)*(1+$C$10)+IF(B288="Working",E111,0))),0)</f>
        <v/>
      </c>
      <c r="O288" s="141">
        <f>IF(B288="Retired",MIN(MAX(K288-M288-N288,0),((S287)*(1+$C$10)+IF(B288="Working",I288,0))),0)</f>
        <v/>
      </c>
      <c r="P288" s="141">
        <f>IF(B288="Retired",MIN(MAX(K288-M288-N288-O288,0),((T287)*(1+$C$10)+IF(B288="Working",F111,0))),0)</f>
        <v/>
      </c>
      <c r="Q288" s="138">
        <f>MAX(((Q287)*(1+$C$10)+IF(B288="Working",J288,0))-M288,0)</f>
        <v/>
      </c>
      <c r="R288" s="138">
        <f>MAX(((R287)*(1+$C$10)+IF(B288="Working",E111,0))-N288,0)</f>
        <v/>
      </c>
      <c r="S288" s="138">
        <f>MAX(((S287)*(1+$C$10)+IF(B288="Working",I288,0))-O288,0)</f>
        <v/>
      </c>
      <c r="T288" s="138">
        <f>MAX(((T287)*(1+$C$10)+IF(B288="Working",F111,0))-P288,0)</f>
        <v/>
      </c>
      <c r="U288" s="138">
        <f>Q288+R288+S288+T288</f>
        <v/>
      </c>
      <c r="V288" s="138">
        <f>IF(B288="Working",MAX(-(((Q287)*(1+$C$10)+IF(B288="Working",J288,0))),0),MAX(K288-L288,0))</f>
        <v/>
      </c>
      <c r="W288" s="138">
        <f>IF(OR(A288&gt;=$C$13,B288="Retired"),IF(V288&gt;0,-V288,U288-'Model Inputs'!$B$18),"")</f>
        <v/>
      </c>
      <c r="X288" s="138">
        <f>IF(AND($L$227&gt;0,A288&gt;=$C$13),$L$227*(1+$C$25)^(A288-$C$13),0)</f>
        <v/>
      </c>
      <c r="Y288" s="138">
        <f>IF(OR($L$227&lt;=0,$C$17&lt;=0,A288&lt;$C$13,MIN(MAX((A288-$C$13+1)*12,0),$C$17*12)&gt;=$C$17*12),0,IF($C$16=0,MAX(MAX($L$227*(1-$C$15),0)-(IF($C$17&lt;=0,0,IF($C$16=0,MAX($L$227*(1-$C$15),0)/$C$17,-PMT($C$16/12,$C$17*12,MAX($L$227*(1-$C$15),0))*12))/12)*MIN(MAX((A288-$C$13+1)*12,0),$C$17*12),0),MAX(MAX($L$227*(1-$C$15),0)*(1+$C$16/12)^MIN(MAX((A288-$C$13+1)*12,0),$C$17*12)-(IF($C$17&lt;=0,0,IF($C$16=0,MAX($L$227*(1-$C$15),0)/$C$17,-PMT($C$16/12,$C$17*12,MAX($L$227*(1-$C$15),0))*12))/12)*(((1+$C$16/12)^MIN(MAX((A288-$C$13+1)*12,0),$C$17*12)-1)/($C$16/12)),0)))</f>
        <v/>
      </c>
      <c r="Z288" s="138">
        <f>MAX(X288-Y288,0)</f>
        <v/>
      </c>
      <c r="AA288" s="142">
        <f>U288+Z288</f>
        <v/>
      </c>
      <c r="AB288" s="5" t="n"/>
      <c r="AC288" s="5" t="n"/>
      <c r="AD288" s="5" t="n"/>
      <c r="AE288" s="5" t="n"/>
      <c r="AF288" s="5" t="n"/>
      <c r="AG288" s="5" t="n"/>
    </row>
    <row r="289" outlineLevel="1" s="326">
      <c r="A289" s="136" t="n">
        <v>33</v>
      </c>
      <c r="B289" s="72">
        <f>B112</f>
        <v/>
      </c>
      <c r="C289" s="137">
        <f>D112</f>
        <v/>
      </c>
      <c r="D289" s="137">
        <f>I112</f>
        <v/>
      </c>
      <c r="E289" s="137">
        <f>J112</f>
        <v/>
      </c>
      <c r="F289" s="137">
        <f>K112</f>
        <v/>
      </c>
      <c r="G289" s="138">
        <f>IF(AND($L$227&gt;0,A289=$C$13),$L$227*($C$15+$C$18),0)+IF(AND($L$227&gt;0,A289=$C$13),$C$24,0)</f>
        <v/>
      </c>
      <c r="H289" s="138">
        <f>IF(OR($L$227&lt;=0,A289&lt;$C$13),0,IF(AND($L$227&gt;0,$C$17&gt;0,A289&gt;=$C$13,A289&lt;($C$13+$C$17)),IF($C$17&lt;=0,0,IF($C$16=0,MAX($L$227*(1-$C$15),0)/$C$17,-PMT($C$16/12,$C$17*12,MAX($L$227*(1-$C$15),0))*12)),0)+X289*($C$19+$C$20+$C$21)+$C$22+$C$23)</f>
        <v/>
      </c>
      <c r="I289" s="138">
        <f>IF(B289="Working",MIN(MAX(D289-E289-F289-G289-H289,0),'Tax Assumptions'!$B$20),0)</f>
        <v/>
      </c>
      <c r="J289" s="138">
        <f>IF(B289="Working",D289-E289-F289-I289-G289-H289,-L289)</f>
        <v/>
      </c>
      <c r="K289" s="137">
        <f>IF(B289="Retired",$N$227+G289+H289,0)</f>
        <v/>
      </c>
      <c r="L289" s="137">
        <f>M289+N289+O289+P289</f>
        <v/>
      </c>
      <c r="M289" s="137">
        <f>IF(B289="Retired",MIN(((Q288)*(1+$C$10)+IF(B289="Working",J289,0)),K289),0)</f>
        <v/>
      </c>
      <c r="N289" s="137">
        <f>IF(B289="Retired",MIN(MAX(K289-M289,0),((R288)*(1+$C$10)+IF(B289="Working",E112,0))),0)</f>
        <v/>
      </c>
      <c r="O289" s="137">
        <f>IF(B289="Retired",MIN(MAX(K289-M289-N289,0),((S288)*(1+$C$10)+IF(B289="Working",I289,0))),0)</f>
        <v/>
      </c>
      <c r="P289" s="137">
        <f>IF(B289="Retired",MIN(MAX(K289-M289-N289-O289,0),((T288)*(1+$C$10)+IF(B289="Working",F112,0))),0)</f>
        <v/>
      </c>
      <c r="Q289" s="138">
        <f>MAX(((Q288)*(1+$C$10)+IF(B289="Working",J289,0))-M289,0)</f>
        <v/>
      </c>
      <c r="R289" s="138">
        <f>MAX(((R288)*(1+$C$10)+IF(B289="Working",E112,0))-N289,0)</f>
        <v/>
      </c>
      <c r="S289" s="138">
        <f>MAX(((S288)*(1+$C$10)+IF(B289="Working",I289,0))-O289,0)</f>
        <v/>
      </c>
      <c r="T289" s="138">
        <f>MAX(((T288)*(1+$C$10)+IF(B289="Working",F112,0))-P289,0)</f>
        <v/>
      </c>
      <c r="U289" s="138">
        <f>Q289+R289+S289+T289</f>
        <v/>
      </c>
      <c r="V289" s="138">
        <f>IF(B289="Working",MAX(-(((Q288)*(1+$C$10)+IF(B289="Working",J289,0))),0),MAX(K289-L289,0))</f>
        <v/>
      </c>
      <c r="W289" s="138">
        <f>IF(OR(A289&gt;=$C$13,B289="Retired"),IF(V289&gt;0,-V289,U289-'Model Inputs'!$B$18),"")</f>
        <v/>
      </c>
      <c r="X289" s="138">
        <f>IF(AND($L$227&gt;0,A289&gt;=$C$13),$L$227*(1+$C$25)^(A289-$C$13),0)</f>
        <v/>
      </c>
      <c r="Y289" s="138">
        <f>IF(OR($L$227&lt;=0,$C$17&lt;=0,A289&lt;$C$13,MIN(MAX((A289-$C$13+1)*12,0),$C$17*12)&gt;=$C$17*12),0,IF($C$16=0,MAX(MAX($L$227*(1-$C$15),0)-(IF($C$17&lt;=0,0,IF($C$16=0,MAX($L$227*(1-$C$15),0)/$C$17,-PMT($C$16/12,$C$17*12,MAX($L$227*(1-$C$15),0))*12))/12)*MIN(MAX((A289-$C$13+1)*12,0),$C$17*12),0),MAX(MAX($L$227*(1-$C$15),0)*(1+$C$16/12)^MIN(MAX((A289-$C$13+1)*12,0),$C$17*12)-(IF($C$17&lt;=0,0,IF($C$16=0,MAX($L$227*(1-$C$15),0)/$C$17,-PMT($C$16/12,$C$17*12,MAX($L$227*(1-$C$15),0))*12))/12)*(((1+$C$16/12)^MIN(MAX((A289-$C$13+1)*12,0),$C$17*12)-1)/($C$16/12)),0)))</f>
        <v/>
      </c>
      <c r="Z289" s="138">
        <f>MAX(X289-Y289,0)</f>
        <v/>
      </c>
      <c r="AA289" s="139">
        <f>U289+Z289</f>
        <v/>
      </c>
      <c r="AB289" s="5" t="n"/>
      <c r="AC289" s="5" t="n"/>
      <c r="AD289" s="5" t="n"/>
      <c r="AE289" s="5" t="n"/>
      <c r="AF289" s="5" t="n"/>
      <c r="AG289" s="5" t="n"/>
    </row>
    <row r="290" outlineLevel="1" s="326">
      <c r="A290" s="140" t="n">
        <v>34</v>
      </c>
      <c r="B290" s="40">
        <f>B113</f>
        <v/>
      </c>
      <c r="C290" s="141">
        <f>D113</f>
        <v/>
      </c>
      <c r="D290" s="141">
        <f>I113</f>
        <v/>
      </c>
      <c r="E290" s="141">
        <f>J113</f>
        <v/>
      </c>
      <c r="F290" s="141">
        <f>K113</f>
        <v/>
      </c>
      <c r="G290" s="138">
        <f>IF(AND($L$227&gt;0,A290=$C$13),$L$227*($C$15+$C$18),0)+IF(AND($L$227&gt;0,A290=$C$13),$C$24,0)</f>
        <v/>
      </c>
      <c r="H290" s="138">
        <f>IF(OR($L$227&lt;=0,A290&lt;$C$13),0,IF(AND($L$227&gt;0,$C$17&gt;0,A290&gt;=$C$13,A290&lt;($C$13+$C$17)),IF($C$17&lt;=0,0,IF($C$16=0,MAX($L$227*(1-$C$15),0)/$C$17,-PMT($C$16/12,$C$17*12,MAX($L$227*(1-$C$15),0))*12)),0)+X290*($C$19+$C$20+$C$21)+$C$22+$C$23)</f>
        <v/>
      </c>
      <c r="I290" s="138">
        <f>IF(B290="Working",MIN(MAX(D290-E290-F290-G290-H290,0),'Tax Assumptions'!$B$20),0)</f>
        <v/>
      </c>
      <c r="J290" s="138">
        <f>IF(B290="Working",D290-E290-F290-I290-G290-H290,-L290)</f>
        <v/>
      </c>
      <c r="K290" s="141">
        <f>IF(B290="Retired",$N$227+G290+H290,0)</f>
        <v/>
      </c>
      <c r="L290" s="141">
        <f>M290+N290+O290+P290</f>
        <v/>
      </c>
      <c r="M290" s="141">
        <f>IF(B290="Retired",MIN(((Q289)*(1+$C$10)+IF(B290="Working",J290,0)),K290),0)</f>
        <v/>
      </c>
      <c r="N290" s="141">
        <f>IF(B290="Retired",MIN(MAX(K290-M290,0),((R289)*(1+$C$10)+IF(B290="Working",E113,0))),0)</f>
        <v/>
      </c>
      <c r="O290" s="141">
        <f>IF(B290="Retired",MIN(MAX(K290-M290-N290,0),((S289)*(1+$C$10)+IF(B290="Working",I290,0))),0)</f>
        <v/>
      </c>
      <c r="P290" s="141">
        <f>IF(B290="Retired",MIN(MAX(K290-M290-N290-O290,0),((T289)*(1+$C$10)+IF(B290="Working",F113,0))),0)</f>
        <v/>
      </c>
      <c r="Q290" s="138">
        <f>MAX(((Q289)*(1+$C$10)+IF(B290="Working",J290,0))-M290,0)</f>
        <v/>
      </c>
      <c r="R290" s="138">
        <f>MAX(((R289)*(1+$C$10)+IF(B290="Working",E113,0))-N290,0)</f>
        <v/>
      </c>
      <c r="S290" s="138">
        <f>MAX(((S289)*(1+$C$10)+IF(B290="Working",I290,0))-O290,0)</f>
        <v/>
      </c>
      <c r="T290" s="138">
        <f>MAX(((T289)*(1+$C$10)+IF(B290="Working",F113,0))-P290,0)</f>
        <v/>
      </c>
      <c r="U290" s="138">
        <f>Q290+R290+S290+T290</f>
        <v/>
      </c>
      <c r="V290" s="138">
        <f>IF(B290="Working",MAX(-(((Q289)*(1+$C$10)+IF(B290="Working",J290,0))),0),MAX(K290-L290,0))</f>
        <v/>
      </c>
      <c r="W290" s="138">
        <f>IF(OR(A290&gt;=$C$13,B290="Retired"),IF(V290&gt;0,-V290,U290-'Model Inputs'!$B$18),"")</f>
        <v/>
      </c>
      <c r="X290" s="138">
        <f>IF(AND($L$227&gt;0,A290&gt;=$C$13),$L$227*(1+$C$25)^(A290-$C$13),0)</f>
        <v/>
      </c>
      <c r="Y290" s="138">
        <f>IF(OR($L$227&lt;=0,$C$17&lt;=0,A290&lt;$C$13,MIN(MAX((A290-$C$13+1)*12,0),$C$17*12)&gt;=$C$17*12),0,IF($C$16=0,MAX(MAX($L$227*(1-$C$15),0)-(IF($C$17&lt;=0,0,IF($C$16=0,MAX($L$227*(1-$C$15),0)/$C$17,-PMT($C$16/12,$C$17*12,MAX($L$227*(1-$C$15),0))*12))/12)*MIN(MAX((A290-$C$13+1)*12,0),$C$17*12),0),MAX(MAX($L$227*(1-$C$15),0)*(1+$C$16/12)^MIN(MAX((A290-$C$13+1)*12,0),$C$17*12)-(IF($C$17&lt;=0,0,IF($C$16=0,MAX($L$227*(1-$C$15),0)/$C$17,-PMT($C$16/12,$C$17*12,MAX($L$227*(1-$C$15),0))*12))/12)*(((1+$C$16/12)^MIN(MAX((A290-$C$13+1)*12,0),$C$17*12)-1)/($C$16/12)),0)))</f>
        <v/>
      </c>
      <c r="Z290" s="138">
        <f>MAX(X290-Y290,0)</f>
        <v/>
      </c>
      <c r="AA290" s="142">
        <f>U290+Z290</f>
        <v/>
      </c>
      <c r="AB290" s="5" t="n"/>
      <c r="AC290" s="5" t="n"/>
      <c r="AD290" s="5" t="n"/>
      <c r="AE290" s="5" t="n"/>
      <c r="AF290" s="5" t="n"/>
      <c r="AG290" s="5" t="n"/>
    </row>
    <row r="291" outlineLevel="1" s="326">
      <c r="A291" s="136" t="n">
        <v>35</v>
      </c>
      <c r="B291" s="72">
        <f>B114</f>
        <v/>
      </c>
      <c r="C291" s="137">
        <f>D114</f>
        <v/>
      </c>
      <c r="D291" s="137">
        <f>I114</f>
        <v/>
      </c>
      <c r="E291" s="137">
        <f>J114</f>
        <v/>
      </c>
      <c r="F291" s="137">
        <f>K114</f>
        <v/>
      </c>
      <c r="G291" s="138">
        <f>IF(AND($L$227&gt;0,A291=$C$13),$L$227*($C$15+$C$18),0)+IF(AND($L$227&gt;0,A291=$C$13),$C$24,0)</f>
        <v/>
      </c>
      <c r="H291" s="138">
        <f>IF(OR($L$227&lt;=0,A291&lt;$C$13),0,IF(AND($L$227&gt;0,$C$17&gt;0,A291&gt;=$C$13,A291&lt;($C$13+$C$17)),IF($C$17&lt;=0,0,IF($C$16=0,MAX($L$227*(1-$C$15),0)/$C$17,-PMT($C$16/12,$C$17*12,MAX($L$227*(1-$C$15),0))*12)),0)+X291*($C$19+$C$20+$C$21)+$C$22+$C$23)</f>
        <v/>
      </c>
      <c r="I291" s="138">
        <f>IF(B291="Working",MIN(MAX(D291-E291-F291-G291-H291,0),'Tax Assumptions'!$B$20),0)</f>
        <v/>
      </c>
      <c r="J291" s="138">
        <f>IF(B291="Working",D291-E291-F291-I291-G291-H291,-L291)</f>
        <v/>
      </c>
      <c r="K291" s="137">
        <f>IF(B291="Retired",$N$227+G291+H291,0)</f>
        <v/>
      </c>
      <c r="L291" s="137">
        <f>M291+N291+O291+P291</f>
        <v/>
      </c>
      <c r="M291" s="137">
        <f>IF(B291="Retired",MIN(((Q290)*(1+$C$10)+IF(B291="Working",J291,0)),K291),0)</f>
        <v/>
      </c>
      <c r="N291" s="137">
        <f>IF(B291="Retired",MIN(MAX(K291-M291,0),((R290)*(1+$C$10)+IF(B291="Working",E114,0))),0)</f>
        <v/>
      </c>
      <c r="O291" s="137">
        <f>IF(B291="Retired",MIN(MAX(K291-M291-N291,0),((S290)*(1+$C$10)+IF(B291="Working",I291,0))),0)</f>
        <v/>
      </c>
      <c r="P291" s="137">
        <f>IF(B291="Retired",MIN(MAX(K291-M291-N291-O291,0),((T290)*(1+$C$10)+IF(B291="Working",F114,0))),0)</f>
        <v/>
      </c>
      <c r="Q291" s="138">
        <f>MAX(((Q290)*(1+$C$10)+IF(B291="Working",J291,0))-M291,0)</f>
        <v/>
      </c>
      <c r="R291" s="138">
        <f>MAX(((R290)*(1+$C$10)+IF(B291="Working",E114,0))-N291,0)</f>
        <v/>
      </c>
      <c r="S291" s="138">
        <f>MAX(((S290)*(1+$C$10)+IF(B291="Working",I291,0))-O291,0)</f>
        <v/>
      </c>
      <c r="T291" s="138">
        <f>MAX(((T290)*(1+$C$10)+IF(B291="Working",F114,0))-P291,0)</f>
        <v/>
      </c>
      <c r="U291" s="138">
        <f>Q291+R291+S291+T291</f>
        <v/>
      </c>
      <c r="V291" s="138">
        <f>IF(B291="Working",MAX(-(((Q290)*(1+$C$10)+IF(B291="Working",J291,0))),0),MAX(K291-L291,0))</f>
        <v/>
      </c>
      <c r="W291" s="138">
        <f>IF(OR(A291&gt;=$C$13,B291="Retired"),IF(V291&gt;0,-V291,U291-'Model Inputs'!$B$18),"")</f>
        <v/>
      </c>
      <c r="X291" s="138">
        <f>IF(AND($L$227&gt;0,A291&gt;=$C$13),$L$227*(1+$C$25)^(A291-$C$13),0)</f>
        <v/>
      </c>
      <c r="Y291" s="138">
        <f>IF(OR($L$227&lt;=0,$C$17&lt;=0,A291&lt;$C$13,MIN(MAX((A291-$C$13+1)*12,0),$C$17*12)&gt;=$C$17*12),0,IF($C$16=0,MAX(MAX($L$227*(1-$C$15),0)-(IF($C$17&lt;=0,0,IF($C$16=0,MAX($L$227*(1-$C$15),0)/$C$17,-PMT($C$16/12,$C$17*12,MAX($L$227*(1-$C$15),0))*12))/12)*MIN(MAX((A291-$C$13+1)*12,0),$C$17*12),0),MAX(MAX($L$227*(1-$C$15),0)*(1+$C$16/12)^MIN(MAX((A291-$C$13+1)*12,0),$C$17*12)-(IF($C$17&lt;=0,0,IF($C$16=0,MAX($L$227*(1-$C$15),0)/$C$17,-PMT($C$16/12,$C$17*12,MAX($L$227*(1-$C$15),0))*12))/12)*(((1+$C$16/12)^MIN(MAX((A291-$C$13+1)*12,0),$C$17*12)-1)/($C$16/12)),0)))</f>
        <v/>
      </c>
      <c r="Z291" s="138">
        <f>MAX(X291-Y291,0)</f>
        <v/>
      </c>
      <c r="AA291" s="139">
        <f>U291+Z291</f>
        <v/>
      </c>
      <c r="AB291" s="5" t="n"/>
      <c r="AC291" s="5" t="n"/>
      <c r="AD291" s="5" t="n"/>
      <c r="AE291" s="5" t="n"/>
      <c r="AF291" s="5" t="n"/>
      <c r="AG291" s="5" t="n"/>
    </row>
    <row r="292" outlineLevel="1" s="326">
      <c r="A292" s="140" t="n">
        <v>36</v>
      </c>
      <c r="B292" s="40">
        <f>B115</f>
        <v/>
      </c>
      <c r="C292" s="141">
        <f>D115</f>
        <v/>
      </c>
      <c r="D292" s="141">
        <f>I115</f>
        <v/>
      </c>
      <c r="E292" s="141">
        <f>J115</f>
        <v/>
      </c>
      <c r="F292" s="141">
        <f>K115</f>
        <v/>
      </c>
      <c r="G292" s="138">
        <f>IF(AND($L$227&gt;0,A292=$C$13),$L$227*($C$15+$C$18),0)+IF(AND($L$227&gt;0,A292=$C$13),$C$24,0)</f>
        <v/>
      </c>
      <c r="H292" s="138">
        <f>IF(OR($L$227&lt;=0,A292&lt;$C$13),0,IF(AND($L$227&gt;0,$C$17&gt;0,A292&gt;=$C$13,A292&lt;($C$13+$C$17)),IF($C$17&lt;=0,0,IF($C$16=0,MAX($L$227*(1-$C$15),0)/$C$17,-PMT($C$16/12,$C$17*12,MAX($L$227*(1-$C$15),0))*12)),0)+X292*($C$19+$C$20+$C$21)+$C$22+$C$23)</f>
        <v/>
      </c>
      <c r="I292" s="138">
        <f>IF(B292="Working",MIN(MAX(D292-E292-F292-G292-H292,0),'Tax Assumptions'!$B$20),0)</f>
        <v/>
      </c>
      <c r="J292" s="138">
        <f>IF(B292="Working",D292-E292-F292-I292-G292-H292,-L292)</f>
        <v/>
      </c>
      <c r="K292" s="141">
        <f>IF(B292="Retired",$N$227+G292+H292,0)</f>
        <v/>
      </c>
      <c r="L292" s="141">
        <f>M292+N292+O292+P292</f>
        <v/>
      </c>
      <c r="M292" s="141">
        <f>IF(B292="Retired",MIN(((Q291)*(1+$C$10)+IF(B292="Working",J292,0)),K292),0)</f>
        <v/>
      </c>
      <c r="N292" s="141">
        <f>IF(B292="Retired",MIN(MAX(K292-M292,0),((R291)*(1+$C$10)+IF(B292="Working",E115,0))),0)</f>
        <v/>
      </c>
      <c r="O292" s="141">
        <f>IF(B292="Retired",MIN(MAX(K292-M292-N292,0),((S291)*(1+$C$10)+IF(B292="Working",I292,0))),0)</f>
        <v/>
      </c>
      <c r="P292" s="141">
        <f>IF(B292="Retired",MIN(MAX(K292-M292-N292-O292,0),((T291)*(1+$C$10)+IF(B292="Working",F115,0))),0)</f>
        <v/>
      </c>
      <c r="Q292" s="138">
        <f>MAX(((Q291)*(1+$C$10)+IF(B292="Working",J292,0))-M292,0)</f>
        <v/>
      </c>
      <c r="R292" s="138">
        <f>MAX(((R291)*(1+$C$10)+IF(B292="Working",E115,0))-N292,0)</f>
        <v/>
      </c>
      <c r="S292" s="138">
        <f>MAX(((S291)*(1+$C$10)+IF(B292="Working",I292,0))-O292,0)</f>
        <v/>
      </c>
      <c r="T292" s="138">
        <f>MAX(((T291)*(1+$C$10)+IF(B292="Working",F115,0))-P292,0)</f>
        <v/>
      </c>
      <c r="U292" s="138">
        <f>Q292+R292+S292+T292</f>
        <v/>
      </c>
      <c r="V292" s="138">
        <f>IF(B292="Working",MAX(-(((Q291)*(1+$C$10)+IF(B292="Working",J292,0))),0),MAX(K292-L292,0))</f>
        <v/>
      </c>
      <c r="W292" s="138">
        <f>IF(OR(A292&gt;=$C$13,B292="Retired"),IF(V292&gt;0,-V292,U292-'Model Inputs'!$B$18),"")</f>
        <v/>
      </c>
      <c r="X292" s="138">
        <f>IF(AND($L$227&gt;0,A292&gt;=$C$13),$L$227*(1+$C$25)^(A292-$C$13),0)</f>
        <v/>
      </c>
      <c r="Y292" s="138">
        <f>IF(OR($L$227&lt;=0,$C$17&lt;=0,A292&lt;$C$13,MIN(MAX((A292-$C$13+1)*12,0),$C$17*12)&gt;=$C$17*12),0,IF($C$16=0,MAX(MAX($L$227*(1-$C$15),0)-(IF($C$17&lt;=0,0,IF($C$16=0,MAX($L$227*(1-$C$15),0)/$C$17,-PMT($C$16/12,$C$17*12,MAX($L$227*(1-$C$15),0))*12))/12)*MIN(MAX((A292-$C$13+1)*12,0),$C$17*12),0),MAX(MAX($L$227*(1-$C$15),0)*(1+$C$16/12)^MIN(MAX((A292-$C$13+1)*12,0),$C$17*12)-(IF($C$17&lt;=0,0,IF($C$16=0,MAX($L$227*(1-$C$15),0)/$C$17,-PMT($C$16/12,$C$17*12,MAX($L$227*(1-$C$15),0))*12))/12)*(((1+$C$16/12)^MIN(MAX((A292-$C$13+1)*12,0),$C$17*12)-1)/($C$16/12)),0)))</f>
        <v/>
      </c>
      <c r="Z292" s="138">
        <f>MAX(X292-Y292,0)</f>
        <v/>
      </c>
      <c r="AA292" s="142">
        <f>U292+Z292</f>
        <v/>
      </c>
      <c r="AB292" s="5" t="n"/>
      <c r="AC292" s="5" t="n"/>
      <c r="AD292" s="5" t="n"/>
      <c r="AE292" s="5" t="n"/>
      <c r="AF292" s="5" t="n"/>
      <c r="AG292" s="5" t="n"/>
    </row>
    <row r="293" outlineLevel="1" s="326">
      <c r="A293" s="136" t="n">
        <v>37</v>
      </c>
      <c r="B293" s="72">
        <f>B116</f>
        <v/>
      </c>
      <c r="C293" s="137">
        <f>D116</f>
        <v/>
      </c>
      <c r="D293" s="137">
        <f>I116</f>
        <v/>
      </c>
      <c r="E293" s="137">
        <f>J116</f>
        <v/>
      </c>
      <c r="F293" s="137">
        <f>K116</f>
        <v/>
      </c>
      <c r="G293" s="138">
        <f>IF(AND($L$227&gt;0,A293=$C$13),$L$227*($C$15+$C$18),0)+IF(AND($L$227&gt;0,A293=$C$13),$C$24,0)</f>
        <v/>
      </c>
      <c r="H293" s="138">
        <f>IF(OR($L$227&lt;=0,A293&lt;$C$13),0,IF(AND($L$227&gt;0,$C$17&gt;0,A293&gt;=$C$13,A293&lt;($C$13+$C$17)),IF($C$17&lt;=0,0,IF($C$16=0,MAX($L$227*(1-$C$15),0)/$C$17,-PMT($C$16/12,$C$17*12,MAX($L$227*(1-$C$15),0))*12)),0)+X293*($C$19+$C$20+$C$21)+$C$22+$C$23)</f>
        <v/>
      </c>
      <c r="I293" s="138">
        <f>IF(B293="Working",MIN(MAX(D293-E293-F293-G293-H293,0),'Tax Assumptions'!$B$20),0)</f>
        <v/>
      </c>
      <c r="J293" s="138">
        <f>IF(B293="Working",D293-E293-F293-I293-G293-H293,-L293)</f>
        <v/>
      </c>
      <c r="K293" s="137">
        <f>IF(B293="Retired",$N$227+G293+H293,0)</f>
        <v/>
      </c>
      <c r="L293" s="137">
        <f>M293+N293+O293+P293</f>
        <v/>
      </c>
      <c r="M293" s="137">
        <f>IF(B293="Retired",MIN(((Q292)*(1+$C$10)+IF(B293="Working",J293,0)),K293),0)</f>
        <v/>
      </c>
      <c r="N293" s="137">
        <f>IF(B293="Retired",MIN(MAX(K293-M293,0),((R292)*(1+$C$10)+IF(B293="Working",E116,0))),0)</f>
        <v/>
      </c>
      <c r="O293" s="137">
        <f>IF(B293="Retired",MIN(MAX(K293-M293-N293,0),((S292)*(1+$C$10)+IF(B293="Working",I293,0))),0)</f>
        <v/>
      </c>
      <c r="P293" s="137">
        <f>IF(B293="Retired",MIN(MAX(K293-M293-N293-O293,0),((T292)*(1+$C$10)+IF(B293="Working",F116,0))),0)</f>
        <v/>
      </c>
      <c r="Q293" s="138">
        <f>MAX(((Q292)*(1+$C$10)+IF(B293="Working",J293,0))-M293,0)</f>
        <v/>
      </c>
      <c r="R293" s="138">
        <f>MAX(((R292)*(1+$C$10)+IF(B293="Working",E116,0))-N293,0)</f>
        <v/>
      </c>
      <c r="S293" s="138">
        <f>MAX(((S292)*(1+$C$10)+IF(B293="Working",I293,0))-O293,0)</f>
        <v/>
      </c>
      <c r="T293" s="138">
        <f>MAX(((T292)*(1+$C$10)+IF(B293="Working",F116,0))-P293,0)</f>
        <v/>
      </c>
      <c r="U293" s="138">
        <f>Q293+R293+S293+T293</f>
        <v/>
      </c>
      <c r="V293" s="138">
        <f>IF(B293="Working",MAX(-(((Q292)*(1+$C$10)+IF(B293="Working",J293,0))),0),MAX(K293-L293,0))</f>
        <v/>
      </c>
      <c r="W293" s="138">
        <f>IF(OR(A293&gt;=$C$13,B293="Retired"),IF(V293&gt;0,-V293,U293-'Model Inputs'!$B$18),"")</f>
        <v/>
      </c>
      <c r="X293" s="138">
        <f>IF(AND($L$227&gt;0,A293&gt;=$C$13),$L$227*(1+$C$25)^(A293-$C$13),0)</f>
        <v/>
      </c>
      <c r="Y293" s="138">
        <f>IF(OR($L$227&lt;=0,$C$17&lt;=0,A293&lt;$C$13,MIN(MAX((A293-$C$13+1)*12,0),$C$17*12)&gt;=$C$17*12),0,IF($C$16=0,MAX(MAX($L$227*(1-$C$15),0)-(IF($C$17&lt;=0,0,IF($C$16=0,MAX($L$227*(1-$C$15),0)/$C$17,-PMT($C$16/12,$C$17*12,MAX($L$227*(1-$C$15),0))*12))/12)*MIN(MAX((A293-$C$13+1)*12,0),$C$17*12),0),MAX(MAX($L$227*(1-$C$15),0)*(1+$C$16/12)^MIN(MAX((A293-$C$13+1)*12,0),$C$17*12)-(IF($C$17&lt;=0,0,IF($C$16=0,MAX($L$227*(1-$C$15),0)/$C$17,-PMT($C$16/12,$C$17*12,MAX($L$227*(1-$C$15),0))*12))/12)*(((1+$C$16/12)^MIN(MAX((A293-$C$13+1)*12,0),$C$17*12)-1)/($C$16/12)),0)))</f>
        <v/>
      </c>
      <c r="Z293" s="138">
        <f>MAX(X293-Y293,0)</f>
        <v/>
      </c>
      <c r="AA293" s="139">
        <f>U293+Z293</f>
        <v/>
      </c>
      <c r="AB293" s="5" t="n"/>
      <c r="AC293" s="5" t="n"/>
      <c r="AD293" s="5" t="n"/>
      <c r="AE293" s="5" t="n"/>
      <c r="AF293" s="5" t="n"/>
      <c r="AG293" s="5" t="n"/>
    </row>
    <row r="294" outlineLevel="1" s="326">
      <c r="A294" s="140" t="n">
        <v>38</v>
      </c>
      <c r="B294" s="40">
        <f>B117</f>
        <v/>
      </c>
      <c r="C294" s="141">
        <f>D117</f>
        <v/>
      </c>
      <c r="D294" s="141">
        <f>I117</f>
        <v/>
      </c>
      <c r="E294" s="141">
        <f>J117</f>
        <v/>
      </c>
      <c r="F294" s="141">
        <f>K117</f>
        <v/>
      </c>
      <c r="G294" s="138">
        <f>IF(AND($L$227&gt;0,A294=$C$13),$L$227*($C$15+$C$18),0)+IF(AND($L$227&gt;0,A294=$C$13),$C$24,0)</f>
        <v/>
      </c>
      <c r="H294" s="138">
        <f>IF(OR($L$227&lt;=0,A294&lt;$C$13),0,IF(AND($L$227&gt;0,$C$17&gt;0,A294&gt;=$C$13,A294&lt;($C$13+$C$17)),IF($C$17&lt;=0,0,IF($C$16=0,MAX($L$227*(1-$C$15),0)/$C$17,-PMT($C$16/12,$C$17*12,MAX($L$227*(1-$C$15),0))*12)),0)+X294*($C$19+$C$20+$C$21)+$C$22+$C$23)</f>
        <v/>
      </c>
      <c r="I294" s="138">
        <f>IF(B294="Working",MIN(MAX(D294-E294-F294-G294-H294,0),'Tax Assumptions'!$B$20),0)</f>
        <v/>
      </c>
      <c r="J294" s="138">
        <f>IF(B294="Working",D294-E294-F294-I294-G294-H294,-L294)</f>
        <v/>
      </c>
      <c r="K294" s="141">
        <f>IF(B294="Retired",$N$227+G294+H294,0)</f>
        <v/>
      </c>
      <c r="L294" s="141">
        <f>M294+N294+O294+P294</f>
        <v/>
      </c>
      <c r="M294" s="141">
        <f>IF(B294="Retired",MIN(((Q293)*(1+$C$10)+IF(B294="Working",J294,0)),K294),0)</f>
        <v/>
      </c>
      <c r="N294" s="141">
        <f>IF(B294="Retired",MIN(MAX(K294-M294,0),((R293)*(1+$C$10)+IF(B294="Working",E117,0))),0)</f>
        <v/>
      </c>
      <c r="O294" s="141">
        <f>IF(B294="Retired",MIN(MAX(K294-M294-N294,0),((S293)*(1+$C$10)+IF(B294="Working",I294,0))),0)</f>
        <v/>
      </c>
      <c r="P294" s="141">
        <f>IF(B294="Retired",MIN(MAX(K294-M294-N294-O294,0),((T293)*(1+$C$10)+IF(B294="Working",F117,0))),0)</f>
        <v/>
      </c>
      <c r="Q294" s="138">
        <f>MAX(((Q293)*(1+$C$10)+IF(B294="Working",J294,0))-M294,0)</f>
        <v/>
      </c>
      <c r="R294" s="138">
        <f>MAX(((R293)*(1+$C$10)+IF(B294="Working",E117,0))-N294,0)</f>
        <v/>
      </c>
      <c r="S294" s="138">
        <f>MAX(((S293)*(1+$C$10)+IF(B294="Working",I294,0))-O294,0)</f>
        <v/>
      </c>
      <c r="T294" s="138">
        <f>MAX(((T293)*(1+$C$10)+IF(B294="Working",F117,0))-P294,0)</f>
        <v/>
      </c>
      <c r="U294" s="138">
        <f>Q294+R294+S294+T294</f>
        <v/>
      </c>
      <c r="V294" s="138">
        <f>IF(B294="Working",MAX(-(((Q293)*(1+$C$10)+IF(B294="Working",J294,0))),0),MAX(K294-L294,0))</f>
        <v/>
      </c>
      <c r="W294" s="138">
        <f>IF(OR(A294&gt;=$C$13,B294="Retired"),IF(V294&gt;0,-V294,U294-'Model Inputs'!$B$18),"")</f>
        <v/>
      </c>
      <c r="X294" s="138">
        <f>IF(AND($L$227&gt;0,A294&gt;=$C$13),$L$227*(1+$C$25)^(A294-$C$13),0)</f>
        <v/>
      </c>
      <c r="Y294" s="138">
        <f>IF(OR($L$227&lt;=0,$C$17&lt;=0,A294&lt;$C$13,MIN(MAX((A294-$C$13+1)*12,0),$C$17*12)&gt;=$C$17*12),0,IF($C$16=0,MAX(MAX($L$227*(1-$C$15),0)-(IF($C$17&lt;=0,0,IF($C$16=0,MAX($L$227*(1-$C$15),0)/$C$17,-PMT($C$16/12,$C$17*12,MAX($L$227*(1-$C$15),0))*12))/12)*MIN(MAX((A294-$C$13+1)*12,0),$C$17*12),0),MAX(MAX($L$227*(1-$C$15),0)*(1+$C$16/12)^MIN(MAX((A294-$C$13+1)*12,0),$C$17*12)-(IF($C$17&lt;=0,0,IF($C$16=0,MAX($L$227*(1-$C$15),0)/$C$17,-PMT($C$16/12,$C$17*12,MAX($L$227*(1-$C$15),0))*12))/12)*(((1+$C$16/12)^MIN(MAX((A294-$C$13+1)*12,0),$C$17*12)-1)/($C$16/12)),0)))</f>
        <v/>
      </c>
      <c r="Z294" s="138">
        <f>MAX(X294-Y294,0)</f>
        <v/>
      </c>
      <c r="AA294" s="142">
        <f>U294+Z294</f>
        <v/>
      </c>
      <c r="AB294" s="5" t="n"/>
      <c r="AC294" s="5" t="n"/>
      <c r="AD294" s="5" t="n"/>
      <c r="AE294" s="5" t="n"/>
      <c r="AF294" s="5" t="n"/>
      <c r="AG294" s="5" t="n"/>
    </row>
    <row r="295" outlineLevel="1" s="326">
      <c r="A295" s="136" t="n">
        <v>39</v>
      </c>
      <c r="B295" s="72">
        <f>B118</f>
        <v/>
      </c>
      <c r="C295" s="137">
        <f>D118</f>
        <v/>
      </c>
      <c r="D295" s="137">
        <f>I118</f>
        <v/>
      </c>
      <c r="E295" s="137">
        <f>J118</f>
        <v/>
      </c>
      <c r="F295" s="137">
        <f>K118</f>
        <v/>
      </c>
      <c r="G295" s="138">
        <f>IF(AND($L$227&gt;0,A295=$C$13),$L$227*($C$15+$C$18),0)+IF(AND($L$227&gt;0,A295=$C$13),$C$24,0)</f>
        <v/>
      </c>
      <c r="H295" s="138">
        <f>IF(OR($L$227&lt;=0,A295&lt;$C$13),0,IF(AND($L$227&gt;0,$C$17&gt;0,A295&gt;=$C$13,A295&lt;($C$13+$C$17)),IF($C$17&lt;=0,0,IF($C$16=0,MAX($L$227*(1-$C$15),0)/$C$17,-PMT($C$16/12,$C$17*12,MAX($L$227*(1-$C$15),0))*12)),0)+X295*($C$19+$C$20+$C$21)+$C$22+$C$23)</f>
        <v/>
      </c>
      <c r="I295" s="138">
        <f>IF(B295="Working",MIN(MAX(D295-E295-F295-G295-H295,0),'Tax Assumptions'!$B$20),0)</f>
        <v/>
      </c>
      <c r="J295" s="138">
        <f>IF(B295="Working",D295-E295-F295-I295-G295-H295,-L295)</f>
        <v/>
      </c>
      <c r="K295" s="137">
        <f>IF(B295="Retired",$N$227+G295+H295,0)</f>
        <v/>
      </c>
      <c r="L295" s="137">
        <f>M295+N295+O295+P295</f>
        <v/>
      </c>
      <c r="M295" s="137">
        <f>IF(B295="Retired",MIN(((Q294)*(1+$C$10)+IF(B295="Working",J295,0)),K295),0)</f>
        <v/>
      </c>
      <c r="N295" s="137">
        <f>IF(B295="Retired",MIN(MAX(K295-M295,0),((R294)*(1+$C$10)+IF(B295="Working",E118,0))),0)</f>
        <v/>
      </c>
      <c r="O295" s="137">
        <f>IF(B295="Retired",MIN(MAX(K295-M295-N295,0),((S294)*(1+$C$10)+IF(B295="Working",I295,0))),0)</f>
        <v/>
      </c>
      <c r="P295" s="137">
        <f>IF(B295="Retired",MIN(MAX(K295-M295-N295-O295,0),((T294)*(1+$C$10)+IF(B295="Working",F118,0))),0)</f>
        <v/>
      </c>
      <c r="Q295" s="138">
        <f>MAX(((Q294)*(1+$C$10)+IF(B295="Working",J295,0))-M295,0)</f>
        <v/>
      </c>
      <c r="R295" s="138">
        <f>MAX(((R294)*(1+$C$10)+IF(B295="Working",E118,0))-N295,0)</f>
        <v/>
      </c>
      <c r="S295" s="138">
        <f>MAX(((S294)*(1+$C$10)+IF(B295="Working",I295,0))-O295,0)</f>
        <v/>
      </c>
      <c r="T295" s="138">
        <f>MAX(((T294)*(1+$C$10)+IF(B295="Working",F118,0))-P295,0)</f>
        <v/>
      </c>
      <c r="U295" s="138">
        <f>Q295+R295+S295+T295</f>
        <v/>
      </c>
      <c r="V295" s="138">
        <f>IF(B295="Working",MAX(-(((Q294)*(1+$C$10)+IF(B295="Working",J295,0))),0),MAX(K295-L295,0))</f>
        <v/>
      </c>
      <c r="W295" s="138">
        <f>IF(OR(A295&gt;=$C$13,B295="Retired"),IF(V295&gt;0,-V295,U295-'Model Inputs'!$B$18),"")</f>
        <v/>
      </c>
      <c r="X295" s="138">
        <f>IF(AND($L$227&gt;0,A295&gt;=$C$13),$L$227*(1+$C$25)^(A295-$C$13),0)</f>
        <v/>
      </c>
      <c r="Y295" s="138">
        <f>IF(OR($L$227&lt;=0,$C$17&lt;=0,A295&lt;$C$13,MIN(MAX((A295-$C$13+1)*12,0),$C$17*12)&gt;=$C$17*12),0,IF($C$16=0,MAX(MAX($L$227*(1-$C$15),0)-(IF($C$17&lt;=0,0,IF($C$16=0,MAX($L$227*(1-$C$15),0)/$C$17,-PMT($C$16/12,$C$17*12,MAX($L$227*(1-$C$15),0))*12))/12)*MIN(MAX((A295-$C$13+1)*12,0),$C$17*12),0),MAX(MAX($L$227*(1-$C$15),0)*(1+$C$16/12)^MIN(MAX((A295-$C$13+1)*12,0),$C$17*12)-(IF($C$17&lt;=0,0,IF($C$16=0,MAX($L$227*(1-$C$15),0)/$C$17,-PMT($C$16/12,$C$17*12,MAX($L$227*(1-$C$15),0))*12))/12)*(((1+$C$16/12)^MIN(MAX((A295-$C$13+1)*12,0),$C$17*12)-1)/($C$16/12)),0)))</f>
        <v/>
      </c>
      <c r="Z295" s="138">
        <f>MAX(X295-Y295,0)</f>
        <v/>
      </c>
      <c r="AA295" s="139">
        <f>U295+Z295</f>
        <v/>
      </c>
      <c r="AB295" s="5" t="n"/>
      <c r="AC295" s="5" t="n"/>
      <c r="AD295" s="5" t="n"/>
      <c r="AE295" s="5" t="n"/>
      <c r="AF295" s="5" t="n"/>
      <c r="AG295" s="5" t="n"/>
    </row>
    <row r="296" outlineLevel="1" s="326">
      <c r="A296" s="140" t="n">
        <v>40</v>
      </c>
      <c r="B296" s="40">
        <f>B119</f>
        <v/>
      </c>
      <c r="C296" s="141">
        <f>D119</f>
        <v/>
      </c>
      <c r="D296" s="141">
        <f>I119</f>
        <v/>
      </c>
      <c r="E296" s="141">
        <f>J119</f>
        <v/>
      </c>
      <c r="F296" s="141">
        <f>K119</f>
        <v/>
      </c>
      <c r="G296" s="138">
        <f>IF(AND($L$227&gt;0,A296=$C$13),$L$227*($C$15+$C$18),0)+IF(AND($L$227&gt;0,A296=$C$13),$C$24,0)</f>
        <v/>
      </c>
      <c r="H296" s="138">
        <f>IF(OR($L$227&lt;=0,A296&lt;$C$13),0,IF(AND($L$227&gt;0,$C$17&gt;0,A296&gt;=$C$13,A296&lt;($C$13+$C$17)),IF($C$17&lt;=0,0,IF($C$16=0,MAX($L$227*(1-$C$15),0)/$C$17,-PMT($C$16/12,$C$17*12,MAX($L$227*(1-$C$15),0))*12)),0)+X296*($C$19+$C$20+$C$21)+$C$22+$C$23)</f>
        <v/>
      </c>
      <c r="I296" s="138">
        <f>IF(B296="Working",MIN(MAX(D296-E296-F296-G296-H296,0),'Tax Assumptions'!$B$20),0)</f>
        <v/>
      </c>
      <c r="J296" s="138">
        <f>IF(B296="Working",D296-E296-F296-I296-G296-H296,-L296)</f>
        <v/>
      </c>
      <c r="K296" s="141">
        <f>IF(B296="Retired",$N$227+G296+H296,0)</f>
        <v/>
      </c>
      <c r="L296" s="141">
        <f>M296+N296+O296+P296</f>
        <v/>
      </c>
      <c r="M296" s="141">
        <f>IF(B296="Retired",MIN(((Q295)*(1+$C$10)+IF(B296="Working",J296,0)),K296),0)</f>
        <v/>
      </c>
      <c r="N296" s="141">
        <f>IF(B296="Retired",MIN(MAX(K296-M296,0),((R295)*(1+$C$10)+IF(B296="Working",E119,0))),0)</f>
        <v/>
      </c>
      <c r="O296" s="141">
        <f>IF(B296="Retired",MIN(MAX(K296-M296-N296,0),((S295)*(1+$C$10)+IF(B296="Working",I296,0))),0)</f>
        <v/>
      </c>
      <c r="P296" s="141">
        <f>IF(B296="Retired",MIN(MAX(K296-M296-N296-O296,0),((T295)*(1+$C$10)+IF(B296="Working",F119,0))),0)</f>
        <v/>
      </c>
      <c r="Q296" s="138">
        <f>MAX(((Q295)*(1+$C$10)+IF(B296="Working",J296,0))-M296,0)</f>
        <v/>
      </c>
      <c r="R296" s="138">
        <f>MAX(((R295)*(1+$C$10)+IF(B296="Working",E119,0))-N296,0)</f>
        <v/>
      </c>
      <c r="S296" s="138">
        <f>MAX(((S295)*(1+$C$10)+IF(B296="Working",I296,0))-O296,0)</f>
        <v/>
      </c>
      <c r="T296" s="138">
        <f>MAX(((T295)*(1+$C$10)+IF(B296="Working",F119,0))-P296,0)</f>
        <v/>
      </c>
      <c r="U296" s="138">
        <f>Q296+R296+S296+T296</f>
        <v/>
      </c>
      <c r="V296" s="138">
        <f>IF(B296="Working",MAX(-(((Q295)*(1+$C$10)+IF(B296="Working",J296,0))),0),MAX(K296-L296,0))</f>
        <v/>
      </c>
      <c r="W296" s="138">
        <f>IF(OR(A296&gt;=$C$13,B296="Retired"),IF(V296&gt;0,-V296,U296-'Model Inputs'!$B$18),"")</f>
        <v/>
      </c>
      <c r="X296" s="138">
        <f>IF(AND($L$227&gt;0,A296&gt;=$C$13),$L$227*(1+$C$25)^(A296-$C$13),0)</f>
        <v/>
      </c>
      <c r="Y296" s="138">
        <f>IF(OR($L$227&lt;=0,$C$17&lt;=0,A296&lt;$C$13,MIN(MAX((A296-$C$13+1)*12,0),$C$17*12)&gt;=$C$17*12),0,IF($C$16=0,MAX(MAX($L$227*(1-$C$15),0)-(IF($C$17&lt;=0,0,IF($C$16=0,MAX($L$227*(1-$C$15),0)/$C$17,-PMT($C$16/12,$C$17*12,MAX($L$227*(1-$C$15),0))*12))/12)*MIN(MAX((A296-$C$13+1)*12,0),$C$17*12),0),MAX(MAX($L$227*(1-$C$15),0)*(1+$C$16/12)^MIN(MAX((A296-$C$13+1)*12,0),$C$17*12)-(IF($C$17&lt;=0,0,IF($C$16=0,MAX($L$227*(1-$C$15),0)/$C$17,-PMT($C$16/12,$C$17*12,MAX($L$227*(1-$C$15),0))*12))/12)*(((1+$C$16/12)^MIN(MAX((A296-$C$13+1)*12,0),$C$17*12)-1)/($C$16/12)),0)))</f>
        <v/>
      </c>
      <c r="Z296" s="138">
        <f>MAX(X296-Y296,0)</f>
        <v/>
      </c>
      <c r="AA296" s="142">
        <f>U296+Z296</f>
        <v/>
      </c>
      <c r="AB296" s="5" t="n"/>
      <c r="AC296" s="5" t="n"/>
      <c r="AD296" s="5" t="n"/>
      <c r="AE296" s="5" t="n"/>
      <c r="AF296" s="5" t="n"/>
      <c r="AG296" s="5" t="n"/>
    </row>
    <row r="297" outlineLevel="1" s="326">
      <c r="A297" s="143" t="inlineStr">
        <is>
          <t>Case Summary</t>
        </is>
      </c>
      <c r="B297" s="144" t="n"/>
      <c r="C297" s="144" t="n"/>
      <c r="D297" s="144" t="n"/>
      <c r="E297" s="144" t="n"/>
      <c r="F297" s="144" t="n"/>
      <c r="G297" s="145">
        <f>SUM(G257:G296)</f>
        <v/>
      </c>
      <c r="H297" s="145">
        <f>SUM(H257:H296)</f>
        <v/>
      </c>
      <c r="I297" s="145">
        <f>SUM(I257:I296)</f>
        <v/>
      </c>
      <c r="J297" s="145">
        <f>SUM(J257:J296)</f>
        <v/>
      </c>
      <c r="K297" s="145">
        <f>SUM(K257:K296)</f>
        <v/>
      </c>
      <c r="L297" s="145">
        <f>SUM(L257:L296)</f>
        <v/>
      </c>
      <c r="M297" s="145">
        <f>SUM(M257:M296)</f>
        <v/>
      </c>
      <c r="N297" s="145">
        <f>SUM(N257:N296)</f>
        <v/>
      </c>
      <c r="O297" s="145">
        <f>SUM(O257:O296)</f>
        <v/>
      </c>
      <c r="P297" s="145">
        <f>SUM(P257:P296)</f>
        <v/>
      </c>
      <c r="Q297" s="145">
        <f>Q296</f>
        <v/>
      </c>
      <c r="R297" s="145">
        <f>R296</f>
        <v/>
      </c>
      <c r="S297" s="145">
        <f>S296</f>
        <v/>
      </c>
      <c r="T297" s="145">
        <f>T296</f>
        <v/>
      </c>
      <c r="U297" s="145">
        <f>U296</f>
        <v/>
      </c>
      <c r="V297" s="145">
        <f>SUM(V257:V296)</f>
        <v/>
      </c>
      <c r="W297" s="145">
        <f>MIN(W257:W296)</f>
        <v/>
      </c>
      <c r="X297" s="145">
        <f>X296</f>
        <v/>
      </c>
      <c r="Y297" s="145">
        <f>Y296</f>
        <v/>
      </c>
      <c r="Z297" s="145">
        <f>Z296</f>
        <v/>
      </c>
      <c r="AA297" s="146">
        <f>AA296</f>
        <v/>
      </c>
      <c r="AB297" s="5" t="n"/>
      <c r="AC297" s="5" t="n"/>
      <c r="AD297" s="5" t="n"/>
      <c r="AE297" s="5" t="n"/>
      <c r="AF297" s="5" t="n"/>
      <c r="AG297" s="5" t="n"/>
    </row>
    <row r="298" outlineLevel="1" s="326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</row>
    <row r="299" outlineLevel="1" s="326">
      <c r="A299" s="387">
        <f>J228&amp;" | House "&amp;TEXT($L$228,"$#,##0")&amp;" | Spend "&amp;TEXT($N$228,"$#,##0")</f>
        <v/>
      </c>
      <c r="B299" s="345" t="n"/>
      <c r="C299" s="345" t="n"/>
      <c r="D299" s="345" t="n"/>
      <c r="E299" s="345" t="n"/>
      <c r="F299" s="345" t="n"/>
      <c r="G299" s="345" t="n"/>
      <c r="H299" s="345" t="n"/>
      <c r="I299" s="345" t="n"/>
      <c r="J299" s="345" t="n"/>
      <c r="K299" s="345" t="n"/>
      <c r="L299" s="345" t="n"/>
      <c r="M299" s="345" t="n"/>
      <c r="N299" s="345" t="n"/>
      <c r="O299" s="345" t="n"/>
      <c r="P299" s="345" t="n"/>
      <c r="Q299" s="345" t="n"/>
      <c r="R299" s="345" t="n"/>
      <c r="S299" s="345" t="n"/>
      <c r="T299" s="345" t="n"/>
      <c r="U299" s="345" t="n"/>
      <c r="V299" s="345" t="n"/>
      <c r="W299" s="345" t="n"/>
      <c r="X299" s="345" t="n"/>
      <c r="Y299" s="345" t="n"/>
      <c r="Z299" s="345" t="n"/>
      <c r="AA299" s="346" t="n"/>
      <c r="AB299" s="5" t="n"/>
      <c r="AC299" s="5" t="n"/>
      <c r="AD299" s="5" t="n"/>
      <c r="AE299" s="5" t="n"/>
      <c r="AF299" s="5" t="n"/>
      <c r="AG299" s="5" t="n"/>
    </row>
    <row r="300" outlineLevel="1" ht="34" customHeight="1" s="326">
      <c r="A300" s="134" t="inlineStr">
        <is>
          <t>Year</t>
        </is>
      </c>
      <c r="B300" s="83" t="inlineStr">
        <is>
          <t>Phase</t>
        </is>
      </c>
      <c r="C300" s="83" t="inlineStr">
        <is>
          <t>Gross</t>
        </is>
      </c>
      <c r="D300" s="83" t="inlineStr">
        <is>
          <t>Post-Tax Cash</t>
        </is>
      </c>
      <c r="E300" s="83" t="inlineStr">
        <is>
          <t>Rent</t>
        </is>
      </c>
      <c r="F300" s="83" t="inlineStr">
        <is>
          <t>Living</t>
        </is>
      </c>
      <c r="G300" s="83" t="inlineStr">
        <is>
          <t>House Cash</t>
        </is>
      </c>
      <c r="H300" s="83" t="inlineStr">
        <is>
          <t>Housing Carry</t>
        </is>
      </c>
      <c r="I300" s="83" t="inlineStr">
        <is>
          <t>Roth</t>
        </is>
      </c>
      <c r="J300" s="83" t="inlineStr">
        <is>
          <t>Taxable Sav / (Draw)</t>
        </is>
      </c>
      <c r="K300" s="83" t="inlineStr">
        <is>
          <t>Planned Need</t>
        </is>
      </c>
      <c r="L300" s="83" t="inlineStr">
        <is>
          <t>Actual W/D</t>
        </is>
      </c>
      <c r="M300" s="83" t="inlineStr">
        <is>
          <t>Taxable Draw</t>
        </is>
      </c>
      <c r="N300" s="83" t="inlineStr">
        <is>
          <t>401(k) Draw</t>
        </is>
      </c>
      <c r="O300" s="83" t="inlineStr">
        <is>
          <t>Roth Draw</t>
        </is>
      </c>
      <c r="P300" s="83" t="inlineStr">
        <is>
          <t>HSA Draw</t>
        </is>
      </c>
      <c r="Q300" s="83" t="inlineStr">
        <is>
          <t>Taxable Bal</t>
        </is>
      </c>
      <c r="R300" s="83" t="inlineStr">
        <is>
          <t>401(k) Bal</t>
        </is>
      </c>
      <c r="S300" s="83" t="inlineStr">
        <is>
          <t>Roth Bal</t>
        </is>
      </c>
      <c r="T300" s="83" t="inlineStr">
        <is>
          <t>HSA Bal</t>
        </is>
      </c>
      <c r="U300" s="83" t="inlineStr">
        <is>
          <t>Liquid Wealth</t>
        </is>
      </c>
      <c r="V300" s="83" t="inlineStr">
        <is>
          <t>Funding Gap</t>
        </is>
      </c>
      <c r="W300" s="83" t="inlineStr">
        <is>
          <t>Margin vs Reserve</t>
        </is>
      </c>
      <c r="X300" s="83" t="inlineStr">
        <is>
          <t>House Value</t>
        </is>
      </c>
      <c r="Y300" s="83" t="inlineStr">
        <is>
          <t>Mortgage Balance</t>
        </is>
      </c>
      <c r="Z300" s="83" t="inlineStr">
        <is>
          <t>Home Equity</t>
        </is>
      </c>
      <c r="AA300" s="135" t="inlineStr">
        <is>
          <t>Net Worth</t>
        </is>
      </c>
      <c r="AB300" s="5" t="n"/>
      <c r="AC300" s="5" t="n"/>
      <c r="AD300" s="5" t="n"/>
      <c r="AE300" s="5" t="n"/>
      <c r="AF300" s="5" t="n"/>
      <c r="AG300" s="5" t="n"/>
    </row>
    <row r="301" outlineLevel="1" s="326">
      <c r="A301" s="136" t="n">
        <v>1</v>
      </c>
      <c r="B301" s="72">
        <f>B80</f>
        <v/>
      </c>
      <c r="C301" s="137">
        <f>D80</f>
        <v/>
      </c>
      <c r="D301" s="137">
        <f>I80</f>
        <v/>
      </c>
      <c r="E301" s="137">
        <f>J80</f>
        <v/>
      </c>
      <c r="F301" s="137">
        <f>K80</f>
        <v/>
      </c>
      <c r="G301" s="138">
        <f>IF(AND($L$228&gt;0,A301=$C$13),$L$228*($C$15+$C$18),0)+IF(AND($L$228&gt;0,A301=$C$13),$C$24,0)</f>
        <v/>
      </c>
      <c r="H301" s="138">
        <f>IF(OR($L$228&lt;=0,A301&lt;$C$13),0,IF(AND($L$228&gt;0,$C$17&gt;0,A301&gt;=$C$13,A301&lt;($C$13+$C$17)),IF($C$17&lt;=0,0,IF($C$16=0,MAX($L$228*(1-$C$15),0)/$C$17,-PMT($C$16/12,$C$17*12,MAX($L$228*(1-$C$15),0))*12)),0)+X301*($C$19+$C$20+$C$21)+$C$22+$C$23)</f>
        <v/>
      </c>
      <c r="I301" s="138">
        <f>IF(B301="Working",MIN(MAX(D301-E301-F301-G301-H301,0),'Tax Assumptions'!$B$20),0)</f>
        <v/>
      </c>
      <c r="J301" s="138">
        <f>IF(B301="Working",D301-E301-F301-I301-G301-H301,-L301)</f>
        <v/>
      </c>
      <c r="K301" s="137">
        <f>IF(B301="Retired",$N$228+G301+H301,0)</f>
        <v/>
      </c>
      <c r="L301" s="137">
        <f>M301+N301+O301+P301</f>
        <v/>
      </c>
      <c r="M301" s="137">
        <f>IF(B301="Retired",MIN((('Savings Projection'!$B$7)*(1+$C$10)+IF(B301="Working",J301,0)),K301),0)</f>
        <v/>
      </c>
      <c r="N301" s="137">
        <f>IF(B301="Retired",MIN(MAX(K301-M301,0),(('Savings Projection'!$B$8)*(1+$C$10)+IF(B301="Working",E80,0))),0)</f>
        <v/>
      </c>
      <c r="O301" s="137">
        <f>IF(B301="Retired",MIN(MAX(K301-M301-N301,0),(('Savings Projection'!$B$9)*(1+$C$10)+IF(B301="Working",I301,0))),0)</f>
        <v/>
      </c>
      <c r="P301" s="137">
        <f>IF(B301="Retired",MIN(MAX(K301-M301-N301-O301,0),(('Savings Projection'!$B$10)*(1+$C$10)+IF(B301="Working",F80,0))),0)</f>
        <v/>
      </c>
      <c r="Q301" s="138">
        <f>MAX((('Savings Projection'!$B$7)*(1+$C$10)+IF(B301="Working",J301,0))-M301,0)</f>
        <v/>
      </c>
      <c r="R301" s="138">
        <f>MAX((('Savings Projection'!$B$8)*(1+$C$10)+IF(B301="Working",E80,0))-N301,0)</f>
        <v/>
      </c>
      <c r="S301" s="138">
        <f>MAX((('Savings Projection'!$B$9)*(1+$C$10)+IF(B301="Working",I301,0))-O301,0)</f>
        <v/>
      </c>
      <c r="T301" s="138">
        <f>MAX((('Savings Projection'!$B$10)*(1+$C$10)+IF(B301="Working",F80,0))-P301,0)</f>
        <v/>
      </c>
      <c r="U301" s="138">
        <f>Q301+R301+S301+T301</f>
        <v/>
      </c>
      <c r="V301" s="138">
        <f>IF(B301="Working",MAX(-((('Savings Projection'!$B$7)*(1+$C$10)+IF(B301="Working",J301,0))),0),MAX(K301-L301,0))</f>
        <v/>
      </c>
      <c r="W301" s="138">
        <f>IF(OR(A301&gt;=$C$13,B301="Retired"),IF(V301&gt;0,-V301,U301-'Model Inputs'!$B$18),"")</f>
        <v/>
      </c>
      <c r="X301" s="138">
        <f>IF(AND($L$228&gt;0,A301&gt;=$C$13),$L$228*(1+$C$25)^(A301-$C$13),0)</f>
        <v/>
      </c>
      <c r="Y301" s="138">
        <f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/>
      </c>
      <c r="Z301" s="138">
        <f>MAX(X301-Y301,0)</f>
        <v/>
      </c>
      <c r="AA301" s="139">
        <f>U301+Z301</f>
        <v/>
      </c>
      <c r="AB301" s="5" t="n"/>
      <c r="AC301" s="5" t="n"/>
      <c r="AD301" s="5" t="n"/>
      <c r="AE301" s="5" t="n"/>
      <c r="AF301" s="5" t="n"/>
      <c r="AG301" s="5" t="n"/>
    </row>
    <row r="302" outlineLevel="1" s="326">
      <c r="A302" s="140" t="n">
        <v>2</v>
      </c>
      <c r="B302" s="40">
        <f>B81</f>
        <v/>
      </c>
      <c r="C302" s="141">
        <f>D81</f>
        <v/>
      </c>
      <c r="D302" s="141">
        <f>I81</f>
        <v/>
      </c>
      <c r="E302" s="141">
        <f>J81</f>
        <v/>
      </c>
      <c r="F302" s="141">
        <f>K81</f>
        <v/>
      </c>
      <c r="G302" s="138">
        <f>IF(AND($L$228&gt;0,A302=$C$13),$L$228*($C$15+$C$18),0)+IF(AND($L$228&gt;0,A302=$C$13),$C$24,0)</f>
        <v/>
      </c>
      <c r="H302" s="138">
        <f>IF(OR($L$228&lt;=0,A302&lt;$C$13),0,IF(AND($L$228&gt;0,$C$17&gt;0,A302&gt;=$C$13,A302&lt;($C$13+$C$17)),IF($C$17&lt;=0,0,IF($C$16=0,MAX($L$228*(1-$C$15),0)/$C$17,-PMT($C$16/12,$C$17*12,MAX($L$228*(1-$C$15),0))*12)),0)+X302*($C$19+$C$20+$C$21)+$C$22+$C$23)</f>
        <v/>
      </c>
      <c r="I302" s="138">
        <f>IF(B302="Working",MIN(MAX(D302-E302-F302-G302-H302,0),'Tax Assumptions'!$B$20),0)</f>
        <v/>
      </c>
      <c r="J302" s="138">
        <f>IF(B302="Working",D302-E302-F302-I302-G302-H302,-L302)</f>
        <v/>
      </c>
      <c r="K302" s="141">
        <f>IF(B302="Retired",$N$228+G302+H302,0)</f>
        <v/>
      </c>
      <c r="L302" s="141">
        <f>M302+N302+O302+P302</f>
        <v/>
      </c>
      <c r="M302" s="141">
        <f>IF(B302="Retired",MIN(((Q301)*(1+$C$10)+IF(B302="Working",J302,0)),K302),0)</f>
        <v/>
      </c>
      <c r="N302" s="141">
        <f>IF(B302="Retired",MIN(MAX(K302-M302,0),((R301)*(1+$C$10)+IF(B302="Working",E81,0))),0)</f>
        <v/>
      </c>
      <c r="O302" s="141">
        <f>IF(B302="Retired",MIN(MAX(K302-M302-N302,0),((S301)*(1+$C$10)+IF(B302="Working",I302,0))),0)</f>
        <v/>
      </c>
      <c r="P302" s="141">
        <f>IF(B302="Retired",MIN(MAX(K302-M302-N302-O302,0),((T301)*(1+$C$10)+IF(B302="Working",F81,0))),0)</f>
        <v/>
      </c>
      <c r="Q302" s="138">
        <f>MAX(((Q301)*(1+$C$10)+IF(B302="Working",J302,0))-M302,0)</f>
        <v/>
      </c>
      <c r="R302" s="138">
        <f>MAX(((R301)*(1+$C$10)+IF(B302="Working",E81,0))-N302,0)</f>
        <v/>
      </c>
      <c r="S302" s="138">
        <f>MAX(((S301)*(1+$C$10)+IF(B302="Working",I302,0))-O302,0)</f>
        <v/>
      </c>
      <c r="T302" s="138">
        <f>MAX(((T301)*(1+$C$10)+IF(B302="Working",F81,0))-P302,0)</f>
        <v/>
      </c>
      <c r="U302" s="138">
        <f>Q302+R302+S302+T302</f>
        <v/>
      </c>
      <c r="V302" s="138">
        <f>IF(B302="Working",MAX(-(((Q301)*(1+$C$10)+IF(B302="Working",J302,0))),0),MAX(K302-L302,0))</f>
        <v/>
      </c>
      <c r="W302" s="138">
        <f>IF(OR(A302&gt;=$C$13,B302="Retired"),IF(V302&gt;0,-V302,U302-'Model Inputs'!$B$18),"")</f>
        <v/>
      </c>
      <c r="X302" s="138">
        <f>IF(AND($L$228&gt;0,A302&gt;=$C$13),$L$228*(1+$C$25)^(A302-$C$13),0)</f>
        <v/>
      </c>
      <c r="Y302" s="138">
        <f>IF(OR($L$228&lt;=0,$C$17&lt;=0,A302&lt;$C$13,MIN(MAX((A302-$C$13+1)*12,0),$C$17*12)&gt;=$C$17*12),0,IF($C$16=0,MAX(MAX($L$228*(1-$C$15),0)-(IF($C$17&lt;=0,0,IF($C$16=0,MAX($L$228*(1-$C$15),0)/$C$17,-PMT($C$16/12,$C$17*12,MAX($L$228*(1-$C$15),0))*12))/12)*MIN(MAX((A302-$C$13+1)*12,0),$C$17*12),0),MAX(MAX($L$228*(1-$C$15),0)*(1+$C$16/12)^MIN(MAX((A302-$C$13+1)*12,0),$C$17*12)-(IF($C$17&lt;=0,0,IF($C$16=0,MAX($L$228*(1-$C$15),0)/$C$17,-PMT($C$16/12,$C$17*12,MAX($L$228*(1-$C$15),0))*12))/12)*(((1+$C$16/12)^MIN(MAX((A302-$C$13+1)*12,0),$C$17*12)-1)/($C$16/12)),0)))</f>
        <v/>
      </c>
      <c r="Z302" s="138">
        <f>MAX(X302-Y302,0)</f>
        <v/>
      </c>
      <c r="AA302" s="142">
        <f>U302+Z302</f>
        <v/>
      </c>
      <c r="AB302" s="5" t="n"/>
      <c r="AC302" s="5" t="n"/>
      <c r="AD302" s="5" t="n"/>
      <c r="AE302" s="5" t="n"/>
      <c r="AF302" s="5" t="n"/>
      <c r="AG302" s="5" t="n"/>
    </row>
    <row r="303" outlineLevel="1" s="326">
      <c r="A303" s="136" t="n">
        <v>3</v>
      </c>
      <c r="B303" s="72">
        <f>B82</f>
        <v/>
      </c>
      <c r="C303" s="137">
        <f>D82</f>
        <v/>
      </c>
      <c r="D303" s="137">
        <f>I82</f>
        <v/>
      </c>
      <c r="E303" s="137">
        <f>J82</f>
        <v/>
      </c>
      <c r="F303" s="137">
        <f>K82</f>
        <v/>
      </c>
      <c r="G303" s="138">
        <f>IF(AND($L$228&gt;0,A303=$C$13),$L$228*($C$15+$C$18),0)+IF(AND($L$228&gt;0,A303=$C$13),$C$24,0)</f>
        <v/>
      </c>
      <c r="H303" s="138">
        <f>IF(OR($L$228&lt;=0,A303&lt;$C$13),0,IF(AND($L$228&gt;0,$C$17&gt;0,A303&gt;=$C$13,A303&lt;($C$13+$C$17)),IF($C$17&lt;=0,0,IF($C$16=0,MAX($L$228*(1-$C$15),0)/$C$17,-PMT($C$16/12,$C$17*12,MAX($L$228*(1-$C$15),0))*12)),0)+X303*($C$19+$C$20+$C$21)+$C$22+$C$23)</f>
        <v/>
      </c>
      <c r="I303" s="138">
        <f>IF(B303="Working",MIN(MAX(D303-E303-F303-G303-H303,0),'Tax Assumptions'!$B$20),0)</f>
        <v/>
      </c>
      <c r="J303" s="138">
        <f>IF(B303="Working",D303-E303-F303-I303-G303-H303,-L303)</f>
        <v/>
      </c>
      <c r="K303" s="137">
        <f>IF(B303="Retired",$N$228+G303+H303,0)</f>
        <v/>
      </c>
      <c r="L303" s="137">
        <f>M303+N303+O303+P303</f>
        <v/>
      </c>
      <c r="M303" s="137">
        <f>IF(B303="Retired",MIN(((Q302)*(1+$C$10)+IF(B303="Working",J303,0)),K303),0)</f>
        <v/>
      </c>
      <c r="N303" s="137">
        <f>IF(B303="Retired",MIN(MAX(K303-M303,0),((R302)*(1+$C$10)+IF(B303="Working",E82,0))),0)</f>
        <v/>
      </c>
      <c r="O303" s="137">
        <f>IF(B303="Retired",MIN(MAX(K303-M303-N303,0),((S302)*(1+$C$10)+IF(B303="Working",I303,0))),0)</f>
        <v/>
      </c>
      <c r="P303" s="137">
        <f>IF(B303="Retired",MIN(MAX(K303-M303-N303-O303,0),((T302)*(1+$C$10)+IF(B303="Working",F82,0))),0)</f>
        <v/>
      </c>
      <c r="Q303" s="138">
        <f>MAX(((Q302)*(1+$C$10)+IF(B303="Working",J303,0))-M303,0)</f>
        <v/>
      </c>
      <c r="R303" s="138">
        <f>MAX(((R302)*(1+$C$10)+IF(B303="Working",E82,0))-N303,0)</f>
        <v/>
      </c>
      <c r="S303" s="138">
        <f>MAX(((S302)*(1+$C$10)+IF(B303="Working",I303,0))-O303,0)</f>
        <v/>
      </c>
      <c r="T303" s="138">
        <f>MAX(((T302)*(1+$C$10)+IF(B303="Working",F82,0))-P303,0)</f>
        <v/>
      </c>
      <c r="U303" s="138">
        <f>Q303+R303+S303+T303</f>
        <v/>
      </c>
      <c r="V303" s="138">
        <f>IF(B303="Working",MAX(-(((Q302)*(1+$C$10)+IF(B303="Working",J303,0))),0),MAX(K303-L303,0))</f>
        <v/>
      </c>
      <c r="W303" s="138">
        <f>IF(OR(A303&gt;=$C$13,B303="Retired"),IF(V303&gt;0,-V303,U303-'Model Inputs'!$B$18),"")</f>
        <v/>
      </c>
      <c r="X303" s="138">
        <f>IF(AND($L$228&gt;0,A303&gt;=$C$13),$L$228*(1+$C$25)^(A303-$C$13),0)</f>
        <v/>
      </c>
      <c r="Y303" s="138">
        <f>IF(OR($L$228&lt;=0,$C$17&lt;=0,A303&lt;$C$13,MIN(MAX((A303-$C$13+1)*12,0),$C$17*12)&gt;=$C$17*12),0,IF($C$16=0,MAX(MAX($L$228*(1-$C$15),0)-(IF($C$17&lt;=0,0,IF($C$16=0,MAX($L$228*(1-$C$15),0)/$C$17,-PMT($C$16/12,$C$17*12,MAX($L$228*(1-$C$15),0))*12))/12)*MIN(MAX((A303-$C$13+1)*12,0),$C$17*12),0),MAX(MAX($L$228*(1-$C$15),0)*(1+$C$16/12)^MIN(MAX((A303-$C$13+1)*12,0),$C$17*12)-(IF($C$17&lt;=0,0,IF($C$16=0,MAX($L$228*(1-$C$15),0)/$C$17,-PMT($C$16/12,$C$17*12,MAX($L$228*(1-$C$15),0))*12))/12)*(((1+$C$16/12)^MIN(MAX((A303-$C$13+1)*12,0),$C$17*12)-1)/($C$16/12)),0)))</f>
        <v/>
      </c>
      <c r="Z303" s="138">
        <f>MAX(X303-Y303,0)</f>
        <v/>
      </c>
      <c r="AA303" s="139">
        <f>U303+Z303</f>
        <v/>
      </c>
      <c r="AB303" s="5" t="n"/>
      <c r="AC303" s="5" t="n"/>
      <c r="AD303" s="5" t="n"/>
      <c r="AE303" s="5" t="n"/>
      <c r="AF303" s="5" t="n"/>
      <c r="AG303" s="5" t="n"/>
    </row>
    <row r="304" outlineLevel="1" s="326">
      <c r="A304" s="140" t="n">
        <v>4</v>
      </c>
      <c r="B304" s="40">
        <f>B83</f>
        <v/>
      </c>
      <c r="C304" s="141">
        <f>D83</f>
        <v/>
      </c>
      <c r="D304" s="141">
        <f>I83</f>
        <v/>
      </c>
      <c r="E304" s="141">
        <f>J83</f>
        <v/>
      </c>
      <c r="F304" s="141">
        <f>K83</f>
        <v/>
      </c>
      <c r="G304" s="138">
        <f>IF(AND($L$228&gt;0,A304=$C$13),$L$228*($C$15+$C$18),0)+IF(AND($L$228&gt;0,A304=$C$13),$C$24,0)</f>
        <v/>
      </c>
      <c r="H304" s="138">
        <f>IF(OR($L$228&lt;=0,A304&lt;$C$13),0,IF(AND($L$228&gt;0,$C$17&gt;0,A304&gt;=$C$13,A304&lt;($C$13+$C$17)),IF($C$17&lt;=0,0,IF($C$16=0,MAX($L$228*(1-$C$15),0)/$C$17,-PMT($C$16/12,$C$17*12,MAX($L$228*(1-$C$15),0))*12)),0)+X304*($C$19+$C$20+$C$21)+$C$22+$C$23)</f>
        <v/>
      </c>
      <c r="I304" s="138">
        <f>IF(B304="Working",MIN(MAX(D304-E304-F304-G304-H304,0),'Tax Assumptions'!$B$20),0)</f>
        <v/>
      </c>
      <c r="J304" s="138">
        <f>IF(B304="Working",D304-E304-F304-I304-G304-H304,-L304)</f>
        <v/>
      </c>
      <c r="K304" s="141">
        <f>IF(B304="Retired",$N$228+G304+H304,0)</f>
        <v/>
      </c>
      <c r="L304" s="141">
        <f>M304+N304+O304+P304</f>
        <v/>
      </c>
      <c r="M304" s="141">
        <f>IF(B304="Retired",MIN(((Q303)*(1+$C$10)+IF(B304="Working",J304,0)),K304),0)</f>
        <v/>
      </c>
      <c r="N304" s="141">
        <f>IF(B304="Retired",MIN(MAX(K304-M304,0),((R303)*(1+$C$10)+IF(B304="Working",E83,0))),0)</f>
        <v/>
      </c>
      <c r="O304" s="141">
        <f>IF(B304="Retired",MIN(MAX(K304-M304-N304,0),((S303)*(1+$C$10)+IF(B304="Working",I304,0))),0)</f>
        <v/>
      </c>
      <c r="P304" s="141">
        <f>IF(B304="Retired",MIN(MAX(K304-M304-N304-O304,0),((T303)*(1+$C$10)+IF(B304="Working",F83,0))),0)</f>
        <v/>
      </c>
      <c r="Q304" s="138">
        <f>MAX(((Q303)*(1+$C$10)+IF(B304="Working",J304,0))-M304,0)</f>
        <v/>
      </c>
      <c r="R304" s="138">
        <f>MAX(((R303)*(1+$C$10)+IF(B304="Working",E83,0))-N304,0)</f>
        <v/>
      </c>
      <c r="S304" s="138">
        <f>MAX(((S303)*(1+$C$10)+IF(B304="Working",I304,0))-O304,0)</f>
        <v/>
      </c>
      <c r="T304" s="138">
        <f>MAX(((T303)*(1+$C$10)+IF(B304="Working",F83,0))-P304,0)</f>
        <v/>
      </c>
      <c r="U304" s="138">
        <f>Q304+R304+S304+T304</f>
        <v/>
      </c>
      <c r="V304" s="138">
        <f>IF(B304="Working",MAX(-(((Q303)*(1+$C$10)+IF(B304="Working",J304,0))),0),MAX(K304-L304,0))</f>
        <v/>
      </c>
      <c r="W304" s="138">
        <f>IF(OR(A304&gt;=$C$13,B304="Retired"),IF(V304&gt;0,-V304,U304-'Model Inputs'!$B$18),"")</f>
        <v/>
      </c>
      <c r="X304" s="138">
        <f>IF(AND($L$228&gt;0,A304&gt;=$C$13),$L$228*(1+$C$25)^(A304-$C$13),0)</f>
        <v/>
      </c>
      <c r="Y304" s="138">
        <f>IF(OR($L$228&lt;=0,$C$17&lt;=0,A304&lt;$C$13,MIN(MAX((A304-$C$13+1)*12,0),$C$17*12)&gt;=$C$17*12),0,IF($C$16=0,MAX(MAX($L$228*(1-$C$15),0)-(IF($C$17&lt;=0,0,IF($C$16=0,MAX($L$228*(1-$C$15),0)/$C$17,-PMT($C$16/12,$C$17*12,MAX($L$228*(1-$C$15),0))*12))/12)*MIN(MAX((A304-$C$13+1)*12,0),$C$17*12),0),MAX(MAX($L$228*(1-$C$15),0)*(1+$C$16/12)^MIN(MAX((A304-$C$13+1)*12,0),$C$17*12)-(IF($C$17&lt;=0,0,IF($C$16=0,MAX($L$228*(1-$C$15),0)/$C$17,-PMT($C$16/12,$C$17*12,MAX($L$228*(1-$C$15),0))*12))/12)*(((1+$C$16/12)^MIN(MAX((A304-$C$13+1)*12,0),$C$17*12)-1)/($C$16/12)),0)))</f>
        <v/>
      </c>
      <c r="Z304" s="138">
        <f>MAX(X304-Y304,0)</f>
        <v/>
      </c>
      <c r="AA304" s="142">
        <f>U304+Z304</f>
        <v/>
      </c>
      <c r="AB304" s="5" t="n"/>
      <c r="AC304" s="5" t="n"/>
      <c r="AD304" s="5" t="n"/>
      <c r="AE304" s="5" t="n"/>
      <c r="AF304" s="5" t="n"/>
      <c r="AG304" s="5" t="n"/>
    </row>
    <row r="305" outlineLevel="1" s="326">
      <c r="A305" s="136" t="n">
        <v>5</v>
      </c>
      <c r="B305" s="72">
        <f>B84</f>
        <v/>
      </c>
      <c r="C305" s="137">
        <f>D84</f>
        <v/>
      </c>
      <c r="D305" s="137">
        <f>I84</f>
        <v/>
      </c>
      <c r="E305" s="137">
        <f>J84</f>
        <v/>
      </c>
      <c r="F305" s="137">
        <f>K84</f>
        <v/>
      </c>
      <c r="G305" s="138">
        <f>IF(AND($L$228&gt;0,A305=$C$13),$L$228*($C$15+$C$18),0)+IF(AND($L$228&gt;0,A305=$C$13),$C$24,0)</f>
        <v/>
      </c>
      <c r="H305" s="138">
        <f>IF(OR($L$228&lt;=0,A305&lt;$C$13),0,IF(AND($L$228&gt;0,$C$17&gt;0,A305&gt;=$C$13,A305&lt;($C$13+$C$17)),IF($C$17&lt;=0,0,IF($C$16=0,MAX($L$228*(1-$C$15),0)/$C$17,-PMT($C$16/12,$C$17*12,MAX($L$228*(1-$C$15),0))*12)),0)+X305*($C$19+$C$20+$C$21)+$C$22+$C$23)</f>
        <v/>
      </c>
      <c r="I305" s="138">
        <f>IF(B305="Working",MIN(MAX(D305-E305-F305-G305-H305,0),'Tax Assumptions'!$B$20),0)</f>
        <v/>
      </c>
      <c r="J305" s="138">
        <f>IF(B305="Working",D305-E305-F305-I305-G305-H305,-L305)</f>
        <v/>
      </c>
      <c r="K305" s="137">
        <f>IF(B305="Retired",$N$228+G305+H305,0)</f>
        <v/>
      </c>
      <c r="L305" s="137">
        <f>M305+N305+O305+P305</f>
        <v/>
      </c>
      <c r="M305" s="137">
        <f>IF(B305="Retired",MIN(((Q304)*(1+$C$10)+IF(B305="Working",J305,0)),K305),0)</f>
        <v/>
      </c>
      <c r="N305" s="137">
        <f>IF(B305="Retired",MIN(MAX(K305-M305,0),((R304)*(1+$C$10)+IF(B305="Working",E84,0))),0)</f>
        <v/>
      </c>
      <c r="O305" s="137">
        <f>IF(B305="Retired",MIN(MAX(K305-M305-N305,0),((S304)*(1+$C$10)+IF(B305="Working",I305,0))),0)</f>
        <v/>
      </c>
      <c r="P305" s="137">
        <f>IF(B305="Retired",MIN(MAX(K305-M305-N305-O305,0),((T304)*(1+$C$10)+IF(B305="Working",F84,0))),0)</f>
        <v/>
      </c>
      <c r="Q305" s="138">
        <f>MAX(((Q304)*(1+$C$10)+IF(B305="Working",J305,0))-M305,0)</f>
        <v/>
      </c>
      <c r="R305" s="138">
        <f>MAX(((R304)*(1+$C$10)+IF(B305="Working",E84,0))-N305,0)</f>
        <v/>
      </c>
      <c r="S305" s="138">
        <f>MAX(((S304)*(1+$C$10)+IF(B305="Working",I305,0))-O305,0)</f>
        <v/>
      </c>
      <c r="T305" s="138">
        <f>MAX(((T304)*(1+$C$10)+IF(B305="Working",F84,0))-P305,0)</f>
        <v/>
      </c>
      <c r="U305" s="138">
        <f>Q305+R305+S305+T305</f>
        <v/>
      </c>
      <c r="V305" s="138">
        <f>IF(B305="Working",MAX(-(((Q304)*(1+$C$10)+IF(B305="Working",J305,0))),0),MAX(K305-L305,0))</f>
        <v/>
      </c>
      <c r="W305" s="138">
        <f>IF(OR(A305&gt;=$C$13,B305="Retired"),IF(V305&gt;0,-V305,U305-'Model Inputs'!$B$18),"")</f>
        <v/>
      </c>
      <c r="X305" s="138">
        <f>IF(AND($L$228&gt;0,A305&gt;=$C$13),$L$228*(1+$C$25)^(A305-$C$13),0)</f>
        <v/>
      </c>
      <c r="Y305" s="138">
        <f>IF(OR($L$228&lt;=0,$C$17&lt;=0,A305&lt;$C$13,MIN(MAX((A305-$C$13+1)*12,0),$C$17*12)&gt;=$C$17*12),0,IF($C$16=0,MAX(MAX($L$228*(1-$C$15),0)-(IF($C$17&lt;=0,0,IF($C$16=0,MAX($L$228*(1-$C$15),0)/$C$17,-PMT($C$16/12,$C$17*12,MAX($L$228*(1-$C$15),0))*12))/12)*MIN(MAX((A305-$C$13+1)*12,0),$C$17*12),0),MAX(MAX($L$228*(1-$C$15),0)*(1+$C$16/12)^MIN(MAX((A305-$C$13+1)*12,0),$C$17*12)-(IF($C$17&lt;=0,0,IF($C$16=0,MAX($L$228*(1-$C$15),0)/$C$17,-PMT($C$16/12,$C$17*12,MAX($L$228*(1-$C$15),0))*12))/12)*(((1+$C$16/12)^MIN(MAX((A305-$C$13+1)*12,0),$C$17*12)-1)/($C$16/12)),0)))</f>
        <v/>
      </c>
      <c r="Z305" s="138">
        <f>MAX(X305-Y305,0)</f>
        <v/>
      </c>
      <c r="AA305" s="139">
        <f>U305+Z305</f>
        <v/>
      </c>
      <c r="AB305" s="5" t="n"/>
      <c r="AC305" s="5" t="n"/>
      <c r="AD305" s="5" t="n"/>
      <c r="AE305" s="5" t="n"/>
      <c r="AF305" s="5" t="n"/>
      <c r="AG305" s="5" t="n"/>
    </row>
    <row r="306" outlineLevel="1" s="326">
      <c r="A306" s="140" t="n">
        <v>6</v>
      </c>
      <c r="B306" s="40">
        <f>B85</f>
        <v/>
      </c>
      <c r="C306" s="141">
        <f>D85</f>
        <v/>
      </c>
      <c r="D306" s="141">
        <f>I85</f>
        <v/>
      </c>
      <c r="E306" s="141">
        <f>J85</f>
        <v/>
      </c>
      <c r="F306" s="141">
        <f>K85</f>
        <v/>
      </c>
      <c r="G306" s="138">
        <f>IF(AND($L$228&gt;0,A306=$C$13),$L$228*($C$15+$C$18),0)+IF(AND($L$228&gt;0,A306=$C$13),$C$24,0)</f>
        <v/>
      </c>
      <c r="H306" s="138">
        <f>IF(OR($L$228&lt;=0,A306&lt;$C$13),0,IF(AND($L$228&gt;0,$C$17&gt;0,A306&gt;=$C$13,A306&lt;($C$13+$C$17)),IF($C$17&lt;=0,0,IF($C$16=0,MAX($L$228*(1-$C$15),0)/$C$17,-PMT($C$16/12,$C$17*12,MAX($L$228*(1-$C$15),0))*12)),0)+X306*($C$19+$C$20+$C$21)+$C$22+$C$23)</f>
        <v/>
      </c>
      <c r="I306" s="138">
        <f>IF(B306="Working",MIN(MAX(D306-E306-F306-G306-H306,0),'Tax Assumptions'!$B$20),0)</f>
        <v/>
      </c>
      <c r="J306" s="138">
        <f>IF(B306="Working",D306-E306-F306-I306-G306-H306,-L306)</f>
        <v/>
      </c>
      <c r="K306" s="141">
        <f>IF(B306="Retired",$N$228+G306+H306,0)</f>
        <v/>
      </c>
      <c r="L306" s="141">
        <f>M306+N306+O306+P306</f>
        <v/>
      </c>
      <c r="M306" s="141">
        <f>IF(B306="Retired",MIN(((Q305)*(1+$C$10)+IF(B306="Working",J306,0)),K306),0)</f>
        <v/>
      </c>
      <c r="N306" s="141">
        <f>IF(B306="Retired",MIN(MAX(K306-M306,0),((R305)*(1+$C$10)+IF(B306="Working",E85,0))),0)</f>
        <v/>
      </c>
      <c r="O306" s="141">
        <f>IF(B306="Retired",MIN(MAX(K306-M306-N306,0),((S305)*(1+$C$10)+IF(B306="Working",I306,0))),0)</f>
        <v/>
      </c>
      <c r="P306" s="141">
        <f>IF(B306="Retired",MIN(MAX(K306-M306-N306-O306,0),((T305)*(1+$C$10)+IF(B306="Working",F85,0))),0)</f>
        <v/>
      </c>
      <c r="Q306" s="138">
        <f>MAX(((Q305)*(1+$C$10)+IF(B306="Working",J306,0))-M306,0)</f>
        <v/>
      </c>
      <c r="R306" s="138">
        <f>MAX(((R305)*(1+$C$10)+IF(B306="Working",E85,0))-N306,0)</f>
        <v/>
      </c>
      <c r="S306" s="138">
        <f>MAX(((S305)*(1+$C$10)+IF(B306="Working",I306,0))-O306,0)</f>
        <v/>
      </c>
      <c r="T306" s="138">
        <f>MAX(((T305)*(1+$C$10)+IF(B306="Working",F85,0))-P306,0)</f>
        <v/>
      </c>
      <c r="U306" s="138">
        <f>Q306+R306+S306+T306</f>
        <v/>
      </c>
      <c r="V306" s="138">
        <f>IF(B306="Working",MAX(-(((Q305)*(1+$C$10)+IF(B306="Working",J306,0))),0),MAX(K306-L306,0))</f>
        <v/>
      </c>
      <c r="W306" s="138">
        <f>IF(OR(A306&gt;=$C$13,B306="Retired"),IF(V306&gt;0,-V306,U306-'Model Inputs'!$B$18),"")</f>
        <v/>
      </c>
      <c r="X306" s="138">
        <f>IF(AND($L$228&gt;0,A306&gt;=$C$13),$L$228*(1+$C$25)^(A306-$C$13),0)</f>
        <v/>
      </c>
      <c r="Y306" s="138">
        <f>IF(OR($L$228&lt;=0,$C$17&lt;=0,A306&lt;$C$13,MIN(MAX((A306-$C$13+1)*12,0),$C$17*12)&gt;=$C$17*12),0,IF($C$16=0,MAX(MAX($L$228*(1-$C$15),0)-(IF($C$17&lt;=0,0,IF($C$16=0,MAX($L$228*(1-$C$15),0)/$C$17,-PMT($C$16/12,$C$17*12,MAX($L$228*(1-$C$15),0))*12))/12)*MIN(MAX((A306-$C$13+1)*12,0),$C$17*12),0),MAX(MAX($L$228*(1-$C$15),0)*(1+$C$16/12)^MIN(MAX((A306-$C$13+1)*12,0),$C$17*12)-(IF($C$17&lt;=0,0,IF($C$16=0,MAX($L$228*(1-$C$15),0)/$C$17,-PMT($C$16/12,$C$17*12,MAX($L$228*(1-$C$15),0))*12))/12)*(((1+$C$16/12)^MIN(MAX((A306-$C$13+1)*12,0),$C$17*12)-1)/($C$16/12)),0)))</f>
        <v/>
      </c>
      <c r="Z306" s="138">
        <f>MAX(X306-Y306,0)</f>
        <v/>
      </c>
      <c r="AA306" s="142">
        <f>U306+Z306</f>
        <v/>
      </c>
      <c r="AB306" s="5" t="n"/>
      <c r="AC306" s="5" t="n"/>
      <c r="AD306" s="5" t="n"/>
      <c r="AE306" s="5" t="n"/>
      <c r="AF306" s="5" t="n"/>
      <c r="AG306" s="5" t="n"/>
    </row>
    <row r="307" outlineLevel="1" s="326">
      <c r="A307" s="136" t="n">
        <v>7</v>
      </c>
      <c r="B307" s="72">
        <f>B86</f>
        <v/>
      </c>
      <c r="C307" s="137">
        <f>D86</f>
        <v/>
      </c>
      <c r="D307" s="137">
        <f>I86</f>
        <v/>
      </c>
      <c r="E307" s="137">
        <f>J86</f>
        <v/>
      </c>
      <c r="F307" s="137">
        <f>K86</f>
        <v/>
      </c>
      <c r="G307" s="138">
        <f>IF(AND($L$228&gt;0,A307=$C$13),$L$228*($C$15+$C$18),0)+IF(AND($L$228&gt;0,A307=$C$13),$C$24,0)</f>
        <v/>
      </c>
      <c r="H307" s="138">
        <f>IF(OR($L$228&lt;=0,A307&lt;$C$13),0,IF(AND($L$228&gt;0,$C$17&gt;0,A307&gt;=$C$13,A307&lt;($C$13+$C$17)),IF($C$17&lt;=0,0,IF($C$16=0,MAX($L$228*(1-$C$15),0)/$C$17,-PMT($C$16/12,$C$17*12,MAX($L$228*(1-$C$15),0))*12)),0)+X307*($C$19+$C$20+$C$21)+$C$22+$C$23)</f>
        <v/>
      </c>
      <c r="I307" s="138">
        <f>IF(B307="Working",MIN(MAX(D307-E307-F307-G307-H307,0),'Tax Assumptions'!$B$20),0)</f>
        <v/>
      </c>
      <c r="J307" s="138">
        <f>IF(B307="Working",D307-E307-F307-I307-G307-H307,-L307)</f>
        <v/>
      </c>
      <c r="K307" s="137">
        <f>IF(B307="Retired",$N$228+G307+H307,0)</f>
        <v/>
      </c>
      <c r="L307" s="137">
        <f>M307+N307+O307+P307</f>
        <v/>
      </c>
      <c r="M307" s="137">
        <f>IF(B307="Retired",MIN(((Q306)*(1+$C$10)+IF(B307="Working",J307,0)),K307),0)</f>
        <v/>
      </c>
      <c r="N307" s="137">
        <f>IF(B307="Retired",MIN(MAX(K307-M307,0),((R306)*(1+$C$10)+IF(B307="Working",E86,0))),0)</f>
        <v/>
      </c>
      <c r="O307" s="137">
        <f>IF(B307="Retired",MIN(MAX(K307-M307-N307,0),((S306)*(1+$C$10)+IF(B307="Working",I307,0))),0)</f>
        <v/>
      </c>
      <c r="P307" s="137">
        <f>IF(B307="Retired",MIN(MAX(K307-M307-N307-O307,0),((T306)*(1+$C$10)+IF(B307="Working",F86,0))),0)</f>
        <v/>
      </c>
      <c r="Q307" s="138">
        <f>MAX(((Q306)*(1+$C$10)+IF(B307="Working",J307,0))-M307,0)</f>
        <v/>
      </c>
      <c r="R307" s="138">
        <f>MAX(((R306)*(1+$C$10)+IF(B307="Working",E86,0))-N307,0)</f>
        <v/>
      </c>
      <c r="S307" s="138">
        <f>MAX(((S306)*(1+$C$10)+IF(B307="Working",I307,0))-O307,0)</f>
        <v/>
      </c>
      <c r="T307" s="138">
        <f>MAX(((T306)*(1+$C$10)+IF(B307="Working",F86,0))-P307,0)</f>
        <v/>
      </c>
      <c r="U307" s="138">
        <f>Q307+R307+S307+T307</f>
        <v/>
      </c>
      <c r="V307" s="138">
        <f>IF(B307="Working",MAX(-(((Q306)*(1+$C$10)+IF(B307="Working",J307,0))),0),MAX(K307-L307,0))</f>
        <v/>
      </c>
      <c r="W307" s="138">
        <f>IF(OR(A307&gt;=$C$13,B307="Retired"),IF(V307&gt;0,-V307,U307-'Model Inputs'!$B$18),"")</f>
        <v/>
      </c>
      <c r="X307" s="138">
        <f>IF(AND($L$228&gt;0,A307&gt;=$C$13),$L$228*(1+$C$25)^(A307-$C$13),0)</f>
        <v/>
      </c>
      <c r="Y307" s="138">
        <f>IF(OR($L$228&lt;=0,$C$17&lt;=0,A307&lt;$C$13,MIN(MAX((A307-$C$13+1)*12,0),$C$17*12)&gt;=$C$17*12),0,IF($C$16=0,MAX(MAX($L$228*(1-$C$15),0)-(IF($C$17&lt;=0,0,IF($C$16=0,MAX($L$228*(1-$C$15),0)/$C$17,-PMT($C$16/12,$C$17*12,MAX($L$228*(1-$C$15),0))*12))/12)*MIN(MAX((A307-$C$13+1)*12,0),$C$17*12),0),MAX(MAX($L$228*(1-$C$15),0)*(1+$C$16/12)^MIN(MAX((A307-$C$13+1)*12,0),$C$17*12)-(IF($C$17&lt;=0,0,IF($C$16=0,MAX($L$228*(1-$C$15),0)/$C$17,-PMT($C$16/12,$C$17*12,MAX($L$228*(1-$C$15),0))*12))/12)*(((1+$C$16/12)^MIN(MAX((A307-$C$13+1)*12,0),$C$17*12)-1)/($C$16/12)),0)))</f>
        <v/>
      </c>
      <c r="Z307" s="138">
        <f>MAX(X307-Y307,0)</f>
        <v/>
      </c>
      <c r="AA307" s="139">
        <f>U307+Z307</f>
        <v/>
      </c>
      <c r="AB307" s="5" t="n"/>
      <c r="AC307" s="5" t="n"/>
      <c r="AD307" s="5" t="n"/>
      <c r="AE307" s="5" t="n"/>
      <c r="AF307" s="5" t="n"/>
      <c r="AG307" s="5" t="n"/>
    </row>
    <row r="308" outlineLevel="1" s="326">
      <c r="A308" s="140" t="n">
        <v>8</v>
      </c>
      <c r="B308" s="40">
        <f>B87</f>
        <v/>
      </c>
      <c r="C308" s="141">
        <f>D87</f>
        <v/>
      </c>
      <c r="D308" s="141">
        <f>I87</f>
        <v/>
      </c>
      <c r="E308" s="141">
        <f>J87</f>
        <v/>
      </c>
      <c r="F308" s="141">
        <f>K87</f>
        <v/>
      </c>
      <c r="G308" s="138">
        <f>IF(AND($L$228&gt;0,A308=$C$13),$L$228*($C$15+$C$18),0)+IF(AND($L$228&gt;0,A308=$C$13),$C$24,0)</f>
        <v/>
      </c>
      <c r="H308" s="138">
        <f>IF(OR($L$228&lt;=0,A308&lt;$C$13),0,IF(AND($L$228&gt;0,$C$17&gt;0,A308&gt;=$C$13,A308&lt;($C$13+$C$17)),IF($C$17&lt;=0,0,IF($C$16=0,MAX($L$228*(1-$C$15),0)/$C$17,-PMT($C$16/12,$C$17*12,MAX($L$228*(1-$C$15),0))*12)),0)+X308*($C$19+$C$20+$C$21)+$C$22+$C$23)</f>
        <v/>
      </c>
      <c r="I308" s="138">
        <f>IF(B308="Working",MIN(MAX(D308-E308-F308-G308-H308,0),'Tax Assumptions'!$B$20),0)</f>
        <v/>
      </c>
      <c r="J308" s="138">
        <f>IF(B308="Working",D308-E308-F308-I308-G308-H308,-L308)</f>
        <v/>
      </c>
      <c r="K308" s="141">
        <f>IF(B308="Retired",$N$228+G308+H308,0)</f>
        <v/>
      </c>
      <c r="L308" s="141">
        <f>M308+N308+O308+P308</f>
        <v/>
      </c>
      <c r="M308" s="141">
        <f>IF(B308="Retired",MIN(((Q307)*(1+$C$10)+IF(B308="Working",J308,0)),K308),0)</f>
        <v/>
      </c>
      <c r="N308" s="141">
        <f>IF(B308="Retired",MIN(MAX(K308-M308,0),((R307)*(1+$C$10)+IF(B308="Working",E87,0))),0)</f>
        <v/>
      </c>
      <c r="O308" s="141">
        <f>IF(B308="Retired",MIN(MAX(K308-M308-N308,0),((S307)*(1+$C$10)+IF(B308="Working",I308,0))),0)</f>
        <v/>
      </c>
      <c r="P308" s="141">
        <f>IF(B308="Retired",MIN(MAX(K308-M308-N308-O308,0),((T307)*(1+$C$10)+IF(B308="Working",F87,0))),0)</f>
        <v/>
      </c>
      <c r="Q308" s="138">
        <f>MAX(((Q307)*(1+$C$10)+IF(B308="Working",J308,0))-M308,0)</f>
        <v/>
      </c>
      <c r="R308" s="138">
        <f>MAX(((R307)*(1+$C$10)+IF(B308="Working",E87,0))-N308,0)</f>
        <v/>
      </c>
      <c r="S308" s="138">
        <f>MAX(((S307)*(1+$C$10)+IF(B308="Working",I308,0))-O308,0)</f>
        <v/>
      </c>
      <c r="T308" s="138">
        <f>MAX(((T307)*(1+$C$10)+IF(B308="Working",F87,0))-P308,0)</f>
        <v/>
      </c>
      <c r="U308" s="138">
        <f>Q308+R308+S308+T308</f>
        <v/>
      </c>
      <c r="V308" s="138">
        <f>IF(B308="Working",MAX(-(((Q307)*(1+$C$10)+IF(B308="Working",J308,0))),0),MAX(K308-L308,0))</f>
        <v/>
      </c>
      <c r="W308" s="138">
        <f>IF(OR(A308&gt;=$C$13,B308="Retired"),IF(V308&gt;0,-V308,U308-'Model Inputs'!$B$18),"")</f>
        <v/>
      </c>
      <c r="X308" s="138">
        <f>IF(AND($L$228&gt;0,A308&gt;=$C$13),$L$228*(1+$C$25)^(A308-$C$13),0)</f>
        <v/>
      </c>
      <c r="Y308" s="138">
        <f>IF(OR($L$228&lt;=0,$C$17&lt;=0,A308&lt;$C$13,MIN(MAX((A308-$C$13+1)*12,0),$C$17*12)&gt;=$C$17*12),0,IF($C$16=0,MAX(MAX($L$228*(1-$C$15),0)-(IF($C$17&lt;=0,0,IF($C$16=0,MAX($L$228*(1-$C$15),0)/$C$17,-PMT($C$16/12,$C$17*12,MAX($L$228*(1-$C$15),0))*12))/12)*MIN(MAX((A308-$C$13+1)*12,0),$C$17*12),0),MAX(MAX($L$228*(1-$C$15),0)*(1+$C$16/12)^MIN(MAX((A308-$C$13+1)*12,0),$C$17*12)-(IF($C$17&lt;=0,0,IF($C$16=0,MAX($L$228*(1-$C$15),0)/$C$17,-PMT($C$16/12,$C$17*12,MAX($L$228*(1-$C$15),0))*12))/12)*(((1+$C$16/12)^MIN(MAX((A308-$C$13+1)*12,0),$C$17*12)-1)/($C$16/12)),0)))</f>
        <v/>
      </c>
      <c r="Z308" s="138">
        <f>MAX(X308-Y308,0)</f>
        <v/>
      </c>
      <c r="AA308" s="142">
        <f>U308+Z308</f>
        <v/>
      </c>
      <c r="AB308" s="5" t="n"/>
      <c r="AC308" s="5" t="n"/>
      <c r="AD308" s="5" t="n"/>
      <c r="AE308" s="5" t="n"/>
      <c r="AF308" s="5" t="n"/>
      <c r="AG308" s="5" t="n"/>
    </row>
    <row r="309" outlineLevel="1" s="326">
      <c r="A309" s="136" t="n">
        <v>9</v>
      </c>
      <c r="B309" s="72">
        <f>B88</f>
        <v/>
      </c>
      <c r="C309" s="137">
        <f>D88</f>
        <v/>
      </c>
      <c r="D309" s="137">
        <f>I88</f>
        <v/>
      </c>
      <c r="E309" s="137">
        <f>J88</f>
        <v/>
      </c>
      <c r="F309" s="137">
        <f>K88</f>
        <v/>
      </c>
      <c r="G309" s="138">
        <f>IF(AND($L$228&gt;0,A309=$C$13),$L$228*($C$15+$C$18),0)+IF(AND($L$228&gt;0,A309=$C$13),$C$24,0)</f>
        <v/>
      </c>
      <c r="H309" s="138">
        <f>IF(OR($L$228&lt;=0,A309&lt;$C$13),0,IF(AND($L$228&gt;0,$C$17&gt;0,A309&gt;=$C$13,A309&lt;($C$13+$C$17)),IF($C$17&lt;=0,0,IF($C$16=0,MAX($L$228*(1-$C$15),0)/$C$17,-PMT($C$16/12,$C$17*12,MAX($L$228*(1-$C$15),0))*12)),0)+X309*($C$19+$C$20+$C$21)+$C$22+$C$23)</f>
        <v/>
      </c>
      <c r="I309" s="138">
        <f>IF(B309="Working",MIN(MAX(D309-E309-F309-G309-H309,0),'Tax Assumptions'!$B$20),0)</f>
        <v/>
      </c>
      <c r="J309" s="138">
        <f>IF(B309="Working",D309-E309-F309-I309-G309-H309,-L309)</f>
        <v/>
      </c>
      <c r="K309" s="137">
        <f>IF(B309="Retired",$N$228+G309+H309,0)</f>
        <v/>
      </c>
      <c r="L309" s="137">
        <f>M309+N309+O309+P309</f>
        <v/>
      </c>
      <c r="M309" s="137">
        <f>IF(B309="Retired",MIN(((Q308)*(1+$C$10)+IF(B309="Working",J309,0)),K309),0)</f>
        <v/>
      </c>
      <c r="N309" s="137">
        <f>IF(B309="Retired",MIN(MAX(K309-M309,0),((R308)*(1+$C$10)+IF(B309="Working",E88,0))),0)</f>
        <v/>
      </c>
      <c r="O309" s="137">
        <f>IF(B309="Retired",MIN(MAX(K309-M309-N309,0),((S308)*(1+$C$10)+IF(B309="Working",I309,0))),0)</f>
        <v/>
      </c>
      <c r="P309" s="137">
        <f>IF(B309="Retired",MIN(MAX(K309-M309-N309-O309,0),((T308)*(1+$C$10)+IF(B309="Working",F88,0))),0)</f>
        <v/>
      </c>
      <c r="Q309" s="138">
        <f>MAX(((Q308)*(1+$C$10)+IF(B309="Working",J309,0))-M309,0)</f>
        <v/>
      </c>
      <c r="R309" s="138">
        <f>MAX(((R308)*(1+$C$10)+IF(B309="Working",E88,0))-N309,0)</f>
        <v/>
      </c>
      <c r="S309" s="138">
        <f>MAX(((S308)*(1+$C$10)+IF(B309="Working",I309,0))-O309,0)</f>
        <v/>
      </c>
      <c r="T309" s="138">
        <f>MAX(((T308)*(1+$C$10)+IF(B309="Working",F88,0))-P309,0)</f>
        <v/>
      </c>
      <c r="U309" s="138">
        <f>Q309+R309+S309+T309</f>
        <v/>
      </c>
      <c r="V309" s="138">
        <f>IF(B309="Working",MAX(-(((Q308)*(1+$C$10)+IF(B309="Working",J309,0))),0),MAX(K309-L309,0))</f>
        <v/>
      </c>
      <c r="W309" s="138">
        <f>IF(OR(A309&gt;=$C$13,B309="Retired"),IF(V309&gt;0,-V309,U309-'Model Inputs'!$B$18),"")</f>
        <v/>
      </c>
      <c r="X309" s="138">
        <f>IF(AND($L$228&gt;0,A309&gt;=$C$13),$L$228*(1+$C$25)^(A309-$C$13),0)</f>
        <v/>
      </c>
      <c r="Y309" s="138">
        <f>IF(OR($L$228&lt;=0,$C$17&lt;=0,A309&lt;$C$13,MIN(MAX((A309-$C$13+1)*12,0),$C$17*12)&gt;=$C$17*12),0,IF($C$16=0,MAX(MAX($L$228*(1-$C$15),0)-(IF($C$17&lt;=0,0,IF($C$16=0,MAX($L$228*(1-$C$15),0)/$C$17,-PMT($C$16/12,$C$17*12,MAX($L$228*(1-$C$15),0))*12))/12)*MIN(MAX((A309-$C$13+1)*12,0),$C$17*12),0),MAX(MAX($L$228*(1-$C$15),0)*(1+$C$16/12)^MIN(MAX((A309-$C$13+1)*12,0),$C$17*12)-(IF($C$17&lt;=0,0,IF($C$16=0,MAX($L$228*(1-$C$15),0)/$C$17,-PMT($C$16/12,$C$17*12,MAX($L$228*(1-$C$15),0))*12))/12)*(((1+$C$16/12)^MIN(MAX((A309-$C$13+1)*12,0),$C$17*12)-1)/($C$16/12)),0)))</f>
        <v/>
      </c>
      <c r="Z309" s="138">
        <f>MAX(X309-Y309,0)</f>
        <v/>
      </c>
      <c r="AA309" s="139">
        <f>U309+Z309</f>
        <v/>
      </c>
      <c r="AB309" s="5" t="n"/>
      <c r="AC309" s="5" t="n"/>
      <c r="AD309" s="5" t="n"/>
      <c r="AE309" s="5" t="n"/>
      <c r="AF309" s="5" t="n"/>
      <c r="AG309" s="5" t="n"/>
    </row>
    <row r="310" outlineLevel="1" s="326">
      <c r="A310" s="140" t="n">
        <v>10</v>
      </c>
      <c r="B310" s="40">
        <f>B89</f>
        <v/>
      </c>
      <c r="C310" s="141">
        <f>D89</f>
        <v/>
      </c>
      <c r="D310" s="141">
        <f>I89</f>
        <v/>
      </c>
      <c r="E310" s="141">
        <f>J89</f>
        <v/>
      </c>
      <c r="F310" s="141">
        <f>K89</f>
        <v/>
      </c>
      <c r="G310" s="138">
        <f>IF(AND($L$228&gt;0,A310=$C$13),$L$228*($C$15+$C$18),0)+IF(AND($L$228&gt;0,A310=$C$13),$C$24,0)</f>
        <v/>
      </c>
      <c r="H310" s="138">
        <f>IF(OR($L$228&lt;=0,A310&lt;$C$13),0,IF(AND($L$228&gt;0,$C$17&gt;0,A310&gt;=$C$13,A310&lt;($C$13+$C$17)),IF($C$17&lt;=0,0,IF($C$16=0,MAX($L$228*(1-$C$15),0)/$C$17,-PMT($C$16/12,$C$17*12,MAX($L$228*(1-$C$15),0))*12)),0)+X310*($C$19+$C$20+$C$21)+$C$22+$C$23)</f>
        <v/>
      </c>
      <c r="I310" s="138">
        <f>IF(B310="Working",MIN(MAX(D310-E310-F310-G310-H310,0),'Tax Assumptions'!$B$20),0)</f>
        <v/>
      </c>
      <c r="J310" s="138">
        <f>IF(B310="Working",D310-E310-F310-I310-G310-H310,-L310)</f>
        <v/>
      </c>
      <c r="K310" s="141">
        <f>IF(B310="Retired",$N$228+G310+H310,0)</f>
        <v/>
      </c>
      <c r="L310" s="141">
        <f>M310+N310+O310+P310</f>
        <v/>
      </c>
      <c r="M310" s="141">
        <f>IF(B310="Retired",MIN(((Q309)*(1+$C$10)+IF(B310="Working",J310,0)),K310),0)</f>
        <v/>
      </c>
      <c r="N310" s="141">
        <f>IF(B310="Retired",MIN(MAX(K310-M310,0),((R309)*(1+$C$10)+IF(B310="Working",E89,0))),0)</f>
        <v/>
      </c>
      <c r="O310" s="141">
        <f>IF(B310="Retired",MIN(MAX(K310-M310-N310,0),((S309)*(1+$C$10)+IF(B310="Working",I310,0))),0)</f>
        <v/>
      </c>
      <c r="P310" s="141">
        <f>IF(B310="Retired",MIN(MAX(K310-M310-N310-O310,0),((T309)*(1+$C$10)+IF(B310="Working",F89,0))),0)</f>
        <v/>
      </c>
      <c r="Q310" s="138">
        <f>MAX(((Q309)*(1+$C$10)+IF(B310="Working",J310,0))-M310,0)</f>
        <v/>
      </c>
      <c r="R310" s="138">
        <f>MAX(((R309)*(1+$C$10)+IF(B310="Working",E89,0))-N310,0)</f>
        <v/>
      </c>
      <c r="S310" s="138">
        <f>MAX(((S309)*(1+$C$10)+IF(B310="Working",I310,0))-O310,0)</f>
        <v/>
      </c>
      <c r="T310" s="138">
        <f>MAX(((T309)*(1+$C$10)+IF(B310="Working",F89,0))-P310,0)</f>
        <v/>
      </c>
      <c r="U310" s="138">
        <f>Q310+R310+S310+T310</f>
        <v/>
      </c>
      <c r="V310" s="138">
        <f>IF(B310="Working",MAX(-(((Q309)*(1+$C$10)+IF(B310="Working",J310,0))),0),MAX(K310-L310,0))</f>
        <v/>
      </c>
      <c r="W310" s="138">
        <f>IF(OR(A310&gt;=$C$13,B310="Retired"),IF(V310&gt;0,-V310,U310-'Model Inputs'!$B$18),"")</f>
        <v/>
      </c>
      <c r="X310" s="138">
        <f>IF(AND($L$228&gt;0,A310&gt;=$C$13),$L$228*(1+$C$25)^(A310-$C$13),0)</f>
        <v/>
      </c>
      <c r="Y310" s="138">
        <f>IF(OR($L$228&lt;=0,$C$17&lt;=0,A310&lt;$C$13,MIN(MAX((A310-$C$13+1)*12,0),$C$17*12)&gt;=$C$17*12),0,IF($C$16=0,MAX(MAX($L$228*(1-$C$15),0)-(IF($C$17&lt;=0,0,IF($C$16=0,MAX($L$228*(1-$C$15),0)/$C$17,-PMT($C$16/12,$C$17*12,MAX($L$228*(1-$C$15),0))*12))/12)*MIN(MAX((A310-$C$13+1)*12,0),$C$17*12),0),MAX(MAX($L$228*(1-$C$15),0)*(1+$C$16/12)^MIN(MAX((A310-$C$13+1)*12,0),$C$17*12)-(IF($C$17&lt;=0,0,IF($C$16=0,MAX($L$228*(1-$C$15),0)/$C$17,-PMT($C$16/12,$C$17*12,MAX($L$228*(1-$C$15),0))*12))/12)*(((1+$C$16/12)^MIN(MAX((A310-$C$13+1)*12,0),$C$17*12)-1)/($C$16/12)),0)))</f>
        <v/>
      </c>
      <c r="Z310" s="138">
        <f>MAX(X310-Y310,0)</f>
        <v/>
      </c>
      <c r="AA310" s="142">
        <f>U310+Z310</f>
        <v/>
      </c>
      <c r="AB310" s="5" t="n"/>
      <c r="AC310" s="5" t="n"/>
      <c r="AD310" s="5" t="n"/>
      <c r="AE310" s="5" t="n"/>
      <c r="AF310" s="5" t="n"/>
      <c r="AG310" s="5" t="n"/>
    </row>
    <row r="311" outlineLevel="1" s="326">
      <c r="A311" s="136" t="n">
        <v>11</v>
      </c>
      <c r="B311" s="72">
        <f>B90</f>
        <v/>
      </c>
      <c r="C311" s="137">
        <f>D90</f>
        <v/>
      </c>
      <c r="D311" s="137">
        <f>I90</f>
        <v/>
      </c>
      <c r="E311" s="137">
        <f>J90</f>
        <v/>
      </c>
      <c r="F311" s="137">
        <f>K90</f>
        <v/>
      </c>
      <c r="G311" s="138">
        <f>IF(AND($L$228&gt;0,A311=$C$13),$L$228*($C$15+$C$18),0)+IF(AND($L$228&gt;0,A311=$C$13),$C$24,0)</f>
        <v/>
      </c>
      <c r="H311" s="138">
        <f>IF(OR($L$228&lt;=0,A311&lt;$C$13),0,IF(AND($L$228&gt;0,$C$17&gt;0,A311&gt;=$C$13,A311&lt;($C$13+$C$17)),IF($C$17&lt;=0,0,IF($C$16=0,MAX($L$228*(1-$C$15),0)/$C$17,-PMT($C$16/12,$C$17*12,MAX($L$228*(1-$C$15),0))*12)),0)+X311*($C$19+$C$20+$C$21)+$C$22+$C$23)</f>
        <v/>
      </c>
      <c r="I311" s="138">
        <f>IF(B311="Working",MIN(MAX(D311-E311-F311-G311-H311,0),'Tax Assumptions'!$B$20),0)</f>
        <v/>
      </c>
      <c r="J311" s="138">
        <f>IF(B311="Working",D311-E311-F311-I311-G311-H311,-L311)</f>
        <v/>
      </c>
      <c r="K311" s="137">
        <f>IF(B311="Retired",$N$228+G311+H311,0)</f>
        <v/>
      </c>
      <c r="L311" s="137">
        <f>M311+N311+O311+P311</f>
        <v/>
      </c>
      <c r="M311" s="137">
        <f>IF(B311="Retired",MIN(((Q310)*(1+$C$10)+IF(B311="Working",J311,0)),K311),0)</f>
        <v/>
      </c>
      <c r="N311" s="137">
        <f>IF(B311="Retired",MIN(MAX(K311-M311,0),((R310)*(1+$C$10)+IF(B311="Working",E90,0))),0)</f>
        <v/>
      </c>
      <c r="O311" s="137">
        <f>IF(B311="Retired",MIN(MAX(K311-M311-N311,0),((S310)*(1+$C$10)+IF(B311="Working",I311,0))),0)</f>
        <v/>
      </c>
      <c r="P311" s="137">
        <f>IF(B311="Retired",MIN(MAX(K311-M311-N311-O311,0),((T310)*(1+$C$10)+IF(B311="Working",F90,0))),0)</f>
        <v/>
      </c>
      <c r="Q311" s="138">
        <f>MAX(((Q310)*(1+$C$10)+IF(B311="Working",J311,0))-M311,0)</f>
        <v/>
      </c>
      <c r="R311" s="138">
        <f>MAX(((R310)*(1+$C$10)+IF(B311="Working",E90,0))-N311,0)</f>
        <v/>
      </c>
      <c r="S311" s="138">
        <f>MAX(((S310)*(1+$C$10)+IF(B311="Working",I311,0))-O311,0)</f>
        <v/>
      </c>
      <c r="T311" s="138">
        <f>MAX(((T310)*(1+$C$10)+IF(B311="Working",F90,0))-P311,0)</f>
        <v/>
      </c>
      <c r="U311" s="138">
        <f>Q311+R311+S311+T311</f>
        <v/>
      </c>
      <c r="V311" s="138">
        <f>IF(B311="Working",MAX(-(((Q310)*(1+$C$10)+IF(B311="Working",J311,0))),0),MAX(K311-L311,0))</f>
        <v/>
      </c>
      <c r="W311" s="138">
        <f>IF(OR(A311&gt;=$C$13,B311="Retired"),IF(V311&gt;0,-V311,U311-'Model Inputs'!$B$18),"")</f>
        <v/>
      </c>
      <c r="X311" s="138">
        <f>IF(AND($L$228&gt;0,A311&gt;=$C$13),$L$228*(1+$C$25)^(A311-$C$13),0)</f>
        <v/>
      </c>
      <c r="Y311" s="138">
        <f>IF(OR($L$228&lt;=0,$C$17&lt;=0,A311&lt;$C$13,MIN(MAX((A311-$C$13+1)*12,0),$C$17*12)&gt;=$C$17*12),0,IF($C$16=0,MAX(MAX($L$228*(1-$C$15),0)-(IF($C$17&lt;=0,0,IF($C$16=0,MAX($L$228*(1-$C$15),0)/$C$17,-PMT($C$16/12,$C$17*12,MAX($L$228*(1-$C$15),0))*12))/12)*MIN(MAX((A311-$C$13+1)*12,0),$C$17*12),0),MAX(MAX($L$228*(1-$C$15),0)*(1+$C$16/12)^MIN(MAX((A311-$C$13+1)*12,0),$C$17*12)-(IF($C$17&lt;=0,0,IF($C$16=0,MAX($L$228*(1-$C$15),0)/$C$17,-PMT($C$16/12,$C$17*12,MAX($L$228*(1-$C$15),0))*12))/12)*(((1+$C$16/12)^MIN(MAX((A311-$C$13+1)*12,0),$C$17*12)-1)/($C$16/12)),0)))</f>
        <v/>
      </c>
      <c r="Z311" s="138">
        <f>MAX(X311-Y311,0)</f>
        <v/>
      </c>
      <c r="AA311" s="139">
        <f>U311+Z311</f>
        <v/>
      </c>
      <c r="AB311" s="5" t="n"/>
      <c r="AC311" s="5" t="n"/>
      <c r="AD311" s="5" t="n"/>
      <c r="AE311" s="5" t="n"/>
      <c r="AF311" s="5" t="n"/>
      <c r="AG311" s="5" t="n"/>
    </row>
    <row r="312" outlineLevel="1" s="326">
      <c r="A312" s="140" t="n">
        <v>12</v>
      </c>
      <c r="B312" s="40">
        <f>B91</f>
        <v/>
      </c>
      <c r="C312" s="141">
        <f>D91</f>
        <v/>
      </c>
      <c r="D312" s="141">
        <f>I91</f>
        <v/>
      </c>
      <c r="E312" s="141">
        <f>J91</f>
        <v/>
      </c>
      <c r="F312" s="141">
        <f>K91</f>
        <v/>
      </c>
      <c r="G312" s="138">
        <f>IF(AND($L$228&gt;0,A312=$C$13),$L$228*($C$15+$C$18),0)+IF(AND($L$228&gt;0,A312=$C$13),$C$24,0)</f>
        <v/>
      </c>
      <c r="H312" s="138">
        <f>IF(OR($L$228&lt;=0,A312&lt;$C$13),0,IF(AND($L$228&gt;0,$C$17&gt;0,A312&gt;=$C$13,A312&lt;($C$13+$C$17)),IF($C$17&lt;=0,0,IF($C$16=0,MAX($L$228*(1-$C$15),0)/$C$17,-PMT($C$16/12,$C$17*12,MAX($L$228*(1-$C$15),0))*12)),0)+X312*($C$19+$C$20+$C$21)+$C$22+$C$23)</f>
        <v/>
      </c>
      <c r="I312" s="138">
        <f>IF(B312="Working",MIN(MAX(D312-E312-F312-G312-H312,0),'Tax Assumptions'!$B$20),0)</f>
        <v/>
      </c>
      <c r="J312" s="138">
        <f>IF(B312="Working",D312-E312-F312-I312-G312-H312,-L312)</f>
        <v/>
      </c>
      <c r="K312" s="141">
        <f>IF(B312="Retired",$N$228+G312+H312,0)</f>
        <v/>
      </c>
      <c r="L312" s="141">
        <f>M312+N312+O312+P312</f>
        <v/>
      </c>
      <c r="M312" s="141">
        <f>IF(B312="Retired",MIN(((Q311)*(1+$C$10)+IF(B312="Working",J312,0)),K312),0)</f>
        <v/>
      </c>
      <c r="N312" s="141">
        <f>IF(B312="Retired",MIN(MAX(K312-M312,0),((R311)*(1+$C$10)+IF(B312="Working",E91,0))),0)</f>
        <v/>
      </c>
      <c r="O312" s="141">
        <f>IF(B312="Retired",MIN(MAX(K312-M312-N312,0),((S311)*(1+$C$10)+IF(B312="Working",I312,0))),0)</f>
        <v/>
      </c>
      <c r="P312" s="141">
        <f>IF(B312="Retired",MIN(MAX(K312-M312-N312-O312,0),((T311)*(1+$C$10)+IF(B312="Working",F91,0))),0)</f>
        <v/>
      </c>
      <c r="Q312" s="138">
        <f>MAX(((Q311)*(1+$C$10)+IF(B312="Working",J312,0))-M312,0)</f>
        <v/>
      </c>
      <c r="R312" s="138">
        <f>MAX(((R311)*(1+$C$10)+IF(B312="Working",E91,0))-N312,0)</f>
        <v/>
      </c>
      <c r="S312" s="138">
        <f>MAX(((S311)*(1+$C$10)+IF(B312="Working",I312,0))-O312,0)</f>
        <v/>
      </c>
      <c r="T312" s="138">
        <f>MAX(((T311)*(1+$C$10)+IF(B312="Working",F91,0))-P312,0)</f>
        <v/>
      </c>
      <c r="U312" s="138">
        <f>Q312+R312+S312+T312</f>
        <v/>
      </c>
      <c r="V312" s="138">
        <f>IF(B312="Working",MAX(-(((Q311)*(1+$C$10)+IF(B312="Working",J312,0))),0),MAX(K312-L312,0))</f>
        <v/>
      </c>
      <c r="W312" s="138">
        <f>IF(OR(A312&gt;=$C$13,B312="Retired"),IF(V312&gt;0,-V312,U312-'Model Inputs'!$B$18),"")</f>
        <v/>
      </c>
      <c r="X312" s="138">
        <f>IF(AND($L$228&gt;0,A312&gt;=$C$13),$L$228*(1+$C$25)^(A312-$C$13),0)</f>
        <v/>
      </c>
      <c r="Y312" s="138">
        <f>IF(OR($L$228&lt;=0,$C$17&lt;=0,A312&lt;$C$13,MIN(MAX((A312-$C$13+1)*12,0),$C$17*12)&gt;=$C$17*12),0,IF($C$16=0,MAX(MAX($L$228*(1-$C$15),0)-(IF($C$17&lt;=0,0,IF($C$16=0,MAX($L$228*(1-$C$15),0)/$C$17,-PMT($C$16/12,$C$17*12,MAX($L$228*(1-$C$15),0))*12))/12)*MIN(MAX((A312-$C$13+1)*12,0),$C$17*12),0),MAX(MAX($L$228*(1-$C$15),0)*(1+$C$16/12)^MIN(MAX((A312-$C$13+1)*12,0),$C$17*12)-(IF($C$17&lt;=0,0,IF($C$16=0,MAX($L$228*(1-$C$15),0)/$C$17,-PMT($C$16/12,$C$17*12,MAX($L$228*(1-$C$15),0))*12))/12)*(((1+$C$16/12)^MIN(MAX((A312-$C$13+1)*12,0),$C$17*12)-1)/($C$16/12)),0)))</f>
        <v/>
      </c>
      <c r="Z312" s="138">
        <f>MAX(X312-Y312,0)</f>
        <v/>
      </c>
      <c r="AA312" s="142">
        <f>U312+Z312</f>
        <v/>
      </c>
      <c r="AB312" s="5" t="n"/>
      <c r="AC312" s="5" t="n"/>
      <c r="AD312" s="5" t="n"/>
      <c r="AE312" s="5" t="n"/>
      <c r="AF312" s="5" t="n"/>
      <c r="AG312" s="5" t="n"/>
    </row>
    <row r="313" outlineLevel="1" s="326">
      <c r="A313" s="136" t="n">
        <v>13</v>
      </c>
      <c r="B313" s="72">
        <f>B92</f>
        <v/>
      </c>
      <c r="C313" s="137">
        <f>D92</f>
        <v/>
      </c>
      <c r="D313" s="137">
        <f>I92</f>
        <v/>
      </c>
      <c r="E313" s="137">
        <f>J92</f>
        <v/>
      </c>
      <c r="F313" s="137">
        <f>K92</f>
        <v/>
      </c>
      <c r="G313" s="138">
        <f>IF(AND($L$228&gt;0,A313=$C$13),$L$228*($C$15+$C$18),0)+IF(AND($L$228&gt;0,A313=$C$13),$C$24,0)</f>
        <v/>
      </c>
      <c r="H313" s="138">
        <f>IF(OR($L$228&lt;=0,A313&lt;$C$13),0,IF(AND($L$228&gt;0,$C$17&gt;0,A313&gt;=$C$13,A313&lt;($C$13+$C$17)),IF($C$17&lt;=0,0,IF($C$16=0,MAX($L$228*(1-$C$15),0)/$C$17,-PMT($C$16/12,$C$17*12,MAX($L$228*(1-$C$15),0))*12)),0)+X313*($C$19+$C$20+$C$21)+$C$22+$C$23)</f>
        <v/>
      </c>
      <c r="I313" s="138">
        <f>IF(B313="Working",MIN(MAX(D313-E313-F313-G313-H313,0),'Tax Assumptions'!$B$20),0)</f>
        <v/>
      </c>
      <c r="J313" s="138">
        <f>IF(B313="Working",D313-E313-F313-I313-G313-H313,-L313)</f>
        <v/>
      </c>
      <c r="K313" s="137">
        <f>IF(B313="Retired",$N$228+G313+H313,0)</f>
        <v/>
      </c>
      <c r="L313" s="137">
        <f>M313+N313+O313+P313</f>
        <v/>
      </c>
      <c r="M313" s="137">
        <f>IF(B313="Retired",MIN(((Q312)*(1+$C$10)+IF(B313="Working",J313,0)),K313),0)</f>
        <v/>
      </c>
      <c r="N313" s="137">
        <f>IF(B313="Retired",MIN(MAX(K313-M313,0),((R312)*(1+$C$10)+IF(B313="Working",E92,0))),0)</f>
        <v/>
      </c>
      <c r="O313" s="137">
        <f>IF(B313="Retired",MIN(MAX(K313-M313-N313,0),((S312)*(1+$C$10)+IF(B313="Working",I313,0))),0)</f>
        <v/>
      </c>
      <c r="P313" s="137">
        <f>IF(B313="Retired",MIN(MAX(K313-M313-N313-O313,0),((T312)*(1+$C$10)+IF(B313="Working",F92,0))),0)</f>
        <v/>
      </c>
      <c r="Q313" s="138">
        <f>MAX(((Q312)*(1+$C$10)+IF(B313="Working",J313,0))-M313,0)</f>
        <v/>
      </c>
      <c r="R313" s="138">
        <f>MAX(((R312)*(1+$C$10)+IF(B313="Working",E92,0))-N313,0)</f>
        <v/>
      </c>
      <c r="S313" s="138">
        <f>MAX(((S312)*(1+$C$10)+IF(B313="Working",I313,0))-O313,0)</f>
        <v/>
      </c>
      <c r="T313" s="138">
        <f>MAX(((T312)*(1+$C$10)+IF(B313="Working",F92,0))-P313,0)</f>
        <v/>
      </c>
      <c r="U313" s="138">
        <f>Q313+R313+S313+T313</f>
        <v/>
      </c>
      <c r="V313" s="138">
        <f>IF(B313="Working",MAX(-(((Q312)*(1+$C$10)+IF(B313="Working",J313,0))),0),MAX(K313-L313,0))</f>
        <v/>
      </c>
      <c r="W313" s="138">
        <f>IF(OR(A313&gt;=$C$13,B313="Retired"),IF(V313&gt;0,-V313,U313-'Model Inputs'!$B$18),"")</f>
        <v/>
      </c>
      <c r="X313" s="138">
        <f>IF(AND($L$228&gt;0,A313&gt;=$C$13),$L$228*(1+$C$25)^(A313-$C$13),0)</f>
        <v/>
      </c>
      <c r="Y313" s="138">
        <f>IF(OR($L$228&lt;=0,$C$17&lt;=0,A313&lt;$C$13,MIN(MAX((A313-$C$13+1)*12,0),$C$17*12)&gt;=$C$17*12),0,IF($C$16=0,MAX(MAX($L$228*(1-$C$15),0)-(IF($C$17&lt;=0,0,IF($C$16=0,MAX($L$228*(1-$C$15),0)/$C$17,-PMT($C$16/12,$C$17*12,MAX($L$228*(1-$C$15),0))*12))/12)*MIN(MAX((A313-$C$13+1)*12,0),$C$17*12),0),MAX(MAX($L$228*(1-$C$15),0)*(1+$C$16/12)^MIN(MAX((A313-$C$13+1)*12,0),$C$17*12)-(IF($C$17&lt;=0,0,IF($C$16=0,MAX($L$228*(1-$C$15),0)/$C$17,-PMT($C$16/12,$C$17*12,MAX($L$228*(1-$C$15),0))*12))/12)*(((1+$C$16/12)^MIN(MAX((A313-$C$13+1)*12,0),$C$17*12)-1)/($C$16/12)),0)))</f>
        <v/>
      </c>
      <c r="Z313" s="138">
        <f>MAX(X313-Y313,0)</f>
        <v/>
      </c>
      <c r="AA313" s="139">
        <f>U313+Z313</f>
        <v/>
      </c>
      <c r="AB313" s="5" t="n"/>
      <c r="AC313" s="5" t="n"/>
      <c r="AD313" s="5" t="n"/>
      <c r="AE313" s="5" t="n"/>
      <c r="AF313" s="5" t="n"/>
      <c r="AG313" s="5" t="n"/>
    </row>
    <row r="314" outlineLevel="1" s="326">
      <c r="A314" s="140" t="n">
        <v>14</v>
      </c>
      <c r="B314" s="40">
        <f>B93</f>
        <v/>
      </c>
      <c r="C314" s="141">
        <f>D93</f>
        <v/>
      </c>
      <c r="D314" s="141">
        <f>I93</f>
        <v/>
      </c>
      <c r="E314" s="141">
        <f>J93</f>
        <v/>
      </c>
      <c r="F314" s="141">
        <f>K93</f>
        <v/>
      </c>
      <c r="G314" s="138">
        <f>IF(AND($L$228&gt;0,A314=$C$13),$L$228*($C$15+$C$18),0)+IF(AND($L$228&gt;0,A314=$C$13),$C$24,0)</f>
        <v/>
      </c>
      <c r="H314" s="138">
        <f>IF(OR($L$228&lt;=0,A314&lt;$C$13),0,IF(AND($L$228&gt;0,$C$17&gt;0,A314&gt;=$C$13,A314&lt;($C$13+$C$17)),IF($C$17&lt;=0,0,IF($C$16=0,MAX($L$228*(1-$C$15),0)/$C$17,-PMT($C$16/12,$C$17*12,MAX($L$228*(1-$C$15),0))*12)),0)+X314*($C$19+$C$20+$C$21)+$C$22+$C$23)</f>
        <v/>
      </c>
      <c r="I314" s="138">
        <f>IF(B314="Working",MIN(MAX(D314-E314-F314-G314-H314,0),'Tax Assumptions'!$B$20),0)</f>
        <v/>
      </c>
      <c r="J314" s="138">
        <f>IF(B314="Working",D314-E314-F314-I314-G314-H314,-L314)</f>
        <v/>
      </c>
      <c r="K314" s="141">
        <f>IF(B314="Retired",$N$228+G314+H314,0)</f>
        <v/>
      </c>
      <c r="L314" s="141">
        <f>M314+N314+O314+P314</f>
        <v/>
      </c>
      <c r="M314" s="141">
        <f>IF(B314="Retired",MIN(((Q313)*(1+$C$10)+IF(B314="Working",J314,0)),K314),0)</f>
        <v/>
      </c>
      <c r="N314" s="141">
        <f>IF(B314="Retired",MIN(MAX(K314-M314,0),((R313)*(1+$C$10)+IF(B314="Working",E93,0))),0)</f>
        <v/>
      </c>
      <c r="O314" s="141">
        <f>IF(B314="Retired",MIN(MAX(K314-M314-N314,0),((S313)*(1+$C$10)+IF(B314="Working",I314,0))),0)</f>
        <v/>
      </c>
      <c r="P314" s="141">
        <f>IF(B314="Retired",MIN(MAX(K314-M314-N314-O314,0),((T313)*(1+$C$10)+IF(B314="Working",F93,0))),0)</f>
        <v/>
      </c>
      <c r="Q314" s="138">
        <f>MAX(((Q313)*(1+$C$10)+IF(B314="Working",J314,0))-M314,0)</f>
        <v/>
      </c>
      <c r="R314" s="138">
        <f>MAX(((R313)*(1+$C$10)+IF(B314="Working",E93,0))-N314,0)</f>
        <v/>
      </c>
      <c r="S314" s="138">
        <f>MAX(((S313)*(1+$C$10)+IF(B314="Working",I314,0))-O314,0)</f>
        <v/>
      </c>
      <c r="T314" s="138">
        <f>MAX(((T313)*(1+$C$10)+IF(B314="Working",F93,0))-P314,0)</f>
        <v/>
      </c>
      <c r="U314" s="138">
        <f>Q314+R314+S314+T314</f>
        <v/>
      </c>
      <c r="V314" s="138">
        <f>IF(B314="Working",MAX(-(((Q313)*(1+$C$10)+IF(B314="Working",J314,0))),0),MAX(K314-L314,0))</f>
        <v/>
      </c>
      <c r="W314" s="138">
        <f>IF(OR(A314&gt;=$C$13,B314="Retired"),IF(V314&gt;0,-V314,U314-'Model Inputs'!$B$18),"")</f>
        <v/>
      </c>
      <c r="X314" s="138">
        <f>IF(AND($L$228&gt;0,A314&gt;=$C$13),$L$228*(1+$C$25)^(A314-$C$13),0)</f>
        <v/>
      </c>
      <c r="Y314" s="138">
        <f>IF(OR($L$228&lt;=0,$C$17&lt;=0,A314&lt;$C$13,MIN(MAX((A314-$C$13+1)*12,0),$C$17*12)&gt;=$C$17*12),0,IF($C$16=0,MAX(MAX($L$228*(1-$C$15),0)-(IF($C$17&lt;=0,0,IF($C$16=0,MAX($L$228*(1-$C$15),0)/$C$17,-PMT($C$16/12,$C$17*12,MAX($L$228*(1-$C$15),0))*12))/12)*MIN(MAX((A314-$C$13+1)*12,0),$C$17*12),0),MAX(MAX($L$228*(1-$C$15),0)*(1+$C$16/12)^MIN(MAX((A314-$C$13+1)*12,0),$C$17*12)-(IF($C$17&lt;=0,0,IF($C$16=0,MAX($L$228*(1-$C$15),0)/$C$17,-PMT($C$16/12,$C$17*12,MAX($L$228*(1-$C$15),0))*12))/12)*(((1+$C$16/12)^MIN(MAX((A314-$C$13+1)*12,0),$C$17*12)-1)/($C$16/12)),0)))</f>
        <v/>
      </c>
      <c r="Z314" s="138">
        <f>MAX(X314-Y314,0)</f>
        <v/>
      </c>
      <c r="AA314" s="142">
        <f>U314+Z314</f>
        <v/>
      </c>
      <c r="AB314" s="5" t="n"/>
      <c r="AC314" s="5" t="n"/>
      <c r="AD314" s="5" t="n"/>
      <c r="AE314" s="5" t="n"/>
      <c r="AF314" s="5" t="n"/>
      <c r="AG314" s="5" t="n"/>
    </row>
    <row r="315" outlineLevel="1" s="326">
      <c r="A315" s="136" t="n">
        <v>15</v>
      </c>
      <c r="B315" s="72">
        <f>B94</f>
        <v/>
      </c>
      <c r="C315" s="137">
        <f>D94</f>
        <v/>
      </c>
      <c r="D315" s="137">
        <f>I94</f>
        <v/>
      </c>
      <c r="E315" s="137">
        <f>J94</f>
        <v/>
      </c>
      <c r="F315" s="137">
        <f>K94</f>
        <v/>
      </c>
      <c r="G315" s="138">
        <f>IF(AND($L$228&gt;0,A315=$C$13),$L$228*($C$15+$C$18),0)+IF(AND($L$228&gt;0,A315=$C$13),$C$24,0)</f>
        <v/>
      </c>
      <c r="H315" s="138">
        <f>IF(OR($L$228&lt;=0,A315&lt;$C$13),0,IF(AND($L$228&gt;0,$C$17&gt;0,A315&gt;=$C$13,A315&lt;($C$13+$C$17)),IF($C$17&lt;=0,0,IF($C$16=0,MAX($L$228*(1-$C$15),0)/$C$17,-PMT($C$16/12,$C$17*12,MAX($L$228*(1-$C$15),0))*12)),0)+X315*($C$19+$C$20+$C$21)+$C$22+$C$23)</f>
        <v/>
      </c>
      <c r="I315" s="138">
        <f>IF(B315="Working",MIN(MAX(D315-E315-F315-G315-H315,0),'Tax Assumptions'!$B$20),0)</f>
        <v/>
      </c>
      <c r="J315" s="138">
        <f>IF(B315="Working",D315-E315-F315-I315-G315-H315,-L315)</f>
        <v/>
      </c>
      <c r="K315" s="137">
        <f>IF(B315="Retired",$N$228+G315+H315,0)</f>
        <v/>
      </c>
      <c r="L315" s="137">
        <f>M315+N315+O315+P315</f>
        <v/>
      </c>
      <c r="M315" s="137">
        <f>IF(B315="Retired",MIN(((Q314)*(1+$C$10)+IF(B315="Working",J315,0)),K315),0)</f>
        <v/>
      </c>
      <c r="N315" s="137">
        <f>IF(B315="Retired",MIN(MAX(K315-M315,0),((R314)*(1+$C$10)+IF(B315="Working",E94,0))),0)</f>
        <v/>
      </c>
      <c r="O315" s="137">
        <f>IF(B315="Retired",MIN(MAX(K315-M315-N315,0),((S314)*(1+$C$10)+IF(B315="Working",I315,0))),0)</f>
        <v/>
      </c>
      <c r="P315" s="137">
        <f>IF(B315="Retired",MIN(MAX(K315-M315-N315-O315,0),((T314)*(1+$C$10)+IF(B315="Working",F94,0))),0)</f>
        <v/>
      </c>
      <c r="Q315" s="138">
        <f>MAX(((Q314)*(1+$C$10)+IF(B315="Working",J315,0))-M315,0)</f>
        <v/>
      </c>
      <c r="R315" s="138">
        <f>MAX(((R314)*(1+$C$10)+IF(B315="Working",E94,0))-N315,0)</f>
        <v/>
      </c>
      <c r="S315" s="138">
        <f>MAX(((S314)*(1+$C$10)+IF(B315="Working",I315,0))-O315,0)</f>
        <v/>
      </c>
      <c r="T315" s="138">
        <f>MAX(((T314)*(1+$C$10)+IF(B315="Working",F94,0))-P315,0)</f>
        <v/>
      </c>
      <c r="U315" s="138">
        <f>Q315+R315+S315+T315</f>
        <v/>
      </c>
      <c r="V315" s="138">
        <f>IF(B315="Working",MAX(-(((Q314)*(1+$C$10)+IF(B315="Working",J315,0))),0),MAX(K315-L315,0))</f>
        <v/>
      </c>
      <c r="W315" s="138">
        <f>IF(OR(A315&gt;=$C$13,B315="Retired"),IF(V315&gt;0,-V315,U315-'Model Inputs'!$B$18),"")</f>
        <v/>
      </c>
      <c r="X315" s="138">
        <f>IF(AND($L$228&gt;0,A315&gt;=$C$13),$L$228*(1+$C$25)^(A315-$C$13),0)</f>
        <v/>
      </c>
      <c r="Y315" s="138">
        <f>IF(OR($L$228&lt;=0,$C$17&lt;=0,A315&lt;$C$13,MIN(MAX((A315-$C$13+1)*12,0),$C$17*12)&gt;=$C$17*12),0,IF($C$16=0,MAX(MAX($L$228*(1-$C$15),0)-(IF($C$17&lt;=0,0,IF($C$16=0,MAX($L$228*(1-$C$15),0)/$C$17,-PMT($C$16/12,$C$17*12,MAX($L$228*(1-$C$15),0))*12))/12)*MIN(MAX((A315-$C$13+1)*12,0),$C$17*12),0),MAX(MAX($L$228*(1-$C$15),0)*(1+$C$16/12)^MIN(MAX((A315-$C$13+1)*12,0),$C$17*12)-(IF($C$17&lt;=0,0,IF($C$16=0,MAX($L$228*(1-$C$15),0)/$C$17,-PMT($C$16/12,$C$17*12,MAX($L$228*(1-$C$15),0))*12))/12)*(((1+$C$16/12)^MIN(MAX((A315-$C$13+1)*12,0),$C$17*12)-1)/($C$16/12)),0)))</f>
        <v/>
      </c>
      <c r="Z315" s="138">
        <f>MAX(X315-Y315,0)</f>
        <v/>
      </c>
      <c r="AA315" s="139">
        <f>U315+Z315</f>
        <v/>
      </c>
      <c r="AB315" s="5" t="n"/>
      <c r="AC315" s="5" t="n"/>
      <c r="AD315" s="5" t="n"/>
      <c r="AE315" s="5" t="n"/>
      <c r="AF315" s="5" t="n"/>
      <c r="AG315" s="5" t="n"/>
    </row>
    <row r="316" outlineLevel="1" s="326">
      <c r="A316" s="140" t="n">
        <v>16</v>
      </c>
      <c r="B316" s="40">
        <f>B95</f>
        <v/>
      </c>
      <c r="C316" s="141">
        <f>D95</f>
        <v/>
      </c>
      <c r="D316" s="141">
        <f>I95</f>
        <v/>
      </c>
      <c r="E316" s="141">
        <f>J95</f>
        <v/>
      </c>
      <c r="F316" s="141">
        <f>K95</f>
        <v/>
      </c>
      <c r="G316" s="138">
        <f>IF(AND($L$228&gt;0,A316=$C$13),$L$228*($C$15+$C$18),0)+IF(AND($L$228&gt;0,A316=$C$13),$C$24,0)</f>
        <v/>
      </c>
      <c r="H316" s="138">
        <f>IF(OR($L$228&lt;=0,A316&lt;$C$13),0,IF(AND($L$228&gt;0,$C$17&gt;0,A316&gt;=$C$13,A316&lt;($C$13+$C$17)),IF($C$17&lt;=0,0,IF($C$16=0,MAX($L$228*(1-$C$15),0)/$C$17,-PMT($C$16/12,$C$17*12,MAX($L$228*(1-$C$15),0))*12)),0)+X316*($C$19+$C$20+$C$21)+$C$22+$C$23)</f>
        <v/>
      </c>
      <c r="I316" s="138">
        <f>IF(B316="Working",MIN(MAX(D316-E316-F316-G316-H316,0),'Tax Assumptions'!$B$20),0)</f>
        <v/>
      </c>
      <c r="J316" s="138">
        <f>IF(B316="Working",D316-E316-F316-I316-G316-H316,-L316)</f>
        <v/>
      </c>
      <c r="K316" s="141">
        <f>IF(B316="Retired",$N$228+G316+H316,0)</f>
        <v/>
      </c>
      <c r="L316" s="141">
        <f>M316+N316+O316+P316</f>
        <v/>
      </c>
      <c r="M316" s="141">
        <f>IF(B316="Retired",MIN(((Q315)*(1+$C$10)+IF(B316="Working",J316,0)),K316),0)</f>
        <v/>
      </c>
      <c r="N316" s="141">
        <f>IF(B316="Retired",MIN(MAX(K316-M316,0),((R315)*(1+$C$10)+IF(B316="Working",E95,0))),0)</f>
        <v/>
      </c>
      <c r="O316" s="141">
        <f>IF(B316="Retired",MIN(MAX(K316-M316-N316,0),((S315)*(1+$C$10)+IF(B316="Working",I316,0))),0)</f>
        <v/>
      </c>
      <c r="P316" s="141">
        <f>IF(B316="Retired",MIN(MAX(K316-M316-N316-O316,0),((T315)*(1+$C$10)+IF(B316="Working",F95,0))),0)</f>
        <v/>
      </c>
      <c r="Q316" s="138">
        <f>MAX(((Q315)*(1+$C$10)+IF(B316="Working",J316,0))-M316,0)</f>
        <v/>
      </c>
      <c r="R316" s="138">
        <f>MAX(((R315)*(1+$C$10)+IF(B316="Working",E95,0))-N316,0)</f>
        <v/>
      </c>
      <c r="S316" s="138">
        <f>MAX(((S315)*(1+$C$10)+IF(B316="Working",I316,0))-O316,0)</f>
        <v/>
      </c>
      <c r="T316" s="138">
        <f>MAX(((T315)*(1+$C$10)+IF(B316="Working",F95,0))-P316,0)</f>
        <v/>
      </c>
      <c r="U316" s="138">
        <f>Q316+R316+S316+T316</f>
        <v/>
      </c>
      <c r="V316" s="138">
        <f>IF(B316="Working",MAX(-(((Q315)*(1+$C$10)+IF(B316="Working",J316,0))),0),MAX(K316-L316,0))</f>
        <v/>
      </c>
      <c r="W316" s="138">
        <f>IF(OR(A316&gt;=$C$13,B316="Retired"),IF(V316&gt;0,-V316,U316-'Model Inputs'!$B$18),"")</f>
        <v/>
      </c>
      <c r="X316" s="138">
        <f>IF(AND($L$228&gt;0,A316&gt;=$C$13),$L$228*(1+$C$25)^(A316-$C$13),0)</f>
        <v/>
      </c>
      <c r="Y316" s="138">
        <f>IF(OR($L$228&lt;=0,$C$17&lt;=0,A316&lt;$C$13,MIN(MAX((A316-$C$13+1)*12,0),$C$17*12)&gt;=$C$17*12),0,IF($C$16=0,MAX(MAX($L$228*(1-$C$15),0)-(IF($C$17&lt;=0,0,IF($C$16=0,MAX($L$228*(1-$C$15),0)/$C$17,-PMT($C$16/12,$C$17*12,MAX($L$228*(1-$C$15),0))*12))/12)*MIN(MAX((A316-$C$13+1)*12,0),$C$17*12),0),MAX(MAX($L$228*(1-$C$15),0)*(1+$C$16/12)^MIN(MAX((A316-$C$13+1)*12,0),$C$17*12)-(IF($C$17&lt;=0,0,IF($C$16=0,MAX($L$228*(1-$C$15),0)/$C$17,-PMT($C$16/12,$C$17*12,MAX($L$228*(1-$C$15),0))*12))/12)*(((1+$C$16/12)^MIN(MAX((A316-$C$13+1)*12,0),$C$17*12)-1)/($C$16/12)),0)))</f>
        <v/>
      </c>
      <c r="Z316" s="138">
        <f>MAX(X316-Y316,0)</f>
        <v/>
      </c>
      <c r="AA316" s="142">
        <f>U316+Z316</f>
        <v/>
      </c>
      <c r="AB316" s="5" t="n"/>
      <c r="AC316" s="5" t="n"/>
      <c r="AD316" s="5" t="n"/>
      <c r="AE316" s="5" t="n"/>
      <c r="AF316" s="5" t="n"/>
      <c r="AG316" s="5" t="n"/>
    </row>
    <row r="317" outlineLevel="1" s="326">
      <c r="A317" s="136" t="n">
        <v>17</v>
      </c>
      <c r="B317" s="72">
        <f>B96</f>
        <v/>
      </c>
      <c r="C317" s="137">
        <f>D96</f>
        <v/>
      </c>
      <c r="D317" s="137">
        <f>I96</f>
        <v/>
      </c>
      <c r="E317" s="137">
        <f>J96</f>
        <v/>
      </c>
      <c r="F317" s="137">
        <f>K96</f>
        <v/>
      </c>
      <c r="G317" s="138">
        <f>IF(AND($L$228&gt;0,A317=$C$13),$L$228*($C$15+$C$18),0)+IF(AND($L$228&gt;0,A317=$C$13),$C$24,0)</f>
        <v/>
      </c>
      <c r="H317" s="138">
        <f>IF(OR($L$228&lt;=0,A317&lt;$C$13),0,IF(AND($L$228&gt;0,$C$17&gt;0,A317&gt;=$C$13,A317&lt;($C$13+$C$17)),IF($C$17&lt;=0,0,IF($C$16=0,MAX($L$228*(1-$C$15),0)/$C$17,-PMT($C$16/12,$C$17*12,MAX($L$228*(1-$C$15),0))*12)),0)+X317*($C$19+$C$20+$C$21)+$C$22+$C$23)</f>
        <v/>
      </c>
      <c r="I317" s="138">
        <f>IF(B317="Working",MIN(MAX(D317-E317-F317-G317-H317,0),'Tax Assumptions'!$B$20),0)</f>
        <v/>
      </c>
      <c r="J317" s="138">
        <f>IF(B317="Working",D317-E317-F317-I317-G317-H317,-L317)</f>
        <v/>
      </c>
      <c r="K317" s="137">
        <f>IF(B317="Retired",$N$228+G317+H317,0)</f>
        <v/>
      </c>
      <c r="L317" s="137">
        <f>M317+N317+O317+P317</f>
        <v/>
      </c>
      <c r="M317" s="137">
        <f>IF(B317="Retired",MIN(((Q316)*(1+$C$10)+IF(B317="Working",J317,0)),K317),0)</f>
        <v/>
      </c>
      <c r="N317" s="137">
        <f>IF(B317="Retired",MIN(MAX(K317-M317,0),((R316)*(1+$C$10)+IF(B317="Working",E96,0))),0)</f>
        <v/>
      </c>
      <c r="O317" s="137">
        <f>IF(B317="Retired",MIN(MAX(K317-M317-N317,0),((S316)*(1+$C$10)+IF(B317="Working",I317,0))),0)</f>
        <v/>
      </c>
      <c r="P317" s="137">
        <f>IF(B317="Retired",MIN(MAX(K317-M317-N317-O317,0),((T316)*(1+$C$10)+IF(B317="Working",F96,0))),0)</f>
        <v/>
      </c>
      <c r="Q317" s="138">
        <f>MAX(((Q316)*(1+$C$10)+IF(B317="Working",J317,0))-M317,0)</f>
        <v/>
      </c>
      <c r="R317" s="138">
        <f>MAX(((R316)*(1+$C$10)+IF(B317="Working",E96,0))-N317,0)</f>
        <v/>
      </c>
      <c r="S317" s="138">
        <f>MAX(((S316)*(1+$C$10)+IF(B317="Working",I317,0))-O317,0)</f>
        <v/>
      </c>
      <c r="T317" s="138">
        <f>MAX(((T316)*(1+$C$10)+IF(B317="Working",F96,0))-P317,0)</f>
        <v/>
      </c>
      <c r="U317" s="138">
        <f>Q317+R317+S317+T317</f>
        <v/>
      </c>
      <c r="V317" s="138">
        <f>IF(B317="Working",MAX(-(((Q316)*(1+$C$10)+IF(B317="Working",J317,0))),0),MAX(K317-L317,0))</f>
        <v/>
      </c>
      <c r="W317" s="138">
        <f>IF(OR(A317&gt;=$C$13,B317="Retired"),IF(V317&gt;0,-V317,U317-'Model Inputs'!$B$18),"")</f>
        <v/>
      </c>
      <c r="X317" s="138">
        <f>IF(AND($L$228&gt;0,A317&gt;=$C$13),$L$228*(1+$C$25)^(A317-$C$13),0)</f>
        <v/>
      </c>
      <c r="Y317" s="138">
        <f>IF(OR($L$228&lt;=0,$C$17&lt;=0,A317&lt;$C$13,MIN(MAX((A317-$C$13+1)*12,0),$C$17*12)&gt;=$C$17*12),0,IF($C$16=0,MAX(MAX($L$228*(1-$C$15),0)-(IF($C$17&lt;=0,0,IF($C$16=0,MAX($L$228*(1-$C$15),0)/$C$17,-PMT($C$16/12,$C$17*12,MAX($L$228*(1-$C$15),0))*12))/12)*MIN(MAX((A317-$C$13+1)*12,0),$C$17*12),0),MAX(MAX($L$228*(1-$C$15),0)*(1+$C$16/12)^MIN(MAX((A317-$C$13+1)*12,0),$C$17*12)-(IF($C$17&lt;=0,0,IF($C$16=0,MAX($L$228*(1-$C$15),0)/$C$17,-PMT($C$16/12,$C$17*12,MAX($L$228*(1-$C$15),0))*12))/12)*(((1+$C$16/12)^MIN(MAX((A317-$C$13+1)*12,0),$C$17*12)-1)/($C$16/12)),0)))</f>
        <v/>
      </c>
      <c r="Z317" s="138">
        <f>MAX(X317-Y317,0)</f>
        <v/>
      </c>
      <c r="AA317" s="139">
        <f>U317+Z317</f>
        <v/>
      </c>
      <c r="AB317" s="5" t="n"/>
      <c r="AC317" s="5" t="n"/>
      <c r="AD317" s="5" t="n"/>
      <c r="AE317" s="5" t="n"/>
      <c r="AF317" s="5" t="n"/>
      <c r="AG317" s="5" t="n"/>
    </row>
    <row r="318" outlineLevel="1" s="326">
      <c r="A318" s="140" t="n">
        <v>18</v>
      </c>
      <c r="B318" s="40">
        <f>B97</f>
        <v/>
      </c>
      <c r="C318" s="141">
        <f>D97</f>
        <v/>
      </c>
      <c r="D318" s="141">
        <f>I97</f>
        <v/>
      </c>
      <c r="E318" s="141">
        <f>J97</f>
        <v/>
      </c>
      <c r="F318" s="141">
        <f>K97</f>
        <v/>
      </c>
      <c r="G318" s="138">
        <f>IF(AND($L$228&gt;0,A318=$C$13),$L$228*($C$15+$C$18),0)+IF(AND($L$228&gt;0,A318=$C$13),$C$24,0)</f>
        <v/>
      </c>
      <c r="H318" s="138">
        <f>IF(OR($L$228&lt;=0,A318&lt;$C$13),0,IF(AND($L$228&gt;0,$C$17&gt;0,A318&gt;=$C$13,A318&lt;($C$13+$C$17)),IF($C$17&lt;=0,0,IF($C$16=0,MAX($L$228*(1-$C$15),0)/$C$17,-PMT($C$16/12,$C$17*12,MAX($L$228*(1-$C$15),0))*12)),0)+X318*($C$19+$C$20+$C$21)+$C$22+$C$23)</f>
        <v/>
      </c>
      <c r="I318" s="138">
        <f>IF(B318="Working",MIN(MAX(D318-E318-F318-G318-H318,0),'Tax Assumptions'!$B$20),0)</f>
        <v/>
      </c>
      <c r="J318" s="138">
        <f>IF(B318="Working",D318-E318-F318-I318-G318-H318,-L318)</f>
        <v/>
      </c>
      <c r="K318" s="141">
        <f>IF(B318="Retired",$N$228+G318+H318,0)</f>
        <v/>
      </c>
      <c r="L318" s="141">
        <f>M318+N318+O318+P318</f>
        <v/>
      </c>
      <c r="M318" s="141">
        <f>IF(B318="Retired",MIN(((Q317)*(1+$C$10)+IF(B318="Working",J318,0)),K318),0)</f>
        <v/>
      </c>
      <c r="N318" s="141">
        <f>IF(B318="Retired",MIN(MAX(K318-M318,0),((R317)*(1+$C$10)+IF(B318="Working",E97,0))),0)</f>
        <v/>
      </c>
      <c r="O318" s="141">
        <f>IF(B318="Retired",MIN(MAX(K318-M318-N318,0),((S317)*(1+$C$10)+IF(B318="Working",I318,0))),0)</f>
        <v/>
      </c>
      <c r="P318" s="141">
        <f>IF(B318="Retired",MIN(MAX(K318-M318-N318-O318,0),((T317)*(1+$C$10)+IF(B318="Working",F97,0))),0)</f>
        <v/>
      </c>
      <c r="Q318" s="138">
        <f>MAX(((Q317)*(1+$C$10)+IF(B318="Working",J318,0))-M318,0)</f>
        <v/>
      </c>
      <c r="R318" s="138">
        <f>MAX(((R317)*(1+$C$10)+IF(B318="Working",E97,0))-N318,0)</f>
        <v/>
      </c>
      <c r="S318" s="138">
        <f>MAX(((S317)*(1+$C$10)+IF(B318="Working",I318,0))-O318,0)</f>
        <v/>
      </c>
      <c r="T318" s="138">
        <f>MAX(((T317)*(1+$C$10)+IF(B318="Working",F97,0))-P318,0)</f>
        <v/>
      </c>
      <c r="U318" s="138">
        <f>Q318+R318+S318+T318</f>
        <v/>
      </c>
      <c r="V318" s="138">
        <f>IF(B318="Working",MAX(-(((Q317)*(1+$C$10)+IF(B318="Working",J318,0))),0),MAX(K318-L318,0))</f>
        <v/>
      </c>
      <c r="W318" s="138">
        <f>IF(OR(A318&gt;=$C$13,B318="Retired"),IF(V318&gt;0,-V318,U318-'Model Inputs'!$B$18),"")</f>
        <v/>
      </c>
      <c r="X318" s="138">
        <f>IF(AND($L$228&gt;0,A318&gt;=$C$13),$L$228*(1+$C$25)^(A318-$C$13),0)</f>
        <v/>
      </c>
      <c r="Y318" s="138">
        <f>IF(OR($L$228&lt;=0,$C$17&lt;=0,A318&lt;$C$13,MIN(MAX((A318-$C$13+1)*12,0),$C$17*12)&gt;=$C$17*12),0,IF($C$16=0,MAX(MAX($L$228*(1-$C$15),0)-(IF($C$17&lt;=0,0,IF($C$16=0,MAX($L$228*(1-$C$15),0)/$C$17,-PMT($C$16/12,$C$17*12,MAX($L$228*(1-$C$15),0))*12))/12)*MIN(MAX((A318-$C$13+1)*12,0),$C$17*12),0),MAX(MAX($L$228*(1-$C$15),0)*(1+$C$16/12)^MIN(MAX((A318-$C$13+1)*12,0),$C$17*12)-(IF($C$17&lt;=0,0,IF($C$16=0,MAX($L$228*(1-$C$15),0)/$C$17,-PMT($C$16/12,$C$17*12,MAX($L$228*(1-$C$15),0))*12))/12)*(((1+$C$16/12)^MIN(MAX((A318-$C$13+1)*12,0),$C$17*12)-1)/($C$16/12)),0)))</f>
        <v/>
      </c>
      <c r="Z318" s="138">
        <f>MAX(X318-Y318,0)</f>
        <v/>
      </c>
      <c r="AA318" s="142">
        <f>U318+Z318</f>
        <v/>
      </c>
      <c r="AB318" s="5" t="n"/>
      <c r="AC318" s="5" t="n"/>
      <c r="AD318" s="5" t="n"/>
      <c r="AE318" s="5" t="n"/>
      <c r="AF318" s="5" t="n"/>
      <c r="AG318" s="5" t="n"/>
    </row>
    <row r="319" outlineLevel="1" s="326">
      <c r="A319" s="136" t="n">
        <v>19</v>
      </c>
      <c r="B319" s="72">
        <f>B98</f>
        <v/>
      </c>
      <c r="C319" s="137">
        <f>D98</f>
        <v/>
      </c>
      <c r="D319" s="137">
        <f>I98</f>
        <v/>
      </c>
      <c r="E319" s="137">
        <f>J98</f>
        <v/>
      </c>
      <c r="F319" s="137">
        <f>K98</f>
        <v/>
      </c>
      <c r="G319" s="138">
        <f>IF(AND($L$228&gt;0,A319=$C$13),$L$228*($C$15+$C$18),0)+IF(AND($L$228&gt;0,A319=$C$13),$C$24,0)</f>
        <v/>
      </c>
      <c r="H319" s="138">
        <f>IF(OR($L$228&lt;=0,A319&lt;$C$13),0,IF(AND($L$228&gt;0,$C$17&gt;0,A319&gt;=$C$13,A319&lt;($C$13+$C$17)),IF($C$17&lt;=0,0,IF($C$16=0,MAX($L$228*(1-$C$15),0)/$C$17,-PMT($C$16/12,$C$17*12,MAX($L$228*(1-$C$15),0))*12)),0)+X319*($C$19+$C$20+$C$21)+$C$22+$C$23)</f>
        <v/>
      </c>
      <c r="I319" s="138">
        <f>IF(B319="Working",MIN(MAX(D319-E319-F319-G319-H319,0),'Tax Assumptions'!$B$20),0)</f>
        <v/>
      </c>
      <c r="J319" s="138">
        <f>IF(B319="Working",D319-E319-F319-I319-G319-H319,-L319)</f>
        <v/>
      </c>
      <c r="K319" s="137">
        <f>IF(B319="Retired",$N$228+G319+H319,0)</f>
        <v/>
      </c>
      <c r="L319" s="137">
        <f>M319+N319+O319+P319</f>
        <v/>
      </c>
      <c r="M319" s="137">
        <f>IF(B319="Retired",MIN(((Q318)*(1+$C$10)+IF(B319="Working",J319,0)),K319),0)</f>
        <v/>
      </c>
      <c r="N319" s="137">
        <f>IF(B319="Retired",MIN(MAX(K319-M319,0),((R318)*(1+$C$10)+IF(B319="Working",E98,0))),0)</f>
        <v/>
      </c>
      <c r="O319" s="137">
        <f>IF(B319="Retired",MIN(MAX(K319-M319-N319,0),((S318)*(1+$C$10)+IF(B319="Working",I319,0))),0)</f>
        <v/>
      </c>
      <c r="P319" s="137">
        <f>IF(B319="Retired",MIN(MAX(K319-M319-N319-O319,0),((T318)*(1+$C$10)+IF(B319="Working",F98,0))),0)</f>
        <v/>
      </c>
      <c r="Q319" s="138">
        <f>MAX(((Q318)*(1+$C$10)+IF(B319="Working",J319,0))-M319,0)</f>
        <v/>
      </c>
      <c r="R319" s="138">
        <f>MAX(((R318)*(1+$C$10)+IF(B319="Working",E98,0))-N319,0)</f>
        <v/>
      </c>
      <c r="S319" s="138">
        <f>MAX(((S318)*(1+$C$10)+IF(B319="Working",I319,0))-O319,0)</f>
        <v/>
      </c>
      <c r="T319" s="138">
        <f>MAX(((T318)*(1+$C$10)+IF(B319="Working",F98,0))-P319,0)</f>
        <v/>
      </c>
      <c r="U319" s="138">
        <f>Q319+R319+S319+T319</f>
        <v/>
      </c>
      <c r="V319" s="138">
        <f>IF(B319="Working",MAX(-(((Q318)*(1+$C$10)+IF(B319="Working",J319,0))),0),MAX(K319-L319,0))</f>
        <v/>
      </c>
      <c r="W319" s="138">
        <f>IF(OR(A319&gt;=$C$13,B319="Retired"),IF(V319&gt;0,-V319,U319-'Model Inputs'!$B$18),"")</f>
        <v/>
      </c>
      <c r="X319" s="138">
        <f>IF(AND($L$228&gt;0,A319&gt;=$C$13),$L$228*(1+$C$25)^(A319-$C$13),0)</f>
        <v/>
      </c>
      <c r="Y319" s="138">
        <f>IF(OR($L$228&lt;=0,$C$17&lt;=0,A319&lt;$C$13,MIN(MAX((A319-$C$13+1)*12,0),$C$17*12)&gt;=$C$17*12),0,IF($C$16=0,MAX(MAX($L$228*(1-$C$15),0)-(IF($C$17&lt;=0,0,IF($C$16=0,MAX($L$228*(1-$C$15),0)/$C$17,-PMT($C$16/12,$C$17*12,MAX($L$228*(1-$C$15),0))*12))/12)*MIN(MAX((A319-$C$13+1)*12,0),$C$17*12),0),MAX(MAX($L$228*(1-$C$15),0)*(1+$C$16/12)^MIN(MAX((A319-$C$13+1)*12,0),$C$17*12)-(IF($C$17&lt;=0,0,IF($C$16=0,MAX($L$228*(1-$C$15),0)/$C$17,-PMT($C$16/12,$C$17*12,MAX($L$228*(1-$C$15),0))*12))/12)*(((1+$C$16/12)^MIN(MAX((A319-$C$13+1)*12,0),$C$17*12)-1)/($C$16/12)),0)))</f>
        <v/>
      </c>
      <c r="Z319" s="138">
        <f>MAX(X319-Y319,0)</f>
        <v/>
      </c>
      <c r="AA319" s="139">
        <f>U319+Z319</f>
        <v/>
      </c>
      <c r="AB319" s="5" t="n"/>
      <c r="AC319" s="5" t="n"/>
      <c r="AD319" s="5" t="n"/>
      <c r="AE319" s="5" t="n"/>
      <c r="AF319" s="5" t="n"/>
      <c r="AG319" s="5" t="n"/>
    </row>
    <row r="320" outlineLevel="1" s="326">
      <c r="A320" s="140" t="n">
        <v>20</v>
      </c>
      <c r="B320" s="40">
        <f>B99</f>
        <v/>
      </c>
      <c r="C320" s="141">
        <f>D99</f>
        <v/>
      </c>
      <c r="D320" s="141">
        <f>I99</f>
        <v/>
      </c>
      <c r="E320" s="141">
        <f>J99</f>
        <v/>
      </c>
      <c r="F320" s="141">
        <f>K99</f>
        <v/>
      </c>
      <c r="G320" s="138">
        <f>IF(AND($L$228&gt;0,A320=$C$13),$L$228*($C$15+$C$18),0)+IF(AND($L$228&gt;0,A320=$C$13),$C$24,0)</f>
        <v/>
      </c>
      <c r="H320" s="138">
        <f>IF(OR($L$228&lt;=0,A320&lt;$C$13),0,IF(AND($L$228&gt;0,$C$17&gt;0,A320&gt;=$C$13,A320&lt;($C$13+$C$17)),IF($C$17&lt;=0,0,IF($C$16=0,MAX($L$228*(1-$C$15),0)/$C$17,-PMT($C$16/12,$C$17*12,MAX($L$228*(1-$C$15),0))*12)),0)+X320*($C$19+$C$20+$C$21)+$C$22+$C$23)</f>
        <v/>
      </c>
      <c r="I320" s="138">
        <f>IF(B320="Working",MIN(MAX(D320-E320-F320-G320-H320,0),'Tax Assumptions'!$B$20),0)</f>
        <v/>
      </c>
      <c r="J320" s="138">
        <f>IF(B320="Working",D320-E320-F320-I320-G320-H320,-L320)</f>
        <v/>
      </c>
      <c r="K320" s="141">
        <f>IF(B320="Retired",$N$228+G320+H320,0)</f>
        <v/>
      </c>
      <c r="L320" s="141">
        <f>M320+N320+O320+P320</f>
        <v/>
      </c>
      <c r="M320" s="141">
        <f>IF(B320="Retired",MIN(((Q319)*(1+$C$10)+IF(B320="Working",J320,0)),K320),0)</f>
        <v/>
      </c>
      <c r="N320" s="141">
        <f>IF(B320="Retired",MIN(MAX(K320-M320,0),((R319)*(1+$C$10)+IF(B320="Working",E99,0))),0)</f>
        <v/>
      </c>
      <c r="O320" s="141">
        <f>IF(B320="Retired",MIN(MAX(K320-M320-N320,0),((S319)*(1+$C$10)+IF(B320="Working",I320,0))),0)</f>
        <v/>
      </c>
      <c r="P320" s="141">
        <f>IF(B320="Retired",MIN(MAX(K320-M320-N320-O320,0),((T319)*(1+$C$10)+IF(B320="Working",F99,0))),0)</f>
        <v/>
      </c>
      <c r="Q320" s="138">
        <f>MAX(((Q319)*(1+$C$10)+IF(B320="Working",J320,0))-M320,0)</f>
        <v/>
      </c>
      <c r="R320" s="138">
        <f>MAX(((R319)*(1+$C$10)+IF(B320="Working",E99,0))-N320,0)</f>
        <v/>
      </c>
      <c r="S320" s="138">
        <f>MAX(((S319)*(1+$C$10)+IF(B320="Working",I320,0))-O320,0)</f>
        <v/>
      </c>
      <c r="T320" s="138">
        <f>MAX(((T319)*(1+$C$10)+IF(B320="Working",F99,0))-P320,0)</f>
        <v/>
      </c>
      <c r="U320" s="138">
        <f>Q320+R320+S320+T320</f>
        <v/>
      </c>
      <c r="V320" s="138">
        <f>IF(B320="Working",MAX(-(((Q319)*(1+$C$10)+IF(B320="Working",J320,0))),0),MAX(K320-L320,0))</f>
        <v/>
      </c>
      <c r="W320" s="138">
        <f>IF(OR(A320&gt;=$C$13,B320="Retired"),IF(V320&gt;0,-V320,U320-'Model Inputs'!$B$18),"")</f>
        <v/>
      </c>
      <c r="X320" s="138">
        <f>IF(AND($L$228&gt;0,A320&gt;=$C$13),$L$228*(1+$C$25)^(A320-$C$13),0)</f>
        <v/>
      </c>
      <c r="Y320" s="138">
        <f>IF(OR($L$228&lt;=0,$C$17&lt;=0,A320&lt;$C$13,MIN(MAX((A320-$C$13+1)*12,0),$C$17*12)&gt;=$C$17*12),0,IF($C$16=0,MAX(MAX($L$228*(1-$C$15),0)-(IF($C$17&lt;=0,0,IF($C$16=0,MAX($L$228*(1-$C$15),0)/$C$17,-PMT($C$16/12,$C$17*12,MAX($L$228*(1-$C$15),0))*12))/12)*MIN(MAX((A320-$C$13+1)*12,0),$C$17*12),0),MAX(MAX($L$228*(1-$C$15),0)*(1+$C$16/12)^MIN(MAX((A320-$C$13+1)*12,0),$C$17*12)-(IF($C$17&lt;=0,0,IF($C$16=0,MAX($L$228*(1-$C$15),0)/$C$17,-PMT($C$16/12,$C$17*12,MAX($L$228*(1-$C$15),0))*12))/12)*(((1+$C$16/12)^MIN(MAX((A320-$C$13+1)*12,0),$C$17*12)-1)/($C$16/12)),0)))</f>
        <v/>
      </c>
      <c r="Z320" s="138">
        <f>MAX(X320-Y320,0)</f>
        <v/>
      </c>
      <c r="AA320" s="142">
        <f>U320+Z320</f>
        <v/>
      </c>
      <c r="AB320" s="5" t="n"/>
      <c r="AC320" s="5" t="n"/>
      <c r="AD320" s="5" t="n"/>
      <c r="AE320" s="5" t="n"/>
      <c r="AF320" s="5" t="n"/>
      <c r="AG320" s="5" t="n"/>
    </row>
    <row r="321" outlineLevel="1" s="326">
      <c r="A321" s="136" t="n">
        <v>21</v>
      </c>
      <c r="B321" s="72">
        <f>B100</f>
        <v/>
      </c>
      <c r="C321" s="137">
        <f>D100</f>
        <v/>
      </c>
      <c r="D321" s="137">
        <f>I100</f>
        <v/>
      </c>
      <c r="E321" s="137">
        <f>J100</f>
        <v/>
      </c>
      <c r="F321" s="137">
        <f>K100</f>
        <v/>
      </c>
      <c r="G321" s="138">
        <f>IF(AND($L$228&gt;0,A321=$C$13),$L$228*($C$15+$C$18),0)+IF(AND($L$228&gt;0,A321=$C$13),$C$24,0)</f>
        <v/>
      </c>
      <c r="H321" s="138">
        <f>IF(OR($L$228&lt;=0,A321&lt;$C$13),0,IF(AND($L$228&gt;0,$C$17&gt;0,A321&gt;=$C$13,A321&lt;($C$13+$C$17)),IF($C$17&lt;=0,0,IF($C$16=0,MAX($L$228*(1-$C$15),0)/$C$17,-PMT($C$16/12,$C$17*12,MAX($L$228*(1-$C$15),0))*12)),0)+X321*($C$19+$C$20+$C$21)+$C$22+$C$23)</f>
        <v/>
      </c>
      <c r="I321" s="138">
        <f>IF(B321="Working",MIN(MAX(D321-E321-F321-G321-H321,0),'Tax Assumptions'!$B$20),0)</f>
        <v/>
      </c>
      <c r="J321" s="138">
        <f>IF(B321="Working",D321-E321-F321-I321-G321-H321,-L321)</f>
        <v/>
      </c>
      <c r="K321" s="137">
        <f>IF(B321="Retired",$N$228+G321+H321,0)</f>
        <v/>
      </c>
      <c r="L321" s="137">
        <f>M321+N321+O321+P321</f>
        <v/>
      </c>
      <c r="M321" s="137">
        <f>IF(B321="Retired",MIN(((Q320)*(1+$C$10)+IF(B321="Working",J321,0)),K321),0)</f>
        <v/>
      </c>
      <c r="N321" s="137">
        <f>IF(B321="Retired",MIN(MAX(K321-M321,0),((R320)*(1+$C$10)+IF(B321="Working",E100,0))),0)</f>
        <v/>
      </c>
      <c r="O321" s="137">
        <f>IF(B321="Retired",MIN(MAX(K321-M321-N321,0),((S320)*(1+$C$10)+IF(B321="Working",I321,0))),0)</f>
        <v/>
      </c>
      <c r="P321" s="137">
        <f>IF(B321="Retired",MIN(MAX(K321-M321-N321-O321,0),((T320)*(1+$C$10)+IF(B321="Working",F100,0))),0)</f>
        <v/>
      </c>
      <c r="Q321" s="138">
        <f>MAX(((Q320)*(1+$C$10)+IF(B321="Working",J321,0))-M321,0)</f>
        <v/>
      </c>
      <c r="R321" s="138">
        <f>MAX(((R320)*(1+$C$10)+IF(B321="Working",E100,0))-N321,0)</f>
        <v/>
      </c>
      <c r="S321" s="138">
        <f>MAX(((S320)*(1+$C$10)+IF(B321="Working",I321,0))-O321,0)</f>
        <v/>
      </c>
      <c r="T321" s="138">
        <f>MAX(((T320)*(1+$C$10)+IF(B321="Working",F100,0))-P321,0)</f>
        <v/>
      </c>
      <c r="U321" s="138">
        <f>Q321+R321+S321+T321</f>
        <v/>
      </c>
      <c r="V321" s="138">
        <f>IF(B321="Working",MAX(-(((Q320)*(1+$C$10)+IF(B321="Working",J321,0))),0),MAX(K321-L321,0))</f>
        <v/>
      </c>
      <c r="W321" s="138">
        <f>IF(OR(A321&gt;=$C$13,B321="Retired"),IF(V321&gt;0,-V321,U321-'Model Inputs'!$B$18),"")</f>
        <v/>
      </c>
      <c r="X321" s="138">
        <f>IF(AND($L$228&gt;0,A321&gt;=$C$13),$L$228*(1+$C$25)^(A321-$C$13),0)</f>
        <v/>
      </c>
      <c r="Y321" s="138">
        <f>IF(OR($L$228&lt;=0,$C$17&lt;=0,A321&lt;$C$13,MIN(MAX((A321-$C$13+1)*12,0),$C$17*12)&gt;=$C$17*12),0,IF($C$16=0,MAX(MAX($L$228*(1-$C$15),0)-(IF($C$17&lt;=0,0,IF($C$16=0,MAX($L$228*(1-$C$15),0)/$C$17,-PMT($C$16/12,$C$17*12,MAX($L$228*(1-$C$15),0))*12))/12)*MIN(MAX((A321-$C$13+1)*12,0),$C$17*12),0),MAX(MAX($L$228*(1-$C$15),0)*(1+$C$16/12)^MIN(MAX((A321-$C$13+1)*12,0),$C$17*12)-(IF($C$17&lt;=0,0,IF($C$16=0,MAX($L$228*(1-$C$15),0)/$C$17,-PMT($C$16/12,$C$17*12,MAX($L$228*(1-$C$15),0))*12))/12)*(((1+$C$16/12)^MIN(MAX((A321-$C$13+1)*12,0),$C$17*12)-1)/($C$16/12)),0)))</f>
        <v/>
      </c>
      <c r="Z321" s="138">
        <f>MAX(X321-Y321,0)</f>
        <v/>
      </c>
      <c r="AA321" s="139">
        <f>U321+Z321</f>
        <v/>
      </c>
      <c r="AB321" s="5" t="n"/>
      <c r="AC321" s="5" t="n"/>
      <c r="AD321" s="5" t="n"/>
      <c r="AE321" s="5" t="n"/>
      <c r="AF321" s="5" t="n"/>
      <c r="AG321" s="5" t="n"/>
    </row>
    <row r="322" outlineLevel="1" s="326">
      <c r="A322" s="140" t="n">
        <v>22</v>
      </c>
      <c r="B322" s="40">
        <f>B101</f>
        <v/>
      </c>
      <c r="C322" s="141">
        <f>D101</f>
        <v/>
      </c>
      <c r="D322" s="141">
        <f>I101</f>
        <v/>
      </c>
      <c r="E322" s="141">
        <f>J101</f>
        <v/>
      </c>
      <c r="F322" s="141">
        <f>K101</f>
        <v/>
      </c>
      <c r="G322" s="138">
        <f>IF(AND($L$228&gt;0,A322=$C$13),$L$228*($C$15+$C$18),0)+IF(AND($L$228&gt;0,A322=$C$13),$C$24,0)</f>
        <v/>
      </c>
      <c r="H322" s="138">
        <f>IF(OR($L$228&lt;=0,A322&lt;$C$13),0,IF(AND($L$228&gt;0,$C$17&gt;0,A322&gt;=$C$13,A322&lt;($C$13+$C$17)),IF($C$17&lt;=0,0,IF($C$16=0,MAX($L$228*(1-$C$15),0)/$C$17,-PMT($C$16/12,$C$17*12,MAX($L$228*(1-$C$15),0))*12)),0)+X322*($C$19+$C$20+$C$21)+$C$22+$C$23)</f>
        <v/>
      </c>
      <c r="I322" s="138">
        <f>IF(B322="Working",MIN(MAX(D322-E322-F322-G322-H322,0),'Tax Assumptions'!$B$20),0)</f>
        <v/>
      </c>
      <c r="J322" s="138">
        <f>IF(B322="Working",D322-E322-F322-I322-G322-H322,-L322)</f>
        <v/>
      </c>
      <c r="K322" s="141">
        <f>IF(B322="Retired",$N$228+G322+H322,0)</f>
        <v/>
      </c>
      <c r="L322" s="141">
        <f>M322+N322+O322+P322</f>
        <v/>
      </c>
      <c r="M322" s="141">
        <f>IF(B322="Retired",MIN(((Q321)*(1+$C$10)+IF(B322="Working",J322,0)),K322),0)</f>
        <v/>
      </c>
      <c r="N322" s="141">
        <f>IF(B322="Retired",MIN(MAX(K322-M322,0),((R321)*(1+$C$10)+IF(B322="Working",E101,0))),0)</f>
        <v/>
      </c>
      <c r="O322" s="141">
        <f>IF(B322="Retired",MIN(MAX(K322-M322-N322,0),((S321)*(1+$C$10)+IF(B322="Working",I322,0))),0)</f>
        <v/>
      </c>
      <c r="P322" s="141">
        <f>IF(B322="Retired",MIN(MAX(K322-M322-N322-O322,0),((T321)*(1+$C$10)+IF(B322="Working",F101,0))),0)</f>
        <v/>
      </c>
      <c r="Q322" s="138">
        <f>MAX(((Q321)*(1+$C$10)+IF(B322="Working",J322,0))-M322,0)</f>
        <v/>
      </c>
      <c r="R322" s="138">
        <f>MAX(((R321)*(1+$C$10)+IF(B322="Working",E101,0))-N322,0)</f>
        <v/>
      </c>
      <c r="S322" s="138">
        <f>MAX(((S321)*(1+$C$10)+IF(B322="Working",I322,0))-O322,0)</f>
        <v/>
      </c>
      <c r="T322" s="138">
        <f>MAX(((T321)*(1+$C$10)+IF(B322="Working",F101,0))-P322,0)</f>
        <v/>
      </c>
      <c r="U322" s="138">
        <f>Q322+R322+S322+T322</f>
        <v/>
      </c>
      <c r="V322" s="138">
        <f>IF(B322="Working",MAX(-(((Q321)*(1+$C$10)+IF(B322="Working",J322,0))),0),MAX(K322-L322,0))</f>
        <v/>
      </c>
      <c r="W322" s="138">
        <f>IF(OR(A322&gt;=$C$13,B322="Retired"),IF(V322&gt;0,-V322,U322-'Model Inputs'!$B$18),"")</f>
        <v/>
      </c>
      <c r="X322" s="138">
        <f>IF(AND($L$228&gt;0,A322&gt;=$C$13),$L$228*(1+$C$25)^(A322-$C$13),0)</f>
        <v/>
      </c>
      <c r="Y322" s="138">
        <f>IF(OR($L$228&lt;=0,$C$17&lt;=0,A322&lt;$C$13,MIN(MAX((A322-$C$13+1)*12,0),$C$17*12)&gt;=$C$17*12),0,IF($C$16=0,MAX(MAX($L$228*(1-$C$15),0)-(IF($C$17&lt;=0,0,IF($C$16=0,MAX($L$228*(1-$C$15),0)/$C$17,-PMT($C$16/12,$C$17*12,MAX($L$228*(1-$C$15),0))*12))/12)*MIN(MAX((A322-$C$13+1)*12,0),$C$17*12),0),MAX(MAX($L$228*(1-$C$15),0)*(1+$C$16/12)^MIN(MAX((A322-$C$13+1)*12,0),$C$17*12)-(IF($C$17&lt;=0,0,IF($C$16=0,MAX($L$228*(1-$C$15),0)/$C$17,-PMT($C$16/12,$C$17*12,MAX($L$228*(1-$C$15),0))*12))/12)*(((1+$C$16/12)^MIN(MAX((A322-$C$13+1)*12,0),$C$17*12)-1)/($C$16/12)),0)))</f>
        <v/>
      </c>
      <c r="Z322" s="138">
        <f>MAX(X322-Y322,0)</f>
        <v/>
      </c>
      <c r="AA322" s="142">
        <f>U322+Z322</f>
        <v/>
      </c>
      <c r="AB322" s="5" t="n"/>
      <c r="AC322" s="5" t="n"/>
      <c r="AD322" s="5" t="n"/>
      <c r="AE322" s="5" t="n"/>
      <c r="AF322" s="5" t="n"/>
      <c r="AG322" s="5" t="n"/>
    </row>
    <row r="323" outlineLevel="1" s="326">
      <c r="A323" s="136" t="n">
        <v>23</v>
      </c>
      <c r="B323" s="72">
        <f>B102</f>
        <v/>
      </c>
      <c r="C323" s="137">
        <f>D102</f>
        <v/>
      </c>
      <c r="D323" s="137">
        <f>I102</f>
        <v/>
      </c>
      <c r="E323" s="137">
        <f>J102</f>
        <v/>
      </c>
      <c r="F323" s="137">
        <f>K102</f>
        <v/>
      </c>
      <c r="G323" s="138">
        <f>IF(AND($L$228&gt;0,A323=$C$13),$L$228*($C$15+$C$18),0)+IF(AND($L$228&gt;0,A323=$C$13),$C$24,0)</f>
        <v/>
      </c>
      <c r="H323" s="138">
        <f>IF(OR($L$228&lt;=0,A323&lt;$C$13),0,IF(AND($L$228&gt;0,$C$17&gt;0,A323&gt;=$C$13,A323&lt;($C$13+$C$17)),IF($C$17&lt;=0,0,IF($C$16=0,MAX($L$228*(1-$C$15),0)/$C$17,-PMT($C$16/12,$C$17*12,MAX($L$228*(1-$C$15),0))*12)),0)+X323*($C$19+$C$20+$C$21)+$C$22+$C$23)</f>
        <v/>
      </c>
      <c r="I323" s="138">
        <f>IF(B323="Working",MIN(MAX(D323-E323-F323-G323-H323,0),'Tax Assumptions'!$B$20),0)</f>
        <v/>
      </c>
      <c r="J323" s="138">
        <f>IF(B323="Working",D323-E323-F323-I323-G323-H323,-L323)</f>
        <v/>
      </c>
      <c r="K323" s="137">
        <f>IF(B323="Retired",$N$228+G323+H323,0)</f>
        <v/>
      </c>
      <c r="L323" s="137">
        <f>M323+N323+O323+P323</f>
        <v/>
      </c>
      <c r="M323" s="137">
        <f>IF(B323="Retired",MIN(((Q322)*(1+$C$10)+IF(B323="Working",J323,0)),K323),0)</f>
        <v/>
      </c>
      <c r="N323" s="137">
        <f>IF(B323="Retired",MIN(MAX(K323-M323,0),((R322)*(1+$C$10)+IF(B323="Working",E102,0))),0)</f>
        <v/>
      </c>
      <c r="O323" s="137">
        <f>IF(B323="Retired",MIN(MAX(K323-M323-N323,0),((S322)*(1+$C$10)+IF(B323="Working",I323,0))),0)</f>
        <v/>
      </c>
      <c r="P323" s="137">
        <f>IF(B323="Retired",MIN(MAX(K323-M323-N323-O323,0),((T322)*(1+$C$10)+IF(B323="Working",F102,0))),0)</f>
        <v/>
      </c>
      <c r="Q323" s="138">
        <f>MAX(((Q322)*(1+$C$10)+IF(B323="Working",J323,0))-M323,0)</f>
        <v/>
      </c>
      <c r="R323" s="138">
        <f>MAX(((R322)*(1+$C$10)+IF(B323="Working",E102,0))-N323,0)</f>
        <v/>
      </c>
      <c r="S323" s="138">
        <f>MAX(((S322)*(1+$C$10)+IF(B323="Working",I323,0))-O323,0)</f>
        <v/>
      </c>
      <c r="T323" s="138">
        <f>MAX(((T322)*(1+$C$10)+IF(B323="Working",F102,0))-P323,0)</f>
        <v/>
      </c>
      <c r="U323" s="138">
        <f>Q323+R323+S323+T323</f>
        <v/>
      </c>
      <c r="V323" s="138">
        <f>IF(B323="Working",MAX(-(((Q322)*(1+$C$10)+IF(B323="Working",J323,0))),0),MAX(K323-L323,0))</f>
        <v/>
      </c>
      <c r="W323" s="138">
        <f>IF(OR(A323&gt;=$C$13,B323="Retired"),IF(V323&gt;0,-V323,U323-'Model Inputs'!$B$18),"")</f>
        <v/>
      </c>
      <c r="X323" s="138">
        <f>IF(AND($L$228&gt;0,A323&gt;=$C$13),$L$228*(1+$C$25)^(A323-$C$13),0)</f>
        <v/>
      </c>
      <c r="Y323" s="138">
        <f>IF(OR($L$228&lt;=0,$C$17&lt;=0,A323&lt;$C$13,MIN(MAX((A323-$C$13+1)*12,0),$C$17*12)&gt;=$C$17*12),0,IF($C$16=0,MAX(MAX($L$228*(1-$C$15),0)-(IF($C$17&lt;=0,0,IF($C$16=0,MAX($L$228*(1-$C$15),0)/$C$17,-PMT($C$16/12,$C$17*12,MAX($L$228*(1-$C$15),0))*12))/12)*MIN(MAX((A323-$C$13+1)*12,0),$C$17*12),0),MAX(MAX($L$228*(1-$C$15),0)*(1+$C$16/12)^MIN(MAX((A323-$C$13+1)*12,0),$C$17*12)-(IF($C$17&lt;=0,0,IF($C$16=0,MAX($L$228*(1-$C$15),0)/$C$17,-PMT($C$16/12,$C$17*12,MAX($L$228*(1-$C$15),0))*12))/12)*(((1+$C$16/12)^MIN(MAX((A323-$C$13+1)*12,0),$C$17*12)-1)/($C$16/12)),0)))</f>
        <v/>
      </c>
      <c r="Z323" s="138">
        <f>MAX(X323-Y323,0)</f>
        <v/>
      </c>
      <c r="AA323" s="139">
        <f>U323+Z323</f>
        <v/>
      </c>
      <c r="AB323" s="5" t="n"/>
      <c r="AC323" s="5" t="n"/>
      <c r="AD323" s="5" t="n"/>
      <c r="AE323" s="5" t="n"/>
      <c r="AF323" s="5" t="n"/>
      <c r="AG323" s="5" t="n"/>
    </row>
    <row r="324" outlineLevel="1" s="326">
      <c r="A324" s="140" t="n">
        <v>24</v>
      </c>
      <c r="B324" s="40">
        <f>B103</f>
        <v/>
      </c>
      <c r="C324" s="141">
        <f>D103</f>
        <v/>
      </c>
      <c r="D324" s="141">
        <f>I103</f>
        <v/>
      </c>
      <c r="E324" s="141">
        <f>J103</f>
        <v/>
      </c>
      <c r="F324" s="141">
        <f>K103</f>
        <v/>
      </c>
      <c r="G324" s="138">
        <f>IF(AND($L$228&gt;0,A324=$C$13),$L$228*($C$15+$C$18),0)+IF(AND($L$228&gt;0,A324=$C$13),$C$24,0)</f>
        <v/>
      </c>
      <c r="H324" s="138">
        <f>IF(OR($L$228&lt;=0,A324&lt;$C$13),0,IF(AND($L$228&gt;0,$C$17&gt;0,A324&gt;=$C$13,A324&lt;($C$13+$C$17)),IF($C$17&lt;=0,0,IF($C$16=0,MAX($L$228*(1-$C$15),0)/$C$17,-PMT($C$16/12,$C$17*12,MAX($L$228*(1-$C$15),0))*12)),0)+X324*($C$19+$C$20+$C$21)+$C$22+$C$23)</f>
        <v/>
      </c>
      <c r="I324" s="138">
        <f>IF(B324="Working",MIN(MAX(D324-E324-F324-G324-H324,0),'Tax Assumptions'!$B$20),0)</f>
        <v/>
      </c>
      <c r="J324" s="138">
        <f>IF(B324="Working",D324-E324-F324-I324-G324-H324,-L324)</f>
        <v/>
      </c>
      <c r="K324" s="141">
        <f>IF(B324="Retired",$N$228+G324+H324,0)</f>
        <v/>
      </c>
      <c r="L324" s="141">
        <f>M324+N324+O324+P324</f>
        <v/>
      </c>
      <c r="M324" s="141">
        <f>IF(B324="Retired",MIN(((Q323)*(1+$C$10)+IF(B324="Working",J324,0)),K324),0)</f>
        <v/>
      </c>
      <c r="N324" s="141">
        <f>IF(B324="Retired",MIN(MAX(K324-M324,0),((R323)*(1+$C$10)+IF(B324="Working",E103,0))),0)</f>
        <v/>
      </c>
      <c r="O324" s="141">
        <f>IF(B324="Retired",MIN(MAX(K324-M324-N324,0),((S323)*(1+$C$10)+IF(B324="Working",I324,0))),0)</f>
        <v/>
      </c>
      <c r="P324" s="141">
        <f>IF(B324="Retired",MIN(MAX(K324-M324-N324-O324,0),((T323)*(1+$C$10)+IF(B324="Working",F103,0))),0)</f>
        <v/>
      </c>
      <c r="Q324" s="138">
        <f>MAX(((Q323)*(1+$C$10)+IF(B324="Working",J324,0))-M324,0)</f>
        <v/>
      </c>
      <c r="R324" s="138">
        <f>MAX(((R323)*(1+$C$10)+IF(B324="Working",E103,0))-N324,0)</f>
        <v/>
      </c>
      <c r="S324" s="138">
        <f>MAX(((S323)*(1+$C$10)+IF(B324="Working",I324,0))-O324,0)</f>
        <v/>
      </c>
      <c r="T324" s="138">
        <f>MAX(((T323)*(1+$C$10)+IF(B324="Working",F103,0))-P324,0)</f>
        <v/>
      </c>
      <c r="U324" s="138">
        <f>Q324+R324+S324+T324</f>
        <v/>
      </c>
      <c r="V324" s="138">
        <f>IF(B324="Working",MAX(-(((Q323)*(1+$C$10)+IF(B324="Working",J324,0))),0),MAX(K324-L324,0))</f>
        <v/>
      </c>
      <c r="W324" s="138">
        <f>IF(OR(A324&gt;=$C$13,B324="Retired"),IF(V324&gt;0,-V324,U324-'Model Inputs'!$B$18),"")</f>
        <v/>
      </c>
      <c r="X324" s="138">
        <f>IF(AND($L$228&gt;0,A324&gt;=$C$13),$L$228*(1+$C$25)^(A324-$C$13),0)</f>
        <v/>
      </c>
      <c r="Y324" s="138">
        <f>IF(OR($L$228&lt;=0,$C$17&lt;=0,A324&lt;$C$13,MIN(MAX((A324-$C$13+1)*12,0),$C$17*12)&gt;=$C$17*12),0,IF($C$16=0,MAX(MAX($L$228*(1-$C$15),0)-(IF($C$17&lt;=0,0,IF($C$16=0,MAX($L$228*(1-$C$15),0)/$C$17,-PMT($C$16/12,$C$17*12,MAX($L$228*(1-$C$15),0))*12))/12)*MIN(MAX((A324-$C$13+1)*12,0),$C$17*12),0),MAX(MAX($L$228*(1-$C$15),0)*(1+$C$16/12)^MIN(MAX((A324-$C$13+1)*12,0),$C$17*12)-(IF($C$17&lt;=0,0,IF($C$16=0,MAX($L$228*(1-$C$15),0)/$C$17,-PMT($C$16/12,$C$17*12,MAX($L$228*(1-$C$15),0))*12))/12)*(((1+$C$16/12)^MIN(MAX((A324-$C$13+1)*12,0),$C$17*12)-1)/($C$16/12)),0)))</f>
        <v/>
      </c>
      <c r="Z324" s="138">
        <f>MAX(X324-Y324,0)</f>
        <v/>
      </c>
      <c r="AA324" s="142">
        <f>U324+Z324</f>
        <v/>
      </c>
      <c r="AB324" s="5" t="n"/>
      <c r="AC324" s="5" t="n"/>
      <c r="AD324" s="5" t="n"/>
      <c r="AE324" s="5" t="n"/>
      <c r="AF324" s="5" t="n"/>
      <c r="AG324" s="5" t="n"/>
    </row>
    <row r="325" outlineLevel="1" s="326">
      <c r="A325" s="136" t="n">
        <v>25</v>
      </c>
      <c r="B325" s="72">
        <f>B104</f>
        <v/>
      </c>
      <c r="C325" s="137">
        <f>D104</f>
        <v/>
      </c>
      <c r="D325" s="137">
        <f>I104</f>
        <v/>
      </c>
      <c r="E325" s="137">
        <f>J104</f>
        <v/>
      </c>
      <c r="F325" s="137">
        <f>K104</f>
        <v/>
      </c>
      <c r="G325" s="138">
        <f>IF(AND($L$228&gt;0,A325=$C$13),$L$228*($C$15+$C$18),0)+IF(AND($L$228&gt;0,A325=$C$13),$C$24,0)</f>
        <v/>
      </c>
      <c r="H325" s="138">
        <f>IF(OR($L$228&lt;=0,A325&lt;$C$13),0,IF(AND($L$228&gt;0,$C$17&gt;0,A325&gt;=$C$13,A325&lt;($C$13+$C$17)),IF($C$17&lt;=0,0,IF($C$16=0,MAX($L$228*(1-$C$15),0)/$C$17,-PMT($C$16/12,$C$17*12,MAX($L$228*(1-$C$15),0))*12)),0)+X325*($C$19+$C$20+$C$21)+$C$22+$C$23)</f>
        <v/>
      </c>
      <c r="I325" s="138">
        <f>IF(B325="Working",MIN(MAX(D325-E325-F325-G325-H325,0),'Tax Assumptions'!$B$20),0)</f>
        <v/>
      </c>
      <c r="J325" s="138">
        <f>IF(B325="Working",D325-E325-F325-I325-G325-H325,-L325)</f>
        <v/>
      </c>
      <c r="K325" s="137">
        <f>IF(B325="Retired",$N$228+G325+H325,0)</f>
        <v/>
      </c>
      <c r="L325" s="137">
        <f>M325+N325+O325+P325</f>
        <v/>
      </c>
      <c r="M325" s="137">
        <f>IF(B325="Retired",MIN(((Q324)*(1+$C$10)+IF(B325="Working",J325,0)),K325),0)</f>
        <v/>
      </c>
      <c r="N325" s="137">
        <f>IF(B325="Retired",MIN(MAX(K325-M325,0),((R324)*(1+$C$10)+IF(B325="Working",E104,0))),0)</f>
        <v/>
      </c>
      <c r="O325" s="137">
        <f>IF(B325="Retired",MIN(MAX(K325-M325-N325,0),((S324)*(1+$C$10)+IF(B325="Working",I325,0))),0)</f>
        <v/>
      </c>
      <c r="P325" s="137">
        <f>IF(B325="Retired",MIN(MAX(K325-M325-N325-O325,0),((T324)*(1+$C$10)+IF(B325="Working",F104,0))),0)</f>
        <v/>
      </c>
      <c r="Q325" s="138">
        <f>MAX(((Q324)*(1+$C$10)+IF(B325="Working",J325,0))-M325,0)</f>
        <v/>
      </c>
      <c r="R325" s="138">
        <f>MAX(((R324)*(1+$C$10)+IF(B325="Working",E104,0))-N325,0)</f>
        <v/>
      </c>
      <c r="S325" s="138">
        <f>MAX(((S324)*(1+$C$10)+IF(B325="Working",I325,0))-O325,0)</f>
        <v/>
      </c>
      <c r="T325" s="138">
        <f>MAX(((T324)*(1+$C$10)+IF(B325="Working",F104,0))-P325,0)</f>
        <v/>
      </c>
      <c r="U325" s="138">
        <f>Q325+R325+S325+T325</f>
        <v/>
      </c>
      <c r="V325" s="138">
        <f>IF(B325="Working",MAX(-(((Q324)*(1+$C$10)+IF(B325="Working",J325,0))),0),MAX(K325-L325,0))</f>
        <v/>
      </c>
      <c r="W325" s="138">
        <f>IF(OR(A325&gt;=$C$13,B325="Retired"),IF(V325&gt;0,-V325,U325-'Model Inputs'!$B$18),"")</f>
        <v/>
      </c>
      <c r="X325" s="138">
        <f>IF(AND($L$228&gt;0,A325&gt;=$C$13),$L$228*(1+$C$25)^(A325-$C$13),0)</f>
        <v/>
      </c>
      <c r="Y325" s="138">
        <f>IF(OR($L$228&lt;=0,$C$17&lt;=0,A325&lt;$C$13,MIN(MAX((A325-$C$13+1)*12,0),$C$17*12)&gt;=$C$17*12),0,IF($C$16=0,MAX(MAX($L$228*(1-$C$15),0)-(IF($C$17&lt;=0,0,IF($C$16=0,MAX($L$228*(1-$C$15),0)/$C$17,-PMT($C$16/12,$C$17*12,MAX($L$228*(1-$C$15),0))*12))/12)*MIN(MAX((A325-$C$13+1)*12,0),$C$17*12),0),MAX(MAX($L$228*(1-$C$15),0)*(1+$C$16/12)^MIN(MAX((A325-$C$13+1)*12,0),$C$17*12)-(IF($C$17&lt;=0,0,IF($C$16=0,MAX($L$228*(1-$C$15),0)/$C$17,-PMT($C$16/12,$C$17*12,MAX($L$228*(1-$C$15),0))*12))/12)*(((1+$C$16/12)^MIN(MAX((A325-$C$13+1)*12,0),$C$17*12)-1)/($C$16/12)),0)))</f>
        <v/>
      </c>
      <c r="Z325" s="138">
        <f>MAX(X325-Y325,0)</f>
        <v/>
      </c>
      <c r="AA325" s="139">
        <f>U325+Z325</f>
        <v/>
      </c>
      <c r="AB325" s="5" t="n"/>
      <c r="AC325" s="5" t="n"/>
      <c r="AD325" s="5" t="n"/>
      <c r="AE325" s="5" t="n"/>
      <c r="AF325" s="5" t="n"/>
      <c r="AG325" s="5" t="n"/>
    </row>
    <row r="326" outlineLevel="1" s="326">
      <c r="A326" s="140" t="n">
        <v>26</v>
      </c>
      <c r="B326" s="40">
        <f>B105</f>
        <v/>
      </c>
      <c r="C326" s="141">
        <f>D105</f>
        <v/>
      </c>
      <c r="D326" s="141">
        <f>I105</f>
        <v/>
      </c>
      <c r="E326" s="141">
        <f>J105</f>
        <v/>
      </c>
      <c r="F326" s="141">
        <f>K105</f>
        <v/>
      </c>
      <c r="G326" s="138">
        <f>IF(AND($L$228&gt;0,A326=$C$13),$L$228*($C$15+$C$18),0)+IF(AND($L$228&gt;0,A326=$C$13),$C$24,0)</f>
        <v/>
      </c>
      <c r="H326" s="138">
        <f>IF(OR($L$228&lt;=0,A326&lt;$C$13),0,IF(AND($L$228&gt;0,$C$17&gt;0,A326&gt;=$C$13,A326&lt;($C$13+$C$17)),IF($C$17&lt;=0,0,IF($C$16=0,MAX($L$228*(1-$C$15),0)/$C$17,-PMT($C$16/12,$C$17*12,MAX($L$228*(1-$C$15),0))*12)),0)+X326*($C$19+$C$20+$C$21)+$C$22+$C$23)</f>
        <v/>
      </c>
      <c r="I326" s="138">
        <f>IF(B326="Working",MIN(MAX(D326-E326-F326-G326-H326,0),'Tax Assumptions'!$B$20),0)</f>
        <v/>
      </c>
      <c r="J326" s="138">
        <f>IF(B326="Working",D326-E326-F326-I326-G326-H326,-L326)</f>
        <v/>
      </c>
      <c r="K326" s="141">
        <f>IF(B326="Retired",$N$228+G326+H326,0)</f>
        <v/>
      </c>
      <c r="L326" s="141">
        <f>M326+N326+O326+P326</f>
        <v/>
      </c>
      <c r="M326" s="141">
        <f>IF(B326="Retired",MIN(((Q325)*(1+$C$10)+IF(B326="Working",J326,0)),K326),0)</f>
        <v/>
      </c>
      <c r="N326" s="141">
        <f>IF(B326="Retired",MIN(MAX(K326-M326,0),((R325)*(1+$C$10)+IF(B326="Working",E105,0))),0)</f>
        <v/>
      </c>
      <c r="O326" s="141">
        <f>IF(B326="Retired",MIN(MAX(K326-M326-N326,0),((S325)*(1+$C$10)+IF(B326="Working",I326,0))),0)</f>
        <v/>
      </c>
      <c r="P326" s="141">
        <f>IF(B326="Retired",MIN(MAX(K326-M326-N326-O326,0),((T325)*(1+$C$10)+IF(B326="Working",F105,0))),0)</f>
        <v/>
      </c>
      <c r="Q326" s="138">
        <f>MAX(((Q325)*(1+$C$10)+IF(B326="Working",J326,0))-M326,0)</f>
        <v/>
      </c>
      <c r="R326" s="138">
        <f>MAX(((R325)*(1+$C$10)+IF(B326="Working",E105,0))-N326,0)</f>
        <v/>
      </c>
      <c r="S326" s="138">
        <f>MAX(((S325)*(1+$C$10)+IF(B326="Working",I326,0))-O326,0)</f>
        <v/>
      </c>
      <c r="T326" s="138">
        <f>MAX(((T325)*(1+$C$10)+IF(B326="Working",F105,0))-P326,0)</f>
        <v/>
      </c>
      <c r="U326" s="138">
        <f>Q326+R326+S326+T326</f>
        <v/>
      </c>
      <c r="V326" s="138">
        <f>IF(B326="Working",MAX(-(((Q325)*(1+$C$10)+IF(B326="Working",J326,0))),0),MAX(K326-L326,0))</f>
        <v/>
      </c>
      <c r="W326" s="138">
        <f>IF(OR(A326&gt;=$C$13,B326="Retired"),IF(V326&gt;0,-V326,U326-'Model Inputs'!$B$18),"")</f>
        <v/>
      </c>
      <c r="X326" s="138">
        <f>IF(AND($L$228&gt;0,A326&gt;=$C$13),$L$228*(1+$C$25)^(A326-$C$13),0)</f>
        <v/>
      </c>
      <c r="Y326" s="138">
        <f>IF(OR($L$228&lt;=0,$C$17&lt;=0,A326&lt;$C$13,MIN(MAX((A326-$C$13+1)*12,0),$C$17*12)&gt;=$C$17*12),0,IF($C$16=0,MAX(MAX($L$228*(1-$C$15),0)-(IF($C$17&lt;=0,0,IF($C$16=0,MAX($L$228*(1-$C$15),0)/$C$17,-PMT($C$16/12,$C$17*12,MAX($L$228*(1-$C$15),0))*12))/12)*MIN(MAX((A326-$C$13+1)*12,0),$C$17*12),0),MAX(MAX($L$228*(1-$C$15),0)*(1+$C$16/12)^MIN(MAX((A326-$C$13+1)*12,0),$C$17*12)-(IF($C$17&lt;=0,0,IF($C$16=0,MAX($L$228*(1-$C$15),0)/$C$17,-PMT($C$16/12,$C$17*12,MAX($L$228*(1-$C$15),0))*12))/12)*(((1+$C$16/12)^MIN(MAX((A326-$C$13+1)*12,0),$C$17*12)-1)/($C$16/12)),0)))</f>
        <v/>
      </c>
      <c r="Z326" s="138">
        <f>MAX(X326-Y326,0)</f>
        <v/>
      </c>
      <c r="AA326" s="142">
        <f>U326+Z326</f>
        <v/>
      </c>
      <c r="AB326" s="5" t="n"/>
      <c r="AC326" s="5" t="n"/>
      <c r="AD326" s="5" t="n"/>
      <c r="AE326" s="5" t="n"/>
      <c r="AF326" s="5" t="n"/>
      <c r="AG326" s="5" t="n"/>
    </row>
    <row r="327" outlineLevel="1" s="326">
      <c r="A327" s="136" t="n">
        <v>27</v>
      </c>
      <c r="B327" s="72">
        <f>B106</f>
        <v/>
      </c>
      <c r="C327" s="137">
        <f>D106</f>
        <v/>
      </c>
      <c r="D327" s="137">
        <f>I106</f>
        <v/>
      </c>
      <c r="E327" s="137">
        <f>J106</f>
        <v/>
      </c>
      <c r="F327" s="137">
        <f>K106</f>
        <v/>
      </c>
      <c r="G327" s="138">
        <f>IF(AND($L$228&gt;0,A327=$C$13),$L$228*($C$15+$C$18),0)+IF(AND($L$228&gt;0,A327=$C$13),$C$24,0)</f>
        <v/>
      </c>
      <c r="H327" s="138">
        <f>IF(OR($L$228&lt;=0,A327&lt;$C$13),0,IF(AND($L$228&gt;0,$C$17&gt;0,A327&gt;=$C$13,A327&lt;($C$13+$C$17)),IF($C$17&lt;=0,0,IF($C$16=0,MAX($L$228*(1-$C$15),0)/$C$17,-PMT($C$16/12,$C$17*12,MAX($L$228*(1-$C$15),0))*12)),0)+X327*($C$19+$C$20+$C$21)+$C$22+$C$23)</f>
        <v/>
      </c>
      <c r="I327" s="138">
        <f>IF(B327="Working",MIN(MAX(D327-E327-F327-G327-H327,0),'Tax Assumptions'!$B$20),0)</f>
        <v/>
      </c>
      <c r="J327" s="138">
        <f>IF(B327="Working",D327-E327-F327-I327-G327-H327,-L327)</f>
        <v/>
      </c>
      <c r="K327" s="137">
        <f>IF(B327="Retired",$N$228+G327+H327,0)</f>
        <v/>
      </c>
      <c r="L327" s="137">
        <f>M327+N327+O327+P327</f>
        <v/>
      </c>
      <c r="M327" s="137">
        <f>IF(B327="Retired",MIN(((Q326)*(1+$C$10)+IF(B327="Working",J327,0)),K327),0)</f>
        <v/>
      </c>
      <c r="N327" s="137">
        <f>IF(B327="Retired",MIN(MAX(K327-M327,0),((R326)*(1+$C$10)+IF(B327="Working",E106,0))),0)</f>
        <v/>
      </c>
      <c r="O327" s="137">
        <f>IF(B327="Retired",MIN(MAX(K327-M327-N327,0),((S326)*(1+$C$10)+IF(B327="Working",I327,0))),0)</f>
        <v/>
      </c>
      <c r="P327" s="137">
        <f>IF(B327="Retired",MIN(MAX(K327-M327-N327-O327,0),((T326)*(1+$C$10)+IF(B327="Working",F106,0))),0)</f>
        <v/>
      </c>
      <c r="Q327" s="138">
        <f>MAX(((Q326)*(1+$C$10)+IF(B327="Working",J327,0))-M327,0)</f>
        <v/>
      </c>
      <c r="R327" s="138">
        <f>MAX(((R326)*(1+$C$10)+IF(B327="Working",E106,0))-N327,0)</f>
        <v/>
      </c>
      <c r="S327" s="138">
        <f>MAX(((S326)*(1+$C$10)+IF(B327="Working",I327,0))-O327,0)</f>
        <v/>
      </c>
      <c r="T327" s="138">
        <f>MAX(((T326)*(1+$C$10)+IF(B327="Working",F106,0))-P327,0)</f>
        <v/>
      </c>
      <c r="U327" s="138">
        <f>Q327+R327+S327+T327</f>
        <v/>
      </c>
      <c r="V327" s="138">
        <f>IF(B327="Working",MAX(-(((Q326)*(1+$C$10)+IF(B327="Working",J327,0))),0),MAX(K327-L327,0))</f>
        <v/>
      </c>
      <c r="W327" s="138">
        <f>IF(OR(A327&gt;=$C$13,B327="Retired"),IF(V327&gt;0,-V327,U327-'Model Inputs'!$B$18),"")</f>
        <v/>
      </c>
      <c r="X327" s="138">
        <f>IF(AND($L$228&gt;0,A327&gt;=$C$13),$L$228*(1+$C$25)^(A327-$C$13),0)</f>
        <v/>
      </c>
      <c r="Y327" s="138">
        <f>IF(OR($L$228&lt;=0,$C$17&lt;=0,A327&lt;$C$13,MIN(MAX((A327-$C$13+1)*12,0),$C$17*12)&gt;=$C$17*12),0,IF($C$16=0,MAX(MAX($L$228*(1-$C$15),0)-(IF($C$17&lt;=0,0,IF($C$16=0,MAX($L$228*(1-$C$15),0)/$C$17,-PMT($C$16/12,$C$17*12,MAX($L$228*(1-$C$15),0))*12))/12)*MIN(MAX((A327-$C$13+1)*12,0),$C$17*12),0),MAX(MAX($L$228*(1-$C$15),0)*(1+$C$16/12)^MIN(MAX((A327-$C$13+1)*12,0),$C$17*12)-(IF($C$17&lt;=0,0,IF($C$16=0,MAX($L$228*(1-$C$15),0)/$C$17,-PMT($C$16/12,$C$17*12,MAX($L$228*(1-$C$15),0))*12))/12)*(((1+$C$16/12)^MIN(MAX((A327-$C$13+1)*12,0),$C$17*12)-1)/($C$16/12)),0)))</f>
        <v/>
      </c>
      <c r="Z327" s="138">
        <f>MAX(X327-Y327,0)</f>
        <v/>
      </c>
      <c r="AA327" s="139">
        <f>U327+Z327</f>
        <v/>
      </c>
      <c r="AB327" s="5" t="n"/>
      <c r="AC327" s="5" t="n"/>
      <c r="AD327" s="5" t="n"/>
      <c r="AE327" s="5" t="n"/>
      <c r="AF327" s="5" t="n"/>
      <c r="AG327" s="5" t="n"/>
    </row>
    <row r="328" outlineLevel="1" s="326">
      <c r="A328" s="140" t="n">
        <v>28</v>
      </c>
      <c r="B328" s="40">
        <f>B107</f>
        <v/>
      </c>
      <c r="C328" s="141">
        <f>D107</f>
        <v/>
      </c>
      <c r="D328" s="141">
        <f>I107</f>
        <v/>
      </c>
      <c r="E328" s="141">
        <f>J107</f>
        <v/>
      </c>
      <c r="F328" s="141">
        <f>K107</f>
        <v/>
      </c>
      <c r="G328" s="138">
        <f>IF(AND($L$228&gt;0,A328=$C$13),$L$228*($C$15+$C$18),0)+IF(AND($L$228&gt;0,A328=$C$13),$C$24,0)</f>
        <v/>
      </c>
      <c r="H328" s="138">
        <f>IF(OR($L$228&lt;=0,A328&lt;$C$13),0,IF(AND($L$228&gt;0,$C$17&gt;0,A328&gt;=$C$13,A328&lt;($C$13+$C$17)),IF($C$17&lt;=0,0,IF($C$16=0,MAX($L$228*(1-$C$15),0)/$C$17,-PMT($C$16/12,$C$17*12,MAX($L$228*(1-$C$15),0))*12)),0)+X328*($C$19+$C$20+$C$21)+$C$22+$C$23)</f>
        <v/>
      </c>
      <c r="I328" s="138">
        <f>IF(B328="Working",MIN(MAX(D328-E328-F328-G328-H328,0),'Tax Assumptions'!$B$20),0)</f>
        <v/>
      </c>
      <c r="J328" s="138">
        <f>IF(B328="Working",D328-E328-F328-I328-G328-H328,-L328)</f>
        <v/>
      </c>
      <c r="K328" s="141">
        <f>IF(B328="Retired",$N$228+G328+H328,0)</f>
        <v/>
      </c>
      <c r="L328" s="141">
        <f>M328+N328+O328+P328</f>
        <v/>
      </c>
      <c r="M328" s="141">
        <f>IF(B328="Retired",MIN(((Q327)*(1+$C$10)+IF(B328="Working",J328,0)),K328),0)</f>
        <v/>
      </c>
      <c r="N328" s="141">
        <f>IF(B328="Retired",MIN(MAX(K328-M328,0),((R327)*(1+$C$10)+IF(B328="Working",E107,0))),0)</f>
        <v/>
      </c>
      <c r="O328" s="141">
        <f>IF(B328="Retired",MIN(MAX(K328-M328-N328,0),((S327)*(1+$C$10)+IF(B328="Working",I328,0))),0)</f>
        <v/>
      </c>
      <c r="P328" s="141">
        <f>IF(B328="Retired",MIN(MAX(K328-M328-N328-O328,0),((T327)*(1+$C$10)+IF(B328="Working",F107,0))),0)</f>
        <v/>
      </c>
      <c r="Q328" s="138">
        <f>MAX(((Q327)*(1+$C$10)+IF(B328="Working",J328,0))-M328,0)</f>
        <v/>
      </c>
      <c r="R328" s="138">
        <f>MAX(((R327)*(1+$C$10)+IF(B328="Working",E107,0))-N328,0)</f>
        <v/>
      </c>
      <c r="S328" s="138">
        <f>MAX(((S327)*(1+$C$10)+IF(B328="Working",I328,0))-O328,0)</f>
        <v/>
      </c>
      <c r="T328" s="138">
        <f>MAX(((T327)*(1+$C$10)+IF(B328="Working",F107,0))-P328,0)</f>
        <v/>
      </c>
      <c r="U328" s="138">
        <f>Q328+R328+S328+T328</f>
        <v/>
      </c>
      <c r="V328" s="138">
        <f>IF(B328="Working",MAX(-(((Q327)*(1+$C$10)+IF(B328="Working",J328,0))),0),MAX(K328-L328,0))</f>
        <v/>
      </c>
      <c r="W328" s="138">
        <f>IF(OR(A328&gt;=$C$13,B328="Retired"),IF(V328&gt;0,-V328,U328-'Model Inputs'!$B$18),"")</f>
        <v/>
      </c>
      <c r="X328" s="138">
        <f>IF(AND($L$228&gt;0,A328&gt;=$C$13),$L$228*(1+$C$25)^(A328-$C$13),0)</f>
        <v/>
      </c>
      <c r="Y328" s="138">
        <f>IF(OR($L$228&lt;=0,$C$17&lt;=0,A328&lt;$C$13,MIN(MAX((A328-$C$13+1)*12,0),$C$17*12)&gt;=$C$17*12),0,IF($C$16=0,MAX(MAX($L$228*(1-$C$15),0)-(IF($C$17&lt;=0,0,IF($C$16=0,MAX($L$228*(1-$C$15),0)/$C$17,-PMT($C$16/12,$C$17*12,MAX($L$228*(1-$C$15),0))*12))/12)*MIN(MAX((A328-$C$13+1)*12,0),$C$17*12),0),MAX(MAX($L$228*(1-$C$15),0)*(1+$C$16/12)^MIN(MAX((A328-$C$13+1)*12,0),$C$17*12)-(IF($C$17&lt;=0,0,IF($C$16=0,MAX($L$228*(1-$C$15),0)/$C$17,-PMT($C$16/12,$C$17*12,MAX($L$228*(1-$C$15),0))*12))/12)*(((1+$C$16/12)^MIN(MAX((A328-$C$13+1)*12,0),$C$17*12)-1)/($C$16/12)),0)))</f>
        <v/>
      </c>
      <c r="Z328" s="138">
        <f>MAX(X328-Y328,0)</f>
        <v/>
      </c>
      <c r="AA328" s="142">
        <f>U328+Z328</f>
        <v/>
      </c>
      <c r="AB328" s="5" t="n"/>
      <c r="AC328" s="5" t="n"/>
      <c r="AD328" s="5" t="n"/>
      <c r="AE328" s="5" t="n"/>
      <c r="AF328" s="5" t="n"/>
      <c r="AG328" s="5" t="n"/>
    </row>
    <row r="329" outlineLevel="1" s="326">
      <c r="A329" s="136" t="n">
        <v>29</v>
      </c>
      <c r="B329" s="72">
        <f>B108</f>
        <v/>
      </c>
      <c r="C329" s="137">
        <f>D108</f>
        <v/>
      </c>
      <c r="D329" s="137">
        <f>I108</f>
        <v/>
      </c>
      <c r="E329" s="137">
        <f>J108</f>
        <v/>
      </c>
      <c r="F329" s="137">
        <f>K108</f>
        <v/>
      </c>
      <c r="G329" s="138">
        <f>IF(AND($L$228&gt;0,A329=$C$13),$L$228*($C$15+$C$18),0)+IF(AND($L$228&gt;0,A329=$C$13),$C$24,0)</f>
        <v/>
      </c>
      <c r="H329" s="138">
        <f>IF(OR($L$228&lt;=0,A329&lt;$C$13),0,IF(AND($L$228&gt;0,$C$17&gt;0,A329&gt;=$C$13,A329&lt;($C$13+$C$17)),IF($C$17&lt;=0,0,IF($C$16=0,MAX($L$228*(1-$C$15),0)/$C$17,-PMT($C$16/12,$C$17*12,MAX($L$228*(1-$C$15),0))*12)),0)+X329*($C$19+$C$20+$C$21)+$C$22+$C$23)</f>
        <v/>
      </c>
      <c r="I329" s="138">
        <f>IF(B329="Working",MIN(MAX(D329-E329-F329-G329-H329,0),'Tax Assumptions'!$B$20),0)</f>
        <v/>
      </c>
      <c r="J329" s="138">
        <f>IF(B329="Working",D329-E329-F329-I329-G329-H329,-L329)</f>
        <v/>
      </c>
      <c r="K329" s="137">
        <f>IF(B329="Retired",$N$228+G329+H329,0)</f>
        <v/>
      </c>
      <c r="L329" s="137">
        <f>M329+N329+O329+P329</f>
        <v/>
      </c>
      <c r="M329" s="137">
        <f>IF(B329="Retired",MIN(((Q328)*(1+$C$10)+IF(B329="Working",J329,0)),K329),0)</f>
        <v/>
      </c>
      <c r="N329" s="137">
        <f>IF(B329="Retired",MIN(MAX(K329-M329,0),((R328)*(1+$C$10)+IF(B329="Working",E108,0))),0)</f>
        <v/>
      </c>
      <c r="O329" s="137">
        <f>IF(B329="Retired",MIN(MAX(K329-M329-N329,0),((S328)*(1+$C$10)+IF(B329="Working",I329,0))),0)</f>
        <v/>
      </c>
      <c r="P329" s="137">
        <f>IF(B329="Retired",MIN(MAX(K329-M329-N329-O329,0),((T328)*(1+$C$10)+IF(B329="Working",F108,0))),0)</f>
        <v/>
      </c>
      <c r="Q329" s="138">
        <f>MAX(((Q328)*(1+$C$10)+IF(B329="Working",J329,0))-M329,0)</f>
        <v/>
      </c>
      <c r="R329" s="138">
        <f>MAX(((R328)*(1+$C$10)+IF(B329="Working",E108,0))-N329,0)</f>
        <v/>
      </c>
      <c r="S329" s="138">
        <f>MAX(((S328)*(1+$C$10)+IF(B329="Working",I329,0))-O329,0)</f>
        <v/>
      </c>
      <c r="T329" s="138">
        <f>MAX(((T328)*(1+$C$10)+IF(B329="Working",F108,0))-P329,0)</f>
        <v/>
      </c>
      <c r="U329" s="138">
        <f>Q329+R329+S329+T329</f>
        <v/>
      </c>
      <c r="V329" s="138">
        <f>IF(B329="Working",MAX(-(((Q328)*(1+$C$10)+IF(B329="Working",J329,0))),0),MAX(K329-L329,0))</f>
        <v/>
      </c>
      <c r="W329" s="138">
        <f>IF(OR(A329&gt;=$C$13,B329="Retired"),IF(V329&gt;0,-V329,U329-'Model Inputs'!$B$18),"")</f>
        <v/>
      </c>
      <c r="X329" s="138">
        <f>IF(AND($L$228&gt;0,A329&gt;=$C$13),$L$228*(1+$C$25)^(A329-$C$13),0)</f>
        <v/>
      </c>
      <c r="Y329" s="138">
        <f>IF(OR($L$228&lt;=0,$C$17&lt;=0,A329&lt;$C$13,MIN(MAX((A329-$C$13+1)*12,0),$C$17*12)&gt;=$C$17*12),0,IF($C$16=0,MAX(MAX($L$228*(1-$C$15),0)-(IF($C$17&lt;=0,0,IF($C$16=0,MAX($L$228*(1-$C$15),0)/$C$17,-PMT($C$16/12,$C$17*12,MAX($L$228*(1-$C$15),0))*12))/12)*MIN(MAX((A329-$C$13+1)*12,0),$C$17*12),0),MAX(MAX($L$228*(1-$C$15),0)*(1+$C$16/12)^MIN(MAX((A329-$C$13+1)*12,0),$C$17*12)-(IF($C$17&lt;=0,0,IF($C$16=0,MAX($L$228*(1-$C$15),0)/$C$17,-PMT($C$16/12,$C$17*12,MAX($L$228*(1-$C$15),0))*12))/12)*(((1+$C$16/12)^MIN(MAX((A329-$C$13+1)*12,0),$C$17*12)-1)/($C$16/12)),0)))</f>
        <v/>
      </c>
      <c r="Z329" s="138">
        <f>MAX(X329-Y329,0)</f>
        <v/>
      </c>
      <c r="AA329" s="139">
        <f>U329+Z329</f>
        <v/>
      </c>
      <c r="AB329" s="5" t="n"/>
      <c r="AC329" s="5" t="n"/>
      <c r="AD329" s="5" t="n"/>
      <c r="AE329" s="5" t="n"/>
      <c r="AF329" s="5" t="n"/>
      <c r="AG329" s="5" t="n"/>
    </row>
    <row r="330" outlineLevel="1" s="326">
      <c r="A330" s="140" t="n">
        <v>30</v>
      </c>
      <c r="B330" s="40">
        <f>B109</f>
        <v/>
      </c>
      <c r="C330" s="141">
        <f>D109</f>
        <v/>
      </c>
      <c r="D330" s="141">
        <f>I109</f>
        <v/>
      </c>
      <c r="E330" s="141">
        <f>J109</f>
        <v/>
      </c>
      <c r="F330" s="141">
        <f>K109</f>
        <v/>
      </c>
      <c r="G330" s="138">
        <f>IF(AND($L$228&gt;0,A330=$C$13),$L$228*($C$15+$C$18),0)+IF(AND($L$228&gt;0,A330=$C$13),$C$24,0)</f>
        <v/>
      </c>
      <c r="H330" s="138">
        <f>IF(OR($L$228&lt;=0,A330&lt;$C$13),0,IF(AND($L$228&gt;0,$C$17&gt;0,A330&gt;=$C$13,A330&lt;($C$13+$C$17)),IF($C$17&lt;=0,0,IF($C$16=0,MAX($L$228*(1-$C$15),0)/$C$17,-PMT($C$16/12,$C$17*12,MAX($L$228*(1-$C$15),0))*12)),0)+X330*($C$19+$C$20+$C$21)+$C$22+$C$23)</f>
        <v/>
      </c>
      <c r="I330" s="138">
        <f>IF(B330="Working",MIN(MAX(D330-E330-F330-G330-H330,0),'Tax Assumptions'!$B$20),0)</f>
        <v/>
      </c>
      <c r="J330" s="138">
        <f>IF(B330="Working",D330-E330-F330-I330-G330-H330,-L330)</f>
        <v/>
      </c>
      <c r="K330" s="141">
        <f>IF(B330="Retired",$N$228+G330+H330,0)</f>
        <v/>
      </c>
      <c r="L330" s="141">
        <f>M330+N330+O330+P330</f>
        <v/>
      </c>
      <c r="M330" s="141">
        <f>IF(B330="Retired",MIN(((Q329)*(1+$C$10)+IF(B330="Working",J330,0)),K330),0)</f>
        <v/>
      </c>
      <c r="N330" s="141">
        <f>IF(B330="Retired",MIN(MAX(K330-M330,0),((R329)*(1+$C$10)+IF(B330="Working",E109,0))),0)</f>
        <v/>
      </c>
      <c r="O330" s="141">
        <f>IF(B330="Retired",MIN(MAX(K330-M330-N330,0),((S329)*(1+$C$10)+IF(B330="Working",I330,0))),0)</f>
        <v/>
      </c>
      <c r="P330" s="141">
        <f>IF(B330="Retired",MIN(MAX(K330-M330-N330-O330,0),((T329)*(1+$C$10)+IF(B330="Working",F109,0))),0)</f>
        <v/>
      </c>
      <c r="Q330" s="138">
        <f>MAX(((Q329)*(1+$C$10)+IF(B330="Working",J330,0))-M330,0)</f>
        <v/>
      </c>
      <c r="R330" s="138">
        <f>MAX(((R329)*(1+$C$10)+IF(B330="Working",E109,0))-N330,0)</f>
        <v/>
      </c>
      <c r="S330" s="138">
        <f>MAX(((S329)*(1+$C$10)+IF(B330="Working",I330,0))-O330,0)</f>
        <v/>
      </c>
      <c r="T330" s="138">
        <f>MAX(((T329)*(1+$C$10)+IF(B330="Working",F109,0))-P330,0)</f>
        <v/>
      </c>
      <c r="U330" s="138">
        <f>Q330+R330+S330+T330</f>
        <v/>
      </c>
      <c r="V330" s="138">
        <f>IF(B330="Working",MAX(-(((Q329)*(1+$C$10)+IF(B330="Working",J330,0))),0),MAX(K330-L330,0))</f>
        <v/>
      </c>
      <c r="W330" s="138">
        <f>IF(OR(A330&gt;=$C$13,B330="Retired"),IF(V330&gt;0,-V330,U330-'Model Inputs'!$B$18),"")</f>
        <v/>
      </c>
      <c r="X330" s="138">
        <f>IF(AND($L$228&gt;0,A330&gt;=$C$13),$L$228*(1+$C$25)^(A330-$C$13),0)</f>
        <v/>
      </c>
      <c r="Y330" s="138">
        <f>IF(OR($L$228&lt;=0,$C$17&lt;=0,A330&lt;$C$13,MIN(MAX((A330-$C$13+1)*12,0),$C$17*12)&gt;=$C$17*12),0,IF($C$16=0,MAX(MAX($L$228*(1-$C$15),0)-(IF($C$17&lt;=0,0,IF($C$16=0,MAX($L$228*(1-$C$15),0)/$C$17,-PMT($C$16/12,$C$17*12,MAX($L$228*(1-$C$15),0))*12))/12)*MIN(MAX((A330-$C$13+1)*12,0),$C$17*12),0),MAX(MAX($L$228*(1-$C$15),0)*(1+$C$16/12)^MIN(MAX((A330-$C$13+1)*12,0),$C$17*12)-(IF($C$17&lt;=0,0,IF($C$16=0,MAX($L$228*(1-$C$15),0)/$C$17,-PMT($C$16/12,$C$17*12,MAX($L$228*(1-$C$15),0))*12))/12)*(((1+$C$16/12)^MIN(MAX((A330-$C$13+1)*12,0),$C$17*12)-1)/($C$16/12)),0)))</f>
        <v/>
      </c>
      <c r="Z330" s="138">
        <f>MAX(X330-Y330,0)</f>
        <v/>
      </c>
      <c r="AA330" s="142">
        <f>U330+Z330</f>
        <v/>
      </c>
      <c r="AB330" s="5" t="n"/>
      <c r="AC330" s="5" t="n"/>
      <c r="AD330" s="5" t="n"/>
      <c r="AE330" s="5" t="n"/>
      <c r="AF330" s="5" t="n"/>
      <c r="AG330" s="5" t="n"/>
    </row>
    <row r="331" outlineLevel="1" s="326">
      <c r="A331" s="136" t="n">
        <v>31</v>
      </c>
      <c r="B331" s="72">
        <f>B110</f>
        <v/>
      </c>
      <c r="C331" s="137">
        <f>D110</f>
        <v/>
      </c>
      <c r="D331" s="137">
        <f>I110</f>
        <v/>
      </c>
      <c r="E331" s="137">
        <f>J110</f>
        <v/>
      </c>
      <c r="F331" s="137">
        <f>K110</f>
        <v/>
      </c>
      <c r="G331" s="138">
        <f>IF(AND($L$228&gt;0,A331=$C$13),$L$228*($C$15+$C$18),0)+IF(AND($L$228&gt;0,A331=$C$13),$C$24,0)</f>
        <v/>
      </c>
      <c r="H331" s="138">
        <f>IF(OR($L$228&lt;=0,A331&lt;$C$13),0,IF(AND($L$228&gt;0,$C$17&gt;0,A331&gt;=$C$13,A331&lt;($C$13+$C$17)),IF($C$17&lt;=0,0,IF($C$16=0,MAX($L$228*(1-$C$15),0)/$C$17,-PMT($C$16/12,$C$17*12,MAX($L$228*(1-$C$15),0))*12)),0)+X331*($C$19+$C$20+$C$21)+$C$22+$C$23)</f>
        <v/>
      </c>
      <c r="I331" s="138">
        <f>IF(B331="Working",MIN(MAX(D331-E331-F331-G331-H331,0),'Tax Assumptions'!$B$20),0)</f>
        <v/>
      </c>
      <c r="J331" s="138">
        <f>IF(B331="Working",D331-E331-F331-I331-G331-H331,-L331)</f>
        <v/>
      </c>
      <c r="K331" s="137">
        <f>IF(B331="Retired",$N$228+G331+H331,0)</f>
        <v/>
      </c>
      <c r="L331" s="137">
        <f>M331+N331+O331+P331</f>
        <v/>
      </c>
      <c r="M331" s="137">
        <f>IF(B331="Retired",MIN(((Q330)*(1+$C$10)+IF(B331="Working",J331,0)),K331),0)</f>
        <v/>
      </c>
      <c r="N331" s="137">
        <f>IF(B331="Retired",MIN(MAX(K331-M331,0),((R330)*(1+$C$10)+IF(B331="Working",E110,0))),0)</f>
        <v/>
      </c>
      <c r="O331" s="137">
        <f>IF(B331="Retired",MIN(MAX(K331-M331-N331,0),((S330)*(1+$C$10)+IF(B331="Working",I331,0))),0)</f>
        <v/>
      </c>
      <c r="P331" s="137">
        <f>IF(B331="Retired",MIN(MAX(K331-M331-N331-O331,0),((T330)*(1+$C$10)+IF(B331="Working",F110,0))),0)</f>
        <v/>
      </c>
      <c r="Q331" s="138">
        <f>MAX(((Q330)*(1+$C$10)+IF(B331="Working",J331,0))-M331,0)</f>
        <v/>
      </c>
      <c r="R331" s="138">
        <f>MAX(((R330)*(1+$C$10)+IF(B331="Working",E110,0))-N331,0)</f>
        <v/>
      </c>
      <c r="S331" s="138">
        <f>MAX(((S330)*(1+$C$10)+IF(B331="Working",I331,0))-O331,0)</f>
        <v/>
      </c>
      <c r="T331" s="138">
        <f>MAX(((T330)*(1+$C$10)+IF(B331="Working",F110,0))-P331,0)</f>
        <v/>
      </c>
      <c r="U331" s="138">
        <f>Q331+R331+S331+T331</f>
        <v/>
      </c>
      <c r="V331" s="138">
        <f>IF(B331="Working",MAX(-(((Q330)*(1+$C$10)+IF(B331="Working",J331,0))),0),MAX(K331-L331,0))</f>
        <v/>
      </c>
      <c r="W331" s="138">
        <f>IF(OR(A331&gt;=$C$13,B331="Retired"),IF(V331&gt;0,-V331,U331-'Model Inputs'!$B$18),"")</f>
        <v/>
      </c>
      <c r="X331" s="138">
        <f>IF(AND($L$228&gt;0,A331&gt;=$C$13),$L$228*(1+$C$25)^(A331-$C$13),0)</f>
        <v/>
      </c>
      <c r="Y331" s="138">
        <f>IF(OR($L$228&lt;=0,$C$17&lt;=0,A331&lt;$C$13,MIN(MAX((A331-$C$13+1)*12,0),$C$17*12)&gt;=$C$17*12),0,IF($C$16=0,MAX(MAX($L$228*(1-$C$15),0)-(IF($C$17&lt;=0,0,IF($C$16=0,MAX($L$228*(1-$C$15),0)/$C$17,-PMT($C$16/12,$C$17*12,MAX($L$228*(1-$C$15),0))*12))/12)*MIN(MAX((A331-$C$13+1)*12,0),$C$17*12),0),MAX(MAX($L$228*(1-$C$15),0)*(1+$C$16/12)^MIN(MAX((A331-$C$13+1)*12,0),$C$17*12)-(IF($C$17&lt;=0,0,IF($C$16=0,MAX($L$228*(1-$C$15),0)/$C$17,-PMT($C$16/12,$C$17*12,MAX($L$228*(1-$C$15),0))*12))/12)*(((1+$C$16/12)^MIN(MAX((A331-$C$13+1)*12,0),$C$17*12)-1)/($C$16/12)),0)))</f>
        <v/>
      </c>
      <c r="Z331" s="138">
        <f>MAX(X331-Y331,0)</f>
        <v/>
      </c>
      <c r="AA331" s="139">
        <f>U331+Z331</f>
        <v/>
      </c>
      <c r="AB331" s="5" t="n"/>
      <c r="AC331" s="5" t="n"/>
      <c r="AD331" s="5" t="n"/>
      <c r="AE331" s="5" t="n"/>
      <c r="AF331" s="5" t="n"/>
      <c r="AG331" s="5" t="n"/>
    </row>
    <row r="332" outlineLevel="1" s="326">
      <c r="A332" s="140" t="n">
        <v>32</v>
      </c>
      <c r="B332" s="40">
        <f>B111</f>
        <v/>
      </c>
      <c r="C332" s="141">
        <f>D111</f>
        <v/>
      </c>
      <c r="D332" s="141">
        <f>I111</f>
        <v/>
      </c>
      <c r="E332" s="141">
        <f>J111</f>
        <v/>
      </c>
      <c r="F332" s="141">
        <f>K111</f>
        <v/>
      </c>
      <c r="G332" s="138">
        <f>IF(AND($L$228&gt;0,A332=$C$13),$L$228*($C$15+$C$18),0)+IF(AND($L$228&gt;0,A332=$C$13),$C$24,0)</f>
        <v/>
      </c>
      <c r="H332" s="138">
        <f>IF(OR($L$228&lt;=0,A332&lt;$C$13),0,IF(AND($L$228&gt;0,$C$17&gt;0,A332&gt;=$C$13,A332&lt;($C$13+$C$17)),IF($C$17&lt;=0,0,IF($C$16=0,MAX($L$228*(1-$C$15),0)/$C$17,-PMT($C$16/12,$C$17*12,MAX($L$228*(1-$C$15),0))*12)),0)+X332*($C$19+$C$20+$C$21)+$C$22+$C$23)</f>
        <v/>
      </c>
      <c r="I332" s="138">
        <f>IF(B332="Working",MIN(MAX(D332-E332-F332-G332-H332,0),'Tax Assumptions'!$B$20),0)</f>
        <v/>
      </c>
      <c r="J332" s="138">
        <f>IF(B332="Working",D332-E332-F332-I332-G332-H332,-L332)</f>
        <v/>
      </c>
      <c r="K332" s="141">
        <f>IF(B332="Retired",$N$228+G332+H332,0)</f>
        <v/>
      </c>
      <c r="L332" s="141">
        <f>M332+N332+O332+P332</f>
        <v/>
      </c>
      <c r="M332" s="141">
        <f>IF(B332="Retired",MIN(((Q331)*(1+$C$10)+IF(B332="Working",J332,0)),K332),0)</f>
        <v/>
      </c>
      <c r="N332" s="141">
        <f>IF(B332="Retired",MIN(MAX(K332-M332,0),((R331)*(1+$C$10)+IF(B332="Working",E111,0))),0)</f>
        <v/>
      </c>
      <c r="O332" s="141">
        <f>IF(B332="Retired",MIN(MAX(K332-M332-N332,0),((S331)*(1+$C$10)+IF(B332="Working",I332,0))),0)</f>
        <v/>
      </c>
      <c r="P332" s="141">
        <f>IF(B332="Retired",MIN(MAX(K332-M332-N332-O332,0),((T331)*(1+$C$10)+IF(B332="Working",F111,0))),0)</f>
        <v/>
      </c>
      <c r="Q332" s="138">
        <f>MAX(((Q331)*(1+$C$10)+IF(B332="Working",J332,0))-M332,0)</f>
        <v/>
      </c>
      <c r="R332" s="138">
        <f>MAX(((R331)*(1+$C$10)+IF(B332="Working",E111,0))-N332,0)</f>
        <v/>
      </c>
      <c r="S332" s="138">
        <f>MAX(((S331)*(1+$C$10)+IF(B332="Working",I332,0))-O332,0)</f>
        <v/>
      </c>
      <c r="T332" s="138">
        <f>MAX(((T331)*(1+$C$10)+IF(B332="Working",F111,0))-P332,0)</f>
        <v/>
      </c>
      <c r="U332" s="138">
        <f>Q332+R332+S332+T332</f>
        <v/>
      </c>
      <c r="V332" s="138">
        <f>IF(B332="Working",MAX(-(((Q331)*(1+$C$10)+IF(B332="Working",J332,0))),0),MAX(K332-L332,0))</f>
        <v/>
      </c>
      <c r="W332" s="138">
        <f>IF(OR(A332&gt;=$C$13,B332="Retired"),IF(V332&gt;0,-V332,U332-'Model Inputs'!$B$18),"")</f>
        <v/>
      </c>
      <c r="X332" s="138">
        <f>IF(AND($L$228&gt;0,A332&gt;=$C$13),$L$228*(1+$C$25)^(A332-$C$13),0)</f>
        <v/>
      </c>
      <c r="Y332" s="138">
        <f>IF(OR($L$228&lt;=0,$C$17&lt;=0,A332&lt;$C$13,MIN(MAX((A332-$C$13+1)*12,0),$C$17*12)&gt;=$C$17*12),0,IF($C$16=0,MAX(MAX($L$228*(1-$C$15),0)-(IF($C$17&lt;=0,0,IF($C$16=0,MAX($L$228*(1-$C$15),0)/$C$17,-PMT($C$16/12,$C$17*12,MAX($L$228*(1-$C$15),0))*12))/12)*MIN(MAX((A332-$C$13+1)*12,0),$C$17*12),0),MAX(MAX($L$228*(1-$C$15),0)*(1+$C$16/12)^MIN(MAX((A332-$C$13+1)*12,0),$C$17*12)-(IF($C$17&lt;=0,0,IF($C$16=0,MAX($L$228*(1-$C$15),0)/$C$17,-PMT($C$16/12,$C$17*12,MAX($L$228*(1-$C$15),0))*12))/12)*(((1+$C$16/12)^MIN(MAX((A332-$C$13+1)*12,0),$C$17*12)-1)/($C$16/12)),0)))</f>
        <v/>
      </c>
      <c r="Z332" s="138">
        <f>MAX(X332-Y332,0)</f>
        <v/>
      </c>
      <c r="AA332" s="142">
        <f>U332+Z332</f>
        <v/>
      </c>
      <c r="AB332" s="5" t="n"/>
      <c r="AC332" s="5" t="n"/>
      <c r="AD332" s="5" t="n"/>
      <c r="AE332" s="5" t="n"/>
      <c r="AF332" s="5" t="n"/>
      <c r="AG332" s="5" t="n"/>
    </row>
    <row r="333" outlineLevel="1" s="326">
      <c r="A333" s="136" t="n">
        <v>33</v>
      </c>
      <c r="B333" s="72">
        <f>B112</f>
        <v/>
      </c>
      <c r="C333" s="137">
        <f>D112</f>
        <v/>
      </c>
      <c r="D333" s="137">
        <f>I112</f>
        <v/>
      </c>
      <c r="E333" s="137">
        <f>J112</f>
        <v/>
      </c>
      <c r="F333" s="137">
        <f>K112</f>
        <v/>
      </c>
      <c r="G333" s="138">
        <f>IF(AND($L$228&gt;0,A333=$C$13),$L$228*($C$15+$C$18),0)+IF(AND($L$228&gt;0,A333=$C$13),$C$24,0)</f>
        <v/>
      </c>
      <c r="H333" s="138">
        <f>IF(OR($L$228&lt;=0,A333&lt;$C$13),0,IF(AND($L$228&gt;0,$C$17&gt;0,A333&gt;=$C$13,A333&lt;($C$13+$C$17)),IF($C$17&lt;=0,0,IF($C$16=0,MAX($L$228*(1-$C$15),0)/$C$17,-PMT($C$16/12,$C$17*12,MAX($L$228*(1-$C$15),0))*12)),0)+X333*($C$19+$C$20+$C$21)+$C$22+$C$23)</f>
        <v/>
      </c>
      <c r="I333" s="138">
        <f>IF(B333="Working",MIN(MAX(D333-E333-F333-G333-H333,0),'Tax Assumptions'!$B$20),0)</f>
        <v/>
      </c>
      <c r="J333" s="138">
        <f>IF(B333="Working",D333-E333-F333-I333-G333-H333,-L333)</f>
        <v/>
      </c>
      <c r="K333" s="137">
        <f>IF(B333="Retired",$N$228+G333+H333,0)</f>
        <v/>
      </c>
      <c r="L333" s="137">
        <f>M333+N333+O333+P333</f>
        <v/>
      </c>
      <c r="M333" s="137">
        <f>IF(B333="Retired",MIN(((Q332)*(1+$C$10)+IF(B333="Working",J333,0)),K333),0)</f>
        <v/>
      </c>
      <c r="N333" s="137">
        <f>IF(B333="Retired",MIN(MAX(K333-M333,0),((R332)*(1+$C$10)+IF(B333="Working",E112,0))),0)</f>
        <v/>
      </c>
      <c r="O333" s="137">
        <f>IF(B333="Retired",MIN(MAX(K333-M333-N333,0),((S332)*(1+$C$10)+IF(B333="Working",I333,0))),0)</f>
        <v/>
      </c>
      <c r="P333" s="137">
        <f>IF(B333="Retired",MIN(MAX(K333-M333-N333-O333,0),((T332)*(1+$C$10)+IF(B333="Working",F112,0))),0)</f>
        <v/>
      </c>
      <c r="Q333" s="138">
        <f>MAX(((Q332)*(1+$C$10)+IF(B333="Working",J333,0))-M333,0)</f>
        <v/>
      </c>
      <c r="R333" s="138">
        <f>MAX(((R332)*(1+$C$10)+IF(B333="Working",E112,0))-N333,0)</f>
        <v/>
      </c>
      <c r="S333" s="138">
        <f>MAX(((S332)*(1+$C$10)+IF(B333="Working",I333,0))-O333,0)</f>
        <v/>
      </c>
      <c r="T333" s="138">
        <f>MAX(((T332)*(1+$C$10)+IF(B333="Working",F112,0))-P333,0)</f>
        <v/>
      </c>
      <c r="U333" s="138">
        <f>Q333+R333+S333+T333</f>
        <v/>
      </c>
      <c r="V333" s="138">
        <f>IF(B333="Working",MAX(-(((Q332)*(1+$C$10)+IF(B333="Working",J333,0))),0),MAX(K333-L333,0))</f>
        <v/>
      </c>
      <c r="W333" s="138">
        <f>IF(OR(A333&gt;=$C$13,B333="Retired"),IF(V333&gt;0,-V333,U333-'Model Inputs'!$B$18),"")</f>
        <v/>
      </c>
      <c r="X333" s="138">
        <f>IF(AND($L$228&gt;0,A333&gt;=$C$13),$L$228*(1+$C$25)^(A333-$C$13),0)</f>
        <v/>
      </c>
      <c r="Y333" s="138">
        <f>IF(OR($L$228&lt;=0,$C$17&lt;=0,A333&lt;$C$13,MIN(MAX((A333-$C$13+1)*12,0),$C$17*12)&gt;=$C$17*12),0,IF($C$16=0,MAX(MAX($L$228*(1-$C$15),0)-(IF($C$17&lt;=0,0,IF($C$16=0,MAX($L$228*(1-$C$15),0)/$C$17,-PMT($C$16/12,$C$17*12,MAX($L$228*(1-$C$15),0))*12))/12)*MIN(MAX((A333-$C$13+1)*12,0),$C$17*12),0),MAX(MAX($L$228*(1-$C$15),0)*(1+$C$16/12)^MIN(MAX((A333-$C$13+1)*12,0),$C$17*12)-(IF($C$17&lt;=0,0,IF($C$16=0,MAX($L$228*(1-$C$15),0)/$C$17,-PMT($C$16/12,$C$17*12,MAX($L$228*(1-$C$15),0))*12))/12)*(((1+$C$16/12)^MIN(MAX((A333-$C$13+1)*12,0),$C$17*12)-1)/($C$16/12)),0)))</f>
        <v/>
      </c>
      <c r="Z333" s="138">
        <f>MAX(X333-Y333,0)</f>
        <v/>
      </c>
      <c r="AA333" s="139">
        <f>U333+Z333</f>
        <v/>
      </c>
      <c r="AB333" s="5" t="n"/>
      <c r="AC333" s="5" t="n"/>
      <c r="AD333" s="5" t="n"/>
      <c r="AE333" s="5" t="n"/>
      <c r="AF333" s="5" t="n"/>
      <c r="AG333" s="5" t="n"/>
    </row>
    <row r="334" outlineLevel="1" s="326">
      <c r="A334" s="140" t="n">
        <v>34</v>
      </c>
      <c r="B334" s="40">
        <f>B113</f>
        <v/>
      </c>
      <c r="C334" s="141">
        <f>D113</f>
        <v/>
      </c>
      <c r="D334" s="141">
        <f>I113</f>
        <v/>
      </c>
      <c r="E334" s="141">
        <f>J113</f>
        <v/>
      </c>
      <c r="F334" s="141">
        <f>K113</f>
        <v/>
      </c>
      <c r="G334" s="138">
        <f>IF(AND($L$228&gt;0,A334=$C$13),$L$228*($C$15+$C$18),0)+IF(AND($L$228&gt;0,A334=$C$13),$C$24,0)</f>
        <v/>
      </c>
      <c r="H334" s="138">
        <f>IF(OR($L$228&lt;=0,A334&lt;$C$13),0,IF(AND($L$228&gt;0,$C$17&gt;0,A334&gt;=$C$13,A334&lt;($C$13+$C$17)),IF($C$17&lt;=0,0,IF($C$16=0,MAX($L$228*(1-$C$15),0)/$C$17,-PMT($C$16/12,$C$17*12,MAX($L$228*(1-$C$15),0))*12)),0)+X334*($C$19+$C$20+$C$21)+$C$22+$C$23)</f>
        <v/>
      </c>
      <c r="I334" s="138">
        <f>IF(B334="Working",MIN(MAX(D334-E334-F334-G334-H334,0),'Tax Assumptions'!$B$20),0)</f>
        <v/>
      </c>
      <c r="J334" s="138">
        <f>IF(B334="Working",D334-E334-F334-I334-G334-H334,-L334)</f>
        <v/>
      </c>
      <c r="K334" s="141">
        <f>IF(B334="Retired",$N$228+G334+H334,0)</f>
        <v/>
      </c>
      <c r="L334" s="141">
        <f>M334+N334+O334+P334</f>
        <v/>
      </c>
      <c r="M334" s="141">
        <f>IF(B334="Retired",MIN(((Q333)*(1+$C$10)+IF(B334="Working",J334,0)),K334),0)</f>
        <v/>
      </c>
      <c r="N334" s="141">
        <f>IF(B334="Retired",MIN(MAX(K334-M334,0),((R333)*(1+$C$10)+IF(B334="Working",E113,0))),0)</f>
        <v/>
      </c>
      <c r="O334" s="141">
        <f>IF(B334="Retired",MIN(MAX(K334-M334-N334,0),((S333)*(1+$C$10)+IF(B334="Working",I334,0))),0)</f>
        <v/>
      </c>
      <c r="P334" s="141">
        <f>IF(B334="Retired",MIN(MAX(K334-M334-N334-O334,0),((T333)*(1+$C$10)+IF(B334="Working",F113,0))),0)</f>
        <v/>
      </c>
      <c r="Q334" s="138">
        <f>MAX(((Q333)*(1+$C$10)+IF(B334="Working",J334,0))-M334,0)</f>
        <v/>
      </c>
      <c r="R334" s="138">
        <f>MAX(((R333)*(1+$C$10)+IF(B334="Working",E113,0))-N334,0)</f>
        <v/>
      </c>
      <c r="S334" s="138">
        <f>MAX(((S333)*(1+$C$10)+IF(B334="Working",I334,0))-O334,0)</f>
        <v/>
      </c>
      <c r="T334" s="138">
        <f>MAX(((T333)*(1+$C$10)+IF(B334="Working",F113,0))-P334,0)</f>
        <v/>
      </c>
      <c r="U334" s="138">
        <f>Q334+R334+S334+T334</f>
        <v/>
      </c>
      <c r="V334" s="138">
        <f>IF(B334="Working",MAX(-(((Q333)*(1+$C$10)+IF(B334="Working",J334,0))),0),MAX(K334-L334,0))</f>
        <v/>
      </c>
      <c r="W334" s="138">
        <f>IF(OR(A334&gt;=$C$13,B334="Retired"),IF(V334&gt;0,-V334,U334-'Model Inputs'!$B$18),"")</f>
        <v/>
      </c>
      <c r="X334" s="138">
        <f>IF(AND($L$228&gt;0,A334&gt;=$C$13),$L$228*(1+$C$25)^(A334-$C$13),0)</f>
        <v/>
      </c>
      <c r="Y334" s="138">
        <f>IF(OR($L$228&lt;=0,$C$17&lt;=0,A334&lt;$C$13,MIN(MAX((A334-$C$13+1)*12,0),$C$17*12)&gt;=$C$17*12),0,IF($C$16=0,MAX(MAX($L$228*(1-$C$15),0)-(IF($C$17&lt;=0,0,IF($C$16=0,MAX($L$228*(1-$C$15),0)/$C$17,-PMT($C$16/12,$C$17*12,MAX($L$228*(1-$C$15),0))*12))/12)*MIN(MAX((A334-$C$13+1)*12,0),$C$17*12),0),MAX(MAX($L$228*(1-$C$15),0)*(1+$C$16/12)^MIN(MAX((A334-$C$13+1)*12,0),$C$17*12)-(IF($C$17&lt;=0,0,IF($C$16=0,MAX($L$228*(1-$C$15),0)/$C$17,-PMT($C$16/12,$C$17*12,MAX($L$228*(1-$C$15),0))*12))/12)*(((1+$C$16/12)^MIN(MAX((A334-$C$13+1)*12,0),$C$17*12)-1)/($C$16/12)),0)))</f>
        <v/>
      </c>
      <c r="Z334" s="138">
        <f>MAX(X334-Y334,0)</f>
        <v/>
      </c>
      <c r="AA334" s="142">
        <f>U334+Z334</f>
        <v/>
      </c>
      <c r="AB334" s="5" t="n"/>
      <c r="AC334" s="5" t="n"/>
      <c r="AD334" s="5" t="n"/>
      <c r="AE334" s="5" t="n"/>
      <c r="AF334" s="5" t="n"/>
      <c r="AG334" s="5" t="n"/>
    </row>
    <row r="335" outlineLevel="1" s="326">
      <c r="A335" s="136" t="n">
        <v>35</v>
      </c>
      <c r="B335" s="72">
        <f>B114</f>
        <v/>
      </c>
      <c r="C335" s="137">
        <f>D114</f>
        <v/>
      </c>
      <c r="D335" s="137">
        <f>I114</f>
        <v/>
      </c>
      <c r="E335" s="137">
        <f>J114</f>
        <v/>
      </c>
      <c r="F335" s="137">
        <f>K114</f>
        <v/>
      </c>
      <c r="G335" s="138">
        <f>IF(AND($L$228&gt;0,A335=$C$13),$L$228*($C$15+$C$18),0)+IF(AND($L$228&gt;0,A335=$C$13),$C$24,0)</f>
        <v/>
      </c>
      <c r="H335" s="138">
        <f>IF(OR($L$228&lt;=0,A335&lt;$C$13),0,IF(AND($L$228&gt;0,$C$17&gt;0,A335&gt;=$C$13,A335&lt;($C$13+$C$17)),IF($C$17&lt;=0,0,IF($C$16=0,MAX($L$228*(1-$C$15),0)/$C$17,-PMT($C$16/12,$C$17*12,MAX($L$228*(1-$C$15),0))*12)),0)+X335*($C$19+$C$20+$C$21)+$C$22+$C$23)</f>
        <v/>
      </c>
      <c r="I335" s="138">
        <f>IF(B335="Working",MIN(MAX(D335-E335-F335-G335-H335,0),'Tax Assumptions'!$B$20),0)</f>
        <v/>
      </c>
      <c r="J335" s="138">
        <f>IF(B335="Working",D335-E335-F335-I335-G335-H335,-L335)</f>
        <v/>
      </c>
      <c r="K335" s="137">
        <f>IF(B335="Retired",$N$228+G335+H335,0)</f>
        <v/>
      </c>
      <c r="L335" s="137">
        <f>M335+N335+O335+P335</f>
        <v/>
      </c>
      <c r="M335" s="137">
        <f>IF(B335="Retired",MIN(((Q334)*(1+$C$10)+IF(B335="Working",J335,0)),K335),0)</f>
        <v/>
      </c>
      <c r="N335" s="137">
        <f>IF(B335="Retired",MIN(MAX(K335-M335,0),((R334)*(1+$C$10)+IF(B335="Working",E114,0))),0)</f>
        <v/>
      </c>
      <c r="O335" s="137">
        <f>IF(B335="Retired",MIN(MAX(K335-M335-N335,0),((S334)*(1+$C$10)+IF(B335="Working",I335,0))),0)</f>
        <v/>
      </c>
      <c r="P335" s="137">
        <f>IF(B335="Retired",MIN(MAX(K335-M335-N335-O335,0),((T334)*(1+$C$10)+IF(B335="Working",F114,0))),0)</f>
        <v/>
      </c>
      <c r="Q335" s="138">
        <f>MAX(((Q334)*(1+$C$10)+IF(B335="Working",J335,0))-M335,0)</f>
        <v/>
      </c>
      <c r="R335" s="138">
        <f>MAX(((R334)*(1+$C$10)+IF(B335="Working",E114,0))-N335,0)</f>
        <v/>
      </c>
      <c r="S335" s="138">
        <f>MAX(((S334)*(1+$C$10)+IF(B335="Working",I335,0))-O335,0)</f>
        <v/>
      </c>
      <c r="T335" s="138">
        <f>MAX(((T334)*(1+$C$10)+IF(B335="Working",F114,0))-P335,0)</f>
        <v/>
      </c>
      <c r="U335" s="138">
        <f>Q335+R335+S335+T335</f>
        <v/>
      </c>
      <c r="V335" s="138">
        <f>IF(B335="Working",MAX(-(((Q334)*(1+$C$10)+IF(B335="Working",J335,0))),0),MAX(K335-L335,0))</f>
        <v/>
      </c>
      <c r="W335" s="138">
        <f>IF(OR(A335&gt;=$C$13,B335="Retired"),IF(V335&gt;0,-V335,U335-'Model Inputs'!$B$18),"")</f>
        <v/>
      </c>
      <c r="X335" s="138">
        <f>IF(AND($L$228&gt;0,A335&gt;=$C$13),$L$228*(1+$C$25)^(A335-$C$13),0)</f>
        <v/>
      </c>
      <c r="Y335" s="138">
        <f>IF(OR($L$228&lt;=0,$C$17&lt;=0,A335&lt;$C$13,MIN(MAX((A335-$C$13+1)*12,0),$C$17*12)&gt;=$C$17*12),0,IF($C$16=0,MAX(MAX($L$228*(1-$C$15),0)-(IF($C$17&lt;=0,0,IF($C$16=0,MAX($L$228*(1-$C$15),0)/$C$17,-PMT($C$16/12,$C$17*12,MAX($L$228*(1-$C$15),0))*12))/12)*MIN(MAX((A335-$C$13+1)*12,0),$C$17*12),0),MAX(MAX($L$228*(1-$C$15),0)*(1+$C$16/12)^MIN(MAX((A335-$C$13+1)*12,0),$C$17*12)-(IF($C$17&lt;=0,0,IF($C$16=0,MAX($L$228*(1-$C$15),0)/$C$17,-PMT($C$16/12,$C$17*12,MAX($L$228*(1-$C$15),0))*12))/12)*(((1+$C$16/12)^MIN(MAX((A335-$C$13+1)*12,0),$C$17*12)-1)/($C$16/12)),0)))</f>
        <v/>
      </c>
      <c r="Z335" s="138">
        <f>MAX(X335-Y335,0)</f>
        <v/>
      </c>
      <c r="AA335" s="139">
        <f>U335+Z335</f>
        <v/>
      </c>
      <c r="AB335" s="5" t="n"/>
      <c r="AC335" s="5" t="n"/>
      <c r="AD335" s="5" t="n"/>
      <c r="AE335" s="5" t="n"/>
      <c r="AF335" s="5" t="n"/>
      <c r="AG335" s="5" t="n"/>
    </row>
    <row r="336" outlineLevel="1" s="326">
      <c r="A336" s="140" t="n">
        <v>36</v>
      </c>
      <c r="B336" s="40">
        <f>B115</f>
        <v/>
      </c>
      <c r="C336" s="141">
        <f>D115</f>
        <v/>
      </c>
      <c r="D336" s="141">
        <f>I115</f>
        <v/>
      </c>
      <c r="E336" s="141">
        <f>J115</f>
        <v/>
      </c>
      <c r="F336" s="141">
        <f>K115</f>
        <v/>
      </c>
      <c r="G336" s="138">
        <f>IF(AND($L$228&gt;0,A336=$C$13),$L$228*($C$15+$C$18),0)+IF(AND($L$228&gt;0,A336=$C$13),$C$24,0)</f>
        <v/>
      </c>
      <c r="H336" s="138">
        <f>IF(OR($L$228&lt;=0,A336&lt;$C$13),0,IF(AND($L$228&gt;0,$C$17&gt;0,A336&gt;=$C$13,A336&lt;($C$13+$C$17)),IF($C$17&lt;=0,0,IF($C$16=0,MAX($L$228*(1-$C$15),0)/$C$17,-PMT($C$16/12,$C$17*12,MAX($L$228*(1-$C$15),0))*12)),0)+X336*($C$19+$C$20+$C$21)+$C$22+$C$23)</f>
        <v/>
      </c>
      <c r="I336" s="138">
        <f>IF(B336="Working",MIN(MAX(D336-E336-F336-G336-H336,0),'Tax Assumptions'!$B$20),0)</f>
        <v/>
      </c>
      <c r="J336" s="138">
        <f>IF(B336="Working",D336-E336-F336-I336-G336-H336,-L336)</f>
        <v/>
      </c>
      <c r="K336" s="141">
        <f>IF(B336="Retired",$N$228+G336+H336,0)</f>
        <v/>
      </c>
      <c r="L336" s="141">
        <f>M336+N336+O336+P336</f>
        <v/>
      </c>
      <c r="M336" s="141">
        <f>IF(B336="Retired",MIN(((Q335)*(1+$C$10)+IF(B336="Working",J336,0)),K336),0)</f>
        <v/>
      </c>
      <c r="N336" s="141">
        <f>IF(B336="Retired",MIN(MAX(K336-M336,0),((R335)*(1+$C$10)+IF(B336="Working",E115,0))),0)</f>
        <v/>
      </c>
      <c r="O336" s="141">
        <f>IF(B336="Retired",MIN(MAX(K336-M336-N336,0),((S335)*(1+$C$10)+IF(B336="Working",I336,0))),0)</f>
        <v/>
      </c>
      <c r="P336" s="141">
        <f>IF(B336="Retired",MIN(MAX(K336-M336-N336-O336,0),((T335)*(1+$C$10)+IF(B336="Working",F115,0))),0)</f>
        <v/>
      </c>
      <c r="Q336" s="138">
        <f>MAX(((Q335)*(1+$C$10)+IF(B336="Working",J336,0))-M336,0)</f>
        <v/>
      </c>
      <c r="R336" s="138">
        <f>MAX(((R335)*(1+$C$10)+IF(B336="Working",E115,0))-N336,0)</f>
        <v/>
      </c>
      <c r="S336" s="138">
        <f>MAX(((S335)*(1+$C$10)+IF(B336="Working",I336,0))-O336,0)</f>
        <v/>
      </c>
      <c r="T336" s="138">
        <f>MAX(((T335)*(1+$C$10)+IF(B336="Working",F115,0))-P336,0)</f>
        <v/>
      </c>
      <c r="U336" s="138">
        <f>Q336+R336+S336+T336</f>
        <v/>
      </c>
      <c r="V336" s="138">
        <f>IF(B336="Working",MAX(-(((Q335)*(1+$C$10)+IF(B336="Working",J336,0))),0),MAX(K336-L336,0))</f>
        <v/>
      </c>
      <c r="W336" s="138">
        <f>IF(OR(A336&gt;=$C$13,B336="Retired"),IF(V336&gt;0,-V336,U336-'Model Inputs'!$B$18),"")</f>
        <v/>
      </c>
      <c r="X336" s="138">
        <f>IF(AND($L$228&gt;0,A336&gt;=$C$13),$L$228*(1+$C$25)^(A336-$C$13),0)</f>
        <v/>
      </c>
      <c r="Y336" s="138">
        <f>IF(OR($L$228&lt;=0,$C$17&lt;=0,A336&lt;$C$13,MIN(MAX((A336-$C$13+1)*12,0),$C$17*12)&gt;=$C$17*12),0,IF($C$16=0,MAX(MAX($L$228*(1-$C$15),0)-(IF($C$17&lt;=0,0,IF($C$16=0,MAX($L$228*(1-$C$15),0)/$C$17,-PMT($C$16/12,$C$17*12,MAX($L$228*(1-$C$15),0))*12))/12)*MIN(MAX((A336-$C$13+1)*12,0),$C$17*12),0),MAX(MAX($L$228*(1-$C$15),0)*(1+$C$16/12)^MIN(MAX((A336-$C$13+1)*12,0),$C$17*12)-(IF($C$17&lt;=0,0,IF($C$16=0,MAX($L$228*(1-$C$15),0)/$C$17,-PMT($C$16/12,$C$17*12,MAX($L$228*(1-$C$15),0))*12))/12)*(((1+$C$16/12)^MIN(MAX((A336-$C$13+1)*12,0),$C$17*12)-1)/($C$16/12)),0)))</f>
        <v/>
      </c>
      <c r="Z336" s="138">
        <f>MAX(X336-Y336,0)</f>
        <v/>
      </c>
      <c r="AA336" s="142">
        <f>U336+Z336</f>
        <v/>
      </c>
      <c r="AB336" s="5" t="n"/>
      <c r="AC336" s="5" t="n"/>
      <c r="AD336" s="5" t="n"/>
      <c r="AE336" s="5" t="n"/>
      <c r="AF336" s="5" t="n"/>
      <c r="AG336" s="5" t="n"/>
    </row>
    <row r="337" outlineLevel="1" s="326">
      <c r="A337" s="136" t="n">
        <v>37</v>
      </c>
      <c r="B337" s="72">
        <f>B116</f>
        <v/>
      </c>
      <c r="C337" s="137">
        <f>D116</f>
        <v/>
      </c>
      <c r="D337" s="137">
        <f>I116</f>
        <v/>
      </c>
      <c r="E337" s="137">
        <f>J116</f>
        <v/>
      </c>
      <c r="F337" s="137">
        <f>K116</f>
        <v/>
      </c>
      <c r="G337" s="138">
        <f>IF(AND($L$228&gt;0,A337=$C$13),$L$228*($C$15+$C$18),0)+IF(AND($L$228&gt;0,A337=$C$13),$C$24,0)</f>
        <v/>
      </c>
      <c r="H337" s="138">
        <f>IF(OR($L$228&lt;=0,A337&lt;$C$13),0,IF(AND($L$228&gt;0,$C$17&gt;0,A337&gt;=$C$13,A337&lt;($C$13+$C$17)),IF($C$17&lt;=0,0,IF($C$16=0,MAX($L$228*(1-$C$15),0)/$C$17,-PMT($C$16/12,$C$17*12,MAX($L$228*(1-$C$15),0))*12)),0)+X337*($C$19+$C$20+$C$21)+$C$22+$C$23)</f>
        <v/>
      </c>
      <c r="I337" s="138">
        <f>IF(B337="Working",MIN(MAX(D337-E337-F337-G337-H337,0),'Tax Assumptions'!$B$20),0)</f>
        <v/>
      </c>
      <c r="J337" s="138">
        <f>IF(B337="Working",D337-E337-F337-I337-G337-H337,-L337)</f>
        <v/>
      </c>
      <c r="K337" s="137">
        <f>IF(B337="Retired",$N$228+G337+H337,0)</f>
        <v/>
      </c>
      <c r="L337" s="137">
        <f>M337+N337+O337+P337</f>
        <v/>
      </c>
      <c r="M337" s="137">
        <f>IF(B337="Retired",MIN(((Q336)*(1+$C$10)+IF(B337="Working",J337,0)),K337),0)</f>
        <v/>
      </c>
      <c r="N337" s="137">
        <f>IF(B337="Retired",MIN(MAX(K337-M337,0),((R336)*(1+$C$10)+IF(B337="Working",E116,0))),0)</f>
        <v/>
      </c>
      <c r="O337" s="137">
        <f>IF(B337="Retired",MIN(MAX(K337-M337-N337,0),((S336)*(1+$C$10)+IF(B337="Working",I337,0))),0)</f>
        <v/>
      </c>
      <c r="P337" s="137">
        <f>IF(B337="Retired",MIN(MAX(K337-M337-N337-O337,0),((T336)*(1+$C$10)+IF(B337="Working",F116,0))),0)</f>
        <v/>
      </c>
      <c r="Q337" s="138">
        <f>MAX(((Q336)*(1+$C$10)+IF(B337="Working",J337,0))-M337,0)</f>
        <v/>
      </c>
      <c r="R337" s="138">
        <f>MAX(((R336)*(1+$C$10)+IF(B337="Working",E116,0))-N337,0)</f>
        <v/>
      </c>
      <c r="S337" s="138">
        <f>MAX(((S336)*(1+$C$10)+IF(B337="Working",I337,0))-O337,0)</f>
        <v/>
      </c>
      <c r="T337" s="138">
        <f>MAX(((T336)*(1+$C$10)+IF(B337="Working",F116,0))-P337,0)</f>
        <v/>
      </c>
      <c r="U337" s="138">
        <f>Q337+R337+S337+T337</f>
        <v/>
      </c>
      <c r="V337" s="138">
        <f>IF(B337="Working",MAX(-(((Q336)*(1+$C$10)+IF(B337="Working",J337,0))),0),MAX(K337-L337,0))</f>
        <v/>
      </c>
      <c r="W337" s="138">
        <f>IF(OR(A337&gt;=$C$13,B337="Retired"),IF(V337&gt;0,-V337,U337-'Model Inputs'!$B$18),"")</f>
        <v/>
      </c>
      <c r="X337" s="138">
        <f>IF(AND($L$228&gt;0,A337&gt;=$C$13),$L$228*(1+$C$25)^(A337-$C$13),0)</f>
        <v/>
      </c>
      <c r="Y337" s="138">
        <f>IF(OR($L$228&lt;=0,$C$17&lt;=0,A337&lt;$C$13,MIN(MAX((A337-$C$13+1)*12,0),$C$17*12)&gt;=$C$17*12),0,IF($C$16=0,MAX(MAX($L$228*(1-$C$15),0)-(IF($C$17&lt;=0,0,IF($C$16=0,MAX($L$228*(1-$C$15),0)/$C$17,-PMT($C$16/12,$C$17*12,MAX($L$228*(1-$C$15),0))*12))/12)*MIN(MAX((A337-$C$13+1)*12,0),$C$17*12),0),MAX(MAX($L$228*(1-$C$15),0)*(1+$C$16/12)^MIN(MAX((A337-$C$13+1)*12,0),$C$17*12)-(IF($C$17&lt;=0,0,IF($C$16=0,MAX($L$228*(1-$C$15),0)/$C$17,-PMT($C$16/12,$C$17*12,MAX($L$228*(1-$C$15),0))*12))/12)*(((1+$C$16/12)^MIN(MAX((A337-$C$13+1)*12,0),$C$17*12)-1)/($C$16/12)),0)))</f>
        <v/>
      </c>
      <c r="Z337" s="138">
        <f>MAX(X337-Y337,0)</f>
        <v/>
      </c>
      <c r="AA337" s="139">
        <f>U337+Z337</f>
        <v/>
      </c>
      <c r="AB337" s="5" t="n"/>
      <c r="AC337" s="5" t="n"/>
      <c r="AD337" s="5" t="n"/>
      <c r="AE337" s="5" t="n"/>
      <c r="AF337" s="5" t="n"/>
      <c r="AG337" s="5" t="n"/>
    </row>
    <row r="338" outlineLevel="1" s="326">
      <c r="A338" s="140" t="n">
        <v>38</v>
      </c>
      <c r="B338" s="40">
        <f>B117</f>
        <v/>
      </c>
      <c r="C338" s="141">
        <f>D117</f>
        <v/>
      </c>
      <c r="D338" s="141">
        <f>I117</f>
        <v/>
      </c>
      <c r="E338" s="141">
        <f>J117</f>
        <v/>
      </c>
      <c r="F338" s="141">
        <f>K117</f>
        <v/>
      </c>
      <c r="G338" s="138">
        <f>IF(AND($L$228&gt;0,A338=$C$13),$L$228*($C$15+$C$18),0)+IF(AND($L$228&gt;0,A338=$C$13),$C$24,0)</f>
        <v/>
      </c>
      <c r="H338" s="138">
        <f>IF(OR($L$228&lt;=0,A338&lt;$C$13),0,IF(AND($L$228&gt;0,$C$17&gt;0,A338&gt;=$C$13,A338&lt;($C$13+$C$17)),IF($C$17&lt;=0,0,IF($C$16=0,MAX($L$228*(1-$C$15),0)/$C$17,-PMT($C$16/12,$C$17*12,MAX($L$228*(1-$C$15),0))*12)),0)+X338*($C$19+$C$20+$C$21)+$C$22+$C$23)</f>
        <v/>
      </c>
      <c r="I338" s="138">
        <f>IF(B338="Working",MIN(MAX(D338-E338-F338-G338-H338,0),'Tax Assumptions'!$B$20),0)</f>
        <v/>
      </c>
      <c r="J338" s="138">
        <f>IF(B338="Working",D338-E338-F338-I338-G338-H338,-L338)</f>
        <v/>
      </c>
      <c r="K338" s="141">
        <f>IF(B338="Retired",$N$228+G338+H338,0)</f>
        <v/>
      </c>
      <c r="L338" s="141">
        <f>M338+N338+O338+P338</f>
        <v/>
      </c>
      <c r="M338" s="141">
        <f>IF(B338="Retired",MIN(((Q337)*(1+$C$10)+IF(B338="Working",J338,0)),K338),0)</f>
        <v/>
      </c>
      <c r="N338" s="141">
        <f>IF(B338="Retired",MIN(MAX(K338-M338,0),((R337)*(1+$C$10)+IF(B338="Working",E117,0))),0)</f>
        <v/>
      </c>
      <c r="O338" s="141">
        <f>IF(B338="Retired",MIN(MAX(K338-M338-N338,0),((S337)*(1+$C$10)+IF(B338="Working",I338,0))),0)</f>
        <v/>
      </c>
      <c r="P338" s="141">
        <f>IF(B338="Retired",MIN(MAX(K338-M338-N338-O338,0),((T337)*(1+$C$10)+IF(B338="Working",F117,0))),0)</f>
        <v/>
      </c>
      <c r="Q338" s="138">
        <f>MAX(((Q337)*(1+$C$10)+IF(B338="Working",J338,0))-M338,0)</f>
        <v/>
      </c>
      <c r="R338" s="138">
        <f>MAX(((R337)*(1+$C$10)+IF(B338="Working",E117,0))-N338,0)</f>
        <v/>
      </c>
      <c r="S338" s="138">
        <f>MAX(((S337)*(1+$C$10)+IF(B338="Working",I338,0))-O338,0)</f>
        <v/>
      </c>
      <c r="T338" s="138">
        <f>MAX(((T337)*(1+$C$10)+IF(B338="Working",F117,0))-P338,0)</f>
        <v/>
      </c>
      <c r="U338" s="138">
        <f>Q338+R338+S338+T338</f>
        <v/>
      </c>
      <c r="V338" s="138">
        <f>IF(B338="Working",MAX(-(((Q337)*(1+$C$10)+IF(B338="Working",J338,0))),0),MAX(K338-L338,0))</f>
        <v/>
      </c>
      <c r="W338" s="138">
        <f>IF(OR(A338&gt;=$C$13,B338="Retired"),IF(V338&gt;0,-V338,U338-'Model Inputs'!$B$18),"")</f>
        <v/>
      </c>
      <c r="X338" s="138">
        <f>IF(AND($L$228&gt;0,A338&gt;=$C$13),$L$228*(1+$C$25)^(A338-$C$13),0)</f>
        <v/>
      </c>
      <c r="Y338" s="138">
        <f>IF(OR($L$228&lt;=0,$C$17&lt;=0,A338&lt;$C$13,MIN(MAX((A338-$C$13+1)*12,0),$C$17*12)&gt;=$C$17*12),0,IF($C$16=0,MAX(MAX($L$228*(1-$C$15),0)-(IF($C$17&lt;=0,0,IF($C$16=0,MAX($L$228*(1-$C$15),0)/$C$17,-PMT($C$16/12,$C$17*12,MAX($L$228*(1-$C$15),0))*12))/12)*MIN(MAX((A338-$C$13+1)*12,0),$C$17*12),0),MAX(MAX($L$228*(1-$C$15),0)*(1+$C$16/12)^MIN(MAX((A338-$C$13+1)*12,0),$C$17*12)-(IF($C$17&lt;=0,0,IF($C$16=0,MAX($L$228*(1-$C$15),0)/$C$17,-PMT($C$16/12,$C$17*12,MAX($L$228*(1-$C$15),0))*12))/12)*(((1+$C$16/12)^MIN(MAX((A338-$C$13+1)*12,0),$C$17*12)-1)/($C$16/12)),0)))</f>
        <v/>
      </c>
      <c r="Z338" s="138">
        <f>MAX(X338-Y338,0)</f>
        <v/>
      </c>
      <c r="AA338" s="142">
        <f>U338+Z338</f>
        <v/>
      </c>
      <c r="AB338" s="5" t="n"/>
      <c r="AC338" s="5" t="n"/>
      <c r="AD338" s="5" t="n"/>
      <c r="AE338" s="5" t="n"/>
      <c r="AF338" s="5" t="n"/>
      <c r="AG338" s="5" t="n"/>
    </row>
    <row r="339" outlineLevel="1" s="326">
      <c r="A339" s="136" t="n">
        <v>39</v>
      </c>
      <c r="B339" s="72">
        <f>B118</f>
        <v/>
      </c>
      <c r="C339" s="137">
        <f>D118</f>
        <v/>
      </c>
      <c r="D339" s="137">
        <f>I118</f>
        <v/>
      </c>
      <c r="E339" s="137">
        <f>J118</f>
        <v/>
      </c>
      <c r="F339" s="137">
        <f>K118</f>
        <v/>
      </c>
      <c r="G339" s="138">
        <f>IF(AND($L$228&gt;0,A339=$C$13),$L$228*($C$15+$C$18),0)+IF(AND($L$228&gt;0,A339=$C$13),$C$24,0)</f>
        <v/>
      </c>
      <c r="H339" s="138">
        <f>IF(OR($L$228&lt;=0,A339&lt;$C$13),0,IF(AND($L$228&gt;0,$C$17&gt;0,A339&gt;=$C$13,A339&lt;($C$13+$C$17)),IF($C$17&lt;=0,0,IF($C$16=0,MAX($L$228*(1-$C$15),0)/$C$17,-PMT($C$16/12,$C$17*12,MAX($L$228*(1-$C$15),0))*12)),0)+X339*($C$19+$C$20+$C$21)+$C$22+$C$23)</f>
        <v/>
      </c>
      <c r="I339" s="138">
        <f>IF(B339="Working",MIN(MAX(D339-E339-F339-G339-H339,0),'Tax Assumptions'!$B$20),0)</f>
        <v/>
      </c>
      <c r="J339" s="138">
        <f>IF(B339="Working",D339-E339-F339-I339-G339-H339,-L339)</f>
        <v/>
      </c>
      <c r="K339" s="137">
        <f>IF(B339="Retired",$N$228+G339+H339,0)</f>
        <v/>
      </c>
      <c r="L339" s="137">
        <f>M339+N339+O339+P339</f>
        <v/>
      </c>
      <c r="M339" s="137">
        <f>IF(B339="Retired",MIN(((Q338)*(1+$C$10)+IF(B339="Working",J339,0)),K339),0)</f>
        <v/>
      </c>
      <c r="N339" s="137">
        <f>IF(B339="Retired",MIN(MAX(K339-M339,0),((R338)*(1+$C$10)+IF(B339="Working",E118,0))),0)</f>
        <v/>
      </c>
      <c r="O339" s="137">
        <f>IF(B339="Retired",MIN(MAX(K339-M339-N339,0),((S338)*(1+$C$10)+IF(B339="Working",I339,0))),0)</f>
        <v/>
      </c>
      <c r="P339" s="137">
        <f>IF(B339="Retired",MIN(MAX(K339-M339-N339-O339,0),((T338)*(1+$C$10)+IF(B339="Working",F118,0))),0)</f>
        <v/>
      </c>
      <c r="Q339" s="138">
        <f>MAX(((Q338)*(1+$C$10)+IF(B339="Working",J339,0))-M339,0)</f>
        <v/>
      </c>
      <c r="R339" s="138">
        <f>MAX(((R338)*(1+$C$10)+IF(B339="Working",E118,0))-N339,0)</f>
        <v/>
      </c>
      <c r="S339" s="138">
        <f>MAX(((S338)*(1+$C$10)+IF(B339="Working",I339,0))-O339,0)</f>
        <v/>
      </c>
      <c r="T339" s="138">
        <f>MAX(((T338)*(1+$C$10)+IF(B339="Working",F118,0))-P339,0)</f>
        <v/>
      </c>
      <c r="U339" s="138">
        <f>Q339+R339+S339+T339</f>
        <v/>
      </c>
      <c r="V339" s="138">
        <f>IF(B339="Working",MAX(-(((Q338)*(1+$C$10)+IF(B339="Working",J339,0))),0),MAX(K339-L339,0))</f>
        <v/>
      </c>
      <c r="W339" s="138">
        <f>IF(OR(A339&gt;=$C$13,B339="Retired"),IF(V339&gt;0,-V339,U339-'Model Inputs'!$B$18),"")</f>
        <v/>
      </c>
      <c r="X339" s="138">
        <f>IF(AND($L$228&gt;0,A339&gt;=$C$13),$L$228*(1+$C$25)^(A339-$C$13),0)</f>
        <v/>
      </c>
      <c r="Y339" s="138">
        <f>IF(OR($L$228&lt;=0,$C$17&lt;=0,A339&lt;$C$13,MIN(MAX((A339-$C$13+1)*12,0),$C$17*12)&gt;=$C$17*12),0,IF($C$16=0,MAX(MAX($L$228*(1-$C$15),0)-(IF($C$17&lt;=0,0,IF($C$16=0,MAX($L$228*(1-$C$15),0)/$C$17,-PMT($C$16/12,$C$17*12,MAX($L$228*(1-$C$15),0))*12))/12)*MIN(MAX((A339-$C$13+1)*12,0),$C$17*12),0),MAX(MAX($L$228*(1-$C$15),0)*(1+$C$16/12)^MIN(MAX((A339-$C$13+1)*12,0),$C$17*12)-(IF($C$17&lt;=0,0,IF($C$16=0,MAX($L$228*(1-$C$15),0)/$C$17,-PMT($C$16/12,$C$17*12,MAX($L$228*(1-$C$15),0))*12))/12)*(((1+$C$16/12)^MIN(MAX((A339-$C$13+1)*12,0),$C$17*12)-1)/($C$16/12)),0)))</f>
        <v/>
      </c>
      <c r="Z339" s="138">
        <f>MAX(X339-Y339,0)</f>
        <v/>
      </c>
      <c r="AA339" s="139">
        <f>U339+Z339</f>
        <v/>
      </c>
      <c r="AB339" s="5" t="n"/>
      <c r="AC339" s="5" t="n"/>
      <c r="AD339" s="5" t="n"/>
      <c r="AE339" s="5" t="n"/>
      <c r="AF339" s="5" t="n"/>
      <c r="AG339" s="5" t="n"/>
    </row>
    <row r="340" outlineLevel="1" s="326">
      <c r="A340" s="140" t="n">
        <v>40</v>
      </c>
      <c r="B340" s="40">
        <f>B119</f>
        <v/>
      </c>
      <c r="C340" s="141">
        <f>D119</f>
        <v/>
      </c>
      <c r="D340" s="141">
        <f>I119</f>
        <v/>
      </c>
      <c r="E340" s="141">
        <f>J119</f>
        <v/>
      </c>
      <c r="F340" s="141">
        <f>K119</f>
        <v/>
      </c>
      <c r="G340" s="138">
        <f>IF(AND($L$228&gt;0,A340=$C$13),$L$228*($C$15+$C$18),0)+IF(AND($L$228&gt;0,A340=$C$13),$C$24,0)</f>
        <v/>
      </c>
      <c r="H340" s="138">
        <f>IF(OR($L$228&lt;=0,A340&lt;$C$13),0,IF(AND($L$228&gt;0,$C$17&gt;0,A340&gt;=$C$13,A340&lt;($C$13+$C$17)),IF($C$17&lt;=0,0,IF($C$16=0,MAX($L$228*(1-$C$15),0)/$C$17,-PMT($C$16/12,$C$17*12,MAX($L$228*(1-$C$15),0))*12)),0)+X340*($C$19+$C$20+$C$21)+$C$22+$C$23)</f>
        <v/>
      </c>
      <c r="I340" s="138">
        <f>IF(B340="Working",MIN(MAX(D340-E340-F340-G340-H340,0),'Tax Assumptions'!$B$20),0)</f>
        <v/>
      </c>
      <c r="J340" s="138">
        <f>IF(B340="Working",D340-E340-F340-I340-G340-H340,-L340)</f>
        <v/>
      </c>
      <c r="K340" s="141">
        <f>IF(B340="Retired",$N$228+G340+H340,0)</f>
        <v/>
      </c>
      <c r="L340" s="141">
        <f>M340+N340+O340+P340</f>
        <v/>
      </c>
      <c r="M340" s="141">
        <f>IF(B340="Retired",MIN(((Q339)*(1+$C$10)+IF(B340="Working",J340,0)),K340),0)</f>
        <v/>
      </c>
      <c r="N340" s="141">
        <f>IF(B340="Retired",MIN(MAX(K340-M340,0),((R339)*(1+$C$10)+IF(B340="Working",E119,0))),0)</f>
        <v/>
      </c>
      <c r="O340" s="141">
        <f>IF(B340="Retired",MIN(MAX(K340-M340-N340,0),((S339)*(1+$C$10)+IF(B340="Working",I340,0))),0)</f>
        <v/>
      </c>
      <c r="P340" s="141">
        <f>IF(B340="Retired",MIN(MAX(K340-M340-N340-O340,0),((T339)*(1+$C$10)+IF(B340="Working",F119,0))),0)</f>
        <v/>
      </c>
      <c r="Q340" s="138">
        <f>MAX(((Q339)*(1+$C$10)+IF(B340="Working",J340,0))-M340,0)</f>
        <v/>
      </c>
      <c r="R340" s="138">
        <f>MAX(((R339)*(1+$C$10)+IF(B340="Working",E119,0))-N340,0)</f>
        <v/>
      </c>
      <c r="S340" s="138">
        <f>MAX(((S339)*(1+$C$10)+IF(B340="Working",I340,0))-O340,0)</f>
        <v/>
      </c>
      <c r="T340" s="138">
        <f>MAX(((T339)*(1+$C$10)+IF(B340="Working",F119,0))-P340,0)</f>
        <v/>
      </c>
      <c r="U340" s="138">
        <f>Q340+R340+S340+T340</f>
        <v/>
      </c>
      <c r="V340" s="138">
        <f>IF(B340="Working",MAX(-(((Q339)*(1+$C$10)+IF(B340="Working",J340,0))),0),MAX(K340-L340,0))</f>
        <v/>
      </c>
      <c r="W340" s="138">
        <f>IF(OR(A340&gt;=$C$13,B340="Retired"),IF(V340&gt;0,-V340,U340-'Model Inputs'!$B$18),"")</f>
        <v/>
      </c>
      <c r="X340" s="138">
        <f>IF(AND($L$228&gt;0,A340&gt;=$C$13),$L$228*(1+$C$25)^(A340-$C$13),0)</f>
        <v/>
      </c>
      <c r="Y340" s="138">
        <f>IF(OR($L$228&lt;=0,$C$17&lt;=0,A340&lt;$C$13,MIN(MAX((A340-$C$13+1)*12,0),$C$17*12)&gt;=$C$17*12),0,IF($C$16=0,MAX(MAX($L$228*(1-$C$15),0)-(IF($C$17&lt;=0,0,IF($C$16=0,MAX($L$228*(1-$C$15),0)/$C$17,-PMT($C$16/12,$C$17*12,MAX($L$228*(1-$C$15),0))*12))/12)*MIN(MAX((A340-$C$13+1)*12,0),$C$17*12),0),MAX(MAX($L$228*(1-$C$15),0)*(1+$C$16/12)^MIN(MAX((A340-$C$13+1)*12,0),$C$17*12)-(IF($C$17&lt;=0,0,IF($C$16=0,MAX($L$228*(1-$C$15),0)/$C$17,-PMT($C$16/12,$C$17*12,MAX($L$228*(1-$C$15),0))*12))/12)*(((1+$C$16/12)^MIN(MAX((A340-$C$13+1)*12,0),$C$17*12)-1)/($C$16/12)),0)))</f>
        <v/>
      </c>
      <c r="Z340" s="138">
        <f>MAX(X340-Y340,0)</f>
        <v/>
      </c>
      <c r="AA340" s="142">
        <f>U340+Z340</f>
        <v/>
      </c>
      <c r="AB340" s="5" t="n"/>
      <c r="AC340" s="5" t="n"/>
      <c r="AD340" s="5" t="n"/>
      <c r="AE340" s="5" t="n"/>
      <c r="AF340" s="5" t="n"/>
      <c r="AG340" s="5" t="n"/>
    </row>
    <row r="341" outlineLevel="1" s="326">
      <c r="A341" s="143" t="inlineStr">
        <is>
          <t>Case Summary</t>
        </is>
      </c>
      <c r="B341" s="144" t="n"/>
      <c r="C341" s="144" t="n"/>
      <c r="D341" s="144" t="n"/>
      <c r="E341" s="144" t="n"/>
      <c r="F341" s="144" t="n"/>
      <c r="G341" s="145">
        <f>SUM(G301:G340)</f>
        <v/>
      </c>
      <c r="H341" s="145">
        <f>SUM(H301:H340)</f>
        <v/>
      </c>
      <c r="I341" s="145">
        <f>SUM(I301:I340)</f>
        <v/>
      </c>
      <c r="J341" s="145">
        <f>SUM(J301:J340)</f>
        <v/>
      </c>
      <c r="K341" s="145">
        <f>SUM(K301:K340)</f>
        <v/>
      </c>
      <c r="L341" s="145">
        <f>SUM(L301:L340)</f>
        <v/>
      </c>
      <c r="M341" s="145">
        <f>SUM(M301:M340)</f>
        <v/>
      </c>
      <c r="N341" s="145">
        <f>SUM(N301:N340)</f>
        <v/>
      </c>
      <c r="O341" s="145">
        <f>SUM(O301:O340)</f>
        <v/>
      </c>
      <c r="P341" s="145">
        <f>SUM(P301:P340)</f>
        <v/>
      </c>
      <c r="Q341" s="145">
        <f>Q340</f>
        <v/>
      </c>
      <c r="R341" s="145">
        <f>R340</f>
        <v/>
      </c>
      <c r="S341" s="145">
        <f>S340</f>
        <v/>
      </c>
      <c r="T341" s="145">
        <f>T340</f>
        <v/>
      </c>
      <c r="U341" s="145">
        <f>U340</f>
        <v/>
      </c>
      <c r="V341" s="145">
        <f>SUM(V301:V340)</f>
        <v/>
      </c>
      <c r="W341" s="145">
        <f>MIN(W301:W340)</f>
        <v/>
      </c>
      <c r="X341" s="145">
        <f>X340</f>
        <v/>
      </c>
      <c r="Y341" s="145">
        <f>Y340</f>
        <v/>
      </c>
      <c r="Z341" s="145">
        <f>Z340</f>
        <v/>
      </c>
      <c r="AA341" s="146">
        <f>AA340</f>
        <v/>
      </c>
      <c r="AB341" s="5" t="n"/>
      <c r="AC341" s="5" t="n"/>
      <c r="AD341" s="5" t="n"/>
      <c r="AE341" s="5" t="n"/>
      <c r="AF341" s="5" t="n"/>
      <c r="AG341" s="5" t="n"/>
    </row>
    <row r="342" outlineLevel="1" s="326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</row>
    <row r="343" outlineLevel="1" s="326">
      <c r="A343" s="387">
        <f>J229&amp;" | House "&amp;TEXT($L$229,"$#,##0")&amp;" | Spend "&amp;TEXT($N$229,"$#,##0")</f>
        <v/>
      </c>
      <c r="B343" s="345" t="n"/>
      <c r="C343" s="345" t="n"/>
      <c r="D343" s="345" t="n"/>
      <c r="E343" s="345" t="n"/>
      <c r="F343" s="345" t="n"/>
      <c r="G343" s="345" t="n"/>
      <c r="H343" s="345" t="n"/>
      <c r="I343" s="345" t="n"/>
      <c r="J343" s="345" t="n"/>
      <c r="K343" s="345" t="n"/>
      <c r="L343" s="345" t="n"/>
      <c r="M343" s="345" t="n"/>
      <c r="N343" s="345" t="n"/>
      <c r="O343" s="345" t="n"/>
      <c r="P343" s="345" t="n"/>
      <c r="Q343" s="345" t="n"/>
      <c r="R343" s="345" t="n"/>
      <c r="S343" s="345" t="n"/>
      <c r="T343" s="345" t="n"/>
      <c r="U343" s="345" t="n"/>
      <c r="V343" s="345" t="n"/>
      <c r="W343" s="345" t="n"/>
      <c r="X343" s="345" t="n"/>
      <c r="Y343" s="345" t="n"/>
      <c r="Z343" s="345" t="n"/>
      <c r="AA343" s="346" t="n"/>
      <c r="AB343" s="5" t="n"/>
      <c r="AC343" s="5" t="n"/>
      <c r="AD343" s="5" t="n"/>
      <c r="AE343" s="5" t="n"/>
      <c r="AF343" s="5" t="n"/>
      <c r="AG343" s="5" t="n"/>
    </row>
    <row r="344" outlineLevel="1" ht="34" customHeight="1" s="326">
      <c r="A344" s="134" t="inlineStr">
        <is>
          <t>Year</t>
        </is>
      </c>
      <c r="B344" s="83" t="inlineStr">
        <is>
          <t>Phase</t>
        </is>
      </c>
      <c r="C344" s="83" t="inlineStr">
        <is>
          <t>Gross</t>
        </is>
      </c>
      <c r="D344" s="83" t="inlineStr">
        <is>
          <t>Post-Tax Cash</t>
        </is>
      </c>
      <c r="E344" s="83" t="inlineStr">
        <is>
          <t>Rent</t>
        </is>
      </c>
      <c r="F344" s="83" t="inlineStr">
        <is>
          <t>Living</t>
        </is>
      </c>
      <c r="G344" s="83" t="inlineStr">
        <is>
          <t>House Cash</t>
        </is>
      </c>
      <c r="H344" s="83" t="inlineStr">
        <is>
          <t>Housing Carry</t>
        </is>
      </c>
      <c r="I344" s="83" t="inlineStr">
        <is>
          <t>Roth</t>
        </is>
      </c>
      <c r="J344" s="83" t="inlineStr">
        <is>
          <t>Taxable Sav / (Draw)</t>
        </is>
      </c>
      <c r="K344" s="83" t="inlineStr">
        <is>
          <t>Planned Need</t>
        </is>
      </c>
      <c r="L344" s="83" t="inlineStr">
        <is>
          <t>Actual W/D</t>
        </is>
      </c>
      <c r="M344" s="83" t="inlineStr">
        <is>
          <t>Taxable Draw</t>
        </is>
      </c>
      <c r="N344" s="83" t="inlineStr">
        <is>
          <t>401(k) Draw</t>
        </is>
      </c>
      <c r="O344" s="83" t="inlineStr">
        <is>
          <t>Roth Draw</t>
        </is>
      </c>
      <c r="P344" s="83" t="inlineStr">
        <is>
          <t>HSA Draw</t>
        </is>
      </c>
      <c r="Q344" s="83" t="inlineStr">
        <is>
          <t>Taxable Bal</t>
        </is>
      </c>
      <c r="R344" s="83" t="inlineStr">
        <is>
          <t>401(k) Bal</t>
        </is>
      </c>
      <c r="S344" s="83" t="inlineStr">
        <is>
          <t>Roth Bal</t>
        </is>
      </c>
      <c r="T344" s="83" t="inlineStr">
        <is>
          <t>HSA Bal</t>
        </is>
      </c>
      <c r="U344" s="83" t="inlineStr">
        <is>
          <t>Liquid Wealth</t>
        </is>
      </c>
      <c r="V344" s="83" t="inlineStr">
        <is>
          <t>Funding Gap</t>
        </is>
      </c>
      <c r="W344" s="83" t="inlineStr">
        <is>
          <t>Margin vs Reserve</t>
        </is>
      </c>
      <c r="X344" s="83" t="inlineStr">
        <is>
          <t>House Value</t>
        </is>
      </c>
      <c r="Y344" s="83" t="inlineStr">
        <is>
          <t>Mortgage Balance</t>
        </is>
      </c>
      <c r="Z344" s="83" t="inlineStr">
        <is>
          <t>Home Equity</t>
        </is>
      </c>
      <c r="AA344" s="135" t="inlineStr">
        <is>
          <t>Net Worth</t>
        </is>
      </c>
      <c r="AB344" s="5" t="n"/>
      <c r="AC344" s="5" t="n"/>
      <c r="AD344" s="5" t="n"/>
      <c r="AE344" s="5" t="n"/>
      <c r="AF344" s="5" t="n"/>
      <c r="AG344" s="5" t="n"/>
    </row>
    <row r="345" outlineLevel="1" s="326">
      <c r="A345" s="136" t="n">
        <v>1</v>
      </c>
      <c r="B345" s="72">
        <f>B80</f>
        <v/>
      </c>
      <c r="C345" s="137">
        <f>D80</f>
        <v/>
      </c>
      <c r="D345" s="137">
        <f>I80</f>
        <v/>
      </c>
      <c r="E345" s="137">
        <f>J80</f>
        <v/>
      </c>
      <c r="F345" s="137">
        <f>K80</f>
        <v/>
      </c>
      <c r="G345" s="138">
        <f>IF(AND($L$229&gt;0,A345=$C$13),$L$229*($C$15+$C$18),0)+IF(AND($L$229&gt;0,A345=$C$13),$C$24,0)</f>
        <v/>
      </c>
      <c r="H345" s="138">
        <f>IF(OR($L$229&lt;=0,A345&lt;$C$13),0,IF(AND($L$229&gt;0,$C$17&gt;0,A345&gt;=$C$13,A345&lt;($C$13+$C$17)),IF($C$17&lt;=0,0,IF($C$16=0,MAX($L$229*(1-$C$15),0)/$C$17,-PMT($C$16/12,$C$17*12,MAX($L$229*(1-$C$15),0))*12)),0)+X345*($C$19+$C$20+$C$21)+$C$22+$C$23)</f>
        <v/>
      </c>
      <c r="I345" s="138">
        <f>IF(B345="Working",MIN(MAX(D345-E345-F345-G345-H345,0),'Tax Assumptions'!$B$20),0)</f>
        <v/>
      </c>
      <c r="J345" s="138">
        <f>IF(B345="Working",D345-E345-F345-I345-G345-H345,-L345)</f>
        <v/>
      </c>
      <c r="K345" s="137">
        <f>IF(B345="Retired",$N$229+G345+H345,0)</f>
        <v/>
      </c>
      <c r="L345" s="137">
        <f>M345+N345+O345+P345</f>
        <v/>
      </c>
      <c r="M345" s="137">
        <f>IF(B345="Retired",MIN((('Savings Projection'!$B$7)*(1+$C$10)+IF(B345="Working",J345,0)),K345),0)</f>
        <v/>
      </c>
      <c r="N345" s="137">
        <f>IF(B345="Retired",MIN(MAX(K345-M345,0),(('Savings Projection'!$B$8)*(1+$C$10)+IF(B345="Working",E80,0))),0)</f>
        <v/>
      </c>
      <c r="O345" s="137">
        <f>IF(B345="Retired",MIN(MAX(K345-M345-N345,0),(('Savings Projection'!$B$9)*(1+$C$10)+IF(B345="Working",I345,0))),0)</f>
        <v/>
      </c>
      <c r="P345" s="137">
        <f>IF(B345="Retired",MIN(MAX(K345-M345-N345-O345,0),(('Savings Projection'!$B$10)*(1+$C$10)+IF(B345="Working",F80,0))),0)</f>
        <v/>
      </c>
      <c r="Q345" s="138">
        <f>MAX((('Savings Projection'!$B$7)*(1+$C$10)+IF(B345="Working",J345,0))-M345,0)</f>
        <v/>
      </c>
      <c r="R345" s="138">
        <f>MAX((('Savings Projection'!$B$8)*(1+$C$10)+IF(B345="Working",E80,0))-N345,0)</f>
        <v/>
      </c>
      <c r="S345" s="138">
        <f>MAX((('Savings Projection'!$B$9)*(1+$C$10)+IF(B345="Working",I345,0))-O345,0)</f>
        <v/>
      </c>
      <c r="T345" s="138">
        <f>MAX((('Savings Projection'!$B$10)*(1+$C$10)+IF(B345="Working",F80,0))-P345,0)</f>
        <v/>
      </c>
      <c r="U345" s="138">
        <f>Q345+R345+S345+T345</f>
        <v/>
      </c>
      <c r="V345" s="138">
        <f>IF(B345="Working",MAX(-((('Savings Projection'!$B$7)*(1+$C$10)+IF(B345="Working",J345,0))),0),MAX(K345-L345,0))</f>
        <v/>
      </c>
      <c r="W345" s="138">
        <f>IF(OR(A345&gt;=$C$13,B345="Retired"),IF(V345&gt;0,-V345,U345-'Model Inputs'!$B$18),"")</f>
        <v/>
      </c>
      <c r="X345" s="138">
        <f>IF(AND($L$229&gt;0,A345&gt;=$C$13),$L$229*(1+$C$25)^(A345-$C$13),0)</f>
        <v/>
      </c>
      <c r="Y345" s="138">
        <f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/>
      </c>
      <c r="Z345" s="138">
        <f>MAX(X345-Y345,0)</f>
        <v/>
      </c>
      <c r="AA345" s="139">
        <f>U345+Z345</f>
        <v/>
      </c>
      <c r="AB345" s="5" t="n"/>
      <c r="AC345" s="5" t="n"/>
      <c r="AD345" s="5" t="n"/>
      <c r="AE345" s="5" t="n"/>
      <c r="AF345" s="5" t="n"/>
      <c r="AG345" s="5" t="n"/>
    </row>
    <row r="346" outlineLevel="1" s="326">
      <c r="A346" s="140" t="n">
        <v>2</v>
      </c>
      <c r="B346" s="40">
        <f>B81</f>
        <v/>
      </c>
      <c r="C346" s="141">
        <f>D81</f>
        <v/>
      </c>
      <c r="D346" s="141">
        <f>I81</f>
        <v/>
      </c>
      <c r="E346" s="141">
        <f>J81</f>
        <v/>
      </c>
      <c r="F346" s="141">
        <f>K81</f>
        <v/>
      </c>
      <c r="G346" s="138">
        <f>IF(AND($L$229&gt;0,A346=$C$13),$L$229*($C$15+$C$18),0)+IF(AND($L$229&gt;0,A346=$C$13),$C$24,0)</f>
        <v/>
      </c>
      <c r="H346" s="138">
        <f>IF(OR($L$229&lt;=0,A346&lt;$C$13),0,IF(AND($L$229&gt;0,$C$17&gt;0,A346&gt;=$C$13,A346&lt;($C$13+$C$17)),IF($C$17&lt;=0,0,IF($C$16=0,MAX($L$229*(1-$C$15),0)/$C$17,-PMT($C$16/12,$C$17*12,MAX($L$229*(1-$C$15),0))*12)),0)+X346*($C$19+$C$20+$C$21)+$C$22+$C$23)</f>
        <v/>
      </c>
      <c r="I346" s="138">
        <f>IF(B346="Working",MIN(MAX(D346-E346-F346-G346-H346,0),'Tax Assumptions'!$B$20),0)</f>
        <v/>
      </c>
      <c r="J346" s="138">
        <f>IF(B346="Working",D346-E346-F346-I346-G346-H346,-L346)</f>
        <v/>
      </c>
      <c r="K346" s="141">
        <f>IF(B346="Retired",$N$229+G346+H346,0)</f>
        <v/>
      </c>
      <c r="L346" s="141">
        <f>M346+N346+O346+P346</f>
        <v/>
      </c>
      <c r="M346" s="141">
        <f>IF(B346="Retired",MIN(((Q345)*(1+$C$10)+IF(B346="Working",J346,0)),K346),0)</f>
        <v/>
      </c>
      <c r="N346" s="141">
        <f>IF(B346="Retired",MIN(MAX(K346-M346,0),((R345)*(1+$C$10)+IF(B346="Working",E81,0))),0)</f>
        <v/>
      </c>
      <c r="O346" s="141">
        <f>IF(B346="Retired",MIN(MAX(K346-M346-N346,0),((S345)*(1+$C$10)+IF(B346="Working",I346,0))),0)</f>
        <v/>
      </c>
      <c r="P346" s="141">
        <f>IF(B346="Retired",MIN(MAX(K346-M346-N346-O346,0),((T345)*(1+$C$10)+IF(B346="Working",F81,0))),0)</f>
        <v/>
      </c>
      <c r="Q346" s="138">
        <f>MAX(((Q345)*(1+$C$10)+IF(B346="Working",J346,0))-M346,0)</f>
        <v/>
      </c>
      <c r="R346" s="138">
        <f>MAX(((R345)*(1+$C$10)+IF(B346="Working",E81,0))-N346,0)</f>
        <v/>
      </c>
      <c r="S346" s="138">
        <f>MAX(((S345)*(1+$C$10)+IF(B346="Working",I346,0))-O346,0)</f>
        <v/>
      </c>
      <c r="T346" s="138">
        <f>MAX(((T345)*(1+$C$10)+IF(B346="Working",F81,0))-P346,0)</f>
        <v/>
      </c>
      <c r="U346" s="138">
        <f>Q346+R346+S346+T346</f>
        <v/>
      </c>
      <c r="V346" s="138">
        <f>IF(B346="Working",MAX(-(((Q345)*(1+$C$10)+IF(B346="Working",J346,0))),0),MAX(K346-L346,0))</f>
        <v/>
      </c>
      <c r="W346" s="138">
        <f>IF(OR(A346&gt;=$C$13,B346="Retired"),IF(V346&gt;0,-V346,U346-'Model Inputs'!$B$18),"")</f>
        <v/>
      </c>
      <c r="X346" s="138">
        <f>IF(AND($L$229&gt;0,A346&gt;=$C$13),$L$229*(1+$C$25)^(A346-$C$13),0)</f>
        <v/>
      </c>
      <c r="Y346" s="138">
        <f>IF(OR($L$229&lt;=0,$C$17&lt;=0,A346&lt;$C$13,MIN(MAX((A346-$C$13+1)*12,0),$C$17*12)&gt;=$C$17*12),0,IF($C$16=0,MAX(MAX($L$229*(1-$C$15),0)-(IF($C$17&lt;=0,0,IF($C$16=0,MAX($L$229*(1-$C$15),0)/$C$17,-PMT($C$16/12,$C$17*12,MAX($L$229*(1-$C$15),0))*12))/12)*MIN(MAX((A346-$C$13+1)*12,0),$C$17*12),0),MAX(MAX($L$229*(1-$C$15),0)*(1+$C$16/12)^MIN(MAX((A346-$C$13+1)*12,0),$C$17*12)-(IF($C$17&lt;=0,0,IF($C$16=0,MAX($L$229*(1-$C$15),0)/$C$17,-PMT($C$16/12,$C$17*12,MAX($L$229*(1-$C$15),0))*12))/12)*(((1+$C$16/12)^MIN(MAX((A346-$C$13+1)*12,0),$C$17*12)-1)/($C$16/12)),0)))</f>
        <v/>
      </c>
      <c r="Z346" s="138">
        <f>MAX(X346-Y346,0)</f>
        <v/>
      </c>
      <c r="AA346" s="142">
        <f>U346+Z346</f>
        <v/>
      </c>
      <c r="AB346" s="5" t="n"/>
      <c r="AC346" s="5" t="n"/>
      <c r="AD346" s="5" t="n"/>
      <c r="AE346" s="5" t="n"/>
      <c r="AF346" s="5" t="n"/>
      <c r="AG346" s="5" t="n"/>
    </row>
    <row r="347" outlineLevel="1" s="326">
      <c r="A347" s="136" t="n">
        <v>3</v>
      </c>
      <c r="B347" s="72">
        <f>B82</f>
        <v/>
      </c>
      <c r="C347" s="137">
        <f>D82</f>
        <v/>
      </c>
      <c r="D347" s="137">
        <f>I82</f>
        <v/>
      </c>
      <c r="E347" s="137">
        <f>J82</f>
        <v/>
      </c>
      <c r="F347" s="137">
        <f>K82</f>
        <v/>
      </c>
      <c r="G347" s="138">
        <f>IF(AND($L$229&gt;0,A347=$C$13),$L$229*($C$15+$C$18),0)+IF(AND($L$229&gt;0,A347=$C$13),$C$24,0)</f>
        <v/>
      </c>
      <c r="H347" s="138">
        <f>IF(OR($L$229&lt;=0,A347&lt;$C$13),0,IF(AND($L$229&gt;0,$C$17&gt;0,A347&gt;=$C$13,A347&lt;($C$13+$C$17)),IF($C$17&lt;=0,0,IF($C$16=0,MAX($L$229*(1-$C$15),0)/$C$17,-PMT($C$16/12,$C$17*12,MAX($L$229*(1-$C$15),0))*12)),0)+X347*($C$19+$C$20+$C$21)+$C$22+$C$23)</f>
        <v/>
      </c>
      <c r="I347" s="138">
        <f>IF(B347="Working",MIN(MAX(D347-E347-F347-G347-H347,0),'Tax Assumptions'!$B$20),0)</f>
        <v/>
      </c>
      <c r="J347" s="138">
        <f>IF(B347="Working",D347-E347-F347-I347-G347-H347,-L347)</f>
        <v/>
      </c>
      <c r="K347" s="137">
        <f>IF(B347="Retired",$N$229+G347+H347,0)</f>
        <v/>
      </c>
      <c r="L347" s="137">
        <f>M347+N347+O347+P347</f>
        <v/>
      </c>
      <c r="M347" s="137">
        <f>IF(B347="Retired",MIN(((Q346)*(1+$C$10)+IF(B347="Working",J347,0)),K347),0)</f>
        <v/>
      </c>
      <c r="N347" s="137">
        <f>IF(B347="Retired",MIN(MAX(K347-M347,0),((R346)*(1+$C$10)+IF(B347="Working",E82,0))),0)</f>
        <v/>
      </c>
      <c r="O347" s="137">
        <f>IF(B347="Retired",MIN(MAX(K347-M347-N347,0),((S346)*(1+$C$10)+IF(B347="Working",I347,0))),0)</f>
        <v/>
      </c>
      <c r="P347" s="137">
        <f>IF(B347="Retired",MIN(MAX(K347-M347-N347-O347,0),((T346)*(1+$C$10)+IF(B347="Working",F82,0))),0)</f>
        <v/>
      </c>
      <c r="Q347" s="138">
        <f>MAX(((Q346)*(1+$C$10)+IF(B347="Working",J347,0))-M347,0)</f>
        <v/>
      </c>
      <c r="R347" s="138">
        <f>MAX(((R346)*(1+$C$10)+IF(B347="Working",E82,0))-N347,0)</f>
        <v/>
      </c>
      <c r="S347" s="138">
        <f>MAX(((S346)*(1+$C$10)+IF(B347="Working",I347,0))-O347,0)</f>
        <v/>
      </c>
      <c r="T347" s="138">
        <f>MAX(((T346)*(1+$C$10)+IF(B347="Working",F82,0))-P347,0)</f>
        <v/>
      </c>
      <c r="U347" s="138">
        <f>Q347+R347+S347+T347</f>
        <v/>
      </c>
      <c r="V347" s="138">
        <f>IF(B347="Working",MAX(-(((Q346)*(1+$C$10)+IF(B347="Working",J347,0))),0),MAX(K347-L347,0))</f>
        <v/>
      </c>
      <c r="W347" s="138">
        <f>IF(OR(A347&gt;=$C$13,B347="Retired"),IF(V347&gt;0,-V347,U347-'Model Inputs'!$B$18),"")</f>
        <v/>
      </c>
      <c r="X347" s="138">
        <f>IF(AND($L$229&gt;0,A347&gt;=$C$13),$L$229*(1+$C$25)^(A347-$C$13),0)</f>
        <v/>
      </c>
      <c r="Y347" s="138">
        <f>IF(OR($L$229&lt;=0,$C$17&lt;=0,A347&lt;$C$13,MIN(MAX((A347-$C$13+1)*12,0),$C$17*12)&gt;=$C$17*12),0,IF($C$16=0,MAX(MAX($L$229*(1-$C$15),0)-(IF($C$17&lt;=0,0,IF($C$16=0,MAX($L$229*(1-$C$15),0)/$C$17,-PMT($C$16/12,$C$17*12,MAX($L$229*(1-$C$15),0))*12))/12)*MIN(MAX((A347-$C$13+1)*12,0),$C$17*12),0),MAX(MAX($L$229*(1-$C$15),0)*(1+$C$16/12)^MIN(MAX((A347-$C$13+1)*12,0),$C$17*12)-(IF($C$17&lt;=0,0,IF($C$16=0,MAX($L$229*(1-$C$15),0)/$C$17,-PMT($C$16/12,$C$17*12,MAX($L$229*(1-$C$15),0))*12))/12)*(((1+$C$16/12)^MIN(MAX((A347-$C$13+1)*12,0),$C$17*12)-1)/($C$16/12)),0)))</f>
        <v/>
      </c>
      <c r="Z347" s="138">
        <f>MAX(X347-Y347,0)</f>
        <v/>
      </c>
      <c r="AA347" s="139">
        <f>U347+Z347</f>
        <v/>
      </c>
      <c r="AB347" s="5" t="n"/>
      <c r="AC347" s="5" t="n"/>
      <c r="AD347" s="5" t="n"/>
      <c r="AE347" s="5" t="n"/>
      <c r="AF347" s="5" t="n"/>
      <c r="AG347" s="5" t="n"/>
    </row>
    <row r="348" outlineLevel="1" s="326">
      <c r="A348" s="140" t="n">
        <v>4</v>
      </c>
      <c r="B348" s="40">
        <f>B83</f>
        <v/>
      </c>
      <c r="C348" s="141">
        <f>D83</f>
        <v/>
      </c>
      <c r="D348" s="141">
        <f>I83</f>
        <v/>
      </c>
      <c r="E348" s="141">
        <f>J83</f>
        <v/>
      </c>
      <c r="F348" s="141">
        <f>K83</f>
        <v/>
      </c>
      <c r="G348" s="138">
        <f>IF(AND($L$229&gt;0,A348=$C$13),$L$229*($C$15+$C$18),0)+IF(AND($L$229&gt;0,A348=$C$13),$C$24,0)</f>
        <v/>
      </c>
      <c r="H348" s="138">
        <f>IF(OR($L$229&lt;=0,A348&lt;$C$13),0,IF(AND($L$229&gt;0,$C$17&gt;0,A348&gt;=$C$13,A348&lt;($C$13+$C$17)),IF($C$17&lt;=0,0,IF($C$16=0,MAX($L$229*(1-$C$15),0)/$C$17,-PMT($C$16/12,$C$17*12,MAX($L$229*(1-$C$15),0))*12)),0)+X348*($C$19+$C$20+$C$21)+$C$22+$C$23)</f>
        <v/>
      </c>
      <c r="I348" s="138">
        <f>IF(B348="Working",MIN(MAX(D348-E348-F348-G348-H348,0),'Tax Assumptions'!$B$20),0)</f>
        <v/>
      </c>
      <c r="J348" s="138">
        <f>IF(B348="Working",D348-E348-F348-I348-G348-H348,-L348)</f>
        <v/>
      </c>
      <c r="K348" s="141">
        <f>IF(B348="Retired",$N$229+G348+H348,0)</f>
        <v/>
      </c>
      <c r="L348" s="141">
        <f>M348+N348+O348+P348</f>
        <v/>
      </c>
      <c r="M348" s="141">
        <f>IF(B348="Retired",MIN(((Q347)*(1+$C$10)+IF(B348="Working",J348,0)),K348),0)</f>
        <v/>
      </c>
      <c r="N348" s="141">
        <f>IF(B348="Retired",MIN(MAX(K348-M348,0),((R347)*(1+$C$10)+IF(B348="Working",E83,0))),0)</f>
        <v/>
      </c>
      <c r="O348" s="141">
        <f>IF(B348="Retired",MIN(MAX(K348-M348-N348,0),((S347)*(1+$C$10)+IF(B348="Working",I348,0))),0)</f>
        <v/>
      </c>
      <c r="P348" s="141">
        <f>IF(B348="Retired",MIN(MAX(K348-M348-N348-O348,0),((T347)*(1+$C$10)+IF(B348="Working",F83,0))),0)</f>
        <v/>
      </c>
      <c r="Q348" s="138">
        <f>MAX(((Q347)*(1+$C$10)+IF(B348="Working",J348,0))-M348,0)</f>
        <v/>
      </c>
      <c r="R348" s="138">
        <f>MAX(((R347)*(1+$C$10)+IF(B348="Working",E83,0))-N348,0)</f>
        <v/>
      </c>
      <c r="S348" s="138">
        <f>MAX(((S347)*(1+$C$10)+IF(B348="Working",I348,0))-O348,0)</f>
        <v/>
      </c>
      <c r="T348" s="138">
        <f>MAX(((T347)*(1+$C$10)+IF(B348="Working",F83,0))-P348,0)</f>
        <v/>
      </c>
      <c r="U348" s="138">
        <f>Q348+R348+S348+T348</f>
        <v/>
      </c>
      <c r="V348" s="138">
        <f>IF(B348="Working",MAX(-(((Q347)*(1+$C$10)+IF(B348="Working",J348,0))),0),MAX(K348-L348,0))</f>
        <v/>
      </c>
      <c r="W348" s="138">
        <f>IF(OR(A348&gt;=$C$13,B348="Retired"),IF(V348&gt;0,-V348,U348-'Model Inputs'!$B$18),"")</f>
        <v/>
      </c>
      <c r="X348" s="138">
        <f>IF(AND($L$229&gt;0,A348&gt;=$C$13),$L$229*(1+$C$25)^(A348-$C$13),0)</f>
        <v/>
      </c>
      <c r="Y348" s="138">
        <f>IF(OR($L$229&lt;=0,$C$17&lt;=0,A348&lt;$C$13,MIN(MAX((A348-$C$13+1)*12,0),$C$17*12)&gt;=$C$17*12),0,IF($C$16=0,MAX(MAX($L$229*(1-$C$15),0)-(IF($C$17&lt;=0,0,IF($C$16=0,MAX($L$229*(1-$C$15),0)/$C$17,-PMT($C$16/12,$C$17*12,MAX($L$229*(1-$C$15),0))*12))/12)*MIN(MAX((A348-$C$13+1)*12,0),$C$17*12),0),MAX(MAX($L$229*(1-$C$15),0)*(1+$C$16/12)^MIN(MAX((A348-$C$13+1)*12,0),$C$17*12)-(IF($C$17&lt;=0,0,IF($C$16=0,MAX($L$229*(1-$C$15),0)/$C$17,-PMT($C$16/12,$C$17*12,MAX($L$229*(1-$C$15),0))*12))/12)*(((1+$C$16/12)^MIN(MAX((A348-$C$13+1)*12,0),$C$17*12)-1)/($C$16/12)),0)))</f>
        <v/>
      </c>
      <c r="Z348" s="138">
        <f>MAX(X348-Y348,0)</f>
        <v/>
      </c>
      <c r="AA348" s="142">
        <f>U348+Z348</f>
        <v/>
      </c>
      <c r="AB348" s="5" t="n"/>
      <c r="AC348" s="5" t="n"/>
      <c r="AD348" s="5" t="n"/>
      <c r="AE348" s="5" t="n"/>
      <c r="AF348" s="5" t="n"/>
      <c r="AG348" s="5" t="n"/>
    </row>
    <row r="349" outlineLevel="1" s="326">
      <c r="A349" s="136" t="n">
        <v>5</v>
      </c>
      <c r="B349" s="72">
        <f>B84</f>
        <v/>
      </c>
      <c r="C349" s="137">
        <f>D84</f>
        <v/>
      </c>
      <c r="D349" s="137">
        <f>I84</f>
        <v/>
      </c>
      <c r="E349" s="137">
        <f>J84</f>
        <v/>
      </c>
      <c r="F349" s="137">
        <f>K84</f>
        <v/>
      </c>
      <c r="G349" s="138">
        <f>IF(AND($L$229&gt;0,A349=$C$13),$L$229*($C$15+$C$18),0)+IF(AND($L$229&gt;0,A349=$C$13),$C$24,0)</f>
        <v/>
      </c>
      <c r="H349" s="138">
        <f>IF(OR($L$229&lt;=0,A349&lt;$C$13),0,IF(AND($L$229&gt;0,$C$17&gt;0,A349&gt;=$C$13,A349&lt;($C$13+$C$17)),IF($C$17&lt;=0,0,IF($C$16=0,MAX($L$229*(1-$C$15),0)/$C$17,-PMT($C$16/12,$C$17*12,MAX($L$229*(1-$C$15),0))*12)),0)+X349*($C$19+$C$20+$C$21)+$C$22+$C$23)</f>
        <v/>
      </c>
      <c r="I349" s="138">
        <f>IF(B349="Working",MIN(MAX(D349-E349-F349-G349-H349,0),'Tax Assumptions'!$B$20),0)</f>
        <v/>
      </c>
      <c r="J349" s="138">
        <f>IF(B349="Working",D349-E349-F349-I349-G349-H349,-L349)</f>
        <v/>
      </c>
      <c r="K349" s="137">
        <f>IF(B349="Retired",$N$229+G349+H349,0)</f>
        <v/>
      </c>
      <c r="L349" s="137">
        <f>M349+N349+O349+P349</f>
        <v/>
      </c>
      <c r="M349" s="137">
        <f>IF(B349="Retired",MIN(((Q348)*(1+$C$10)+IF(B349="Working",J349,0)),K349),0)</f>
        <v/>
      </c>
      <c r="N349" s="137">
        <f>IF(B349="Retired",MIN(MAX(K349-M349,0),((R348)*(1+$C$10)+IF(B349="Working",E84,0))),0)</f>
        <v/>
      </c>
      <c r="O349" s="137">
        <f>IF(B349="Retired",MIN(MAX(K349-M349-N349,0),((S348)*(1+$C$10)+IF(B349="Working",I349,0))),0)</f>
        <v/>
      </c>
      <c r="P349" s="137">
        <f>IF(B349="Retired",MIN(MAX(K349-M349-N349-O349,0),((T348)*(1+$C$10)+IF(B349="Working",F84,0))),0)</f>
        <v/>
      </c>
      <c r="Q349" s="138">
        <f>MAX(((Q348)*(1+$C$10)+IF(B349="Working",J349,0))-M349,0)</f>
        <v/>
      </c>
      <c r="R349" s="138">
        <f>MAX(((R348)*(1+$C$10)+IF(B349="Working",E84,0))-N349,0)</f>
        <v/>
      </c>
      <c r="S349" s="138">
        <f>MAX(((S348)*(1+$C$10)+IF(B349="Working",I349,0))-O349,0)</f>
        <v/>
      </c>
      <c r="T349" s="138">
        <f>MAX(((T348)*(1+$C$10)+IF(B349="Working",F84,0))-P349,0)</f>
        <v/>
      </c>
      <c r="U349" s="138">
        <f>Q349+R349+S349+T349</f>
        <v/>
      </c>
      <c r="V349" s="138">
        <f>IF(B349="Working",MAX(-(((Q348)*(1+$C$10)+IF(B349="Working",J349,0))),0),MAX(K349-L349,0))</f>
        <v/>
      </c>
      <c r="W349" s="138">
        <f>IF(OR(A349&gt;=$C$13,B349="Retired"),IF(V349&gt;0,-V349,U349-'Model Inputs'!$B$18),"")</f>
        <v/>
      </c>
      <c r="X349" s="138">
        <f>IF(AND($L$229&gt;0,A349&gt;=$C$13),$L$229*(1+$C$25)^(A349-$C$13),0)</f>
        <v/>
      </c>
      <c r="Y349" s="138">
        <f>IF(OR($L$229&lt;=0,$C$17&lt;=0,A349&lt;$C$13,MIN(MAX((A349-$C$13+1)*12,0),$C$17*12)&gt;=$C$17*12),0,IF($C$16=0,MAX(MAX($L$229*(1-$C$15),0)-(IF($C$17&lt;=0,0,IF($C$16=0,MAX($L$229*(1-$C$15),0)/$C$17,-PMT($C$16/12,$C$17*12,MAX($L$229*(1-$C$15),0))*12))/12)*MIN(MAX((A349-$C$13+1)*12,0),$C$17*12),0),MAX(MAX($L$229*(1-$C$15),0)*(1+$C$16/12)^MIN(MAX((A349-$C$13+1)*12,0),$C$17*12)-(IF($C$17&lt;=0,0,IF($C$16=0,MAX($L$229*(1-$C$15),0)/$C$17,-PMT($C$16/12,$C$17*12,MAX($L$229*(1-$C$15),0))*12))/12)*(((1+$C$16/12)^MIN(MAX((A349-$C$13+1)*12,0),$C$17*12)-1)/($C$16/12)),0)))</f>
        <v/>
      </c>
      <c r="Z349" s="138">
        <f>MAX(X349-Y349,0)</f>
        <v/>
      </c>
      <c r="AA349" s="139">
        <f>U349+Z349</f>
        <v/>
      </c>
      <c r="AB349" s="5" t="n"/>
      <c r="AC349" s="5" t="n"/>
      <c r="AD349" s="5" t="n"/>
      <c r="AE349" s="5" t="n"/>
      <c r="AF349" s="5" t="n"/>
      <c r="AG349" s="5" t="n"/>
    </row>
    <row r="350" outlineLevel="1" s="326">
      <c r="A350" s="140" t="n">
        <v>6</v>
      </c>
      <c r="B350" s="40">
        <f>B85</f>
        <v/>
      </c>
      <c r="C350" s="141">
        <f>D85</f>
        <v/>
      </c>
      <c r="D350" s="141">
        <f>I85</f>
        <v/>
      </c>
      <c r="E350" s="141">
        <f>J85</f>
        <v/>
      </c>
      <c r="F350" s="141">
        <f>K85</f>
        <v/>
      </c>
      <c r="G350" s="138">
        <f>IF(AND($L$229&gt;0,A350=$C$13),$L$229*($C$15+$C$18),0)+IF(AND($L$229&gt;0,A350=$C$13),$C$24,0)</f>
        <v/>
      </c>
      <c r="H350" s="138">
        <f>IF(OR($L$229&lt;=0,A350&lt;$C$13),0,IF(AND($L$229&gt;0,$C$17&gt;0,A350&gt;=$C$13,A350&lt;($C$13+$C$17)),IF($C$17&lt;=0,0,IF($C$16=0,MAX($L$229*(1-$C$15),0)/$C$17,-PMT($C$16/12,$C$17*12,MAX($L$229*(1-$C$15),0))*12)),0)+X350*($C$19+$C$20+$C$21)+$C$22+$C$23)</f>
        <v/>
      </c>
      <c r="I350" s="138">
        <f>IF(B350="Working",MIN(MAX(D350-E350-F350-G350-H350,0),'Tax Assumptions'!$B$20),0)</f>
        <v/>
      </c>
      <c r="J350" s="138">
        <f>IF(B350="Working",D350-E350-F350-I350-G350-H350,-L350)</f>
        <v/>
      </c>
      <c r="K350" s="141">
        <f>IF(B350="Retired",$N$229+G350+H350,0)</f>
        <v/>
      </c>
      <c r="L350" s="141">
        <f>M350+N350+O350+P350</f>
        <v/>
      </c>
      <c r="M350" s="141">
        <f>IF(B350="Retired",MIN(((Q349)*(1+$C$10)+IF(B350="Working",J350,0)),K350),0)</f>
        <v/>
      </c>
      <c r="N350" s="141">
        <f>IF(B350="Retired",MIN(MAX(K350-M350,0),((R349)*(1+$C$10)+IF(B350="Working",E85,0))),0)</f>
        <v/>
      </c>
      <c r="O350" s="141">
        <f>IF(B350="Retired",MIN(MAX(K350-M350-N350,0),((S349)*(1+$C$10)+IF(B350="Working",I350,0))),0)</f>
        <v/>
      </c>
      <c r="P350" s="141">
        <f>IF(B350="Retired",MIN(MAX(K350-M350-N350-O350,0),((T349)*(1+$C$10)+IF(B350="Working",F85,0))),0)</f>
        <v/>
      </c>
      <c r="Q350" s="138">
        <f>MAX(((Q349)*(1+$C$10)+IF(B350="Working",J350,0))-M350,0)</f>
        <v/>
      </c>
      <c r="R350" s="138">
        <f>MAX(((R349)*(1+$C$10)+IF(B350="Working",E85,0))-N350,0)</f>
        <v/>
      </c>
      <c r="S350" s="138">
        <f>MAX(((S349)*(1+$C$10)+IF(B350="Working",I350,0))-O350,0)</f>
        <v/>
      </c>
      <c r="T350" s="138">
        <f>MAX(((T349)*(1+$C$10)+IF(B350="Working",F85,0))-P350,0)</f>
        <v/>
      </c>
      <c r="U350" s="138">
        <f>Q350+R350+S350+T350</f>
        <v/>
      </c>
      <c r="V350" s="138">
        <f>IF(B350="Working",MAX(-(((Q349)*(1+$C$10)+IF(B350="Working",J350,0))),0),MAX(K350-L350,0))</f>
        <v/>
      </c>
      <c r="W350" s="138">
        <f>IF(OR(A350&gt;=$C$13,B350="Retired"),IF(V350&gt;0,-V350,U350-'Model Inputs'!$B$18),"")</f>
        <v/>
      </c>
      <c r="X350" s="138">
        <f>IF(AND($L$229&gt;0,A350&gt;=$C$13),$L$229*(1+$C$25)^(A350-$C$13),0)</f>
        <v/>
      </c>
      <c r="Y350" s="138">
        <f>IF(OR($L$229&lt;=0,$C$17&lt;=0,A350&lt;$C$13,MIN(MAX((A350-$C$13+1)*12,0),$C$17*12)&gt;=$C$17*12),0,IF($C$16=0,MAX(MAX($L$229*(1-$C$15),0)-(IF($C$17&lt;=0,0,IF($C$16=0,MAX($L$229*(1-$C$15),0)/$C$17,-PMT($C$16/12,$C$17*12,MAX($L$229*(1-$C$15),0))*12))/12)*MIN(MAX((A350-$C$13+1)*12,0),$C$17*12),0),MAX(MAX($L$229*(1-$C$15),0)*(1+$C$16/12)^MIN(MAX((A350-$C$13+1)*12,0),$C$17*12)-(IF($C$17&lt;=0,0,IF($C$16=0,MAX($L$229*(1-$C$15),0)/$C$17,-PMT($C$16/12,$C$17*12,MAX($L$229*(1-$C$15),0))*12))/12)*(((1+$C$16/12)^MIN(MAX((A350-$C$13+1)*12,0),$C$17*12)-1)/($C$16/12)),0)))</f>
        <v/>
      </c>
      <c r="Z350" s="138">
        <f>MAX(X350-Y350,0)</f>
        <v/>
      </c>
      <c r="AA350" s="142">
        <f>U350+Z350</f>
        <v/>
      </c>
      <c r="AB350" s="5" t="n"/>
      <c r="AC350" s="5" t="n"/>
      <c r="AD350" s="5" t="n"/>
      <c r="AE350" s="5" t="n"/>
      <c r="AF350" s="5" t="n"/>
      <c r="AG350" s="5" t="n"/>
    </row>
    <row r="351" outlineLevel="1" s="326">
      <c r="A351" s="136" t="n">
        <v>7</v>
      </c>
      <c r="B351" s="72">
        <f>B86</f>
        <v/>
      </c>
      <c r="C351" s="137">
        <f>D86</f>
        <v/>
      </c>
      <c r="D351" s="137">
        <f>I86</f>
        <v/>
      </c>
      <c r="E351" s="137">
        <f>J86</f>
        <v/>
      </c>
      <c r="F351" s="137">
        <f>K86</f>
        <v/>
      </c>
      <c r="G351" s="138">
        <f>IF(AND($L$229&gt;0,A351=$C$13),$L$229*($C$15+$C$18),0)+IF(AND($L$229&gt;0,A351=$C$13),$C$24,0)</f>
        <v/>
      </c>
      <c r="H351" s="138">
        <f>IF(OR($L$229&lt;=0,A351&lt;$C$13),0,IF(AND($L$229&gt;0,$C$17&gt;0,A351&gt;=$C$13,A351&lt;($C$13+$C$17)),IF($C$17&lt;=0,0,IF($C$16=0,MAX($L$229*(1-$C$15),0)/$C$17,-PMT($C$16/12,$C$17*12,MAX($L$229*(1-$C$15),0))*12)),0)+X351*($C$19+$C$20+$C$21)+$C$22+$C$23)</f>
        <v/>
      </c>
      <c r="I351" s="138">
        <f>IF(B351="Working",MIN(MAX(D351-E351-F351-G351-H351,0),'Tax Assumptions'!$B$20),0)</f>
        <v/>
      </c>
      <c r="J351" s="138">
        <f>IF(B351="Working",D351-E351-F351-I351-G351-H351,-L351)</f>
        <v/>
      </c>
      <c r="K351" s="137">
        <f>IF(B351="Retired",$N$229+G351+H351,0)</f>
        <v/>
      </c>
      <c r="L351" s="137">
        <f>M351+N351+O351+P351</f>
        <v/>
      </c>
      <c r="M351" s="137">
        <f>IF(B351="Retired",MIN(((Q350)*(1+$C$10)+IF(B351="Working",J351,0)),K351),0)</f>
        <v/>
      </c>
      <c r="N351" s="137">
        <f>IF(B351="Retired",MIN(MAX(K351-M351,0),((R350)*(1+$C$10)+IF(B351="Working",E86,0))),0)</f>
        <v/>
      </c>
      <c r="O351" s="137">
        <f>IF(B351="Retired",MIN(MAX(K351-M351-N351,0),((S350)*(1+$C$10)+IF(B351="Working",I351,0))),0)</f>
        <v/>
      </c>
      <c r="P351" s="137">
        <f>IF(B351="Retired",MIN(MAX(K351-M351-N351-O351,0),((T350)*(1+$C$10)+IF(B351="Working",F86,0))),0)</f>
        <v/>
      </c>
      <c r="Q351" s="138">
        <f>MAX(((Q350)*(1+$C$10)+IF(B351="Working",J351,0))-M351,0)</f>
        <v/>
      </c>
      <c r="R351" s="138">
        <f>MAX(((R350)*(1+$C$10)+IF(B351="Working",E86,0))-N351,0)</f>
        <v/>
      </c>
      <c r="S351" s="138">
        <f>MAX(((S350)*(1+$C$10)+IF(B351="Working",I351,0))-O351,0)</f>
        <v/>
      </c>
      <c r="T351" s="138">
        <f>MAX(((T350)*(1+$C$10)+IF(B351="Working",F86,0))-P351,0)</f>
        <v/>
      </c>
      <c r="U351" s="138">
        <f>Q351+R351+S351+T351</f>
        <v/>
      </c>
      <c r="V351" s="138">
        <f>IF(B351="Working",MAX(-(((Q350)*(1+$C$10)+IF(B351="Working",J351,0))),0),MAX(K351-L351,0))</f>
        <v/>
      </c>
      <c r="W351" s="138">
        <f>IF(OR(A351&gt;=$C$13,B351="Retired"),IF(V351&gt;0,-V351,U351-'Model Inputs'!$B$18),"")</f>
        <v/>
      </c>
      <c r="X351" s="138">
        <f>IF(AND($L$229&gt;0,A351&gt;=$C$13),$L$229*(1+$C$25)^(A351-$C$13),0)</f>
        <v/>
      </c>
      <c r="Y351" s="138">
        <f>IF(OR($L$229&lt;=0,$C$17&lt;=0,A351&lt;$C$13,MIN(MAX((A351-$C$13+1)*12,0),$C$17*12)&gt;=$C$17*12),0,IF($C$16=0,MAX(MAX($L$229*(1-$C$15),0)-(IF($C$17&lt;=0,0,IF($C$16=0,MAX($L$229*(1-$C$15),0)/$C$17,-PMT($C$16/12,$C$17*12,MAX($L$229*(1-$C$15),0))*12))/12)*MIN(MAX((A351-$C$13+1)*12,0),$C$17*12),0),MAX(MAX($L$229*(1-$C$15),0)*(1+$C$16/12)^MIN(MAX((A351-$C$13+1)*12,0),$C$17*12)-(IF($C$17&lt;=0,0,IF($C$16=0,MAX($L$229*(1-$C$15),0)/$C$17,-PMT($C$16/12,$C$17*12,MAX($L$229*(1-$C$15),0))*12))/12)*(((1+$C$16/12)^MIN(MAX((A351-$C$13+1)*12,0),$C$17*12)-1)/($C$16/12)),0)))</f>
        <v/>
      </c>
      <c r="Z351" s="138">
        <f>MAX(X351-Y351,0)</f>
        <v/>
      </c>
      <c r="AA351" s="139">
        <f>U351+Z351</f>
        <v/>
      </c>
      <c r="AB351" s="5" t="n"/>
      <c r="AC351" s="5" t="n"/>
      <c r="AD351" s="5" t="n"/>
      <c r="AE351" s="5" t="n"/>
      <c r="AF351" s="5" t="n"/>
      <c r="AG351" s="5" t="n"/>
    </row>
    <row r="352" outlineLevel="1" s="326">
      <c r="A352" s="140" t="n">
        <v>8</v>
      </c>
      <c r="B352" s="40">
        <f>B87</f>
        <v/>
      </c>
      <c r="C352" s="141">
        <f>D87</f>
        <v/>
      </c>
      <c r="D352" s="141">
        <f>I87</f>
        <v/>
      </c>
      <c r="E352" s="141">
        <f>J87</f>
        <v/>
      </c>
      <c r="F352" s="141">
        <f>K87</f>
        <v/>
      </c>
      <c r="G352" s="138">
        <f>IF(AND($L$229&gt;0,A352=$C$13),$L$229*($C$15+$C$18),0)+IF(AND($L$229&gt;0,A352=$C$13),$C$24,0)</f>
        <v/>
      </c>
      <c r="H352" s="138">
        <f>IF(OR($L$229&lt;=0,A352&lt;$C$13),0,IF(AND($L$229&gt;0,$C$17&gt;0,A352&gt;=$C$13,A352&lt;($C$13+$C$17)),IF($C$17&lt;=0,0,IF($C$16=0,MAX($L$229*(1-$C$15),0)/$C$17,-PMT($C$16/12,$C$17*12,MAX($L$229*(1-$C$15),0))*12)),0)+X352*($C$19+$C$20+$C$21)+$C$22+$C$23)</f>
        <v/>
      </c>
      <c r="I352" s="138">
        <f>IF(B352="Working",MIN(MAX(D352-E352-F352-G352-H352,0),'Tax Assumptions'!$B$20),0)</f>
        <v/>
      </c>
      <c r="J352" s="138">
        <f>IF(B352="Working",D352-E352-F352-I352-G352-H352,-L352)</f>
        <v/>
      </c>
      <c r="K352" s="141">
        <f>IF(B352="Retired",$N$229+G352+H352,0)</f>
        <v/>
      </c>
      <c r="L352" s="141">
        <f>M352+N352+O352+P352</f>
        <v/>
      </c>
      <c r="M352" s="141">
        <f>IF(B352="Retired",MIN(((Q351)*(1+$C$10)+IF(B352="Working",J352,0)),K352),0)</f>
        <v/>
      </c>
      <c r="N352" s="141">
        <f>IF(B352="Retired",MIN(MAX(K352-M352,0),((R351)*(1+$C$10)+IF(B352="Working",E87,0))),0)</f>
        <v/>
      </c>
      <c r="O352" s="141">
        <f>IF(B352="Retired",MIN(MAX(K352-M352-N352,0),((S351)*(1+$C$10)+IF(B352="Working",I352,0))),0)</f>
        <v/>
      </c>
      <c r="P352" s="141">
        <f>IF(B352="Retired",MIN(MAX(K352-M352-N352-O352,0),((T351)*(1+$C$10)+IF(B352="Working",F87,0))),0)</f>
        <v/>
      </c>
      <c r="Q352" s="138">
        <f>MAX(((Q351)*(1+$C$10)+IF(B352="Working",J352,0))-M352,0)</f>
        <v/>
      </c>
      <c r="R352" s="138">
        <f>MAX(((R351)*(1+$C$10)+IF(B352="Working",E87,0))-N352,0)</f>
        <v/>
      </c>
      <c r="S352" s="138">
        <f>MAX(((S351)*(1+$C$10)+IF(B352="Working",I352,0))-O352,0)</f>
        <v/>
      </c>
      <c r="T352" s="138">
        <f>MAX(((T351)*(1+$C$10)+IF(B352="Working",F87,0))-P352,0)</f>
        <v/>
      </c>
      <c r="U352" s="138">
        <f>Q352+R352+S352+T352</f>
        <v/>
      </c>
      <c r="V352" s="138">
        <f>IF(B352="Working",MAX(-(((Q351)*(1+$C$10)+IF(B352="Working",J352,0))),0),MAX(K352-L352,0))</f>
        <v/>
      </c>
      <c r="W352" s="138">
        <f>IF(OR(A352&gt;=$C$13,B352="Retired"),IF(V352&gt;0,-V352,U352-'Model Inputs'!$B$18),"")</f>
        <v/>
      </c>
      <c r="X352" s="138">
        <f>IF(AND($L$229&gt;0,A352&gt;=$C$13),$L$229*(1+$C$25)^(A352-$C$13),0)</f>
        <v/>
      </c>
      <c r="Y352" s="138">
        <f>IF(OR($L$229&lt;=0,$C$17&lt;=0,A352&lt;$C$13,MIN(MAX((A352-$C$13+1)*12,0),$C$17*12)&gt;=$C$17*12),0,IF($C$16=0,MAX(MAX($L$229*(1-$C$15),0)-(IF($C$17&lt;=0,0,IF($C$16=0,MAX($L$229*(1-$C$15),0)/$C$17,-PMT($C$16/12,$C$17*12,MAX($L$229*(1-$C$15),0))*12))/12)*MIN(MAX((A352-$C$13+1)*12,0),$C$17*12),0),MAX(MAX($L$229*(1-$C$15),0)*(1+$C$16/12)^MIN(MAX((A352-$C$13+1)*12,0),$C$17*12)-(IF($C$17&lt;=0,0,IF($C$16=0,MAX($L$229*(1-$C$15),0)/$C$17,-PMT($C$16/12,$C$17*12,MAX($L$229*(1-$C$15),0))*12))/12)*(((1+$C$16/12)^MIN(MAX((A352-$C$13+1)*12,0),$C$17*12)-1)/($C$16/12)),0)))</f>
        <v/>
      </c>
      <c r="Z352" s="138">
        <f>MAX(X352-Y352,0)</f>
        <v/>
      </c>
      <c r="AA352" s="142">
        <f>U352+Z352</f>
        <v/>
      </c>
      <c r="AB352" s="5" t="n"/>
      <c r="AC352" s="5" t="n"/>
      <c r="AD352" s="5" t="n"/>
      <c r="AE352" s="5" t="n"/>
      <c r="AF352" s="5" t="n"/>
      <c r="AG352" s="5" t="n"/>
    </row>
    <row r="353" outlineLevel="1" s="326">
      <c r="A353" s="136" t="n">
        <v>9</v>
      </c>
      <c r="B353" s="72">
        <f>B88</f>
        <v/>
      </c>
      <c r="C353" s="137">
        <f>D88</f>
        <v/>
      </c>
      <c r="D353" s="137">
        <f>I88</f>
        <v/>
      </c>
      <c r="E353" s="137">
        <f>J88</f>
        <v/>
      </c>
      <c r="F353" s="137">
        <f>K88</f>
        <v/>
      </c>
      <c r="G353" s="138">
        <f>IF(AND($L$229&gt;0,A353=$C$13),$L$229*($C$15+$C$18),0)+IF(AND($L$229&gt;0,A353=$C$13),$C$24,0)</f>
        <v/>
      </c>
      <c r="H353" s="138">
        <f>IF(OR($L$229&lt;=0,A353&lt;$C$13),0,IF(AND($L$229&gt;0,$C$17&gt;0,A353&gt;=$C$13,A353&lt;($C$13+$C$17)),IF($C$17&lt;=0,0,IF($C$16=0,MAX($L$229*(1-$C$15),0)/$C$17,-PMT($C$16/12,$C$17*12,MAX($L$229*(1-$C$15),0))*12)),0)+X353*($C$19+$C$20+$C$21)+$C$22+$C$23)</f>
        <v/>
      </c>
      <c r="I353" s="138">
        <f>IF(B353="Working",MIN(MAX(D353-E353-F353-G353-H353,0),'Tax Assumptions'!$B$20),0)</f>
        <v/>
      </c>
      <c r="J353" s="138">
        <f>IF(B353="Working",D353-E353-F353-I353-G353-H353,-L353)</f>
        <v/>
      </c>
      <c r="K353" s="137">
        <f>IF(B353="Retired",$N$229+G353+H353,0)</f>
        <v/>
      </c>
      <c r="L353" s="137">
        <f>M353+N353+O353+P353</f>
        <v/>
      </c>
      <c r="M353" s="137">
        <f>IF(B353="Retired",MIN(((Q352)*(1+$C$10)+IF(B353="Working",J353,0)),K353),0)</f>
        <v/>
      </c>
      <c r="N353" s="137">
        <f>IF(B353="Retired",MIN(MAX(K353-M353,0),((R352)*(1+$C$10)+IF(B353="Working",E88,0))),0)</f>
        <v/>
      </c>
      <c r="O353" s="137">
        <f>IF(B353="Retired",MIN(MAX(K353-M353-N353,0),((S352)*(1+$C$10)+IF(B353="Working",I353,0))),0)</f>
        <v/>
      </c>
      <c r="P353" s="137">
        <f>IF(B353="Retired",MIN(MAX(K353-M353-N353-O353,0),((T352)*(1+$C$10)+IF(B353="Working",F88,0))),0)</f>
        <v/>
      </c>
      <c r="Q353" s="138">
        <f>MAX(((Q352)*(1+$C$10)+IF(B353="Working",J353,0))-M353,0)</f>
        <v/>
      </c>
      <c r="R353" s="138">
        <f>MAX(((R352)*(1+$C$10)+IF(B353="Working",E88,0))-N353,0)</f>
        <v/>
      </c>
      <c r="S353" s="138">
        <f>MAX(((S352)*(1+$C$10)+IF(B353="Working",I353,0))-O353,0)</f>
        <v/>
      </c>
      <c r="T353" s="138">
        <f>MAX(((T352)*(1+$C$10)+IF(B353="Working",F88,0))-P353,0)</f>
        <v/>
      </c>
      <c r="U353" s="138">
        <f>Q353+R353+S353+T353</f>
        <v/>
      </c>
      <c r="V353" s="138">
        <f>IF(B353="Working",MAX(-(((Q352)*(1+$C$10)+IF(B353="Working",J353,0))),0),MAX(K353-L353,0))</f>
        <v/>
      </c>
      <c r="W353" s="138">
        <f>IF(OR(A353&gt;=$C$13,B353="Retired"),IF(V353&gt;0,-V353,U353-'Model Inputs'!$B$18),"")</f>
        <v/>
      </c>
      <c r="X353" s="138">
        <f>IF(AND($L$229&gt;0,A353&gt;=$C$13),$L$229*(1+$C$25)^(A353-$C$13),0)</f>
        <v/>
      </c>
      <c r="Y353" s="138">
        <f>IF(OR($L$229&lt;=0,$C$17&lt;=0,A353&lt;$C$13,MIN(MAX((A353-$C$13+1)*12,0),$C$17*12)&gt;=$C$17*12),0,IF($C$16=0,MAX(MAX($L$229*(1-$C$15),0)-(IF($C$17&lt;=0,0,IF($C$16=0,MAX($L$229*(1-$C$15),0)/$C$17,-PMT($C$16/12,$C$17*12,MAX($L$229*(1-$C$15),0))*12))/12)*MIN(MAX((A353-$C$13+1)*12,0),$C$17*12),0),MAX(MAX($L$229*(1-$C$15),0)*(1+$C$16/12)^MIN(MAX((A353-$C$13+1)*12,0),$C$17*12)-(IF($C$17&lt;=0,0,IF($C$16=0,MAX($L$229*(1-$C$15),0)/$C$17,-PMT($C$16/12,$C$17*12,MAX($L$229*(1-$C$15),0))*12))/12)*(((1+$C$16/12)^MIN(MAX((A353-$C$13+1)*12,0),$C$17*12)-1)/($C$16/12)),0)))</f>
        <v/>
      </c>
      <c r="Z353" s="138">
        <f>MAX(X353-Y353,0)</f>
        <v/>
      </c>
      <c r="AA353" s="139">
        <f>U353+Z353</f>
        <v/>
      </c>
      <c r="AB353" s="5" t="n"/>
      <c r="AC353" s="5" t="n"/>
      <c r="AD353" s="5" t="n"/>
      <c r="AE353" s="5" t="n"/>
      <c r="AF353" s="5" t="n"/>
      <c r="AG353" s="5" t="n"/>
    </row>
    <row r="354" outlineLevel="1" s="326">
      <c r="A354" s="140" t="n">
        <v>10</v>
      </c>
      <c r="B354" s="40">
        <f>B89</f>
        <v/>
      </c>
      <c r="C354" s="141">
        <f>D89</f>
        <v/>
      </c>
      <c r="D354" s="141">
        <f>I89</f>
        <v/>
      </c>
      <c r="E354" s="141">
        <f>J89</f>
        <v/>
      </c>
      <c r="F354" s="141">
        <f>K89</f>
        <v/>
      </c>
      <c r="G354" s="138">
        <f>IF(AND($L$229&gt;0,A354=$C$13),$L$229*($C$15+$C$18),0)+IF(AND($L$229&gt;0,A354=$C$13),$C$24,0)</f>
        <v/>
      </c>
      <c r="H354" s="138">
        <f>IF(OR($L$229&lt;=0,A354&lt;$C$13),0,IF(AND($L$229&gt;0,$C$17&gt;0,A354&gt;=$C$13,A354&lt;($C$13+$C$17)),IF($C$17&lt;=0,0,IF($C$16=0,MAX($L$229*(1-$C$15),0)/$C$17,-PMT($C$16/12,$C$17*12,MAX($L$229*(1-$C$15),0))*12)),0)+X354*($C$19+$C$20+$C$21)+$C$22+$C$23)</f>
        <v/>
      </c>
      <c r="I354" s="138">
        <f>IF(B354="Working",MIN(MAX(D354-E354-F354-G354-H354,0),'Tax Assumptions'!$B$20),0)</f>
        <v/>
      </c>
      <c r="J354" s="138">
        <f>IF(B354="Working",D354-E354-F354-I354-G354-H354,-L354)</f>
        <v/>
      </c>
      <c r="K354" s="141">
        <f>IF(B354="Retired",$N$229+G354+H354,0)</f>
        <v/>
      </c>
      <c r="L354" s="141">
        <f>M354+N354+O354+P354</f>
        <v/>
      </c>
      <c r="M354" s="141">
        <f>IF(B354="Retired",MIN(((Q353)*(1+$C$10)+IF(B354="Working",J354,0)),K354),0)</f>
        <v/>
      </c>
      <c r="N354" s="141">
        <f>IF(B354="Retired",MIN(MAX(K354-M354,0),((R353)*(1+$C$10)+IF(B354="Working",E89,0))),0)</f>
        <v/>
      </c>
      <c r="O354" s="141">
        <f>IF(B354="Retired",MIN(MAX(K354-M354-N354,0),((S353)*(1+$C$10)+IF(B354="Working",I354,0))),0)</f>
        <v/>
      </c>
      <c r="P354" s="141">
        <f>IF(B354="Retired",MIN(MAX(K354-M354-N354-O354,0),((T353)*(1+$C$10)+IF(B354="Working",F89,0))),0)</f>
        <v/>
      </c>
      <c r="Q354" s="138">
        <f>MAX(((Q353)*(1+$C$10)+IF(B354="Working",J354,0))-M354,0)</f>
        <v/>
      </c>
      <c r="R354" s="138">
        <f>MAX(((R353)*(1+$C$10)+IF(B354="Working",E89,0))-N354,0)</f>
        <v/>
      </c>
      <c r="S354" s="138">
        <f>MAX(((S353)*(1+$C$10)+IF(B354="Working",I354,0))-O354,0)</f>
        <v/>
      </c>
      <c r="T354" s="138">
        <f>MAX(((T353)*(1+$C$10)+IF(B354="Working",F89,0))-P354,0)</f>
        <v/>
      </c>
      <c r="U354" s="138">
        <f>Q354+R354+S354+T354</f>
        <v/>
      </c>
      <c r="V354" s="138">
        <f>IF(B354="Working",MAX(-(((Q353)*(1+$C$10)+IF(B354="Working",J354,0))),0),MAX(K354-L354,0))</f>
        <v/>
      </c>
      <c r="W354" s="138">
        <f>IF(OR(A354&gt;=$C$13,B354="Retired"),IF(V354&gt;0,-V354,U354-'Model Inputs'!$B$18),"")</f>
        <v/>
      </c>
      <c r="X354" s="138">
        <f>IF(AND($L$229&gt;0,A354&gt;=$C$13),$L$229*(1+$C$25)^(A354-$C$13),0)</f>
        <v/>
      </c>
      <c r="Y354" s="138">
        <f>IF(OR($L$229&lt;=0,$C$17&lt;=0,A354&lt;$C$13,MIN(MAX((A354-$C$13+1)*12,0),$C$17*12)&gt;=$C$17*12),0,IF($C$16=0,MAX(MAX($L$229*(1-$C$15),0)-(IF($C$17&lt;=0,0,IF($C$16=0,MAX($L$229*(1-$C$15),0)/$C$17,-PMT($C$16/12,$C$17*12,MAX($L$229*(1-$C$15),0))*12))/12)*MIN(MAX((A354-$C$13+1)*12,0),$C$17*12),0),MAX(MAX($L$229*(1-$C$15),0)*(1+$C$16/12)^MIN(MAX((A354-$C$13+1)*12,0),$C$17*12)-(IF($C$17&lt;=0,0,IF($C$16=0,MAX($L$229*(1-$C$15),0)/$C$17,-PMT($C$16/12,$C$17*12,MAX($L$229*(1-$C$15),0))*12))/12)*(((1+$C$16/12)^MIN(MAX((A354-$C$13+1)*12,0),$C$17*12)-1)/($C$16/12)),0)))</f>
        <v/>
      </c>
      <c r="Z354" s="138">
        <f>MAX(X354-Y354,0)</f>
        <v/>
      </c>
      <c r="AA354" s="142">
        <f>U354+Z354</f>
        <v/>
      </c>
      <c r="AB354" s="5" t="n"/>
      <c r="AC354" s="5" t="n"/>
      <c r="AD354" s="5" t="n"/>
      <c r="AE354" s="5" t="n"/>
      <c r="AF354" s="5" t="n"/>
      <c r="AG354" s="5" t="n"/>
    </row>
    <row r="355" outlineLevel="1" s="326">
      <c r="A355" s="136" t="n">
        <v>11</v>
      </c>
      <c r="B355" s="72">
        <f>B90</f>
        <v/>
      </c>
      <c r="C355" s="137">
        <f>D90</f>
        <v/>
      </c>
      <c r="D355" s="137">
        <f>I90</f>
        <v/>
      </c>
      <c r="E355" s="137">
        <f>J90</f>
        <v/>
      </c>
      <c r="F355" s="137">
        <f>K90</f>
        <v/>
      </c>
      <c r="G355" s="138">
        <f>IF(AND($L$229&gt;0,A355=$C$13),$L$229*($C$15+$C$18),0)+IF(AND($L$229&gt;0,A355=$C$13),$C$24,0)</f>
        <v/>
      </c>
      <c r="H355" s="138">
        <f>IF(OR($L$229&lt;=0,A355&lt;$C$13),0,IF(AND($L$229&gt;0,$C$17&gt;0,A355&gt;=$C$13,A355&lt;($C$13+$C$17)),IF($C$17&lt;=0,0,IF($C$16=0,MAX($L$229*(1-$C$15),0)/$C$17,-PMT($C$16/12,$C$17*12,MAX($L$229*(1-$C$15),0))*12)),0)+X355*($C$19+$C$20+$C$21)+$C$22+$C$23)</f>
        <v/>
      </c>
      <c r="I355" s="138">
        <f>IF(B355="Working",MIN(MAX(D355-E355-F355-G355-H355,0),'Tax Assumptions'!$B$20),0)</f>
        <v/>
      </c>
      <c r="J355" s="138">
        <f>IF(B355="Working",D355-E355-F355-I355-G355-H355,-L355)</f>
        <v/>
      </c>
      <c r="K355" s="137">
        <f>IF(B355="Retired",$N$229+G355+H355,0)</f>
        <v/>
      </c>
      <c r="L355" s="137">
        <f>M355+N355+O355+P355</f>
        <v/>
      </c>
      <c r="M355" s="137">
        <f>IF(B355="Retired",MIN(((Q354)*(1+$C$10)+IF(B355="Working",J355,0)),K355),0)</f>
        <v/>
      </c>
      <c r="N355" s="137">
        <f>IF(B355="Retired",MIN(MAX(K355-M355,0),((R354)*(1+$C$10)+IF(B355="Working",E90,0))),0)</f>
        <v/>
      </c>
      <c r="O355" s="137">
        <f>IF(B355="Retired",MIN(MAX(K355-M355-N355,0),((S354)*(1+$C$10)+IF(B355="Working",I355,0))),0)</f>
        <v/>
      </c>
      <c r="P355" s="137">
        <f>IF(B355="Retired",MIN(MAX(K355-M355-N355-O355,0),((T354)*(1+$C$10)+IF(B355="Working",F90,0))),0)</f>
        <v/>
      </c>
      <c r="Q355" s="138">
        <f>MAX(((Q354)*(1+$C$10)+IF(B355="Working",J355,0))-M355,0)</f>
        <v/>
      </c>
      <c r="R355" s="138">
        <f>MAX(((R354)*(1+$C$10)+IF(B355="Working",E90,0))-N355,0)</f>
        <v/>
      </c>
      <c r="S355" s="138">
        <f>MAX(((S354)*(1+$C$10)+IF(B355="Working",I355,0))-O355,0)</f>
        <v/>
      </c>
      <c r="T355" s="138">
        <f>MAX(((T354)*(1+$C$10)+IF(B355="Working",F90,0))-P355,0)</f>
        <v/>
      </c>
      <c r="U355" s="138">
        <f>Q355+R355+S355+T355</f>
        <v/>
      </c>
      <c r="V355" s="138">
        <f>IF(B355="Working",MAX(-(((Q354)*(1+$C$10)+IF(B355="Working",J355,0))),0),MAX(K355-L355,0))</f>
        <v/>
      </c>
      <c r="W355" s="138">
        <f>IF(OR(A355&gt;=$C$13,B355="Retired"),IF(V355&gt;0,-V355,U355-'Model Inputs'!$B$18),"")</f>
        <v/>
      </c>
      <c r="X355" s="138">
        <f>IF(AND($L$229&gt;0,A355&gt;=$C$13),$L$229*(1+$C$25)^(A355-$C$13),0)</f>
        <v/>
      </c>
      <c r="Y355" s="138">
        <f>IF(OR($L$229&lt;=0,$C$17&lt;=0,A355&lt;$C$13,MIN(MAX((A355-$C$13+1)*12,0),$C$17*12)&gt;=$C$17*12),0,IF($C$16=0,MAX(MAX($L$229*(1-$C$15),0)-(IF($C$17&lt;=0,0,IF($C$16=0,MAX($L$229*(1-$C$15),0)/$C$17,-PMT($C$16/12,$C$17*12,MAX($L$229*(1-$C$15),0))*12))/12)*MIN(MAX((A355-$C$13+1)*12,0),$C$17*12),0),MAX(MAX($L$229*(1-$C$15),0)*(1+$C$16/12)^MIN(MAX((A355-$C$13+1)*12,0),$C$17*12)-(IF($C$17&lt;=0,0,IF($C$16=0,MAX($L$229*(1-$C$15),0)/$C$17,-PMT($C$16/12,$C$17*12,MAX($L$229*(1-$C$15),0))*12))/12)*(((1+$C$16/12)^MIN(MAX((A355-$C$13+1)*12,0),$C$17*12)-1)/($C$16/12)),0)))</f>
        <v/>
      </c>
      <c r="Z355" s="138">
        <f>MAX(X355-Y355,0)</f>
        <v/>
      </c>
      <c r="AA355" s="139">
        <f>U355+Z355</f>
        <v/>
      </c>
      <c r="AB355" s="5" t="n"/>
      <c r="AC355" s="5" t="n"/>
      <c r="AD355" s="5" t="n"/>
      <c r="AE355" s="5" t="n"/>
      <c r="AF355" s="5" t="n"/>
      <c r="AG355" s="5" t="n"/>
    </row>
    <row r="356" outlineLevel="1" s="326">
      <c r="A356" s="140" t="n">
        <v>12</v>
      </c>
      <c r="B356" s="40">
        <f>B91</f>
        <v/>
      </c>
      <c r="C356" s="141">
        <f>D91</f>
        <v/>
      </c>
      <c r="D356" s="141">
        <f>I91</f>
        <v/>
      </c>
      <c r="E356" s="141">
        <f>J91</f>
        <v/>
      </c>
      <c r="F356" s="141">
        <f>K91</f>
        <v/>
      </c>
      <c r="G356" s="138">
        <f>IF(AND($L$229&gt;0,A356=$C$13),$L$229*($C$15+$C$18),0)+IF(AND($L$229&gt;0,A356=$C$13),$C$24,0)</f>
        <v/>
      </c>
      <c r="H356" s="138">
        <f>IF(OR($L$229&lt;=0,A356&lt;$C$13),0,IF(AND($L$229&gt;0,$C$17&gt;0,A356&gt;=$C$13,A356&lt;($C$13+$C$17)),IF($C$17&lt;=0,0,IF($C$16=0,MAX($L$229*(1-$C$15),0)/$C$17,-PMT($C$16/12,$C$17*12,MAX($L$229*(1-$C$15),0))*12)),0)+X356*($C$19+$C$20+$C$21)+$C$22+$C$23)</f>
        <v/>
      </c>
      <c r="I356" s="138">
        <f>IF(B356="Working",MIN(MAX(D356-E356-F356-G356-H356,0),'Tax Assumptions'!$B$20),0)</f>
        <v/>
      </c>
      <c r="J356" s="138">
        <f>IF(B356="Working",D356-E356-F356-I356-G356-H356,-L356)</f>
        <v/>
      </c>
      <c r="K356" s="141">
        <f>IF(B356="Retired",$N$229+G356+H356,0)</f>
        <v/>
      </c>
      <c r="L356" s="141">
        <f>M356+N356+O356+P356</f>
        <v/>
      </c>
      <c r="M356" s="141">
        <f>IF(B356="Retired",MIN(((Q355)*(1+$C$10)+IF(B356="Working",J356,0)),K356),0)</f>
        <v/>
      </c>
      <c r="N356" s="141">
        <f>IF(B356="Retired",MIN(MAX(K356-M356,0),((R355)*(1+$C$10)+IF(B356="Working",E91,0))),0)</f>
        <v/>
      </c>
      <c r="O356" s="141">
        <f>IF(B356="Retired",MIN(MAX(K356-M356-N356,0),((S355)*(1+$C$10)+IF(B356="Working",I356,0))),0)</f>
        <v/>
      </c>
      <c r="P356" s="141">
        <f>IF(B356="Retired",MIN(MAX(K356-M356-N356-O356,0),((T355)*(1+$C$10)+IF(B356="Working",F91,0))),0)</f>
        <v/>
      </c>
      <c r="Q356" s="138">
        <f>MAX(((Q355)*(1+$C$10)+IF(B356="Working",J356,0))-M356,0)</f>
        <v/>
      </c>
      <c r="R356" s="138">
        <f>MAX(((R355)*(1+$C$10)+IF(B356="Working",E91,0))-N356,0)</f>
        <v/>
      </c>
      <c r="S356" s="138">
        <f>MAX(((S355)*(1+$C$10)+IF(B356="Working",I356,0))-O356,0)</f>
        <v/>
      </c>
      <c r="T356" s="138">
        <f>MAX(((T355)*(1+$C$10)+IF(B356="Working",F91,0))-P356,0)</f>
        <v/>
      </c>
      <c r="U356" s="138">
        <f>Q356+R356+S356+T356</f>
        <v/>
      </c>
      <c r="V356" s="138">
        <f>IF(B356="Working",MAX(-(((Q355)*(1+$C$10)+IF(B356="Working",J356,0))),0),MAX(K356-L356,0))</f>
        <v/>
      </c>
      <c r="W356" s="138">
        <f>IF(OR(A356&gt;=$C$13,B356="Retired"),IF(V356&gt;0,-V356,U356-'Model Inputs'!$B$18),"")</f>
        <v/>
      </c>
      <c r="X356" s="138">
        <f>IF(AND($L$229&gt;0,A356&gt;=$C$13),$L$229*(1+$C$25)^(A356-$C$13),0)</f>
        <v/>
      </c>
      <c r="Y356" s="138">
        <f>IF(OR($L$229&lt;=0,$C$17&lt;=0,A356&lt;$C$13,MIN(MAX((A356-$C$13+1)*12,0),$C$17*12)&gt;=$C$17*12),0,IF($C$16=0,MAX(MAX($L$229*(1-$C$15),0)-(IF($C$17&lt;=0,0,IF($C$16=0,MAX($L$229*(1-$C$15),0)/$C$17,-PMT($C$16/12,$C$17*12,MAX($L$229*(1-$C$15),0))*12))/12)*MIN(MAX((A356-$C$13+1)*12,0),$C$17*12),0),MAX(MAX($L$229*(1-$C$15),0)*(1+$C$16/12)^MIN(MAX((A356-$C$13+1)*12,0),$C$17*12)-(IF($C$17&lt;=0,0,IF($C$16=0,MAX($L$229*(1-$C$15),0)/$C$17,-PMT($C$16/12,$C$17*12,MAX($L$229*(1-$C$15),0))*12))/12)*(((1+$C$16/12)^MIN(MAX((A356-$C$13+1)*12,0),$C$17*12)-1)/($C$16/12)),0)))</f>
        <v/>
      </c>
      <c r="Z356" s="138">
        <f>MAX(X356-Y356,0)</f>
        <v/>
      </c>
      <c r="AA356" s="142">
        <f>U356+Z356</f>
        <v/>
      </c>
      <c r="AB356" s="5" t="n"/>
      <c r="AC356" s="5" t="n"/>
      <c r="AD356" s="5" t="n"/>
      <c r="AE356" s="5" t="n"/>
      <c r="AF356" s="5" t="n"/>
      <c r="AG356" s="5" t="n"/>
    </row>
    <row r="357" outlineLevel="1" s="326">
      <c r="A357" s="136" t="n">
        <v>13</v>
      </c>
      <c r="B357" s="72">
        <f>B92</f>
        <v/>
      </c>
      <c r="C357" s="137">
        <f>D92</f>
        <v/>
      </c>
      <c r="D357" s="137">
        <f>I92</f>
        <v/>
      </c>
      <c r="E357" s="137">
        <f>J92</f>
        <v/>
      </c>
      <c r="F357" s="137">
        <f>K92</f>
        <v/>
      </c>
      <c r="G357" s="138">
        <f>IF(AND($L$229&gt;0,A357=$C$13),$L$229*($C$15+$C$18),0)+IF(AND($L$229&gt;0,A357=$C$13),$C$24,0)</f>
        <v/>
      </c>
      <c r="H357" s="138">
        <f>IF(OR($L$229&lt;=0,A357&lt;$C$13),0,IF(AND($L$229&gt;0,$C$17&gt;0,A357&gt;=$C$13,A357&lt;($C$13+$C$17)),IF($C$17&lt;=0,0,IF($C$16=0,MAX($L$229*(1-$C$15),0)/$C$17,-PMT($C$16/12,$C$17*12,MAX($L$229*(1-$C$15),0))*12)),0)+X357*($C$19+$C$20+$C$21)+$C$22+$C$23)</f>
        <v/>
      </c>
      <c r="I357" s="138">
        <f>IF(B357="Working",MIN(MAX(D357-E357-F357-G357-H357,0),'Tax Assumptions'!$B$20),0)</f>
        <v/>
      </c>
      <c r="J357" s="138">
        <f>IF(B357="Working",D357-E357-F357-I357-G357-H357,-L357)</f>
        <v/>
      </c>
      <c r="K357" s="137">
        <f>IF(B357="Retired",$N$229+G357+H357,0)</f>
        <v/>
      </c>
      <c r="L357" s="137">
        <f>M357+N357+O357+P357</f>
        <v/>
      </c>
      <c r="M357" s="137">
        <f>IF(B357="Retired",MIN(((Q356)*(1+$C$10)+IF(B357="Working",J357,0)),K357),0)</f>
        <v/>
      </c>
      <c r="N357" s="137">
        <f>IF(B357="Retired",MIN(MAX(K357-M357,0),((R356)*(1+$C$10)+IF(B357="Working",E92,0))),0)</f>
        <v/>
      </c>
      <c r="O357" s="137">
        <f>IF(B357="Retired",MIN(MAX(K357-M357-N357,0),((S356)*(1+$C$10)+IF(B357="Working",I357,0))),0)</f>
        <v/>
      </c>
      <c r="P357" s="137">
        <f>IF(B357="Retired",MIN(MAX(K357-M357-N357-O357,0),((T356)*(1+$C$10)+IF(B357="Working",F92,0))),0)</f>
        <v/>
      </c>
      <c r="Q357" s="138">
        <f>MAX(((Q356)*(1+$C$10)+IF(B357="Working",J357,0))-M357,0)</f>
        <v/>
      </c>
      <c r="R357" s="138">
        <f>MAX(((R356)*(1+$C$10)+IF(B357="Working",E92,0))-N357,0)</f>
        <v/>
      </c>
      <c r="S357" s="138">
        <f>MAX(((S356)*(1+$C$10)+IF(B357="Working",I357,0))-O357,0)</f>
        <v/>
      </c>
      <c r="T357" s="138">
        <f>MAX(((T356)*(1+$C$10)+IF(B357="Working",F92,0))-P357,0)</f>
        <v/>
      </c>
      <c r="U357" s="138">
        <f>Q357+R357+S357+T357</f>
        <v/>
      </c>
      <c r="V357" s="138">
        <f>IF(B357="Working",MAX(-(((Q356)*(1+$C$10)+IF(B357="Working",J357,0))),0),MAX(K357-L357,0))</f>
        <v/>
      </c>
      <c r="W357" s="138">
        <f>IF(OR(A357&gt;=$C$13,B357="Retired"),IF(V357&gt;0,-V357,U357-'Model Inputs'!$B$18),"")</f>
        <v/>
      </c>
      <c r="X357" s="138">
        <f>IF(AND($L$229&gt;0,A357&gt;=$C$13),$L$229*(1+$C$25)^(A357-$C$13),0)</f>
        <v/>
      </c>
      <c r="Y357" s="138">
        <f>IF(OR($L$229&lt;=0,$C$17&lt;=0,A357&lt;$C$13,MIN(MAX((A357-$C$13+1)*12,0),$C$17*12)&gt;=$C$17*12),0,IF($C$16=0,MAX(MAX($L$229*(1-$C$15),0)-(IF($C$17&lt;=0,0,IF($C$16=0,MAX($L$229*(1-$C$15),0)/$C$17,-PMT($C$16/12,$C$17*12,MAX($L$229*(1-$C$15),0))*12))/12)*MIN(MAX((A357-$C$13+1)*12,0),$C$17*12),0),MAX(MAX($L$229*(1-$C$15),0)*(1+$C$16/12)^MIN(MAX((A357-$C$13+1)*12,0),$C$17*12)-(IF($C$17&lt;=0,0,IF($C$16=0,MAX($L$229*(1-$C$15),0)/$C$17,-PMT($C$16/12,$C$17*12,MAX($L$229*(1-$C$15),0))*12))/12)*(((1+$C$16/12)^MIN(MAX((A357-$C$13+1)*12,0),$C$17*12)-1)/($C$16/12)),0)))</f>
        <v/>
      </c>
      <c r="Z357" s="138">
        <f>MAX(X357-Y357,0)</f>
        <v/>
      </c>
      <c r="AA357" s="139">
        <f>U357+Z357</f>
        <v/>
      </c>
      <c r="AB357" s="5" t="n"/>
      <c r="AC357" s="5" t="n"/>
      <c r="AD357" s="5" t="n"/>
      <c r="AE357" s="5" t="n"/>
      <c r="AF357" s="5" t="n"/>
      <c r="AG357" s="5" t="n"/>
    </row>
    <row r="358" outlineLevel="1" s="326">
      <c r="A358" s="140" t="n">
        <v>14</v>
      </c>
      <c r="B358" s="40">
        <f>B93</f>
        <v/>
      </c>
      <c r="C358" s="141">
        <f>D93</f>
        <v/>
      </c>
      <c r="D358" s="141">
        <f>I93</f>
        <v/>
      </c>
      <c r="E358" s="141">
        <f>J93</f>
        <v/>
      </c>
      <c r="F358" s="141">
        <f>K93</f>
        <v/>
      </c>
      <c r="G358" s="138">
        <f>IF(AND($L$229&gt;0,A358=$C$13),$L$229*($C$15+$C$18),0)+IF(AND($L$229&gt;0,A358=$C$13),$C$24,0)</f>
        <v/>
      </c>
      <c r="H358" s="138">
        <f>IF(OR($L$229&lt;=0,A358&lt;$C$13),0,IF(AND($L$229&gt;0,$C$17&gt;0,A358&gt;=$C$13,A358&lt;($C$13+$C$17)),IF($C$17&lt;=0,0,IF($C$16=0,MAX($L$229*(1-$C$15),0)/$C$17,-PMT($C$16/12,$C$17*12,MAX($L$229*(1-$C$15),0))*12)),0)+X358*($C$19+$C$20+$C$21)+$C$22+$C$23)</f>
        <v/>
      </c>
      <c r="I358" s="138">
        <f>IF(B358="Working",MIN(MAX(D358-E358-F358-G358-H358,0),'Tax Assumptions'!$B$20),0)</f>
        <v/>
      </c>
      <c r="J358" s="138">
        <f>IF(B358="Working",D358-E358-F358-I358-G358-H358,-L358)</f>
        <v/>
      </c>
      <c r="K358" s="141">
        <f>IF(B358="Retired",$N$229+G358+H358,0)</f>
        <v/>
      </c>
      <c r="L358" s="141">
        <f>M358+N358+O358+P358</f>
        <v/>
      </c>
      <c r="M358" s="141">
        <f>IF(B358="Retired",MIN(((Q357)*(1+$C$10)+IF(B358="Working",J358,0)),K358),0)</f>
        <v/>
      </c>
      <c r="N358" s="141">
        <f>IF(B358="Retired",MIN(MAX(K358-M358,0),((R357)*(1+$C$10)+IF(B358="Working",E93,0))),0)</f>
        <v/>
      </c>
      <c r="O358" s="141">
        <f>IF(B358="Retired",MIN(MAX(K358-M358-N358,0),((S357)*(1+$C$10)+IF(B358="Working",I358,0))),0)</f>
        <v/>
      </c>
      <c r="P358" s="141">
        <f>IF(B358="Retired",MIN(MAX(K358-M358-N358-O358,0),((T357)*(1+$C$10)+IF(B358="Working",F93,0))),0)</f>
        <v/>
      </c>
      <c r="Q358" s="138">
        <f>MAX(((Q357)*(1+$C$10)+IF(B358="Working",J358,0))-M358,0)</f>
        <v/>
      </c>
      <c r="R358" s="138">
        <f>MAX(((R357)*(1+$C$10)+IF(B358="Working",E93,0))-N358,0)</f>
        <v/>
      </c>
      <c r="S358" s="138">
        <f>MAX(((S357)*(1+$C$10)+IF(B358="Working",I358,0))-O358,0)</f>
        <v/>
      </c>
      <c r="T358" s="138">
        <f>MAX(((T357)*(1+$C$10)+IF(B358="Working",F93,0))-P358,0)</f>
        <v/>
      </c>
      <c r="U358" s="138">
        <f>Q358+R358+S358+T358</f>
        <v/>
      </c>
      <c r="V358" s="138">
        <f>IF(B358="Working",MAX(-(((Q357)*(1+$C$10)+IF(B358="Working",J358,0))),0),MAX(K358-L358,0))</f>
        <v/>
      </c>
      <c r="W358" s="138">
        <f>IF(OR(A358&gt;=$C$13,B358="Retired"),IF(V358&gt;0,-V358,U358-'Model Inputs'!$B$18),"")</f>
        <v/>
      </c>
      <c r="X358" s="138">
        <f>IF(AND($L$229&gt;0,A358&gt;=$C$13),$L$229*(1+$C$25)^(A358-$C$13),0)</f>
        <v/>
      </c>
      <c r="Y358" s="138">
        <f>IF(OR($L$229&lt;=0,$C$17&lt;=0,A358&lt;$C$13,MIN(MAX((A358-$C$13+1)*12,0),$C$17*12)&gt;=$C$17*12),0,IF($C$16=0,MAX(MAX($L$229*(1-$C$15),0)-(IF($C$17&lt;=0,0,IF($C$16=0,MAX($L$229*(1-$C$15),0)/$C$17,-PMT($C$16/12,$C$17*12,MAX($L$229*(1-$C$15),0))*12))/12)*MIN(MAX((A358-$C$13+1)*12,0),$C$17*12),0),MAX(MAX($L$229*(1-$C$15),0)*(1+$C$16/12)^MIN(MAX((A358-$C$13+1)*12,0),$C$17*12)-(IF($C$17&lt;=0,0,IF($C$16=0,MAX($L$229*(1-$C$15),0)/$C$17,-PMT($C$16/12,$C$17*12,MAX($L$229*(1-$C$15),0))*12))/12)*(((1+$C$16/12)^MIN(MAX((A358-$C$13+1)*12,0),$C$17*12)-1)/($C$16/12)),0)))</f>
        <v/>
      </c>
      <c r="Z358" s="138">
        <f>MAX(X358-Y358,0)</f>
        <v/>
      </c>
      <c r="AA358" s="142">
        <f>U358+Z358</f>
        <v/>
      </c>
      <c r="AB358" s="5" t="n"/>
      <c r="AC358" s="5" t="n"/>
      <c r="AD358" s="5" t="n"/>
      <c r="AE358" s="5" t="n"/>
      <c r="AF358" s="5" t="n"/>
      <c r="AG358" s="5" t="n"/>
    </row>
    <row r="359" outlineLevel="1" s="326">
      <c r="A359" s="136" t="n">
        <v>15</v>
      </c>
      <c r="B359" s="72">
        <f>B94</f>
        <v/>
      </c>
      <c r="C359" s="137">
        <f>D94</f>
        <v/>
      </c>
      <c r="D359" s="137">
        <f>I94</f>
        <v/>
      </c>
      <c r="E359" s="137">
        <f>J94</f>
        <v/>
      </c>
      <c r="F359" s="137">
        <f>K94</f>
        <v/>
      </c>
      <c r="G359" s="138">
        <f>IF(AND($L$229&gt;0,A359=$C$13),$L$229*($C$15+$C$18),0)+IF(AND($L$229&gt;0,A359=$C$13),$C$24,0)</f>
        <v/>
      </c>
      <c r="H359" s="138">
        <f>IF(OR($L$229&lt;=0,A359&lt;$C$13),0,IF(AND($L$229&gt;0,$C$17&gt;0,A359&gt;=$C$13,A359&lt;($C$13+$C$17)),IF($C$17&lt;=0,0,IF($C$16=0,MAX($L$229*(1-$C$15),0)/$C$17,-PMT($C$16/12,$C$17*12,MAX($L$229*(1-$C$15),0))*12)),0)+X359*($C$19+$C$20+$C$21)+$C$22+$C$23)</f>
        <v/>
      </c>
      <c r="I359" s="138">
        <f>IF(B359="Working",MIN(MAX(D359-E359-F359-G359-H359,0),'Tax Assumptions'!$B$20),0)</f>
        <v/>
      </c>
      <c r="J359" s="138">
        <f>IF(B359="Working",D359-E359-F359-I359-G359-H359,-L359)</f>
        <v/>
      </c>
      <c r="K359" s="137">
        <f>IF(B359="Retired",$N$229+G359+H359,0)</f>
        <v/>
      </c>
      <c r="L359" s="137">
        <f>M359+N359+O359+P359</f>
        <v/>
      </c>
      <c r="M359" s="137">
        <f>IF(B359="Retired",MIN(((Q358)*(1+$C$10)+IF(B359="Working",J359,0)),K359),0)</f>
        <v/>
      </c>
      <c r="N359" s="137">
        <f>IF(B359="Retired",MIN(MAX(K359-M359,0),((R358)*(1+$C$10)+IF(B359="Working",E94,0))),0)</f>
        <v/>
      </c>
      <c r="O359" s="137">
        <f>IF(B359="Retired",MIN(MAX(K359-M359-N359,0),((S358)*(1+$C$10)+IF(B359="Working",I359,0))),0)</f>
        <v/>
      </c>
      <c r="P359" s="137">
        <f>IF(B359="Retired",MIN(MAX(K359-M359-N359-O359,0),((T358)*(1+$C$10)+IF(B359="Working",F94,0))),0)</f>
        <v/>
      </c>
      <c r="Q359" s="138">
        <f>MAX(((Q358)*(1+$C$10)+IF(B359="Working",J359,0))-M359,0)</f>
        <v/>
      </c>
      <c r="R359" s="138">
        <f>MAX(((R358)*(1+$C$10)+IF(B359="Working",E94,0))-N359,0)</f>
        <v/>
      </c>
      <c r="S359" s="138">
        <f>MAX(((S358)*(1+$C$10)+IF(B359="Working",I359,0))-O359,0)</f>
        <v/>
      </c>
      <c r="T359" s="138">
        <f>MAX(((T358)*(1+$C$10)+IF(B359="Working",F94,0))-P359,0)</f>
        <v/>
      </c>
      <c r="U359" s="138">
        <f>Q359+R359+S359+T359</f>
        <v/>
      </c>
      <c r="V359" s="138">
        <f>IF(B359="Working",MAX(-(((Q358)*(1+$C$10)+IF(B359="Working",J359,0))),0),MAX(K359-L359,0))</f>
        <v/>
      </c>
      <c r="W359" s="138">
        <f>IF(OR(A359&gt;=$C$13,B359="Retired"),IF(V359&gt;0,-V359,U359-'Model Inputs'!$B$18),"")</f>
        <v/>
      </c>
      <c r="X359" s="138">
        <f>IF(AND($L$229&gt;0,A359&gt;=$C$13),$L$229*(1+$C$25)^(A359-$C$13),0)</f>
        <v/>
      </c>
      <c r="Y359" s="138">
        <f>IF(OR($L$229&lt;=0,$C$17&lt;=0,A359&lt;$C$13,MIN(MAX((A359-$C$13+1)*12,0),$C$17*12)&gt;=$C$17*12),0,IF($C$16=0,MAX(MAX($L$229*(1-$C$15),0)-(IF($C$17&lt;=0,0,IF($C$16=0,MAX($L$229*(1-$C$15),0)/$C$17,-PMT($C$16/12,$C$17*12,MAX($L$229*(1-$C$15),0))*12))/12)*MIN(MAX((A359-$C$13+1)*12,0),$C$17*12),0),MAX(MAX($L$229*(1-$C$15),0)*(1+$C$16/12)^MIN(MAX((A359-$C$13+1)*12,0),$C$17*12)-(IF($C$17&lt;=0,0,IF($C$16=0,MAX($L$229*(1-$C$15),0)/$C$17,-PMT($C$16/12,$C$17*12,MAX($L$229*(1-$C$15),0))*12))/12)*(((1+$C$16/12)^MIN(MAX((A359-$C$13+1)*12,0),$C$17*12)-1)/($C$16/12)),0)))</f>
        <v/>
      </c>
      <c r="Z359" s="138">
        <f>MAX(X359-Y359,0)</f>
        <v/>
      </c>
      <c r="AA359" s="139">
        <f>U359+Z359</f>
        <v/>
      </c>
      <c r="AB359" s="5" t="n"/>
      <c r="AC359" s="5" t="n"/>
      <c r="AD359" s="5" t="n"/>
      <c r="AE359" s="5" t="n"/>
      <c r="AF359" s="5" t="n"/>
      <c r="AG359" s="5" t="n"/>
    </row>
    <row r="360" outlineLevel="1" s="326">
      <c r="A360" s="140" t="n">
        <v>16</v>
      </c>
      <c r="B360" s="40">
        <f>B95</f>
        <v/>
      </c>
      <c r="C360" s="141">
        <f>D95</f>
        <v/>
      </c>
      <c r="D360" s="141">
        <f>I95</f>
        <v/>
      </c>
      <c r="E360" s="141">
        <f>J95</f>
        <v/>
      </c>
      <c r="F360" s="141">
        <f>K95</f>
        <v/>
      </c>
      <c r="G360" s="138">
        <f>IF(AND($L$229&gt;0,A360=$C$13),$L$229*($C$15+$C$18),0)+IF(AND($L$229&gt;0,A360=$C$13),$C$24,0)</f>
        <v/>
      </c>
      <c r="H360" s="138">
        <f>IF(OR($L$229&lt;=0,A360&lt;$C$13),0,IF(AND($L$229&gt;0,$C$17&gt;0,A360&gt;=$C$13,A360&lt;($C$13+$C$17)),IF($C$17&lt;=0,0,IF($C$16=0,MAX($L$229*(1-$C$15),0)/$C$17,-PMT($C$16/12,$C$17*12,MAX($L$229*(1-$C$15),0))*12)),0)+X360*($C$19+$C$20+$C$21)+$C$22+$C$23)</f>
        <v/>
      </c>
      <c r="I360" s="138">
        <f>IF(B360="Working",MIN(MAX(D360-E360-F360-G360-H360,0),'Tax Assumptions'!$B$20),0)</f>
        <v/>
      </c>
      <c r="J360" s="138">
        <f>IF(B360="Working",D360-E360-F360-I360-G360-H360,-L360)</f>
        <v/>
      </c>
      <c r="K360" s="141">
        <f>IF(B360="Retired",$N$229+G360+H360,0)</f>
        <v/>
      </c>
      <c r="L360" s="141">
        <f>M360+N360+O360+P360</f>
        <v/>
      </c>
      <c r="M360" s="141">
        <f>IF(B360="Retired",MIN(((Q359)*(1+$C$10)+IF(B360="Working",J360,0)),K360),0)</f>
        <v/>
      </c>
      <c r="N360" s="141">
        <f>IF(B360="Retired",MIN(MAX(K360-M360,0),((R359)*(1+$C$10)+IF(B360="Working",E95,0))),0)</f>
        <v/>
      </c>
      <c r="O360" s="141">
        <f>IF(B360="Retired",MIN(MAX(K360-M360-N360,0),((S359)*(1+$C$10)+IF(B360="Working",I360,0))),0)</f>
        <v/>
      </c>
      <c r="P360" s="141">
        <f>IF(B360="Retired",MIN(MAX(K360-M360-N360-O360,0),((T359)*(1+$C$10)+IF(B360="Working",F95,0))),0)</f>
        <v/>
      </c>
      <c r="Q360" s="138">
        <f>MAX(((Q359)*(1+$C$10)+IF(B360="Working",J360,0))-M360,0)</f>
        <v/>
      </c>
      <c r="R360" s="138">
        <f>MAX(((R359)*(1+$C$10)+IF(B360="Working",E95,0))-N360,0)</f>
        <v/>
      </c>
      <c r="S360" s="138">
        <f>MAX(((S359)*(1+$C$10)+IF(B360="Working",I360,0))-O360,0)</f>
        <v/>
      </c>
      <c r="T360" s="138">
        <f>MAX(((T359)*(1+$C$10)+IF(B360="Working",F95,0))-P360,0)</f>
        <v/>
      </c>
      <c r="U360" s="138">
        <f>Q360+R360+S360+T360</f>
        <v/>
      </c>
      <c r="V360" s="138">
        <f>IF(B360="Working",MAX(-(((Q359)*(1+$C$10)+IF(B360="Working",J360,0))),0),MAX(K360-L360,0))</f>
        <v/>
      </c>
      <c r="W360" s="138">
        <f>IF(OR(A360&gt;=$C$13,B360="Retired"),IF(V360&gt;0,-V360,U360-'Model Inputs'!$B$18),"")</f>
        <v/>
      </c>
      <c r="X360" s="138">
        <f>IF(AND($L$229&gt;0,A360&gt;=$C$13),$L$229*(1+$C$25)^(A360-$C$13),0)</f>
        <v/>
      </c>
      <c r="Y360" s="138">
        <f>IF(OR($L$229&lt;=0,$C$17&lt;=0,A360&lt;$C$13,MIN(MAX((A360-$C$13+1)*12,0),$C$17*12)&gt;=$C$17*12),0,IF($C$16=0,MAX(MAX($L$229*(1-$C$15),0)-(IF($C$17&lt;=0,0,IF($C$16=0,MAX($L$229*(1-$C$15),0)/$C$17,-PMT($C$16/12,$C$17*12,MAX($L$229*(1-$C$15),0))*12))/12)*MIN(MAX((A360-$C$13+1)*12,0),$C$17*12),0),MAX(MAX($L$229*(1-$C$15),0)*(1+$C$16/12)^MIN(MAX((A360-$C$13+1)*12,0),$C$17*12)-(IF($C$17&lt;=0,0,IF($C$16=0,MAX($L$229*(1-$C$15),0)/$C$17,-PMT($C$16/12,$C$17*12,MAX($L$229*(1-$C$15),0))*12))/12)*(((1+$C$16/12)^MIN(MAX((A360-$C$13+1)*12,0),$C$17*12)-1)/($C$16/12)),0)))</f>
        <v/>
      </c>
      <c r="Z360" s="138">
        <f>MAX(X360-Y360,0)</f>
        <v/>
      </c>
      <c r="AA360" s="142">
        <f>U360+Z360</f>
        <v/>
      </c>
      <c r="AB360" s="5" t="n"/>
      <c r="AC360" s="5" t="n"/>
      <c r="AD360" s="5" t="n"/>
      <c r="AE360" s="5" t="n"/>
      <c r="AF360" s="5" t="n"/>
      <c r="AG360" s="5" t="n"/>
    </row>
    <row r="361" outlineLevel="1" s="326">
      <c r="A361" s="136" t="n">
        <v>17</v>
      </c>
      <c r="B361" s="72">
        <f>B96</f>
        <v/>
      </c>
      <c r="C361" s="137">
        <f>D96</f>
        <v/>
      </c>
      <c r="D361" s="137">
        <f>I96</f>
        <v/>
      </c>
      <c r="E361" s="137">
        <f>J96</f>
        <v/>
      </c>
      <c r="F361" s="137">
        <f>K96</f>
        <v/>
      </c>
      <c r="G361" s="138">
        <f>IF(AND($L$229&gt;0,A361=$C$13),$L$229*($C$15+$C$18),0)+IF(AND($L$229&gt;0,A361=$C$13),$C$24,0)</f>
        <v/>
      </c>
      <c r="H361" s="138">
        <f>IF(OR($L$229&lt;=0,A361&lt;$C$13),0,IF(AND($L$229&gt;0,$C$17&gt;0,A361&gt;=$C$13,A361&lt;($C$13+$C$17)),IF($C$17&lt;=0,0,IF($C$16=0,MAX($L$229*(1-$C$15),0)/$C$17,-PMT($C$16/12,$C$17*12,MAX($L$229*(1-$C$15),0))*12)),0)+X361*($C$19+$C$20+$C$21)+$C$22+$C$23)</f>
        <v/>
      </c>
      <c r="I361" s="138">
        <f>IF(B361="Working",MIN(MAX(D361-E361-F361-G361-H361,0),'Tax Assumptions'!$B$20),0)</f>
        <v/>
      </c>
      <c r="J361" s="138">
        <f>IF(B361="Working",D361-E361-F361-I361-G361-H361,-L361)</f>
        <v/>
      </c>
      <c r="K361" s="137">
        <f>IF(B361="Retired",$N$229+G361+H361,0)</f>
        <v/>
      </c>
      <c r="L361" s="137">
        <f>M361+N361+O361+P361</f>
        <v/>
      </c>
      <c r="M361" s="137">
        <f>IF(B361="Retired",MIN(((Q360)*(1+$C$10)+IF(B361="Working",J361,0)),K361),0)</f>
        <v/>
      </c>
      <c r="N361" s="137">
        <f>IF(B361="Retired",MIN(MAX(K361-M361,0),((R360)*(1+$C$10)+IF(B361="Working",E96,0))),0)</f>
        <v/>
      </c>
      <c r="O361" s="137">
        <f>IF(B361="Retired",MIN(MAX(K361-M361-N361,0),((S360)*(1+$C$10)+IF(B361="Working",I361,0))),0)</f>
        <v/>
      </c>
      <c r="P361" s="137">
        <f>IF(B361="Retired",MIN(MAX(K361-M361-N361-O361,0),((T360)*(1+$C$10)+IF(B361="Working",F96,0))),0)</f>
        <v/>
      </c>
      <c r="Q361" s="138">
        <f>MAX(((Q360)*(1+$C$10)+IF(B361="Working",J361,0))-M361,0)</f>
        <v/>
      </c>
      <c r="R361" s="138">
        <f>MAX(((R360)*(1+$C$10)+IF(B361="Working",E96,0))-N361,0)</f>
        <v/>
      </c>
      <c r="S361" s="138">
        <f>MAX(((S360)*(1+$C$10)+IF(B361="Working",I361,0))-O361,0)</f>
        <v/>
      </c>
      <c r="T361" s="138">
        <f>MAX(((T360)*(1+$C$10)+IF(B361="Working",F96,0))-P361,0)</f>
        <v/>
      </c>
      <c r="U361" s="138">
        <f>Q361+R361+S361+T361</f>
        <v/>
      </c>
      <c r="V361" s="138">
        <f>IF(B361="Working",MAX(-(((Q360)*(1+$C$10)+IF(B361="Working",J361,0))),0),MAX(K361-L361,0))</f>
        <v/>
      </c>
      <c r="W361" s="138">
        <f>IF(OR(A361&gt;=$C$13,B361="Retired"),IF(V361&gt;0,-V361,U361-'Model Inputs'!$B$18),"")</f>
        <v/>
      </c>
      <c r="X361" s="138">
        <f>IF(AND($L$229&gt;0,A361&gt;=$C$13),$L$229*(1+$C$25)^(A361-$C$13),0)</f>
        <v/>
      </c>
      <c r="Y361" s="138">
        <f>IF(OR($L$229&lt;=0,$C$17&lt;=0,A361&lt;$C$13,MIN(MAX((A361-$C$13+1)*12,0),$C$17*12)&gt;=$C$17*12),0,IF($C$16=0,MAX(MAX($L$229*(1-$C$15),0)-(IF($C$17&lt;=0,0,IF($C$16=0,MAX($L$229*(1-$C$15),0)/$C$17,-PMT($C$16/12,$C$17*12,MAX($L$229*(1-$C$15),0))*12))/12)*MIN(MAX((A361-$C$13+1)*12,0),$C$17*12),0),MAX(MAX($L$229*(1-$C$15),0)*(1+$C$16/12)^MIN(MAX((A361-$C$13+1)*12,0),$C$17*12)-(IF($C$17&lt;=0,0,IF($C$16=0,MAX($L$229*(1-$C$15),0)/$C$17,-PMT($C$16/12,$C$17*12,MAX($L$229*(1-$C$15),0))*12))/12)*(((1+$C$16/12)^MIN(MAX((A361-$C$13+1)*12,0),$C$17*12)-1)/($C$16/12)),0)))</f>
        <v/>
      </c>
      <c r="Z361" s="138">
        <f>MAX(X361-Y361,0)</f>
        <v/>
      </c>
      <c r="AA361" s="139">
        <f>U361+Z361</f>
        <v/>
      </c>
      <c r="AB361" s="5" t="n"/>
      <c r="AC361" s="5" t="n"/>
      <c r="AD361" s="5" t="n"/>
      <c r="AE361" s="5" t="n"/>
      <c r="AF361" s="5" t="n"/>
      <c r="AG361" s="5" t="n"/>
    </row>
    <row r="362" outlineLevel="1" s="326">
      <c r="A362" s="140" t="n">
        <v>18</v>
      </c>
      <c r="B362" s="40">
        <f>B97</f>
        <v/>
      </c>
      <c r="C362" s="141">
        <f>D97</f>
        <v/>
      </c>
      <c r="D362" s="141">
        <f>I97</f>
        <v/>
      </c>
      <c r="E362" s="141">
        <f>J97</f>
        <v/>
      </c>
      <c r="F362" s="141">
        <f>K97</f>
        <v/>
      </c>
      <c r="G362" s="138">
        <f>IF(AND($L$229&gt;0,A362=$C$13),$L$229*($C$15+$C$18),0)+IF(AND($L$229&gt;0,A362=$C$13),$C$24,0)</f>
        <v/>
      </c>
      <c r="H362" s="138">
        <f>IF(OR($L$229&lt;=0,A362&lt;$C$13),0,IF(AND($L$229&gt;0,$C$17&gt;0,A362&gt;=$C$13,A362&lt;($C$13+$C$17)),IF($C$17&lt;=0,0,IF($C$16=0,MAX($L$229*(1-$C$15),0)/$C$17,-PMT($C$16/12,$C$17*12,MAX($L$229*(1-$C$15),0))*12)),0)+X362*($C$19+$C$20+$C$21)+$C$22+$C$23)</f>
        <v/>
      </c>
      <c r="I362" s="138">
        <f>IF(B362="Working",MIN(MAX(D362-E362-F362-G362-H362,0),'Tax Assumptions'!$B$20),0)</f>
        <v/>
      </c>
      <c r="J362" s="138">
        <f>IF(B362="Working",D362-E362-F362-I362-G362-H362,-L362)</f>
        <v/>
      </c>
      <c r="K362" s="141">
        <f>IF(B362="Retired",$N$229+G362+H362,0)</f>
        <v/>
      </c>
      <c r="L362" s="141">
        <f>M362+N362+O362+P362</f>
        <v/>
      </c>
      <c r="M362" s="141">
        <f>IF(B362="Retired",MIN(((Q361)*(1+$C$10)+IF(B362="Working",J362,0)),K362),0)</f>
        <v/>
      </c>
      <c r="N362" s="141">
        <f>IF(B362="Retired",MIN(MAX(K362-M362,0),((R361)*(1+$C$10)+IF(B362="Working",E97,0))),0)</f>
        <v/>
      </c>
      <c r="O362" s="141">
        <f>IF(B362="Retired",MIN(MAX(K362-M362-N362,0),((S361)*(1+$C$10)+IF(B362="Working",I362,0))),0)</f>
        <v/>
      </c>
      <c r="P362" s="141">
        <f>IF(B362="Retired",MIN(MAX(K362-M362-N362-O362,0),((T361)*(1+$C$10)+IF(B362="Working",F97,0))),0)</f>
        <v/>
      </c>
      <c r="Q362" s="138">
        <f>MAX(((Q361)*(1+$C$10)+IF(B362="Working",J362,0))-M362,0)</f>
        <v/>
      </c>
      <c r="R362" s="138">
        <f>MAX(((R361)*(1+$C$10)+IF(B362="Working",E97,0))-N362,0)</f>
        <v/>
      </c>
      <c r="S362" s="138">
        <f>MAX(((S361)*(1+$C$10)+IF(B362="Working",I362,0))-O362,0)</f>
        <v/>
      </c>
      <c r="T362" s="138">
        <f>MAX(((T361)*(1+$C$10)+IF(B362="Working",F97,0))-P362,0)</f>
        <v/>
      </c>
      <c r="U362" s="138">
        <f>Q362+R362+S362+T362</f>
        <v/>
      </c>
      <c r="V362" s="138">
        <f>IF(B362="Working",MAX(-(((Q361)*(1+$C$10)+IF(B362="Working",J362,0))),0),MAX(K362-L362,0))</f>
        <v/>
      </c>
      <c r="W362" s="138">
        <f>IF(OR(A362&gt;=$C$13,B362="Retired"),IF(V362&gt;0,-V362,U362-'Model Inputs'!$B$18),"")</f>
        <v/>
      </c>
      <c r="X362" s="138">
        <f>IF(AND($L$229&gt;0,A362&gt;=$C$13),$L$229*(1+$C$25)^(A362-$C$13),0)</f>
        <v/>
      </c>
      <c r="Y362" s="138">
        <f>IF(OR($L$229&lt;=0,$C$17&lt;=0,A362&lt;$C$13,MIN(MAX((A362-$C$13+1)*12,0),$C$17*12)&gt;=$C$17*12),0,IF($C$16=0,MAX(MAX($L$229*(1-$C$15),0)-(IF($C$17&lt;=0,0,IF($C$16=0,MAX($L$229*(1-$C$15),0)/$C$17,-PMT($C$16/12,$C$17*12,MAX($L$229*(1-$C$15),0))*12))/12)*MIN(MAX((A362-$C$13+1)*12,0),$C$17*12),0),MAX(MAX($L$229*(1-$C$15),0)*(1+$C$16/12)^MIN(MAX((A362-$C$13+1)*12,0),$C$17*12)-(IF($C$17&lt;=0,0,IF($C$16=0,MAX($L$229*(1-$C$15),0)/$C$17,-PMT($C$16/12,$C$17*12,MAX($L$229*(1-$C$15),0))*12))/12)*(((1+$C$16/12)^MIN(MAX((A362-$C$13+1)*12,0),$C$17*12)-1)/($C$16/12)),0)))</f>
        <v/>
      </c>
      <c r="Z362" s="138">
        <f>MAX(X362-Y362,0)</f>
        <v/>
      </c>
      <c r="AA362" s="142">
        <f>U362+Z362</f>
        <v/>
      </c>
      <c r="AB362" s="5" t="n"/>
      <c r="AC362" s="5" t="n"/>
      <c r="AD362" s="5" t="n"/>
      <c r="AE362" s="5" t="n"/>
      <c r="AF362" s="5" t="n"/>
      <c r="AG362" s="5" t="n"/>
    </row>
    <row r="363" outlineLevel="1" s="326">
      <c r="A363" s="136" t="n">
        <v>19</v>
      </c>
      <c r="B363" s="72">
        <f>B98</f>
        <v/>
      </c>
      <c r="C363" s="137">
        <f>D98</f>
        <v/>
      </c>
      <c r="D363" s="137">
        <f>I98</f>
        <v/>
      </c>
      <c r="E363" s="137">
        <f>J98</f>
        <v/>
      </c>
      <c r="F363" s="137">
        <f>K98</f>
        <v/>
      </c>
      <c r="G363" s="138">
        <f>IF(AND($L$229&gt;0,A363=$C$13),$L$229*($C$15+$C$18),0)+IF(AND($L$229&gt;0,A363=$C$13),$C$24,0)</f>
        <v/>
      </c>
      <c r="H363" s="138">
        <f>IF(OR($L$229&lt;=0,A363&lt;$C$13),0,IF(AND($L$229&gt;0,$C$17&gt;0,A363&gt;=$C$13,A363&lt;($C$13+$C$17)),IF($C$17&lt;=0,0,IF($C$16=0,MAX($L$229*(1-$C$15),0)/$C$17,-PMT($C$16/12,$C$17*12,MAX($L$229*(1-$C$15),0))*12)),0)+X363*($C$19+$C$20+$C$21)+$C$22+$C$23)</f>
        <v/>
      </c>
      <c r="I363" s="138">
        <f>IF(B363="Working",MIN(MAX(D363-E363-F363-G363-H363,0),'Tax Assumptions'!$B$20),0)</f>
        <v/>
      </c>
      <c r="J363" s="138">
        <f>IF(B363="Working",D363-E363-F363-I363-G363-H363,-L363)</f>
        <v/>
      </c>
      <c r="K363" s="137">
        <f>IF(B363="Retired",$N$229+G363+H363,0)</f>
        <v/>
      </c>
      <c r="L363" s="137">
        <f>M363+N363+O363+P363</f>
        <v/>
      </c>
      <c r="M363" s="137">
        <f>IF(B363="Retired",MIN(((Q362)*(1+$C$10)+IF(B363="Working",J363,0)),K363),0)</f>
        <v/>
      </c>
      <c r="N363" s="137">
        <f>IF(B363="Retired",MIN(MAX(K363-M363,0),((R362)*(1+$C$10)+IF(B363="Working",E98,0))),0)</f>
        <v/>
      </c>
      <c r="O363" s="137">
        <f>IF(B363="Retired",MIN(MAX(K363-M363-N363,0),((S362)*(1+$C$10)+IF(B363="Working",I363,0))),0)</f>
        <v/>
      </c>
      <c r="P363" s="137">
        <f>IF(B363="Retired",MIN(MAX(K363-M363-N363-O363,0),((T362)*(1+$C$10)+IF(B363="Working",F98,0))),0)</f>
        <v/>
      </c>
      <c r="Q363" s="138">
        <f>MAX(((Q362)*(1+$C$10)+IF(B363="Working",J363,0))-M363,0)</f>
        <v/>
      </c>
      <c r="R363" s="138">
        <f>MAX(((R362)*(1+$C$10)+IF(B363="Working",E98,0))-N363,0)</f>
        <v/>
      </c>
      <c r="S363" s="138">
        <f>MAX(((S362)*(1+$C$10)+IF(B363="Working",I363,0))-O363,0)</f>
        <v/>
      </c>
      <c r="T363" s="138">
        <f>MAX(((T362)*(1+$C$10)+IF(B363="Working",F98,0))-P363,0)</f>
        <v/>
      </c>
      <c r="U363" s="138">
        <f>Q363+R363+S363+T363</f>
        <v/>
      </c>
      <c r="V363" s="138">
        <f>IF(B363="Working",MAX(-(((Q362)*(1+$C$10)+IF(B363="Working",J363,0))),0),MAX(K363-L363,0))</f>
        <v/>
      </c>
      <c r="W363" s="138">
        <f>IF(OR(A363&gt;=$C$13,B363="Retired"),IF(V363&gt;0,-V363,U363-'Model Inputs'!$B$18),"")</f>
        <v/>
      </c>
      <c r="X363" s="138">
        <f>IF(AND($L$229&gt;0,A363&gt;=$C$13),$L$229*(1+$C$25)^(A363-$C$13),0)</f>
        <v/>
      </c>
      <c r="Y363" s="138">
        <f>IF(OR($L$229&lt;=0,$C$17&lt;=0,A363&lt;$C$13,MIN(MAX((A363-$C$13+1)*12,0),$C$17*12)&gt;=$C$17*12),0,IF($C$16=0,MAX(MAX($L$229*(1-$C$15),0)-(IF($C$17&lt;=0,0,IF($C$16=0,MAX($L$229*(1-$C$15),0)/$C$17,-PMT($C$16/12,$C$17*12,MAX($L$229*(1-$C$15),0))*12))/12)*MIN(MAX((A363-$C$13+1)*12,0),$C$17*12),0),MAX(MAX($L$229*(1-$C$15),0)*(1+$C$16/12)^MIN(MAX((A363-$C$13+1)*12,0),$C$17*12)-(IF($C$17&lt;=0,0,IF($C$16=0,MAX($L$229*(1-$C$15),0)/$C$17,-PMT($C$16/12,$C$17*12,MAX($L$229*(1-$C$15),0))*12))/12)*(((1+$C$16/12)^MIN(MAX((A363-$C$13+1)*12,0),$C$17*12)-1)/($C$16/12)),0)))</f>
        <v/>
      </c>
      <c r="Z363" s="138">
        <f>MAX(X363-Y363,0)</f>
        <v/>
      </c>
      <c r="AA363" s="139">
        <f>U363+Z363</f>
        <v/>
      </c>
      <c r="AB363" s="5" t="n"/>
      <c r="AC363" s="5" t="n"/>
      <c r="AD363" s="5" t="n"/>
      <c r="AE363" s="5" t="n"/>
      <c r="AF363" s="5" t="n"/>
      <c r="AG363" s="5" t="n"/>
    </row>
    <row r="364" outlineLevel="1" s="326">
      <c r="A364" s="140" t="n">
        <v>20</v>
      </c>
      <c r="B364" s="40">
        <f>B99</f>
        <v/>
      </c>
      <c r="C364" s="141">
        <f>D99</f>
        <v/>
      </c>
      <c r="D364" s="141">
        <f>I99</f>
        <v/>
      </c>
      <c r="E364" s="141">
        <f>J99</f>
        <v/>
      </c>
      <c r="F364" s="141">
        <f>K99</f>
        <v/>
      </c>
      <c r="G364" s="138">
        <f>IF(AND($L$229&gt;0,A364=$C$13),$L$229*($C$15+$C$18),0)+IF(AND($L$229&gt;0,A364=$C$13),$C$24,0)</f>
        <v/>
      </c>
      <c r="H364" s="138">
        <f>IF(OR($L$229&lt;=0,A364&lt;$C$13),0,IF(AND($L$229&gt;0,$C$17&gt;0,A364&gt;=$C$13,A364&lt;($C$13+$C$17)),IF($C$17&lt;=0,0,IF($C$16=0,MAX($L$229*(1-$C$15),0)/$C$17,-PMT($C$16/12,$C$17*12,MAX($L$229*(1-$C$15),0))*12)),0)+X364*($C$19+$C$20+$C$21)+$C$22+$C$23)</f>
        <v/>
      </c>
      <c r="I364" s="138">
        <f>IF(B364="Working",MIN(MAX(D364-E364-F364-G364-H364,0),'Tax Assumptions'!$B$20),0)</f>
        <v/>
      </c>
      <c r="J364" s="138">
        <f>IF(B364="Working",D364-E364-F364-I364-G364-H364,-L364)</f>
        <v/>
      </c>
      <c r="K364" s="141">
        <f>IF(B364="Retired",$N$229+G364+H364,0)</f>
        <v/>
      </c>
      <c r="L364" s="141">
        <f>M364+N364+O364+P364</f>
        <v/>
      </c>
      <c r="M364" s="141">
        <f>IF(B364="Retired",MIN(((Q363)*(1+$C$10)+IF(B364="Working",J364,0)),K364),0)</f>
        <v/>
      </c>
      <c r="N364" s="141">
        <f>IF(B364="Retired",MIN(MAX(K364-M364,0),((R363)*(1+$C$10)+IF(B364="Working",E99,0))),0)</f>
        <v/>
      </c>
      <c r="O364" s="141">
        <f>IF(B364="Retired",MIN(MAX(K364-M364-N364,0),((S363)*(1+$C$10)+IF(B364="Working",I364,0))),0)</f>
        <v/>
      </c>
      <c r="P364" s="141">
        <f>IF(B364="Retired",MIN(MAX(K364-M364-N364-O364,0),((T363)*(1+$C$10)+IF(B364="Working",F99,0))),0)</f>
        <v/>
      </c>
      <c r="Q364" s="138">
        <f>MAX(((Q363)*(1+$C$10)+IF(B364="Working",J364,0))-M364,0)</f>
        <v/>
      </c>
      <c r="R364" s="138">
        <f>MAX(((R363)*(1+$C$10)+IF(B364="Working",E99,0))-N364,0)</f>
        <v/>
      </c>
      <c r="S364" s="138">
        <f>MAX(((S363)*(1+$C$10)+IF(B364="Working",I364,0))-O364,0)</f>
        <v/>
      </c>
      <c r="T364" s="138">
        <f>MAX(((T363)*(1+$C$10)+IF(B364="Working",F99,0))-P364,0)</f>
        <v/>
      </c>
      <c r="U364" s="138">
        <f>Q364+R364+S364+T364</f>
        <v/>
      </c>
      <c r="V364" s="138">
        <f>IF(B364="Working",MAX(-(((Q363)*(1+$C$10)+IF(B364="Working",J364,0))),0),MAX(K364-L364,0))</f>
        <v/>
      </c>
      <c r="W364" s="138">
        <f>IF(OR(A364&gt;=$C$13,B364="Retired"),IF(V364&gt;0,-V364,U364-'Model Inputs'!$B$18),"")</f>
        <v/>
      </c>
      <c r="X364" s="138">
        <f>IF(AND($L$229&gt;0,A364&gt;=$C$13),$L$229*(1+$C$25)^(A364-$C$13),0)</f>
        <v/>
      </c>
      <c r="Y364" s="138">
        <f>IF(OR($L$229&lt;=0,$C$17&lt;=0,A364&lt;$C$13,MIN(MAX((A364-$C$13+1)*12,0),$C$17*12)&gt;=$C$17*12),0,IF($C$16=0,MAX(MAX($L$229*(1-$C$15),0)-(IF($C$17&lt;=0,0,IF($C$16=0,MAX($L$229*(1-$C$15),0)/$C$17,-PMT($C$16/12,$C$17*12,MAX($L$229*(1-$C$15),0))*12))/12)*MIN(MAX((A364-$C$13+1)*12,0),$C$17*12),0),MAX(MAX($L$229*(1-$C$15),0)*(1+$C$16/12)^MIN(MAX((A364-$C$13+1)*12,0),$C$17*12)-(IF($C$17&lt;=0,0,IF($C$16=0,MAX($L$229*(1-$C$15),0)/$C$17,-PMT($C$16/12,$C$17*12,MAX($L$229*(1-$C$15),0))*12))/12)*(((1+$C$16/12)^MIN(MAX((A364-$C$13+1)*12,0),$C$17*12)-1)/($C$16/12)),0)))</f>
        <v/>
      </c>
      <c r="Z364" s="138">
        <f>MAX(X364-Y364,0)</f>
        <v/>
      </c>
      <c r="AA364" s="142">
        <f>U364+Z364</f>
        <v/>
      </c>
      <c r="AB364" s="5" t="n"/>
      <c r="AC364" s="5" t="n"/>
      <c r="AD364" s="5" t="n"/>
      <c r="AE364" s="5" t="n"/>
      <c r="AF364" s="5" t="n"/>
      <c r="AG364" s="5" t="n"/>
    </row>
    <row r="365" outlineLevel="1" s="326">
      <c r="A365" s="136" t="n">
        <v>21</v>
      </c>
      <c r="B365" s="72">
        <f>B100</f>
        <v/>
      </c>
      <c r="C365" s="137">
        <f>D100</f>
        <v/>
      </c>
      <c r="D365" s="137">
        <f>I100</f>
        <v/>
      </c>
      <c r="E365" s="137">
        <f>J100</f>
        <v/>
      </c>
      <c r="F365" s="137">
        <f>K100</f>
        <v/>
      </c>
      <c r="G365" s="138">
        <f>IF(AND($L$229&gt;0,A365=$C$13),$L$229*($C$15+$C$18),0)+IF(AND($L$229&gt;0,A365=$C$13),$C$24,0)</f>
        <v/>
      </c>
      <c r="H365" s="138">
        <f>IF(OR($L$229&lt;=0,A365&lt;$C$13),0,IF(AND($L$229&gt;0,$C$17&gt;0,A365&gt;=$C$13,A365&lt;($C$13+$C$17)),IF($C$17&lt;=0,0,IF($C$16=0,MAX($L$229*(1-$C$15),0)/$C$17,-PMT($C$16/12,$C$17*12,MAX($L$229*(1-$C$15),0))*12)),0)+X365*($C$19+$C$20+$C$21)+$C$22+$C$23)</f>
        <v/>
      </c>
      <c r="I365" s="138">
        <f>IF(B365="Working",MIN(MAX(D365-E365-F365-G365-H365,0),'Tax Assumptions'!$B$20),0)</f>
        <v/>
      </c>
      <c r="J365" s="138">
        <f>IF(B365="Working",D365-E365-F365-I365-G365-H365,-L365)</f>
        <v/>
      </c>
      <c r="K365" s="137">
        <f>IF(B365="Retired",$N$229+G365+H365,0)</f>
        <v/>
      </c>
      <c r="L365" s="137">
        <f>M365+N365+O365+P365</f>
        <v/>
      </c>
      <c r="M365" s="137">
        <f>IF(B365="Retired",MIN(((Q364)*(1+$C$10)+IF(B365="Working",J365,0)),K365),0)</f>
        <v/>
      </c>
      <c r="N365" s="137">
        <f>IF(B365="Retired",MIN(MAX(K365-M365,0),((R364)*(1+$C$10)+IF(B365="Working",E100,0))),0)</f>
        <v/>
      </c>
      <c r="O365" s="137">
        <f>IF(B365="Retired",MIN(MAX(K365-M365-N365,0),((S364)*(1+$C$10)+IF(B365="Working",I365,0))),0)</f>
        <v/>
      </c>
      <c r="P365" s="137">
        <f>IF(B365="Retired",MIN(MAX(K365-M365-N365-O365,0),((T364)*(1+$C$10)+IF(B365="Working",F100,0))),0)</f>
        <v/>
      </c>
      <c r="Q365" s="138">
        <f>MAX(((Q364)*(1+$C$10)+IF(B365="Working",J365,0))-M365,0)</f>
        <v/>
      </c>
      <c r="R365" s="138">
        <f>MAX(((R364)*(1+$C$10)+IF(B365="Working",E100,0))-N365,0)</f>
        <v/>
      </c>
      <c r="S365" s="138">
        <f>MAX(((S364)*(1+$C$10)+IF(B365="Working",I365,0))-O365,0)</f>
        <v/>
      </c>
      <c r="T365" s="138">
        <f>MAX(((T364)*(1+$C$10)+IF(B365="Working",F100,0))-P365,0)</f>
        <v/>
      </c>
      <c r="U365" s="138">
        <f>Q365+R365+S365+T365</f>
        <v/>
      </c>
      <c r="V365" s="138">
        <f>IF(B365="Working",MAX(-(((Q364)*(1+$C$10)+IF(B365="Working",J365,0))),0),MAX(K365-L365,0))</f>
        <v/>
      </c>
      <c r="W365" s="138">
        <f>IF(OR(A365&gt;=$C$13,B365="Retired"),IF(V365&gt;0,-V365,U365-'Model Inputs'!$B$18),"")</f>
        <v/>
      </c>
      <c r="X365" s="138">
        <f>IF(AND($L$229&gt;0,A365&gt;=$C$13),$L$229*(1+$C$25)^(A365-$C$13),0)</f>
        <v/>
      </c>
      <c r="Y365" s="138">
        <f>IF(OR($L$229&lt;=0,$C$17&lt;=0,A365&lt;$C$13,MIN(MAX((A365-$C$13+1)*12,0),$C$17*12)&gt;=$C$17*12),0,IF($C$16=0,MAX(MAX($L$229*(1-$C$15),0)-(IF($C$17&lt;=0,0,IF($C$16=0,MAX($L$229*(1-$C$15),0)/$C$17,-PMT($C$16/12,$C$17*12,MAX($L$229*(1-$C$15),0))*12))/12)*MIN(MAX((A365-$C$13+1)*12,0),$C$17*12),0),MAX(MAX($L$229*(1-$C$15),0)*(1+$C$16/12)^MIN(MAX((A365-$C$13+1)*12,0),$C$17*12)-(IF($C$17&lt;=0,0,IF($C$16=0,MAX($L$229*(1-$C$15),0)/$C$17,-PMT($C$16/12,$C$17*12,MAX($L$229*(1-$C$15),0))*12))/12)*(((1+$C$16/12)^MIN(MAX((A365-$C$13+1)*12,0),$C$17*12)-1)/($C$16/12)),0)))</f>
        <v/>
      </c>
      <c r="Z365" s="138">
        <f>MAX(X365-Y365,0)</f>
        <v/>
      </c>
      <c r="AA365" s="139">
        <f>U365+Z365</f>
        <v/>
      </c>
      <c r="AB365" s="5" t="n"/>
      <c r="AC365" s="5" t="n"/>
      <c r="AD365" s="5" t="n"/>
      <c r="AE365" s="5" t="n"/>
      <c r="AF365" s="5" t="n"/>
      <c r="AG365" s="5" t="n"/>
    </row>
    <row r="366" outlineLevel="1" s="326">
      <c r="A366" s="140" t="n">
        <v>22</v>
      </c>
      <c r="B366" s="40">
        <f>B101</f>
        <v/>
      </c>
      <c r="C366" s="141">
        <f>D101</f>
        <v/>
      </c>
      <c r="D366" s="141">
        <f>I101</f>
        <v/>
      </c>
      <c r="E366" s="141">
        <f>J101</f>
        <v/>
      </c>
      <c r="F366" s="141">
        <f>K101</f>
        <v/>
      </c>
      <c r="G366" s="138">
        <f>IF(AND($L$229&gt;0,A366=$C$13),$L$229*($C$15+$C$18),0)+IF(AND($L$229&gt;0,A366=$C$13),$C$24,0)</f>
        <v/>
      </c>
      <c r="H366" s="138">
        <f>IF(OR($L$229&lt;=0,A366&lt;$C$13),0,IF(AND($L$229&gt;0,$C$17&gt;0,A366&gt;=$C$13,A366&lt;($C$13+$C$17)),IF($C$17&lt;=0,0,IF($C$16=0,MAX($L$229*(1-$C$15),0)/$C$17,-PMT($C$16/12,$C$17*12,MAX($L$229*(1-$C$15),0))*12)),0)+X366*($C$19+$C$20+$C$21)+$C$22+$C$23)</f>
        <v/>
      </c>
      <c r="I366" s="138">
        <f>IF(B366="Working",MIN(MAX(D366-E366-F366-G366-H366,0),'Tax Assumptions'!$B$20),0)</f>
        <v/>
      </c>
      <c r="J366" s="138">
        <f>IF(B366="Working",D366-E366-F366-I366-G366-H366,-L366)</f>
        <v/>
      </c>
      <c r="K366" s="141">
        <f>IF(B366="Retired",$N$229+G366+H366,0)</f>
        <v/>
      </c>
      <c r="L366" s="141">
        <f>M366+N366+O366+P366</f>
        <v/>
      </c>
      <c r="M366" s="141">
        <f>IF(B366="Retired",MIN(((Q365)*(1+$C$10)+IF(B366="Working",J366,0)),K366),0)</f>
        <v/>
      </c>
      <c r="N366" s="141">
        <f>IF(B366="Retired",MIN(MAX(K366-M366,0),((R365)*(1+$C$10)+IF(B366="Working",E101,0))),0)</f>
        <v/>
      </c>
      <c r="O366" s="141">
        <f>IF(B366="Retired",MIN(MAX(K366-M366-N366,0),((S365)*(1+$C$10)+IF(B366="Working",I366,0))),0)</f>
        <v/>
      </c>
      <c r="P366" s="141">
        <f>IF(B366="Retired",MIN(MAX(K366-M366-N366-O366,0),((T365)*(1+$C$10)+IF(B366="Working",F101,0))),0)</f>
        <v/>
      </c>
      <c r="Q366" s="138">
        <f>MAX(((Q365)*(1+$C$10)+IF(B366="Working",J366,0))-M366,0)</f>
        <v/>
      </c>
      <c r="R366" s="138">
        <f>MAX(((R365)*(1+$C$10)+IF(B366="Working",E101,0))-N366,0)</f>
        <v/>
      </c>
      <c r="S366" s="138">
        <f>MAX(((S365)*(1+$C$10)+IF(B366="Working",I366,0))-O366,0)</f>
        <v/>
      </c>
      <c r="T366" s="138">
        <f>MAX(((T365)*(1+$C$10)+IF(B366="Working",F101,0))-P366,0)</f>
        <v/>
      </c>
      <c r="U366" s="138">
        <f>Q366+R366+S366+T366</f>
        <v/>
      </c>
      <c r="V366" s="138">
        <f>IF(B366="Working",MAX(-(((Q365)*(1+$C$10)+IF(B366="Working",J366,0))),0),MAX(K366-L366,0))</f>
        <v/>
      </c>
      <c r="W366" s="138">
        <f>IF(OR(A366&gt;=$C$13,B366="Retired"),IF(V366&gt;0,-V366,U366-'Model Inputs'!$B$18),"")</f>
        <v/>
      </c>
      <c r="X366" s="138">
        <f>IF(AND($L$229&gt;0,A366&gt;=$C$13),$L$229*(1+$C$25)^(A366-$C$13),0)</f>
        <v/>
      </c>
      <c r="Y366" s="138">
        <f>IF(OR($L$229&lt;=0,$C$17&lt;=0,A366&lt;$C$13,MIN(MAX((A366-$C$13+1)*12,0),$C$17*12)&gt;=$C$17*12),0,IF($C$16=0,MAX(MAX($L$229*(1-$C$15),0)-(IF($C$17&lt;=0,0,IF($C$16=0,MAX($L$229*(1-$C$15),0)/$C$17,-PMT($C$16/12,$C$17*12,MAX($L$229*(1-$C$15),0))*12))/12)*MIN(MAX((A366-$C$13+1)*12,0),$C$17*12),0),MAX(MAX($L$229*(1-$C$15),0)*(1+$C$16/12)^MIN(MAX((A366-$C$13+1)*12,0),$C$17*12)-(IF($C$17&lt;=0,0,IF($C$16=0,MAX($L$229*(1-$C$15),0)/$C$17,-PMT($C$16/12,$C$17*12,MAX($L$229*(1-$C$15),0))*12))/12)*(((1+$C$16/12)^MIN(MAX((A366-$C$13+1)*12,0),$C$17*12)-1)/($C$16/12)),0)))</f>
        <v/>
      </c>
      <c r="Z366" s="138">
        <f>MAX(X366-Y366,0)</f>
        <v/>
      </c>
      <c r="AA366" s="142">
        <f>U366+Z366</f>
        <v/>
      </c>
      <c r="AB366" s="5" t="n"/>
      <c r="AC366" s="5" t="n"/>
      <c r="AD366" s="5" t="n"/>
      <c r="AE366" s="5" t="n"/>
      <c r="AF366" s="5" t="n"/>
      <c r="AG366" s="5" t="n"/>
    </row>
    <row r="367" outlineLevel="1" s="326">
      <c r="A367" s="136" t="n">
        <v>23</v>
      </c>
      <c r="B367" s="72">
        <f>B102</f>
        <v/>
      </c>
      <c r="C367" s="137">
        <f>D102</f>
        <v/>
      </c>
      <c r="D367" s="137">
        <f>I102</f>
        <v/>
      </c>
      <c r="E367" s="137">
        <f>J102</f>
        <v/>
      </c>
      <c r="F367" s="137">
        <f>K102</f>
        <v/>
      </c>
      <c r="G367" s="138">
        <f>IF(AND($L$229&gt;0,A367=$C$13),$L$229*($C$15+$C$18),0)+IF(AND($L$229&gt;0,A367=$C$13),$C$24,0)</f>
        <v/>
      </c>
      <c r="H367" s="138">
        <f>IF(OR($L$229&lt;=0,A367&lt;$C$13),0,IF(AND($L$229&gt;0,$C$17&gt;0,A367&gt;=$C$13,A367&lt;($C$13+$C$17)),IF($C$17&lt;=0,0,IF($C$16=0,MAX($L$229*(1-$C$15),0)/$C$17,-PMT($C$16/12,$C$17*12,MAX($L$229*(1-$C$15),0))*12)),0)+X367*($C$19+$C$20+$C$21)+$C$22+$C$23)</f>
        <v/>
      </c>
      <c r="I367" s="138">
        <f>IF(B367="Working",MIN(MAX(D367-E367-F367-G367-H367,0),'Tax Assumptions'!$B$20),0)</f>
        <v/>
      </c>
      <c r="J367" s="138">
        <f>IF(B367="Working",D367-E367-F367-I367-G367-H367,-L367)</f>
        <v/>
      </c>
      <c r="K367" s="137">
        <f>IF(B367="Retired",$N$229+G367+H367,0)</f>
        <v/>
      </c>
      <c r="L367" s="137">
        <f>M367+N367+O367+P367</f>
        <v/>
      </c>
      <c r="M367" s="137">
        <f>IF(B367="Retired",MIN(((Q366)*(1+$C$10)+IF(B367="Working",J367,0)),K367),0)</f>
        <v/>
      </c>
      <c r="N367" s="137">
        <f>IF(B367="Retired",MIN(MAX(K367-M367,0),((R366)*(1+$C$10)+IF(B367="Working",E102,0))),0)</f>
        <v/>
      </c>
      <c r="O367" s="137">
        <f>IF(B367="Retired",MIN(MAX(K367-M367-N367,0),((S366)*(1+$C$10)+IF(B367="Working",I367,0))),0)</f>
        <v/>
      </c>
      <c r="P367" s="137">
        <f>IF(B367="Retired",MIN(MAX(K367-M367-N367-O367,0),((T366)*(1+$C$10)+IF(B367="Working",F102,0))),0)</f>
        <v/>
      </c>
      <c r="Q367" s="138">
        <f>MAX(((Q366)*(1+$C$10)+IF(B367="Working",J367,0))-M367,0)</f>
        <v/>
      </c>
      <c r="R367" s="138">
        <f>MAX(((R366)*(1+$C$10)+IF(B367="Working",E102,0))-N367,0)</f>
        <v/>
      </c>
      <c r="S367" s="138">
        <f>MAX(((S366)*(1+$C$10)+IF(B367="Working",I367,0))-O367,0)</f>
        <v/>
      </c>
      <c r="T367" s="138">
        <f>MAX(((T366)*(1+$C$10)+IF(B367="Working",F102,0))-P367,0)</f>
        <v/>
      </c>
      <c r="U367" s="138">
        <f>Q367+R367+S367+T367</f>
        <v/>
      </c>
      <c r="V367" s="138">
        <f>IF(B367="Working",MAX(-(((Q366)*(1+$C$10)+IF(B367="Working",J367,0))),0),MAX(K367-L367,0))</f>
        <v/>
      </c>
      <c r="W367" s="138">
        <f>IF(OR(A367&gt;=$C$13,B367="Retired"),IF(V367&gt;0,-V367,U367-'Model Inputs'!$B$18),"")</f>
        <v/>
      </c>
      <c r="X367" s="138">
        <f>IF(AND($L$229&gt;0,A367&gt;=$C$13),$L$229*(1+$C$25)^(A367-$C$13),0)</f>
        <v/>
      </c>
      <c r="Y367" s="138">
        <f>IF(OR($L$229&lt;=0,$C$17&lt;=0,A367&lt;$C$13,MIN(MAX((A367-$C$13+1)*12,0),$C$17*12)&gt;=$C$17*12),0,IF($C$16=0,MAX(MAX($L$229*(1-$C$15),0)-(IF($C$17&lt;=0,0,IF($C$16=0,MAX($L$229*(1-$C$15),0)/$C$17,-PMT($C$16/12,$C$17*12,MAX($L$229*(1-$C$15),0))*12))/12)*MIN(MAX((A367-$C$13+1)*12,0),$C$17*12),0),MAX(MAX($L$229*(1-$C$15),0)*(1+$C$16/12)^MIN(MAX((A367-$C$13+1)*12,0),$C$17*12)-(IF($C$17&lt;=0,0,IF($C$16=0,MAX($L$229*(1-$C$15),0)/$C$17,-PMT($C$16/12,$C$17*12,MAX($L$229*(1-$C$15),0))*12))/12)*(((1+$C$16/12)^MIN(MAX((A367-$C$13+1)*12,0),$C$17*12)-1)/($C$16/12)),0)))</f>
        <v/>
      </c>
      <c r="Z367" s="138">
        <f>MAX(X367-Y367,0)</f>
        <v/>
      </c>
      <c r="AA367" s="139">
        <f>U367+Z367</f>
        <v/>
      </c>
      <c r="AB367" s="5" t="n"/>
      <c r="AC367" s="5" t="n"/>
      <c r="AD367" s="5" t="n"/>
      <c r="AE367" s="5" t="n"/>
      <c r="AF367" s="5" t="n"/>
      <c r="AG367" s="5" t="n"/>
    </row>
    <row r="368" outlineLevel="1" s="326">
      <c r="A368" s="140" t="n">
        <v>24</v>
      </c>
      <c r="B368" s="40">
        <f>B103</f>
        <v/>
      </c>
      <c r="C368" s="141">
        <f>D103</f>
        <v/>
      </c>
      <c r="D368" s="141">
        <f>I103</f>
        <v/>
      </c>
      <c r="E368" s="141">
        <f>J103</f>
        <v/>
      </c>
      <c r="F368" s="141">
        <f>K103</f>
        <v/>
      </c>
      <c r="G368" s="138">
        <f>IF(AND($L$229&gt;0,A368=$C$13),$L$229*($C$15+$C$18),0)+IF(AND($L$229&gt;0,A368=$C$13),$C$24,0)</f>
        <v/>
      </c>
      <c r="H368" s="138">
        <f>IF(OR($L$229&lt;=0,A368&lt;$C$13),0,IF(AND($L$229&gt;0,$C$17&gt;0,A368&gt;=$C$13,A368&lt;($C$13+$C$17)),IF($C$17&lt;=0,0,IF($C$16=0,MAX($L$229*(1-$C$15),0)/$C$17,-PMT($C$16/12,$C$17*12,MAX($L$229*(1-$C$15),0))*12)),0)+X368*($C$19+$C$20+$C$21)+$C$22+$C$23)</f>
        <v/>
      </c>
      <c r="I368" s="138">
        <f>IF(B368="Working",MIN(MAX(D368-E368-F368-G368-H368,0),'Tax Assumptions'!$B$20),0)</f>
        <v/>
      </c>
      <c r="J368" s="138">
        <f>IF(B368="Working",D368-E368-F368-I368-G368-H368,-L368)</f>
        <v/>
      </c>
      <c r="K368" s="141">
        <f>IF(B368="Retired",$N$229+G368+H368,0)</f>
        <v/>
      </c>
      <c r="L368" s="141">
        <f>M368+N368+O368+P368</f>
        <v/>
      </c>
      <c r="M368" s="141">
        <f>IF(B368="Retired",MIN(((Q367)*(1+$C$10)+IF(B368="Working",J368,0)),K368),0)</f>
        <v/>
      </c>
      <c r="N368" s="141">
        <f>IF(B368="Retired",MIN(MAX(K368-M368,0),((R367)*(1+$C$10)+IF(B368="Working",E103,0))),0)</f>
        <v/>
      </c>
      <c r="O368" s="141">
        <f>IF(B368="Retired",MIN(MAX(K368-M368-N368,0),((S367)*(1+$C$10)+IF(B368="Working",I368,0))),0)</f>
        <v/>
      </c>
      <c r="P368" s="141">
        <f>IF(B368="Retired",MIN(MAX(K368-M368-N368-O368,0),((T367)*(1+$C$10)+IF(B368="Working",F103,0))),0)</f>
        <v/>
      </c>
      <c r="Q368" s="138">
        <f>MAX(((Q367)*(1+$C$10)+IF(B368="Working",J368,0))-M368,0)</f>
        <v/>
      </c>
      <c r="R368" s="138">
        <f>MAX(((R367)*(1+$C$10)+IF(B368="Working",E103,0))-N368,0)</f>
        <v/>
      </c>
      <c r="S368" s="138">
        <f>MAX(((S367)*(1+$C$10)+IF(B368="Working",I368,0))-O368,0)</f>
        <v/>
      </c>
      <c r="T368" s="138">
        <f>MAX(((T367)*(1+$C$10)+IF(B368="Working",F103,0))-P368,0)</f>
        <v/>
      </c>
      <c r="U368" s="138">
        <f>Q368+R368+S368+T368</f>
        <v/>
      </c>
      <c r="V368" s="138">
        <f>IF(B368="Working",MAX(-(((Q367)*(1+$C$10)+IF(B368="Working",J368,0))),0),MAX(K368-L368,0))</f>
        <v/>
      </c>
      <c r="W368" s="138">
        <f>IF(OR(A368&gt;=$C$13,B368="Retired"),IF(V368&gt;0,-V368,U368-'Model Inputs'!$B$18),"")</f>
        <v/>
      </c>
      <c r="X368" s="138">
        <f>IF(AND($L$229&gt;0,A368&gt;=$C$13),$L$229*(1+$C$25)^(A368-$C$13),0)</f>
        <v/>
      </c>
      <c r="Y368" s="138">
        <f>IF(OR($L$229&lt;=0,$C$17&lt;=0,A368&lt;$C$13,MIN(MAX((A368-$C$13+1)*12,0),$C$17*12)&gt;=$C$17*12),0,IF($C$16=0,MAX(MAX($L$229*(1-$C$15),0)-(IF($C$17&lt;=0,0,IF($C$16=0,MAX($L$229*(1-$C$15),0)/$C$17,-PMT($C$16/12,$C$17*12,MAX($L$229*(1-$C$15),0))*12))/12)*MIN(MAX((A368-$C$13+1)*12,0),$C$17*12),0),MAX(MAX($L$229*(1-$C$15),0)*(1+$C$16/12)^MIN(MAX((A368-$C$13+1)*12,0),$C$17*12)-(IF($C$17&lt;=0,0,IF($C$16=0,MAX($L$229*(1-$C$15),0)/$C$17,-PMT($C$16/12,$C$17*12,MAX($L$229*(1-$C$15),0))*12))/12)*(((1+$C$16/12)^MIN(MAX((A368-$C$13+1)*12,0),$C$17*12)-1)/($C$16/12)),0)))</f>
        <v/>
      </c>
      <c r="Z368" s="138">
        <f>MAX(X368-Y368,0)</f>
        <v/>
      </c>
      <c r="AA368" s="142">
        <f>U368+Z368</f>
        <v/>
      </c>
      <c r="AB368" s="5" t="n"/>
      <c r="AC368" s="5" t="n"/>
      <c r="AD368" s="5" t="n"/>
      <c r="AE368" s="5" t="n"/>
      <c r="AF368" s="5" t="n"/>
      <c r="AG368" s="5" t="n"/>
    </row>
    <row r="369" outlineLevel="1" s="326">
      <c r="A369" s="136" t="n">
        <v>25</v>
      </c>
      <c r="B369" s="72">
        <f>B104</f>
        <v/>
      </c>
      <c r="C369" s="137">
        <f>D104</f>
        <v/>
      </c>
      <c r="D369" s="137">
        <f>I104</f>
        <v/>
      </c>
      <c r="E369" s="137">
        <f>J104</f>
        <v/>
      </c>
      <c r="F369" s="137">
        <f>K104</f>
        <v/>
      </c>
      <c r="G369" s="138">
        <f>IF(AND($L$229&gt;0,A369=$C$13),$L$229*($C$15+$C$18),0)+IF(AND($L$229&gt;0,A369=$C$13),$C$24,0)</f>
        <v/>
      </c>
      <c r="H369" s="138">
        <f>IF(OR($L$229&lt;=0,A369&lt;$C$13),0,IF(AND($L$229&gt;0,$C$17&gt;0,A369&gt;=$C$13,A369&lt;($C$13+$C$17)),IF($C$17&lt;=0,0,IF($C$16=0,MAX($L$229*(1-$C$15),0)/$C$17,-PMT($C$16/12,$C$17*12,MAX($L$229*(1-$C$15),0))*12)),0)+X369*($C$19+$C$20+$C$21)+$C$22+$C$23)</f>
        <v/>
      </c>
      <c r="I369" s="138">
        <f>IF(B369="Working",MIN(MAX(D369-E369-F369-G369-H369,0),'Tax Assumptions'!$B$20),0)</f>
        <v/>
      </c>
      <c r="J369" s="138">
        <f>IF(B369="Working",D369-E369-F369-I369-G369-H369,-L369)</f>
        <v/>
      </c>
      <c r="K369" s="137">
        <f>IF(B369="Retired",$N$229+G369+H369,0)</f>
        <v/>
      </c>
      <c r="L369" s="137">
        <f>M369+N369+O369+P369</f>
        <v/>
      </c>
      <c r="M369" s="137">
        <f>IF(B369="Retired",MIN(((Q368)*(1+$C$10)+IF(B369="Working",J369,0)),K369),0)</f>
        <v/>
      </c>
      <c r="N369" s="137">
        <f>IF(B369="Retired",MIN(MAX(K369-M369,0),((R368)*(1+$C$10)+IF(B369="Working",E104,0))),0)</f>
        <v/>
      </c>
      <c r="O369" s="137">
        <f>IF(B369="Retired",MIN(MAX(K369-M369-N369,0),((S368)*(1+$C$10)+IF(B369="Working",I369,0))),0)</f>
        <v/>
      </c>
      <c r="P369" s="137">
        <f>IF(B369="Retired",MIN(MAX(K369-M369-N369-O369,0),((T368)*(1+$C$10)+IF(B369="Working",F104,0))),0)</f>
        <v/>
      </c>
      <c r="Q369" s="138">
        <f>MAX(((Q368)*(1+$C$10)+IF(B369="Working",J369,0))-M369,0)</f>
        <v/>
      </c>
      <c r="R369" s="138">
        <f>MAX(((R368)*(1+$C$10)+IF(B369="Working",E104,0))-N369,0)</f>
        <v/>
      </c>
      <c r="S369" s="138">
        <f>MAX(((S368)*(1+$C$10)+IF(B369="Working",I369,0))-O369,0)</f>
        <v/>
      </c>
      <c r="T369" s="138">
        <f>MAX(((T368)*(1+$C$10)+IF(B369="Working",F104,0))-P369,0)</f>
        <v/>
      </c>
      <c r="U369" s="138">
        <f>Q369+R369+S369+T369</f>
        <v/>
      </c>
      <c r="V369" s="138">
        <f>IF(B369="Working",MAX(-(((Q368)*(1+$C$10)+IF(B369="Working",J369,0))),0),MAX(K369-L369,0))</f>
        <v/>
      </c>
      <c r="W369" s="138">
        <f>IF(OR(A369&gt;=$C$13,B369="Retired"),IF(V369&gt;0,-V369,U369-'Model Inputs'!$B$18),"")</f>
        <v/>
      </c>
      <c r="X369" s="138">
        <f>IF(AND($L$229&gt;0,A369&gt;=$C$13),$L$229*(1+$C$25)^(A369-$C$13),0)</f>
        <v/>
      </c>
      <c r="Y369" s="138">
        <f>IF(OR($L$229&lt;=0,$C$17&lt;=0,A369&lt;$C$13,MIN(MAX((A369-$C$13+1)*12,0),$C$17*12)&gt;=$C$17*12),0,IF($C$16=0,MAX(MAX($L$229*(1-$C$15),0)-(IF($C$17&lt;=0,0,IF($C$16=0,MAX($L$229*(1-$C$15),0)/$C$17,-PMT($C$16/12,$C$17*12,MAX($L$229*(1-$C$15),0))*12))/12)*MIN(MAX((A369-$C$13+1)*12,0),$C$17*12),0),MAX(MAX($L$229*(1-$C$15),0)*(1+$C$16/12)^MIN(MAX((A369-$C$13+1)*12,0),$C$17*12)-(IF($C$17&lt;=0,0,IF($C$16=0,MAX($L$229*(1-$C$15),0)/$C$17,-PMT($C$16/12,$C$17*12,MAX($L$229*(1-$C$15),0))*12))/12)*(((1+$C$16/12)^MIN(MAX((A369-$C$13+1)*12,0),$C$17*12)-1)/($C$16/12)),0)))</f>
        <v/>
      </c>
      <c r="Z369" s="138">
        <f>MAX(X369-Y369,0)</f>
        <v/>
      </c>
      <c r="AA369" s="139">
        <f>U369+Z369</f>
        <v/>
      </c>
      <c r="AB369" s="5" t="n"/>
      <c r="AC369" s="5" t="n"/>
      <c r="AD369" s="5" t="n"/>
      <c r="AE369" s="5" t="n"/>
      <c r="AF369" s="5" t="n"/>
      <c r="AG369" s="5" t="n"/>
    </row>
    <row r="370" outlineLevel="1" s="326">
      <c r="A370" s="140" t="n">
        <v>26</v>
      </c>
      <c r="B370" s="40">
        <f>B105</f>
        <v/>
      </c>
      <c r="C370" s="141">
        <f>D105</f>
        <v/>
      </c>
      <c r="D370" s="141">
        <f>I105</f>
        <v/>
      </c>
      <c r="E370" s="141">
        <f>J105</f>
        <v/>
      </c>
      <c r="F370" s="141">
        <f>K105</f>
        <v/>
      </c>
      <c r="G370" s="138">
        <f>IF(AND($L$229&gt;0,A370=$C$13),$L$229*($C$15+$C$18),0)+IF(AND($L$229&gt;0,A370=$C$13),$C$24,0)</f>
        <v/>
      </c>
      <c r="H370" s="138">
        <f>IF(OR($L$229&lt;=0,A370&lt;$C$13),0,IF(AND($L$229&gt;0,$C$17&gt;0,A370&gt;=$C$13,A370&lt;($C$13+$C$17)),IF($C$17&lt;=0,0,IF($C$16=0,MAX($L$229*(1-$C$15),0)/$C$17,-PMT($C$16/12,$C$17*12,MAX($L$229*(1-$C$15),0))*12)),0)+X370*($C$19+$C$20+$C$21)+$C$22+$C$23)</f>
        <v/>
      </c>
      <c r="I370" s="138">
        <f>IF(B370="Working",MIN(MAX(D370-E370-F370-G370-H370,0),'Tax Assumptions'!$B$20),0)</f>
        <v/>
      </c>
      <c r="J370" s="138">
        <f>IF(B370="Working",D370-E370-F370-I370-G370-H370,-L370)</f>
        <v/>
      </c>
      <c r="K370" s="141">
        <f>IF(B370="Retired",$N$229+G370+H370,0)</f>
        <v/>
      </c>
      <c r="L370" s="141">
        <f>M370+N370+O370+P370</f>
        <v/>
      </c>
      <c r="M370" s="141">
        <f>IF(B370="Retired",MIN(((Q369)*(1+$C$10)+IF(B370="Working",J370,0)),K370),0)</f>
        <v/>
      </c>
      <c r="N370" s="141">
        <f>IF(B370="Retired",MIN(MAX(K370-M370,0),((R369)*(1+$C$10)+IF(B370="Working",E105,0))),0)</f>
        <v/>
      </c>
      <c r="O370" s="141">
        <f>IF(B370="Retired",MIN(MAX(K370-M370-N370,0),((S369)*(1+$C$10)+IF(B370="Working",I370,0))),0)</f>
        <v/>
      </c>
      <c r="P370" s="141">
        <f>IF(B370="Retired",MIN(MAX(K370-M370-N370-O370,0),((T369)*(1+$C$10)+IF(B370="Working",F105,0))),0)</f>
        <v/>
      </c>
      <c r="Q370" s="138">
        <f>MAX(((Q369)*(1+$C$10)+IF(B370="Working",J370,0))-M370,0)</f>
        <v/>
      </c>
      <c r="R370" s="138">
        <f>MAX(((R369)*(1+$C$10)+IF(B370="Working",E105,0))-N370,0)</f>
        <v/>
      </c>
      <c r="S370" s="138">
        <f>MAX(((S369)*(1+$C$10)+IF(B370="Working",I370,0))-O370,0)</f>
        <v/>
      </c>
      <c r="T370" s="138">
        <f>MAX(((T369)*(1+$C$10)+IF(B370="Working",F105,0))-P370,0)</f>
        <v/>
      </c>
      <c r="U370" s="138">
        <f>Q370+R370+S370+T370</f>
        <v/>
      </c>
      <c r="V370" s="138">
        <f>IF(B370="Working",MAX(-(((Q369)*(1+$C$10)+IF(B370="Working",J370,0))),0),MAX(K370-L370,0))</f>
        <v/>
      </c>
      <c r="W370" s="138">
        <f>IF(OR(A370&gt;=$C$13,B370="Retired"),IF(V370&gt;0,-V370,U370-'Model Inputs'!$B$18),"")</f>
        <v/>
      </c>
      <c r="X370" s="138">
        <f>IF(AND($L$229&gt;0,A370&gt;=$C$13),$L$229*(1+$C$25)^(A370-$C$13),0)</f>
        <v/>
      </c>
      <c r="Y370" s="138">
        <f>IF(OR($L$229&lt;=0,$C$17&lt;=0,A370&lt;$C$13,MIN(MAX((A370-$C$13+1)*12,0),$C$17*12)&gt;=$C$17*12),0,IF($C$16=0,MAX(MAX($L$229*(1-$C$15),0)-(IF($C$17&lt;=0,0,IF($C$16=0,MAX($L$229*(1-$C$15),0)/$C$17,-PMT($C$16/12,$C$17*12,MAX($L$229*(1-$C$15),0))*12))/12)*MIN(MAX((A370-$C$13+1)*12,0),$C$17*12),0),MAX(MAX($L$229*(1-$C$15),0)*(1+$C$16/12)^MIN(MAX((A370-$C$13+1)*12,0),$C$17*12)-(IF($C$17&lt;=0,0,IF($C$16=0,MAX($L$229*(1-$C$15),0)/$C$17,-PMT($C$16/12,$C$17*12,MAX($L$229*(1-$C$15),0))*12))/12)*(((1+$C$16/12)^MIN(MAX((A370-$C$13+1)*12,0),$C$17*12)-1)/($C$16/12)),0)))</f>
        <v/>
      </c>
      <c r="Z370" s="138">
        <f>MAX(X370-Y370,0)</f>
        <v/>
      </c>
      <c r="AA370" s="142">
        <f>U370+Z370</f>
        <v/>
      </c>
      <c r="AB370" s="5" t="n"/>
      <c r="AC370" s="5" t="n"/>
      <c r="AD370" s="5" t="n"/>
      <c r="AE370" s="5" t="n"/>
      <c r="AF370" s="5" t="n"/>
      <c r="AG370" s="5" t="n"/>
    </row>
    <row r="371" outlineLevel="1" s="326">
      <c r="A371" s="136" t="n">
        <v>27</v>
      </c>
      <c r="B371" s="72">
        <f>B106</f>
        <v/>
      </c>
      <c r="C371" s="137">
        <f>D106</f>
        <v/>
      </c>
      <c r="D371" s="137">
        <f>I106</f>
        <v/>
      </c>
      <c r="E371" s="137">
        <f>J106</f>
        <v/>
      </c>
      <c r="F371" s="137">
        <f>K106</f>
        <v/>
      </c>
      <c r="G371" s="138">
        <f>IF(AND($L$229&gt;0,A371=$C$13),$L$229*($C$15+$C$18),0)+IF(AND($L$229&gt;0,A371=$C$13),$C$24,0)</f>
        <v/>
      </c>
      <c r="H371" s="138">
        <f>IF(OR($L$229&lt;=0,A371&lt;$C$13),0,IF(AND($L$229&gt;0,$C$17&gt;0,A371&gt;=$C$13,A371&lt;($C$13+$C$17)),IF($C$17&lt;=0,0,IF($C$16=0,MAX($L$229*(1-$C$15),0)/$C$17,-PMT($C$16/12,$C$17*12,MAX($L$229*(1-$C$15),0))*12)),0)+X371*($C$19+$C$20+$C$21)+$C$22+$C$23)</f>
        <v/>
      </c>
      <c r="I371" s="138">
        <f>IF(B371="Working",MIN(MAX(D371-E371-F371-G371-H371,0),'Tax Assumptions'!$B$20),0)</f>
        <v/>
      </c>
      <c r="J371" s="138">
        <f>IF(B371="Working",D371-E371-F371-I371-G371-H371,-L371)</f>
        <v/>
      </c>
      <c r="K371" s="137">
        <f>IF(B371="Retired",$N$229+G371+H371,0)</f>
        <v/>
      </c>
      <c r="L371" s="137">
        <f>M371+N371+O371+P371</f>
        <v/>
      </c>
      <c r="M371" s="137">
        <f>IF(B371="Retired",MIN(((Q370)*(1+$C$10)+IF(B371="Working",J371,0)),K371),0)</f>
        <v/>
      </c>
      <c r="N371" s="137">
        <f>IF(B371="Retired",MIN(MAX(K371-M371,0),((R370)*(1+$C$10)+IF(B371="Working",E106,0))),0)</f>
        <v/>
      </c>
      <c r="O371" s="137">
        <f>IF(B371="Retired",MIN(MAX(K371-M371-N371,0),((S370)*(1+$C$10)+IF(B371="Working",I371,0))),0)</f>
        <v/>
      </c>
      <c r="P371" s="137">
        <f>IF(B371="Retired",MIN(MAX(K371-M371-N371-O371,0),((T370)*(1+$C$10)+IF(B371="Working",F106,0))),0)</f>
        <v/>
      </c>
      <c r="Q371" s="138">
        <f>MAX(((Q370)*(1+$C$10)+IF(B371="Working",J371,0))-M371,0)</f>
        <v/>
      </c>
      <c r="R371" s="138">
        <f>MAX(((R370)*(1+$C$10)+IF(B371="Working",E106,0))-N371,0)</f>
        <v/>
      </c>
      <c r="S371" s="138">
        <f>MAX(((S370)*(1+$C$10)+IF(B371="Working",I371,0))-O371,0)</f>
        <v/>
      </c>
      <c r="T371" s="138">
        <f>MAX(((T370)*(1+$C$10)+IF(B371="Working",F106,0))-P371,0)</f>
        <v/>
      </c>
      <c r="U371" s="138">
        <f>Q371+R371+S371+T371</f>
        <v/>
      </c>
      <c r="V371" s="138">
        <f>IF(B371="Working",MAX(-(((Q370)*(1+$C$10)+IF(B371="Working",J371,0))),0),MAX(K371-L371,0))</f>
        <v/>
      </c>
      <c r="W371" s="138">
        <f>IF(OR(A371&gt;=$C$13,B371="Retired"),IF(V371&gt;0,-V371,U371-'Model Inputs'!$B$18),"")</f>
        <v/>
      </c>
      <c r="X371" s="138">
        <f>IF(AND($L$229&gt;0,A371&gt;=$C$13),$L$229*(1+$C$25)^(A371-$C$13),0)</f>
        <v/>
      </c>
      <c r="Y371" s="138">
        <f>IF(OR($L$229&lt;=0,$C$17&lt;=0,A371&lt;$C$13,MIN(MAX((A371-$C$13+1)*12,0),$C$17*12)&gt;=$C$17*12),0,IF($C$16=0,MAX(MAX($L$229*(1-$C$15),0)-(IF($C$17&lt;=0,0,IF($C$16=0,MAX($L$229*(1-$C$15),0)/$C$17,-PMT($C$16/12,$C$17*12,MAX($L$229*(1-$C$15),0))*12))/12)*MIN(MAX((A371-$C$13+1)*12,0),$C$17*12),0),MAX(MAX($L$229*(1-$C$15),0)*(1+$C$16/12)^MIN(MAX((A371-$C$13+1)*12,0),$C$17*12)-(IF($C$17&lt;=0,0,IF($C$16=0,MAX($L$229*(1-$C$15),0)/$C$17,-PMT($C$16/12,$C$17*12,MAX($L$229*(1-$C$15),0))*12))/12)*(((1+$C$16/12)^MIN(MAX((A371-$C$13+1)*12,0),$C$17*12)-1)/($C$16/12)),0)))</f>
        <v/>
      </c>
      <c r="Z371" s="138">
        <f>MAX(X371-Y371,0)</f>
        <v/>
      </c>
      <c r="AA371" s="139">
        <f>U371+Z371</f>
        <v/>
      </c>
      <c r="AB371" s="5" t="n"/>
      <c r="AC371" s="5" t="n"/>
      <c r="AD371" s="5" t="n"/>
      <c r="AE371" s="5" t="n"/>
      <c r="AF371" s="5" t="n"/>
      <c r="AG371" s="5" t="n"/>
    </row>
    <row r="372" outlineLevel="1" s="326">
      <c r="A372" s="140" t="n">
        <v>28</v>
      </c>
      <c r="B372" s="40">
        <f>B107</f>
        <v/>
      </c>
      <c r="C372" s="141">
        <f>D107</f>
        <v/>
      </c>
      <c r="D372" s="141">
        <f>I107</f>
        <v/>
      </c>
      <c r="E372" s="141">
        <f>J107</f>
        <v/>
      </c>
      <c r="F372" s="141">
        <f>K107</f>
        <v/>
      </c>
      <c r="G372" s="138">
        <f>IF(AND($L$229&gt;0,A372=$C$13),$L$229*($C$15+$C$18),0)+IF(AND($L$229&gt;0,A372=$C$13),$C$24,0)</f>
        <v/>
      </c>
      <c r="H372" s="138">
        <f>IF(OR($L$229&lt;=0,A372&lt;$C$13),0,IF(AND($L$229&gt;0,$C$17&gt;0,A372&gt;=$C$13,A372&lt;($C$13+$C$17)),IF($C$17&lt;=0,0,IF($C$16=0,MAX($L$229*(1-$C$15),0)/$C$17,-PMT($C$16/12,$C$17*12,MAX($L$229*(1-$C$15),0))*12)),0)+X372*($C$19+$C$20+$C$21)+$C$22+$C$23)</f>
        <v/>
      </c>
      <c r="I372" s="138">
        <f>IF(B372="Working",MIN(MAX(D372-E372-F372-G372-H372,0),'Tax Assumptions'!$B$20),0)</f>
        <v/>
      </c>
      <c r="J372" s="138">
        <f>IF(B372="Working",D372-E372-F372-I372-G372-H372,-L372)</f>
        <v/>
      </c>
      <c r="K372" s="141">
        <f>IF(B372="Retired",$N$229+G372+H372,0)</f>
        <v/>
      </c>
      <c r="L372" s="141">
        <f>M372+N372+O372+P372</f>
        <v/>
      </c>
      <c r="M372" s="141">
        <f>IF(B372="Retired",MIN(((Q371)*(1+$C$10)+IF(B372="Working",J372,0)),K372),0)</f>
        <v/>
      </c>
      <c r="N372" s="141">
        <f>IF(B372="Retired",MIN(MAX(K372-M372,0),((R371)*(1+$C$10)+IF(B372="Working",E107,0))),0)</f>
        <v/>
      </c>
      <c r="O372" s="141">
        <f>IF(B372="Retired",MIN(MAX(K372-M372-N372,0),((S371)*(1+$C$10)+IF(B372="Working",I372,0))),0)</f>
        <v/>
      </c>
      <c r="P372" s="141">
        <f>IF(B372="Retired",MIN(MAX(K372-M372-N372-O372,0),((T371)*(1+$C$10)+IF(B372="Working",F107,0))),0)</f>
        <v/>
      </c>
      <c r="Q372" s="138">
        <f>MAX(((Q371)*(1+$C$10)+IF(B372="Working",J372,0))-M372,0)</f>
        <v/>
      </c>
      <c r="R372" s="138">
        <f>MAX(((R371)*(1+$C$10)+IF(B372="Working",E107,0))-N372,0)</f>
        <v/>
      </c>
      <c r="S372" s="138">
        <f>MAX(((S371)*(1+$C$10)+IF(B372="Working",I372,0))-O372,0)</f>
        <v/>
      </c>
      <c r="T372" s="138">
        <f>MAX(((T371)*(1+$C$10)+IF(B372="Working",F107,0))-P372,0)</f>
        <v/>
      </c>
      <c r="U372" s="138">
        <f>Q372+R372+S372+T372</f>
        <v/>
      </c>
      <c r="V372" s="138">
        <f>IF(B372="Working",MAX(-(((Q371)*(1+$C$10)+IF(B372="Working",J372,0))),0),MAX(K372-L372,0))</f>
        <v/>
      </c>
      <c r="W372" s="138">
        <f>IF(OR(A372&gt;=$C$13,B372="Retired"),IF(V372&gt;0,-V372,U372-'Model Inputs'!$B$18),"")</f>
        <v/>
      </c>
      <c r="X372" s="138">
        <f>IF(AND($L$229&gt;0,A372&gt;=$C$13),$L$229*(1+$C$25)^(A372-$C$13),0)</f>
        <v/>
      </c>
      <c r="Y372" s="138">
        <f>IF(OR($L$229&lt;=0,$C$17&lt;=0,A372&lt;$C$13,MIN(MAX((A372-$C$13+1)*12,0),$C$17*12)&gt;=$C$17*12),0,IF($C$16=0,MAX(MAX($L$229*(1-$C$15),0)-(IF($C$17&lt;=0,0,IF($C$16=0,MAX($L$229*(1-$C$15),0)/$C$17,-PMT($C$16/12,$C$17*12,MAX($L$229*(1-$C$15),0))*12))/12)*MIN(MAX((A372-$C$13+1)*12,0),$C$17*12),0),MAX(MAX($L$229*(1-$C$15),0)*(1+$C$16/12)^MIN(MAX((A372-$C$13+1)*12,0),$C$17*12)-(IF($C$17&lt;=0,0,IF($C$16=0,MAX($L$229*(1-$C$15),0)/$C$17,-PMT($C$16/12,$C$17*12,MAX($L$229*(1-$C$15),0))*12))/12)*(((1+$C$16/12)^MIN(MAX((A372-$C$13+1)*12,0),$C$17*12)-1)/($C$16/12)),0)))</f>
        <v/>
      </c>
      <c r="Z372" s="138">
        <f>MAX(X372-Y372,0)</f>
        <v/>
      </c>
      <c r="AA372" s="142">
        <f>U372+Z372</f>
        <v/>
      </c>
      <c r="AB372" s="5" t="n"/>
      <c r="AC372" s="5" t="n"/>
      <c r="AD372" s="5" t="n"/>
      <c r="AE372" s="5" t="n"/>
      <c r="AF372" s="5" t="n"/>
      <c r="AG372" s="5" t="n"/>
    </row>
    <row r="373" outlineLevel="1" s="326">
      <c r="A373" s="136" t="n">
        <v>29</v>
      </c>
      <c r="B373" s="72">
        <f>B108</f>
        <v/>
      </c>
      <c r="C373" s="137">
        <f>D108</f>
        <v/>
      </c>
      <c r="D373" s="137">
        <f>I108</f>
        <v/>
      </c>
      <c r="E373" s="137">
        <f>J108</f>
        <v/>
      </c>
      <c r="F373" s="137">
        <f>K108</f>
        <v/>
      </c>
      <c r="G373" s="138">
        <f>IF(AND($L$229&gt;0,A373=$C$13),$L$229*($C$15+$C$18),0)+IF(AND($L$229&gt;0,A373=$C$13),$C$24,0)</f>
        <v/>
      </c>
      <c r="H373" s="138">
        <f>IF(OR($L$229&lt;=0,A373&lt;$C$13),0,IF(AND($L$229&gt;0,$C$17&gt;0,A373&gt;=$C$13,A373&lt;($C$13+$C$17)),IF($C$17&lt;=0,0,IF($C$16=0,MAX($L$229*(1-$C$15),0)/$C$17,-PMT($C$16/12,$C$17*12,MAX($L$229*(1-$C$15),0))*12)),0)+X373*($C$19+$C$20+$C$21)+$C$22+$C$23)</f>
        <v/>
      </c>
      <c r="I373" s="138">
        <f>IF(B373="Working",MIN(MAX(D373-E373-F373-G373-H373,0),'Tax Assumptions'!$B$20),0)</f>
        <v/>
      </c>
      <c r="J373" s="138">
        <f>IF(B373="Working",D373-E373-F373-I373-G373-H373,-L373)</f>
        <v/>
      </c>
      <c r="K373" s="137">
        <f>IF(B373="Retired",$N$229+G373+H373,0)</f>
        <v/>
      </c>
      <c r="L373" s="137">
        <f>M373+N373+O373+P373</f>
        <v/>
      </c>
      <c r="M373" s="137">
        <f>IF(B373="Retired",MIN(((Q372)*(1+$C$10)+IF(B373="Working",J373,0)),K373),0)</f>
        <v/>
      </c>
      <c r="N373" s="137">
        <f>IF(B373="Retired",MIN(MAX(K373-M373,0),((R372)*(1+$C$10)+IF(B373="Working",E108,0))),0)</f>
        <v/>
      </c>
      <c r="O373" s="137">
        <f>IF(B373="Retired",MIN(MAX(K373-M373-N373,0),((S372)*(1+$C$10)+IF(B373="Working",I373,0))),0)</f>
        <v/>
      </c>
      <c r="P373" s="137">
        <f>IF(B373="Retired",MIN(MAX(K373-M373-N373-O373,0),((T372)*(1+$C$10)+IF(B373="Working",F108,0))),0)</f>
        <v/>
      </c>
      <c r="Q373" s="138">
        <f>MAX(((Q372)*(1+$C$10)+IF(B373="Working",J373,0))-M373,0)</f>
        <v/>
      </c>
      <c r="R373" s="138">
        <f>MAX(((R372)*(1+$C$10)+IF(B373="Working",E108,0))-N373,0)</f>
        <v/>
      </c>
      <c r="S373" s="138">
        <f>MAX(((S372)*(1+$C$10)+IF(B373="Working",I373,0))-O373,0)</f>
        <v/>
      </c>
      <c r="T373" s="138">
        <f>MAX(((T372)*(1+$C$10)+IF(B373="Working",F108,0))-P373,0)</f>
        <v/>
      </c>
      <c r="U373" s="138">
        <f>Q373+R373+S373+T373</f>
        <v/>
      </c>
      <c r="V373" s="138">
        <f>IF(B373="Working",MAX(-(((Q372)*(1+$C$10)+IF(B373="Working",J373,0))),0),MAX(K373-L373,0))</f>
        <v/>
      </c>
      <c r="W373" s="138">
        <f>IF(OR(A373&gt;=$C$13,B373="Retired"),IF(V373&gt;0,-V373,U373-'Model Inputs'!$B$18),"")</f>
        <v/>
      </c>
      <c r="X373" s="138">
        <f>IF(AND($L$229&gt;0,A373&gt;=$C$13),$L$229*(1+$C$25)^(A373-$C$13),0)</f>
        <v/>
      </c>
      <c r="Y373" s="138">
        <f>IF(OR($L$229&lt;=0,$C$17&lt;=0,A373&lt;$C$13,MIN(MAX((A373-$C$13+1)*12,0),$C$17*12)&gt;=$C$17*12),0,IF($C$16=0,MAX(MAX($L$229*(1-$C$15),0)-(IF($C$17&lt;=0,0,IF($C$16=0,MAX($L$229*(1-$C$15),0)/$C$17,-PMT($C$16/12,$C$17*12,MAX($L$229*(1-$C$15),0))*12))/12)*MIN(MAX((A373-$C$13+1)*12,0),$C$17*12),0),MAX(MAX($L$229*(1-$C$15),0)*(1+$C$16/12)^MIN(MAX((A373-$C$13+1)*12,0),$C$17*12)-(IF($C$17&lt;=0,0,IF($C$16=0,MAX($L$229*(1-$C$15),0)/$C$17,-PMT($C$16/12,$C$17*12,MAX($L$229*(1-$C$15),0))*12))/12)*(((1+$C$16/12)^MIN(MAX((A373-$C$13+1)*12,0),$C$17*12)-1)/($C$16/12)),0)))</f>
        <v/>
      </c>
      <c r="Z373" s="138">
        <f>MAX(X373-Y373,0)</f>
        <v/>
      </c>
      <c r="AA373" s="139">
        <f>U373+Z373</f>
        <v/>
      </c>
      <c r="AB373" s="5" t="n"/>
      <c r="AC373" s="5" t="n"/>
      <c r="AD373" s="5" t="n"/>
      <c r="AE373" s="5" t="n"/>
      <c r="AF373" s="5" t="n"/>
      <c r="AG373" s="5" t="n"/>
    </row>
    <row r="374" outlineLevel="1" s="326">
      <c r="A374" s="140" t="n">
        <v>30</v>
      </c>
      <c r="B374" s="40">
        <f>B109</f>
        <v/>
      </c>
      <c r="C374" s="141">
        <f>D109</f>
        <v/>
      </c>
      <c r="D374" s="141">
        <f>I109</f>
        <v/>
      </c>
      <c r="E374" s="141">
        <f>J109</f>
        <v/>
      </c>
      <c r="F374" s="141">
        <f>K109</f>
        <v/>
      </c>
      <c r="G374" s="138">
        <f>IF(AND($L$229&gt;0,A374=$C$13),$L$229*($C$15+$C$18),0)+IF(AND($L$229&gt;0,A374=$C$13),$C$24,0)</f>
        <v/>
      </c>
      <c r="H374" s="138">
        <f>IF(OR($L$229&lt;=0,A374&lt;$C$13),0,IF(AND($L$229&gt;0,$C$17&gt;0,A374&gt;=$C$13,A374&lt;($C$13+$C$17)),IF($C$17&lt;=0,0,IF($C$16=0,MAX($L$229*(1-$C$15),0)/$C$17,-PMT($C$16/12,$C$17*12,MAX($L$229*(1-$C$15),0))*12)),0)+X374*($C$19+$C$20+$C$21)+$C$22+$C$23)</f>
        <v/>
      </c>
      <c r="I374" s="138">
        <f>IF(B374="Working",MIN(MAX(D374-E374-F374-G374-H374,0),'Tax Assumptions'!$B$20),0)</f>
        <v/>
      </c>
      <c r="J374" s="138">
        <f>IF(B374="Working",D374-E374-F374-I374-G374-H374,-L374)</f>
        <v/>
      </c>
      <c r="K374" s="141">
        <f>IF(B374="Retired",$N$229+G374+H374,0)</f>
        <v/>
      </c>
      <c r="L374" s="141">
        <f>M374+N374+O374+P374</f>
        <v/>
      </c>
      <c r="M374" s="141">
        <f>IF(B374="Retired",MIN(((Q373)*(1+$C$10)+IF(B374="Working",J374,0)),K374),0)</f>
        <v/>
      </c>
      <c r="N374" s="141">
        <f>IF(B374="Retired",MIN(MAX(K374-M374,0),((R373)*(1+$C$10)+IF(B374="Working",E109,0))),0)</f>
        <v/>
      </c>
      <c r="O374" s="141">
        <f>IF(B374="Retired",MIN(MAX(K374-M374-N374,0),((S373)*(1+$C$10)+IF(B374="Working",I374,0))),0)</f>
        <v/>
      </c>
      <c r="P374" s="141">
        <f>IF(B374="Retired",MIN(MAX(K374-M374-N374-O374,0),((T373)*(1+$C$10)+IF(B374="Working",F109,0))),0)</f>
        <v/>
      </c>
      <c r="Q374" s="138">
        <f>MAX(((Q373)*(1+$C$10)+IF(B374="Working",J374,0))-M374,0)</f>
        <v/>
      </c>
      <c r="R374" s="138">
        <f>MAX(((R373)*(1+$C$10)+IF(B374="Working",E109,0))-N374,0)</f>
        <v/>
      </c>
      <c r="S374" s="138">
        <f>MAX(((S373)*(1+$C$10)+IF(B374="Working",I374,0))-O374,0)</f>
        <v/>
      </c>
      <c r="T374" s="138">
        <f>MAX(((T373)*(1+$C$10)+IF(B374="Working",F109,0))-P374,0)</f>
        <v/>
      </c>
      <c r="U374" s="138">
        <f>Q374+R374+S374+T374</f>
        <v/>
      </c>
      <c r="V374" s="138">
        <f>IF(B374="Working",MAX(-(((Q373)*(1+$C$10)+IF(B374="Working",J374,0))),0),MAX(K374-L374,0))</f>
        <v/>
      </c>
      <c r="W374" s="138">
        <f>IF(OR(A374&gt;=$C$13,B374="Retired"),IF(V374&gt;0,-V374,U374-'Model Inputs'!$B$18),"")</f>
        <v/>
      </c>
      <c r="X374" s="138">
        <f>IF(AND($L$229&gt;0,A374&gt;=$C$13),$L$229*(1+$C$25)^(A374-$C$13),0)</f>
        <v/>
      </c>
      <c r="Y374" s="138">
        <f>IF(OR($L$229&lt;=0,$C$17&lt;=0,A374&lt;$C$13,MIN(MAX((A374-$C$13+1)*12,0),$C$17*12)&gt;=$C$17*12),0,IF($C$16=0,MAX(MAX($L$229*(1-$C$15),0)-(IF($C$17&lt;=0,0,IF($C$16=0,MAX($L$229*(1-$C$15),0)/$C$17,-PMT($C$16/12,$C$17*12,MAX($L$229*(1-$C$15),0))*12))/12)*MIN(MAX((A374-$C$13+1)*12,0),$C$17*12),0),MAX(MAX($L$229*(1-$C$15),0)*(1+$C$16/12)^MIN(MAX((A374-$C$13+1)*12,0),$C$17*12)-(IF($C$17&lt;=0,0,IF($C$16=0,MAX($L$229*(1-$C$15),0)/$C$17,-PMT($C$16/12,$C$17*12,MAX($L$229*(1-$C$15),0))*12))/12)*(((1+$C$16/12)^MIN(MAX((A374-$C$13+1)*12,0),$C$17*12)-1)/($C$16/12)),0)))</f>
        <v/>
      </c>
      <c r="Z374" s="138">
        <f>MAX(X374-Y374,0)</f>
        <v/>
      </c>
      <c r="AA374" s="142">
        <f>U374+Z374</f>
        <v/>
      </c>
      <c r="AB374" s="5" t="n"/>
      <c r="AC374" s="5" t="n"/>
      <c r="AD374" s="5" t="n"/>
      <c r="AE374" s="5" t="n"/>
      <c r="AF374" s="5" t="n"/>
      <c r="AG374" s="5" t="n"/>
    </row>
    <row r="375" outlineLevel="1" s="326">
      <c r="A375" s="136" t="n">
        <v>31</v>
      </c>
      <c r="B375" s="72">
        <f>B110</f>
        <v/>
      </c>
      <c r="C375" s="137">
        <f>D110</f>
        <v/>
      </c>
      <c r="D375" s="137">
        <f>I110</f>
        <v/>
      </c>
      <c r="E375" s="137">
        <f>J110</f>
        <v/>
      </c>
      <c r="F375" s="137">
        <f>K110</f>
        <v/>
      </c>
      <c r="G375" s="138">
        <f>IF(AND($L$229&gt;0,A375=$C$13),$L$229*($C$15+$C$18),0)+IF(AND($L$229&gt;0,A375=$C$13),$C$24,0)</f>
        <v/>
      </c>
      <c r="H375" s="138">
        <f>IF(OR($L$229&lt;=0,A375&lt;$C$13),0,IF(AND($L$229&gt;0,$C$17&gt;0,A375&gt;=$C$13,A375&lt;($C$13+$C$17)),IF($C$17&lt;=0,0,IF($C$16=0,MAX($L$229*(1-$C$15),0)/$C$17,-PMT($C$16/12,$C$17*12,MAX($L$229*(1-$C$15),0))*12)),0)+X375*($C$19+$C$20+$C$21)+$C$22+$C$23)</f>
        <v/>
      </c>
      <c r="I375" s="138">
        <f>IF(B375="Working",MIN(MAX(D375-E375-F375-G375-H375,0),'Tax Assumptions'!$B$20),0)</f>
        <v/>
      </c>
      <c r="J375" s="138">
        <f>IF(B375="Working",D375-E375-F375-I375-G375-H375,-L375)</f>
        <v/>
      </c>
      <c r="K375" s="137">
        <f>IF(B375="Retired",$N$229+G375+H375,0)</f>
        <v/>
      </c>
      <c r="L375" s="137">
        <f>M375+N375+O375+P375</f>
        <v/>
      </c>
      <c r="M375" s="137">
        <f>IF(B375="Retired",MIN(((Q374)*(1+$C$10)+IF(B375="Working",J375,0)),K375),0)</f>
        <v/>
      </c>
      <c r="N375" s="137">
        <f>IF(B375="Retired",MIN(MAX(K375-M375,0),((R374)*(1+$C$10)+IF(B375="Working",E110,0))),0)</f>
        <v/>
      </c>
      <c r="O375" s="137">
        <f>IF(B375="Retired",MIN(MAX(K375-M375-N375,0),((S374)*(1+$C$10)+IF(B375="Working",I375,0))),0)</f>
        <v/>
      </c>
      <c r="P375" s="137">
        <f>IF(B375="Retired",MIN(MAX(K375-M375-N375-O375,0),((T374)*(1+$C$10)+IF(B375="Working",F110,0))),0)</f>
        <v/>
      </c>
      <c r="Q375" s="138">
        <f>MAX(((Q374)*(1+$C$10)+IF(B375="Working",J375,0))-M375,0)</f>
        <v/>
      </c>
      <c r="R375" s="138">
        <f>MAX(((R374)*(1+$C$10)+IF(B375="Working",E110,0))-N375,0)</f>
        <v/>
      </c>
      <c r="S375" s="138">
        <f>MAX(((S374)*(1+$C$10)+IF(B375="Working",I375,0))-O375,0)</f>
        <v/>
      </c>
      <c r="T375" s="138">
        <f>MAX(((T374)*(1+$C$10)+IF(B375="Working",F110,0))-P375,0)</f>
        <v/>
      </c>
      <c r="U375" s="138">
        <f>Q375+R375+S375+T375</f>
        <v/>
      </c>
      <c r="V375" s="138">
        <f>IF(B375="Working",MAX(-(((Q374)*(1+$C$10)+IF(B375="Working",J375,0))),0),MAX(K375-L375,0))</f>
        <v/>
      </c>
      <c r="W375" s="138">
        <f>IF(OR(A375&gt;=$C$13,B375="Retired"),IF(V375&gt;0,-V375,U375-'Model Inputs'!$B$18),"")</f>
        <v/>
      </c>
      <c r="X375" s="138">
        <f>IF(AND($L$229&gt;0,A375&gt;=$C$13),$L$229*(1+$C$25)^(A375-$C$13),0)</f>
        <v/>
      </c>
      <c r="Y375" s="138">
        <f>IF(OR($L$229&lt;=0,$C$17&lt;=0,A375&lt;$C$13,MIN(MAX((A375-$C$13+1)*12,0),$C$17*12)&gt;=$C$17*12),0,IF($C$16=0,MAX(MAX($L$229*(1-$C$15),0)-(IF($C$17&lt;=0,0,IF($C$16=0,MAX($L$229*(1-$C$15),0)/$C$17,-PMT($C$16/12,$C$17*12,MAX($L$229*(1-$C$15),0))*12))/12)*MIN(MAX((A375-$C$13+1)*12,0),$C$17*12),0),MAX(MAX($L$229*(1-$C$15),0)*(1+$C$16/12)^MIN(MAX((A375-$C$13+1)*12,0),$C$17*12)-(IF($C$17&lt;=0,0,IF($C$16=0,MAX($L$229*(1-$C$15),0)/$C$17,-PMT($C$16/12,$C$17*12,MAX($L$229*(1-$C$15),0))*12))/12)*(((1+$C$16/12)^MIN(MAX((A375-$C$13+1)*12,0),$C$17*12)-1)/($C$16/12)),0)))</f>
        <v/>
      </c>
      <c r="Z375" s="138">
        <f>MAX(X375-Y375,0)</f>
        <v/>
      </c>
      <c r="AA375" s="139">
        <f>U375+Z375</f>
        <v/>
      </c>
      <c r="AB375" s="5" t="n"/>
      <c r="AC375" s="5" t="n"/>
      <c r="AD375" s="5" t="n"/>
      <c r="AE375" s="5" t="n"/>
      <c r="AF375" s="5" t="n"/>
      <c r="AG375" s="5" t="n"/>
    </row>
    <row r="376" outlineLevel="1" s="326">
      <c r="A376" s="140" t="n">
        <v>32</v>
      </c>
      <c r="B376" s="40">
        <f>B111</f>
        <v/>
      </c>
      <c r="C376" s="141">
        <f>D111</f>
        <v/>
      </c>
      <c r="D376" s="141">
        <f>I111</f>
        <v/>
      </c>
      <c r="E376" s="141">
        <f>J111</f>
        <v/>
      </c>
      <c r="F376" s="141">
        <f>K111</f>
        <v/>
      </c>
      <c r="G376" s="138">
        <f>IF(AND($L$229&gt;0,A376=$C$13),$L$229*($C$15+$C$18),0)+IF(AND($L$229&gt;0,A376=$C$13),$C$24,0)</f>
        <v/>
      </c>
      <c r="H376" s="138">
        <f>IF(OR($L$229&lt;=0,A376&lt;$C$13),0,IF(AND($L$229&gt;0,$C$17&gt;0,A376&gt;=$C$13,A376&lt;($C$13+$C$17)),IF($C$17&lt;=0,0,IF($C$16=0,MAX($L$229*(1-$C$15),0)/$C$17,-PMT($C$16/12,$C$17*12,MAX($L$229*(1-$C$15),0))*12)),0)+X376*($C$19+$C$20+$C$21)+$C$22+$C$23)</f>
        <v/>
      </c>
      <c r="I376" s="138">
        <f>IF(B376="Working",MIN(MAX(D376-E376-F376-G376-H376,0),'Tax Assumptions'!$B$20),0)</f>
        <v/>
      </c>
      <c r="J376" s="138">
        <f>IF(B376="Working",D376-E376-F376-I376-G376-H376,-L376)</f>
        <v/>
      </c>
      <c r="K376" s="141">
        <f>IF(B376="Retired",$N$229+G376+H376,0)</f>
        <v/>
      </c>
      <c r="L376" s="141">
        <f>M376+N376+O376+P376</f>
        <v/>
      </c>
      <c r="M376" s="141">
        <f>IF(B376="Retired",MIN(((Q375)*(1+$C$10)+IF(B376="Working",J376,0)),K376),0)</f>
        <v/>
      </c>
      <c r="N376" s="141">
        <f>IF(B376="Retired",MIN(MAX(K376-M376,0),((R375)*(1+$C$10)+IF(B376="Working",E111,0))),0)</f>
        <v/>
      </c>
      <c r="O376" s="141">
        <f>IF(B376="Retired",MIN(MAX(K376-M376-N376,0),((S375)*(1+$C$10)+IF(B376="Working",I376,0))),0)</f>
        <v/>
      </c>
      <c r="P376" s="141">
        <f>IF(B376="Retired",MIN(MAX(K376-M376-N376-O376,0),((T375)*(1+$C$10)+IF(B376="Working",F111,0))),0)</f>
        <v/>
      </c>
      <c r="Q376" s="138">
        <f>MAX(((Q375)*(1+$C$10)+IF(B376="Working",J376,0))-M376,0)</f>
        <v/>
      </c>
      <c r="R376" s="138">
        <f>MAX(((R375)*(1+$C$10)+IF(B376="Working",E111,0))-N376,0)</f>
        <v/>
      </c>
      <c r="S376" s="138">
        <f>MAX(((S375)*(1+$C$10)+IF(B376="Working",I376,0))-O376,0)</f>
        <v/>
      </c>
      <c r="T376" s="138">
        <f>MAX(((T375)*(1+$C$10)+IF(B376="Working",F111,0))-P376,0)</f>
        <v/>
      </c>
      <c r="U376" s="138">
        <f>Q376+R376+S376+T376</f>
        <v/>
      </c>
      <c r="V376" s="138">
        <f>IF(B376="Working",MAX(-(((Q375)*(1+$C$10)+IF(B376="Working",J376,0))),0),MAX(K376-L376,0))</f>
        <v/>
      </c>
      <c r="W376" s="138">
        <f>IF(OR(A376&gt;=$C$13,B376="Retired"),IF(V376&gt;0,-V376,U376-'Model Inputs'!$B$18),"")</f>
        <v/>
      </c>
      <c r="X376" s="138">
        <f>IF(AND($L$229&gt;0,A376&gt;=$C$13),$L$229*(1+$C$25)^(A376-$C$13),0)</f>
        <v/>
      </c>
      <c r="Y376" s="138">
        <f>IF(OR($L$229&lt;=0,$C$17&lt;=0,A376&lt;$C$13,MIN(MAX((A376-$C$13+1)*12,0),$C$17*12)&gt;=$C$17*12),0,IF($C$16=0,MAX(MAX($L$229*(1-$C$15),0)-(IF($C$17&lt;=0,0,IF($C$16=0,MAX($L$229*(1-$C$15),0)/$C$17,-PMT($C$16/12,$C$17*12,MAX($L$229*(1-$C$15),0))*12))/12)*MIN(MAX((A376-$C$13+1)*12,0),$C$17*12),0),MAX(MAX($L$229*(1-$C$15),0)*(1+$C$16/12)^MIN(MAX((A376-$C$13+1)*12,0),$C$17*12)-(IF($C$17&lt;=0,0,IF($C$16=0,MAX($L$229*(1-$C$15),0)/$C$17,-PMT($C$16/12,$C$17*12,MAX($L$229*(1-$C$15),0))*12))/12)*(((1+$C$16/12)^MIN(MAX((A376-$C$13+1)*12,0),$C$17*12)-1)/($C$16/12)),0)))</f>
        <v/>
      </c>
      <c r="Z376" s="138">
        <f>MAX(X376-Y376,0)</f>
        <v/>
      </c>
      <c r="AA376" s="142">
        <f>U376+Z376</f>
        <v/>
      </c>
      <c r="AB376" s="5" t="n"/>
      <c r="AC376" s="5" t="n"/>
      <c r="AD376" s="5" t="n"/>
      <c r="AE376" s="5" t="n"/>
      <c r="AF376" s="5" t="n"/>
      <c r="AG376" s="5" t="n"/>
    </row>
    <row r="377" outlineLevel="1" s="326">
      <c r="A377" s="136" t="n">
        <v>33</v>
      </c>
      <c r="B377" s="72">
        <f>B112</f>
        <v/>
      </c>
      <c r="C377" s="137">
        <f>D112</f>
        <v/>
      </c>
      <c r="D377" s="137">
        <f>I112</f>
        <v/>
      </c>
      <c r="E377" s="137">
        <f>J112</f>
        <v/>
      </c>
      <c r="F377" s="137">
        <f>K112</f>
        <v/>
      </c>
      <c r="G377" s="138">
        <f>IF(AND($L$229&gt;0,A377=$C$13),$L$229*($C$15+$C$18),0)+IF(AND($L$229&gt;0,A377=$C$13),$C$24,0)</f>
        <v/>
      </c>
      <c r="H377" s="138">
        <f>IF(OR($L$229&lt;=0,A377&lt;$C$13),0,IF(AND($L$229&gt;0,$C$17&gt;0,A377&gt;=$C$13,A377&lt;($C$13+$C$17)),IF($C$17&lt;=0,0,IF($C$16=0,MAX($L$229*(1-$C$15),0)/$C$17,-PMT($C$16/12,$C$17*12,MAX($L$229*(1-$C$15),0))*12)),0)+X377*($C$19+$C$20+$C$21)+$C$22+$C$23)</f>
        <v/>
      </c>
      <c r="I377" s="138">
        <f>IF(B377="Working",MIN(MAX(D377-E377-F377-G377-H377,0),'Tax Assumptions'!$B$20),0)</f>
        <v/>
      </c>
      <c r="J377" s="138">
        <f>IF(B377="Working",D377-E377-F377-I377-G377-H377,-L377)</f>
        <v/>
      </c>
      <c r="K377" s="137">
        <f>IF(B377="Retired",$N$229+G377+H377,0)</f>
        <v/>
      </c>
      <c r="L377" s="137">
        <f>M377+N377+O377+P377</f>
        <v/>
      </c>
      <c r="M377" s="137">
        <f>IF(B377="Retired",MIN(((Q376)*(1+$C$10)+IF(B377="Working",J377,0)),K377),0)</f>
        <v/>
      </c>
      <c r="N377" s="137">
        <f>IF(B377="Retired",MIN(MAX(K377-M377,0),((R376)*(1+$C$10)+IF(B377="Working",E112,0))),0)</f>
        <v/>
      </c>
      <c r="O377" s="137">
        <f>IF(B377="Retired",MIN(MAX(K377-M377-N377,0),((S376)*(1+$C$10)+IF(B377="Working",I377,0))),0)</f>
        <v/>
      </c>
      <c r="P377" s="137">
        <f>IF(B377="Retired",MIN(MAX(K377-M377-N377-O377,0),((T376)*(1+$C$10)+IF(B377="Working",F112,0))),0)</f>
        <v/>
      </c>
      <c r="Q377" s="138">
        <f>MAX(((Q376)*(1+$C$10)+IF(B377="Working",J377,0))-M377,0)</f>
        <v/>
      </c>
      <c r="R377" s="138">
        <f>MAX(((R376)*(1+$C$10)+IF(B377="Working",E112,0))-N377,0)</f>
        <v/>
      </c>
      <c r="S377" s="138">
        <f>MAX(((S376)*(1+$C$10)+IF(B377="Working",I377,0))-O377,0)</f>
        <v/>
      </c>
      <c r="T377" s="138">
        <f>MAX(((T376)*(1+$C$10)+IF(B377="Working",F112,0))-P377,0)</f>
        <v/>
      </c>
      <c r="U377" s="138">
        <f>Q377+R377+S377+T377</f>
        <v/>
      </c>
      <c r="V377" s="138">
        <f>IF(B377="Working",MAX(-(((Q376)*(1+$C$10)+IF(B377="Working",J377,0))),0),MAX(K377-L377,0))</f>
        <v/>
      </c>
      <c r="W377" s="138">
        <f>IF(OR(A377&gt;=$C$13,B377="Retired"),IF(V377&gt;0,-V377,U377-'Model Inputs'!$B$18),"")</f>
        <v/>
      </c>
      <c r="X377" s="138">
        <f>IF(AND($L$229&gt;0,A377&gt;=$C$13),$L$229*(1+$C$25)^(A377-$C$13),0)</f>
        <v/>
      </c>
      <c r="Y377" s="138">
        <f>IF(OR($L$229&lt;=0,$C$17&lt;=0,A377&lt;$C$13,MIN(MAX((A377-$C$13+1)*12,0),$C$17*12)&gt;=$C$17*12),0,IF($C$16=0,MAX(MAX($L$229*(1-$C$15),0)-(IF($C$17&lt;=0,0,IF($C$16=0,MAX($L$229*(1-$C$15),0)/$C$17,-PMT($C$16/12,$C$17*12,MAX($L$229*(1-$C$15),0))*12))/12)*MIN(MAX((A377-$C$13+1)*12,0),$C$17*12),0),MAX(MAX($L$229*(1-$C$15),0)*(1+$C$16/12)^MIN(MAX((A377-$C$13+1)*12,0),$C$17*12)-(IF($C$17&lt;=0,0,IF($C$16=0,MAX($L$229*(1-$C$15),0)/$C$17,-PMT($C$16/12,$C$17*12,MAX($L$229*(1-$C$15),0))*12))/12)*(((1+$C$16/12)^MIN(MAX((A377-$C$13+1)*12,0),$C$17*12)-1)/($C$16/12)),0)))</f>
        <v/>
      </c>
      <c r="Z377" s="138">
        <f>MAX(X377-Y377,0)</f>
        <v/>
      </c>
      <c r="AA377" s="139">
        <f>U377+Z377</f>
        <v/>
      </c>
      <c r="AB377" s="5" t="n"/>
      <c r="AC377" s="5" t="n"/>
      <c r="AD377" s="5" t="n"/>
      <c r="AE377" s="5" t="n"/>
      <c r="AF377" s="5" t="n"/>
      <c r="AG377" s="5" t="n"/>
    </row>
    <row r="378" outlineLevel="1" s="326">
      <c r="A378" s="140" t="n">
        <v>34</v>
      </c>
      <c r="B378" s="40">
        <f>B113</f>
        <v/>
      </c>
      <c r="C378" s="141">
        <f>D113</f>
        <v/>
      </c>
      <c r="D378" s="141">
        <f>I113</f>
        <v/>
      </c>
      <c r="E378" s="141">
        <f>J113</f>
        <v/>
      </c>
      <c r="F378" s="141">
        <f>K113</f>
        <v/>
      </c>
      <c r="G378" s="138">
        <f>IF(AND($L$229&gt;0,A378=$C$13),$L$229*($C$15+$C$18),0)+IF(AND($L$229&gt;0,A378=$C$13),$C$24,0)</f>
        <v/>
      </c>
      <c r="H378" s="138">
        <f>IF(OR($L$229&lt;=0,A378&lt;$C$13),0,IF(AND($L$229&gt;0,$C$17&gt;0,A378&gt;=$C$13,A378&lt;($C$13+$C$17)),IF($C$17&lt;=0,0,IF($C$16=0,MAX($L$229*(1-$C$15),0)/$C$17,-PMT($C$16/12,$C$17*12,MAX($L$229*(1-$C$15),0))*12)),0)+X378*($C$19+$C$20+$C$21)+$C$22+$C$23)</f>
        <v/>
      </c>
      <c r="I378" s="138">
        <f>IF(B378="Working",MIN(MAX(D378-E378-F378-G378-H378,0),'Tax Assumptions'!$B$20),0)</f>
        <v/>
      </c>
      <c r="J378" s="138">
        <f>IF(B378="Working",D378-E378-F378-I378-G378-H378,-L378)</f>
        <v/>
      </c>
      <c r="K378" s="141">
        <f>IF(B378="Retired",$N$229+G378+H378,0)</f>
        <v/>
      </c>
      <c r="L378" s="141">
        <f>M378+N378+O378+P378</f>
        <v/>
      </c>
      <c r="M378" s="141">
        <f>IF(B378="Retired",MIN(((Q377)*(1+$C$10)+IF(B378="Working",J378,0)),K378),0)</f>
        <v/>
      </c>
      <c r="N378" s="141">
        <f>IF(B378="Retired",MIN(MAX(K378-M378,0),((R377)*(1+$C$10)+IF(B378="Working",E113,0))),0)</f>
        <v/>
      </c>
      <c r="O378" s="141">
        <f>IF(B378="Retired",MIN(MAX(K378-M378-N378,0),((S377)*(1+$C$10)+IF(B378="Working",I378,0))),0)</f>
        <v/>
      </c>
      <c r="P378" s="141">
        <f>IF(B378="Retired",MIN(MAX(K378-M378-N378-O378,0),((T377)*(1+$C$10)+IF(B378="Working",F113,0))),0)</f>
        <v/>
      </c>
      <c r="Q378" s="138">
        <f>MAX(((Q377)*(1+$C$10)+IF(B378="Working",J378,0))-M378,0)</f>
        <v/>
      </c>
      <c r="R378" s="138">
        <f>MAX(((R377)*(1+$C$10)+IF(B378="Working",E113,0))-N378,0)</f>
        <v/>
      </c>
      <c r="S378" s="138">
        <f>MAX(((S377)*(1+$C$10)+IF(B378="Working",I378,0))-O378,0)</f>
        <v/>
      </c>
      <c r="T378" s="138">
        <f>MAX(((T377)*(1+$C$10)+IF(B378="Working",F113,0))-P378,0)</f>
        <v/>
      </c>
      <c r="U378" s="138">
        <f>Q378+R378+S378+T378</f>
        <v/>
      </c>
      <c r="V378" s="138">
        <f>IF(B378="Working",MAX(-(((Q377)*(1+$C$10)+IF(B378="Working",J378,0))),0),MAX(K378-L378,0))</f>
        <v/>
      </c>
      <c r="W378" s="138">
        <f>IF(OR(A378&gt;=$C$13,B378="Retired"),IF(V378&gt;0,-V378,U378-'Model Inputs'!$B$18),"")</f>
        <v/>
      </c>
      <c r="X378" s="138">
        <f>IF(AND($L$229&gt;0,A378&gt;=$C$13),$L$229*(1+$C$25)^(A378-$C$13),0)</f>
        <v/>
      </c>
      <c r="Y378" s="138">
        <f>IF(OR($L$229&lt;=0,$C$17&lt;=0,A378&lt;$C$13,MIN(MAX((A378-$C$13+1)*12,0),$C$17*12)&gt;=$C$17*12),0,IF($C$16=0,MAX(MAX($L$229*(1-$C$15),0)-(IF($C$17&lt;=0,0,IF($C$16=0,MAX($L$229*(1-$C$15),0)/$C$17,-PMT($C$16/12,$C$17*12,MAX($L$229*(1-$C$15),0))*12))/12)*MIN(MAX((A378-$C$13+1)*12,0),$C$17*12),0),MAX(MAX($L$229*(1-$C$15),0)*(1+$C$16/12)^MIN(MAX((A378-$C$13+1)*12,0),$C$17*12)-(IF($C$17&lt;=0,0,IF($C$16=0,MAX($L$229*(1-$C$15),0)/$C$17,-PMT($C$16/12,$C$17*12,MAX($L$229*(1-$C$15),0))*12))/12)*(((1+$C$16/12)^MIN(MAX((A378-$C$13+1)*12,0),$C$17*12)-1)/($C$16/12)),0)))</f>
        <v/>
      </c>
      <c r="Z378" s="138">
        <f>MAX(X378-Y378,0)</f>
        <v/>
      </c>
      <c r="AA378" s="142">
        <f>U378+Z378</f>
        <v/>
      </c>
      <c r="AB378" s="5" t="n"/>
      <c r="AC378" s="5" t="n"/>
      <c r="AD378" s="5" t="n"/>
      <c r="AE378" s="5" t="n"/>
      <c r="AF378" s="5" t="n"/>
      <c r="AG378" s="5" t="n"/>
    </row>
    <row r="379" outlineLevel="1" s="326">
      <c r="A379" s="136" t="n">
        <v>35</v>
      </c>
      <c r="B379" s="72">
        <f>B114</f>
        <v/>
      </c>
      <c r="C379" s="137">
        <f>D114</f>
        <v/>
      </c>
      <c r="D379" s="137">
        <f>I114</f>
        <v/>
      </c>
      <c r="E379" s="137">
        <f>J114</f>
        <v/>
      </c>
      <c r="F379" s="137">
        <f>K114</f>
        <v/>
      </c>
      <c r="G379" s="138">
        <f>IF(AND($L$229&gt;0,A379=$C$13),$L$229*($C$15+$C$18),0)+IF(AND($L$229&gt;0,A379=$C$13),$C$24,0)</f>
        <v/>
      </c>
      <c r="H379" s="138">
        <f>IF(OR($L$229&lt;=0,A379&lt;$C$13),0,IF(AND($L$229&gt;0,$C$17&gt;0,A379&gt;=$C$13,A379&lt;($C$13+$C$17)),IF($C$17&lt;=0,0,IF($C$16=0,MAX($L$229*(1-$C$15),0)/$C$17,-PMT($C$16/12,$C$17*12,MAX($L$229*(1-$C$15),0))*12)),0)+X379*($C$19+$C$20+$C$21)+$C$22+$C$23)</f>
        <v/>
      </c>
      <c r="I379" s="138">
        <f>IF(B379="Working",MIN(MAX(D379-E379-F379-G379-H379,0),'Tax Assumptions'!$B$20),0)</f>
        <v/>
      </c>
      <c r="J379" s="138">
        <f>IF(B379="Working",D379-E379-F379-I379-G379-H379,-L379)</f>
        <v/>
      </c>
      <c r="K379" s="137">
        <f>IF(B379="Retired",$N$229+G379+H379,0)</f>
        <v/>
      </c>
      <c r="L379" s="137">
        <f>M379+N379+O379+P379</f>
        <v/>
      </c>
      <c r="M379" s="137">
        <f>IF(B379="Retired",MIN(((Q378)*(1+$C$10)+IF(B379="Working",J379,0)),K379),0)</f>
        <v/>
      </c>
      <c r="N379" s="137">
        <f>IF(B379="Retired",MIN(MAX(K379-M379,0),((R378)*(1+$C$10)+IF(B379="Working",E114,0))),0)</f>
        <v/>
      </c>
      <c r="O379" s="137">
        <f>IF(B379="Retired",MIN(MAX(K379-M379-N379,0),((S378)*(1+$C$10)+IF(B379="Working",I379,0))),0)</f>
        <v/>
      </c>
      <c r="P379" s="137">
        <f>IF(B379="Retired",MIN(MAX(K379-M379-N379-O379,0),((T378)*(1+$C$10)+IF(B379="Working",F114,0))),0)</f>
        <v/>
      </c>
      <c r="Q379" s="138">
        <f>MAX(((Q378)*(1+$C$10)+IF(B379="Working",J379,0))-M379,0)</f>
        <v/>
      </c>
      <c r="R379" s="138">
        <f>MAX(((R378)*(1+$C$10)+IF(B379="Working",E114,0))-N379,0)</f>
        <v/>
      </c>
      <c r="S379" s="138">
        <f>MAX(((S378)*(1+$C$10)+IF(B379="Working",I379,0))-O379,0)</f>
        <v/>
      </c>
      <c r="T379" s="138">
        <f>MAX(((T378)*(1+$C$10)+IF(B379="Working",F114,0))-P379,0)</f>
        <v/>
      </c>
      <c r="U379" s="138">
        <f>Q379+R379+S379+T379</f>
        <v/>
      </c>
      <c r="V379" s="138">
        <f>IF(B379="Working",MAX(-(((Q378)*(1+$C$10)+IF(B379="Working",J379,0))),0),MAX(K379-L379,0))</f>
        <v/>
      </c>
      <c r="W379" s="138">
        <f>IF(OR(A379&gt;=$C$13,B379="Retired"),IF(V379&gt;0,-V379,U379-'Model Inputs'!$B$18),"")</f>
        <v/>
      </c>
      <c r="X379" s="138">
        <f>IF(AND($L$229&gt;0,A379&gt;=$C$13),$L$229*(1+$C$25)^(A379-$C$13),0)</f>
        <v/>
      </c>
      <c r="Y379" s="138">
        <f>IF(OR($L$229&lt;=0,$C$17&lt;=0,A379&lt;$C$13,MIN(MAX((A379-$C$13+1)*12,0),$C$17*12)&gt;=$C$17*12),0,IF($C$16=0,MAX(MAX($L$229*(1-$C$15),0)-(IF($C$17&lt;=0,0,IF($C$16=0,MAX($L$229*(1-$C$15),0)/$C$17,-PMT($C$16/12,$C$17*12,MAX($L$229*(1-$C$15),0))*12))/12)*MIN(MAX((A379-$C$13+1)*12,0),$C$17*12),0),MAX(MAX($L$229*(1-$C$15),0)*(1+$C$16/12)^MIN(MAX((A379-$C$13+1)*12,0),$C$17*12)-(IF($C$17&lt;=0,0,IF($C$16=0,MAX($L$229*(1-$C$15),0)/$C$17,-PMT($C$16/12,$C$17*12,MAX($L$229*(1-$C$15),0))*12))/12)*(((1+$C$16/12)^MIN(MAX((A379-$C$13+1)*12,0),$C$17*12)-1)/($C$16/12)),0)))</f>
        <v/>
      </c>
      <c r="Z379" s="138">
        <f>MAX(X379-Y379,0)</f>
        <v/>
      </c>
      <c r="AA379" s="139">
        <f>U379+Z379</f>
        <v/>
      </c>
      <c r="AB379" s="5" t="n"/>
      <c r="AC379" s="5" t="n"/>
      <c r="AD379" s="5" t="n"/>
      <c r="AE379" s="5" t="n"/>
      <c r="AF379" s="5" t="n"/>
      <c r="AG379" s="5" t="n"/>
    </row>
    <row r="380" outlineLevel="1" s="326">
      <c r="A380" s="140" t="n">
        <v>36</v>
      </c>
      <c r="B380" s="40">
        <f>B115</f>
        <v/>
      </c>
      <c r="C380" s="141">
        <f>D115</f>
        <v/>
      </c>
      <c r="D380" s="141">
        <f>I115</f>
        <v/>
      </c>
      <c r="E380" s="141">
        <f>J115</f>
        <v/>
      </c>
      <c r="F380" s="141">
        <f>K115</f>
        <v/>
      </c>
      <c r="G380" s="138">
        <f>IF(AND($L$229&gt;0,A380=$C$13),$L$229*($C$15+$C$18),0)+IF(AND($L$229&gt;0,A380=$C$13),$C$24,0)</f>
        <v/>
      </c>
      <c r="H380" s="138">
        <f>IF(OR($L$229&lt;=0,A380&lt;$C$13),0,IF(AND($L$229&gt;0,$C$17&gt;0,A380&gt;=$C$13,A380&lt;($C$13+$C$17)),IF($C$17&lt;=0,0,IF($C$16=0,MAX($L$229*(1-$C$15),0)/$C$17,-PMT($C$16/12,$C$17*12,MAX($L$229*(1-$C$15),0))*12)),0)+X380*($C$19+$C$20+$C$21)+$C$22+$C$23)</f>
        <v/>
      </c>
      <c r="I380" s="138">
        <f>IF(B380="Working",MIN(MAX(D380-E380-F380-G380-H380,0),'Tax Assumptions'!$B$20),0)</f>
        <v/>
      </c>
      <c r="J380" s="138">
        <f>IF(B380="Working",D380-E380-F380-I380-G380-H380,-L380)</f>
        <v/>
      </c>
      <c r="K380" s="141">
        <f>IF(B380="Retired",$N$229+G380+H380,0)</f>
        <v/>
      </c>
      <c r="L380" s="141">
        <f>M380+N380+O380+P380</f>
        <v/>
      </c>
      <c r="M380" s="141">
        <f>IF(B380="Retired",MIN(((Q379)*(1+$C$10)+IF(B380="Working",J380,0)),K380),0)</f>
        <v/>
      </c>
      <c r="N380" s="141">
        <f>IF(B380="Retired",MIN(MAX(K380-M380,0),((R379)*(1+$C$10)+IF(B380="Working",E115,0))),0)</f>
        <v/>
      </c>
      <c r="O380" s="141">
        <f>IF(B380="Retired",MIN(MAX(K380-M380-N380,0),((S379)*(1+$C$10)+IF(B380="Working",I380,0))),0)</f>
        <v/>
      </c>
      <c r="P380" s="141">
        <f>IF(B380="Retired",MIN(MAX(K380-M380-N380-O380,0),((T379)*(1+$C$10)+IF(B380="Working",F115,0))),0)</f>
        <v/>
      </c>
      <c r="Q380" s="138">
        <f>MAX(((Q379)*(1+$C$10)+IF(B380="Working",J380,0))-M380,0)</f>
        <v/>
      </c>
      <c r="R380" s="138">
        <f>MAX(((R379)*(1+$C$10)+IF(B380="Working",E115,0))-N380,0)</f>
        <v/>
      </c>
      <c r="S380" s="138">
        <f>MAX(((S379)*(1+$C$10)+IF(B380="Working",I380,0))-O380,0)</f>
        <v/>
      </c>
      <c r="T380" s="138">
        <f>MAX(((T379)*(1+$C$10)+IF(B380="Working",F115,0))-P380,0)</f>
        <v/>
      </c>
      <c r="U380" s="138">
        <f>Q380+R380+S380+T380</f>
        <v/>
      </c>
      <c r="V380" s="138">
        <f>IF(B380="Working",MAX(-(((Q379)*(1+$C$10)+IF(B380="Working",J380,0))),0),MAX(K380-L380,0))</f>
        <v/>
      </c>
      <c r="W380" s="138">
        <f>IF(OR(A380&gt;=$C$13,B380="Retired"),IF(V380&gt;0,-V380,U380-'Model Inputs'!$B$18),"")</f>
        <v/>
      </c>
      <c r="X380" s="138">
        <f>IF(AND($L$229&gt;0,A380&gt;=$C$13),$L$229*(1+$C$25)^(A380-$C$13),0)</f>
        <v/>
      </c>
      <c r="Y380" s="138">
        <f>IF(OR($L$229&lt;=0,$C$17&lt;=0,A380&lt;$C$13,MIN(MAX((A380-$C$13+1)*12,0),$C$17*12)&gt;=$C$17*12),0,IF($C$16=0,MAX(MAX($L$229*(1-$C$15),0)-(IF($C$17&lt;=0,0,IF($C$16=0,MAX($L$229*(1-$C$15),0)/$C$17,-PMT($C$16/12,$C$17*12,MAX($L$229*(1-$C$15),0))*12))/12)*MIN(MAX((A380-$C$13+1)*12,0),$C$17*12),0),MAX(MAX($L$229*(1-$C$15),0)*(1+$C$16/12)^MIN(MAX((A380-$C$13+1)*12,0),$C$17*12)-(IF($C$17&lt;=0,0,IF($C$16=0,MAX($L$229*(1-$C$15),0)/$C$17,-PMT($C$16/12,$C$17*12,MAX($L$229*(1-$C$15),0))*12))/12)*(((1+$C$16/12)^MIN(MAX((A380-$C$13+1)*12,0),$C$17*12)-1)/($C$16/12)),0)))</f>
        <v/>
      </c>
      <c r="Z380" s="138">
        <f>MAX(X380-Y380,0)</f>
        <v/>
      </c>
      <c r="AA380" s="142">
        <f>U380+Z380</f>
        <v/>
      </c>
      <c r="AB380" s="5" t="n"/>
      <c r="AC380" s="5" t="n"/>
      <c r="AD380" s="5" t="n"/>
      <c r="AE380" s="5" t="n"/>
      <c r="AF380" s="5" t="n"/>
      <c r="AG380" s="5" t="n"/>
    </row>
    <row r="381" outlineLevel="1" s="326">
      <c r="A381" s="136" t="n">
        <v>37</v>
      </c>
      <c r="B381" s="72">
        <f>B116</f>
        <v/>
      </c>
      <c r="C381" s="137">
        <f>D116</f>
        <v/>
      </c>
      <c r="D381" s="137">
        <f>I116</f>
        <v/>
      </c>
      <c r="E381" s="137">
        <f>J116</f>
        <v/>
      </c>
      <c r="F381" s="137">
        <f>K116</f>
        <v/>
      </c>
      <c r="G381" s="138">
        <f>IF(AND($L$229&gt;0,A381=$C$13),$L$229*($C$15+$C$18),0)+IF(AND($L$229&gt;0,A381=$C$13),$C$24,0)</f>
        <v/>
      </c>
      <c r="H381" s="138">
        <f>IF(OR($L$229&lt;=0,A381&lt;$C$13),0,IF(AND($L$229&gt;0,$C$17&gt;0,A381&gt;=$C$13,A381&lt;($C$13+$C$17)),IF($C$17&lt;=0,0,IF($C$16=0,MAX($L$229*(1-$C$15),0)/$C$17,-PMT($C$16/12,$C$17*12,MAX($L$229*(1-$C$15),0))*12)),0)+X381*($C$19+$C$20+$C$21)+$C$22+$C$23)</f>
        <v/>
      </c>
      <c r="I381" s="138">
        <f>IF(B381="Working",MIN(MAX(D381-E381-F381-G381-H381,0),'Tax Assumptions'!$B$20),0)</f>
        <v/>
      </c>
      <c r="J381" s="138">
        <f>IF(B381="Working",D381-E381-F381-I381-G381-H381,-L381)</f>
        <v/>
      </c>
      <c r="K381" s="137">
        <f>IF(B381="Retired",$N$229+G381+H381,0)</f>
        <v/>
      </c>
      <c r="L381" s="137">
        <f>M381+N381+O381+P381</f>
        <v/>
      </c>
      <c r="M381" s="137">
        <f>IF(B381="Retired",MIN(((Q380)*(1+$C$10)+IF(B381="Working",J381,0)),K381),0)</f>
        <v/>
      </c>
      <c r="N381" s="137">
        <f>IF(B381="Retired",MIN(MAX(K381-M381,0),((R380)*(1+$C$10)+IF(B381="Working",E116,0))),0)</f>
        <v/>
      </c>
      <c r="O381" s="137">
        <f>IF(B381="Retired",MIN(MAX(K381-M381-N381,0),((S380)*(1+$C$10)+IF(B381="Working",I381,0))),0)</f>
        <v/>
      </c>
      <c r="P381" s="137">
        <f>IF(B381="Retired",MIN(MAX(K381-M381-N381-O381,0),((T380)*(1+$C$10)+IF(B381="Working",F116,0))),0)</f>
        <v/>
      </c>
      <c r="Q381" s="138">
        <f>MAX(((Q380)*(1+$C$10)+IF(B381="Working",J381,0))-M381,0)</f>
        <v/>
      </c>
      <c r="R381" s="138">
        <f>MAX(((R380)*(1+$C$10)+IF(B381="Working",E116,0))-N381,0)</f>
        <v/>
      </c>
      <c r="S381" s="138">
        <f>MAX(((S380)*(1+$C$10)+IF(B381="Working",I381,0))-O381,0)</f>
        <v/>
      </c>
      <c r="T381" s="138">
        <f>MAX(((T380)*(1+$C$10)+IF(B381="Working",F116,0))-P381,0)</f>
        <v/>
      </c>
      <c r="U381" s="138">
        <f>Q381+R381+S381+T381</f>
        <v/>
      </c>
      <c r="V381" s="138">
        <f>IF(B381="Working",MAX(-(((Q380)*(1+$C$10)+IF(B381="Working",J381,0))),0),MAX(K381-L381,0))</f>
        <v/>
      </c>
      <c r="W381" s="138">
        <f>IF(OR(A381&gt;=$C$13,B381="Retired"),IF(V381&gt;0,-V381,U381-'Model Inputs'!$B$18),"")</f>
        <v/>
      </c>
      <c r="X381" s="138">
        <f>IF(AND($L$229&gt;0,A381&gt;=$C$13),$L$229*(1+$C$25)^(A381-$C$13),0)</f>
        <v/>
      </c>
      <c r="Y381" s="138">
        <f>IF(OR($L$229&lt;=0,$C$17&lt;=0,A381&lt;$C$13,MIN(MAX((A381-$C$13+1)*12,0),$C$17*12)&gt;=$C$17*12),0,IF($C$16=0,MAX(MAX($L$229*(1-$C$15),0)-(IF($C$17&lt;=0,0,IF($C$16=0,MAX($L$229*(1-$C$15),0)/$C$17,-PMT($C$16/12,$C$17*12,MAX($L$229*(1-$C$15),0))*12))/12)*MIN(MAX((A381-$C$13+1)*12,0),$C$17*12),0),MAX(MAX($L$229*(1-$C$15),0)*(1+$C$16/12)^MIN(MAX((A381-$C$13+1)*12,0),$C$17*12)-(IF($C$17&lt;=0,0,IF($C$16=0,MAX($L$229*(1-$C$15),0)/$C$17,-PMT($C$16/12,$C$17*12,MAX($L$229*(1-$C$15),0))*12))/12)*(((1+$C$16/12)^MIN(MAX((A381-$C$13+1)*12,0),$C$17*12)-1)/($C$16/12)),0)))</f>
        <v/>
      </c>
      <c r="Z381" s="138">
        <f>MAX(X381-Y381,0)</f>
        <v/>
      </c>
      <c r="AA381" s="139">
        <f>U381+Z381</f>
        <v/>
      </c>
      <c r="AB381" s="5" t="n"/>
      <c r="AC381" s="5" t="n"/>
      <c r="AD381" s="5" t="n"/>
      <c r="AE381" s="5" t="n"/>
      <c r="AF381" s="5" t="n"/>
      <c r="AG381" s="5" t="n"/>
    </row>
    <row r="382" outlineLevel="1" s="326">
      <c r="A382" s="140" t="n">
        <v>38</v>
      </c>
      <c r="B382" s="40">
        <f>B117</f>
        <v/>
      </c>
      <c r="C382" s="141">
        <f>D117</f>
        <v/>
      </c>
      <c r="D382" s="141">
        <f>I117</f>
        <v/>
      </c>
      <c r="E382" s="141">
        <f>J117</f>
        <v/>
      </c>
      <c r="F382" s="141">
        <f>K117</f>
        <v/>
      </c>
      <c r="G382" s="138">
        <f>IF(AND($L$229&gt;0,A382=$C$13),$L$229*($C$15+$C$18),0)+IF(AND($L$229&gt;0,A382=$C$13),$C$24,0)</f>
        <v/>
      </c>
      <c r="H382" s="138">
        <f>IF(OR($L$229&lt;=0,A382&lt;$C$13),0,IF(AND($L$229&gt;0,$C$17&gt;0,A382&gt;=$C$13,A382&lt;($C$13+$C$17)),IF($C$17&lt;=0,0,IF($C$16=0,MAX($L$229*(1-$C$15),0)/$C$17,-PMT($C$16/12,$C$17*12,MAX($L$229*(1-$C$15),0))*12)),0)+X382*($C$19+$C$20+$C$21)+$C$22+$C$23)</f>
        <v/>
      </c>
      <c r="I382" s="138">
        <f>IF(B382="Working",MIN(MAX(D382-E382-F382-G382-H382,0),'Tax Assumptions'!$B$20),0)</f>
        <v/>
      </c>
      <c r="J382" s="138">
        <f>IF(B382="Working",D382-E382-F382-I382-G382-H382,-L382)</f>
        <v/>
      </c>
      <c r="K382" s="141">
        <f>IF(B382="Retired",$N$229+G382+H382,0)</f>
        <v/>
      </c>
      <c r="L382" s="141">
        <f>M382+N382+O382+P382</f>
        <v/>
      </c>
      <c r="M382" s="141">
        <f>IF(B382="Retired",MIN(((Q381)*(1+$C$10)+IF(B382="Working",J382,0)),K382),0)</f>
        <v/>
      </c>
      <c r="N382" s="141">
        <f>IF(B382="Retired",MIN(MAX(K382-M382,0),((R381)*(1+$C$10)+IF(B382="Working",E117,0))),0)</f>
        <v/>
      </c>
      <c r="O382" s="141">
        <f>IF(B382="Retired",MIN(MAX(K382-M382-N382,0),((S381)*(1+$C$10)+IF(B382="Working",I382,0))),0)</f>
        <v/>
      </c>
      <c r="P382" s="141">
        <f>IF(B382="Retired",MIN(MAX(K382-M382-N382-O382,0),((T381)*(1+$C$10)+IF(B382="Working",F117,0))),0)</f>
        <v/>
      </c>
      <c r="Q382" s="138">
        <f>MAX(((Q381)*(1+$C$10)+IF(B382="Working",J382,0))-M382,0)</f>
        <v/>
      </c>
      <c r="R382" s="138">
        <f>MAX(((R381)*(1+$C$10)+IF(B382="Working",E117,0))-N382,0)</f>
        <v/>
      </c>
      <c r="S382" s="138">
        <f>MAX(((S381)*(1+$C$10)+IF(B382="Working",I382,0))-O382,0)</f>
        <v/>
      </c>
      <c r="T382" s="138">
        <f>MAX(((T381)*(1+$C$10)+IF(B382="Working",F117,0))-P382,0)</f>
        <v/>
      </c>
      <c r="U382" s="138">
        <f>Q382+R382+S382+T382</f>
        <v/>
      </c>
      <c r="V382" s="138">
        <f>IF(B382="Working",MAX(-(((Q381)*(1+$C$10)+IF(B382="Working",J382,0))),0),MAX(K382-L382,0))</f>
        <v/>
      </c>
      <c r="W382" s="138">
        <f>IF(OR(A382&gt;=$C$13,B382="Retired"),IF(V382&gt;0,-V382,U382-'Model Inputs'!$B$18),"")</f>
        <v/>
      </c>
      <c r="X382" s="138">
        <f>IF(AND($L$229&gt;0,A382&gt;=$C$13),$L$229*(1+$C$25)^(A382-$C$13),0)</f>
        <v/>
      </c>
      <c r="Y382" s="138">
        <f>IF(OR($L$229&lt;=0,$C$17&lt;=0,A382&lt;$C$13,MIN(MAX((A382-$C$13+1)*12,0),$C$17*12)&gt;=$C$17*12),0,IF($C$16=0,MAX(MAX($L$229*(1-$C$15),0)-(IF($C$17&lt;=0,0,IF($C$16=0,MAX($L$229*(1-$C$15),0)/$C$17,-PMT($C$16/12,$C$17*12,MAX($L$229*(1-$C$15),0))*12))/12)*MIN(MAX((A382-$C$13+1)*12,0),$C$17*12),0),MAX(MAX($L$229*(1-$C$15),0)*(1+$C$16/12)^MIN(MAX((A382-$C$13+1)*12,0),$C$17*12)-(IF($C$17&lt;=0,0,IF($C$16=0,MAX($L$229*(1-$C$15),0)/$C$17,-PMT($C$16/12,$C$17*12,MAX($L$229*(1-$C$15),0))*12))/12)*(((1+$C$16/12)^MIN(MAX((A382-$C$13+1)*12,0),$C$17*12)-1)/($C$16/12)),0)))</f>
        <v/>
      </c>
      <c r="Z382" s="138">
        <f>MAX(X382-Y382,0)</f>
        <v/>
      </c>
      <c r="AA382" s="142">
        <f>U382+Z382</f>
        <v/>
      </c>
      <c r="AB382" s="5" t="n"/>
      <c r="AC382" s="5" t="n"/>
      <c r="AD382" s="5" t="n"/>
      <c r="AE382" s="5" t="n"/>
      <c r="AF382" s="5" t="n"/>
      <c r="AG382" s="5" t="n"/>
    </row>
    <row r="383" outlineLevel="1" s="326">
      <c r="A383" s="136" t="n">
        <v>39</v>
      </c>
      <c r="B383" s="72">
        <f>B118</f>
        <v/>
      </c>
      <c r="C383" s="137">
        <f>D118</f>
        <v/>
      </c>
      <c r="D383" s="137">
        <f>I118</f>
        <v/>
      </c>
      <c r="E383" s="137">
        <f>J118</f>
        <v/>
      </c>
      <c r="F383" s="137">
        <f>K118</f>
        <v/>
      </c>
      <c r="G383" s="138">
        <f>IF(AND($L$229&gt;0,A383=$C$13),$L$229*($C$15+$C$18),0)+IF(AND($L$229&gt;0,A383=$C$13),$C$24,0)</f>
        <v/>
      </c>
      <c r="H383" s="138">
        <f>IF(OR($L$229&lt;=0,A383&lt;$C$13),0,IF(AND($L$229&gt;0,$C$17&gt;0,A383&gt;=$C$13,A383&lt;($C$13+$C$17)),IF($C$17&lt;=0,0,IF($C$16=0,MAX($L$229*(1-$C$15),0)/$C$17,-PMT($C$16/12,$C$17*12,MAX($L$229*(1-$C$15),0))*12)),0)+X383*($C$19+$C$20+$C$21)+$C$22+$C$23)</f>
        <v/>
      </c>
      <c r="I383" s="138">
        <f>IF(B383="Working",MIN(MAX(D383-E383-F383-G383-H383,0),'Tax Assumptions'!$B$20),0)</f>
        <v/>
      </c>
      <c r="J383" s="138">
        <f>IF(B383="Working",D383-E383-F383-I383-G383-H383,-L383)</f>
        <v/>
      </c>
      <c r="K383" s="137">
        <f>IF(B383="Retired",$N$229+G383+H383,0)</f>
        <v/>
      </c>
      <c r="L383" s="137">
        <f>M383+N383+O383+P383</f>
        <v/>
      </c>
      <c r="M383" s="137">
        <f>IF(B383="Retired",MIN(((Q382)*(1+$C$10)+IF(B383="Working",J383,0)),K383),0)</f>
        <v/>
      </c>
      <c r="N383" s="137">
        <f>IF(B383="Retired",MIN(MAX(K383-M383,0),((R382)*(1+$C$10)+IF(B383="Working",E118,0))),0)</f>
        <v/>
      </c>
      <c r="O383" s="137">
        <f>IF(B383="Retired",MIN(MAX(K383-M383-N383,0),((S382)*(1+$C$10)+IF(B383="Working",I383,0))),0)</f>
        <v/>
      </c>
      <c r="P383" s="137">
        <f>IF(B383="Retired",MIN(MAX(K383-M383-N383-O383,0),((T382)*(1+$C$10)+IF(B383="Working",F118,0))),0)</f>
        <v/>
      </c>
      <c r="Q383" s="138">
        <f>MAX(((Q382)*(1+$C$10)+IF(B383="Working",J383,0))-M383,0)</f>
        <v/>
      </c>
      <c r="R383" s="138">
        <f>MAX(((R382)*(1+$C$10)+IF(B383="Working",E118,0))-N383,0)</f>
        <v/>
      </c>
      <c r="S383" s="138">
        <f>MAX(((S382)*(1+$C$10)+IF(B383="Working",I383,0))-O383,0)</f>
        <v/>
      </c>
      <c r="T383" s="138">
        <f>MAX(((T382)*(1+$C$10)+IF(B383="Working",F118,0))-P383,0)</f>
        <v/>
      </c>
      <c r="U383" s="138">
        <f>Q383+R383+S383+T383</f>
        <v/>
      </c>
      <c r="V383" s="138">
        <f>IF(B383="Working",MAX(-(((Q382)*(1+$C$10)+IF(B383="Working",J383,0))),0),MAX(K383-L383,0))</f>
        <v/>
      </c>
      <c r="W383" s="138">
        <f>IF(OR(A383&gt;=$C$13,B383="Retired"),IF(V383&gt;0,-V383,U383-'Model Inputs'!$B$18),"")</f>
        <v/>
      </c>
      <c r="X383" s="138">
        <f>IF(AND($L$229&gt;0,A383&gt;=$C$13),$L$229*(1+$C$25)^(A383-$C$13),0)</f>
        <v/>
      </c>
      <c r="Y383" s="138">
        <f>IF(OR($L$229&lt;=0,$C$17&lt;=0,A383&lt;$C$13,MIN(MAX((A383-$C$13+1)*12,0),$C$17*12)&gt;=$C$17*12),0,IF($C$16=0,MAX(MAX($L$229*(1-$C$15),0)-(IF($C$17&lt;=0,0,IF($C$16=0,MAX($L$229*(1-$C$15),0)/$C$17,-PMT($C$16/12,$C$17*12,MAX($L$229*(1-$C$15),0))*12))/12)*MIN(MAX((A383-$C$13+1)*12,0),$C$17*12),0),MAX(MAX($L$229*(1-$C$15),0)*(1+$C$16/12)^MIN(MAX((A383-$C$13+1)*12,0),$C$17*12)-(IF($C$17&lt;=0,0,IF($C$16=0,MAX($L$229*(1-$C$15),0)/$C$17,-PMT($C$16/12,$C$17*12,MAX($L$229*(1-$C$15),0))*12))/12)*(((1+$C$16/12)^MIN(MAX((A383-$C$13+1)*12,0),$C$17*12)-1)/($C$16/12)),0)))</f>
        <v/>
      </c>
      <c r="Z383" s="138">
        <f>MAX(X383-Y383,0)</f>
        <v/>
      </c>
      <c r="AA383" s="139">
        <f>U383+Z383</f>
        <v/>
      </c>
      <c r="AB383" s="5" t="n"/>
      <c r="AC383" s="5" t="n"/>
      <c r="AD383" s="5" t="n"/>
      <c r="AE383" s="5" t="n"/>
      <c r="AF383" s="5" t="n"/>
      <c r="AG383" s="5" t="n"/>
    </row>
    <row r="384" outlineLevel="1" s="326">
      <c r="A384" s="140" t="n">
        <v>40</v>
      </c>
      <c r="B384" s="40">
        <f>B119</f>
        <v/>
      </c>
      <c r="C384" s="141">
        <f>D119</f>
        <v/>
      </c>
      <c r="D384" s="141">
        <f>I119</f>
        <v/>
      </c>
      <c r="E384" s="141">
        <f>J119</f>
        <v/>
      </c>
      <c r="F384" s="141">
        <f>K119</f>
        <v/>
      </c>
      <c r="G384" s="138">
        <f>IF(AND($L$229&gt;0,A384=$C$13),$L$229*($C$15+$C$18),0)+IF(AND($L$229&gt;0,A384=$C$13),$C$24,0)</f>
        <v/>
      </c>
      <c r="H384" s="138">
        <f>IF(OR($L$229&lt;=0,A384&lt;$C$13),0,IF(AND($L$229&gt;0,$C$17&gt;0,A384&gt;=$C$13,A384&lt;($C$13+$C$17)),IF($C$17&lt;=0,0,IF($C$16=0,MAX($L$229*(1-$C$15),0)/$C$17,-PMT($C$16/12,$C$17*12,MAX($L$229*(1-$C$15),0))*12)),0)+X384*($C$19+$C$20+$C$21)+$C$22+$C$23)</f>
        <v/>
      </c>
      <c r="I384" s="138">
        <f>IF(B384="Working",MIN(MAX(D384-E384-F384-G384-H384,0),'Tax Assumptions'!$B$20),0)</f>
        <v/>
      </c>
      <c r="J384" s="138">
        <f>IF(B384="Working",D384-E384-F384-I384-G384-H384,-L384)</f>
        <v/>
      </c>
      <c r="K384" s="141">
        <f>IF(B384="Retired",$N$229+G384+H384,0)</f>
        <v/>
      </c>
      <c r="L384" s="141">
        <f>M384+N384+O384+P384</f>
        <v/>
      </c>
      <c r="M384" s="141">
        <f>IF(B384="Retired",MIN(((Q383)*(1+$C$10)+IF(B384="Working",J384,0)),K384),0)</f>
        <v/>
      </c>
      <c r="N384" s="141">
        <f>IF(B384="Retired",MIN(MAX(K384-M384,0),((R383)*(1+$C$10)+IF(B384="Working",E119,0))),0)</f>
        <v/>
      </c>
      <c r="O384" s="141">
        <f>IF(B384="Retired",MIN(MAX(K384-M384-N384,0),((S383)*(1+$C$10)+IF(B384="Working",I384,0))),0)</f>
        <v/>
      </c>
      <c r="P384" s="141">
        <f>IF(B384="Retired",MIN(MAX(K384-M384-N384-O384,0),((T383)*(1+$C$10)+IF(B384="Working",F119,0))),0)</f>
        <v/>
      </c>
      <c r="Q384" s="138">
        <f>MAX(((Q383)*(1+$C$10)+IF(B384="Working",J384,0))-M384,0)</f>
        <v/>
      </c>
      <c r="R384" s="138">
        <f>MAX(((R383)*(1+$C$10)+IF(B384="Working",E119,0))-N384,0)</f>
        <v/>
      </c>
      <c r="S384" s="138">
        <f>MAX(((S383)*(1+$C$10)+IF(B384="Working",I384,0))-O384,0)</f>
        <v/>
      </c>
      <c r="T384" s="138">
        <f>MAX(((T383)*(1+$C$10)+IF(B384="Working",F119,0))-P384,0)</f>
        <v/>
      </c>
      <c r="U384" s="138">
        <f>Q384+R384+S384+T384</f>
        <v/>
      </c>
      <c r="V384" s="138">
        <f>IF(B384="Working",MAX(-(((Q383)*(1+$C$10)+IF(B384="Working",J384,0))),0),MAX(K384-L384,0))</f>
        <v/>
      </c>
      <c r="W384" s="138">
        <f>IF(OR(A384&gt;=$C$13,B384="Retired"),IF(V384&gt;0,-V384,U384-'Model Inputs'!$B$18),"")</f>
        <v/>
      </c>
      <c r="X384" s="138">
        <f>IF(AND($L$229&gt;0,A384&gt;=$C$13),$L$229*(1+$C$25)^(A384-$C$13),0)</f>
        <v/>
      </c>
      <c r="Y384" s="138">
        <f>IF(OR($L$229&lt;=0,$C$17&lt;=0,A384&lt;$C$13,MIN(MAX((A384-$C$13+1)*12,0),$C$17*12)&gt;=$C$17*12),0,IF($C$16=0,MAX(MAX($L$229*(1-$C$15),0)-(IF($C$17&lt;=0,0,IF($C$16=0,MAX($L$229*(1-$C$15),0)/$C$17,-PMT($C$16/12,$C$17*12,MAX($L$229*(1-$C$15),0))*12))/12)*MIN(MAX((A384-$C$13+1)*12,0),$C$17*12),0),MAX(MAX($L$229*(1-$C$15),0)*(1+$C$16/12)^MIN(MAX((A384-$C$13+1)*12,0),$C$17*12)-(IF($C$17&lt;=0,0,IF($C$16=0,MAX($L$229*(1-$C$15),0)/$C$17,-PMT($C$16/12,$C$17*12,MAX($L$229*(1-$C$15),0))*12))/12)*(((1+$C$16/12)^MIN(MAX((A384-$C$13+1)*12,0),$C$17*12)-1)/($C$16/12)),0)))</f>
        <v/>
      </c>
      <c r="Z384" s="138">
        <f>MAX(X384-Y384,0)</f>
        <v/>
      </c>
      <c r="AA384" s="142">
        <f>U384+Z384</f>
        <v/>
      </c>
      <c r="AB384" s="5" t="n"/>
      <c r="AC384" s="5" t="n"/>
      <c r="AD384" s="5" t="n"/>
      <c r="AE384" s="5" t="n"/>
      <c r="AF384" s="5" t="n"/>
      <c r="AG384" s="5" t="n"/>
    </row>
    <row r="385" outlineLevel="1" s="326">
      <c r="A385" s="143" t="inlineStr">
        <is>
          <t>Case Summary</t>
        </is>
      </c>
      <c r="B385" s="144" t="n"/>
      <c r="C385" s="144" t="n"/>
      <c r="D385" s="144" t="n"/>
      <c r="E385" s="144" t="n"/>
      <c r="F385" s="144" t="n"/>
      <c r="G385" s="145">
        <f>SUM(G345:G384)</f>
        <v/>
      </c>
      <c r="H385" s="145">
        <f>SUM(H345:H384)</f>
        <v/>
      </c>
      <c r="I385" s="145">
        <f>SUM(I345:I384)</f>
        <v/>
      </c>
      <c r="J385" s="145">
        <f>SUM(J345:J384)</f>
        <v/>
      </c>
      <c r="K385" s="145">
        <f>SUM(K345:K384)</f>
        <v/>
      </c>
      <c r="L385" s="145">
        <f>SUM(L345:L384)</f>
        <v/>
      </c>
      <c r="M385" s="145">
        <f>SUM(M345:M384)</f>
        <v/>
      </c>
      <c r="N385" s="145">
        <f>SUM(N345:N384)</f>
        <v/>
      </c>
      <c r="O385" s="145">
        <f>SUM(O345:O384)</f>
        <v/>
      </c>
      <c r="P385" s="145">
        <f>SUM(P345:P384)</f>
        <v/>
      </c>
      <c r="Q385" s="145">
        <f>Q384</f>
        <v/>
      </c>
      <c r="R385" s="145">
        <f>R384</f>
        <v/>
      </c>
      <c r="S385" s="145">
        <f>S384</f>
        <v/>
      </c>
      <c r="T385" s="145">
        <f>T384</f>
        <v/>
      </c>
      <c r="U385" s="145">
        <f>U384</f>
        <v/>
      </c>
      <c r="V385" s="145">
        <f>SUM(V345:V384)</f>
        <v/>
      </c>
      <c r="W385" s="145">
        <f>MIN(W345:W384)</f>
        <v/>
      </c>
      <c r="X385" s="145">
        <f>X384</f>
        <v/>
      </c>
      <c r="Y385" s="145">
        <f>Y384</f>
        <v/>
      </c>
      <c r="Z385" s="145">
        <f>Z384</f>
        <v/>
      </c>
      <c r="AA385" s="146">
        <f>AA384</f>
        <v/>
      </c>
      <c r="AB385" s="5" t="n"/>
      <c r="AC385" s="5" t="n"/>
      <c r="AD385" s="5" t="n"/>
      <c r="AE385" s="5" t="n"/>
      <c r="AF385" s="5" t="n"/>
      <c r="AG385" s="5" t="n"/>
    </row>
    <row r="386" outlineLevel="1" s="32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</row>
    <row r="387" outlineLevel="1" s="326">
      <c r="A387" s="387">
        <f>J230&amp;" | House "&amp;TEXT($L$230,"$#,##0")&amp;" | Spend "&amp;TEXT($N$230,"$#,##0")</f>
        <v/>
      </c>
      <c r="B387" s="345" t="n"/>
      <c r="C387" s="345" t="n"/>
      <c r="D387" s="345" t="n"/>
      <c r="E387" s="345" t="n"/>
      <c r="F387" s="345" t="n"/>
      <c r="G387" s="345" t="n"/>
      <c r="H387" s="345" t="n"/>
      <c r="I387" s="345" t="n"/>
      <c r="J387" s="345" t="n"/>
      <c r="K387" s="345" t="n"/>
      <c r="L387" s="345" t="n"/>
      <c r="M387" s="345" t="n"/>
      <c r="N387" s="345" t="n"/>
      <c r="O387" s="345" t="n"/>
      <c r="P387" s="345" t="n"/>
      <c r="Q387" s="345" t="n"/>
      <c r="R387" s="345" t="n"/>
      <c r="S387" s="345" t="n"/>
      <c r="T387" s="345" t="n"/>
      <c r="U387" s="345" t="n"/>
      <c r="V387" s="345" t="n"/>
      <c r="W387" s="345" t="n"/>
      <c r="X387" s="345" t="n"/>
      <c r="Y387" s="345" t="n"/>
      <c r="Z387" s="345" t="n"/>
      <c r="AA387" s="346" t="n"/>
      <c r="AB387" s="5" t="n"/>
      <c r="AC387" s="5" t="n"/>
      <c r="AD387" s="5" t="n"/>
      <c r="AE387" s="5" t="n"/>
      <c r="AF387" s="5" t="n"/>
      <c r="AG387" s="5" t="n"/>
    </row>
    <row r="388" outlineLevel="1" ht="34" customHeight="1" s="326">
      <c r="A388" s="134" t="inlineStr">
        <is>
          <t>Year</t>
        </is>
      </c>
      <c r="B388" s="83" t="inlineStr">
        <is>
          <t>Phase</t>
        </is>
      </c>
      <c r="C388" s="83" t="inlineStr">
        <is>
          <t>Gross</t>
        </is>
      </c>
      <c r="D388" s="83" t="inlineStr">
        <is>
          <t>Post-Tax Cash</t>
        </is>
      </c>
      <c r="E388" s="83" t="inlineStr">
        <is>
          <t>Rent</t>
        </is>
      </c>
      <c r="F388" s="83" t="inlineStr">
        <is>
          <t>Living</t>
        </is>
      </c>
      <c r="G388" s="83" t="inlineStr">
        <is>
          <t>House Cash</t>
        </is>
      </c>
      <c r="H388" s="83" t="inlineStr">
        <is>
          <t>Housing Carry</t>
        </is>
      </c>
      <c r="I388" s="83" t="inlineStr">
        <is>
          <t>Roth</t>
        </is>
      </c>
      <c r="J388" s="83" t="inlineStr">
        <is>
          <t>Taxable Sav / (Draw)</t>
        </is>
      </c>
      <c r="K388" s="83" t="inlineStr">
        <is>
          <t>Planned Need</t>
        </is>
      </c>
      <c r="L388" s="83" t="inlineStr">
        <is>
          <t>Actual W/D</t>
        </is>
      </c>
      <c r="M388" s="83" t="inlineStr">
        <is>
          <t>Taxable Draw</t>
        </is>
      </c>
      <c r="N388" s="83" t="inlineStr">
        <is>
          <t>401(k) Draw</t>
        </is>
      </c>
      <c r="O388" s="83" t="inlineStr">
        <is>
          <t>Roth Draw</t>
        </is>
      </c>
      <c r="P388" s="83" t="inlineStr">
        <is>
          <t>HSA Draw</t>
        </is>
      </c>
      <c r="Q388" s="83" t="inlineStr">
        <is>
          <t>Taxable Bal</t>
        </is>
      </c>
      <c r="R388" s="83" t="inlineStr">
        <is>
          <t>401(k) Bal</t>
        </is>
      </c>
      <c r="S388" s="83" t="inlineStr">
        <is>
          <t>Roth Bal</t>
        </is>
      </c>
      <c r="T388" s="83" t="inlineStr">
        <is>
          <t>HSA Bal</t>
        </is>
      </c>
      <c r="U388" s="83" t="inlineStr">
        <is>
          <t>Liquid Wealth</t>
        </is>
      </c>
      <c r="V388" s="83" t="inlineStr">
        <is>
          <t>Funding Gap</t>
        </is>
      </c>
      <c r="W388" s="83" t="inlineStr">
        <is>
          <t>Margin vs Reserve</t>
        </is>
      </c>
      <c r="X388" s="83" t="inlineStr">
        <is>
          <t>House Value</t>
        </is>
      </c>
      <c r="Y388" s="83" t="inlineStr">
        <is>
          <t>Mortgage Balance</t>
        </is>
      </c>
      <c r="Z388" s="83" t="inlineStr">
        <is>
          <t>Home Equity</t>
        </is>
      </c>
      <c r="AA388" s="135" t="inlineStr">
        <is>
          <t>Net Worth</t>
        </is>
      </c>
      <c r="AB388" s="5" t="n"/>
      <c r="AC388" s="5" t="n"/>
      <c r="AD388" s="5" t="n"/>
      <c r="AE388" s="5" t="n"/>
      <c r="AF388" s="5" t="n"/>
      <c r="AG388" s="5" t="n"/>
    </row>
    <row r="389" outlineLevel="1" s="326">
      <c r="A389" s="136" t="n">
        <v>1</v>
      </c>
      <c r="B389" s="72">
        <f>B80</f>
        <v/>
      </c>
      <c r="C389" s="137">
        <f>D80</f>
        <v/>
      </c>
      <c r="D389" s="137">
        <f>I80</f>
        <v/>
      </c>
      <c r="E389" s="137">
        <f>J80</f>
        <v/>
      </c>
      <c r="F389" s="137">
        <f>K80</f>
        <v/>
      </c>
      <c r="G389" s="138">
        <f>IF(AND($L$230&gt;0,A389=$C$13),$L$230*($C$15+$C$18),0)+IF(AND($L$230&gt;0,A389=$C$13),$C$24,0)</f>
        <v/>
      </c>
      <c r="H389" s="138">
        <f>IF(OR($L$230&lt;=0,A389&lt;$C$13),0,IF(AND($L$230&gt;0,$C$17&gt;0,A389&gt;=$C$13,A389&lt;($C$13+$C$17)),IF($C$17&lt;=0,0,IF($C$16=0,MAX($L$230*(1-$C$15),0)/$C$17,-PMT($C$16/12,$C$17*12,MAX($L$230*(1-$C$15),0))*12)),0)+X389*($C$19+$C$20+$C$21)+$C$22+$C$23)</f>
        <v/>
      </c>
      <c r="I389" s="138">
        <f>IF(B389="Working",MIN(MAX(D389-E389-F389-G389-H389,0),'Tax Assumptions'!$B$20),0)</f>
        <v/>
      </c>
      <c r="J389" s="138">
        <f>IF(B389="Working",D389-E389-F389-I389-G389-H389,-L389)</f>
        <v/>
      </c>
      <c r="K389" s="137">
        <f>IF(B389="Retired",$N$230+G389+H389,0)</f>
        <v/>
      </c>
      <c r="L389" s="137">
        <f>M389+N389+O389+P389</f>
        <v/>
      </c>
      <c r="M389" s="137">
        <f>IF(B389="Retired",MIN((('Savings Projection'!$B$7)*(1+$C$10)+IF(B389="Working",J389,0)),K389),0)</f>
        <v/>
      </c>
      <c r="N389" s="137">
        <f>IF(B389="Retired",MIN(MAX(K389-M389,0),(('Savings Projection'!$B$8)*(1+$C$10)+IF(B389="Working",E80,0))),0)</f>
        <v/>
      </c>
      <c r="O389" s="137">
        <f>IF(B389="Retired",MIN(MAX(K389-M389-N389,0),(('Savings Projection'!$B$9)*(1+$C$10)+IF(B389="Working",I389,0))),0)</f>
        <v/>
      </c>
      <c r="P389" s="137">
        <f>IF(B389="Retired",MIN(MAX(K389-M389-N389-O389,0),(('Savings Projection'!$B$10)*(1+$C$10)+IF(B389="Working",F80,0))),0)</f>
        <v/>
      </c>
      <c r="Q389" s="138">
        <f>MAX((('Savings Projection'!$B$7)*(1+$C$10)+IF(B389="Working",J389,0))-M389,0)</f>
        <v/>
      </c>
      <c r="R389" s="138">
        <f>MAX((('Savings Projection'!$B$8)*(1+$C$10)+IF(B389="Working",E80,0))-N389,0)</f>
        <v/>
      </c>
      <c r="S389" s="138">
        <f>MAX((('Savings Projection'!$B$9)*(1+$C$10)+IF(B389="Working",I389,0))-O389,0)</f>
        <v/>
      </c>
      <c r="T389" s="138">
        <f>MAX((('Savings Projection'!$B$10)*(1+$C$10)+IF(B389="Working",F80,0))-P389,0)</f>
        <v/>
      </c>
      <c r="U389" s="138">
        <f>Q389+R389+S389+T389</f>
        <v/>
      </c>
      <c r="V389" s="138">
        <f>IF(B389="Working",MAX(-((('Savings Projection'!$B$7)*(1+$C$10)+IF(B389="Working",J389,0))),0),MAX(K389-L389,0))</f>
        <v/>
      </c>
      <c r="W389" s="138">
        <f>IF(OR(A389&gt;=$C$13,B389="Retired"),IF(V389&gt;0,-V389,U389-'Model Inputs'!$B$18),"")</f>
        <v/>
      </c>
      <c r="X389" s="138">
        <f>IF(AND($L$230&gt;0,A389&gt;=$C$13),$L$230*(1+$C$25)^(A389-$C$13),0)</f>
        <v/>
      </c>
      <c r="Y389" s="138">
        <f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/>
      </c>
      <c r="Z389" s="138">
        <f>MAX(X389-Y389,0)</f>
        <v/>
      </c>
      <c r="AA389" s="139">
        <f>U389+Z389</f>
        <v/>
      </c>
      <c r="AB389" s="5" t="n"/>
      <c r="AC389" s="5" t="n"/>
      <c r="AD389" s="5" t="n"/>
      <c r="AE389" s="5" t="n"/>
      <c r="AF389" s="5" t="n"/>
      <c r="AG389" s="5" t="n"/>
    </row>
    <row r="390" outlineLevel="1" s="326">
      <c r="A390" s="140" t="n">
        <v>2</v>
      </c>
      <c r="B390" s="40">
        <f>B81</f>
        <v/>
      </c>
      <c r="C390" s="141">
        <f>D81</f>
        <v/>
      </c>
      <c r="D390" s="141">
        <f>I81</f>
        <v/>
      </c>
      <c r="E390" s="141">
        <f>J81</f>
        <v/>
      </c>
      <c r="F390" s="141">
        <f>K81</f>
        <v/>
      </c>
      <c r="G390" s="138">
        <f>IF(AND($L$230&gt;0,A390=$C$13),$L$230*($C$15+$C$18),0)+IF(AND($L$230&gt;0,A390=$C$13),$C$24,0)</f>
        <v/>
      </c>
      <c r="H390" s="138">
        <f>IF(OR($L$230&lt;=0,A390&lt;$C$13),0,IF(AND($L$230&gt;0,$C$17&gt;0,A390&gt;=$C$13,A390&lt;($C$13+$C$17)),IF($C$17&lt;=0,0,IF($C$16=0,MAX($L$230*(1-$C$15),0)/$C$17,-PMT($C$16/12,$C$17*12,MAX($L$230*(1-$C$15),0))*12)),0)+X390*($C$19+$C$20+$C$21)+$C$22+$C$23)</f>
        <v/>
      </c>
      <c r="I390" s="138">
        <f>IF(B390="Working",MIN(MAX(D390-E390-F390-G390-H390,0),'Tax Assumptions'!$B$20),0)</f>
        <v/>
      </c>
      <c r="J390" s="138">
        <f>IF(B390="Working",D390-E390-F390-I390-G390-H390,-L390)</f>
        <v/>
      </c>
      <c r="K390" s="141">
        <f>IF(B390="Retired",$N$230+G390+H390,0)</f>
        <v/>
      </c>
      <c r="L390" s="141">
        <f>M390+N390+O390+P390</f>
        <v/>
      </c>
      <c r="M390" s="141">
        <f>IF(B390="Retired",MIN(((Q389)*(1+$C$10)+IF(B390="Working",J390,0)),K390),0)</f>
        <v/>
      </c>
      <c r="N390" s="141">
        <f>IF(B390="Retired",MIN(MAX(K390-M390,0),((R389)*(1+$C$10)+IF(B390="Working",E81,0))),0)</f>
        <v/>
      </c>
      <c r="O390" s="141">
        <f>IF(B390="Retired",MIN(MAX(K390-M390-N390,0),((S389)*(1+$C$10)+IF(B390="Working",I390,0))),0)</f>
        <v/>
      </c>
      <c r="P390" s="141">
        <f>IF(B390="Retired",MIN(MAX(K390-M390-N390-O390,0),((T389)*(1+$C$10)+IF(B390="Working",F81,0))),0)</f>
        <v/>
      </c>
      <c r="Q390" s="138">
        <f>MAX(((Q389)*(1+$C$10)+IF(B390="Working",J390,0))-M390,0)</f>
        <v/>
      </c>
      <c r="R390" s="138">
        <f>MAX(((R389)*(1+$C$10)+IF(B390="Working",E81,0))-N390,0)</f>
        <v/>
      </c>
      <c r="S390" s="138">
        <f>MAX(((S389)*(1+$C$10)+IF(B390="Working",I390,0))-O390,0)</f>
        <v/>
      </c>
      <c r="T390" s="138">
        <f>MAX(((T389)*(1+$C$10)+IF(B390="Working",F81,0))-P390,0)</f>
        <v/>
      </c>
      <c r="U390" s="138">
        <f>Q390+R390+S390+T390</f>
        <v/>
      </c>
      <c r="V390" s="138">
        <f>IF(B390="Working",MAX(-(((Q389)*(1+$C$10)+IF(B390="Working",J390,0))),0),MAX(K390-L390,0))</f>
        <v/>
      </c>
      <c r="W390" s="138">
        <f>IF(OR(A390&gt;=$C$13,B390="Retired"),IF(V390&gt;0,-V390,U390-'Model Inputs'!$B$18),"")</f>
        <v/>
      </c>
      <c r="X390" s="138">
        <f>IF(AND($L$230&gt;0,A390&gt;=$C$13),$L$230*(1+$C$25)^(A390-$C$13),0)</f>
        <v/>
      </c>
      <c r="Y390" s="138">
        <f>IF(OR($L$230&lt;=0,$C$17&lt;=0,A390&lt;$C$13,MIN(MAX((A390-$C$13+1)*12,0),$C$17*12)&gt;=$C$17*12),0,IF($C$16=0,MAX(MAX($L$230*(1-$C$15),0)-(IF($C$17&lt;=0,0,IF($C$16=0,MAX($L$230*(1-$C$15),0)/$C$17,-PMT($C$16/12,$C$17*12,MAX($L$230*(1-$C$15),0))*12))/12)*MIN(MAX((A390-$C$13+1)*12,0),$C$17*12),0),MAX(MAX($L$230*(1-$C$15),0)*(1+$C$16/12)^MIN(MAX((A390-$C$13+1)*12,0),$C$17*12)-(IF($C$17&lt;=0,0,IF($C$16=0,MAX($L$230*(1-$C$15),0)/$C$17,-PMT($C$16/12,$C$17*12,MAX($L$230*(1-$C$15),0))*12))/12)*(((1+$C$16/12)^MIN(MAX((A390-$C$13+1)*12,0),$C$17*12)-1)/($C$16/12)),0)))</f>
        <v/>
      </c>
      <c r="Z390" s="138">
        <f>MAX(X390-Y390,0)</f>
        <v/>
      </c>
      <c r="AA390" s="142">
        <f>U390+Z390</f>
        <v/>
      </c>
      <c r="AB390" s="5" t="n"/>
      <c r="AC390" s="5" t="n"/>
      <c r="AD390" s="5" t="n"/>
      <c r="AE390" s="5" t="n"/>
      <c r="AF390" s="5" t="n"/>
      <c r="AG390" s="5" t="n"/>
    </row>
    <row r="391" outlineLevel="1" s="326">
      <c r="A391" s="136" t="n">
        <v>3</v>
      </c>
      <c r="B391" s="72">
        <f>B82</f>
        <v/>
      </c>
      <c r="C391" s="137">
        <f>D82</f>
        <v/>
      </c>
      <c r="D391" s="137">
        <f>I82</f>
        <v/>
      </c>
      <c r="E391" s="137">
        <f>J82</f>
        <v/>
      </c>
      <c r="F391" s="137">
        <f>K82</f>
        <v/>
      </c>
      <c r="G391" s="138">
        <f>IF(AND($L$230&gt;0,A391=$C$13),$L$230*($C$15+$C$18),0)+IF(AND($L$230&gt;0,A391=$C$13),$C$24,0)</f>
        <v/>
      </c>
      <c r="H391" s="138">
        <f>IF(OR($L$230&lt;=0,A391&lt;$C$13),0,IF(AND($L$230&gt;0,$C$17&gt;0,A391&gt;=$C$13,A391&lt;($C$13+$C$17)),IF($C$17&lt;=0,0,IF($C$16=0,MAX($L$230*(1-$C$15),0)/$C$17,-PMT($C$16/12,$C$17*12,MAX($L$230*(1-$C$15),0))*12)),0)+X391*($C$19+$C$20+$C$21)+$C$22+$C$23)</f>
        <v/>
      </c>
      <c r="I391" s="138">
        <f>IF(B391="Working",MIN(MAX(D391-E391-F391-G391-H391,0),'Tax Assumptions'!$B$20),0)</f>
        <v/>
      </c>
      <c r="J391" s="138">
        <f>IF(B391="Working",D391-E391-F391-I391-G391-H391,-L391)</f>
        <v/>
      </c>
      <c r="K391" s="137">
        <f>IF(B391="Retired",$N$230+G391+H391,0)</f>
        <v/>
      </c>
      <c r="L391" s="137">
        <f>M391+N391+O391+P391</f>
        <v/>
      </c>
      <c r="M391" s="137">
        <f>IF(B391="Retired",MIN(((Q390)*(1+$C$10)+IF(B391="Working",J391,0)),K391),0)</f>
        <v/>
      </c>
      <c r="N391" s="137">
        <f>IF(B391="Retired",MIN(MAX(K391-M391,0),((R390)*(1+$C$10)+IF(B391="Working",E82,0))),0)</f>
        <v/>
      </c>
      <c r="O391" s="137">
        <f>IF(B391="Retired",MIN(MAX(K391-M391-N391,0),((S390)*(1+$C$10)+IF(B391="Working",I391,0))),0)</f>
        <v/>
      </c>
      <c r="P391" s="137">
        <f>IF(B391="Retired",MIN(MAX(K391-M391-N391-O391,0),((T390)*(1+$C$10)+IF(B391="Working",F82,0))),0)</f>
        <v/>
      </c>
      <c r="Q391" s="138">
        <f>MAX(((Q390)*(1+$C$10)+IF(B391="Working",J391,0))-M391,0)</f>
        <v/>
      </c>
      <c r="R391" s="138">
        <f>MAX(((R390)*(1+$C$10)+IF(B391="Working",E82,0))-N391,0)</f>
        <v/>
      </c>
      <c r="S391" s="138">
        <f>MAX(((S390)*(1+$C$10)+IF(B391="Working",I391,0))-O391,0)</f>
        <v/>
      </c>
      <c r="T391" s="138">
        <f>MAX(((T390)*(1+$C$10)+IF(B391="Working",F82,0))-P391,0)</f>
        <v/>
      </c>
      <c r="U391" s="138">
        <f>Q391+R391+S391+T391</f>
        <v/>
      </c>
      <c r="V391" s="138">
        <f>IF(B391="Working",MAX(-(((Q390)*(1+$C$10)+IF(B391="Working",J391,0))),0),MAX(K391-L391,0))</f>
        <v/>
      </c>
      <c r="W391" s="138">
        <f>IF(OR(A391&gt;=$C$13,B391="Retired"),IF(V391&gt;0,-V391,U391-'Model Inputs'!$B$18),"")</f>
        <v/>
      </c>
      <c r="X391" s="138">
        <f>IF(AND($L$230&gt;0,A391&gt;=$C$13),$L$230*(1+$C$25)^(A391-$C$13),0)</f>
        <v/>
      </c>
      <c r="Y391" s="138">
        <f>IF(OR($L$230&lt;=0,$C$17&lt;=0,A391&lt;$C$13,MIN(MAX((A391-$C$13+1)*12,0),$C$17*12)&gt;=$C$17*12),0,IF($C$16=0,MAX(MAX($L$230*(1-$C$15),0)-(IF($C$17&lt;=0,0,IF($C$16=0,MAX($L$230*(1-$C$15),0)/$C$17,-PMT($C$16/12,$C$17*12,MAX($L$230*(1-$C$15),0))*12))/12)*MIN(MAX((A391-$C$13+1)*12,0),$C$17*12),0),MAX(MAX($L$230*(1-$C$15),0)*(1+$C$16/12)^MIN(MAX((A391-$C$13+1)*12,0),$C$17*12)-(IF($C$17&lt;=0,0,IF($C$16=0,MAX($L$230*(1-$C$15),0)/$C$17,-PMT($C$16/12,$C$17*12,MAX($L$230*(1-$C$15),0))*12))/12)*(((1+$C$16/12)^MIN(MAX((A391-$C$13+1)*12,0),$C$17*12)-1)/($C$16/12)),0)))</f>
        <v/>
      </c>
      <c r="Z391" s="138">
        <f>MAX(X391-Y391,0)</f>
        <v/>
      </c>
      <c r="AA391" s="139">
        <f>U391+Z391</f>
        <v/>
      </c>
      <c r="AB391" s="5" t="n"/>
      <c r="AC391" s="5" t="n"/>
      <c r="AD391" s="5" t="n"/>
      <c r="AE391" s="5" t="n"/>
      <c r="AF391" s="5" t="n"/>
      <c r="AG391" s="5" t="n"/>
    </row>
    <row r="392" outlineLevel="1" s="326">
      <c r="A392" s="140" t="n">
        <v>4</v>
      </c>
      <c r="B392" s="40">
        <f>B83</f>
        <v/>
      </c>
      <c r="C392" s="141">
        <f>D83</f>
        <v/>
      </c>
      <c r="D392" s="141">
        <f>I83</f>
        <v/>
      </c>
      <c r="E392" s="141">
        <f>J83</f>
        <v/>
      </c>
      <c r="F392" s="141">
        <f>K83</f>
        <v/>
      </c>
      <c r="G392" s="138">
        <f>IF(AND($L$230&gt;0,A392=$C$13),$L$230*($C$15+$C$18),0)+IF(AND($L$230&gt;0,A392=$C$13),$C$24,0)</f>
        <v/>
      </c>
      <c r="H392" s="138">
        <f>IF(OR($L$230&lt;=0,A392&lt;$C$13),0,IF(AND($L$230&gt;0,$C$17&gt;0,A392&gt;=$C$13,A392&lt;($C$13+$C$17)),IF($C$17&lt;=0,0,IF($C$16=0,MAX($L$230*(1-$C$15),0)/$C$17,-PMT($C$16/12,$C$17*12,MAX($L$230*(1-$C$15),0))*12)),0)+X392*($C$19+$C$20+$C$21)+$C$22+$C$23)</f>
        <v/>
      </c>
      <c r="I392" s="138">
        <f>IF(B392="Working",MIN(MAX(D392-E392-F392-G392-H392,0),'Tax Assumptions'!$B$20),0)</f>
        <v/>
      </c>
      <c r="J392" s="138">
        <f>IF(B392="Working",D392-E392-F392-I392-G392-H392,-L392)</f>
        <v/>
      </c>
      <c r="K392" s="141">
        <f>IF(B392="Retired",$N$230+G392+H392,0)</f>
        <v/>
      </c>
      <c r="L392" s="141">
        <f>M392+N392+O392+P392</f>
        <v/>
      </c>
      <c r="M392" s="141">
        <f>IF(B392="Retired",MIN(((Q391)*(1+$C$10)+IF(B392="Working",J392,0)),K392),0)</f>
        <v/>
      </c>
      <c r="N392" s="141">
        <f>IF(B392="Retired",MIN(MAX(K392-M392,0),((R391)*(1+$C$10)+IF(B392="Working",E83,0))),0)</f>
        <v/>
      </c>
      <c r="O392" s="141">
        <f>IF(B392="Retired",MIN(MAX(K392-M392-N392,0),((S391)*(1+$C$10)+IF(B392="Working",I392,0))),0)</f>
        <v/>
      </c>
      <c r="P392" s="141">
        <f>IF(B392="Retired",MIN(MAX(K392-M392-N392-O392,0),((T391)*(1+$C$10)+IF(B392="Working",F83,0))),0)</f>
        <v/>
      </c>
      <c r="Q392" s="138">
        <f>MAX(((Q391)*(1+$C$10)+IF(B392="Working",J392,0))-M392,0)</f>
        <v/>
      </c>
      <c r="R392" s="138">
        <f>MAX(((R391)*(1+$C$10)+IF(B392="Working",E83,0))-N392,0)</f>
        <v/>
      </c>
      <c r="S392" s="138">
        <f>MAX(((S391)*(1+$C$10)+IF(B392="Working",I392,0))-O392,0)</f>
        <v/>
      </c>
      <c r="T392" s="138">
        <f>MAX(((T391)*(1+$C$10)+IF(B392="Working",F83,0))-P392,0)</f>
        <v/>
      </c>
      <c r="U392" s="138">
        <f>Q392+R392+S392+T392</f>
        <v/>
      </c>
      <c r="V392" s="138">
        <f>IF(B392="Working",MAX(-(((Q391)*(1+$C$10)+IF(B392="Working",J392,0))),0),MAX(K392-L392,0))</f>
        <v/>
      </c>
      <c r="W392" s="138">
        <f>IF(OR(A392&gt;=$C$13,B392="Retired"),IF(V392&gt;0,-V392,U392-'Model Inputs'!$B$18),"")</f>
        <v/>
      </c>
      <c r="X392" s="138">
        <f>IF(AND($L$230&gt;0,A392&gt;=$C$13),$L$230*(1+$C$25)^(A392-$C$13),0)</f>
        <v/>
      </c>
      <c r="Y392" s="138">
        <f>IF(OR($L$230&lt;=0,$C$17&lt;=0,A392&lt;$C$13,MIN(MAX((A392-$C$13+1)*12,0),$C$17*12)&gt;=$C$17*12),0,IF($C$16=0,MAX(MAX($L$230*(1-$C$15),0)-(IF($C$17&lt;=0,0,IF($C$16=0,MAX($L$230*(1-$C$15),0)/$C$17,-PMT($C$16/12,$C$17*12,MAX($L$230*(1-$C$15),0))*12))/12)*MIN(MAX((A392-$C$13+1)*12,0),$C$17*12),0),MAX(MAX($L$230*(1-$C$15),0)*(1+$C$16/12)^MIN(MAX((A392-$C$13+1)*12,0),$C$17*12)-(IF($C$17&lt;=0,0,IF($C$16=0,MAX($L$230*(1-$C$15),0)/$C$17,-PMT($C$16/12,$C$17*12,MAX($L$230*(1-$C$15),0))*12))/12)*(((1+$C$16/12)^MIN(MAX((A392-$C$13+1)*12,0),$C$17*12)-1)/($C$16/12)),0)))</f>
        <v/>
      </c>
      <c r="Z392" s="138">
        <f>MAX(X392-Y392,0)</f>
        <v/>
      </c>
      <c r="AA392" s="142">
        <f>U392+Z392</f>
        <v/>
      </c>
      <c r="AB392" s="5" t="n"/>
      <c r="AC392" s="5" t="n"/>
      <c r="AD392" s="5" t="n"/>
      <c r="AE392" s="5" t="n"/>
      <c r="AF392" s="5" t="n"/>
      <c r="AG392" s="5" t="n"/>
    </row>
    <row r="393" outlineLevel="1" s="326">
      <c r="A393" s="136" t="n">
        <v>5</v>
      </c>
      <c r="B393" s="72">
        <f>B84</f>
        <v/>
      </c>
      <c r="C393" s="137">
        <f>D84</f>
        <v/>
      </c>
      <c r="D393" s="137">
        <f>I84</f>
        <v/>
      </c>
      <c r="E393" s="137">
        <f>J84</f>
        <v/>
      </c>
      <c r="F393" s="137">
        <f>K84</f>
        <v/>
      </c>
      <c r="G393" s="138">
        <f>IF(AND($L$230&gt;0,A393=$C$13),$L$230*($C$15+$C$18),0)+IF(AND($L$230&gt;0,A393=$C$13),$C$24,0)</f>
        <v/>
      </c>
      <c r="H393" s="138">
        <f>IF(OR($L$230&lt;=0,A393&lt;$C$13),0,IF(AND($L$230&gt;0,$C$17&gt;0,A393&gt;=$C$13,A393&lt;($C$13+$C$17)),IF($C$17&lt;=0,0,IF($C$16=0,MAX($L$230*(1-$C$15),0)/$C$17,-PMT($C$16/12,$C$17*12,MAX($L$230*(1-$C$15),0))*12)),0)+X393*($C$19+$C$20+$C$21)+$C$22+$C$23)</f>
        <v/>
      </c>
      <c r="I393" s="138">
        <f>IF(B393="Working",MIN(MAX(D393-E393-F393-G393-H393,0),'Tax Assumptions'!$B$20),0)</f>
        <v/>
      </c>
      <c r="J393" s="138">
        <f>IF(B393="Working",D393-E393-F393-I393-G393-H393,-L393)</f>
        <v/>
      </c>
      <c r="K393" s="137">
        <f>IF(B393="Retired",$N$230+G393+H393,0)</f>
        <v/>
      </c>
      <c r="L393" s="137">
        <f>M393+N393+O393+P393</f>
        <v/>
      </c>
      <c r="M393" s="137">
        <f>IF(B393="Retired",MIN(((Q392)*(1+$C$10)+IF(B393="Working",J393,0)),K393),0)</f>
        <v/>
      </c>
      <c r="N393" s="137">
        <f>IF(B393="Retired",MIN(MAX(K393-M393,0),((R392)*(1+$C$10)+IF(B393="Working",E84,0))),0)</f>
        <v/>
      </c>
      <c r="O393" s="137">
        <f>IF(B393="Retired",MIN(MAX(K393-M393-N393,0),((S392)*(1+$C$10)+IF(B393="Working",I393,0))),0)</f>
        <v/>
      </c>
      <c r="P393" s="137">
        <f>IF(B393="Retired",MIN(MAX(K393-M393-N393-O393,0),((T392)*(1+$C$10)+IF(B393="Working",F84,0))),0)</f>
        <v/>
      </c>
      <c r="Q393" s="138">
        <f>MAX(((Q392)*(1+$C$10)+IF(B393="Working",J393,0))-M393,0)</f>
        <v/>
      </c>
      <c r="R393" s="138">
        <f>MAX(((R392)*(1+$C$10)+IF(B393="Working",E84,0))-N393,0)</f>
        <v/>
      </c>
      <c r="S393" s="138">
        <f>MAX(((S392)*(1+$C$10)+IF(B393="Working",I393,0))-O393,0)</f>
        <v/>
      </c>
      <c r="T393" s="138">
        <f>MAX(((T392)*(1+$C$10)+IF(B393="Working",F84,0))-P393,0)</f>
        <v/>
      </c>
      <c r="U393" s="138">
        <f>Q393+R393+S393+T393</f>
        <v/>
      </c>
      <c r="V393" s="138">
        <f>IF(B393="Working",MAX(-(((Q392)*(1+$C$10)+IF(B393="Working",J393,0))),0),MAX(K393-L393,0))</f>
        <v/>
      </c>
      <c r="W393" s="138">
        <f>IF(OR(A393&gt;=$C$13,B393="Retired"),IF(V393&gt;0,-V393,U393-'Model Inputs'!$B$18),"")</f>
        <v/>
      </c>
      <c r="X393" s="138">
        <f>IF(AND($L$230&gt;0,A393&gt;=$C$13),$L$230*(1+$C$25)^(A393-$C$13),0)</f>
        <v/>
      </c>
      <c r="Y393" s="138">
        <f>IF(OR($L$230&lt;=0,$C$17&lt;=0,A393&lt;$C$13,MIN(MAX((A393-$C$13+1)*12,0),$C$17*12)&gt;=$C$17*12),0,IF($C$16=0,MAX(MAX($L$230*(1-$C$15),0)-(IF($C$17&lt;=0,0,IF($C$16=0,MAX($L$230*(1-$C$15),0)/$C$17,-PMT($C$16/12,$C$17*12,MAX($L$230*(1-$C$15),0))*12))/12)*MIN(MAX((A393-$C$13+1)*12,0),$C$17*12),0),MAX(MAX($L$230*(1-$C$15),0)*(1+$C$16/12)^MIN(MAX((A393-$C$13+1)*12,0),$C$17*12)-(IF($C$17&lt;=0,0,IF($C$16=0,MAX($L$230*(1-$C$15),0)/$C$17,-PMT($C$16/12,$C$17*12,MAX($L$230*(1-$C$15),0))*12))/12)*(((1+$C$16/12)^MIN(MAX((A393-$C$13+1)*12,0),$C$17*12)-1)/($C$16/12)),0)))</f>
        <v/>
      </c>
      <c r="Z393" s="138">
        <f>MAX(X393-Y393,0)</f>
        <v/>
      </c>
      <c r="AA393" s="139">
        <f>U393+Z393</f>
        <v/>
      </c>
      <c r="AB393" s="5" t="n"/>
      <c r="AC393" s="5" t="n"/>
      <c r="AD393" s="5" t="n"/>
      <c r="AE393" s="5" t="n"/>
      <c r="AF393" s="5" t="n"/>
      <c r="AG393" s="5" t="n"/>
    </row>
    <row r="394" outlineLevel="1" s="326">
      <c r="A394" s="140" t="n">
        <v>6</v>
      </c>
      <c r="B394" s="40">
        <f>B85</f>
        <v/>
      </c>
      <c r="C394" s="141">
        <f>D85</f>
        <v/>
      </c>
      <c r="D394" s="141">
        <f>I85</f>
        <v/>
      </c>
      <c r="E394" s="141">
        <f>J85</f>
        <v/>
      </c>
      <c r="F394" s="141">
        <f>K85</f>
        <v/>
      </c>
      <c r="G394" s="138">
        <f>IF(AND($L$230&gt;0,A394=$C$13),$L$230*($C$15+$C$18),0)+IF(AND($L$230&gt;0,A394=$C$13),$C$24,0)</f>
        <v/>
      </c>
      <c r="H394" s="138">
        <f>IF(OR($L$230&lt;=0,A394&lt;$C$13),0,IF(AND($L$230&gt;0,$C$17&gt;0,A394&gt;=$C$13,A394&lt;($C$13+$C$17)),IF($C$17&lt;=0,0,IF($C$16=0,MAX($L$230*(1-$C$15),0)/$C$17,-PMT($C$16/12,$C$17*12,MAX($L$230*(1-$C$15),0))*12)),0)+X394*($C$19+$C$20+$C$21)+$C$22+$C$23)</f>
        <v/>
      </c>
      <c r="I394" s="138">
        <f>IF(B394="Working",MIN(MAX(D394-E394-F394-G394-H394,0),'Tax Assumptions'!$B$20),0)</f>
        <v/>
      </c>
      <c r="J394" s="138">
        <f>IF(B394="Working",D394-E394-F394-I394-G394-H394,-L394)</f>
        <v/>
      </c>
      <c r="K394" s="141">
        <f>IF(B394="Retired",$N$230+G394+H394,0)</f>
        <v/>
      </c>
      <c r="L394" s="141">
        <f>M394+N394+O394+P394</f>
        <v/>
      </c>
      <c r="M394" s="141">
        <f>IF(B394="Retired",MIN(((Q393)*(1+$C$10)+IF(B394="Working",J394,0)),K394),0)</f>
        <v/>
      </c>
      <c r="N394" s="141">
        <f>IF(B394="Retired",MIN(MAX(K394-M394,0),((R393)*(1+$C$10)+IF(B394="Working",E85,0))),0)</f>
        <v/>
      </c>
      <c r="O394" s="141">
        <f>IF(B394="Retired",MIN(MAX(K394-M394-N394,0),((S393)*(1+$C$10)+IF(B394="Working",I394,0))),0)</f>
        <v/>
      </c>
      <c r="P394" s="141">
        <f>IF(B394="Retired",MIN(MAX(K394-M394-N394-O394,0),((T393)*(1+$C$10)+IF(B394="Working",F85,0))),0)</f>
        <v/>
      </c>
      <c r="Q394" s="138">
        <f>MAX(((Q393)*(1+$C$10)+IF(B394="Working",J394,0))-M394,0)</f>
        <v/>
      </c>
      <c r="R394" s="138">
        <f>MAX(((R393)*(1+$C$10)+IF(B394="Working",E85,0))-N394,0)</f>
        <v/>
      </c>
      <c r="S394" s="138">
        <f>MAX(((S393)*(1+$C$10)+IF(B394="Working",I394,0))-O394,0)</f>
        <v/>
      </c>
      <c r="T394" s="138">
        <f>MAX(((T393)*(1+$C$10)+IF(B394="Working",F85,0))-P394,0)</f>
        <v/>
      </c>
      <c r="U394" s="138">
        <f>Q394+R394+S394+T394</f>
        <v/>
      </c>
      <c r="V394" s="138">
        <f>IF(B394="Working",MAX(-(((Q393)*(1+$C$10)+IF(B394="Working",J394,0))),0),MAX(K394-L394,0))</f>
        <v/>
      </c>
      <c r="W394" s="138">
        <f>IF(OR(A394&gt;=$C$13,B394="Retired"),IF(V394&gt;0,-V394,U394-'Model Inputs'!$B$18),"")</f>
        <v/>
      </c>
      <c r="X394" s="138">
        <f>IF(AND($L$230&gt;0,A394&gt;=$C$13),$L$230*(1+$C$25)^(A394-$C$13),0)</f>
        <v/>
      </c>
      <c r="Y394" s="138">
        <f>IF(OR($L$230&lt;=0,$C$17&lt;=0,A394&lt;$C$13,MIN(MAX((A394-$C$13+1)*12,0),$C$17*12)&gt;=$C$17*12),0,IF($C$16=0,MAX(MAX($L$230*(1-$C$15),0)-(IF($C$17&lt;=0,0,IF($C$16=0,MAX($L$230*(1-$C$15),0)/$C$17,-PMT($C$16/12,$C$17*12,MAX($L$230*(1-$C$15),0))*12))/12)*MIN(MAX((A394-$C$13+1)*12,0),$C$17*12),0),MAX(MAX($L$230*(1-$C$15),0)*(1+$C$16/12)^MIN(MAX((A394-$C$13+1)*12,0),$C$17*12)-(IF($C$17&lt;=0,0,IF($C$16=0,MAX($L$230*(1-$C$15),0)/$C$17,-PMT($C$16/12,$C$17*12,MAX($L$230*(1-$C$15),0))*12))/12)*(((1+$C$16/12)^MIN(MAX((A394-$C$13+1)*12,0),$C$17*12)-1)/($C$16/12)),0)))</f>
        <v/>
      </c>
      <c r="Z394" s="138">
        <f>MAX(X394-Y394,0)</f>
        <v/>
      </c>
      <c r="AA394" s="142">
        <f>U394+Z394</f>
        <v/>
      </c>
      <c r="AB394" s="5" t="n"/>
      <c r="AC394" s="5" t="n"/>
      <c r="AD394" s="5" t="n"/>
      <c r="AE394" s="5" t="n"/>
      <c r="AF394" s="5" t="n"/>
      <c r="AG394" s="5" t="n"/>
    </row>
    <row r="395" outlineLevel="1" s="326">
      <c r="A395" s="136" t="n">
        <v>7</v>
      </c>
      <c r="B395" s="72">
        <f>B86</f>
        <v/>
      </c>
      <c r="C395" s="137">
        <f>D86</f>
        <v/>
      </c>
      <c r="D395" s="137">
        <f>I86</f>
        <v/>
      </c>
      <c r="E395" s="137">
        <f>J86</f>
        <v/>
      </c>
      <c r="F395" s="137">
        <f>K86</f>
        <v/>
      </c>
      <c r="G395" s="138">
        <f>IF(AND($L$230&gt;0,A395=$C$13),$L$230*($C$15+$C$18),0)+IF(AND($L$230&gt;0,A395=$C$13),$C$24,0)</f>
        <v/>
      </c>
      <c r="H395" s="138">
        <f>IF(OR($L$230&lt;=0,A395&lt;$C$13),0,IF(AND($L$230&gt;0,$C$17&gt;0,A395&gt;=$C$13,A395&lt;($C$13+$C$17)),IF($C$17&lt;=0,0,IF($C$16=0,MAX($L$230*(1-$C$15),0)/$C$17,-PMT($C$16/12,$C$17*12,MAX($L$230*(1-$C$15),0))*12)),0)+X395*($C$19+$C$20+$C$21)+$C$22+$C$23)</f>
        <v/>
      </c>
      <c r="I395" s="138">
        <f>IF(B395="Working",MIN(MAX(D395-E395-F395-G395-H395,0),'Tax Assumptions'!$B$20),0)</f>
        <v/>
      </c>
      <c r="J395" s="138">
        <f>IF(B395="Working",D395-E395-F395-I395-G395-H395,-L395)</f>
        <v/>
      </c>
      <c r="K395" s="137">
        <f>IF(B395="Retired",$N$230+G395+H395,0)</f>
        <v/>
      </c>
      <c r="L395" s="137">
        <f>M395+N395+O395+P395</f>
        <v/>
      </c>
      <c r="M395" s="137">
        <f>IF(B395="Retired",MIN(((Q394)*(1+$C$10)+IF(B395="Working",J395,0)),K395),0)</f>
        <v/>
      </c>
      <c r="N395" s="137">
        <f>IF(B395="Retired",MIN(MAX(K395-M395,0),((R394)*(1+$C$10)+IF(B395="Working",E86,0))),0)</f>
        <v/>
      </c>
      <c r="O395" s="137">
        <f>IF(B395="Retired",MIN(MAX(K395-M395-N395,0),((S394)*(1+$C$10)+IF(B395="Working",I395,0))),0)</f>
        <v/>
      </c>
      <c r="P395" s="137">
        <f>IF(B395="Retired",MIN(MAX(K395-M395-N395-O395,0),((T394)*(1+$C$10)+IF(B395="Working",F86,0))),0)</f>
        <v/>
      </c>
      <c r="Q395" s="138">
        <f>MAX(((Q394)*(1+$C$10)+IF(B395="Working",J395,0))-M395,0)</f>
        <v/>
      </c>
      <c r="R395" s="138">
        <f>MAX(((R394)*(1+$C$10)+IF(B395="Working",E86,0))-N395,0)</f>
        <v/>
      </c>
      <c r="S395" s="138">
        <f>MAX(((S394)*(1+$C$10)+IF(B395="Working",I395,0))-O395,0)</f>
        <v/>
      </c>
      <c r="T395" s="138">
        <f>MAX(((T394)*(1+$C$10)+IF(B395="Working",F86,0))-P395,0)</f>
        <v/>
      </c>
      <c r="U395" s="138">
        <f>Q395+R395+S395+T395</f>
        <v/>
      </c>
      <c r="V395" s="138">
        <f>IF(B395="Working",MAX(-(((Q394)*(1+$C$10)+IF(B395="Working",J395,0))),0),MAX(K395-L395,0))</f>
        <v/>
      </c>
      <c r="W395" s="138">
        <f>IF(OR(A395&gt;=$C$13,B395="Retired"),IF(V395&gt;0,-V395,U395-'Model Inputs'!$B$18),"")</f>
        <v/>
      </c>
      <c r="X395" s="138">
        <f>IF(AND($L$230&gt;0,A395&gt;=$C$13),$L$230*(1+$C$25)^(A395-$C$13),0)</f>
        <v/>
      </c>
      <c r="Y395" s="138">
        <f>IF(OR($L$230&lt;=0,$C$17&lt;=0,A395&lt;$C$13,MIN(MAX((A395-$C$13+1)*12,0),$C$17*12)&gt;=$C$17*12),0,IF($C$16=0,MAX(MAX($L$230*(1-$C$15),0)-(IF($C$17&lt;=0,0,IF($C$16=0,MAX($L$230*(1-$C$15),0)/$C$17,-PMT($C$16/12,$C$17*12,MAX($L$230*(1-$C$15),0))*12))/12)*MIN(MAX((A395-$C$13+1)*12,0),$C$17*12),0),MAX(MAX($L$230*(1-$C$15),0)*(1+$C$16/12)^MIN(MAX((A395-$C$13+1)*12,0),$C$17*12)-(IF($C$17&lt;=0,0,IF($C$16=0,MAX($L$230*(1-$C$15),0)/$C$17,-PMT($C$16/12,$C$17*12,MAX($L$230*(1-$C$15),0))*12))/12)*(((1+$C$16/12)^MIN(MAX((A395-$C$13+1)*12,0),$C$17*12)-1)/($C$16/12)),0)))</f>
        <v/>
      </c>
      <c r="Z395" s="138">
        <f>MAX(X395-Y395,0)</f>
        <v/>
      </c>
      <c r="AA395" s="139">
        <f>U395+Z395</f>
        <v/>
      </c>
      <c r="AB395" s="5" t="n"/>
      <c r="AC395" s="5" t="n"/>
      <c r="AD395" s="5" t="n"/>
      <c r="AE395" s="5" t="n"/>
      <c r="AF395" s="5" t="n"/>
      <c r="AG395" s="5" t="n"/>
    </row>
    <row r="396" outlineLevel="1" s="326">
      <c r="A396" s="140" t="n">
        <v>8</v>
      </c>
      <c r="B396" s="40">
        <f>B87</f>
        <v/>
      </c>
      <c r="C396" s="141">
        <f>D87</f>
        <v/>
      </c>
      <c r="D396" s="141">
        <f>I87</f>
        <v/>
      </c>
      <c r="E396" s="141">
        <f>J87</f>
        <v/>
      </c>
      <c r="F396" s="141">
        <f>K87</f>
        <v/>
      </c>
      <c r="G396" s="138">
        <f>IF(AND($L$230&gt;0,A396=$C$13),$L$230*($C$15+$C$18),0)+IF(AND($L$230&gt;0,A396=$C$13),$C$24,0)</f>
        <v/>
      </c>
      <c r="H396" s="138">
        <f>IF(OR($L$230&lt;=0,A396&lt;$C$13),0,IF(AND($L$230&gt;0,$C$17&gt;0,A396&gt;=$C$13,A396&lt;($C$13+$C$17)),IF($C$17&lt;=0,0,IF($C$16=0,MAX($L$230*(1-$C$15),0)/$C$17,-PMT($C$16/12,$C$17*12,MAX($L$230*(1-$C$15),0))*12)),0)+X396*($C$19+$C$20+$C$21)+$C$22+$C$23)</f>
        <v/>
      </c>
      <c r="I396" s="138">
        <f>IF(B396="Working",MIN(MAX(D396-E396-F396-G396-H396,0),'Tax Assumptions'!$B$20),0)</f>
        <v/>
      </c>
      <c r="J396" s="138">
        <f>IF(B396="Working",D396-E396-F396-I396-G396-H396,-L396)</f>
        <v/>
      </c>
      <c r="K396" s="141">
        <f>IF(B396="Retired",$N$230+G396+H396,0)</f>
        <v/>
      </c>
      <c r="L396" s="141">
        <f>M396+N396+O396+P396</f>
        <v/>
      </c>
      <c r="M396" s="141">
        <f>IF(B396="Retired",MIN(((Q395)*(1+$C$10)+IF(B396="Working",J396,0)),K396),0)</f>
        <v/>
      </c>
      <c r="N396" s="141">
        <f>IF(B396="Retired",MIN(MAX(K396-M396,0),((R395)*(1+$C$10)+IF(B396="Working",E87,0))),0)</f>
        <v/>
      </c>
      <c r="O396" s="141">
        <f>IF(B396="Retired",MIN(MAX(K396-M396-N396,0),((S395)*(1+$C$10)+IF(B396="Working",I396,0))),0)</f>
        <v/>
      </c>
      <c r="P396" s="141">
        <f>IF(B396="Retired",MIN(MAX(K396-M396-N396-O396,0),((T395)*(1+$C$10)+IF(B396="Working",F87,0))),0)</f>
        <v/>
      </c>
      <c r="Q396" s="138">
        <f>MAX(((Q395)*(1+$C$10)+IF(B396="Working",J396,0))-M396,0)</f>
        <v/>
      </c>
      <c r="R396" s="138">
        <f>MAX(((R395)*(1+$C$10)+IF(B396="Working",E87,0))-N396,0)</f>
        <v/>
      </c>
      <c r="S396" s="138">
        <f>MAX(((S395)*(1+$C$10)+IF(B396="Working",I396,0))-O396,0)</f>
        <v/>
      </c>
      <c r="T396" s="138">
        <f>MAX(((T395)*(1+$C$10)+IF(B396="Working",F87,0))-P396,0)</f>
        <v/>
      </c>
      <c r="U396" s="138">
        <f>Q396+R396+S396+T396</f>
        <v/>
      </c>
      <c r="V396" s="138">
        <f>IF(B396="Working",MAX(-(((Q395)*(1+$C$10)+IF(B396="Working",J396,0))),0),MAX(K396-L396,0))</f>
        <v/>
      </c>
      <c r="W396" s="138">
        <f>IF(OR(A396&gt;=$C$13,B396="Retired"),IF(V396&gt;0,-V396,U396-'Model Inputs'!$B$18),"")</f>
        <v/>
      </c>
      <c r="X396" s="138">
        <f>IF(AND($L$230&gt;0,A396&gt;=$C$13),$L$230*(1+$C$25)^(A396-$C$13),0)</f>
        <v/>
      </c>
      <c r="Y396" s="138">
        <f>IF(OR($L$230&lt;=0,$C$17&lt;=0,A396&lt;$C$13,MIN(MAX((A396-$C$13+1)*12,0),$C$17*12)&gt;=$C$17*12),0,IF($C$16=0,MAX(MAX($L$230*(1-$C$15),0)-(IF($C$17&lt;=0,0,IF($C$16=0,MAX($L$230*(1-$C$15),0)/$C$17,-PMT($C$16/12,$C$17*12,MAX($L$230*(1-$C$15),0))*12))/12)*MIN(MAX((A396-$C$13+1)*12,0),$C$17*12),0),MAX(MAX($L$230*(1-$C$15),0)*(1+$C$16/12)^MIN(MAX((A396-$C$13+1)*12,0),$C$17*12)-(IF($C$17&lt;=0,0,IF($C$16=0,MAX($L$230*(1-$C$15),0)/$C$17,-PMT($C$16/12,$C$17*12,MAX($L$230*(1-$C$15),0))*12))/12)*(((1+$C$16/12)^MIN(MAX((A396-$C$13+1)*12,0),$C$17*12)-1)/($C$16/12)),0)))</f>
        <v/>
      </c>
      <c r="Z396" s="138">
        <f>MAX(X396-Y396,0)</f>
        <v/>
      </c>
      <c r="AA396" s="142">
        <f>U396+Z396</f>
        <v/>
      </c>
      <c r="AB396" s="5" t="n"/>
      <c r="AC396" s="5" t="n"/>
      <c r="AD396" s="5" t="n"/>
      <c r="AE396" s="5" t="n"/>
      <c r="AF396" s="5" t="n"/>
      <c r="AG396" s="5" t="n"/>
    </row>
    <row r="397" outlineLevel="1" s="326">
      <c r="A397" s="136" t="n">
        <v>9</v>
      </c>
      <c r="B397" s="72">
        <f>B88</f>
        <v/>
      </c>
      <c r="C397" s="137">
        <f>D88</f>
        <v/>
      </c>
      <c r="D397" s="137">
        <f>I88</f>
        <v/>
      </c>
      <c r="E397" s="137">
        <f>J88</f>
        <v/>
      </c>
      <c r="F397" s="137">
        <f>K88</f>
        <v/>
      </c>
      <c r="G397" s="138">
        <f>IF(AND($L$230&gt;0,A397=$C$13),$L$230*($C$15+$C$18),0)+IF(AND($L$230&gt;0,A397=$C$13),$C$24,0)</f>
        <v/>
      </c>
      <c r="H397" s="138">
        <f>IF(OR($L$230&lt;=0,A397&lt;$C$13),0,IF(AND($L$230&gt;0,$C$17&gt;0,A397&gt;=$C$13,A397&lt;($C$13+$C$17)),IF($C$17&lt;=0,0,IF($C$16=0,MAX($L$230*(1-$C$15),0)/$C$17,-PMT($C$16/12,$C$17*12,MAX($L$230*(1-$C$15),0))*12)),0)+X397*($C$19+$C$20+$C$21)+$C$22+$C$23)</f>
        <v/>
      </c>
      <c r="I397" s="138">
        <f>IF(B397="Working",MIN(MAX(D397-E397-F397-G397-H397,0),'Tax Assumptions'!$B$20),0)</f>
        <v/>
      </c>
      <c r="J397" s="138">
        <f>IF(B397="Working",D397-E397-F397-I397-G397-H397,-L397)</f>
        <v/>
      </c>
      <c r="K397" s="137">
        <f>IF(B397="Retired",$N$230+G397+H397,0)</f>
        <v/>
      </c>
      <c r="L397" s="137">
        <f>M397+N397+O397+P397</f>
        <v/>
      </c>
      <c r="M397" s="137">
        <f>IF(B397="Retired",MIN(((Q396)*(1+$C$10)+IF(B397="Working",J397,0)),K397),0)</f>
        <v/>
      </c>
      <c r="N397" s="137">
        <f>IF(B397="Retired",MIN(MAX(K397-M397,0),((R396)*(1+$C$10)+IF(B397="Working",E88,0))),0)</f>
        <v/>
      </c>
      <c r="O397" s="137">
        <f>IF(B397="Retired",MIN(MAX(K397-M397-N397,0),((S396)*(1+$C$10)+IF(B397="Working",I397,0))),0)</f>
        <v/>
      </c>
      <c r="P397" s="137">
        <f>IF(B397="Retired",MIN(MAX(K397-M397-N397-O397,0),((T396)*(1+$C$10)+IF(B397="Working",F88,0))),0)</f>
        <v/>
      </c>
      <c r="Q397" s="138">
        <f>MAX(((Q396)*(1+$C$10)+IF(B397="Working",J397,0))-M397,0)</f>
        <v/>
      </c>
      <c r="R397" s="138">
        <f>MAX(((R396)*(1+$C$10)+IF(B397="Working",E88,0))-N397,0)</f>
        <v/>
      </c>
      <c r="S397" s="138">
        <f>MAX(((S396)*(1+$C$10)+IF(B397="Working",I397,0))-O397,0)</f>
        <v/>
      </c>
      <c r="T397" s="138">
        <f>MAX(((T396)*(1+$C$10)+IF(B397="Working",F88,0))-P397,0)</f>
        <v/>
      </c>
      <c r="U397" s="138">
        <f>Q397+R397+S397+T397</f>
        <v/>
      </c>
      <c r="V397" s="138">
        <f>IF(B397="Working",MAX(-(((Q396)*(1+$C$10)+IF(B397="Working",J397,0))),0),MAX(K397-L397,0))</f>
        <v/>
      </c>
      <c r="W397" s="138">
        <f>IF(OR(A397&gt;=$C$13,B397="Retired"),IF(V397&gt;0,-V397,U397-'Model Inputs'!$B$18),"")</f>
        <v/>
      </c>
      <c r="X397" s="138">
        <f>IF(AND($L$230&gt;0,A397&gt;=$C$13),$L$230*(1+$C$25)^(A397-$C$13),0)</f>
        <v/>
      </c>
      <c r="Y397" s="138">
        <f>IF(OR($L$230&lt;=0,$C$17&lt;=0,A397&lt;$C$13,MIN(MAX((A397-$C$13+1)*12,0),$C$17*12)&gt;=$C$17*12),0,IF($C$16=0,MAX(MAX($L$230*(1-$C$15),0)-(IF($C$17&lt;=0,0,IF($C$16=0,MAX($L$230*(1-$C$15),0)/$C$17,-PMT($C$16/12,$C$17*12,MAX($L$230*(1-$C$15),0))*12))/12)*MIN(MAX((A397-$C$13+1)*12,0),$C$17*12),0),MAX(MAX($L$230*(1-$C$15),0)*(1+$C$16/12)^MIN(MAX((A397-$C$13+1)*12,0),$C$17*12)-(IF($C$17&lt;=0,0,IF($C$16=0,MAX($L$230*(1-$C$15),0)/$C$17,-PMT($C$16/12,$C$17*12,MAX($L$230*(1-$C$15),0))*12))/12)*(((1+$C$16/12)^MIN(MAX((A397-$C$13+1)*12,0),$C$17*12)-1)/($C$16/12)),0)))</f>
        <v/>
      </c>
      <c r="Z397" s="138">
        <f>MAX(X397-Y397,0)</f>
        <v/>
      </c>
      <c r="AA397" s="139">
        <f>U397+Z397</f>
        <v/>
      </c>
      <c r="AB397" s="5" t="n"/>
      <c r="AC397" s="5" t="n"/>
      <c r="AD397" s="5" t="n"/>
      <c r="AE397" s="5" t="n"/>
      <c r="AF397" s="5" t="n"/>
      <c r="AG397" s="5" t="n"/>
    </row>
    <row r="398" outlineLevel="1" s="326">
      <c r="A398" s="140" t="n">
        <v>10</v>
      </c>
      <c r="B398" s="40">
        <f>B89</f>
        <v/>
      </c>
      <c r="C398" s="141">
        <f>D89</f>
        <v/>
      </c>
      <c r="D398" s="141">
        <f>I89</f>
        <v/>
      </c>
      <c r="E398" s="141">
        <f>J89</f>
        <v/>
      </c>
      <c r="F398" s="141">
        <f>K89</f>
        <v/>
      </c>
      <c r="G398" s="138">
        <f>IF(AND($L$230&gt;0,A398=$C$13),$L$230*($C$15+$C$18),0)+IF(AND($L$230&gt;0,A398=$C$13),$C$24,0)</f>
        <v/>
      </c>
      <c r="H398" s="138">
        <f>IF(OR($L$230&lt;=0,A398&lt;$C$13),0,IF(AND($L$230&gt;0,$C$17&gt;0,A398&gt;=$C$13,A398&lt;($C$13+$C$17)),IF($C$17&lt;=0,0,IF($C$16=0,MAX($L$230*(1-$C$15),0)/$C$17,-PMT($C$16/12,$C$17*12,MAX($L$230*(1-$C$15),0))*12)),0)+X398*($C$19+$C$20+$C$21)+$C$22+$C$23)</f>
        <v/>
      </c>
      <c r="I398" s="138">
        <f>IF(B398="Working",MIN(MAX(D398-E398-F398-G398-H398,0),'Tax Assumptions'!$B$20),0)</f>
        <v/>
      </c>
      <c r="J398" s="138">
        <f>IF(B398="Working",D398-E398-F398-I398-G398-H398,-L398)</f>
        <v/>
      </c>
      <c r="K398" s="141">
        <f>IF(B398="Retired",$N$230+G398+H398,0)</f>
        <v/>
      </c>
      <c r="L398" s="141">
        <f>M398+N398+O398+P398</f>
        <v/>
      </c>
      <c r="M398" s="141">
        <f>IF(B398="Retired",MIN(((Q397)*(1+$C$10)+IF(B398="Working",J398,0)),K398),0)</f>
        <v/>
      </c>
      <c r="N398" s="141">
        <f>IF(B398="Retired",MIN(MAX(K398-M398,0),((R397)*(1+$C$10)+IF(B398="Working",E89,0))),0)</f>
        <v/>
      </c>
      <c r="O398" s="141">
        <f>IF(B398="Retired",MIN(MAX(K398-M398-N398,0),((S397)*(1+$C$10)+IF(B398="Working",I398,0))),0)</f>
        <v/>
      </c>
      <c r="P398" s="141">
        <f>IF(B398="Retired",MIN(MAX(K398-M398-N398-O398,0),((T397)*(1+$C$10)+IF(B398="Working",F89,0))),0)</f>
        <v/>
      </c>
      <c r="Q398" s="138">
        <f>MAX(((Q397)*(1+$C$10)+IF(B398="Working",J398,0))-M398,0)</f>
        <v/>
      </c>
      <c r="R398" s="138">
        <f>MAX(((R397)*(1+$C$10)+IF(B398="Working",E89,0))-N398,0)</f>
        <v/>
      </c>
      <c r="S398" s="138">
        <f>MAX(((S397)*(1+$C$10)+IF(B398="Working",I398,0))-O398,0)</f>
        <v/>
      </c>
      <c r="T398" s="138">
        <f>MAX(((T397)*(1+$C$10)+IF(B398="Working",F89,0))-P398,0)</f>
        <v/>
      </c>
      <c r="U398" s="138">
        <f>Q398+R398+S398+T398</f>
        <v/>
      </c>
      <c r="V398" s="138">
        <f>IF(B398="Working",MAX(-(((Q397)*(1+$C$10)+IF(B398="Working",J398,0))),0),MAX(K398-L398,0))</f>
        <v/>
      </c>
      <c r="W398" s="138">
        <f>IF(OR(A398&gt;=$C$13,B398="Retired"),IF(V398&gt;0,-V398,U398-'Model Inputs'!$B$18),"")</f>
        <v/>
      </c>
      <c r="X398" s="138">
        <f>IF(AND($L$230&gt;0,A398&gt;=$C$13),$L$230*(1+$C$25)^(A398-$C$13),0)</f>
        <v/>
      </c>
      <c r="Y398" s="138">
        <f>IF(OR($L$230&lt;=0,$C$17&lt;=0,A398&lt;$C$13,MIN(MAX((A398-$C$13+1)*12,0),$C$17*12)&gt;=$C$17*12),0,IF($C$16=0,MAX(MAX($L$230*(1-$C$15),0)-(IF($C$17&lt;=0,0,IF($C$16=0,MAX($L$230*(1-$C$15),0)/$C$17,-PMT($C$16/12,$C$17*12,MAX($L$230*(1-$C$15),0))*12))/12)*MIN(MAX((A398-$C$13+1)*12,0),$C$17*12),0),MAX(MAX($L$230*(1-$C$15),0)*(1+$C$16/12)^MIN(MAX((A398-$C$13+1)*12,0),$C$17*12)-(IF($C$17&lt;=0,0,IF($C$16=0,MAX($L$230*(1-$C$15),0)/$C$17,-PMT($C$16/12,$C$17*12,MAX($L$230*(1-$C$15),0))*12))/12)*(((1+$C$16/12)^MIN(MAX((A398-$C$13+1)*12,0),$C$17*12)-1)/($C$16/12)),0)))</f>
        <v/>
      </c>
      <c r="Z398" s="138">
        <f>MAX(X398-Y398,0)</f>
        <v/>
      </c>
      <c r="AA398" s="142">
        <f>U398+Z398</f>
        <v/>
      </c>
      <c r="AB398" s="5" t="n"/>
      <c r="AC398" s="5" t="n"/>
      <c r="AD398" s="5" t="n"/>
      <c r="AE398" s="5" t="n"/>
      <c r="AF398" s="5" t="n"/>
      <c r="AG398" s="5" t="n"/>
    </row>
    <row r="399" outlineLevel="1" s="326">
      <c r="A399" s="136" t="n">
        <v>11</v>
      </c>
      <c r="B399" s="72">
        <f>B90</f>
        <v/>
      </c>
      <c r="C399" s="137">
        <f>D90</f>
        <v/>
      </c>
      <c r="D399" s="137">
        <f>I90</f>
        <v/>
      </c>
      <c r="E399" s="137">
        <f>J90</f>
        <v/>
      </c>
      <c r="F399" s="137">
        <f>K90</f>
        <v/>
      </c>
      <c r="G399" s="138">
        <f>IF(AND($L$230&gt;0,A399=$C$13),$L$230*($C$15+$C$18),0)+IF(AND($L$230&gt;0,A399=$C$13),$C$24,0)</f>
        <v/>
      </c>
      <c r="H399" s="138">
        <f>IF(OR($L$230&lt;=0,A399&lt;$C$13),0,IF(AND($L$230&gt;0,$C$17&gt;0,A399&gt;=$C$13,A399&lt;($C$13+$C$17)),IF($C$17&lt;=0,0,IF($C$16=0,MAX($L$230*(1-$C$15),0)/$C$17,-PMT($C$16/12,$C$17*12,MAX($L$230*(1-$C$15),0))*12)),0)+X399*($C$19+$C$20+$C$21)+$C$22+$C$23)</f>
        <v/>
      </c>
      <c r="I399" s="138">
        <f>IF(B399="Working",MIN(MAX(D399-E399-F399-G399-H399,0),'Tax Assumptions'!$B$20),0)</f>
        <v/>
      </c>
      <c r="J399" s="138">
        <f>IF(B399="Working",D399-E399-F399-I399-G399-H399,-L399)</f>
        <v/>
      </c>
      <c r="K399" s="137">
        <f>IF(B399="Retired",$N$230+G399+H399,0)</f>
        <v/>
      </c>
      <c r="L399" s="137">
        <f>M399+N399+O399+P399</f>
        <v/>
      </c>
      <c r="M399" s="137">
        <f>IF(B399="Retired",MIN(((Q398)*(1+$C$10)+IF(B399="Working",J399,0)),K399),0)</f>
        <v/>
      </c>
      <c r="N399" s="137">
        <f>IF(B399="Retired",MIN(MAX(K399-M399,0),((R398)*(1+$C$10)+IF(B399="Working",E90,0))),0)</f>
        <v/>
      </c>
      <c r="O399" s="137">
        <f>IF(B399="Retired",MIN(MAX(K399-M399-N399,0),((S398)*(1+$C$10)+IF(B399="Working",I399,0))),0)</f>
        <v/>
      </c>
      <c r="P399" s="137">
        <f>IF(B399="Retired",MIN(MAX(K399-M399-N399-O399,0),((T398)*(1+$C$10)+IF(B399="Working",F90,0))),0)</f>
        <v/>
      </c>
      <c r="Q399" s="138">
        <f>MAX(((Q398)*(1+$C$10)+IF(B399="Working",J399,0))-M399,0)</f>
        <v/>
      </c>
      <c r="R399" s="138">
        <f>MAX(((R398)*(1+$C$10)+IF(B399="Working",E90,0))-N399,0)</f>
        <v/>
      </c>
      <c r="S399" s="138">
        <f>MAX(((S398)*(1+$C$10)+IF(B399="Working",I399,0))-O399,0)</f>
        <v/>
      </c>
      <c r="T399" s="138">
        <f>MAX(((T398)*(1+$C$10)+IF(B399="Working",F90,0))-P399,0)</f>
        <v/>
      </c>
      <c r="U399" s="138">
        <f>Q399+R399+S399+T399</f>
        <v/>
      </c>
      <c r="V399" s="138">
        <f>IF(B399="Working",MAX(-(((Q398)*(1+$C$10)+IF(B399="Working",J399,0))),0),MAX(K399-L399,0))</f>
        <v/>
      </c>
      <c r="W399" s="138">
        <f>IF(OR(A399&gt;=$C$13,B399="Retired"),IF(V399&gt;0,-V399,U399-'Model Inputs'!$B$18),"")</f>
        <v/>
      </c>
      <c r="X399" s="138">
        <f>IF(AND($L$230&gt;0,A399&gt;=$C$13),$L$230*(1+$C$25)^(A399-$C$13),0)</f>
        <v/>
      </c>
      <c r="Y399" s="138">
        <f>IF(OR($L$230&lt;=0,$C$17&lt;=0,A399&lt;$C$13,MIN(MAX((A399-$C$13+1)*12,0),$C$17*12)&gt;=$C$17*12),0,IF($C$16=0,MAX(MAX($L$230*(1-$C$15),0)-(IF($C$17&lt;=0,0,IF($C$16=0,MAX($L$230*(1-$C$15),0)/$C$17,-PMT($C$16/12,$C$17*12,MAX($L$230*(1-$C$15),0))*12))/12)*MIN(MAX((A399-$C$13+1)*12,0),$C$17*12),0),MAX(MAX($L$230*(1-$C$15),0)*(1+$C$16/12)^MIN(MAX((A399-$C$13+1)*12,0),$C$17*12)-(IF($C$17&lt;=0,0,IF($C$16=0,MAX($L$230*(1-$C$15),0)/$C$17,-PMT($C$16/12,$C$17*12,MAX($L$230*(1-$C$15),0))*12))/12)*(((1+$C$16/12)^MIN(MAX((A399-$C$13+1)*12,0),$C$17*12)-1)/($C$16/12)),0)))</f>
        <v/>
      </c>
      <c r="Z399" s="138">
        <f>MAX(X399-Y399,0)</f>
        <v/>
      </c>
      <c r="AA399" s="139">
        <f>U399+Z399</f>
        <v/>
      </c>
      <c r="AB399" s="5" t="n"/>
      <c r="AC399" s="5" t="n"/>
      <c r="AD399" s="5" t="n"/>
      <c r="AE399" s="5" t="n"/>
      <c r="AF399" s="5" t="n"/>
      <c r="AG399" s="5" t="n"/>
    </row>
    <row r="400" outlineLevel="1" s="326">
      <c r="A400" s="140" t="n">
        <v>12</v>
      </c>
      <c r="B400" s="40">
        <f>B91</f>
        <v/>
      </c>
      <c r="C400" s="141">
        <f>D91</f>
        <v/>
      </c>
      <c r="D400" s="141">
        <f>I91</f>
        <v/>
      </c>
      <c r="E400" s="141">
        <f>J91</f>
        <v/>
      </c>
      <c r="F400" s="141">
        <f>K91</f>
        <v/>
      </c>
      <c r="G400" s="138">
        <f>IF(AND($L$230&gt;0,A400=$C$13),$L$230*($C$15+$C$18),0)+IF(AND($L$230&gt;0,A400=$C$13),$C$24,0)</f>
        <v/>
      </c>
      <c r="H400" s="138">
        <f>IF(OR($L$230&lt;=0,A400&lt;$C$13),0,IF(AND($L$230&gt;0,$C$17&gt;0,A400&gt;=$C$13,A400&lt;($C$13+$C$17)),IF($C$17&lt;=0,0,IF($C$16=0,MAX($L$230*(1-$C$15),0)/$C$17,-PMT($C$16/12,$C$17*12,MAX($L$230*(1-$C$15),0))*12)),0)+X400*($C$19+$C$20+$C$21)+$C$22+$C$23)</f>
        <v/>
      </c>
      <c r="I400" s="138">
        <f>IF(B400="Working",MIN(MAX(D400-E400-F400-G400-H400,0),'Tax Assumptions'!$B$20),0)</f>
        <v/>
      </c>
      <c r="J400" s="138">
        <f>IF(B400="Working",D400-E400-F400-I400-G400-H400,-L400)</f>
        <v/>
      </c>
      <c r="K400" s="141">
        <f>IF(B400="Retired",$N$230+G400+H400,0)</f>
        <v/>
      </c>
      <c r="L400" s="141">
        <f>M400+N400+O400+P400</f>
        <v/>
      </c>
      <c r="M400" s="141">
        <f>IF(B400="Retired",MIN(((Q399)*(1+$C$10)+IF(B400="Working",J400,0)),K400),0)</f>
        <v/>
      </c>
      <c r="N400" s="141">
        <f>IF(B400="Retired",MIN(MAX(K400-M400,0),((R399)*(1+$C$10)+IF(B400="Working",E91,0))),0)</f>
        <v/>
      </c>
      <c r="O400" s="141">
        <f>IF(B400="Retired",MIN(MAX(K400-M400-N400,0),((S399)*(1+$C$10)+IF(B400="Working",I400,0))),0)</f>
        <v/>
      </c>
      <c r="P400" s="141">
        <f>IF(B400="Retired",MIN(MAX(K400-M400-N400-O400,0),((T399)*(1+$C$10)+IF(B400="Working",F91,0))),0)</f>
        <v/>
      </c>
      <c r="Q400" s="138">
        <f>MAX(((Q399)*(1+$C$10)+IF(B400="Working",J400,0))-M400,0)</f>
        <v/>
      </c>
      <c r="R400" s="138">
        <f>MAX(((R399)*(1+$C$10)+IF(B400="Working",E91,0))-N400,0)</f>
        <v/>
      </c>
      <c r="S400" s="138">
        <f>MAX(((S399)*(1+$C$10)+IF(B400="Working",I400,0))-O400,0)</f>
        <v/>
      </c>
      <c r="T400" s="138">
        <f>MAX(((T399)*(1+$C$10)+IF(B400="Working",F91,0))-P400,0)</f>
        <v/>
      </c>
      <c r="U400" s="138">
        <f>Q400+R400+S400+T400</f>
        <v/>
      </c>
      <c r="V400" s="138">
        <f>IF(B400="Working",MAX(-(((Q399)*(1+$C$10)+IF(B400="Working",J400,0))),0),MAX(K400-L400,0))</f>
        <v/>
      </c>
      <c r="W400" s="138">
        <f>IF(OR(A400&gt;=$C$13,B400="Retired"),IF(V400&gt;0,-V400,U400-'Model Inputs'!$B$18),"")</f>
        <v/>
      </c>
      <c r="X400" s="138">
        <f>IF(AND($L$230&gt;0,A400&gt;=$C$13),$L$230*(1+$C$25)^(A400-$C$13),0)</f>
        <v/>
      </c>
      <c r="Y400" s="138">
        <f>IF(OR($L$230&lt;=0,$C$17&lt;=0,A400&lt;$C$13,MIN(MAX((A400-$C$13+1)*12,0),$C$17*12)&gt;=$C$17*12),0,IF($C$16=0,MAX(MAX($L$230*(1-$C$15),0)-(IF($C$17&lt;=0,0,IF($C$16=0,MAX($L$230*(1-$C$15),0)/$C$17,-PMT($C$16/12,$C$17*12,MAX($L$230*(1-$C$15),0))*12))/12)*MIN(MAX((A400-$C$13+1)*12,0),$C$17*12),0),MAX(MAX($L$230*(1-$C$15),0)*(1+$C$16/12)^MIN(MAX((A400-$C$13+1)*12,0),$C$17*12)-(IF($C$17&lt;=0,0,IF($C$16=0,MAX($L$230*(1-$C$15),0)/$C$17,-PMT($C$16/12,$C$17*12,MAX($L$230*(1-$C$15),0))*12))/12)*(((1+$C$16/12)^MIN(MAX((A400-$C$13+1)*12,0),$C$17*12)-1)/($C$16/12)),0)))</f>
        <v/>
      </c>
      <c r="Z400" s="138">
        <f>MAX(X400-Y400,0)</f>
        <v/>
      </c>
      <c r="AA400" s="142">
        <f>U400+Z400</f>
        <v/>
      </c>
      <c r="AB400" s="5" t="n"/>
      <c r="AC400" s="5" t="n"/>
      <c r="AD400" s="5" t="n"/>
      <c r="AE400" s="5" t="n"/>
      <c r="AF400" s="5" t="n"/>
      <c r="AG400" s="5" t="n"/>
    </row>
    <row r="401" outlineLevel="1" s="326">
      <c r="A401" s="136" t="n">
        <v>13</v>
      </c>
      <c r="B401" s="72">
        <f>B92</f>
        <v/>
      </c>
      <c r="C401" s="137">
        <f>D92</f>
        <v/>
      </c>
      <c r="D401" s="137">
        <f>I92</f>
        <v/>
      </c>
      <c r="E401" s="137">
        <f>J92</f>
        <v/>
      </c>
      <c r="F401" s="137">
        <f>K92</f>
        <v/>
      </c>
      <c r="G401" s="138">
        <f>IF(AND($L$230&gt;0,A401=$C$13),$L$230*($C$15+$C$18),0)+IF(AND($L$230&gt;0,A401=$C$13),$C$24,0)</f>
        <v/>
      </c>
      <c r="H401" s="138">
        <f>IF(OR($L$230&lt;=0,A401&lt;$C$13),0,IF(AND($L$230&gt;0,$C$17&gt;0,A401&gt;=$C$13,A401&lt;($C$13+$C$17)),IF($C$17&lt;=0,0,IF($C$16=0,MAX($L$230*(1-$C$15),0)/$C$17,-PMT($C$16/12,$C$17*12,MAX($L$230*(1-$C$15),0))*12)),0)+X401*($C$19+$C$20+$C$21)+$C$22+$C$23)</f>
        <v/>
      </c>
      <c r="I401" s="138">
        <f>IF(B401="Working",MIN(MAX(D401-E401-F401-G401-H401,0),'Tax Assumptions'!$B$20),0)</f>
        <v/>
      </c>
      <c r="J401" s="138">
        <f>IF(B401="Working",D401-E401-F401-I401-G401-H401,-L401)</f>
        <v/>
      </c>
      <c r="K401" s="137">
        <f>IF(B401="Retired",$N$230+G401+H401,0)</f>
        <v/>
      </c>
      <c r="L401" s="137">
        <f>M401+N401+O401+P401</f>
        <v/>
      </c>
      <c r="M401" s="137">
        <f>IF(B401="Retired",MIN(((Q400)*(1+$C$10)+IF(B401="Working",J401,0)),K401),0)</f>
        <v/>
      </c>
      <c r="N401" s="137">
        <f>IF(B401="Retired",MIN(MAX(K401-M401,0),((R400)*(1+$C$10)+IF(B401="Working",E92,0))),0)</f>
        <v/>
      </c>
      <c r="O401" s="137">
        <f>IF(B401="Retired",MIN(MAX(K401-M401-N401,0),((S400)*(1+$C$10)+IF(B401="Working",I401,0))),0)</f>
        <v/>
      </c>
      <c r="P401" s="137">
        <f>IF(B401="Retired",MIN(MAX(K401-M401-N401-O401,0),((T400)*(1+$C$10)+IF(B401="Working",F92,0))),0)</f>
        <v/>
      </c>
      <c r="Q401" s="138">
        <f>MAX(((Q400)*(1+$C$10)+IF(B401="Working",J401,0))-M401,0)</f>
        <v/>
      </c>
      <c r="R401" s="138">
        <f>MAX(((R400)*(1+$C$10)+IF(B401="Working",E92,0))-N401,0)</f>
        <v/>
      </c>
      <c r="S401" s="138">
        <f>MAX(((S400)*(1+$C$10)+IF(B401="Working",I401,0))-O401,0)</f>
        <v/>
      </c>
      <c r="T401" s="138">
        <f>MAX(((T400)*(1+$C$10)+IF(B401="Working",F92,0))-P401,0)</f>
        <v/>
      </c>
      <c r="U401" s="138">
        <f>Q401+R401+S401+T401</f>
        <v/>
      </c>
      <c r="V401" s="138">
        <f>IF(B401="Working",MAX(-(((Q400)*(1+$C$10)+IF(B401="Working",J401,0))),0),MAX(K401-L401,0))</f>
        <v/>
      </c>
      <c r="W401" s="138">
        <f>IF(OR(A401&gt;=$C$13,B401="Retired"),IF(V401&gt;0,-V401,U401-'Model Inputs'!$B$18),"")</f>
        <v/>
      </c>
      <c r="X401" s="138">
        <f>IF(AND($L$230&gt;0,A401&gt;=$C$13),$L$230*(1+$C$25)^(A401-$C$13),0)</f>
        <v/>
      </c>
      <c r="Y401" s="138">
        <f>IF(OR($L$230&lt;=0,$C$17&lt;=0,A401&lt;$C$13,MIN(MAX((A401-$C$13+1)*12,0),$C$17*12)&gt;=$C$17*12),0,IF($C$16=0,MAX(MAX($L$230*(1-$C$15),0)-(IF($C$17&lt;=0,0,IF($C$16=0,MAX($L$230*(1-$C$15),0)/$C$17,-PMT($C$16/12,$C$17*12,MAX($L$230*(1-$C$15),0))*12))/12)*MIN(MAX((A401-$C$13+1)*12,0),$C$17*12),0),MAX(MAX($L$230*(1-$C$15),0)*(1+$C$16/12)^MIN(MAX((A401-$C$13+1)*12,0),$C$17*12)-(IF($C$17&lt;=0,0,IF($C$16=0,MAX($L$230*(1-$C$15),0)/$C$17,-PMT($C$16/12,$C$17*12,MAX($L$230*(1-$C$15),0))*12))/12)*(((1+$C$16/12)^MIN(MAX((A401-$C$13+1)*12,0),$C$17*12)-1)/($C$16/12)),0)))</f>
        <v/>
      </c>
      <c r="Z401" s="138">
        <f>MAX(X401-Y401,0)</f>
        <v/>
      </c>
      <c r="AA401" s="139">
        <f>U401+Z401</f>
        <v/>
      </c>
      <c r="AB401" s="5" t="n"/>
      <c r="AC401" s="5" t="n"/>
      <c r="AD401" s="5" t="n"/>
      <c r="AE401" s="5" t="n"/>
      <c r="AF401" s="5" t="n"/>
      <c r="AG401" s="5" t="n"/>
    </row>
    <row r="402" outlineLevel="1" s="326">
      <c r="A402" s="140" t="n">
        <v>14</v>
      </c>
      <c r="B402" s="40">
        <f>B93</f>
        <v/>
      </c>
      <c r="C402" s="141">
        <f>D93</f>
        <v/>
      </c>
      <c r="D402" s="141">
        <f>I93</f>
        <v/>
      </c>
      <c r="E402" s="141">
        <f>J93</f>
        <v/>
      </c>
      <c r="F402" s="141">
        <f>K93</f>
        <v/>
      </c>
      <c r="G402" s="138">
        <f>IF(AND($L$230&gt;0,A402=$C$13),$L$230*($C$15+$C$18),0)+IF(AND($L$230&gt;0,A402=$C$13),$C$24,0)</f>
        <v/>
      </c>
      <c r="H402" s="138">
        <f>IF(OR($L$230&lt;=0,A402&lt;$C$13),0,IF(AND($L$230&gt;0,$C$17&gt;0,A402&gt;=$C$13,A402&lt;($C$13+$C$17)),IF($C$17&lt;=0,0,IF($C$16=0,MAX($L$230*(1-$C$15),0)/$C$17,-PMT($C$16/12,$C$17*12,MAX($L$230*(1-$C$15),0))*12)),0)+X402*($C$19+$C$20+$C$21)+$C$22+$C$23)</f>
        <v/>
      </c>
      <c r="I402" s="138">
        <f>IF(B402="Working",MIN(MAX(D402-E402-F402-G402-H402,0),'Tax Assumptions'!$B$20),0)</f>
        <v/>
      </c>
      <c r="J402" s="138">
        <f>IF(B402="Working",D402-E402-F402-I402-G402-H402,-L402)</f>
        <v/>
      </c>
      <c r="K402" s="141">
        <f>IF(B402="Retired",$N$230+G402+H402,0)</f>
        <v/>
      </c>
      <c r="L402" s="141">
        <f>M402+N402+O402+P402</f>
        <v/>
      </c>
      <c r="M402" s="141">
        <f>IF(B402="Retired",MIN(((Q401)*(1+$C$10)+IF(B402="Working",J402,0)),K402),0)</f>
        <v/>
      </c>
      <c r="N402" s="141">
        <f>IF(B402="Retired",MIN(MAX(K402-M402,0),((R401)*(1+$C$10)+IF(B402="Working",E93,0))),0)</f>
        <v/>
      </c>
      <c r="O402" s="141">
        <f>IF(B402="Retired",MIN(MAX(K402-M402-N402,0),((S401)*(1+$C$10)+IF(B402="Working",I402,0))),0)</f>
        <v/>
      </c>
      <c r="P402" s="141">
        <f>IF(B402="Retired",MIN(MAX(K402-M402-N402-O402,0),((T401)*(1+$C$10)+IF(B402="Working",F93,0))),0)</f>
        <v/>
      </c>
      <c r="Q402" s="138">
        <f>MAX(((Q401)*(1+$C$10)+IF(B402="Working",J402,0))-M402,0)</f>
        <v/>
      </c>
      <c r="R402" s="138">
        <f>MAX(((R401)*(1+$C$10)+IF(B402="Working",E93,0))-N402,0)</f>
        <v/>
      </c>
      <c r="S402" s="138">
        <f>MAX(((S401)*(1+$C$10)+IF(B402="Working",I402,0))-O402,0)</f>
        <v/>
      </c>
      <c r="T402" s="138">
        <f>MAX(((T401)*(1+$C$10)+IF(B402="Working",F93,0))-P402,0)</f>
        <v/>
      </c>
      <c r="U402" s="138">
        <f>Q402+R402+S402+T402</f>
        <v/>
      </c>
      <c r="V402" s="138">
        <f>IF(B402="Working",MAX(-(((Q401)*(1+$C$10)+IF(B402="Working",J402,0))),0),MAX(K402-L402,0))</f>
        <v/>
      </c>
      <c r="W402" s="138">
        <f>IF(OR(A402&gt;=$C$13,B402="Retired"),IF(V402&gt;0,-V402,U402-'Model Inputs'!$B$18),"")</f>
        <v/>
      </c>
      <c r="X402" s="138">
        <f>IF(AND($L$230&gt;0,A402&gt;=$C$13),$L$230*(1+$C$25)^(A402-$C$13),0)</f>
        <v/>
      </c>
      <c r="Y402" s="138">
        <f>IF(OR($L$230&lt;=0,$C$17&lt;=0,A402&lt;$C$13,MIN(MAX((A402-$C$13+1)*12,0),$C$17*12)&gt;=$C$17*12),0,IF($C$16=0,MAX(MAX($L$230*(1-$C$15),0)-(IF($C$17&lt;=0,0,IF($C$16=0,MAX($L$230*(1-$C$15),0)/$C$17,-PMT($C$16/12,$C$17*12,MAX($L$230*(1-$C$15),0))*12))/12)*MIN(MAX((A402-$C$13+1)*12,0),$C$17*12),0),MAX(MAX($L$230*(1-$C$15),0)*(1+$C$16/12)^MIN(MAX((A402-$C$13+1)*12,0),$C$17*12)-(IF($C$17&lt;=0,0,IF($C$16=0,MAX($L$230*(1-$C$15),0)/$C$17,-PMT($C$16/12,$C$17*12,MAX($L$230*(1-$C$15),0))*12))/12)*(((1+$C$16/12)^MIN(MAX((A402-$C$13+1)*12,0),$C$17*12)-1)/($C$16/12)),0)))</f>
        <v/>
      </c>
      <c r="Z402" s="138">
        <f>MAX(X402-Y402,0)</f>
        <v/>
      </c>
      <c r="AA402" s="142">
        <f>U402+Z402</f>
        <v/>
      </c>
      <c r="AB402" s="5" t="n"/>
      <c r="AC402" s="5" t="n"/>
      <c r="AD402" s="5" t="n"/>
      <c r="AE402" s="5" t="n"/>
      <c r="AF402" s="5" t="n"/>
      <c r="AG402" s="5" t="n"/>
    </row>
    <row r="403" outlineLevel="1" s="326">
      <c r="A403" s="136" t="n">
        <v>15</v>
      </c>
      <c r="B403" s="72">
        <f>B94</f>
        <v/>
      </c>
      <c r="C403" s="137">
        <f>D94</f>
        <v/>
      </c>
      <c r="D403" s="137">
        <f>I94</f>
        <v/>
      </c>
      <c r="E403" s="137">
        <f>J94</f>
        <v/>
      </c>
      <c r="F403" s="137">
        <f>K94</f>
        <v/>
      </c>
      <c r="G403" s="138">
        <f>IF(AND($L$230&gt;0,A403=$C$13),$L$230*($C$15+$C$18),0)+IF(AND($L$230&gt;0,A403=$C$13),$C$24,0)</f>
        <v/>
      </c>
      <c r="H403" s="138">
        <f>IF(OR($L$230&lt;=0,A403&lt;$C$13),0,IF(AND($L$230&gt;0,$C$17&gt;0,A403&gt;=$C$13,A403&lt;($C$13+$C$17)),IF($C$17&lt;=0,0,IF($C$16=0,MAX($L$230*(1-$C$15),0)/$C$17,-PMT($C$16/12,$C$17*12,MAX($L$230*(1-$C$15),0))*12)),0)+X403*($C$19+$C$20+$C$21)+$C$22+$C$23)</f>
        <v/>
      </c>
      <c r="I403" s="138">
        <f>IF(B403="Working",MIN(MAX(D403-E403-F403-G403-H403,0),'Tax Assumptions'!$B$20),0)</f>
        <v/>
      </c>
      <c r="J403" s="138">
        <f>IF(B403="Working",D403-E403-F403-I403-G403-H403,-L403)</f>
        <v/>
      </c>
      <c r="K403" s="137">
        <f>IF(B403="Retired",$N$230+G403+H403,0)</f>
        <v/>
      </c>
      <c r="L403" s="137">
        <f>M403+N403+O403+P403</f>
        <v/>
      </c>
      <c r="M403" s="137">
        <f>IF(B403="Retired",MIN(((Q402)*(1+$C$10)+IF(B403="Working",J403,0)),K403),0)</f>
        <v/>
      </c>
      <c r="N403" s="137">
        <f>IF(B403="Retired",MIN(MAX(K403-M403,0),((R402)*(1+$C$10)+IF(B403="Working",E94,0))),0)</f>
        <v/>
      </c>
      <c r="O403" s="137">
        <f>IF(B403="Retired",MIN(MAX(K403-M403-N403,0),((S402)*(1+$C$10)+IF(B403="Working",I403,0))),0)</f>
        <v/>
      </c>
      <c r="P403" s="137">
        <f>IF(B403="Retired",MIN(MAX(K403-M403-N403-O403,0),((T402)*(1+$C$10)+IF(B403="Working",F94,0))),0)</f>
        <v/>
      </c>
      <c r="Q403" s="138">
        <f>MAX(((Q402)*(1+$C$10)+IF(B403="Working",J403,0))-M403,0)</f>
        <v/>
      </c>
      <c r="R403" s="138">
        <f>MAX(((R402)*(1+$C$10)+IF(B403="Working",E94,0))-N403,0)</f>
        <v/>
      </c>
      <c r="S403" s="138">
        <f>MAX(((S402)*(1+$C$10)+IF(B403="Working",I403,0))-O403,0)</f>
        <v/>
      </c>
      <c r="T403" s="138">
        <f>MAX(((T402)*(1+$C$10)+IF(B403="Working",F94,0))-P403,0)</f>
        <v/>
      </c>
      <c r="U403" s="138">
        <f>Q403+R403+S403+T403</f>
        <v/>
      </c>
      <c r="V403" s="138">
        <f>IF(B403="Working",MAX(-(((Q402)*(1+$C$10)+IF(B403="Working",J403,0))),0),MAX(K403-L403,0))</f>
        <v/>
      </c>
      <c r="W403" s="138">
        <f>IF(OR(A403&gt;=$C$13,B403="Retired"),IF(V403&gt;0,-V403,U403-'Model Inputs'!$B$18),"")</f>
        <v/>
      </c>
      <c r="X403" s="138">
        <f>IF(AND($L$230&gt;0,A403&gt;=$C$13),$L$230*(1+$C$25)^(A403-$C$13),0)</f>
        <v/>
      </c>
      <c r="Y403" s="138">
        <f>IF(OR($L$230&lt;=0,$C$17&lt;=0,A403&lt;$C$13,MIN(MAX((A403-$C$13+1)*12,0),$C$17*12)&gt;=$C$17*12),0,IF($C$16=0,MAX(MAX($L$230*(1-$C$15),0)-(IF($C$17&lt;=0,0,IF($C$16=0,MAX($L$230*(1-$C$15),0)/$C$17,-PMT($C$16/12,$C$17*12,MAX($L$230*(1-$C$15),0))*12))/12)*MIN(MAX((A403-$C$13+1)*12,0),$C$17*12),0),MAX(MAX($L$230*(1-$C$15),0)*(1+$C$16/12)^MIN(MAX((A403-$C$13+1)*12,0),$C$17*12)-(IF($C$17&lt;=0,0,IF($C$16=0,MAX($L$230*(1-$C$15),0)/$C$17,-PMT($C$16/12,$C$17*12,MAX($L$230*(1-$C$15),0))*12))/12)*(((1+$C$16/12)^MIN(MAX((A403-$C$13+1)*12,0),$C$17*12)-1)/($C$16/12)),0)))</f>
        <v/>
      </c>
      <c r="Z403" s="138">
        <f>MAX(X403-Y403,0)</f>
        <v/>
      </c>
      <c r="AA403" s="139">
        <f>U403+Z403</f>
        <v/>
      </c>
      <c r="AB403" s="5" t="n"/>
      <c r="AC403" s="5" t="n"/>
      <c r="AD403" s="5" t="n"/>
      <c r="AE403" s="5" t="n"/>
      <c r="AF403" s="5" t="n"/>
      <c r="AG403" s="5" t="n"/>
    </row>
    <row r="404" outlineLevel="1" s="326">
      <c r="A404" s="140" t="n">
        <v>16</v>
      </c>
      <c r="B404" s="40">
        <f>B95</f>
        <v/>
      </c>
      <c r="C404" s="141">
        <f>D95</f>
        <v/>
      </c>
      <c r="D404" s="141">
        <f>I95</f>
        <v/>
      </c>
      <c r="E404" s="141">
        <f>J95</f>
        <v/>
      </c>
      <c r="F404" s="141">
        <f>K95</f>
        <v/>
      </c>
      <c r="G404" s="138">
        <f>IF(AND($L$230&gt;0,A404=$C$13),$L$230*($C$15+$C$18),0)+IF(AND($L$230&gt;0,A404=$C$13),$C$24,0)</f>
        <v/>
      </c>
      <c r="H404" s="138">
        <f>IF(OR($L$230&lt;=0,A404&lt;$C$13),0,IF(AND($L$230&gt;0,$C$17&gt;0,A404&gt;=$C$13,A404&lt;($C$13+$C$17)),IF($C$17&lt;=0,0,IF($C$16=0,MAX($L$230*(1-$C$15),0)/$C$17,-PMT($C$16/12,$C$17*12,MAX($L$230*(1-$C$15),0))*12)),0)+X404*($C$19+$C$20+$C$21)+$C$22+$C$23)</f>
        <v/>
      </c>
      <c r="I404" s="138">
        <f>IF(B404="Working",MIN(MAX(D404-E404-F404-G404-H404,0),'Tax Assumptions'!$B$20),0)</f>
        <v/>
      </c>
      <c r="J404" s="138">
        <f>IF(B404="Working",D404-E404-F404-I404-G404-H404,-L404)</f>
        <v/>
      </c>
      <c r="K404" s="141">
        <f>IF(B404="Retired",$N$230+G404+H404,0)</f>
        <v/>
      </c>
      <c r="L404" s="141">
        <f>M404+N404+O404+P404</f>
        <v/>
      </c>
      <c r="M404" s="141">
        <f>IF(B404="Retired",MIN(((Q403)*(1+$C$10)+IF(B404="Working",J404,0)),K404),0)</f>
        <v/>
      </c>
      <c r="N404" s="141">
        <f>IF(B404="Retired",MIN(MAX(K404-M404,0),((R403)*(1+$C$10)+IF(B404="Working",E95,0))),0)</f>
        <v/>
      </c>
      <c r="O404" s="141">
        <f>IF(B404="Retired",MIN(MAX(K404-M404-N404,0),((S403)*(1+$C$10)+IF(B404="Working",I404,0))),0)</f>
        <v/>
      </c>
      <c r="P404" s="141">
        <f>IF(B404="Retired",MIN(MAX(K404-M404-N404-O404,0),((T403)*(1+$C$10)+IF(B404="Working",F95,0))),0)</f>
        <v/>
      </c>
      <c r="Q404" s="138">
        <f>MAX(((Q403)*(1+$C$10)+IF(B404="Working",J404,0))-M404,0)</f>
        <v/>
      </c>
      <c r="R404" s="138">
        <f>MAX(((R403)*(1+$C$10)+IF(B404="Working",E95,0))-N404,0)</f>
        <v/>
      </c>
      <c r="S404" s="138">
        <f>MAX(((S403)*(1+$C$10)+IF(B404="Working",I404,0))-O404,0)</f>
        <v/>
      </c>
      <c r="T404" s="138">
        <f>MAX(((T403)*(1+$C$10)+IF(B404="Working",F95,0))-P404,0)</f>
        <v/>
      </c>
      <c r="U404" s="138">
        <f>Q404+R404+S404+T404</f>
        <v/>
      </c>
      <c r="V404" s="138">
        <f>IF(B404="Working",MAX(-(((Q403)*(1+$C$10)+IF(B404="Working",J404,0))),0),MAX(K404-L404,0))</f>
        <v/>
      </c>
      <c r="W404" s="138">
        <f>IF(OR(A404&gt;=$C$13,B404="Retired"),IF(V404&gt;0,-V404,U404-'Model Inputs'!$B$18),"")</f>
        <v/>
      </c>
      <c r="X404" s="138">
        <f>IF(AND($L$230&gt;0,A404&gt;=$C$13),$L$230*(1+$C$25)^(A404-$C$13),0)</f>
        <v/>
      </c>
      <c r="Y404" s="138">
        <f>IF(OR($L$230&lt;=0,$C$17&lt;=0,A404&lt;$C$13,MIN(MAX((A404-$C$13+1)*12,0),$C$17*12)&gt;=$C$17*12),0,IF($C$16=0,MAX(MAX($L$230*(1-$C$15),0)-(IF($C$17&lt;=0,0,IF($C$16=0,MAX($L$230*(1-$C$15),0)/$C$17,-PMT($C$16/12,$C$17*12,MAX($L$230*(1-$C$15),0))*12))/12)*MIN(MAX((A404-$C$13+1)*12,0),$C$17*12),0),MAX(MAX($L$230*(1-$C$15),0)*(1+$C$16/12)^MIN(MAX((A404-$C$13+1)*12,0),$C$17*12)-(IF($C$17&lt;=0,0,IF($C$16=0,MAX($L$230*(1-$C$15),0)/$C$17,-PMT($C$16/12,$C$17*12,MAX($L$230*(1-$C$15),0))*12))/12)*(((1+$C$16/12)^MIN(MAX((A404-$C$13+1)*12,0),$C$17*12)-1)/($C$16/12)),0)))</f>
        <v/>
      </c>
      <c r="Z404" s="138">
        <f>MAX(X404-Y404,0)</f>
        <v/>
      </c>
      <c r="AA404" s="142">
        <f>U404+Z404</f>
        <v/>
      </c>
      <c r="AB404" s="5" t="n"/>
      <c r="AC404" s="5" t="n"/>
      <c r="AD404" s="5" t="n"/>
      <c r="AE404" s="5" t="n"/>
      <c r="AF404" s="5" t="n"/>
      <c r="AG404" s="5" t="n"/>
    </row>
    <row r="405" outlineLevel="1" s="326">
      <c r="A405" s="136" t="n">
        <v>17</v>
      </c>
      <c r="B405" s="72">
        <f>B96</f>
        <v/>
      </c>
      <c r="C405" s="137">
        <f>D96</f>
        <v/>
      </c>
      <c r="D405" s="137">
        <f>I96</f>
        <v/>
      </c>
      <c r="E405" s="137">
        <f>J96</f>
        <v/>
      </c>
      <c r="F405" s="137">
        <f>K96</f>
        <v/>
      </c>
      <c r="G405" s="138">
        <f>IF(AND($L$230&gt;0,A405=$C$13),$L$230*($C$15+$C$18),0)+IF(AND($L$230&gt;0,A405=$C$13),$C$24,0)</f>
        <v/>
      </c>
      <c r="H405" s="138">
        <f>IF(OR($L$230&lt;=0,A405&lt;$C$13),0,IF(AND($L$230&gt;0,$C$17&gt;0,A405&gt;=$C$13,A405&lt;($C$13+$C$17)),IF($C$17&lt;=0,0,IF($C$16=0,MAX($L$230*(1-$C$15),0)/$C$17,-PMT($C$16/12,$C$17*12,MAX($L$230*(1-$C$15),0))*12)),0)+X405*($C$19+$C$20+$C$21)+$C$22+$C$23)</f>
        <v/>
      </c>
      <c r="I405" s="138">
        <f>IF(B405="Working",MIN(MAX(D405-E405-F405-G405-H405,0),'Tax Assumptions'!$B$20),0)</f>
        <v/>
      </c>
      <c r="J405" s="138">
        <f>IF(B405="Working",D405-E405-F405-I405-G405-H405,-L405)</f>
        <v/>
      </c>
      <c r="K405" s="137">
        <f>IF(B405="Retired",$N$230+G405+H405,0)</f>
        <v/>
      </c>
      <c r="L405" s="137">
        <f>M405+N405+O405+P405</f>
        <v/>
      </c>
      <c r="M405" s="137">
        <f>IF(B405="Retired",MIN(((Q404)*(1+$C$10)+IF(B405="Working",J405,0)),K405),0)</f>
        <v/>
      </c>
      <c r="N405" s="137">
        <f>IF(B405="Retired",MIN(MAX(K405-M405,0),((R404)*(1+$C$10)+IF(B405="Working",E96,0))),0)</f>
        <v/>
      </c>
      <c r="O405" s="137">
        <f>IF(B405="Retired",MIN(MAX(K405-M405-N405,0),((S404)*(1+$C$10)+IF(B405="Working",I405,0))),0)</f>
        <v/>
      </c>
      <c r="P405" s="137">
        <f>IF(B405="Retired",MIN(MAX(K405-M405-N405-O405,0),((T404)*(1+$C$10)+IF(B405="Working",F96,0))),0)</f>
        <v/>
      </c>
      <c r="Q405" s="138">
        <f>MAX(((Q404)*(1+$C$10)+IF(B405="Working",J405,0))-M405,0)</f>
        <v/>
      </c>
      <c r="R405" s="138">
        <f>MAX(((R404)*(1+$C$10)+IF(B405="Working",E96,0))-N405,0)</f>
        <v/>
      </c>
      <c r="S405" s="138">
        <f>MAX(((S404)*(1+$C$10)+IF(B405="Working",I405,0))-O405,0)</f>
        <v/>
      </c>
      <c r="T405" s="138">
        <f>MAX(((T404)*(1+$C$10)+IF(B405="Working",F96,0))-P405,0)</f>
        <v/>
      </c>
      <c r="U405" s="138">
        <f>Q405+R405+S405+T405</f>
        <v/>
      </c>
      <c r="V405" s="138">
        <f>IF(B405="Working",MAX(-(((Q404)*(1+$C$10)+IF(B405="Working",J405,0))),0),MAX(K405-L405,0))</f>
        <v/>
      </c>
      <c r="W405" s="138">
        <f>IF(OR(A405&gt;=$C$13,B405="Retired"),IF(V405&gt;0,-V405,U405-'Model Inputs'!$B$18),"")</f>
        <v/>
      </c>
      <c r="X405" s="138">
        <f>IF(AND($L$230&gt;0,A405&gt;=$C$13),$L$230*(1+$C$25)^(A405-$C$13),0)</f>
        <v/>
      </c>
      <c r="Y405" s="138">
        <f>IF(OR($L$230&lt;=0,$C$17&lt;=0,A405&lt;$C$13,MIN(MAX((A405-$C$13+1)*12,0),$C$17*12)&gt;=$C$17*12),0,IF($C$16=0,MAX(MAX($L$230*(1-$C$15),0)-(IF($C$17&lt;=0,0,IF($C$16=0,MAX($L$230*(1-$C$15),0)/$C$17,-PMT($C$16/12,$C$17*12,MAX($L$230*(1-$C$15),0))*12))/12)*MIN(MAX((A405-$C$13+1)*12,0),$C$17*12),0),MAX(MAX($L$230*(1-$C$15),0)*(1+$C$16/12)^MIN(MAX((A405-$C$13+1)*12,0),$C$17*12)-(IF($C$17&lt;=0,0,IF($C$16=0,MAX($L$230*(1-$C$15),0)/$C$17,-PMT($C$16/12,$C$17*12,MAX($L$230*(1-$C$15),0))*12))/12)*(((1+$C$16/12)^MIN(MAX((A405-$C$13+1)*12,0),$C$17*12)-1)/($C$16/12)),0)))</f>
        <v/>
      </c>
      <c r="Z405" s="138">
        <f>MAX(X405-Y405,0)</f>
        <v/>
      </c>
      <c r="AA405" s="139">
        <f>U405+Z405</f>
        <v/>
      </c>
      <c r="AB405" s="5" t="n"/>
      <c r="AC405" s="5" t="n"/>
      <c r="AD405" s="5" t="n"/>
      <c r="AE405" s="5" t="n"/>
      <c r="AF405" s="5" t="n"/>
      <c r="AG405" s="5" t="n"/>
    </row>
    <row r="406" outlineLevel="1" s="326">
      <c r="A406" s="140" t="n">
        <v>18</v>
      </c>
      <c r="B406" s="40">
        <f>B97</f>
        <v/>
      </c>
      <c r="C406" s="141">
        <f>D97</f>
        <v/>
      </c>
      <c r="D406" s="141">
        <f>I97</f>
        <v/>
      </c>
      <c r="E406" s="141">
        <f>J97</f>
        <v/>
      </c>
      <c r="F406" s="141">
        <f>K97</f>
        <v/>
      </c>
      <c r="G406" s="138">
        <f>IF(AND($L$230&gt;0,A406=$C$13),$L$230*($C$15+$C$18),0)+IF(AND($L$230&gt;0,A406=$C$13),$C$24,0)</f>
        <v/>
      </c>
      <c r="H406" s="138">
        <f>IF(OR($L$230&lt;=0,A406&lt;$C$13),0,IF(AND($L$230&gt;0,$C$17&gt;0,A406&gt;=$C$13,A406&lt;($C$13+$C$17)),IF($C$17&lt;=0,0,IF($C$16=0,MAX($L$230*(1-$C$15),0)/$C$17,-PMT($C$16/12,$C$17*12,MAX($L$230*(1-$C$15),0))*12)),0)+X406*($C$19+$C$20+$C$21)+$C$22+$C$23)</f>
        <v/>
      </c>
      <c r="I406" s="138">
        <f>IF(B406="Working",MIN(MAX(D406-E406-F406-G406-H406,0),'Tax Assumptions'!$B$20),0)</f>
        <v/>
      </c>
      <c r="J406" s="138">
        <f>IF(B406="Working",D406-E406-F406-I406-G406-H406,-L406)</f>
        <v/>
      </c>
      <c r="K406" s="141">
        <f>IF(B406="Retired",$N$230+G406+H406,0)</f>
        <v/>
      </c>
      <c r="L406" s="141">
        <f>M406+N406+O406+P406</f>
        <v/>
      </c>
      <c r="M406" s="141">
        <f>IF(B406="Retired",MIN(((Q405)*(1+$C$10)+IF(B406="Working",J406,0)),K406),0)</f>
        <v/>
      </c>
      <c r="N406" s="141">
        <f>IF(B406="Retired",MIN(MAX(K406-M406,0),((R405)*(1+$C$10)+IF(B406="Working",E97,0))),0)</f>
        <v/>
      </c>
      <c r="O406" s="141">
        <f>IF(B406="Retired",MIN(MAX(K406-M406-N406,0),((S405)*(1+$C$10)+IF(B406="Working",I406,0))),0)</f>
        <v/>
      </c>
      <c r="P406" s="141">
        <f>IF(B406="Retired",MIN(MAX(K406-M406-N406-O406,0),((T405)*(1+$C$10)+IF(B406="Working",F97,0))),0)</f>
        <v/>
      </c>
      <c r="Q406" s="138">
        <f>MAX(((Q405)*(1+$C$10)+IF(B406="Working",J406,0))-M406,0)</f>
        <v/>
      </c>
      <c r="R406" s="138">
        <f>MAX(((R405)*(1+$C$10)+IF(B406="Working",E97,0))-N406,0)</f>
        <v/>
      </c>
      <c r="S406" s="138">
        <f>MAX(((S405)*(1+$C$10)+IF(B406="Working",I406,0))-O406,0)</f>
        <v/>
      </c>
      <c r="T406" s="138">
        <f>MAX(((T405)*(1+$C$10)+IF(B406="Working",F97,0))-P406,0)</f>
        <v/>
      </c>
      <c r="U406" s="138">
        <f>Q406+R406+S406+T406</f>
        <v/>
      </c>
      <c r="V406" s="138">
        <f>IF(B406="Working",MAX(-(((Q405)*(1+$C$10)+IF(B406="Working",J406,0))),0),MAX(K406-L406,0))</f>
        <v/>
      </c>
      <c r="W406" s="138">
        <f>IF(OR(A406&gt;=$C$13,B406="Retired"),IF(V406&gt;0,-V406,U406-'Model Inputs'!$B$18),"")</f>
        <v/>
      </c>
      <c r="X406" s="138">
        <f>IF(AND($L$230&gt;0,A406&gt;=$C$13),$L$230*(1+$C$25)^(A406-$C$13),0)</f>
        <v/>
      </c>
      <c r="Y406" s="138">
        <f>IF(OR($L$230&lt;=0,$C$17&lt;=0,A406&lt;$C$13,MIN(MAX((A406-$C$13+1)*12,0),$C$17*12)&gt;=$C$17*12),0,IF($C$16=0,MAX(MAX($L$230*(1-$C$15),0)-(IF($C$17&lt;=0,0,IF($C$16=0,MAX($L$230*(1-$C$15),0)/$C$17,-PMT($C$16/12,$C$17*12,MAX($L$230*(1-$C$15),0))*12))/12)*MIN(MAX((A406-$C$13+1)*12,0),$C$17*12),0),MAX(MAX($L$230*(1-$C$15),0)*(1+$C$16/12)^MIN(MAX((A406-$C$13+1)*12,0),$C$17*12)-(IF($C$17&lt;=0,0,IF($C$16=0,MAX($L$230*(1-$C$15),0)/$C$17,-PMT($C$16/12,$C$17*12,MAX($L$230*(1-$C$15),0))*12))/12)*(((1+$C$16/12)^MIN(MAX((A406-$C$13+1)*12,0),$C$17*12)-1)/($C$16/12)),0)))</f>
        <v/>
      </c>
      <c r="Z406" s="138">
        <f>MAX(X406-Y406,0)</f>
        <v/>
      </c>
      <c r="AA406" s="142">
        <f>U406+Z406</f>
        <v/>
      </c>
      <c r="AB406" s="5" t="n"/>
      <c r="AC406" s="5" t="n"/>
      <c r="AD406" s="5" t="n"/>
      <c r="AE406" s="5" t="n"/>
      <c r="AF406" s="5" t="n"/>
      <c r="AG406" s="5" t="n"/>
    </row>
    <row r="407" outlineLevel="1" s="326">
      <c r="A407" s="136" t="n">
        <v>19</v>
      </c>
      <c r="B407" s="72">
        <f>B98</f>
        <v/>
      </c>
      <c r="C407" s="137">
        <f>D98</f>
        <v/>
      </c>
      <c r="D407" s="137">
        <f>I98</f>
        <v/>
      </c>
      <c r="E407" s="137">
        <f>J98</f>
        <v/>
      </c>
      <c r="F407" s="137">
        <f>K98</f>
        <v/>
      </c>
      <c r="G407" s="138">
        <f>IF(AND($L$230&gt;0,A407=$C$13),$L$230*($C$15+$C$18),0)+IF(AND($L$230&gt;0,A407=$C$13),$C$24,0)</f>
        <v/>
      </c>
      <c r="H407" s="138">
        <f>IF(OR($L$230&lt;=0,A407&lt;$C$13),0,IF(AND($L$230&gt;0,$C$17&gt;0,A407&gt;=$C$13,A407&lt;($C$13+$C$17)),IF($C$17&lt;=0,0,IF($C$16=0,MAX($L$230*(1-$C$15),0)/$C$17,-PMT($C$16/12,$C$17*12,MAX($L$230*(1-$C$15),0))*12)),0)+X407*($C$19+$C$20+$C$21)+$C$22+$C$23)</f>
        <v/>
      </c>
      <c r="I407" s="138">
        <f>IF(B407="Working",MIN(MAX(D407-E407-F407-G407-H407,0),'Tax Assumptions'!$B$20),0)</f>
        <v/>
      </c>
      <c r="J407" s="138">
        <f>IF(B407="Working",D407-E407-F407-I407-G407-H407,-L407)</f>
        <v/>
      </c>
      <c r="K407" s="137">
        <f>IF(B407="Retired",$N$230+G407+H407,0)</f>
        <v/>
      </c>
      <c r="L407" s="137">
        <f>M407+N407+O407+P407</f>
        <v/>
      </c>
      <c r="M407" s="137">
        <f>IF(B407="Retired",MIN(((Q406)*(1+$C$10)+IF(B407="Working",J407,0)),K407),0)</f>
        <v/>
      </c>
      <c r="N407" s="137">
        <f>IF(B407="Retired",MIN(MAX(K407-M407,0),((R406)*(1+$C$10)+IF(B407="Working",E98,0))),0)</f>
        <v/>
      </c>
      <c r="O407" s="137">
        <f>IF(B407="Retired",MIN(MAX(K407-M407-N407,0),((S406)*(1+$C$10)+IF(B407="Working",I407,0))),0)</f>
        <v/>
      </c>
      <c r="P407" s="137">
        <f>IF(B407="Retired",MIN(MAX(K407-M407-N407-O407,0),((T406)*(1+$C$10)+IF(B407="Working",F98,0))),0)</f>
        <v/>
      </c>
      <c r="Q407" s="138">
        <f>MAX(((Q406)*(1+$C$10)+IF(B407="Working",J407,0))-M407,0)</f>
        <v/>
      </c>
      <c r="R407" s="138">
        <f>MAX(((R406)*(1+$C$10)+IF(B407="Working",E98,0))-N407,0)</f>
        <v/>
      </c>
      <c r="S407" s="138">
        <f>MAX(((S406)*(1+$C$10)+IF(B407="Working",I407,0))-O407,0)</f>
        <v/>
      </c>
      <c r="T407" s="138">
        <f>MAX(((T406)*(1+$C$10)+IF(B407="Working",F98,0))-P407,0)</f>
        <v/>
      </c>
      <c r="U407" s="138">
        <f>Q407+R407+S407+T407</f>
        <v/>
      </c>
      <c r="V407" s="138">
        <f>IF(B407="Working",MAX(-(((Q406)*(1+$C$10)+IF(B407="Working",J407,0))),0),MAX(K407-L407,0))</f>
        <v/>
      </c>
      <c r="W407" s="138">
        <f>IF(OR(A407&gt;=$C$13,B407="Retired"),IF(V407&gt;0,-V407,U407-'Model Inputs'!$B$18),"")</f>
        <v/>
      </c>
      <c r="X407" s="138">
        <f>IF(AND($L$230&gt;0,A407&gt;=$C$13),$L$230*(1+$C$25)^(A407-$C$13),0)</f>
        <v/>
      </c>
      <c r="Y407" s="138">
        <f>IF(OR($L$230&lt;=0,$C$17&lt;=0,A407&lt;$C$13,MIN(MAX((A407-$C$13+1)*12,0),$C$17*12)&gt;=$C$17*12),0,IF($C$16=0,MAX(MAX($L$230*(1-$C$15),0)-(IF($C$17&lt;=0,0,IF($C$16=0,MAX($L$230*(1-$C$15),0)/$C$17,-PMT($C$16/12,$C$17*12,MAX($L$230*(1-$C$15),0))*12))/12)*MIN(MAX((A407-$C$13+1)*12,0),$C$17*12),0),MAX(MAX($L$230*(1-$C$15),0)*(1+$C$16/12)^MIN(MAX((A407-$C$13+1)*12,0),$C$17*12)-(IF($C$17&lt;=0,0,IF($C$16=0,MAX($L$230*(1-$C$15),0)/$C$17,-PMT($C$16/12,$C$17*12,MAX($L$230*(1-$C$15),0))*12))/12)*(((1+$C$16/12)^MIN(MAX((A407-$C$13+1)*12,0),$C$17*12)-1)/($C$16/12)),0)))</f>
        <v/>
      </c>
      <c r="Z407" s="138">
        <f>MAX(X407-Y407,0)</f>
        <v/>
      </c>
      <c r="AA407" s="139">
        <f>U407+Z407</f>
        <v/>
      </c>
      <c r="AB407" s="5" t="n"/>
      <c r="AC407" s="5" t="n"/>
      <c r="AD407" s="5" t="n"/>
      <c r="AE407" s="5" t="n"/>
      <c r="AF407" s="5" t="n"/>
      <c r="AG407" s="5" t="n"/>
    </row>
    <row r="408" outlineLevel="1" s="326">
      <c r="A408" s="140" t="n">
        <v>20</v>
      </c>
      <c r="B408" s="40">
        <f>B99</f>
        <v/>
      </c>
      <c r="C408" s="141">
        <f>D99</f>
        <v/>
      </c>
      <c r="D408" s="141">
        <f>I99</f>
        <v/>
      </c>
      <c r="E408" s="141">
        <f>J99</f>
        <v/>
      </c>
      <c r="F408" s="141">
        <f>K99</f>
        <v/>
      </c>
      <c r="G408" s="138">
        <f>IF(AND($L$230&gt;0,A408=$C$13),$L$230*($C$15+$C$18),0)+IF(AND($L$230&gt;0,A408=$C$13),$C$24,0)</f>
        <v/>
      </c>
      <c r="H408" s="138">
        <f>IF(OR($L$230&lt;=0,A408&lt;$C$13),0,IF(AND($L$230&gt;0,$C$17&gt;0,A408&gt;=$C$13,A408&lt;($C$13+$C$17)),IF($C$17&lt;=0,0,IF($C$16=0,MAX($L$230*(1-$C$15),0)/$C$17,-PMT($C$16/12,$C$17*12,MAX($L$230*(1-$C$15),0))*12)),0)+X408*($C$19+$C$20+$C$21)+$C$22+$C$23)</f>
        <v/>
      </c>
      <c r="I408" s="138">
        <f>IF(B408="Working",MIN(MAX(D408-E408-F408-G408-H408,0),'Tax Assumptions'!$B$20),0)</f>
        <v/>
      </c>
      <c r="J408" s="138">
        <f>IF(B408="Working",D408-E408-F408-I408-G408-H408,-L408)</f>
        <v/>
      </c>
      <c r="K408" s="141">
        <f>IF(B408="Retired",$N$230+G408+H408,0)</f>
        <v/>
      </c>
      <c r="L408" s="141">
        <f>M408+N408+O408+P408</f>
        <v/>
      </c>
      <c r="M408" s="141">
        <f>IF(B408="Retired",MIN(((Q407)*(1+$C$10)+IF(B408="Working",J408,0)),K408),0)</f>
        <v/>
      </c>
      <c r="N408" s="141">
        <f>IF(B408="Retired",MIN(MAX(K408-M408,0),((R407)*(1+$C$10)+IF(B408="Working",E99,0))),0)</f>
        <v/>
      </c>
      <c r="O408" s="141">
        <f>IF(B408="Retired",MIN(MAX(K408-M408-N408,0),((S407)*(1+$C$10)+IF(B408="Working",I408,0))),0)</f>
        <v/>
      </c>
      <c r="P408" s="141">
        <f>IF(B408="Retired",MIN(MAX(K408-M408-N408-O408,0),((T407)*(1+$C$10)+IF(B408="Working",F99,0))),0)</f>
        <v/>
      </c>
      <c r="Q408" s="138">
        <f>MAX(((Q407)*(1+$C$10)+IF(B408="Working",J408,0))-M408,0)</f>
        <v/>
      </c>
      <c r="R408" s="138">
        <f>MAX(((R407)*(1+$C$10)+IF(B408="Working",E99,0))-N408,0)</f>
        <v/>
      </c>
      <c r="S408" s="138">
        <f>MAX(((S407)*(1+$C$10)+IF(B408="Working",I408,0))-O408,0)</f>
        <v/>
      </c>
      <c r="T408" s="138">
        <f>MAX(((T407)*(1+$C$10)+IF(B408="Working",F99,0))-P408,0)</f>
        <v/>
      </c>
      <c r="U408" s="138">
        <f>Q408+R408+S408+T408</f>
        <v/>
      </c>
      <c r="V408" s="138">
        <f>IF(B408="Working",MAX(-(((Q407)*(1+$C$10)+IF(B408="Working",J408,0))),0),MAX(K408-L408,0))</f>
        <v/>
      </c>
      <c r="W408" s="138">
        <f>IF(OR(A408&gt;=$C$13,B408="Retired"),IF(V408&gt;0,-V408,U408-'Model Inputs'!$B$18),"")</f>
        <v/>
      </c>
      <c r="X408" s="138">
        <f>IF(AND($L$230&gt;0,A408&gt;=$C$13),$L$230*(1+$C$25)^(A408-$C$13),0)</f>
        <v/>
      </c>
      <c r="Y408" s="138">
        <f>IF(OR($L$230&lt;=0,$C$17&lt;=0,A408&lt;$C$13,MIN(MAX((A408-$C$13+1)*12,0),$C$17*12)&gt;=$C$17*12),0,IF($C$16=0,MAX(MAX($L$230*(1-$C$15),0)-(IF($C$17&lt;=0,0,IF($C$16=0,MAX($L$230*(1-$C$15),0)/$C$17,-PMT($C$16/12,$C$17*12,MAX($L$230*(1-$C$15),0))*12))/12)*MIN(MAX((A408-$C$13+1)*12,0),$C$17*12),0),MAX(MAX($L$230*(1-$C$15),0)*(1+$C$16/12)^MIN(MAX((A408-$C$13+1)*12,0),$C$17*12)-(IF($C$17&lt;=0,0,IF($C$16=0,MAX($L$230*(1-$C$15),0)/$C$17,-PMT($C$16/12,$C$17*12,MAX($L$230*(1-$C$15),0))*12))/12)*(((1+$C$16/12)^MIN(MAX((A408-$C$13+1)*12,0),$C$17*12)-1)/($C$16/12)),0)))</f>
        <v/>
      </c>
      <c r="Z408" s="138">
        <f>MAX(X408-Y408,0)</f>
        <v/>
      </c>
      <c r="AA408" s="142">
        <f>U408+Z408</f>
        <v/>
      </c>
      <c r="AB408" s="5" t="n"/>
      <c r="AC408" s="5" t="n"/>
      <c r="AD408" s="5" t="n"/>
      <c r="AE408" s="5" t="n"/>
      <c r="AF408" s="5" t="n"/>
      <c r="AG408" s="5" t="n"/>
    </row>
    <row r="409" outlineLevel="1" s="326">
      <c r="A409" s="136" t="n">
        <v>21</v>
      </c>
      <c r="B409" s="72">
        <f>B100</f>
        <v/>
      </c>
      <c r="C409" s="137">
        <f>D100</f>
        <v/>
      </c>
      <c r="D409" s="137">
        <f>I100</f>
        <v/>
      </c>
      <c r="E409" s="137">
        <f>J100</f>
        <v/>
      </c>
      <c r="F409" s="137">
        <f>K100</f>
        <v/>
      </c>
      <c r="G409" s="138">
        <f>IF(AND($L$230&gt;0,A409=$C$13),$L$230*($C$15+$C$18),0)+IF(AND($L$230&gt;0,A409=$C$13),$C$24,0)</f>
        <v/>
      </c>
      <c r="H409" s="138">
        <f>IF(OR($L$230&lt;=0,A409&lt;$C$13),0,IF(AND($L$230&gt;0,$C$17&gt;0,A409&gt;=$C$13,A409&lt;($C$13+$C$17)),IF($C$17&lt;=0,0,IF($C$16=0,MAX($L$230*(1-$C$15),0)/$C$17,-PMT($C$16/12,$C$17*12,MAX($L$230*(1-$C$15),0))*12)),0)+X409*($C$19+$C$20+$C$21)+$C$22+$C$23)</f>
        <v/>
      </c>
      <c r="I409" s="138">
        <f>IF(B409="Working",MIN(MAX(D409-E409-F409-G409-H409,0),'Tax Assumptions'!$B$20),0)</f>
        <v/>
      </c>
      <c r="J409" s="138">
        <f>IF(B409="Working",D409-E409-F409-I409-G409-H409,-L409)</f>
        <v/>
      </c>
      <c r="K409" s="137">
        <f>IF(B409="Retired",$N$230+G409+H409,0)</f>
        <v/>
      </c>
      <c r="L409" s="137">
        <f>M409+N409+O409+P409</f>
        <v/>
      </c>
      <c r="M409" s="137">
        <f>IF(B409="Retired",MIN(((Q408)*(1+$C$10)+IF(B409="Working",J409,0)),K409),0)</f>
        <v/>
      </c>
      <c r="N409" s="137">
        <f>IF(B409="Retired",MIN(MAX(K409-M409,0),((R408)*(1+$C$10)+IF(B409="Working",E100,0))),0)</f>
        <v/>
      </c>
      <c r="O409" s="137">
        <f>IF(B409="Retired",MIN(MAX(K409-M409-N409,0),((S408)*(1+$C$10)+IF(B409="Working",I409,0))),0)</f>
        <v/>
      </c>
      <c r="P409" s="137">
        <f>IF(B409="Retired",MIN(MAX(K409-M409-N409-O409,0),((T408)*(1+$C$10)+IF(B409="Working",F100,0))),0)</f>
        <v/>
      </c>
      <c r="Q409" s="138">
        <f>MAX(((Q408)*(1+$C$10)+IF(B409="Working",J409,0))-M409,0)</f>
        <v/>
      </c>
      <c r="R409" s="138">
        <f>MAX(((R408)*(1+$C$10)+IF(B409="Working",E100,0))-N409,0)</f>
        <v/>
      </c>
      <c r="S409" s="138">
        <f>MAX(((S408)*(1+$C$10)+IF(B409="Working",I409,0))-O409,0)</f>
        <v/>
      </c>
      <c r="T409" s="138">
        <f>MAX(((T408)*(1+$C$10)+IF(B409="Working",F100,0))-P409,0)</f>
        <v/>
      </c>
      <c r="U409" s="138">
        <f>Q409+R409+S409+T409</f>
        <v/>
      </c>
      <c r="V409" s="138">
        <f>IF(B409="Working",MAX(-(((Q408)*(1+$C$10)+IF(B409="Working",J409,0))),0),MAX(K409-L409,0))</f>
        <v/>
      </c>
      <c r="W409" s="138">
        <f>IF(OR(A409&gt;=$C$13,B409="Retired"),IF(V409&gt;0,-V409,U409-'Model Inputs'!$B$18),"")</f>
        <v/>
      </c>
      <c r="X409" s="138">
        <f>IF(AND($L$230&gt;0,A409&gt;=$C$13),$L$230*(1+$C$25)^(A409-$C$13),0)</f>
        <v/>
      </c>
      <c r="Y409" s="138">
        <f>IF(OR($L$230&lt;=0,$C$17&lt;=0,A409&lt;$C$13,MIN(MAX((A409-$C$13+1)*12,0),$C$17*12)&gt;=$C$17*12),0,IF($C$16=0,MAX(MAX($L$230*(1-$C$15),0)-(IF($C$17&lt;=0,0,IF($C$16=0,MAX($L$230*(1-$C$15),0)/$C$17,-PMT($C$16/12,$C$17*12,MAX($L$230*(1-$C$15),0))*12))/12)*MIN(MAX((A409-$C$13+1)*12,0),$C$17*12),0),MAX(MAX($L$230*(1-$C$15),0)*(1+$C$16/12)^MIN(MAX((A409-$C$13+1)*12,0),$C$17*12)-(IF($C$17&lt;=0,0,IF($C$16=0,MAX($L$230*(1-$C$15),0)/$C$17,-PMT($C$16/12,$C$17*12,MAX($L$230*(1-$C$15),0))*12))/12)*(((1+$C$16/12)^MIN(MAX((A409-$C$13+1)*12,0),$C$17*12)-1)/($C$16/12)),0)))</f>
        <v/>
      </c>
      <c r="Z409" s="138">
        <f>MAX(X409-Y409,0)</f>
        <v/>
      </c>
      <c r="AA409" s="139">
        <f>U409+Z409</f>
        <v/>
      </c>
      <c r="AB409" s="5" t="n"/>
      <c r="AC409" s="5" t="n"/>
      <c r="AD409" s="5" t="n"/>
      <c r="AE409" s="5" t="n"/>
      <c r="AF409" s="5" t="n"/>
      <c r="AG409" s="5" t="n"/>
    </row>
    <row r="410" outlineLevel="1" s="326">
      <c r="A410" s="140" t="n">
        <v>22</v>
      </c>
      <c r="B410" s="40">
        <f>B101</f>
        <v/>
      </c>
      <c r="C410" s="141">
        <f>D101</f>
        <v/>
      </c>
      <c r="D410" s="141">
        <f>I101</f>
        <v/>
      </c>
      <c r="E410" s="141">
        <f>J101</f>
        <v/>
      </c>
      <c r="F410" s="141">
        <f>K101</f>
        <v/>
      </c>
      <c r="G410" s="138">
        <f>IF(AND($L$230&gt;0,A410=$C$13),$L$230*($C$15+$C$18),0)+IF(AND($L$230&gt;0,A410=$C$13),$C$24,0)</f>
        <v/>
      </c>
      <c r="H410" s="138">
        <f>IF(OR($L$230&lt;=0,A410&lt;$C$13),0,IF(AND($L$230&gt;0,$C$17&gt;0,A410&gt;=$C$13,A410&lt;($C$13+$C$17)),IF($C$17&lt;=0,0,IF($C$16=0,MAX($L$230*(1-$C$15),0)/$C$17,-PMT($C$16/12,$C$17*12,MAX($L$230*(1-$C$15),0))*12)),0)+X410*($C$19+$C$20+$C$21)+$C$22+$C$23)</f>
        <v/>
      </c>
      <c r="I410" s="138">
        <f>IF(B410="Working",MIN(MAX(D410-E410-F410-G410-H410,0),'Tax Assumptions'!$B$20),0)</f>
        <v/>
      </c>
      <c r="J410" s="138">
        <f>IF(B410="Working",D410-E410-F410-I410-G410-H410,-L410)</f>
        <v/>
      </c>
      <c r="K410" s="141">
        <f>IF(B410="Retired",$N$230+G410+H410,0)</f>
        <v/>
      </c>
      <c r="L410" s="141">
        <f>M410+N410+O410+P410</f>
        <v/>
      </c>
      <c r="M410" s="141">
        <f>IF(B410="Retired",MIN(((Q409)*(1+$C$10)+IF(B410="Working",J410,0)),K410),0)</f>
        <v/>
      </c>
      <c r="N410" s="141">
        <f>IF(B410="Retired",MIN(MAX(K410-M410,0),((R409)*(1+$C$10)+IF(B410="Working",E101,0))),0)</f>
        <v/>
      </c>
      <c r="O410" s="141">
        <f>IF(B410="Retired",MIN(MAX(K410-M410-N410,0),((S409)*(1+$C$10)+IF(B410="Working",I410,0))),0)</f>
        <v/>
      </c>
      <c r="P410" s="141">
        <f>IF(B410="Retired",MIN(MAX(K410-M410-N410-O410,0),((T409)*(1+$C$10)+IF(B410="Working",F101,0))),0)</f>
        <v/>
      </c>
      <c r="Q410" s="138">
        <f>MAX(((Q409)*(1+$C$10)+IF(B410="Working",J410,0))-M410,0)</f>
        <v/>
      </c>
      <c r="R410" s="138">
        <f>MAX(((R409)*(1+$C$10)+IF(B410="Working",E101,0))-N410,0)</f>
        <v/>
      </c>
      <c r="S410" s="138">
        <f>MAX(((S409)*(1+$C$10)+IF(B410="Working",I410,0))-O410,0)</f>
        <v/>
      </c>
      <c r="T410" s="138">
        <f>MAX(((T409)*(1+$C$10)+IF(B410="Working",F101,0))-P410,0)</f>
        <v/>
      </c>
      <c r="U410" s="138">
        <f>Q410+R410+S410+T410</f>
        <v/>
      </c>
      <c r="V410" s="138">
        <f>IF(B410="Working",MAX(-(((Q409)*(1+$C$10)+IF(B410="Working",J410,0))),0),MAX(K410-L410,0))</f>
        <v/>
      </c>
      <c r="W410" s="138">
        <f>IF(OR(A410&gt;=$C$13,B410="Retired"),IF(V410&gt;0,-V410,U410-'Model Inputs'!$B$18),"")</f>
        <v/>
      </c>
      <c r="X410" s="138">
        <f>IF(AND($L$230&gt;0,A410&gt;=$C$13),$L$230*(1+$C$25)^(A410-$C$13),0)</f>
        <v/>
      </c>
      <c r="Y410" s="138">
        <f>IF(OR($L$230&lt;=0,$C$17&lt;=0,A410&lt;$C$13,MIN(MAX((A410-$C$13+1)*12,0),$C$17*12)&gt;=$C$17*12),0,IF($C$16=0,MAX(MAX($L$230*(1-$C$15),0)-(IF($C$17&lt;=0,0,IF($C$16=0,MAX($L$230*(1-$C$15),0)/$C$17,-PMT($C$16/12,$C$17*12,MAX($L$230*(1-$C$15),0))*12))/12)*MIN(MAX((A410-$C$13+1)*12,0),$C$17*12),0),MAX(MAX($L$230*(1-$C$15),0)*(1+$C$16/12)^MIN(MAX((A410-$C$13+1)*12,0),$C$17*12)-(IF($C$17&lt;=0,0,IF($C$16=0,MAX($L$230*(1-$C$15),0)/$C$17,-PMT($C$16/12,$C$17*12,MAX($L$230*(1-$C$15),0))*12))/12)*(((1+$C$16/12)^MIN(MAX((A410-$C$13+1)*12,0),$C$17*12)-1)/($C$16/12)),0)))</f>
        <v/>
      </c>
      <c r="Z410" s="138">
        <f>MAX(X410-Y410,0)</f>
        <v/>
      </c>
      <c r="AA410" s="142">
        <f>U410+Z410</f>
        <v/>
      </c>
      <c r="AB410" s="5" t="n"/>
      <c r="AC410" s="5" t="n"/>
      <c r="AD410" s="5" t="n"/>
      <c r="AE410" s="5" t="n"/>
      <c r="AF410" s="5" t="n"/>
      <c r="AG410" s="5" t="n"/>
    </row>
    <row r="411" outlineLevel="1" s="326">
      <c r="A411" s="136" t="n">
        <v>23</v>
      </c>
      <c r="B411" s="72">
        <f>B102</f>
        <v/>
      </c>
      <c r="C411" s="137">
        <f>D102</f>
        <v/>
      </c>
      <c r="D411" s="137">
        <f>I102</f>
        <v/>
      </c>
      <c r="E411" s="137">
        <f>J102</f>
        <v/>
      </c>
      <c r="F411" s="137">
        <f>K102</f>
        <v/>
      </c>
      <c r="G411" s="138">
        <f>IF(AND($L$230&gt;0,A411=$C$13),$L$230*($C$15+$C$18),0)+IF(AND($L$230&gt;0,A411=$C$13),$C$24,0)</f>
        <v/>
      </c>
      <c r="H411" s="138">
        <f>IF(OR($L$230&lt;=0,A411&lt;$C$13),0,IF(AND($L$230&gt;0,$C$17&gt;0,A411&gt;=$C$13,A411&lt;($C$13+$C$17)),IF($C$17&lt;=0,0,IF($C$16=0,MAX($L$230*(1-$C$15),0)/$C$17,-PMT($C$16/12,$C$17*12,MAX($L$230*(1-$C$15),0))*12)),0)+X411*($C$19+$C$20+$C$21)+$C$22+$C$23)</f>
        <v/>
      </c>
      <c r="I411" s="138">
        <f>IF(B411="Working",MIN(MAX(D411-E411-F411-G411-H411,0),'Tax Assumptions'!$B$20),0)</f>
        <v/>
      </c>
      <c r="J411" s="138">
        <f>IF(B411="Working",D411-E411-F411-I411-G411-H411,-L411)</f>
        <v/>
      </c>
      <c r="K411" s="137">
        <f>IF(B411="Retired",$N$230+G411+H411,0)</f>
        <v/>
      </c>
      <c r="L411" s="137">
        <f>M411+N411+O411+P411</f>
        <v/>
      </c>
      <c r="M411" s="137">
        <f>IF(B411="Retired",MIN(((Q410)*(1+$C$10)+IF(B411="Working",J411,0)),K411),0)</f>
        <v/>
      </c>
      <c r="N411" s="137">
        <f>IF(B411="Retired",MIN(MAX(K411-M411,0),((R410)*(1+$C$10)+IF(B411="Working",E102,0))),0)</f>
        <v/>
      </c>
      <c r="O411" s="137">
        <f>IF(B411="Retired",MIN(MAX(K411-M411-N411,0),((S410)*(1+$C$10)+IF(B411="Working",I411,0))),0)</f>
        <v/>
      </c>
      <c r="P411" s="137">
        <f>IF(B411="Retired",MIN(MAX(K411-M411-N411-O411,0),((T410)*(1+$C$10)+IF(B411="Working",F102,0))),0)</f>
        <v/>
      </c>
      <c r="Q411" s="138">
        <f>MAX(((Q410)*(1+$C$10)+IF(B411="Working",J411,0))-M411,0)</f>
        <v/>
      </c>
      <c r="R411" s="138">
        <f>MAX(((R410)*(1+$C$10)+IF(B411="Working",E102,0))-N411,0)</f>
        <v/>
      </c>
      <c r="S411" s="138">
        <f>MAX(((S410)*(1+$C$10)+IF(B411="Working",I411,0))-O411,0)</f>
        <v/>
      </c>
      <c r="T411" s="138">
        <f>MAX(((T410)*(1+$C$10)+IF(B411="Working",F102,0))-P411,0)</f>
        <v/>
      </c>
      <c r="U411" s="138">
        <f>Q411+R411+S411+T411</f>
        <v/>
      </c>
      <c r="V411" s="138">
        <f>IF(B411="Working",MAX(-(((Q410)*(1+$C$10)+IF(B411="Working",J411,0))),0),MAX(K411-L411,0))</f>
        <v/>
      </c>
      <c r="W411" s="138">
        <f>IF(OR(A411&gt;=$C$13,B411="Retired"),IF(V411&gt;0,-V411,U411-'Model Inputs'!$B$18),"")</f>
        <v/>
      </c>
      <c r="X411" s="138">
        <f>IF(AND($L$230&gt;0,A411&gt;=$C$13),$L$230*(1+$C$25)^(A411-$C$13),0)</f>
        <v/>
      </c>
      <c r="Y411" s="138">
        <f>IF(OR($L$230&lt;=0,$C$17&lt;=0,A411&lt;$C$13,MIN(MAX((A411-$C$13+1)*12,0),$C$17*12)&gt;=$C$17*12),0,IF($C$16=0,MAX(MAX($L$230*(1-$C$15),0)-(IF($C$17&lt;=0,0,IF($C$16=0,MAX($L$230*(1-$C$15),0)/$C$17,-PMT($C$16/12,$C$17*12,MAX($L$230*(1-$C$15),0))*12))/12)*MIN(MAX((A411-$C$13+1)*12,0),$C$17*12),0),MAX(MAX($L$230*(1-$C$15),0)*(1+$C$16/12)^MIN(MAX((A411-$C$13+1)*12,0),$C$17*12)-(IF($C$17&lt;=0,0,IF($C$16=0,MAX($L$230*(1-$C$15),0)/$C$17,-PMT($C$16/12,$C$17*12,MAX($L$230*(1-$C$15),0))*12))/12)*(((1+$C$16/12)^MIN(MAX((A411-$C$13+1)*12,0),$C$17*12)-1)/($C$16/12)),0)))</f>
        <v/>
      </c>
      <c r="Z411" s="138">
        <f>MAX(X411-Y411,0)</f>
        <v/>
      </c>
      <c r="AA411" s="139">
        <f>U411+Z411</f>
        <v/>
      </c>
      <c r="AB411" s="5" t="n"/>
      <c r="AC411" s="5" t="n"/>
      <c r="AD411" s="5" t="n"/>
      <c r="AE411" s="5" t="n"/>
      <c r="AF411" s="5" t="n"/>
      <c r="AG411" s="5" t="n"/>
    </row>
    <row r="412" outlineLevel="1" s="326">
      <c r="A412" s="140" t="n">
        <v>24</v>
      </c>
      <c r="B412" s="40">
        <f>B103</f>
        <v/>
      </c>
      <c r="C412" s="141">
        <f>D103</f>
        <v/>
      </c>
      <c r="D412" s="141">
        <f>I103</f>
        <v/>
      </c>
      <c r="E412" s="141">
        <f>J103</f>
        <v/>
      </c>
      <c r="F412" s="141">
        <f>K103</f>
        <v/>
      </c>
      <c r="G412" s="138">
        <f>IF(AND($L$230&gt;0,A412=$C$13),$L$230*($C$15+$C$18),0)+IF(AND($L$230&gt;0,A412=$C$13),$C$24,0)</f>
        <v/>
      </c>
      <c r="H412" s="138">
        <f>IF(OR($L$230&lt;=0,A412&lt;$C$13),0,IF(AND($L$230&gt;0,$C$17&gt;0,A412&gt;=$C$13,A412&lt;($C$13+$C$17)),IF($C$17&lt;=0,0,IF($C$16=0,MAX($L$230*(1-$C$15),0)/$C$17,-PMT($C$16/12,$C$17*12,MAX($L$230*(1-$C$15),0))*12)),0)+X412*($C$19+$C$20+$C$21)+$C$22+$C$23)</f>
        <v/>
      </c>
      <c r="I412" s="138">
        <f>IF(B412="Working",MIN(MAX(D412-E412-F412-G412-H412,0),'Tax Assumptions'!$B$20),0)</f>
        <v/>
      </c>
      <c r="J412" s="138">
        <f>IF(B412="Working",D412-E412-F412-I412-G412-H412,-L412)</f>
        <v/>
      </c>
      <c r="K412" s="141">
        <f>IF(B412="Retired",$N$230+G412+H412,0)</f>
        <v/>
      </c>
      <c r="L412" s="141">
        <f>M412+N412+O412+P412</f>
        <v/>
      </c>
      <c r="M412" s="141">
        <f>IF(B412="Retired",MIN(((Q411)*(1+$C$10)+IF(B412="Working",J412,0)),K412),0)</f>
        <v/>
      </c>
      <c r="N412" s="141">
        <f>IF(B412="Retired",MIN(MAX(K412-M412,0),((R411)*(1+$C$10)+IF(B412="Working",E103,0))),0)</f>
        <v/>
      </c>
      <c r="O412" s="141">
        <f>IF(B412="Retired",MIN(MAX(K412-M412-N412,0),((S411)*(1+$C$10)+IF(B412="Working",I412,0))),0)</f>
        <v/>
      </c>
      <c r="P412" s="141">
        <f>IF(B412="Retired",MIN(MAX(K412-M412-N412-O412,0),((T411)*(1+$C$10)+IF(B412="Working",F103,0))),0)</f>
        <v/>
      </c>
      <c r="Q412" s="138">
        <f>MAX(((Q411)*(1+$C$10)+IF(B412="Working",J412,0))-M412,0)</f>
        <v/>
      </c>
      <c r="R412" s="138">
        <f>MAX(((R411)*(1+$C$10)+IF(B412="Working",E103,0))-N412,0)</f>
        <v/>
      </c>
      <c r="S412" s="138">
        <f>MAX(((S411)*(1+$C$10)+IF(B412="Working",I412,0))-O412,0)</f>
        <v/>
      </c>
      <c r="T412" s="138">
        <f>MAX(((T411)*(1+$C$10)+IF(B412="Working",F103,0))-P412,0)</f>
        <v/>
      </c>
      <c r="U412" s="138">
        <f>Q412+R412+S412+T412</f>
        <v/>
      </c>
      <c r="V412" s="138">
        <f>IF(B412="Working",MAX(-(((Q411)*(1+$C$10)+IF(B412="Working",J412,0))),0),MAX(K412-L412,0))</f>
        <v/>
      </c>
      <c r="W412" s="138">
        <f>IF(OR(A412&gt;=$C$13,B412="Retired"),IF(V412&gt;0,-V412,U412-'Model Inputs'!$B$18),"")</f>
        <v/>
      </c>
      <c r="X412" s="138">
        <f>IF(AND($L$230&gt;0,A412&gt;=$C$13),$L$230*(1+$C$25)^(A412-$C$13),0)</f>
        <v/>
      </c>
      <c r="Y412" s="138">
        <f>IF(OR($L$230&lt;=0,$C$17&lt;=0,A412&lt;$C$13,MIN(MAX((A412-$C$13+1)*12,0),$C$17*12)&gt;=$C$17*12),0,IF($C$16=0,MAX(MAX($L$230*(1-$C$15),0)-(IF($C$17&lt;=0,0,IF($C$16=0,MAX($L$230*(1-$C$15),0)/$C$17,-PMT($C$16/12,$C$17*12,MAX($L$230*(1-$C$15),0))*12))/12)*MIN(MAX((A412-$C$13+1)*12,0),$C$17*12),0),MAX(MAX($L$230*(1-$C$15),0)*(1+$C$16/12)^MIN(MAX((A412-$C$13+1)*12,0),$C$17*12)-(IF($C$17&lt;=0,0,IF($C$16=0,MAX($L$230*(1-$C$15),0)/$C$17,-PMT($C$16/12,$C$17*12,MAX($L$230*(1-$C$15),0))*12))/12)*(((1+$C$16/12)^MIN(MAX((A412-$C$13+1)*12,0),$C$17*12)-1)/($C$16/12)),0)))</f>
        <v/>
      </c>
      <c r="Z412" s="138">
        <f>MAX(X412-Y412,0)</f>
        <v/>
      </c>
      <c r="AA412" s="142">
        <f>U412+Z412</f>
        <v/>
      </c>
      <c r="AB412" s="5" t="n"/>
      <c r="AC412" s="5" t="n"/>
      <c r="AD412" s="5" t="n"/>
      <c r="AE412" s="5" t="n"/>
      <c r="AF412" s="5" t="n"/>
      <c r="AG412" s="5" t="n"/>
    </row>
    <row r="413" outlineLevel="1" s="326">
      <c r="A413" s="136" t="n">
        <v>25</v>
      </c>
      <c r="B413" s="72">
        <f>B104</f>
        <v/>
      </c>
      <c r="C413" s="137">
        <f>D104</f>
        <v/>
      </c>
      <c r="D413" s="137">
        <f>I104</f>
        <v/>
      </c>
      <c r="E413" s="137">
        <f>J104</f>
        <v/>
      </c>
      <c r="F413" s="137">
        <f>K104</f>
        <v/>
      </c>
      <c r="G413" s="138">
        <f>IF(AND($L$230&gt;0,A413=$C$13),$L$230*($C$15+$C$18),0)+IF(AND($L$230&gt;0,A413=$C$13),$C$24,0)</f>
        <v/>
      </c>
      <c r="H413" s="138">
        <f>IF(OR($L$230&lt;=0,A413&lt;$C$13),0,IF(AND($L$230&gt;0,$C$17&gt;0,A413&gt;=$C$13,A413&lt;($C$13+$C$17)),IF($C$17&lt;=0,0,IF($C$16=0,MAX($L$230*(1-$C$15),0)/$C$17,-PMT($C$16/12,$C$17*12,MAX($L$230*(1-$C$15),0))*12)),0)+X413*($C$19+$C$20+$C$21)+$C$22+$C$23)</f>
        <v/>
      </c>
      <c r="I413" s="138">
        <f>IF(B413="Working",MIN(MAX(D413-E413-F413-G413-H413,0),'Tax Assumptions'!$B$20),0)</f>
        <v/>
      </c>
      <c r="J413" s="138">
        <f>IF(B413="Working",D413-E413-F413-I413-G413-H413,-L413)</f>
        <v/>
      </c>
      <c r="K413" s="137">
        <f>IF(B413="Retired",$N$230+G413+H413,0)</f>
        <v/>
      </c>
      <c r="L413" s="137">
        <f>M413+N413+O413+P413</f>
        <v/>
      </c>
      <c r="M413" s="137">
        <f>IF(B413="Retired",MIN(((Q412)*(1+$C$10)+IF(B413="Working",J413,0)),K413),0)</f>
        <v/>
      </c>
      <c r="N413" s="137">
        <f>IF(B413="Retired",MIN(MAX(K413-M413,0),((R412)*(1+$C$10)+IF(B413="Working",E104,0))),0)</f>
        <v/>
      </c>
      <c r="O413" s="137">
        <f>IF(B413="Retired",MIN(MAX(K413-M413-N413,0),((S412)*(1+$C$10)+IF(B413="Working",I413,0))),0)</f>
        <v/>
      </c>
      <c r="P413" s="137">
        <f>IF(B413="Retired",MIN(MAX(K413-M413-N413-O413,0),((T412)*(1+$C$10)+IF(B413="Working",F104,0))),0)</f>
        <v/>
      </c>
      <c r="Q413" s="138">
        <f>MAX(((Q412)*(1+$C$10)+IF(B413="Working",J413,0))-M413,0)</f>
        <v/>
      </c>
      <c r="R413" s="138">
        <f>MAX(((R412)*(1+$C$10)+IF(B413="Working",E104,0))-N413,0)</f>
        <v/>
      </c>
      <c r="S413" s="138">
        <f>MAX(((S412)*(1+$C$10)+IF(B413="Working",I413,0))-O413,0)</f>
        <v/>
      </c>
      <c r="T413" s="138">
        <f>MAX(((T412)*(1+$C$10)+IF(B413="Working",F104,0))-P413,0)</f>
        <v/>
      </c>
      <c r="U413" s="138">
        <f>Q413+R413+S413+T413</f>
        <v/>
      </c>
      <c r="V413" s="138">
        <f>IF(B413="Working",MAX(-(((Q412)*(1+$C$10)+IF(B413="Working",J413,0))),0),MAX(K413-L413,0))</f>
        <v/>
      </c>
      <c r="W413" s="138">
        <f>IF(OR(A413&gt;=$C$13,B413="Retired"),IF(V413&gt;0,-V413,U413-'Model Inputs'!$B$18),"")</f>
        <v/>
      </c>
      <c r="X413" s="138">
        <f>IF(AND($L$230&gt;0,A413&gt;=$C$13),$L$230*(1+$C$25)^(A413-$C$13),0)</f>
        <v/>
      </c>
      <c r="Y413" s="138">
        <f>IF(OR($L$230&lt;=0,$C$17&lt;=0,A413&lt;$C$13,MIN(MAX((A413-$C$13+1)*12,0),$C$17*12)&gt;=$C$17*12),0,IF($C$16=0,MAX(MAX($L$230*(1-$C$15),0)-(IF($C$17&lt;=0,0,IF($C$16=0,MAX($L$230*(1-$C$15),0)/$C$17,-PMT($C$16/12,$C$17*12,MAX($L$230*(1-$C$15),0))*12))/12)*MIN(MAX((A413-$C$13+1)*12,0),$C$17*12),0),MAX(MAX($L$230*(1-$C$15),0)*(1+$C$16/12)^MIN(MAX((A413-$C$13+1)*12,0),$C$17*12)-(IF($C$17&lt;=0,0,IF($C$16=0,MAX($L$230*(1-$C$15),0)/$C$17,-PMT($C$16/12,$C$17*12,MAX($L$230*(1-$C$15),0))*12))/12)*(((1+$C$16/12)^MIN(MAX((A413-$C$13+1)*12,0),$C$17*12)-1)/($C$16/12)),0)))</f>
        <v/>
      </c>
      <c r="Z413" s="138">
        <f>MAX(X413-Y413,0)</f>
        <v/>
      </c>
      <c r="AA413" s="139">
        <f>U413+Z413</f>
        <v/>
      </c>
      <c r="AB413" s="5" t="n"/>
      <c r="AC413" s="5" t="n"/>
      <c r="AD413" s="5" t="n"/>
      <c r="AE413" s="5" t="n"/>
      <c r="AF413" s="5" t="n"/>
      <c r="AG413" s="5" t="n"/>
    </row>
    <row r="414" outlineLevel="1" s="326">
      <c r="A414" s="140" t="n">
        <v>26</v>
      </c>
      <c r="B414" s="40">
        <f>B105</f>
        <v/>
      </c>
      <c r="C414" s="141">
        <f>D105</f>
        <v/>
      </c>
      <c r="D414" s="141">
        <f>I105</f>
        <v/>
      </c>
      <c r="E414" s="141">
        <f>J105</f>
        <v/>
      </c>
      <c r="F414" s="141">
        <f>K105</f>
        <v/>
      </c>
      <c r="G414" s="138">
        <f>IF(AND($L$230&gt;0,A414=$C$13),$L$230*($C$15+$C$18),0)+IF(AND($L$230&gt;0,A414=$C$13),$C$24,0)</f>
        <v/>
      </c>
      <c r="H414" s="138">
        <f>IF(OR($L$230&lt;=0,A414&lt;$C$13),0,IF(AND($L$230&gt;0,$C$17&gt;0,A414&gt;=$C$13,A414&lt;($C$13+$C$17)),IF($C$17&lt;=0,0,IF($C$16=0,MAX($L$230*(1-$C$15),0)/$C$17,-PMT($C$16/12,$C$17*12,MAX($L$230*(1-$C$15),0))*12)),0)+X414*($C$19+$C$20+$C$21)+$C$22+$C$23)</f>
        <v/>
      </c>
      <c r="I414" s="138">
        <f>IF(B414="Working",MIN(MAX(D414-E414-F414-G414-H414,0),'Tax Assumptions'!$B$20),0)</f>
        <v/>
      </c>
      <c r="J414" s="138">
        <f>IF(B414="Working",D414-E414-F414-I414-G414-H414,-L414)</f>
        <v/>
      </c>
      <c r="K414" s="141">
        <f>IF(B414="Retired",$N$230+G414+H414,0)</f>
        <v/>
      </c>
      <c r="L414" s="141">
        <f>M414+N414+O414+P414</f>
        <v/>
      </c>
      <c r="M414" s="141">
        <f>IF(B414="Retired",MIN(((Q413)*(1+$C$10)+IF(B414="Working",J414,0)),K414),0)</f>
        <v/>
      </c>
      <c r="N414" s="141">
        <f>IF(B414="Retired",MIN(MAX(K414-M414,0),((R413)*(1+$C$10)+IF(B414="Working",E105,0))),0)</f>
        <v/>
      </c>
      <c r="O414" s="141">
        <f>IF(B414="Retired",MIN(MAX(K414-M414-N414,0),((S413)*(1+$C$10)+IF(B414="Working",I414,0))),0)</f>
        <v/>
      </c>
      <c r="P414" s="141">
        <f>IF(B414="Retired",MIN(MAX(K414-M414-N414-O414,0),((T413)*(1+$C$10)+IF(B414="Working",F105,0))),0)</f>
        <v/>
      </c>
      <c r="Q414" s="138">
        <f>MAX(((Q413)*(1+$C$10)+IF(B414="Working",J414,0))-M414,0)</f>
        <v/>
      </c>
      <c r="R414" s="138">
        <f>MAX(((R413)*(1+$C$10)+IF(B414="Working",E105,0))-N414,0)</f>
        <v/>
      </c>
      <c r="S414" s="138">
        <f>MAX(((S413)*(1+$C$10)+IF(B414="Working",I414,0))-O414,0)</f>
        <v/>
      </c>
      <c r="T414" s="138">
        <f>MAX(((T413)*(1+$C$10)+IF(B414="Working",F105,0))-P414,0)</f>
        <v/>
      </c>
      <c r="U414" s="138">
        <f>Q414+R414+S414+T414</f>
        <v/>
      </c>
      <c r="V414" s="138">
        <f>IF(B414="Working",MAX(-(((Q413)*(1+$C$10)+IF(B414="Working",J414,0))),0),MAX(K414-L414,0))</f>
        <v/>
      </c>
      <c r="W414" s="138">
        <f>IF(OR(A414&gt;=$C$13,B414="Retired"),IF(V414&gt;0,-V414,U414-'Model Inputs'!$B$18),"")</f>
        <v/>
      </c>
      <c r="X414" s="138">
        <f>IF(AND($L$230&gt;0,A414&gt;=$C$13),$L$230*(1+$C$25)^(A414-$C$13),0)</f>
        <v/>
      </c>
      <c r="Y414" s="138">
        <f>IF(OR($L$230&lt;=0,$C$17&lt;=0,A414&lt;$C$13,MIN(MAX((A414-$C$13+1)*12,0),$C$17*12)&gt;=$C$17*12),0,IF($C$16=0,MAX(MAX($L$230*(1-$C$15),0)-(IF($C$17&lt;=0,0,IF($C$16=0,MAX($L$230*(1-$C$15),0)/$C$17,-PMT($C$16/12,$C$17*12,MAX($L$230*(1-$C$15),0))*12))/12)*MIN(MAX((A414-$C$13+1)*12,0),$C$17*12),0),MAX(MAX($L$230*(1-$C$15),0)*(1+$C$16/12)^MIN(MAX((A414-$C$13+1)*12,0),$C$17*12)-(IF($C$17&lt;=0,0,IF($C$16=0,MAX($L$230*(1-$C$15),0)/$C$17,-PMT($C$16/12,$C$17*12,MAX($L$230*(1-$C$15),0))*12))/12)*(((1+$C$16/12)^MIN(MAX((A414-$C$13+1)*12,0),$C$17*12)-1)/($C$16/12)),0)))</f>
        <v/>
      </c>
      <c r="Z414" s="138">
        <f>MAX(X414-Y414,0)</f>
        <v/>
      </c>
      <c r="AA414" s="142">
        <f>U414+Z414</f>
        <v/>
      </c>
      <c r="AB414" s="5" t="n"/>
      <c r="AC414" s="5" t="n"/>
      <c r="AD414" s="5" t="n"/>
      <c r="AE414" s="5" t="n"/>
      <c r="AF414" s="5" t="n"/>
      <c r="AG414" s="5" t="n"/>
    </row>
    <row r="415" outlineLevel="1" s="326">
      <c r="A415" s="136" t="n">
        <v>27</v>
      </c>
      <c r="B415" s="72">
        <f>B106</f>
        <v/>
      </c>
      <c r="C415" s="137">
        <f>D106</f>
        <v/>
      </c>
      <c r="D415" s="137">
        <f>I106</f>
        <v/>
      </c>
      <c r="E415" s="137">
        <f>J106</f>
        <v/>
      </c>
      <c r="F415" s="137">
        <f>K106</f>
        <v/>
      </c>
      <c r="G415" s="138">
        <f>IF(AND($L$230&gt;0,A415=$C$13),$L$230*($C$15+$C$18),0)+IF(AND($L$230&gt;0,A415=$C$13),$C$24,0)</f>
        <v/>
      </c>
      <c r="H415" s="138">
        <f>IF(OR($L$230&lt;=0,A415&lt;$C$13),0,IF(AND($L$230&gt;0,$C$17&gt;0,A415&gt;=$C$13,A415&lt;($C$13+$C$17)),IF($C$17&lt;=0,0,IF($C$16=0,MAX($L$230*(1-$C$15),0)/$C$17,-PMT($C$16/12,$C$17*12,MAX($L$230*(1-$C$15),0))*12)),0)+X415*($C$19+$C$20+$C$21)+$C$22+$C$23)</f>
        <v/>
      </c>
      <c r="I415" s="138">
        <f>IF(B415="Working",MIN(MAX(D415-E415-F415-G415-H415,0),'Tax Assumptions'!$B$20),0)</f>
        <v/>
      </c>
      <c r="J415" s="138">
        <f>IF(B415="Working",D415-E415-F415-I415-G415-H415,-L415)</f>
        <v/>
      </c>
      <c r="K415" s="137">
        <f>IF(B415="Retired",$N$230+G415+H415,0)</f>
        <v/>
      </c>
      <c r="L415" s="137">
        <f>M415+N415+O415+P415</f>
        <v/>
      </c>
      <c r="M415" s="137">
        <f>IF(B415="Retired",MIN(((Q414)*(1+$C$10)+IF(B415="Working",J415,0)),K415),0)</f>
        <v/>
      </c>
      <c r="N415" s="137">
        <f>IF(B415="Retired",MIN(MAX(K415-M415,0),((R414)*(1+$C$10)+IF(B415="Working",E106,0))),0)</f>
        <v/>
      </c>
      <c r="O415" s="137">
        <f>IF(B415="Retired",MIN(MAX(K415-M415-N415,0),((S414)*(1+$C$10)+IF(B415="Working",I415,0))),0)</f>
        <v/>
      </c>
      <c r="P415" s="137">
        <f>IF(B415="Retired",MIN(MAX(K415-M415-N415-O415,0),((T414)*(1+$C$10)+IF(B415="Working",F106,0))),0)</f>
        <v/>
      </c>
      <c r="Q415" s="138">
        <f>MAX(((Q414)*(1+$C$10)+IF(B415="Working",J415,0))-M415,0)</f>
        <v/>
      </c>
      <c r="R415" s="138">
        <f>MAX(((R414)*(1+$C$10)+IF(B415="Working",E106,0))-N415,0)</f>
        <v/>
      </c>
      <c r="S415" s="138">
        <f>MAX(((S414)*(1+$C$10)+IF(B415="Working",I415,0))-O415,0)</f>
        <v/>
      </c>
      <c r="T415" s="138">
        <f>MAX(((T414)*(1+$C$10)+IF(B415="Working",F106,0))-P415,0)</f>
        <v/>
      </c>
      <c r="U415" s="138">
        <f>Q415+R415+S415+T415</f>
        <v/>
      </c>
      <c r="V415" s="138">
        <f>IF(B415="Working",MAX(-(((Q414)*(1+$C$10)+IF(B415="Working",J415,0))),0),MAX(K415-L415,0))</f>
        <v/>
      </c>
      <c r="W415" s="138">
        <f>IF(OR(A415&gt;=$C$13,B415="Retired"),IF(V415&gt;0,-V415,U415-'Model Inputs'!$B$18),"")</f>
        <v/>
      </c>
      <c r="X415" s="138">
        <f>IF(AND($L$230&gt;0,A415&gt;=$C$13),$L$230*(1+$C$25)^(A415-$C$13),0)</f>
        <v/>
      </c>
      <c r="Y415" s="138">
        <f>IF(OR($L$230&lt;=0,$C$17&lt;=0,A415&lt;$C$13,MIN(MAX((A415-$C$13+1)*12,0),$C$17*12)&gt;=$C$17*12),0,IF($C$16=0,MAX(MAX($L$230*(1-$C$15),0)-(IF($C$17&lt;=0,0,IF($C$16=0,MAX($L$230*(1-$C$15),0)/$C$17,-PMT($C$16/12,$C$17*12,MAX($L$230*(1-$C$15),0))*12))/12)*MIN(MAX((A415-$C$13+1)*12,0),$C$17*12),0),MAX(MAX($L$230*(1-$C$15),0)*(1+$C$16/12)^MIN(MAX((A415-$C$13+1)*12,0),$C$17*12)-(IF($C$17&lt;=0,0,IF($C$16=0,MAX($L$230*(1-$C$15),0)/$C$17,-PMT($C$16/12,$C$17*12,MAX($L$230*(1-$C$15),0))*12))/12)*(((1+$C$16/12)^MIN(MAX((A415-$C$13+1)*12,0),$C$17*12)-1)/($C$16/12)),0)))</f>
        <v/>
      </c>
      <c r="Z415" s="138">
        <f>MAX(X415-Y415,0)</f>
        <v/>
      </c>
      <c r="AA415" s="139">
        <f>U415+Z415</f>
        <v/>
      </c>
      <c r="AB415" s="5" t="n"/>
      <c r="AC415" s="5" t="n"/>
      <c r="AD415" s="5" t="n"/>
      <c r="AE415" s="5" t="n"/>
      <c r="AF415" s="5" t="n"/>
      <c r="AG415" s="5" t="n"/>
    </row>
    <row r="416" outlineLevel="1" s="326">
      <c r="A416" s="140" t="n">
        <v>28</v>
      </c>
      <c r="B416" s="40">
        <f>B107</f>
        <v/>
      </c>
      <c r="C416" s="141">
        <f>D107</f>
        <v/>
      </c>
      <c r="D416" s="141">
        <f>I107</f>
        <v/>
      </c>
      <c r="E416" s="141">
        <f>J107</f>
        <v/>
      </c>
      <c r="F416" s="141">
        <f>K107</f>
        <v/>
      </c>
      <c r="G416" s="138">
        <f>IF(AND($L$230&gt;0,A416=$C$13),$L$230*($C$15+$C$18),0)+IF(AND($L$230&gt;0,A416=$C$13),$C$24,0)</f>
        <v/>
      </c>
      <c r="H416" s="138">
        <f>IF(OR($L$230&lt;=0,A416&lt;$C$13),0,IF(AND($L$230&gt;0,$C$17&gt;0,A416&gt;=$C$13,A416&lt;($C$13+$C$17)),IF($C$17&lt;=0,0,IF($C$16=0,MAX($L$230*(1-$C$15),0)/$C$17,-PMT($C$16/12,$C$17*12,MAX($L$230*(1-$C$15),0))*12)),0)+X416*($C$19+$C$20+$C$21)+$C$22+$C$23)</f>
        <v/>
      </c>
      <c r="I416" s="138">
        <f>IF(B416="Working",MIN(MAX(D416-E416-F416-G416-H416,0),'Tax Assumptions'!$B$20),0)</f>
        <v/>
      </c>
      <c r="J416" s="138">
        <f>IF(B416="Working",D416-E416-F416-I416-G416-H416,-L416)</f>
        <v/>
      </c>
      <c r="K416" s="141">
        <f>IF(B416="Retired",$N$230+G416+H416,0)</f>
        <v/>
      </c>
      <c r="L416" s="141">
        <f>M416+N416+O416+P416</f>
        <v/>
      </c>
      <c r="M416" s="141">
        <f>IF(B416="Retired",MIN(((Q415)*(1+$C$10)+IF(B416="Working",J416,0)),K416),0)</f>
        <v/>
      </c>
      <c r="N416" s="141">
        <f>IF(B416="Retired",MIN(MAX(K416-M416,0),((R415)*(1+$C$10)+IF(B416="Working",E107,0))),0)</f>
        <v/>
      </c>
      <c r="O416" s="141">
        <f>IF(B416="Retired",MIN(MAX(K416-M416-N416,0),((S415)*(1+$C$10)+IF(B416="Working",I416,0))),0)</f>
        <v/>
      </c>
      <c r="P416" s="141">
        <f>IF(B416="Retired",MIN(MAX(K416-M416-N416-O416,0),((T415)*(1+$C$10)+IF(B416="Working",F107,0))),0)</f>
        <v/>
      </c>
      <c r="Q416" s="138">
        <f>MAX(((Q415)*(1+$C$10)+IF(B416="Working",J416,0))-M416,0)</f>
        <v/>
      </c>
      <c r="R416" s="138">
        <f>MAX(((R415)*(1+$C$10)+IF(B416="Working",E107,0))-N416,0)</f>
        <v/>
      </c>
      <c r="S416" s="138">
        <f>MAX(((S415)*(1+$C$10)+IF(B416="Working",I416,0))-O416,0)</f>
        <v/>
      </c>
      <c r="T416" s="138">
        <f>MAX(((T415)*(1+$C$10)+IF(B416="Working",F107,0))-P416,0)</f>
        <v/>
      </c>
      <c r="U416" s="138">
        <f>Q416+R416+S416+T416</f>
        <v/>
      </c>
      <c r="V416" s="138">
        <f>IF(B416="Working",MAX(-(((Q415)*(1+$C$10)+IF(B416="Working",J416,0))),0),MAX(K416-L416,0))</f>
        <v/>
      </c>
      <c r="W416" s="138">
        <f>IF(OR(A416&gt;=$C$13,B416="Retired"),IF(V416&gt;0,-V416,U416-'Model Inputs'!$B$18),"")</f>
        <v/>
      </c>
      <c r="X416" s="138">
        <f>IF(AND($L$230&gt;0,A416&gt;=$C$13),$L$230*(1+$C$25)^(A416-$C$13),0)</f>
        <v/>
      </c>
      <c r="Y416" s="138">
        <f>IF(OR($L$230&lt;=0,$C$17&lt;=0,A416&lt;$C$13,MIN(MAX((A416-$C$13+1)*12,0),$C$17*12)&gt;=$C$17*12),0,IF($C$16=0,MAX(MAX($L$230*(1-$C$15),0)-(IF($C$17&lt;=0,0,IF($C$16=0,MAX($L$230*(1-$C$15),0)/$C$17,-PMT($C$16/12,$C$17*12,MAX($L$230*(1-$C$15),0))*12))/12)*MIN(MAX((A416-$C$13+1)*12,0),$C$17*12),0),MAX(MAX($L$230*(1-$C$15),0)*(1+$C$16/12)^MIN(MAX((A416-$C$13+1)*12,0),$C$17*12)-(IF($C$17&lt;=0,0,IF($C$16=0,MAX($L$230*(1-$C$15),0)/$C$17,-PMT($C$16/12,$C$17*12,MAX($L$230*(1-$C$15),0))*12))/12)*(((1+$C$16/12)^MIN(MAX((A416-$C$13+1)*12,0),$C$17*12)-1)/($C$16/12)),0)))</f>
        <v/>
      </c>
      <c r="Z416" s="138">
        <f>MAX(X416-Y416,0)</f>
        <v/>
      </c>
      <c r="AA416" s="142">
        <f>U416+Z416</f>
        <v/>
      </c>
      <c r="AB416" s="5" t="n"/>
      <c r="AC416" s="5" t="n"/>
      <c r="AD416" s="5" t="n"/>
      <c r="AE416" s="5" t="n"/>
      <c r="AF416" s="5" t="n"/>
      <c r="AG416" s="5" t="n"/>
    </row>
    <row r="417" outlineLevel="1" s="326">
      <c r="A417" s="136" t="n">
        <v>29</v>
      </c>
      <c r="B417" s="72">
        <f>B108</f>
        <v/>
      </c>
      <c r="C417" s="137">
        <f>D108</f>
        <v/>
      </c>
      <c r="D417" s="137">
        <f>I108</f>
        <v/>
      </c>
      <c r="E417" s="137">
        <f>J108</f>
        <v/>
      </c>
      <c r="F417" s="137">
        <f>K108</f>
        <v/>
      </c>
      <c r="G417" s="138">
        <f>IF(AND($L$230&gt;0,A417=$C$13),$L$230*($C$15+$C$18),0)+IF(AND($L$230&gt;0,A417=$C$13),$C$24,0)</f>
        <v/>
      </c>
      <c r="H417" s="138">
        <f>IF(OR($L$230&lt;=0,A417&lt;$C$13),0,IF(AND($L$230&gt;0,$C$17&gt;0,A417&gt;=$C$13,A417&lt;($C$13+$C$17)),IF($C$17&lt;=0,0,IF($C$16=0,MAX($L$230*(1-$C$15),0)/$C$17,-PMT($C$16/12,$C$17*12,MAX($L$230*(1-$C$15),0))*12)),0)+X417*($C$19+$C$20+$C$21)+$C$22+$C$23)</f>
        <v/>
      </c>
      <c r="I417" s="138">
        <f>IF(B417="Working",MIN(MAX(D417-E417-F417-G417-H417,0),'Tax Assumptions'!$B$20),0)</f>
        <v/>
      </c>
      <c r="J417" s="138">
        <f>IF(B417="Working",D417-E417-F417-I417-G417-H417,-L417)</f>
        <v/>
      </c>
      <c r="K417" s="137">
        <f>IF(B417="Retired",$N$230+G417+H417,0)</f>
        <v/>
      </c>
      <c r="L417" s="137">
        <f>M417+N417+O417+P417</f>
        <v/>
      </c>
      <c r="M417" s="137">
        <f>IF(B417="Retired",MIN(((Q416)*(1+$C$10)+IF(B417="Working",J417,0)),K417),0)</f>
        <v/>
      </c>
      <c r="N417" s="137">
        <f>IF(B417="Retired",MIN(MAX(K417-M417,0),((R416)*(1+$C$10)+IF(B417="Working",E108,0))),0)</f>
        <v/>
      </c>
      <c r="O417" s="137">
        <f>IF(B417="Retired",MIN(MAX(K417-M417-N417,0),((S416)*(1+$C$10)+IF(B417="Working",I417,0))),0)</f>
        <v/>
      </c>
      <c r="P417" s="137">
        <f>IF(B417="Retired",MIN(MAX(K417-M417-N417-O417,0),((T416)*(1+$C$10)+IF(B417="Working",F108,0))),0)</f>
        <v/>
      </c>
      <c r="Q417" s="138">
        <f>MAX(((Q416)*(1+$C$10)+IF(B417="Working",J417,0))-M417,0)</f>
        <v/>
      </c>
      <c r="R417" s="138">
        <f>MAX(((R416)*(1+$C$10)+IF(B417="Working",E108,0))-N417,0)</f>
        <v/>
      </c>
      <c r="S417" s="138">
        <f>MAX(((S416)*(1+$C$10)+IF(B417="Working",I417,0))-O417,0)</f>
        <v/>
      </c>
      <c r="T417" s="138">
        <f>MAX(((T416)*(1+$C$10)+IF(B417="Working",F108,0))-P417,0)</f>
        <v/>
      </c>
      <c r="U417" s="138">
        <f>Q417+R417+S417+T417</f>
        <v/>
      </c>
      <c r="V417" s="138">
        <f>IF(B417="Working",MAX(-(((Q416)*(1+$C$10)+IF(B417="Working",J417,0))),0),MAX(K417-L417,0))</f>
        <v/>
      </c>
      <c r="W417" s="138">
        <f>IF(OR(A417&gt;=$C$13,B417="Retired"),IF(V417&gt;0,-V417,U417-'Model Inputs'!$B$18),"")</f>
        <v/>
      </c>
      <c r="X417" s="138">
        <f>IF(AND($L$230&gt;0,A417&gt;=$C$13),$L$230*(1+$C$25)^(A417-$C$13),0)</f>
        <v/>
      </c>
      <c r="Y417" s="138">
        <f>IF(OR($L$230&lt;=0,$C$17&lt;=0,A417&lt;$C$13,MIN(MAX((A417-$C$13+1)*12,0),$C$17*12)&gt;=$C$17*12),0,IF($C$16=0,MAX(MAX($L$230*(1-$C$15),0)-(IF($C$17&lt;=0,0,IF($C$16=0,MAX($L$230*(1-$C$15),0)/$C$17,-PMT($C$16/12,$C$17*12,MAX($L$230*(1-$C$15),0))*12))/12)*MIN(MAX((A417-$C$13+1)*12,0),$C$17*12),0),MAX(MAX($L$230*(1-$C$15),0)*(1+$C$16/12)^MIN(MAX((A417-$C$13+1)*12,0),$C$17*12)-(IF($C$17&lt;=0,0,IF($C$16=0,MAX($L$230*(1-$C$15),0)/$C$17,-PMT($C$16/12,$C$17*12,MAX($L$230*(1-$C$15),0))*12))/12)*(((1+$C$16/12)^MIN(MAX((A417-$C$13+1)*12,0),$C$17*12)-1)/($C$16/12)),0)))</f>
        <v/>
      </c>
      <c r="Z417" s="138">
        <f>MAX(X417-Y417,0)</f>
        <v/>
      </c>
      <c r="AA417" s="139">
        <f>U417+Z417</f>
        <v/>
      </c>
      <c r="AB417" s="5" t="n"/>
      <c r="AC417" s="5" t="n"/>
      <c r="AD417" s="5" t="n"/>
      <c r="AE417" s="5" t="n"/>
      <c r="AF417" s="5" t="n"/>
      <c r="AG417" s="5" t="n"/>
    </row>
    <row r="418" outlineLevel="1" s="326">
      <c r="A418" s="140" t="n">
        <v>30</v>
      </c>
      <c r="B418" s="40">
        <f>B109</f>
        <v/>
      </c>
      <c r="C418" s="141">
        <f>D109</f>
        <v/>
      </c>
      <c r="D418" s="141">
        <f>I109</f>
        <v/>
      </c>
      <c r="E418" s="141">
        <f>J109</f>
        <v/>
      </c>
      <c r="F418" s="141">
        <f>K109</f>
        <v/>
      </c>
      <c r="G418" s="138">
        <f>IF(AND($L$230&gt;0,A418=$C$13),$L$230*($C$15+$C$18),0)+IF(AND($L$230&gt;0,A418=$C$13),$C$24,0)</f>
        <v/>
      </c>
      <c r="H418" s="138">
        <f>IF(OR($L$230&lt;=0,A418&lt;$C$13),0,IF(AND($L$230&gt;0,$C$17&gt;0,A418&gt;=$C$13,A418&lt;($C$13+$C$17)),IF($C$17&lt;=0,0,IF($C$16=0,MAX($L$230*(1-$C$15),0)/$C$17,-PMT($C$16/12,$C$17*12,MAX($L$230*(1-$C$15),0))*12)),0)+X418*($C$19+$C$20+$C$21)+$C$22+$C$23)</f>
        <v/>
      </c>
      <c r="I418" s="138">
        <f>IF(B418="Working",MIN(MAX(D418-E418-F418-G418-H418,0),'Tax Assumptions'!$B$20),0)</f>
        <v/>
      </c>
      <c r="J418" s="138">
        <f>IF(B418="Working",D418-E418-F418-I418-G418-H418,-L418)</f>
        <v/>
      </c>
      <c r="K418" s="141">
        <f>IF(B418="Retired",$N$230+G418+H418,0)</f>
        <v/>
      </c>
      <c r="L418" s="141">
        <f>M418+N418+O418+P418</f>
        <v/>
      </c>
      <c r="M418" s="141">
        <f>IF(B418="Retired",MIN(((Q417)*(1+$C$10)+IF(B418="Working",J418,0)),K418),0)</f>
        <v/>
      </c>
      <c r="N418" s="141">
        <f>IF(B418="Retired",MIN(MAX(K418-M418,0),((R417)*(1+$C$10)+IF(B418="Working",E109,0))),0)</f>
        <v/>
      </c>
      <c r="O418" s="141">
        <f>IF(B418="Retired",MIN(MAX(K418-M418-N418,0),((S417)*(1+$C$10)+IF(B418="Working",I418,0))),0)</f>
        <v/>
      </c>
      <c r="P418" s="141">
        <f>IF(B418="Retired",MIN(MAX(K418-M418-N418-O418,0),((T417)*(1+$C$10)+IF(B418="Working",F109,0))),0)</f>
        <v/>
      </c>
      <c r="Q418" s="138">
        <f>MAX(((Q417)*(1+$C$10)+IF(B418="Working",J418,0))-M418,0)</f>
        <v/>
      </c>
      <c r="R418" s="138">
        <f>MAX(((R417)*(1+$C$10)+IF(B418="Working",E109,0))-N418,0)</f>
        <v/>
      </c>
      <c r="S418" s="138">
        <f>MAX(((S417)*(1+$C$10)+IF(B418="Working",I418,0))-O418,0)</f>
        <v/>
      </c>
      <c r="T418" s="138">
        <f>MAX(((T417)*(1+$C$10)+IF(B418="Working",F109,0))-P418,0)</f>
        <v/>
      </c>
      <c r="U418" s="138">
        <f>Q418+R418+S418+T418</f>
        <v/>
      </c>
      <c r="V418" s="138">
        <f>IF(B418="Working",MAX(-(((Q417)*(1+$C$10)+IF(B418="Working",J418,0))),0),MAX(K418-L418,0))</f>
        <v/>
      </c>
      <c r="W418" s="138">
        <f>IF(OR(A418&gt;=$C$13,B418="Retired"),IF(V418&gt;0,-V418,U418-'Model Inputs'!$B$18),"")</f>
        <v/>
      </c>
      <c r="X418" s="138">
        <f>IF(AND($L$230&gt;0,A418&gt;=$C$13),$L$230*(1+$C$25)^(A418-$C$13),0)</f>
        <v/>
      </c>
      <c r="Y418" s="138">
        <f>IF(OR($L$230&lt;=0,$C$17&lt;=0,A418&lt;$C$13,MIN(MAX((A418-$C$13+1)*12,0),$C$17*12)&gt;=$C$17*12),0,IF($C$16=0,MAX(MAX($L$230*(1-$C$15),0)-(IF($C$17&lt;=0,0,IF($C$16=0,MAX($L$230*(1-$C$15),0)/$C$17,-PMT($C$16/12,$C$17*12,MAX($L$230*(1-$C$15),0))*12))/12)*MIN(MAX((A418-$C$13+1)*12,0),$C$17*12),0),MAX(MAX($L$230*(1-$C$15),0)*(1+$C$16/12)^MIN(MAX((A418-$C$13+1)*12,0),$C$17*12)-(IF($C$17&lt;=0,0,IF($C$16=0,MAX($L$230*(1-$C$15),0)/$C$17,-PMT($C$16/12,$C$17*12,MAX($L$230*(1-$C$15),0))*12))/12)*(((1+$C$16/12)^MIN(MAX((A418-$C$13+1)*12,0),$C$17*12)-1)/($C$16/12)),0)))</f>
        <v/>
      </c>
      <c r="Z418" s="138">
        <f>MAX(X418-Y418,0)</f>
        <v/>
      </c>
      <c r="AA418" s="142">
        <f>U418+Z418</f>
        <v/>
      </c>
      <c r="AB418" s="5" t="n"/>
      <c r="AC418" s="5" t="n"/>
      <c r="AD418" s="5" t="n"/>
      <c r="AE418" s="5" t="n"/>
      <c r="AF418" s="5" t="n"/>
      <c r="AG418" s="5" t="n"/>
    </row>
    <row r="419" outlineLevel="1" s="326">
      <c r="A419" s="136" t="n">
        <v>31</v>
      </c>
      <c r="B419" s="72">
        <f>B110</f>
        <v/>
      </c>
      <c r="C419" s="137">
        <f>D110</f>
        <v/>
      </c>
      <c r="D419" s="137">
        <f>I110</f>
        <v/>
      </c>
      <c r="E419" s="137">
        <f>J110</f>
        <v/>
      </c>
      <c r="F419" s="137">
        <f>K110</f>
        <v/>
      </c>
      <c r="G419" s="138">
        <f>IF(AND($L$230&gt;0,A419=$C$13),$L$230*($C$15+$C$18),0)+IF(AND($L$230&gt;0,A419=$C$13),$C$24,0)</f>
        <v/>
      </c>
      <c r="H419" s="138">
        <f>IF(OR($L$230&lt;=0,A419&lt;$C$13),0,IF(AND($L$230&gt;0,$C$17&gt;0,A419&gt;=$C$13,A419&lt;($C$13+$C$17)),IF($C$17&lt;=0,0,IF($C$16=0,MAX($L$230*(1-$C$15),0)/$C$17,-PMT($C$16/12,$C$17*12,MAX($L$230*(1-$C$15),0))*12)),0)+X419*($C$19+$C$20+$C$21)+$C$22+$C$23)</f>
        <v/>
      </c>
      <c r="I419" s="138">
        <f>IF(B419="Working",MIN(MAX(D419-E419-F419-G419-H419,0),'Tax Assumptions'!$B$20),0)</f>
        <v/>
      </c>
      <c r="J419" s="138">
        <f>IF(B419="Working",D419-E419-F419-I419-G419-H419,-L419)</f>
        <v/>
      </c>
      <c r="K419" s="137">
        <f>IF(B419="Retired",$N$230+G419+H419,0)</f>
        <v/>
      </c>
      <c r="L419" s="137">
        <f>M419+N419+O419+P419</f>
        <v/>
      </c>
      <c r="M419" s="137">
        <f>IF(B419="Retired",MIN(((Q418)*(1+$C$10)+IF(B419="Working",J419,0)),K419),0)</f>
        <v/>
      </c>
      <c r="N419" s="137">
        <f>IF(B419="Retired",MIN(MAX(K419-M419,0),((R418)*(1+$C$10)+IF(B419="Working",E110,0))),0)</f>
        <v/>
      </c>
      <c r="O419" s="137">
        <f>IF(B419="Retired",MIN(MAX(K419-M419-N419,0),((S418)*(1+$C$10)+IF(B419="Working",I419,0))),0)</f>
        <v/>
      </c>
      <c r="P419" s="137">
        <f>IF(B419="Retired",MIN(MAX(K419-M419-N419-O419,0),((T418)*(1+$C$10)+IF(B419="Working",F110,0))),0)</f>
        <v/>
      </c>
      <c r="Q419" s="138">
        <f>MAX(((Q418)*(1+$C$10)+IF(B419="Working",J419,0))-M419,0)</f>
        <v/>
      </c>
      <c r="R419" s="138">
        <f>MAX(((R418)*(1+$C$10)+IF(B419="Working",E110,0))-N419,0)</f>
        <v/>
      </c>
      <c r="S419" s="138">
        <f>MAX(((S418)*(1+$C$10)+IF(B419="Working",I419,0))-O419,0)</f>
        <v/>
      </c>
      <c r="T419" s="138">
        <f>MAX(((T418)*(1+$C$10)+IF(B419="Working",F110,0))-P419,0)</f>
        <v/>
      </c>
      <c r="U419" s="138">
        <f>Q419+R419+S419+T419</f>
        <v/>
      </c>
      <c r="V419" s="138">
        <f>IF(B419="Working",MAX(-(((Q418)*(1+$C$10)+IF(B419="Working",J419,0))),0),MAX(K419-L419,0))</f>
        <v/>
      </c>
      <c r="W419" s="138">
        <f>IF(OR(A419&gt;=$C$13,B419="Retired"),IF(V419&gt;0,-V419,U419-'Model Inputs'!$B$18),"")</f>
        <v/>
      </c>
      <c r="X419" s="138">
        <f>IF(AND($L$230&gt;0,A419&gt;=$C$13),$L$230*(1+$C$25)^(A419-$C$13),0)</f>
        <v/>
      </c>
      <c r="Y419" s="138">
        <f>IF(OR($L$230&lt;=0,$C$17&lt;=0,A419&lt;$C$13,MIN(MAX((A419-$C$13+1)*12,0),$C$17*12)&gt;=$C$17*12),0,IF($C$16=0,MAX(MAX($L$230*(1-$C$15),0)-(IF($C$17&lt;=0,0,IF($C$16=0,MAX($L$230*(1-$C$15),0)/$C$17,-PMT($C$16/12,$C$17*12,MAX($L$230*(1-$C$15),0))*12))/12)*MIN(MAX((A419-$C$13+1)*12,0),$C$17*12),0),MAX(MAX($L$230*(1-$C$15),0)*(1+$C$16/12)^MIN(MAX((A419-$C$13+1)*12,0),$C$17*12)-(IF($C$17&lt;=0,0,IF($C$16=0,MAX($L$230*(1-$C$15),0)/$C$17,-PMT($C$16/12,$C$17*12,MAX($L$230*(1-$C$15),0))*12))/12)*(((1+$C$16/12)^MIN(MAX((A419-$C$13+1)*12,0),$C$17*12)-1)/($C$16/12)),0)))</f>
        <v/>
      </c>
      <c r="Z419" s="138">
        <f>MAX(X419-Y419,0)</f>
        <v/>
      </c>
      <c r="AA419" s="139">
        <f>U419+Z419</f>
        <v/>
      </c>
      <c r="AB419" s="5" t="n"/>
      <c r="AC419" s="5" t="n"/>
      <c r="AD419" s="5" t="n"/>
      <c r="AE419" s="5" t="n"/>
      <c r="AF419" s="5" t="n"/>
      <c r="AG419" s="5" t="n"/>
    </row>
    <row r="420" outlineLevel="1" s="326">
      <c r="A420" s="140" t="n">
        <v>32</v>
      </c>
      <c r="B420" s="40">
        <f>B111</f>
        <v/>
      </c>
      <c r="C420" s="141">
        <f>D111</f>
        <v/>
      </c>
      <c r="D420" s="141">
        <f>I111</f>
        <v/>
      </c>
      <c r="E420" s="141">
        <f>J111</f>
        <v/>
      </c>
      <c r="F420" s="141">
        <f>K111</f>
        <v/>
      </c>
      <c r="G420" s="138">
        <f>IF(AND($L$230&gt;0,A420=$C$13),$L$230*($C$15+$C$18),0)+IF(AND($L$230&gt;0,A420=$C$13),$C$24,0)</f>
        <v/>
      </c>
      <c r="H420" s="138">
        <f>IF(OR($L$230&lt;=0,A420&lt;$C$13),0,IF(AND($L$230&gt;0,$C$17&gt;0,A420&gt;=$C$13,A420&lt;($C$13+$C$17)),IF($C$17&lt;=0,0,IF($C$16=0,MAX($L$230*(1-$C$15),0)/$C$17,-PMT($C$16/12,$C$17*12,MAX($L$230*(1-$C$15),0))*12)),0)+X420*($C$19+$C$20+$C$21)+$C$22+$C$23)</f>
        <v/>
      </c>
      <c r="I420" s="138">
        <f>IF(B420="Working",MIN(MAX(D420-E420-F420-G420-H420,0),'Tax Assumptions'!$B$20),0)</f>
        <v/>
      </c>
      <c r="J420" s="138">
        <f>IF(B420="Working",D420-E420-F420-I420-G420-H420,-L420)</f>
        <v/>
      </c>
      <c r="K420" s="141">
        <f>IF(B420="Retired",$N$230+G420+H420,0)</f>
        <v/>
      </c>
      <c r="L420" s="141">
        <f>M420+N420+O420+P420</f>
        <v/>
      </c>
      <c r="M420" s="141">
        <f>IF(B420="Retired",MIN(((Q419)*(1+$C$10)+IF(B420="Working",J420,0)),K420),0)</f>
        <v/>
      </c>
      <c r="N420" s="141">
        <f>IF(B420="Retired",MIN(MAX(K420-M420,0),((R419)*(1+$C$10)+IF(B420="Working",E111,0))),0)</f>
        <v/>
      </c>
      <c r="O420" s="141">
        <f>IF(B420="Retired",MIN(MAX(K420-M420-N420,0),((S419)*(1+$C$10)+IF(B420="Working",I420,0))),0)</f>
        <v/>
      </c>
      <c r="P420" s="141">
        <f>IF(B420="Retired",MIN(MAX(K420-M420-N420-O420,0),((T419)*(1+$C$10)+IF(B420="Working",F111,0))),0)</f>
        <v/>
      </c>
      <c r="Q420" s="138">
        <f>MAX(((Q419)*(1+$C$10)+IF(B420="Working",J420,0))-M420,0)</f>
        <v/>
      </c>
      <c r="R420" s="138">
        <f>MAX(((R419)*(1+$C$10)+IF(B420="Working",E111,0))-N420,0)</f>
        <v/>
      </c>
      <c r="S420" s="138">
        <f>MAX(((S419)*(1+$C$10)+IF(B420="Working",I420,0))-O420,0)</f>
        <v/>
      </c>
      <c r="T420" s="138">
        <f>MAX(((T419)*(1+$C$10)+IF(B420="Working",F111,0))-P420,0)</f>
        <v/>
      </c>
      <c r="U420" s="138">
        <f>Q420+R420+S420+T420</f>
        <v/>
      </c>
      <c r="V420" s="138">
        <f>IF(B420="Working",MAX(-(((Q419)*(1+$C$10)+IF(B420="Working",J420,0))),0),MAX(K420-L420,0))</f>
        <v/>
      </c>
      <c r="W420" s="138">
        <f>IF(OR(A420&gt;=$C$13,B420="Retired"),IF(V420&gt;0,-V420,U420-'Model Inputs'!$B$18),"")</f>
        <v/>
      </c>
      <c r="X420" s="138">
        <f>IF(AND($L$230&gt;0,A420&gt;=$C$13),$L$230*(1+$C$25)^(A420-$C$13),0)</f>
        <v/>
      </c>
      <c r="Y420" s="138">
        <f>IF(OR($L$230&lt;=0,$C$17&lt;=0,A420&lt;$C$13,MIN(MAX((A420-$C$13+1)*12,0),$C$17*12)&gt;=$C$17*12),0,IF($C$16=0,MAX(MAX($L$230*(1-$C$15),0)-(IF($C$17&lt;=0,0,IF($C$16=0,MAX($L$230*(1-$C$15),0)/$C$17,-PMT($C$16/12,$C$17*12,MAX($L$230*(1-$C$15),0))*12))/12)*MIN(MAX((A420-$C$13+1)*12,0),$C$17*12),0),MAX(MAX($L$230*(1-$C$15),0)*(1+$C$16/12)^MIN(MAX((A420-$C$13+1)*12,0),$C$17*12)-(IF($C$17&lt;=0,0,IF($C$16=0,MAX($L$230*(1-$C$15),0)/$C$17,-PMT($C$16/12,$C$17*12,MAX($L$230*(1-$C$15),0))*12))/12)*(((1+$C$16/12)^MIN(MAX((A420-$C$13+1)*12,0),$C$17*12)-1)/($C$16/12)),0)))</f>
        <v/>
      </c>
      <c r="Z420" s="138">
        <f>MAX(X420-Y420,0)</f>
        <v/>
      </c>
      <c r="AA420" s="142">
        <f>U420+Z420</f>
        <v/>
      </c>
      <c r="AB420" s="5" t="n"/>
      <c r="AC420" s="5" t="n"/>
      <c r="AD420" s="5" t="n"/>
      <c r="AE420" s="5" t="n"/>
      <c r="AF420" s="5" t="n"/>
      <c r="AG420" s="5" t="n"/>
    </row>
    <row r="421" outlineLevel="1" s="326">
      <c r="A421" s="136" t="n">
        <v>33</v>
      </c>
      <c r="B421" s="72">
        <f>B112</f>
        <v/>
      </c>
      <c r="C421" s="137">
        <f>D112</f>
        <v/>
      </c>
      <c r="D421" s="137">
        <f>I112</f>
        <v/>
      </c>
      <c r="E421" s="137">
        <f>J112</f>
        <v/>
      </c>
      <c r="F421" s="137">
        <f>K112</f>
        <v/>
      </c>
      <c r="G421" s="138">
        <f>IF(AND($L$230&gt;0,A421=$C$13),$L$230*($C$15+$C$18),0)+IF(AND($L$230&gt;0,A421=$C$13),$C$24,0)</f>
        <v/>
      </c>
      <c r="H421" s="138">
        <f>IF(OR($L$230&lt;=0,A421&lt;$C$13),0,IF(AND($L$230&gt;0,$C$17&gt;0,A421&gt;=$C$13,A421&lt;($C$13+$C$17)),IF($C$17&lt;=0,0,IF($C$16=0,MAX($L$230*(1-$C$15),0)/$C$17,-PMT($C$16/12,$C$17*12,MAX($L$230*(1-$C$15),0))*12)),0)+X421*($C$19+$C$20+$C$21)+$C$22+$C$23)</f>
        <v/>
      </c>
      <c r="I421" s="138">
        <f>IF(B421="Working",MIN(MAX(D421-E421-F421-G421-H421,0),'Tax Assumptions'!$B$20),0)</f>
        <v/>
      </c>
      <c r="J421" s="138">
        <f>IF(B421="Working",D421-E421-F421-I421-G421-H421,-L421)</f>
        <v/>
      </c>
      <c r="K421" s="137">
        <f>IF(B421="Retired",$N$230+G421+H421,0)</f>
        <v/>
      </c>
      <c r="L421" s="137">
        <f>M421+N421+O421+P421</f>
        <v/>
      </c>
      <c r="M421" s="137">
        <f>IF(B421="Retired",MIN(((Q420)*(1+$C$10)+IF(B421="Working",J421,0)),K421),0)</f>
        <v/>
      </c>
      <c r="N421" s="137">
        <f>IF(B421="Retired",MIN(MAX(K421-M421,0),((R420)*(1+$C$10)+IF(B421="Working",E112,0))),0)</f>
        <v/>
      </c>
      <c r="O421" s="137">
        <f>IF(B421="Retired",MIN(MAX(K421-M421-N421,0),((S420)*(1+$C$10)+IF(B421="Working",I421,0))),0)</f>
        <v/>
      </c>
      <c r="P421" s="137">
        <f>IF(B421="Retired",MIN(MAX(K421-M421-N421-O421,0),((T420)*(1+$C$10)+IF(B421="Working",F112,0))),0)</f>
        <v/>
      </c>
      <c r="Q421" s="138">
        <f>MAX(((Q420)*(1+$C$10)+IF(B421="Working",J421,0))-M421,0)</f>
        <v/>
      </c>
      <c r="R421" s="138">
        <f>MAX(((R420)*(1+$C$10)+IF(B421="Working",E112,0))-N421,0)</f>
        <v/>
      </c>
      <c r="S421" s="138">
        <f>MAX(((S420)*(1+$C$10)+IF(B421="Working",I421,0))-O421,0)</f>
        <v/>
      </c>
      <c r="T421" s="138">
        <f>MAX(((T420)*(1+$C$10)+IF(B421="Working",F112,0))-P421,0)</f>
        <v/>
      </c>
      <c r="U421" s="138">
        <f>Q421+R421+S421+T421</f>
        <v/>
      </c>
      <c r="V421" s="138">
        <f>IF(B421="Working",MAX(-(((Q420)*(1+$C$10)+IF(B421="Working",J421,0))),0),MAX(K421-L421,0))</f>
        <v/>
      </c>
      <c r="W421" s="138">
        <f>IF(OR(A421&gt;=$C$13,B421="Retired"),IF(V421&gt;0,-V421,U421-'Model Inputs'!$B$18),"")</f>
        <v/>
      </c>
      <c r="X421" s="138">
        <f>IF(AND($L$230&gt;0,A421&gt;=$C$13),$L$230*(1+$C$25)^(A421-$C$13),0)</f>
        <v/>
      </c>
      <c r="Y421" s="138">
        <f>IF(OR($L$230&lt;=0,$C$17&lt;=0,A421&lt;$C$13,MIN(MAX((A421-$C$13+1)*12,0),$C$17*12)&gt;=$C$17*12),0,IF($C$16=0,MAX(MAX($L$230*(1-$C$15),0)-(IF($C$17&lt;=0,0,IF($C$16=0,MAX($L$230*(1-$C$15),0)/$C$17,-PMT($C$16/12,$C$17*12,MAX($L$230*(1-$C$15),0))*12))/12)*MIN(MAX((A421-$C$13+1)*12,0),$C$17*12),0),MAX(MAX($L$230*(1-$C$15),0)*(1+$C$16/12)^MIN(MAX((A421-$C$13+1)*12,0),$C$17*12)-(IF($C$17&lt;=0,0,IF($C$16=0,MAX($L$230*(1-$C$15),0)/$C$17,-PMT($C$16/12,$C$17*12,MAX($L$230*(1-$C$15),0))*12))/12)*(((1+$C$16/12)^MIN(MAX((A421-$C$13+1)*12,0),$C$17*12)-1)/($C$16/12)),0)))</f>
        <v/>
      </c>
      <c r="Z421" s="138">
        <f>MAX(X421-Y421,0)</f>
        <v/>
      </c>
      <c r="AA421" s="139">
        <f>U421+Z421</f>
        <v/>
      </c>
      <c r="AB421" s="5" t="n"/>
      <c r="AC421" s="5" t="n"/>
      <c r="AD421" s="5" t="n"/>
      <c r="AE421" s="5" t="n"/>
      <c r="AF421" s="5" t="n"/>
      <c r="AG421" s="5" t="n"/>
    </row>
    <row r="422" outlineLevel="1" s="326">
      <c r="A422" s="140" t="n">
        <v>34</v>
      </c>
      <c r="B422" s="40">
        <f>B113</f>
        <v/>
      </c>
      <c r="C422" s="141">
        <f>D113</f>
        <v/>
      </c>
      <c r="D422" s="141">
        <f>I113</f>
        <v/>
      </c>
      <c r="E422" s="141">
        <f>J113</f>
        <v/>
      </c>
      <c r="F422" s="141">
        <f>K113</f>
        <v/>
      </c>
      <c r="G422" s="138">
        <f>IF(AND($L$230&gt;0,A422=$C$13),$L$230*($C$15+$C$18),0)+IF(AND($L$230&gt;0,A422=$C$13),$C$24,0)</f>
        <v/>
      </c>
      <c r="H422" s="138">
        <f>IF(OR($L$230&lt;=0,A422&lt;$C$13),0,IF(AND($L$230&gt;0,$C$17&gt;0,A422&gt;=$C$13,A422&lt;($C$13+$C$17)),IF($C$17&lt;=0,0,IF($C$16=0,MAX($L$230*(1-$C$15),0)/$C$17,-PMT($C$16/12,$C$17*12,MAX($L$230*(1-$C$15),0))*12)),0)+X422*($C$19+$C$20+$C$21)+$C$22+$C$23)</f>
        <v/>
      </c>
      <c r="I422" s="138">
        <f>IF(B422="Working",MIN(MAX(D422-E422-F422-G422-H422,0),'Tax Assumptions'!$B$20),0)</f>
        <v/>
      </c>
      <c r="J422" s="138">
        <f>IF(B422="Working",D422-E422-F422-I422-G422-H422,-L422)</f>
        <v/>
      </c>
      <c r="K422" s="141">
        <f>IF(B422="Retired",$N$230+G422+H422,0)</f>
        <v/>
      </c>
      <c r="L422" s="141">
        <f>M422+N422+O422+P422</f>
        <v/>
      </c>
      <c r="M422" s="141">
        <f>IF(B422="Retired",MIN(((Q421)*(1+$C$10)+IF(B422="Working",J422,0)),K422),0)</f>
        <v/>
      </c>
      <c r="N422" s="141">
        <f>IF(B422="Retired",MIN(MAX(K422-M422,0),((R421)*(1+$C$10)+IF(B422="Working",E113,0))),0)</f>
        <v/>
      </c>
      <c r="O422" s="141">
        <f>IF(B422="Retired",MIN(MAX(K422-M422-N422,0),((S421)*(1+$C$10)+IF(B422="Working",I422,0))),0)</f>
        <v/>
      </c>
      <c r="P422" s="141">
        <f>IF(B422="Retired",MIN(MAX(K422-M422-N422-O422,0),((T421)*(1+$C$10)+IF(B422="Working",F113,0))),0)</f>
        <v/>
      </c>
      <c r="Q422" s="138">
        <f>MAX(((Q421)*(1+$C$10)+IF(B422="Working",J422,0))-M422,0)</f>
        <v/>
      </c>
      <c r="R422" s="138">
        <f>MAX(((R421)*(1+$C$10)+IF(B422="Working",E113,0))-N422,0)</f>
        <v/>
      </c>
      <c r="S422" s="138">
        <f>MAX(((S421)*(1+$C$10)+IF(B422="Working",I422,0))-O422,0)</f>
        <v/>
      </c>
      <c r="T422" s="138">
        <f>MAX(((T421)*(1+$C$10)+IF(B422="Working",F113,0))-P422,0)</f>
        <v/>
      </c>
      <c r="U422" s="138">
        <f>Q422+R422+S422+T422</f>
        <v/>
      </c>
      <c r="V422" s="138">
        <f>IF(B422="Working",MAX(-(((Q421)*(1+$C$10)+IF(B422="Working",J422,0))),0),MAX(K422-L422,0))</f>
        <v/>
      </c>
      <c r="W422" s="138">
        <f>IF(OR(A422&gt;=$C$13,B422="Retired"),IF(V422&gt;0,-V422,U422-'Model Inputs'!$B$18),"")</f>
        <v/>
      </c>
      <c r="X422" s="138">
        <f>IF(AND($L$230&gt;0,A422&gt;=$C$13),$L$230*(1+$C$25)^(A422-$C$13),0)</f>
        <v/>
      </c>
      <c r="Y422" s="138">
        <f>IF(OR($L$230&lt;=0,$C$17&lt;=0,A422&lt;$C$13,MIN(MAX((A422-$C$13+1)*12,0),$C$17*12)&gt;=$C$17*12),0,IF($C$16=0,MAX(MAX($L$230*(1-$C$15),0)-(IF($C$17&lt;=0,0,IF($C$16=0,MAX($L$230*(1-$C$15),0)/$C$17,-PMT($C$16/12,$C$17*12,MAX($L$230*(1-$C$15),0))*12))/12)*MIN(MAX((A422-$C$13+1)*12,0),$C$17*12),0),MAX(MAX($L$230*(1-$C$15),0)*(1+$C$16/12)^MIN(MAX((A422-$C$13+1)*12,0),$C$17*12)-(IF($C$17&lt;=0,0,IF($C$16=0,MAX($L$230*(1-$C$15),0)/$C$17,-PMT($C$16/12,$C$17*12,MAX($L$230*(1-$C$15),0))*12))/12)*(((1+$C$16/12)^MIN(MAX((A422-$C$13+1)*12,0),$C$17*12)-1)/($C$16/12)),0)))</f>
        <v/>
      </c>
      <c r="Z422" s="138">
        <f>MAX(X422-Y422,0)</f>
        <v/>
      </c>
      <c r="AA422" s="142">
        <f>U422+Z422</f>
        <v/>
      </c>
      <c r="AB422" s="5" t="n"/>
      <c r="AC422" s="5" t="n"/>
      <c r="AD422" s="5" t="n"/>
      <c r="AE422" s="5" t="n"/>
      <c r="AF422" s="5" t="n"/>
      <c r="AG422" s="5" t="n"/>
    </row>
    <row r="423" outlineLevel="1" s="326">
      <c r="A423" s="136" t="n">
        <v>35</v>
      </c>
      <c r="B423" s="72">
        <f>B114</f>
        <v/>
      </c>
      <c r="C423" s="137">
        <f>D114</f>
        <v/>
      </c>
      <c r="D423" s="137">
        <f>I114</f>
        <v/>
      </c>
      <c r="E423" s="137">
        <f>J114</f>
        <v/>
      </c>
      <c r="F423" s="137">
        <f>K114</f>
        <v/>
      </c>
      <c r="G423" s="138">
        <f>IF(AND($L$230&gt;0,A423=$C$13),$L$230*($C$15+$C$18),0)+IF(AND($L$230&gt;0,A423=$C$13),$C$24,0)</f>
        <v/>
      </c>
      <c r="H423" s="138">
        <f>IF(OR($L$230&lt;=0,A423&lt;$C$13),0,IF(AND($L$230&gt;0,$C$17&gt;0,A423&gt;=$C$13,A423&lt;($C$13+$C$17)),IF($C$17&lt;=0,0,IF($C$16=0,MAX($L$230*(1-$C$15),0)/$C$17,-PMT($C$16/12,$C$17*12,MAX($L$230*(1-$C$15),0))*12)),0)+X423*($C$19+$C$20+$C$21)+$C$22+$C$23)</f>
        <v/>
      </c>
      <c r="I423" s="138">
        <f>IF(B423="Working",MIN(MAX(D423-E423-F423-G423-H423,0),'Tax Assumptions'!$B$20),0)</f>
        <v/>
      </c>
      <c r="J423" s="138">
        <f>IF(B423="Working",D423-E423-F423-I423-G423-H423,-L423)</f>
        <v/>
      </c>
      <c r="K423" s="137">
        <f>IF(B423="Retired",$N$230+G423+H423,0)</f>
        <v/>
      </c>
      <c r="L423" s="137">
        <f>M423+N423+O423+P423</f>
        <v/>
      </c>
      <c r="M423" s="137">
        <f>IF(B423="Retired",MIN(((Q422)*(1+$C$10)+IF(B423="Working",J423,0)),K423),0)</f>
        <v/>
      </c>
      <c r="N423" s="137">
        <f>IF(B423="Retired",MIN(MAX(K423-M423,0),((R422)*(1+$C$10)+IF(B423="Working",E114,0))),0)</f>
        <v/>
      </c>
      <c r="O423" s="137">
        <f>IF(B423="Retired",MIN(MAX(K423-M423-N423,0),((S422)*(1+$C$10)+IF(B423="Working",I423,0))),0)</f>
        <v/>
      </c>
      <c r="P423" s="137">
        <f>IF(B423="Retired",MIN(MAX(K423-M423-N423-O423,0),((T422)*(1+$C$10)+IF(B423="Working",F114,0))),0)</f>
        <v/>
      </c>
      <c r="Q423" s="138">
        <f>MAX(((Q422)*(1+$C$10)+IF(B423="Working",J423,0))-M423,0)</f>
        <v/>
      </c>
      <c r="R423" s="138">
        <f>MAX(((R422)*(1+$C$10)+IF(B423="Working",E114,0))-N423,0)</f>
        <v/>
      </c>
      <c r="S423" s="138">
        <f>MAX(((S422)*(1+$C$10)+IF(B423="Working",I423,0))-O423,0)</f>
        <v/>
      </c>
      <c r="T423" s="138">
        <f>MAX(((T422)*(1+$C$10)+IF(B423="Working",F114,0))-P423,0)</f>
        <v/>
      </c>
      <c r="U423" s="138">
        <f>Q423+R423+S423+T423</f>
        <v/>
      </c>
      <c r="V423" s="138">
        <f>IF(B423="Working",MAX(-(((Q422)*(1+$C$10)+IF(B423="Working",J423,0))),0),MAX(K423-L423,0))</f>
        <v/>
      </c>
      <c r="W423" s="138">
        <f>IF(OR(A423&gt;=$C$13,B423="Retired"),IF(V423&gt;0,-V423,U423-'Model Inputs'!$B$18),"")</f>
        <v/>
      </c>
      <c r="X423" s="138">
        <f>IF(AND($L$230&gt;0,A423&gt;=$C$13),$L$230*(1+$C$25)^(A423-$C$13),0)</f>
        <v/>
      </c>
      <c r="Y423" s="138">
        <f>IF(OR($L$230&lt;=0,$C$17&lt;=0,A423&lt;$C$13,MIN(MAX((A423-$C$13+1)*12,0),$C$17*12)&gt;=$C$17*12),0,IF($C$16=0,MAX(MAX($L$230*(1-$C$15),0)-(IF($C$17&lt;=0,0,IF($C$16=0,MAX($L$230*(1-$C$15),0)/$C$17,-PMT($C$16/12,$C$17*12,MAX($L$230*(1-$C$15),0))*12))/12)*MIN(MAX((A423-$C$13+1)*12,0),$C$17*12),0),MAX(MAX($L$230*(1-$C$15),0)*(1+$C$16/12)^MIN(MAX((A423-$C$13+1)*12,0),$C$17*12)-(IF($C$17&lt;=0,0,IF($C$16=0,MAX($L$230*(1-$C$15),0)/$C$17,-PMT($C$16/12,$C$17*12,MAX($L$230*(1-$C$15),0))*12))/12)*(((1+$C$16/12)^MIN(MAX((A423-$C$13+1)*12,0),$C$17*12)-1)/($C$16/12)),0)))</f>
        <v/>
      </c>
      <c r="Z423" s="138">
        <f>MAX(X423-Y423,0)</f>
        <v/>
      </c>
      <c r="AA423" s="139">
        <f>U423+Z423</f>
        <v/>
      </c>
      <c r="AB423" s="5" t="n"/>
      <c r="AC423" s="5" t="n"/>
      <c r="AD423" s="5" t="n"/>
      <c r="AE423" s="5" t="n"/>
      <c r="AF423" s="5" t="n"/>
      <c r="AG423" s="5" t="n"/>
    </row>
    <row r="424" outlineLevel="1" s="326">
      <c r="A424" s="140" t="n">
        <v>36</v>
      </c>
      <c r="B424" s="40">
        <f>B115</f>
        <v/>
      </c>
      <c r="C424" s="141">
        <f>D115</f>
        <v/>
      </c>
      <c r="D424" s="141">
        <f>I115</f>
        <v/>
      </c>
      <c r="E424" s="141">
        <f>J115</f>
        <v/>
      </c>
      <c r="F424" s="141">
        <f>K115</f>
        <v/>
      </c>
      <c r="G424" s="138">
        <f>IF(AND($L$230&gt;0,A424=$C$13),$L$230*($C$15+$C$18),0)+IF(AND($L$230&gt;0,A424=$C$13),$C$24,0)</f>
        <v/>
      </c>
      <c r="H424" s="138">
        <f>IF(OR($L$230&lt;=0,A424&lt;$C$13),0,IF(AND($L$230&gt;0,$C$17&gt;0,A424&gt;=$C$13,A424&lt;($C$13+$C$17)),IF($C$17&lt;=0,0,IF($C$16=0,MAX($L$230*(1-$C$15),0)/$C$17,-PMT($C$16/12,$C$17*12,MAX($L$230*(1-$C$15),0))*12)),0)+X424*($C$19+$C$20+$C$21)+$C$22+$C$23)</f>
        <v/>
      </c>
      <c r="I424" s="138">
        <f>IF(B424="Working",MIN(MAX(D424-E424-F424-G424-H424,0),'Tax Assumptions'!$B$20),0)</f>
        <v/>
      </c>
      <c r="J424" s="138">
        <f>IF(B424="Working",D424-E424-F424-I424-G424-H424,-L424)</f>
        <v/>
      </c>
      <c r="K424" s="141">
        <f>IF(B424="Retired",$N$230+G424+H424,0)</f>
        <v/>
      </c>
      <c r="L424" s="141">
        <f>M424+N424+O424+P424</f>
        <v/>
      </c>
      <c r="M424" s="141">
        <f>IF(B424="Retired",MIN(((Q423)*(1+$C$10)+IF(B424="Working",J424,0)),K424),0)</f>
        <v/>
      </c>
      <c r="N424" s="141">
        <f>IF(B424="Retired",MIN(MAX(K424-M424,0),((R423)*(1+$C$10)+IF(B424="Working",E115,0))),0)</f>
        <v/>
      </c>
      <c r="O424" s="141">
        <f>IF(B424="Retired",MIN(MAX(K424-M424-N424,0),((S423)*(1+$C$10)+IF(B424="Working",I424,0))),0)</f>
        <v/>
      </c>
      <c r="P424" s="141">
        <f>IF(B424="Retired",MIN(MAX(K424-M424-N424-O424,0),((T423)*(1+$C$10)+IF(B424="Working",F115,0))),0)</f>
        <v/>
      </c>
      <c r="Q424" s="138">
        <f>MAX(((Q423)*(1+$C$10)+IF(B424="Working",J424,0))-M424,0)</f>
        <v/>
      </c>
      <c r="R424" s="138">
        <f>MAX(((R423)*(1+$C$10)+IF(B424="Working",E115,0))-N424,0)</f>
        <v/>
      </c>
      <c r="S424" s="138">
        <f>MAX(((S423)*(1+$C$10)+IF(B424="Working",I424,0))-O424,0)</f>
        <v/>
      </c>
      <c r="T424" s="138">
        <f>MAX(((T423)*(1+$C$10)+IF(B424="Working",F115,0))-P424,0)</f>
        <v/>
      </c>
      <c r="U424" s="138">
        <f>Q424+R424+S424+T424</f>
        <v/>
      </c>
      <c r="V424" s="138">
        <f>IF(B424="Working",MAX(-(((Q423)*(1+$C$10)+IF(B424="Working",J424,0))),0),MAX(K424-L424,0))</f>
        <v/>
      </c>
      <c r="W424" s="138">
        <f>IF(OR(A424&gt;=$C$13,B424="Retired"),IF(V424&gt;0,-V424,U424-'Model Inputs'!$B$18),"")</f>
        <v/>
      </c>
      <c r="X424" s="138">
        <f>IF(AND($L$230&gt;0,A424&gt;=$C$13),$L$230*(1+$C$25)^(A424-$C$13),0)</f>
        <v/>
      </c>
      <c r="Y424" s="138">
        <f>IF(OR($L$230&lt;=0,$C$17&lt;=0,A424&lt;$C$13,MIN(MAX((A424-$C$13+1)*12,0),$C$17*12)&gt;=$C$17*12),0,IF($C$16=0,MAX(MAX($L$230*(1-$C$15),0)-(IF($C$17&lt;=0,0,IF($C$16=0,MAX($L$230*(1-$C$15),0)/$C$17,-PMT($C$16/12,$C$17*12,MAX($L$230*(1-$C$15),0))*12))/12)*MIN(MAX((A424-$C$13+1)*12,0),$C$17*12),0),MAX(MAX($L$230*(1-$C$15),0)*(1+$C$16/12)^MIN(MAX((A424-$C$13+1)*12,0),$C$17*12)-(IF($C$17&lt;=0,0,IF($C$16=0,MAX($L$230*(1-$C$15),0)/$C$17,-PMT($C$16/12,$C$17*12,MAX($L$230*(1-$C$15),0))*12))/12)*(((1+$C$16/12)^MIN(MAX((A424-$C$13+1)*12,0),$C$17*12)-1)/($C$16/12)),0)))</f>
        <v/>
      </c>
      <c r="Z424" s="138">
        <f>MAX(X424-Y424,0)</f>
        <v/>
      </c>
      <c r="AA424" s="142">
        <f>U424+Z424</f>
        <v/>
      </c>
      <c r="AB424" s="5" t="n"/>
      <c r="AC424" s="5" t="n"/>
      <c r="AD424" s="5" t="n"/>
      <c r="AE424" s="5" t="n"/>
      <c r="AF424" s="5" t="n"/>
      <c r="AG424" s="5" t="n"/>
    </row>
    <row r="425" outlineLevel="1" s="326">
      <c r="A425" s="136" t="n">
        <v>37</v>
      </c>
      <c r="B425" s="72">
        <f>B116</f>
        <v/>
      </c>
      <c r="C425" s="137">
        <f>D116</f>
        <v/>
      </c>
      <c r="D425" s="137">
        <f>I116</f>
        <v/>
      </c>
      <c r="E425" s="137">
        <f>J116</f>
        <v/>
      </c>
      <c r="F425" s="137">
        <f>K116</f>
        <v/>
      </c>
      <c r="G425" s="138">
        <f>IF(AND($L$230&gt;0,A425=$C$13),$L$230*($C$15+$C$18),0)+IF(AND($L$230&gt;0,A425=$C$13),$C$24,0)</f>
        <v/>
      </c>
      <c r="H425" s="138">
        <f>IF(OR($L$230&lt;=0,A425&lt;$C$13),0,IF(AND($L$230&gt;0,$C$17&gt;0,A425&gt;=$C$13,A425&lt;($C$13+$C$17)),IF($C$17&lt;=0,0,IF($C$16=0,MAX($L$230*(1-$C$15),0)/$C$17,-PMT($C$16/12,$C$17*12,MAX($L$230*(1-$C$15),0))*12)),0)+X425*($C$19+$C$20+$C$21)+$C$22+$C$23)</f>
        <v/>
      </c>
      <c r="I425" s="138">
        <f>IF(B425="Working",MIN(MAX(D425-E425-F425-G425-H425,0),'Tax Assumptions'!$B$20),0)</f>
        <v/>
      </c>
      <c r="J425" s="138">
        <f>IF(B425="Working",D425-E425-F425-I425-G425-H425,-L425)</f>
        <v/>
      </c>
      <c r="K425" s="137">
        <f>IF(B425="Retired",$N$230+G425+H425,0)</f>
        <v/>
      </c>
      <c r="L425" s="137">
        <f>M425+N425+O425+P425</f>
        <v/>
      </c>
      <c r="M425" s="137">
        <f>IF(B425="Retired",MIN(((Q424)*(1+$C$10)+IF(B425="Working",J425,0)),K425),0)</f>
        <v/>
      </c>
      <c r="N425" s="137">
        <f>IF(B425="Retired",MIN(MAX(K425-M425,0),((R424)*(1+$C$10)+IF(B425="Working",E116,0))),0)</f>
        <v/>
      </c>
      <c r="O425" s="137">
        <f>IF(B425="Retired",MIN(MAX(K425-M425-N425,0),((S424)*(1+$C$10)+IF(B425="Working",I425,0))),0)</f>
        <v/>
      </c>
      <c r="P425" s="137">
        <f>IF(B425="Retired",MIN(MAX(K425-M425-N425-O425,0),((T424)*(1+$C$10)+IF(B425="Working",F116,0))),0)</f>
        <v/>
      </c>
      <c r="Q425" s="138">
        <f>MAX(((Q424)*(1+$C$10)+IF(B425="Working",J425,0))-M425,0)</f>
        <v/>
      </c>
      <c r="R425" s="138">
        <f>MAX(((R424)*(1+$C$10)+IF(B425="Working",E116,0))-N425,0)</f>
        <v/>
      </c>
      <c r="S425" s="138">
        <f>MAX(((S424)*(1+$C$10)+IF(B425="Working",I425,0))-O425,0)</f>
        <v/>
      </c>
      <c r="T425" s="138">
        <f>MAX(((T424)*(1+$C$10)+IF(B425="Working",F116,0))-P425,0)</f>
        <v/>
      </c>
      <c r="U425" s="138">
        <f>Q425+R425+S425+T425</f>
        <v/>
      </c>
      <c r="V425" s="138">
        <f>IF(B425="Working",MAX(-(((Q424)*(1+$C$10)+IF(B425="Working",J425,0))),0),MAX(K425-L425,0))</f>
        <v/>
      </c>
      <c r="W425" s="138">
        <f>IF(OR(A425&gt;=$C$13,B425="Retired"),IF(V425&gt;0,-V425,U425-'Model Inputs'!$B$18),"")</f>
        <v/>
      </c>
      <c r="X425" s="138">
        <f>IF(AND($L$230&gt;0,A425&gt;=$C$13),$L$230*(1+$C$25)^(A425-$C$13),0)</f>
        <v/>
      </c>
      <c r="Y425" s="138">
        <f>IF(OR($L$230&lt;=0,$C$17&lt;=0,A425&lt;$C$13,MIN(MAX((A425-$C$13+1)*12,0),$C$17*12)&gt;=$C$17*12),0,IF($C$16=0,MAX(MAX($L$230*(1-$C$15),0)-(IF($C$17&lt;=0,0,IF($C$16=0,MAX($L$230*(1-$C$15),0)/$C$17,-PMT($C$16/12,$C$17*12,MAX($L$230*(1-$C$15),0))*12))/12)*MIN(MAX((A425-$C$13+1)*12,0),$C$17*12),0),MAX(MAX($L$230*(1-$C$15),0)*(1+$C$16/12)^MIN(MAX((A425-$C$13+1)*12,0),$C$17*12)-(IF($C$17&lt;=0,0,IF($C$16=0,MAX($L$230*(1-$C$15),0)/$C$17,-PMT($C$16/12,$C$17*12,MAX($L$230*(1-$C$15),0))*12))/12)*(((1+$C$16/12)^MIN(MAX((A425-$C$13+1)*12,0),$C$17*12)-1)/($C$16/12)),0)))</f>
        <v/>
      </c>
      <c r="Z425" s="138">
        <f>MAX(X425-Y425,0)</f>
        <v/>
      </c>
      <c r="AA425" s="139">
        <f>U425+Z425</f>
        <v/>
      </c>
      <c r="AB425" s="5" t="n"/>
      <c r="AC425" s="5" t="n"/>
      <c r="AD425" s="5" t="n"/>
      <c r="AE425" s="5" t="n"/>
      <c r="AF425" s="5" t="n"/>
      <c r="AG425" s="5" t="n"/>
    </row>
    <row r="426" outlineLevel="1" s="326">
      <c r="A426" s="140" t="n">
        <v>38</v>
      </c>
      <c r="B426" s="40">
        <f>B117</f>
        <v/>
      </c>
      <c r="C426" s="141">
        <f>D117</f>
        <v/>
      </c>
      <c r="D426" s="141">
        <f>I117</f>
        <v/>
      </c>
      <c r="E426" s="141">
        <f>J117</f>
        <v/>
      </c>
      <c r="F426" s="141">
        <f>K117</f>
        <v/>
      </c>
      <c r="G426" s="138">
        <f>IF(AND($L$230&gt;0,A426=$C$13),$L$230*($C$15+$C$18),0)+IF(AND($L$230&gt;0,A426=$C$13),$C$24,0)</f>
        <v/>
      </c>
      <c r="H426" s="138">
        <f>IF(OR($L$230&lt;=0,A426&lt;$C$13),0,IF(AND($L$230&gt;0,$C$17&gt;0,A426&gt;=$C$13,A426&lt;($C$13+$C$17)),IF($C$17&lt;=0,0,IF($C$16=0,MAX($L$230*(1-$C$15),0)/$C$17,-PMT($C$16/12,$C$17*12,MAX($L$230*(1-$C$15),0))*12)),0)+X426*($C$19+$C$20+$C$21)+$C$22+$C$23)</f>
        <v/>
      </c>
      <c r="I426" s="138">
        <f>IF(B426="Working",MIN(MAX(D426-E426-F426-G426-H426,0),'Tax Assumptions'!$B$20),0)</f>
        <v/>
      </c>
      <c r="J426" s="138">
        <f>IF(B426="Working",D426-E426-F426-I426-G426-H426,-L426)</f>
        <v/>
      </c>
      <c r="K426" s="141">
        <f>IF(B426="Retired",$N$230+G426+H426,0)</f>
        <v/>
      </c>
      <c r="L426" s="141">
        <f>M426+N426+O426+P426</f>
        <v/>
      </c>
      <c r="M426" s="141">
        <f>IF(B426="Retired",MIN(((Q425)*(1+$C$10)+IF(B426="Working",J426,0)),K426),0)</f>
        <v/>
      </c>
      <c r="N426" s="141">
        <f>IF(B426="Retired",MIN(MAX(K426-M426,0),((R425)*(1+$C$10)+IF(B426="Working",E117,0))),0)</f>
        <v/>
      </c>
      <c r="O426" s="141">
        <f>IF(B426="Retired",MIN(MAX(K426-M426-N426,0),((S425)*(1+$C$10)+IF(B426="Working",I426,0))),0)</f>
        <v/>
      </c>
      <c r="P426" s="141">
        <f>IF(B426="Retired",MIN(MAX(K426-M426-N426-O426,0),((T425)*(1+$C$10)+IF(B426="Working",F117,0))),0)</f>
        <v/>
      </c>
      <c r="Q426" s="138">
        <f>MAX(((Q425)*(1+$C$10)+IF(B426="Working",J426,0))-M426,0)</f>
        <v/>
      </c>
      <c r="R426" s="138">
        <f>MAX(((R425)*(1+$C$10)+IF(B426="Working",E117,0))-N426,0)</f>
        <v/>
      </c>
      <c r="S426" s="138">
        <f>MAX(((S425)*(1+$C$10)+IF(B426="Working",I426,0))-O426,0)</f>
        <v/>
      </c>
      <c r="T426" s="138">
        <f>MAX(((T425)*(1+$C$10)+IF(B426="Working",F117,0))-P426,0)</f>
        <v/>
      </c>
      <c r="U426" s="138">
        <f>Q426+R426+S426+T426</f>
        <v/>
      </c>
      <c r="V426" s="138">
        <f>IF(B426="Working",MAX(-(((Q425)*(1+$C$10)+IF(B426="Working",J426,0))),0),MAX(K426-L426,0))</f>
        <v/>
      </c>
      <c r="W426" s="138">
        <f>IF(OR(A426&gt;=$C$13,B426="Retired"),IF(V426&gt;0,-V426,U426-'Model Inputs'!$B$18),"")</f>
        <v/>
      </c>
      <c r="X426" s="138">
        <f>IF(AND($L$230&gt;0,A426&gt;=$C$13),$L$230*(1+$C$25)^(A426-$C$13),0)</f>
        <v/>
      </c>
      <c r="Y426" s="138">
        <f>IF(OR($L$230&lt;=0,$C$17&lt;=0,A426&lt;$C$13,MIN(MAX((A426-$C$13+1)*12,0),$C$17*12)&gt;=$C$17*12),0,IF($C$16=0,MAX(MAX($L$230*(1-$C$15),0)-(IF($C$17&lt;=0,0,IF($C$16=0,MAX($L$230*(1-$C$15),0)/$C$17,-PMT($C$16/12,$C$17*12,MAX($L$230*(1-$C$15),0))*12))/12)*MIN(MAX((A426-$C$13+1)*12,0),$C$17*12),0),MAX(MAX($L$230*(1-$C$15),0)*(1+$C$16/12)^MIN(MAX((A426-$C$13+1)*12,0),$C$17*12)-(IF($C$17&lt;=0,0,IF($C$16=0,MAX($L$230*(1-$C$15),0)/$C$17,-PMT($C$16/12,$C$17*12,MAX($L$230*(1-$C$15),0))*12))/12)*(((1+$C$16/12)^MIN(MAX((A426-$C$13+1)*12,0),$C$17*12)-1)/($C$16/12)),0)))</f>
        <v/>
      </c>
      <c r="Z426" s="138">
        <f>MAX(X426-Y426,0)</f>
        <v/>
      </c>
      <c r="AA426" s="142">
        <f>U426+Z426</f>
        <v/>
      </c>
      <c r="AB426" s="5" t="n"/>
      <c r="AC426" s="5" t="n"/>
      <c r="AD426" s="5" t="n"/>
      <c r="AE426" s="5" t="n"/>
      <c r="AF426" s="5" t="n"/>
      <c r="AG426" s="5" t="n"/>
    </row>
    <row r="427" outlineLevel="1" s="326">
      <c r="A427" s="136" t="n">
        <v>39</v>
      </c>
      <c r="B427" s="72">
        <f>B118</f>
        <v/>
      </c>
      <c r="C427" s="137">
        <f>D118</f>
        <v/>
      </c>
      <c r="D427" s="137">
        <f>I118</f>
        <v/>
      </c>
      <c r="E427" s="137">
        <f>J118</f>
        <v/>
      </c>
      <c r="F427" s="137">
        <f>K118</f>
        <v/>
      </c>
      <c r="G427" s="138">
        <f>IF(AND($L$230&gt;0,A427=$C$13),$L$230*($C$15+$C$18),0)+IF(AND($L$230&gt;0,A427=$C$13),$C$24,0)</f>
        <v/>
      </c>
      <c r="H427" s="138">
        <f>IF(OR($L$230&lt;=0,A427&lt;$C$13),0,IF(AND($L$230&gt;0,$C$17&gt;0,A427&gt;=$C$13,A427&lt;($C$13+$C$17)),IF($C$17&lt;=0,0,IF($C$16=0,MAX($L$230*(1-$C$15),0)/$C$17,-PMT($C$16/12,$C$17*12,MAX($L$230*(1-$C$15),0))*12)),0)+X427*($C$19+$C$20+$C$21)+$C$22+$C$23)</f>
        <v/>
      </c>
      <c r="I427" s="138">
        <f>IF(B427="Working",MIN(MAX(D427-E427-F427-G427-H427,0),'Tax Assumptions'!$B$20),0)</f>
        <v/>
      </c>
      <c r="J427" s="138">
        <f>IF(B427="Working",D427-E427-F427-I427-G427-H427,-L427)</f>
        <v/>
      </c>
      <c r="K427" s="137">
        <f>IF(B427="Retired",$N$230+G427+H427,0)</f>
        <v/>
      </c>
      <c r="L427" s="137">
        <f>M427+N427+O427+P427</f>
        <v/>
      </c>
      <c r="M427" s="137">
        <f>IF(B427="Retired",MIN(((Q426)*(1+$C$10)+IF(B427="Working",J427,0)),K427),0)</f>
        <v/>
      </c>
      <c r="N427" s="137">
        <f>IF(B427="Retired",MIN(MAX(K427-M427,0),((R426)*(1+$C$10)+IF(B427="Working",E118,0))),0)</f>
        <v/>
      </c>
      <c r="O427" s="137">
        <f>IF(B427="Retired",MIN(MAX(K427-M427-N427,0),((S426)*(1+$C$10)+IF(B427="Working",I427,0))),0)</f>
        <v/>
      </c>
      <c r="P427" s="137">
        <f>IF(B427="Retired",MIN(MAX(K427-M427-N427-O427,0),((T426)*(1+$C$10)+IF(B427="Working",F118,0))),0)</f>
        <v/>
      </c>
      <c r="Q427" s="138">
        <f>MAX(((Q426)*(1+$C$10)+IF(B427="Working",J427,0))-M427,0)</f>
        <v/>
      </c>
      <c r="R427" s="138">
        <f>MAX(((R426)*(1+$C$10)+IF(B427="Working",E118,0))-N427,0)</f>
        <v/>
      </c>
      <c r="S427" s="138">
        <f>MAX(((S426)*(1+$C$10)+IF(B427="Working",I427,0))-O427,0)</f>
        <v/>
      </c>
      <c r="T427" s="138">
        <f>MAX(((T426)*(1+$C$10)+IF(B427="Working",F118,0))-P427,0)</f>
        <v/>
      </c>
      <c r="U427" s="138">
        <f>Q427+R427+S427+T427</f>
        <v/>
      </c>
      <c r="V427" s="138">
        <f>IF(B427="Working",MAX(-(((Q426)*(1+$C$10)+IF(B427="Working",J427,0))),0),MAX(K427-L427,0))</f>
        <v/>
      </c>
      <c r="W427" s="138">
        <f>IF(OR(A427&gt;=$C$13,B427="Retired"),IF(V427&gt;0,-V427,U427-'Model Inputs'!$B$18),"")</f>
        <v/>
      </c>
      <c r="X427" s="138">
        <f>IF(AND($L$230&gt;0,A427&gt;=$C$13),$L$230*(1+$C$25)^(A427-$C$13),0)</f>
        <v/>
      </c>
      <c r="Y427" s="138">
        <f>IF(OR($L$230&lt;=0,$C$17&lt;=0,A427&lt;$C$13,MIN(MAX((A427-$C$13+1)*12,0),$C$17*12)&gt;=$C$17*12),0,IF($C$16=0,MAX(MAX($L$230*(1-$C$15),0)-(IF($C$17&lt;=0,0,IF($C$16=0,MAX($L$230*(1-$C$15),0)/$C$17,-PMT($C$16/12,$C$17*12,MAX($L$230*(1-$C$15),0))*12))/12)*MIN(MAX((A427-$C$13+1)*12,0),$C$17*12),0),MAX(MAX($L$230*(1-$C$15),0)*(1+$C$16/12)^MIN(MAX((A427-$C$13+1)*12,0),$C$17*12)-(IF($C$17&lt;=0,0,IF($C$16=0,MAX($L$230*(1-$C$15),0)/$C$17,-PMT($C$16/12,$C$17*12,MAX($L$230*(1-$C$15),0))*12))/12)*(((1+$C$16/12)^MIN(MAX((A427-$C$13+1)*12,0),$C$17*12)-1)/($C$16/12)),0)))</f>
        <v/>
      </c>
      <c r="Z427" s="138">
        <f>MAX(X427-Y427,0)</f>
        <v/>
      </c>
      <c r="AA427" s="139">
        <f>U427+Z427</f>
        <v/>
      </c>
      <c r="AB427" s="5" t="n"/>
      <c r="AC427" s="5" t="n"/>
      <c r="AD427" s="5" t="n"/>
      <c r="AE427" s="5" t="n"/>
      <c r="AF427" s="5" t="n"/>
      <c r="AG427" s="5" t="n"/>
    </row>
    <row r="428" outlineLevel="1" s="326">
      <c r="A428" s="140" t="n">
        <v>40</v>
      </c>
      <c r="B428" s="40">
        <f>B119</f>
        <v/>
      </c>
      <c r="C428" s="141">
        <f>D119</f>
        <v/>
      </c>
      <c r="D428" s="141">
        <f>I119</f>
        <v/>
      </c>
      <c r="E428" s="141">
        <f>J119</f>
        <v/>
      </c>
      <c r="F428" s="141">
        <f>K119</f>
        <v/>
      </c>
      <c r="G428" s="138">
        <f>IF(AND($L$230&gt;0,A428=$C$13),$L$230*($C$15+$C$18),0)+IF(AND($L$230&gt;0,A428=$C$13),$C$24,0)</f>
        <v/>
      </c>
      <c r="H428" s="138">
        <f>IF(OR($L$230&lt;=0,A428&lt;$C$13),0,IF(AND($L$230&gt;0,$C$17&gt;0,A428&gt;=$C$13,A428&lt;($C$13+$C$17)),IF($C$17&lt;=0,0,IF($C$16=0,MAX($L$230*(1-$C$15),0)/$C$17,-PMT($C$16/12,$C$17*12,MAX($L$230*(1-$C$15),0))*12)),0)+X428*($C$19+$C$20+$C$21)+$C$22+$C$23)</f>
        <v/>
      </c>
      <c r="I428" s="138">
        <f>IF(B428="Working",MIN(MAX(D428-E428-F428-G428-H428,0),'Tax Assumptions'!$B$20),0)</f>
        <v/>
      </c>
      <c r="J428" s="138">
        <f>IF(B428="Working",D428-E428-F428-I428-G428-H428,-L428)</f>
        <v/>
      </c>
      <c r="K428" s="141">
        <f>IF(B428="Retired",$N$230+G428+H428,0)</f>
        <v/>
      </c>
      <c r="L428" s="141">
        <f>M428+N428+O428+P428</f>
        <v/>
      </c>
      <c r="M428" s="141">
        <f>IF(B428="Retired",MIN(((Q427)*(1+$C$10)+IF(B428="Working",J428,0)),K428),0)</f>
        <v/>
      </c>
      <c r="N428" s="141">
        <f>IF(B428="Retired",MIN(MAX(K428-M428,0),((R427)*(1+$C$10)+IF(B428="Working",E119,0))),0)</f>
        <v/>
      </c>
      <c r="O428" s="141">
        <f>IF(B428="Retired",MIN(MAX(K428-M428-N428,0),((S427)*(1+$C$10)+IF(B428="Working",I428,0))),0)</f>
        <v/>
      </c>
      <c r="P428" s="141">
        <f>IF(B428="Retired",MIN(MAX(K428-M428-N428-O428,0),((T427)*(1+$C$10)+IF(B428="Working",F119,0))),0)</f>
        <v/>
      </c>
      <c r="Q428" s="138">
        <f>MAX(((Q427)*(1+$C$10)+IF(B428="Working",J428,0))-M428,0)</f>
        <v/>
      </c>
      <c r="R428" s="138">
        <f>MAX(((R427)*(1+$C$10)+IF(B428="Working",E119,0))-N428,0)</f>
        <v/>
      </c>
      <c r="S428" s="138">
        <f>MAX(((S427)*(1+$C$10)+IF(B428="Working",I428,0))-O428,0)</f>
        <v/>
      </c>
      <c r="T428" s="138">
        <f>MAX(((T427)*(1+$C$10)+IF(B428="Working",F119,0))-P428,0)</f>
        <v/>
      </c>
      <c r="U428" s="138">
        <f>Q428+R428+S428+T428</f>
        <v/>
      </c>
      <c r="V428" s="138">
        <f>IF(B428="Working",MAX(-(((Q427)*(1+$C$10)+IF(B428="Working",J428,0))),0),MAX(K428-L428,0))</f>
        <v/>
      </c>
      <c r="W428" s="138">
        <f>IF(OR(A428&gt;=$C$13,B428="Retired"),IF(V428&gt;0,-V428,U428-'Model Inputs'!$B$18),"")</f>
        <v/>
      </c>
      <c r="X428" s="138">
        <f>IF(AND($L$230&gt;0,A428&gt;=$C$13),$L$230*(1+$C$25)^(A428-$C$13),0)</f>
        <v/>
      </c>
      <c r="Y428" s="138">
        <f>IF(OR($L$230&lt;=0,$C$17&lt;=0,A428&lt;$C$13,MIN(MAX((A428-$C$13+1)*12,0),$C$17*12)&gt;=$C$17*12),0,IF($C$16=0,MAX(MAX($L$230*(1-$C$15),0)-(IF($C$17&lt;=0,0,IF($C$16=0,MAX($L$230*(1-$C$15),0)/$C$17,-PMT($C$16/12,$C$17*12,MAX($L$230*(1-$C$15),0))*12))/12)*MIN(MAX((A428-$C$13+1)*12,0),$C$17*12),0),MAX(MAX($L$230*(1-$C$15),0)*(1+$C$16/12)^MIN(MAX((A428-$C$13+1)*12,0),$C$17*12)-(IF($C$17&lt;=0,0,IF($C$16=0,MAX($L$230*(1-$C$15),0)/$C$17,-PMT($C$16/12,$C$17*12,MAX($L$230*(1-$C$15),0))*12))/12)*(((1+$C$16/12)^MIN(MAX((A428-$C$13+1)*12,0),$C$17*12)-1)/($C$16/12)),0)))</f>
        <v/>
      </c>
      <c r="Z428" s="138">
        <f>MAX(X428-Y428,0)</f>
        <v/>
      </c>
      <c r="AA428" s="142">
        <f>U428+Z428</f>
        <v/>
      </c>
      <c r="AB428" s="5" t="n"/>
      <c r="AC428" s="5" t="n"/>
      <c r="AD428" s="5" t="n"/>
      <c r="AE428" s="5" t="n"/>
      <c r="AF428" s="5" t="n"/>
      <c r="AG428" s="5" t="n"/>
    </row>
    <row r="429" outlineLevel="1" s="326">
      <c r="A429" s="143" t="inlineStr">
        <is>
          <t>Case Summary</t>
        </is>
      </c>
      <c r="B429" s="144" t="n"/>
      <c r="C429" s="144" t="n"/>
      <c r="D429" s="144" t="n"/>
      <c r="E429" s="144" t="n"/>
      <c r="F429" s="144" t="n"/>
      <c r="G429" s="145">
        <f>SUM(G389:G428)</f>
        <v/>
      </c>
      <c r="H429" s="145">
        <f>SUM(H389:H428)</f>
        <v/>
      </c>
      <c r="I429" s="145">
        <f>SUM(I389:I428)</f>
        <v/>
      </c>
      <c r="J429" s="145">
        <f>SUM(J389:J428)</f>
        <v/>
      </c>
      <c r="K429" s="145">
        <f>SUM(K389:K428)</f>
        <v/>
      </c>
      <c r="L429" s="145">
        <f>SUM(L389:L428)</f>
        <v/>
      </c>
      <c r="M429" s="145">
        <f>SUM(M389:M428)</f>
        <v/>
      </c>
      <c r="N429" s="145">
        <f>SUM(N389:N428)</f>
        <v/>
      </c>
      <c r="O429" s="145">
        <f>SUM(O389:O428)</f>
        <v/>
      </c>
      <c r="P429" s="145">
        <f>SUM(P389:P428)</f>
        <v/>
      </c>
      <c r="Q429" s="145">
        <f>Q428</f>
        <v/>
      </c>
      <c r="R429" s="145">
        <f>R428</f>
        <v/>
      </c>
      <c r="S429" s="145">
        <f>S428</f>
        <v/>
      </c>
      <c r="T429" s="145">
        <f>T428</f>
        <v/>
      </c>
      <c r="U429" s="145">
        <f>U428</f>
        <v/>
      </c>
      <c r="V429" s="145">
        <f>SUM(V389:V428)</f>
        <v/>
      </c>
      <c r="W429" s="145">
        <f>MIN(W389:W428)</f>
        <v/>
      </c>
      <c r="X429" s="145">
        <f>X428</f>
        <v/>
      </c>
      <c r="Y429" s="145">
        <f>Y428</f>
        <v/>
      </c>
      <c r="Z429" s="145">
        <f>Z428</f>
        <v/>
      </c>
      <c r="AA429" s="146">
        <f>AA428</f>
        <v/>
      </c>
      <c r="AB429" s="5" t="n"/>
      <c r="AC429" s="5" t="n"/>
      <c r="AD429" s="5" t="n"/>
      <c r="AE429" s="5" t="n"/>
      <c r="AF429" s="5" t="n"/>
      <c r="AG429" s="5" t="n"/>
    </row>
    <row r="430" outlineLevel="1" s="326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</row>
    <row r="431" outlineLevel="1" s="326">
      <c r="A431" s="387">
        <f>J231&amp;" | House "&amp;TEXT($L$231,"$#,##0")&amp;" | Spend "&amp;TEXT($N$231,"$#,##0")</f>
        <v/>
      </c>
      <c r="B431" s="345" t="n"/>
      <c r="C431" s="345" t="n"/>
      <c r="D431" s="345" t="n"/>
      <c r="E431" s="345" t="n"/>
      <c r="F431" s="345" t="n"/>
      <c r="G431" s="345" t="n"/>
      <c r="H431" s="345" t="n"/>
      <c r="I431" s="345" t="n"/>
      <c r="J431" s="345" t="n"/>
      <c r="K431" s="345" t="n"/>
      <c r="L431" s="345" t="n"/>
      <c r="M431" s="345" t="n"/>
      <c r="N431" s="345" t="n"/>
      <c r="O431" s="345" t="n"/>
      <c r="P431" s="345" t="n"/>
      <c r="Q431" s="345" t="n"/>
      <c r="R431" s="345" t="n"/>
      <c r="S431" s="345" t="n"/>
      <c r="T431" s="345" t="n"/>
      <c r="U431" s="345" t="n"/>
      <c r="V431" s="345" t="n"/>
      <c r="W431" s="345" t="n"/>
      <c r="X431" s="345" t="n"/>
      <c r="Y431" s="345" t="n"/>
      <c r="Z431" s="345" t="n"/>
      <c r="AA431" s="346" t="n"/>
      <c r="AB431" s="5" t="n"/>
      <c r="AC431" s="5" t="n"/>
      <c r="AD431" s="5" t="n"/>
      <c r="AE431" s="5" t="n"/>
      <c r="AF431" s="5" t="n"/>
      <c r="AG431" s="5" t="n"/>
    </row>
    <row r="432" outlineLevel="1" ht="34" customHeight="1" s="326">
      <c r="A432" s="134" t="inlineStr">
        <is>
          <t>Year</t>
        </is>
      </c>
      <c r="B432" s="83" t="inlineStr">
        <is>
          <t>Phase</t>
        </is>
      </c>
      <c r="C432" s="83" t="inlineStr">
        <is>
          <t>Gross</t>
        </is>
      </c>
      <c r="D432" s="83" t="inlineStr">
        <is>
          <t>Post-Tax Cash</t>
        </is>
      </c>
      <c r="E432" s="83" t="inlineStr">
        <is>
          <t>Rent</t>
        </is>
      </c>
      <c r="F432" s="83" t="inlineStr">
        <is>
          <t>Living</t>
        </is>
      </c>
      <c r="G432" s="83" t="inlineStr">
        <is>
          <t>House Cash</t>
        </is>
      </c>
      <c r="H432" s="83" t="inlineStr">
        <is>
          <t>Housing Carry</t>
        </is>
      </c>
      <c r="I432" s="83" t="inlineStr">
        <is>
          <t>Roth</t>
        </is>
      </c>
      <c r="J432" s="83" t="inlineStr">
        <is>
          <t>Taxable Sav / (Draw)</t>
        </is>
      </c>
      <c r="K432" s="83" t="inlineStr">
        <is>
          <t>Planned Need</t>
        </is>
      </c>
      <c r="L432" s="83" t="inlineStr">
        <is>
          <t>Actual W/D</t>
        </is>
      </c>
      <c r="M432" s="83" t="inlineStr">
        <is>
          <t>Taxable Draw</t>
        </is>
      </c>
      <c r="N432" s="83" t="inlineStr">
        <is>
          <t>401(k) Draw</t>
        </is>
      </c>
      <c r="O432" s="83" t="inlineStr">
        <is>
          <t>Roth Draw</t>
        </is>
      </c>
      <c r="P432" s="83" t="inlineStr">
        <is>
          <t>HSA Draw</t>
        </is>
      </c>
      <c r="Q432" s="83" t="inlineStr">
        <is>
          <t>Taxable Bal</t>
        </is>
      </c>
      <c r="R432" s="83" t="inlineStr">
        <is>
          <t>401(k) Bal</t>
        </is>
      </c>
      <c r="S432" s="83" t="inlineStr">
        <is>
          <t>Roth Bal</t>
        </is>
      </c>
      <c r="T432" s="83" t="inlineStr">
        <is>
          <t>HSA Bal</t>
        </is>
      </c>
      <c r="U432" s="83" t="inlineStr">
        <is>
          <t>Liquid Wealth</t>
        </is>
      </c>
      <c r="V432" s="83" t="inlineStr">
        <is>
          <t>Funding Gap</t>
        </is>
      </c>
      <c r="W432" s="83" t="inlineStr">
        <is>
          <t>Margin vs Reserve</t>
        </is>
      </c>
      <c r="X432" s="83" t="inlineStr">
        <is>
          <t>House Value</t>
        </is>
      </c>
      <c r="Y432" s="83" t="inlineStr">
        <is>
          <t>Mortgage Balance</t>
        </is>
      </c>
      <c r="Z432" s="83" t="inlineStr">
        <is>
          <t>Home Equity</t>
        </is>
      </c>
      <c r="AA432" s="135" t="inlineStr">
        <is>
          <t>Net Worth</t>
        </is>
      </c>
      <c r="AB432" s="5" t="n"/>
      <c r="AC432" s="5" t="n"/>
      <c r="AD432" s="5" t="n"/>
      <c r="AE432" s="5" t="n"/>
      <c r="AF432" s="5" t="n"/>
      <c r="AG432" s="5" t="n"/>
    </row>
    <row r="433" outlineLevel="1" s="326">
      <c r="A433" s="136" t="n">
        <v>1</v>
      </c>
      <c r="B433" s="72">
        <f>B80</f>
        <v/>
      </c>
      <c r="C433" s="137">
        <f>D80</f>
        <v/>
      </c>
      <c r="D433" s="137">
        <f>I80</f>
        <v/>
      </c>
      <c r="E433" s="137">
        <f>J80</f>
        <v/>
      </c>
      <c r="F433" s="137">
        <f>K80</f>
        <v/>
      </c>
      <c r="G433" s="138">
        <f>IF(AND($L$231&gt;0,A433=$C$13),$L$231*($C$15+$C$18),0)+IF(AND($L$231&gt;0,A433=$C$13),$C$24,0)</f>
        <v/>
      </c>
      <c r="H433" s="138">
        <f>IF(OR($L$231&lt;=0,A433&lt;$C$13),0,IF(AND($L$231&gt;0,$C$17&gt;0,A433&gt;=$C$13,A433&lt;($C$13+$C$17)),IF($C$17&lt;=0,0,IF($C$16=0,MAX($L$231*(1-$C$15),0)/$C$17,-PMT($C$16/12,$C$17*12,MAX($L$231*(1-$C$15),0))*12)),0)+X433*($C$19+$C$20+$C$21)+$C$22+$C$23)</f>
        <v/>
      </c>
      <c r="I433" s="138">
        <f>IF(B433="Working",MIN(MAX(D433-E433-F433-G433-H433,0),'Tax Assumptions'!$B$20),0)</f>
        <v/>
      </c>
      <c r="J433" s="138">
        <f>IF(B433="Working",D433-E433-F433-I433-G433-H433,-L433)</f>
        <v/>
      </c>
      <c r="K433" s="137">
        <f>IF(B433="Retired",$N$231+G433+H433,0)</f>
        <v/>
      </c>
      <c r="L433" s="137">
        <f>M433+N433+O433+P433</f>
        <v/>
      </c>
      <c r="M433" s="137">
        <f>IF(B433="Retired",MIN((('Savings Projection'!$B$7)*(1+$C$10)+IF(B433="Working",J433,0)),K433),0)</f>
        <v/>
      </c>
      <c r="N433" s="137">
        <f>IF(B433="Retired",MIN(MAX(K433-M433,0),(('Savings Projection'!$B$8)*(1+$C$10)+IF(B433="Working",E80,0))),0)</f>
        <v/>
      </c>
      <c r="O433" s="137">
        <f>IF(B433="Retired",MIN(MAX(K433-M433-N433,0),(('Savings Projection'!$B$9)*(1+$C$10)+IF(B433="Working",I433,0))),0)</f>
        <v/>
      </c>
      <c r="P433" s="137">
        <f>IF(B433="Retired",MIN(MAX(K433-M433-N433-O433,0),(('Savings Projection'!$B$10)*(1+$C$10)+IF(B433="Working",F80,0))),0)</f>
        <v/>
      </c>
      <c r="Q433" s="138">
        <f>MAX((('Savings Projection'!$B$7)*(1+$C$10)+IF(B433="Working",J433,0))-M433,0)</f>
        <v/>
      </c>
      <c r="R433" s="138">
        <f>MAX((('Savings Projection'!$B$8)*(1+$C$10)+IF(B433="Working",E80,0))-N433,0)</f>
        <v/>
      </c>
      <c r="S433" s="138">
        <f>MAX((('Savings Projection'!$B$9)*(1+$C$10)+IF(B433="Working",I433,0))-O433,0)</f>
        <v/>
      </c>
      <c r="T433" s="138">
        <f>MAX((('Savings Projection'!$B$10)*(1+$C$10)+IF(B433="Working",F80,0))-P433,0)</f>
        <v/>
      </c>
      <c r="U433" s="138">
        <f>Q433+R433+S433+T433</f>
        <v/>
      </c>
      <c r="V433" s="138">
        <f>IF(B433="Working",MAX(-((('Savings Projection'!$B$7)*(1+$C$10)+IF(B433="Working",J433,0))),0),MAX(K433-L433,0))</f>
        <v/>
      </c>
      <c r="W433" s="138">
        <f>IF(OR(A433&gt;=$C$13,B433="Retired"),IF(V433&gt;0,-V433,U433-'Model Inputs'!$B$18),"")</f>
        <v/>
      </c>
      <c r="X433" s="138">
        <f>IF(AND($L$231&gt;0,A433&gt;=$C$13),$L$231*(1+$C$25)^(A433-$C$13),0)</f>
        <v/>
      </c>
      <c r="Y433" s="138">
        <f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/>
      </c>
      <c r="Z433" s="138">
        <f>MAX(X433-Y433,0)</f>
        <v/>
      </c>
      <c r="AA433" s="139">
        <f>U433+Z433</f>
        <v/>
      </c>
      <c r="AB433" s="5" t="n"/>
      <c r="AC433" s="5" t="n"/>
      <c r="AD433" s="5" t="n"/>
      <c r="AE433" s="5" t="n"/>
      <c r="AF433" s="5" t="n"/>
      <c r="AG433" s="5" t="n"/>
    </row>
    <row r="434" outlineLevel="1" s="326">
      <c r="A434" s="140" t="n">
        <v>2</v>
      </c>
      <c r="B434" s="40">
        <f>B81</f>
        <v/>
      </c>
      <c r="C434" s="141">
        <f>D81</f>
        <v/>
      </c>
      <c r="D434" s="141">
        <f>I81</f>
        <v/>
      </c>
      <c r="E434" s="141">
        <f>J81</f>
        <v/>
      </c>
      <c r="F434" s="141">
        <f>K81</f>
        <v/>
      </c>
      <c r="G434" s="138">
        <f>IF(AND($L$231&gt;0,A434=$C$13),$L$231*($C$15+$C$18),0)+IF(AND($L$231&gt;0,A434=$C$13),$C$24,0)</f>
        <v/>
      </c>
      <c r="H434" s="138">
        <f>IF(OR($L$231&lt;=0,A434&lt;$C$13),0,IF(AND($L$231&gt;0,$C$17&gt;0,A434&gt;=$C$13,A434&lt;($C$13+$C$17)),IF($C$17&lt;=0,0,IF($C$16=0,MAX($L$231*(1-$C$15),0)/$C$17,-PMT($C$16/12,$C$17*12,MAX($L$231*(1-$C$15),0))*12)),0)+X434*($C$19+$C$20+$C$21)+$C$22+$C$23)</f>
        <v/>
      </c>
      <c r="I434" s="138">
        <f>IF(B434="Working",MIN(MAX(D434-E434-F434-G434-H434,0),'Tax Assumptions'!$B$20),0)</f>
        <v/>
      </c>
      <c r="J434" s="138">
        <f>IF(B434="Working",D434-E434-F434-I434-G434-H434,-L434)</f>
        <v/>
      </c>
      <c r="K434" s="141">
        <f>IF(B434="Retired",$N$231+G434+H434,0)</f>
        <v/>
      </c>
      <c r="L434" s="141">
        <f>M434+N434+O434+P434</f>
        <v/>
      </c>
      <c r="M434" s="141">
        <f>IF(B434="Retired",MIN(((Q433)*(1+$C$10)+IF(B434="Working",J434,0)),K434),0)</f>
        <v/>
      </c>
      <c r="N434" s="141">
        <f>IF(B434="Retired",MIN(MAX(K434-M434,0),((R433)*(1+$C$10)+IF(B434="Working",E81,0))),0)</f>
        <v/>
      </c>
      <c r="O434" s="141">
        <f>IF(B434="Retired",MIN(MAX(K434-M434-N434,0),((S433)*(1+$C$10)+IF(B434="Working",I434,0))),0)</f>
        <v/>
      </c>
      <c r="P434" s="141">
        <f>IF(B434="Retired",MIN(MAX(K434-M434-N434-O434,0),((T433)*(1+$C$10)+IF(B434="Working",F81,0))),0)</f>
        <v/>
      </c>
      <c r="Q434" s="138">
        <f>MAX(((Q433)*(1+$C$10)+IF(B434="Working",J434,0))-M434,0)</f>
        <v/>
      </c>
      <c r="R434" s="138">
        <f>MAX(((R433)*(1+$C$10)+IF(B434="Working",E81,0))-N434,0)</f>
        <v/>
      </c>
      <c r="S434" s="138">
        <f>MAX(((S433)*(1+$C$10)+IF(B434="Working",I434,0))-O434,0)</f>
        <v/>
      </c>
      <c r="T434" s="138">
        <f>MAX(((T433)*(1+$C$10)+IF(B434="Working",F81,0))-P434,0)</f>
        <v/>
      </c>
      <c r="U434" s="138">
        <f>Q434+R434+S434+T434</f>
        <v/>
      </c>
      <c r="V434" s="138">
        <f>IF(B434="Working",MAX(-(((Q433)*(1+$C$10)+IF(B434="Working",J434,0))),0),MAX(K434-L434,0))</f>
        <v/>
      </c>
      <c r="W434" s="138">
        <f>IF(OR(A434&gt;=$C$13,B434="Retired"),IF(V434&gt;0,-V434,U434-'Model Inputs'!$B$18),"")</f>
        <v/>
      </c>
      <c r="X434" s="138">
        <f>IF(AND($L$231&gt;0,A434&gt;=$C$13),$L$231*(1+$C$25)^(A434-$C$13),0)</f>
        <v/>
      </c>
      <c r="Y434" s="138">
        <f>IF(OR($L$231&lt;=0,$C$17&lt;=0,A434&lt;$C$13,MIN(MAX((A434-$C$13+1)*12,0),$C$17*12)&gt;=$C$17*12),0,IF($C$16=0,MAX(MAX($L$231*(1-$C$15),0)-(IF($C$17&lt;=0,0,IF($C$16=0,MAX($L$231*(1-$C$15),0)/$C$17,-PMT($C$16/12,$C$17*12,MAX($L$231*(1-$C$15),0))*12))/12)*MIN(MAX((A434-$C$13+1)*12,0),$C$17*12),0),MAX(MAX($L$231*(1-$C$15),0)*(1+$C$16/12)^MIN(MAX((A434-$C$13+1)*12,0),$C$17*12)-(IF($C$17&lt;=0,0,IF($C$16=0,MAX($L$231*(1-$C$15),0)/$C$17,-PMT($C$16/12,$C$17*12,MAX($L$231*(1-$C$15),0))*12))/12)*(((1+$C$16/12)^MIN(MAX((A434-$C$13+1)*12,0),$C$17*12)-1)/($C$16/12)),0)))</f>
        <v/>
      </c>
      <c r="Z434" s="138">
        <f>MAX(X434-Y434,0)</f>
        <v/>
      </c>
      <c r="AA434" s="142">
        <f>U434+Z434</f>
        <v/>
      </c>
      <c r="AB434" s="5" t="n"/>
      <c r="AC434" s="5" t="n"/>
      <c r="AD434" s="5" t="n"/>
      <c r="AE434" s="5" t="n"/>
      <c r="AF434" s="5" t="n"/>
      <c r="AG434" s="5" t="n"/>
    </row>
    <row r="435" outlineLevel="1" s="326">
      <c r="A435" s="136" t="n">
        <v>3</v>
      </c>
      <c r="B435" s="72">
        <f>B82</f>
        <v/>
      </c>
      <c r="C435" s="137">
        <f>D82</f>
        <v/>
      </c>
      <c r="D435" s="137">
        <f>I82</f>
        <v/>
      </c>
      <c r="E435" s="137">
        <f>J82</f>
        <v/>
      </c>
      <c r="F435" s="137">
        <f>K82</f>
        <v/>
      </c>
      <c r="G435" s="138">
        <f>IF(AND($L$231&gt;0,A435=$C$13),$L$231*($C$15+$C$18),0)+IF(AND($L$231&gt;0,A435=$C$13),$C$24,0)</f>
        <v/>
      </c>
      <c r="H435" s="138">
        <f>IF(OR($L$231&lt;=0,A435&lt;$C$13),0,IF(AND($L$231&gt;0,$C$17&gt;0,A435&gt;=$C$13,A435&lt;($C$13+$C$17)),IF($C$17&lt;=0,0,IF($C$16=0,MAX($L$231*(1-$C$15),0)/$C$17,-PMT($C$16/12,$C$17*12,MAX($L$231*(1-$C$15),0))*12)),0)+X435*($C$19+$C$20+$C$21)+$C$22+$C$23)</f>
        <v/>
      </c>
      <c r="I435" s="138">
        <f>IF(B435="Working",MIN(MAX(D435-E435-F435-G435-H435,0),'Tax Assumptions'!$B$20),0)</f>
        <v/>
      </c>
      <c r="J435" s="138">
        <f>IF(B435="Working",D435-E435-F435-I435-G435-H435,-L435)</f>
        <v/>
      </c>
      <c r="K435" s="137">
        <f>IF(B435="Retired",$N$231+G435+H435,0)</f>
        <v/>
      </c>
      <c r="L435" s="137">
        <f>M435+N435+O435+P435</f>
        <v/>
      </c>
      <c r="M435" s="137">
        <f>IF(B435="Retired",MIN(((Q434)*(1+$C$10)+IF(B435="Working",J435,0)),K435),0)</f>
        <v/>
      </c>
      <c r="N435" s="137">
        <f>IF(B435="Retired",MIN(MAX(K435-M435,0),((R434)*(1+$C$10)+IF(B435="Working",E82,0))),0)</f>
        <v/>
      </c>
      <c r="O435" s="137">
        <f>IF(B435="Retired",MIN(MAX(K435-M435-N435,0),((S434)*(1+$C$10)+IF(B435="Working",I435,0))),0)</f>
        <v/>
      </c>
      <c r="P435" s="137">
        <f>IF(B435="Retired",MIN(MAX(K435-M435-N435-O435,0),((T434)*(1+$C$10)+IF(B435="Working",F82,0))),0)</f>
        <v/>
      </c>
      <c r="Q435" s="138">
        <f>MAX(((Q434)*(1+$C$10)+IF(B435="Working",J435,0))-M435,0)</f>
        <v/>
      </c>
      <c r="R435" s="138">
        <f>MAX(((R434)*(1+$C$10)+IF(B435="Working",E82,0))-N435,0)</f>
        <v/>
      </c>
      <c r="S435" s="138">
        <f>MAX(((S434)*(1+$C$10)+IF(B435="Working",I435,0))-O435,0)</f>
        <v/>
      </c>
      <c r="T435" s="138">
        <f>MAX(((T434)*(1+$C$10)+IF(B435="Working",F82,0))-P435,0)</f>
        <v/>
      </c>
      <c r="U435" s="138">
        <f>Q435+R435+S435+T435</f>
        <v/>
      </c>
      <c r="V435" s="138">
        <f>IF(B435="Working",MAX(-(((Q434)*(1+$C$10)+IF(B435="Working",J435,0))),0),MAX(K435-L435,0))</f>
        <v/>
      </c>
      <c r="W435" s="138">
        <f>IF(OR(A435&gt;=$C$13,B435="Retired"),IF(V435&gt;0,-V435,U435-'Model Inputs'!$B$18),"")</f>
        <v/>
      </c>
      <c r="X435" s="138">
        <f>IF(AND($L$231&gt;0,A435&gt;=$C$13),$L$231*(1+$C$25)^(A435-$C$13),0)</f>
        <v/>
      </c>
      <c r="Y435" s="138">
        <f>IF(OR($L$231&lt;=0,$C$17&lt;=0,A435&lt;$C$13,MIN(MAX((A435-$C$13+1)*12,0),$C$17*12)&gt;=$C$17*12),0,IF($C$16=0,MAX(MAX($L$231*(1-$C$15),0)-(IF($C$17&lt;=0,0,IF($C$16=0,MAX($L$231*(1-$C$15),0)/$C$17,-PMT($C$16/12,$C$17*12,MAX($L$231*(1-$C$15),0))*12))/12)*MIN(MAX((A435-$C$13+1)*12,0),$C$17*12),0),MAX(MAX($L$231*(1-$C$15),0)*(1+$C$16/12)^MIN(MAX((A435-$C$13+1)*12,0),$C$17*12)-(IF($C$17&lt;=0,0,IF($C$16=0,MAX($L$231*(1-$C$15),0)/$C$17,-PMT($C$16/12,$C$17*12,MAX($L$231*(1-$C$15),0))*12))/12)*(((1+$C$16/12)^MIN(MAX((A435-$C$13+1)*12,0),$C$17*12)-1)/($C$16/12)),0)))</f>
        <v/>
      </c>
      <c r="Z435" s="138">
        <f>MAX(X435-Y435,0)</f>
        <v/>
      </c>
      <c r="AA435" s="139">
        <f>U435+Z435</f>
        <v/>
      </c>
      <c r="AB435" s="5" t="n"/>
      <c r="AC435" s="5" t="n"/>
      <c r="AD435" s="5" t="n"/>
      <c r="AE435" s="5" t="n"/>
      <c r="AF435" s="5" t="n"/>
      <c r="AG435" s="5" t="n"/>
    </row>
    <row r="436" outlineLevel="1" s="326">
      <c r="A436" s="140" t="n">
        <v>4</v>
      </c>
      <c r="B436" s="40">
        <f>B83</f>
        <v/>
      </c>
      <c r="C436" s="141">
        <f>D83</f>
        <v/>
      </c>
      <c r="D436" s="141">
        <f>I83</f>
        <v/>
      </c>
      <c r="E436" s="141">
        <f>J83</f>
        <v/>
      </c>
      <c r="F436" s="141">
        <f>K83</f>
        <v/>
      </c>
      <c r="G436" s="138">
        <f>IF(AND($L$231&gt;0,A436=$C$13),$L$231*($C$15+$C$18),0)+IF(AND($L$231&gt;0,A436=$C$13),$C$24,0)</f>
        <v/>
      </c>
      <c r="H436" s="138">
        <f>IF(OR($L$231&lt;=0,A436&lt;$C$13),0,IF(AND($L$231&gt;0,$C$17&gt;0,A436&gt;=$C$13,A436&lt;($C$13+$C$17)),IF($C$17&lt;=0,0,IF($C$16=0,MAX($L$231*(1-$C$15),0)/$C$17,-PMT($C$16/12,$C$17*12,MAX($L$231*(1-$C$15),0))*12)),0)+X436*($C$19+$C$20+$C$21)+$C$22+$C$23)</f>
        <v/>
      </c>
      <c r="I436" s="138">
        <f>IF(B436="Working",MIN(MAX(D436-E436-F436-G436-H436,0),'Tax Assumptions'!$B$20),0)</f>
        <v/>
      </c>
      <c r="J436" s="138">
        <f>IF(B436="Working",D436-E436-F436-I436-G436-H436,-L436)</f>
        <v/>
      </c>
      <c r="K436" s="141">
        <f>IF(B436="Retired",$N$231+G436+H436,0)</f>
        <v/>
      </c>
      <c r="L436" s="141">
        <f>M436+N436+O436+P436</f>
        <v/>
      </c>
      <c r="M436" s="141">
        <f>IF(B436="Retired",MIN(((Q435)*(1+$C$10)+IF(B436="Working",J436,0)),K436),0)</f>
        <v/>
      </c>
      <c r="N436" s="141">
        <f>IF(B436="Retired",MIN(MAX(K436-M436,0),((R435)*(1+$C$10)+IF(B436="Working",E83,0))),0)</f>
        <v/>
      </c>
      <c r="O436" s="141">
        <f>IF(B436="Retired",MIN(MAX(K436-M436-N436,0),((S435)*(1+$C$10)+IF(B436="Working",I436,0))),0)</f>
        <v/>
      </c>
      <c r="P436" s="141">
        <f>IF(B436="Retired",MIN(MAX(K436-M436-N436-O436,0),((T435)*(1+$C$10)+IF(B436="Working",F83,0))),0)</f>
        <v/>
      </c>
      <c r="Q436" s="138">
        <f>MAX(((Q435)*(1+$C$10)+IF(B436="Working",J436,0))-M436,0)</f>
        <v/>
      </c>
      <c r="R436" s="138">
        <f>MAX(((R435)*(1+$C$10)+IF(B436="Working",E83,0))-N436,0)</f>
        <v/>
      </c>
      <c r="S436" s="138">
        <f>MAX(((S435)*(1+$C$10)+IF(B436="Working",I436,0))-O436,0)</f>
        <v/>
      </c>
      <c r="T436" s="138">
        <f>MAX(((T435)*(1+$C$10)+IF(B436="Working",F83,0))-P436,0)</f>
        <v/>
      </c>
      <c r="U436" s="138">
        <f>Q436+R436+S436+T436</f>
        <v/>
      </c>
      <c r="V436" s="138">
        <f>IF(B436="Working",MAX(-(((Q435)*(1+$C$10)+IF(B436="Working",J436,0))),0),MAX(K436-L436,0))</f>
        <v/>
      </c>
      <c r="W436" s="138">
        <f>IF(OR(A436&gt;=$C$13,B436="Retired"),IF(V436&gt;0,-V436,U436-'Model Inputs'!$B$18),"")</f>
        <v/>
      </c>
      <c r="X436" s="138">
        <f>IF(AND($L$231&gt;0,A436&gt;=$C$13),$L$231*(1+$C$25)^(A436-$C$13),0)</f>
        <v/>
      </c>
      <c r="Y436" s="138">
        <f>IF(OR($L$231&lt;=0,$C$17&lt;=0,A436&lt;$C$13,MIN(MAX((A436-$C$13+1)*12,0),$C$17*12)&gt;=$C$17*12),0,IF($C$16=0,MAX(MAX($L$231*(1-$C$15),0)-(IF($C$17&lt;=0,0,IF($C$16=0,MAX($L$231*(1-$C$15),0)/$C$17,-PMT($C$16/12,$C$17*12,MAX($L$231*(1-$C$15),0))*12))/12)*MIN(MAX((A436-$C$13+1)*12,0),$C$17*12),0),MAX(MAX($L$231*(1-$C$15),0)*(1+$C$16/12)^MIN(MAX((A436-$C$13+1)*12,0),$C$17*12)-(IF($C$17&lt;=0,0,IF($C$16=0,MAX($L$231*(1-$C$15),0)/$C$17,-PMT($C$16/12,$C$17*12,MAX($L$231*(1-$C$15),0))*12))/12)*(((1+$C$16/12)^MIN(MAX((A436-$C$13+1)*12,0),$C$17*12)-1)/($C$16/12)),0)))</f>
        <v/>
      </c>
      <c r="Z436" s="138">
        <f>MAX(X436-Y436,0)</f>
        <v/>
      </c>
      <c r="AA436" s="142">
        <f>U436+Z436</f>
        <v/>
      </c>
      <c r="AB436" s="5" t="n"/>
      <c r="AC436" s="5" t="n"/>
      <c r="AD436" s="5" t="n"/>
      <c r="AE436" s="5" t="n"/>
      <c r="AF436" s="5" t="n"/>
      <c r="AG436" s="5" t="n"/>
    </row>
    <row r="437" outlineLevel="1" s="326">
      <c r="A437" s="136" t="n">
        <v>5</v>
      </c>
      <c r="B437" s="72">
        <f>B84</f>
        <v/>
      </c>
      <c r="C437" s="137">
        <f>D84</f>
        <v/>
      </c>
      <c r="D437" s="137">
        <f>I84</f>
        <v/>
      </c>
      <c r="E437" s="137">
        <f>J84</f>
        <v/>
      </c>
      <c r="F437" s="137">
        <f>K84</f>
        <v/>
      </c>
      <c r="G437" s="138">
        <f>IF(AND($L$231&gt;0,A437=$C$13),$L$231*($C$15+$C$18),0)+IF(AND($L$231&gt;0,A437=$C$13),$C$24,0)</f>
        <v/>
      </c>
      <c r="H437" s="138">
        <f>IF(OR($L$231&lt;=0,A437&lt;$C$13),0,IF(AND($L$231&gt;0,$C$17&gt;0,A437&gt;=$C$13,A437&lt;($C$13+$C$17)),IF($C$17&lt;=0,0,IF($C$16=0,MAX($L$231*(1-$C$15),0)/$C$17,-PMT($C$16/12,$C$17*12,MAX($L$231*(1-$C$15),0))*12)),0)+X437*($C$19+$C$20+$C$21)+$C$22+$C$23)</f>
        <v/>
      </c>
      <c r="I437" s="138">
        <f>IF(B437="Working",MIN(MAX(D437-E437-F437-G437-H437,0),'Tax Assumptions'!$B$20),0)</f>
        <v/>
      </c>
      <c r="J437" s="138">
        <f>IF(B437="Working",D437-E437-F437-I437-G437-H437,-L437)</f>
        <v/>
      </c>
      <c r="K437" s="137">
        <f>IF(B437="Retired",$N$231+G437+H437,0)</f>
        <v/>
      </c>
      <c r="L437" s="137">
        <f>M437+N437+O437+P437</f>
        <v/>
      </c>
      <c r="M437" s="137">
        <f>IF(B437="Retired",MIN(((Q436)*(1+$C$10)+IF(B437="Working",J437,0)),K437),0)</f>
        <v/>
      </c>
      <c r="N437" s="137">
        <f>IF(B437="Retired",MIN(MAX(K437-M437,0),((R436)*(1+$C$10)+IF(B437="Working",E84,0))),0)</f>
        <v/>
      </c>
      <c r="O437" s="137">
        <f>IF(B437="Retired",MIN(MAX(K437-M437-N437,0),((S436)*(1+$C$10)+IF(B437="Working",I437,0))),0)</f>
        <v/>
      </c>
      <c r="P437" s="137">
        <f>IF(B437="Retired",MIN(MAX(K437-M437-N437-O437,0),((T436)*(1+$C$10)+IF(B437="Working",F84,0))),0)</f>
        <v/>
      </c>
      <c r="Q437" s="138">
        <f>MAX(((Q436)*(1+$C$10)+IF(B437="Working",J437,0))-M437,0)</f>
        <v/>
      </c>
      <c r="R437" s="138">
        <f>MAX(((R436)*(1+$C$10)+IF(B437="Working",E84,0))-N437,0)</f>
        <v/>
      </c>
      <c r="S437" s="138">
        <f>MAX(((S436)*(1+$C$10)+IF(B437="Working",I437,0))-O437,0)</f>
        <v/>
      </c>
      <c r="T437" s="138">
        <f>MAX(((T436)*(1+$C$10)+IF(B437="Working",F84,0))-P437,0)</f>
        <v/>
      </c>
      <c r="U437" s="138">
        <f>Q437+R437+S437+T437</f>
        <v/>
      </c>
      <c r="V437" s="138">
        <f>IF(B437="Working",MAX(-(((Q436)*(1+$C$10)+IF(B437="Working",J437,0))),0),MAX(K437-L437,0))</f>
        <v/>
      </c>
      <c r="W437" s="138">
        <f>IF(OR(A437&gt;=$C$13,B437="Retired"),IF(V437&gt;0,-V437,U437-'Model Inputs'!$B$18),"")</f>
        <v/>
      </c>
      <c r="X437" s="138">
        <f>IF(AND($L$231&gt;0,A437&gt;=$C$13),$L$231*(1+$C$25)^(A437-$C$13),0)</f>
        <v/>
      </c>
      <c r="Y437" s="138">
        <f>IF(OR($L$231&lt;=0,$C$17&lt;=0,A437&lt;$C$13,MIN(MAX((A437-$C$13+1)*12,0),$C$17*12)&gt;=$C$17*12),0,IF($C$16=0,MAX(MAX($L$231*(1-$C$15),0)-(IF($C$17&lt;=0,0,IF($C$16=0,MAX($L$231*(1-$C$15),0)/$C$17,-PMT($C$16/12,$C$17*12,MAX($L$231*(1-$C$15),0))*12))/12)*MIN(MAX((A437-$C$13+1)*12,0),$C$17*12),0),MAX(MAX($L$231*(1-$C$15),0)*(1+$C$16/12)^MIN(MAX((A437-$C$13+1)*12,0),$C$17*12)-(IF($C$17&lt;=0,0,IF($C$16=0,MAX($L$231*(1-$C$15),0)/$C$17,-PMT($C$16/12,$C$17*12,MAX($L$231*(1-$C$15),0))*12))/12)*(((1+$C$16/12)^MIN(MAX((A437-$C$13+1)*12,0),$C$17*12)-1)/($C$16/12)),0)))</f>
        <v/>
      </c>
      <c r="Z437" s="138">
        <f>MAX(X437-Y437,0)</f>
        <v/>
      </c>
      <c r="AA437" s="139">
        <f>U437+Z437</f>
        <v/>
      </c>
      <c r="AB437" s="5" t="n"/>
      <c r="AC437" s="5" t="n"/>
      <c r="AD437" s="5" t="n"/>
      <c r="AE437" s="5" t="n"/>
      <c r="AF437" s="5" t="n"/>
      <c r="AG437" s="5" t="n"/>
    </row>
    <row r="438" outlineLevel="1" s="326">
      <c r="A438" s="140" t="n">
        <v>6</v>
      </c>
      <c r="B438" s="40">
        <f>B85</f>
        <v/>
      </c>
      <c r="C438" s="141">
        <f>D85</f>
        <v/>
      </c>
      <c r="D438" s="141">
        <f>I85</f>
        <v/>
      </c>
      <c r="E438" s="141">
        <f>J85</f>
        <v/>
      </c>
      <c r="F438" s="141">
        <f>K85</f>
        <v/>
      </c>
      <c r="G438" s="138">
        <f>IF(AND($L$231&gt;0,A438=$C$13),$L$231*($C$15+$C$18),0)+IF(AND($L$231&gt;0,A438=$C$13),$C$24,0)</f>
        <v/>
      </c>
      <c r="H438" s="138">
        <f>IF(OR($L$231&lt;=0,A438&lt;$C$13),0,IF(AND($L$231&gt;0,$C$17&gt;0,A438&gt;=$C$13,A438&lt;($C$13+$C$17)),IF($C$17&lt;=0,0,IF($C$16=0,MAX($L$231*(1-$C$15),0)/$C$17,-PMT($C$16/12,$C$17*12,MAX($L$231*(1-$C$15),0))*12)),0)+X438*($C$19+$C$20+$C$21)+$C$22+$C$23)</f>
        <v/>
      </c>
      <c r="I438" s="138">
        <f>IF(B438="Working",MIN(MAX(D438-E438-F438-G438-H438,0),'Tax Assumptions'!$B$20),0)</f>
        <v/>
      </c>
      <c r="J438" s="138">
        <f>IF(B438="Working",D438-E438-F438-I438-G438-H438,-L438)</f>
        <v/>
      </c>
      <c r="K438" s="141">
        <f>IF(B438="Retired",$N$231+G438+H438,0)</f>
        <v/>
      </c>
      <c r="L438" s="141">
        <f>M438+N438+O438+P438</f>
        <v/>
      </c>
      <c r="M438" s="141">
        <f>IF(B438="Retired",MIN(((Q437)*(1+$C$10)+IF(B438="Working",J438,0)),K438),0)</f>
        <v/>
      </c>
      <c r="N438" s="141">
        <f>IF(B438="Retired",MIN(MAX(K438-M438,0),((R437)*(1+$C$10)+IF(B438="Working",E85,0))),0)</f>
        <v/>
      </c>
      <c r="O438" s="141">
        <f>IF(B438="Retired",MIN(MAX(K438-M438-N438,0),((S437)*(1+$C$10)+IF(B438="Working",I438,0))),0)</f>
        <v/>
      </c>
      <c r="P438" s="141">
        <f>IF(B438="Retired",MIN(MAX(K438-M438-N438-O438,0),((T437)*(1+$C$10)+IF(B438="Working",F85,0))),0)</f>
        <v/>
      </c>
      <c r="Q438" s="138">
        <f>MAX(((Q437)*(1+$C$10)+IF(B438="Working",J438,0))-M438,0)</f>
        <v/>
      </c>
      <c r="R438" s="138">
        <f>MAX(((R437)*(1+$C$10)+IF(B438="Working",E85,0))-N438,0)</f>
        <v/>
      </c>
      <c r="S438" s="138">
        <f>MAX(((S437)*(1+$C$10)+IF(B438="Working",I438,0))-O438,0)</f>
        <v/>
      </c>
      <c r="T438" s="138">
        <f>MAX(((T437)*(1+$C$10)+IF(B438="Working",F85,0))-P438,0)</f>
        <v/>
      </c>
      <c r="U438" s="138">
        <f>Q438+R438+S438+T438</f>
        <v/>
      </c>
      <c r="V438" s="138">
        <f>IF(B438="Working",MAX(-(((Q437)*(1+$C$10)+IF(B438="Working",J438,0))),0),MAX(K438-L438,0))</f>
        <v/>
      </c>
      <c r="W438" s="138">
        <f>IF(OR(A438&gt;=$C$13,B438="Retired"),IF(V438&gt;0,-V438,U438-'Model Inputs'!$B$18),"")</f>
        <v/>
      </c>
      <c r="X438" s="138">
        <f>IF(AND($L$231&gt;0,A438&gt;=$C$13),$L$231*(1+$C$25)^(A438-$C$13),0)</f>
        <v/>
      </c>
      <c r="Y438" s="138">
        <f>IF(OR($L$231&lt;=0,$C$17&lt;=0,A438&lt;$C$13,MIN(MAX((A438-$C$13+1)*12,0),$C$17*12)&gt;=$C$17*12),0,IF($C$16=0,MAX(MAX($L$231*(1-$C$15),0)-(IF($C$17&lt;=0,0,IF($C$16=0,MAX($L$231*(1-$C$15),0)/$C$17,-PMT($C$16/12,$C$17*12,MAX($L$231*(1-$C$15),0))*12))/12)*MIN(MAX((A438-$C$13+1)*12,0),$C$17*12),0),MAX(MAX($L$231*(1-$C$15),0)*(1+$C$16/12)^MIN(MAX((A438-$C$13+1)*12,0),$C$17*12)-(IF($C$17&lt;=0,0,IF($C$16=0,MAX($L$231*(1-$C$15),0)/$C$17,-PMT($C$16/12,$C$17*12,MAX($L$231*(1-$C$15),0))*12))/12)*(((1+$C$16/12)^MIN(MAX((A438-$C$13+1)*12,0),$C$17*12)-1)/($C$16/12)),0)))</f>
        <v/>
      </c>
      <c r="Z438" s="138">
        <f>MAX(X438-Y438,0)</f>
        <v/>
      </c>
      <c r="AA438" s="142">
        <f>U438+Z438</f>
        <v/>
      </c>
      <c r="AB438" s="5" t="n"/>
      <c r="AC438" s="5" t="n"/>
      <c r="AD438" s="5" t="n"/>
      <c r="AE438" s="5" t="n"/>
      <c r="AF438" s="5" t="n"/>
      <c r="AG438" s="5" t="n"/>
    </row>
    <row r="439" outlineLevel="1" s="326">
      <c r="A439" s="136" t="n">
        <v>7</v>
      </c>
      <c r="B439" s="72">
        <f>B86</f>
        <v/>
      </c>
      <c r="C439" s="137">
        <f>D86</f>
        <v/>
      </c>
      <c r="D439" s="137">
        <f>I86</f>
        <v/>
      </c>
      <c r="E439" s="137">
        <f>J86</f>
        <v/>
      </c>
      <c r="F439" s="137">
        <f>K86</f>
        <v/>
      </c>
      <c r="G439" s="138">
        <f>IF(AND($L$231&gt;0,A439=$C$13),$L$231*($C$15+$C$18),0)+IF(AND($L$231&gt;0,A439=$C$13),$C$24,0)</f>
        <v/>
      </c>
      <c r="H439" s="138">
        <f>IF(OR($L$231&lt;=0,A439&lt;$C$13),0,IF(AND($L$231&gt;0,$C$17&gt;0,A439&gt;=$C$13,A439&lt;($C$13+$C$17)),IF($C$17&lt;=0,0,IF($C$16=0,MAX($L$231*(1-$C$15),0)/$C$17,-PMT($C$16/12,$C$17*12,MAX($L$231*(1-$C$15),0))*12)),0)+X439*($C$19+$C$20+$C$21)+$C$22+$C$23)</f>
        <v/>
      </c>
      <c r="I439" s="138">
        <f>IF(B439="Working",MIN(MAX(D439-E439-F439-G439-H439,0),'Tax Assumptions'!$B$20),0)</f>
        <v/>
      </c>
      <c r="J439" s="138">
        <f>IF(B439="Working",D439-E439-F439-I439-G439-H439,-L439)</f>
        <v/>
      </c>
      <c r="K439" s="137">
        <f>IF(B439="Retired",$N$231+G439+H439,0)</f>
        <v/>
      </c>
      <c r="L439" s="137">
        <f>M439+N439+O439+P439</f>
        <v/>
      </c>
      <c r="M439" s="137">
        <f>IF(B439="Retired",MIN(((Q438)*(1+$C$10)+IF(B439="Working",J439,0)),K439),0)</f>
        <v/>
      </c>
      <c r="N439" s="137">
        <f>IF(B439="Retired",MIN(MAX(K439-M439,0),((R438)*(1+$C$10)+IF(B439="Working",E86,0))),0)</f>
        <v/>
      </c>
      <c r="O439" s="137">
        <f>IF(B439="Retired",MIN(MAX(K439-M439-N439,0),((S438)*(1+$C$10)+IF(B439="Working",I439,0))),0)</f>
        <v/>
      </c>
      <c r="P439" s="137">
        <f>IF(B439="Retired",MIN(MAX(K439-M439-N439-O439,0),((T438)*(1+$C$10)+IF(B439="Working",F86,0))),0)</f>
        <v/>
      </c>
      <c r="Q439" s="138">
        <f>MAX(((Q438)*(1+$C$10)+IF(B439="Working",J439,0))-M439,0)</f>
        <v/>
      </c>
      <c r="R439" s="138">
        <f>MAX(((R438)*(1+$C$10)+IF(B439="Working",E86,0))-N439,0)</f>
        <v/>
      </c>
      <c r="S439" s="138">
        <f>MAX(((S438)*(1+$C$10)+IF(B439="Working",I439,0))-O439,0)</f>
        <v/>
      </c>
      <c r="T439" s="138">
        <f>MAX(((T438)*(1+$C$10)+IF(B439="Working",F86,0))-P439,0)</f>
        <v/>
      </c>
      <c r="U439" s="138">
        <f>Q439+R439+S439+T439</f>
        <v/>
      </c>
      <c r="V439" s="138">
        <f>IF(B439="Working",MAX(-(((Q438)*(1+$C$10)+IF(B439="Working",J439,0))),0),MAX(K439-L439,0))</f>
        <v/>
      </c>
      <c r="W439" s="138">
        <f>IF(OR(A439&gt;=$C$13,B439="Retired"),IF(V439&gt;0,-V439,U439-'Model Inputs'!$B$18),"")</f>
        <v/>
      </c>
      <c r="X439" s="138">
        <f>IF(AND($L$231&gt;0,A439&gt;=$C$13),$L$231*(1+$C$25)^(A439-$C$13),0)</f>
        <v/>
      </c>
      <c r="Y439" s="138">
        <f>IF(OR($L$231&lt;=0,$C$17&lt;=0,A439&lt;$C$13,MIN(MAX((A439-$C$13+1)*12,0),$C$17*12)&gt;=$C$17*12),0,IF($C$16=0,MAX(MAX($L$231*(1-$C$15),0)-(IF($C$17&lt;=0,0,IF($C$16=0,MAX($L$231*(1-$C$15),0)/$C$17,-PMT($C$16/12,$C$17*12,MAX($L$231*(1-$C$15),0))*12))/12)*MIN(MAX((A439-$C$13+1)*12,0),$C$17*12),0),MAX(MAX($L$231*(1-$C$15),0)*(1+$C$16/12)^MIN(MAX((A439-$C$13+1)*12,0),$C$17*12)-(IF($C$17&lt;=0,0,IF($C$16=0,MAX($L$231*(1-$C$15),0)/$C$17,-PMT($C$16/12,$C$17*12,MAX($L$231*(1-$C$15),0))*12))/12)*(((1+$C$16/12)^MIN(MAX((A439-$C$13+1)*12,0),$C$17*12)-1)/($C$16/12)),0)))</f>
        <v/>
      </c>
      <c r="Z439" s="138">
        <f>MAX(X439-Y439,0)</f>
        <v/>
      </c>
      <c r="AA439" s="139">
        <f>U439+Z439</f>
        <v/>
      </c>
      <c r="AB439" s="5" t="n"/>
      <c r="AC439" s="5" t="n"/>
      <c r="AD439" s="5" t="n"/>
      <c r="AE439" s="5" t="n"/>
      <c r="AF439" s="5" t="n"/>
      <c r="AG439" s="5" t="n"/>
    </row>
    <row r="440" outlineLevel="1" s="326">
      <c r="A440" s="140" t="n">
        <v>8</v>
      </c>
      <c r="B440" s="40">
        <f>B87</f>
        <v/>
      </c>
      <c r="C440" s="141">
        <f>D87</f>
        <v/>
      </c>
      <c r="D440" s="141">
        <f>I87</f>
        <v/>
      </c>
      <c r="E440" s="141">
        <f>J87</f>
        <v/>
      </c>
      <c r="F440" s="141">
        <f>K87</f>
        <v/>
      </c>
      <c r="G440" s="138">
        <f>IF(AND($L$231&gt;0,A440=$C$13),$L$231*($C$15+$C$18),0)+IF(AND($L$231&gt;0,A440=$C$13),$C$24,0)</f>
        <v/>
      </c>
      <c r="H440" s="138">
        <f>IF(OR($L$231&lt;=0,A440&lt;$C$13),0,IF(AND($L$231&gt;0,$C$17&gt;0,A440&gt;=$C$13,A440&lt;($C$13+$C$17)),IF($C$17&lt;=0,0,IF($C$16=0,MAX($L$231*(1-$C$15),0)/$C$17,-PMT($C$16/12,$C$17*12,MAX($L$231*(1-$C$15),0))*12)),0)+X440*($C$19+$C$20+$C$21)+$C$22+$C$23)</f>
        <v/>
      </c>
      <c r="I440" s="138">
        <f>IF(B440="Working",MIN(MAX(D440-E440-F440-G440-H440,0),'Tax Assumptions'!$B$20),0)</f>
        <v/>
      </c>
      <c r="J440" s="138">
        <f>IF(B440="Working",D440-E440-F440-I440-G440-H440,-L440)</f>
        <v/>
      </c>
      <c r="K440" s="141">
        <f>IF(B440="Retired",$N$231+G440+H440,0)</f>
        <v/>
      </c>
      <c r="L440" s="141">
        <f>M440+N440+O440+P440</f>
        <v/>
      </c>
      <c r="M440" s="141">
        <f>IF(B440="Retired",MIN(((Q439)*(1+$C$10)+IF(B440="Working",J440,0)),K440),0)</f>
        <v/>
      </c>
      <c r="N440" s="141">
        <f>IF(B440="Retired",MIN(MAX(K440-M440,0),((R439)*(1+$C$10)+IF(B440="Working",E87,0))),0)</f>
        <v/>
      </c>
      <c r="O440" s="141">
        <f>IF(B440="Retired",MIN(MAX(K440-M440-N440,0),((S439)*(1+$C$10)+IF(B440="Working",I440,0))),0)</f>
        <v/>
      </c>
      <c r="P440" s="141">
        <f>IF(B440="Retired",MIN(MAX(K440-M440-N440-O440,0),((T439)*(1+$C$10)+IF(B440="Working",F87,0))),0)</f>
        <v/>
      </c>
      <c r="Q440" s="138">
        <f>MAX(((Q439)*(1+$C$10)+IF(B440="Working",J440,0))-M440,0)</f>
        <v/>
      </c>
      <c r="R440" s="138">
        <f>MAX(((R439)*(1+$C$10)+IF(B440="Working",E87,0))-N440,0)</f>
        <v/>
      </c>
      <c r="S440" s="138">
        <f>MAX(((S439)*(1+$C$10)+IF(B440="Working",I440,0))-O440,0)</f>
        <v/>
      </c>
      <c r="T440" s="138">
        <f>MAX(((T439)*(1+$C$10)+IF(B440="Working",F87,0))-P440,0)</f>
        <v/>
      </c>
      <c r="U440" s="138">
        <f>Q440+R440+S440+T440</f>
        <v/>
      </c>
      <c r="V440" s="138">
        <f>IF(B440="Working",MAX(-(((Q439)*(1+$C$10)+IF(B440="Working",J440,0))),0),MAX(K440-L440,0))</f>
        <v/>
      </c>
      <c r="W440" s="138">
        <f>IF(OR(A440&gt;=$C$13,B440="Retired"),IF(V440&gt;0,-V440,U440-'Model Inputs'!$B$18),"")</f>
        <v/>
      </c>
      <c r="X440" s="138">
        <f>IF(AND($L$231&gt;0,A440&gt;=$C$13),$L$231*(1+$C$25)^(A440-$C$13),0)</f>
        <v/>
      </c>
      <c r="Y440" s="138">
        <f>IF(OR($L$231&lt;=0,$C$17&lt;=0,A440&lt;$C$13,MIN(MAX((A440-$C$13+1)*12,0),$C$17*12)&gt;=$C$17*12),0,IF($C$16=0,MAX(MAX($L$231*(1-$C$15),0)-(IF($C$17&lt;=0,0,IF($C$16=0,MAX($L$231*(1-$C$15),0)/$C$17,-PMT($C$16/12,$C$17*12,MAX($L$231*(1-$C$15),0))*12))/12)*MIN(MAX((A440-$C$13+1)*12,0),$C$17*12),0),MAX(MAX($L$231*(1-$C$15),0)*(1+$C$16/12)^MIN(MAX((A440-$C$13+1)*12,0),$C$17*12)-(IF($C$17&lt;=0,0,IF($C$16=0,MAX($L$231*(1-$C$15),0)/$C$17,-PMT($C$16/12,$C$17*12,MAX($L$231*(1-$C$15),0))*12))/12)*(((1+$C$16/12)^MIN(MAX((A440-$C$13+1)*12,0),$C$17*12)-1)/($C$16/12)),0)))</f>
        <v/>
      </c>
      <c r="Z440" s="138">
        <f>MAX(X440-Y440,0)</f>
        <v/>
      </c>
      <c r="AA440" s="142">
        <f>U440+Z440</f>
        <v/>
      </c>
      <c r="AB440" s="5" t="n"/>
      <c r="AC440" s="5" t="n"/>
      <c r="AD440" s="5" t="n"/>
      <c r="AE440" s="5" t="n"/>
      <c r="AF440" s="5" t="n"/>
      <c r="AG440" s="5" t="n"/>
    </row>
    <row r="441" outlineLevel="1" s="326">
      <c r="A441" s="136" t="n">
        <v>9</v>
      </c>
      <c r="B441" s="72">
        <f>B88</f>
        <v/>
      </c>
      <c r="C441" s="137">
        <f>D88</f>
        <v/>
      </c>
      <c r="D441" s="137">
        <f>I88</f>
        <v/>
      </c>
      <c r="E441" s="137">
        <f>J88</f>
        <v/>
      </c>
      <c r="F441" s="137">
        <f>K88</f>
        <v/>
      </c>
      <c r="G441" s="138">
        <f>IF(AND($L$231&gt;0,A441=$C$13),$L$231*($C$15+$C$18),0)+IF(AND($L$231&gt;0,A441=$C$13),$C$24,0)</f>
        <v/>
      </c>
      <c r="H441" s="138">
        <f>IF(OR($L$231&lt;=0,A441&lt;$C$13),0,IF(AND($L$231&gt;0,$C$17&gt;0,A441&gt;=$C$13,A441&lt;($C$13+$C$17)),IF($C$17&lt;=0,0,IF($C$16=0,MAX($L$231*(1-$C$15),0)/$C$17,-PMT($C$16/12,$C$17*12,MAX($L$231*(1-$C$15),0))*12)),0)+X441*($C$19+$C$20+$C$21)+$C$22+$C$23)</f>
        <v/>
      </c>
      <c r="I441" s="138">
        <f>IF(B441="Working",MIN(MAX(D441-E441-F441-G441-H441,0),'Tax Assumptions'!$B$20),0)</f>
        <v/>
      </c>
      <c r="J441" s="138">
        <f>IF(B441="Working",D441-E441-F441-I441-G441-H441,-L441)</f>
        <v/>
      </c>
      <c r="K441" s="137">
        <f>IF(B441="Retired",$N$231+G441+H441,0)</f>
        <v/>
      </c>
      <c r="L441" s="137">
        <f>M441+N441+O441+P441</f>
        <v/>
      </c>
      <c r="M441" s="137">
        <f>IF(B441="Retired",MIN(((Q440)*(1+$C$10)+IF(B441="Working",J441,0)),K441),0)</f>
        <v/>
      </c>
      <c r="N441" s="137">
        <f>IF(B441="Retired",MIN(MAX(K441-M441,0),((R440)*(1+$C$10)+IF(B441="Working",E88,0))),0)</f>
        <v/>
      </c>
      <c r="O441" s="137">
        <f>IF(B441="Retired",MIN(MAX(K441-M441-N441,0),((S440)*(1+$C$10)+IF(B441="Working",I441,0))),0)</f>
        <v/>
      </c>
      <c r="P441" s="137">
        <f>IF(B441="Retired",MIN(MAX(K441-M441-N441-O441,0),((T440)*(1+$C$10)+IF(B441="Working",F88,0))),0)</f>
        <v/>
      </c>
      <c r="Q441" s="138">
        <f>MAX(((Q440)*(1+$C$10)+IF(B441="Working",J441,0))-M441,0)</f>
        <v/>
      </c>
      <c r="R441" s="138">
        <f>MAX(((R440)*(1+$C$10)+IF(B441="Working",E88,0))-N441,0)</f>
        <v/>
      </c>
      <c r="S441" s="138">
        <f>MAX(((S440)*(1+$C$10)+IF(B441="Working",I441,0))-O441,0)</f>
        <v/>
      </c>
      <c r="T441" s="138">
        <f>MAX(((T440)*(1+$C$10)+IF(B441="Working",F88,0))-P441,0)</f>
        <v/>
      </c>
      <c r="U441" s="138">
        <f>Q441+R441+S441+T441</f>
        <v/>
      </c>
      <c r="V441" s="138">
        <f>IF(B441="Working",MAX(-(((Q440)*(1+$C$10)+IF(B441="Working",J441,0))),0),MAX(K441-L441,0))</f>
        <v/>
      </c>
      <c r="W441" s="138">
        <f>IF(OR(A441&gt;=$C$13,B441="Retired"),IF(V441&gt;0,-V441,U441-'Model Inputs'!$B$18),"")</f>
        <v/>
      </c>
      <c r="X441" s="138">
        <f>IF(AND($L$231&gt;0,A441&gt;=$C$13),$L$231*(1+$C$25)^(A441-$C$13),0)</f>
        <v/>
      </c>
      <c r="Y441" s="138">
        <f>IF(OR($L$231&lt;=0,$C$17&lt;=0,A441&lt;$C$13,MIN(MAX((A441-$C$13+1)*12,0),$C$17*12)&gt;=$C$17*12),0,IF($C$16=0,MAX(MAX($L$231*(1-$C$15),0)-(IF($C$17&lt;=0,0,IF($C$16=0,MAX($L$231*(1-$C$15),0)/$C$17,-PMT($C$16/12,$C$17*12,MAX($L$231*(1-$C$15),0))*12))/12)*MIN(MAX((A441-$C$13+1)*12,0),$C$17*12),0),MAX(MAX($L$231*(1-$C$15),0)*(1+$C$16/12)^MIN(MAX((A441-$C$13+1)*12,0),$C$17*12)-(IF($C$17&lt;=0,0,IF($C$16=0,MAX($L$231*(1-$C$15),0)/$C$17,-PMT($C$16/12,$C$17*12,MAX($L$231*(1-$C$15),0))*12))/12)*(((1+$C$16/12)^MIN(MAX((A441-$C$13+1)*12,0),$C$17*12)-1)/($C$16/12)),0)))</f>
        <v/>
      </c>
      <c r="Z441" s="138">
        <f>MAX(X441-Y441,0)</f>
        <v/>
      </c>
      <c r="AA441" s="139">
        <f>U441+Z441</f>
        <v/>
      </c>
      <c r="AB441" s="5" t="n"/>
      <c r="AC441" s="5" t="n"/>
      <c r="AD441" s="5" t="n"/>
      <c r="AE441" s="5" t="n"/>
      <c r="AF441" s="5" t="n"/>
      <c r="AG441" s="5" t="n"/>
    </row>
    <row r="442" outlineLevel="1" s="326">
      <c r="A442" s="140" t="n">
        <v>10</v>
      </c>
      <c r="B442" s="40">
        <f>B89</f>
        <v/>
      </c>
      <c r="C442" s="141">
        <f>D89</f>
        <v/>
      </c>
      <c r="D442" s="141">
        <f>I89</f>
        <v/>
      </c>
      <c r="E442" s="141">
        <f>J89</f>
        <v/>
      </c>
      <c r="F442" s="141">
        <f>K89</f>
        <v/>
      </c>
      <c r="G442" s="138">
        <f>IF(AND($L$231&gt;0,A442=$C$13),$L$231*($C$15+$C$18),0)+IF(AND($L$231&gt;0,A442=$C$13),$C$24,0)</f>
        <v/>
      </c>
      <c r="H442" s="138">
        <f>IF(OR($L$231&lt;=0,A442&lt;$C$13),0,IF(AND($L$231&gt;0,$C$17&gt;0,A442&gt;=$C$13,A442&lt;($C$13+$C$17)),IF($C$17&lt;=0,0,IF($C$16=0,MAX($L$231*(1-$C$15),0)/$C$17,-PMT($C$16/12,$C$17*12,MAX($L$231*(1-$C$15),0))*12)),0)+X442*($C$19+$C$20+$C$21)+$C$22+$C$23)</f>
        <v/>
      </c>
      <c r="I442" s="138">
        <f>IF(B442="Working",MIN(MAX(D442-E442-F442-G442-H442,0),'Tax Assumptions'!$B$20),0)</f>
        <v/>
      </c>
      <c r="J442" s="138">
        <f>IF(B442="Working",D442-E442-F442-I442-G442-H442,-L442)</f>
        <v/>
      </c>
      <c r="K442" s="141">
        <f>IF(B442="Retired",$N$231+G442+H442,0)</f>
        <v/>
      </c>
      <c r="L442" s="141">
        <f>M442+N442+O442+P442</f>
        <v/>
      </c>
      <c r="M442" s="141">
        <f>IF(B442="Retired",MIN(((Q441)*(1+$C$10)+IF(B442="Working",J442,0)),K442),0)</f>
        <v/>
      </c>
      <c r="N442" s="141">
        <f>IF(B442="Retired",MIN(MAX(K442-M442,0),((R441)*(1+$C$10)+IF(B442="Working",E89,0))),0)</f>
        <v/>
      </c>
      <c r="O442" s="141">
        <f>IF(B442="Retired",MIN(MAX(K442-M442-N442,0),((S441)*(1+$C$10)+IF(B442="Working",I442,0))),0)</f>
        <v/>
      </c>
      <c r="P442" s="141">
        <f>IF(B442="Retired",MIN(MAX(K442-M442-N442-O442,0),((T441)*(1+$C$10)+IF(B442="Working",F89,0))),0)</f>
        <v/>
      </c>
      <c r="Q442" s="138">
        <f>MAX(((Q441)*(1+$C$10)+IF(B442="Working",J442,0))-M442,0)</f>
        <v/>
      </c>
      <c r="R442" s="138">
        <f>MAX(((R441)*(1+$C$10)+IF(B442="Working",E89,0))-N442,0)</f>
        <v/>
      </c>
      <c r="S442" s="138">
        <f>MAX(((S441)*(1+$C$10)+IF(B442="Working",I442,0))-O442,0)</f>
        <v/>
      </c>
      <c r="T442" s="138">
        <f>MAX(((T441)*(1+$C$10)+IF(B442="Working",F89,0))-P442,0)</f>
        <v/>
      </c>
      <c r="U442" s="138">
        <f>Q442+R442+S442+T442</f>
        <v/>
      </c>
      <c r="V442" s="138">
        <f>IF(B442="Working",MAX(-(((Q441)*(1+$C$10)+IF(B442="Working",J442,0))),0),MAX(K442-L442,0))</f>
        <v/>
      </c>
      <c r="W442" s="138">
        <f>IF(OR(A442&gt;=$C$13,B442="Retired"),IF(V442&gt;0,-V442,U442-'Model Inputs'!$B$18),"")</f>
        <v/>
      </c>
      <c r="X442" s="138">
        <f>IF(AND($L$231&gt;0,A442&gt;=$C$13),$L$231*(1+$C$25)^(A442-$C$13),0)</f>
        <v/>
      </c>
      <c r="Y442" s="138">
        <f>IF(OR($L$231&lt;=0,$C$17&lt;=0,A442&lt;$C$13,MIN(MAX((A442-$C$13+1)*12,0),$C$17*12)&gt;=$C$17*12),0,IF($C$16=0,MAX(MAX($L$231*(1-$C$15),0)-(IF($C$17&lt;=0,0,IF($C$16=0,MAX($L$231*(1-$C$15),0)/$C$17,-PMT($C$16/12,$C$17*12,MAX($L$231*(1-$C$15),0))*12))/12)*MIN(MAX((A442-$C$13+1)*12,0),$C$17*12),0),MAX(MAX($L$231*(1-$C$15),0)*(1+$C$16/12)^MIN(MAX((A442-$C$13+1)*12,0),$C$17*12)-(IF($C$17&lt;=0,0,IF($C$16=0,MAX($L$231*(1-$C$15),0)/$C$17,-PMT($C$16/12,$C$17*12,MAX($L$231*(1-$C$15),0))*12))/12)*(((1+$C$16/12)^MIN(MAX((A442-$C$13+1)*12,0),$C$17*12)-1)/($C$16/12)),0)))</f>
        <v/>
      </c>
      <c r="Z442" s="138">
        <f>MAX(X442-Y442,0)</f>
        <v/>
      </c>
      <c r="AA442" s="142">
        <f>U442+Z442</f>
        <v/>
      </c>
      <c r="AB442" s="5" t="n"/>
      <c r="AC442" s="5" t="n"/>
      <c r="AD442" s="5" t="n"/>
      <c r="AE442" s="5" t="n"/>
      <c r="AF442" s="5" t="n"/>
      <c r="AG442" s="5" t="n"/>
    </row>
    <row r="443" outlineLevel="1" s="326">
      <c r="A443" s="136" t="n">
        <v>11</v>
      </c>
      <c r="B443" s="72">
        <f>B90</f>
        <v/>
      </c>
      <c r="C443" s="137">
        <f>D90</f>
        <v/>
      </c>
      <c r="D443" s="137">
        <f>I90</f>
        <v/>
      </c>
      <c r="E443" s="137">
        <f>J90</f>
        <v/>
      </c>
      <c r="F443" s="137">
        <f>K90</f>
        <v/>
      </c>
      <c r="G443" s="138">
        <f>IF(AND($L$231&gt;0,A443=$C$13),$L$231*($C$15+$C$18),0)+IF(AND($L$231&gt;0,A443=$C$13),$C$24,0)</f>
        <v/>
      </c>
      <c r="H443" s="138">
        <f>IF(OR($L$231&lt;=0,A443&lt;$C$13),0,IF(AND($L$231&gt;0,$C$17&gt;0,A443&gt;=$C$13,A443&lt;($C$13+$C$17)),IF($C$17&lt;=0,0,IF($C$16=0,MAX($L$231*(1-$C$15),0)/$C$17,-PMT($C$16/12,$C$17*12,MAX($L$231*(1-$C$15),0))*12)),0)+X443*($C$19+$C$20+$C$21)+$C$22+$C$23)</f>
        <v/>
      </c>
      <c r="I443" s="138">
        <f>IF(B443="Working",MIN(MAX(D443-E443-F443-G443-H443,0),'Tax Assumptions'!$B$20),0)</f>
        <v/>
      </c>
      <c r="J443" s="138">
        <f>IF(B443="Working",D443-E443-F443-I443-G443-H443,-L443)</f>
        <v/>
      </c>
      <c r="K443" s="137">
        <f>IF(B443="Retired",$N$231+G443+H443,0)</f>
        <v/>
      </c>
      <c r="L443" s="137">
        <f>M443+N443+O443+P443</f>
        <v/>
      </c>
      <c r="M443" s="137">
        <f>IF(B443="Retired",MIN(((Q442)*(1+$C$10)+IF(B443="Working",J443,0)),K443),0)</f>
        <v/>
      </c>
      <c r="N443" s="137">
        <f>IF(B443="Retired",MIN(MAX(K443-M443,0),((R442)*(1+$C$10)+IF(B443="Working",E90,0))),0)</f>
        <v/>
      </c>
      <c r="O443" s="137">
        <f>IF(B443="Retired",MIN(MAX(K443-M443-N443,0),((S442)*(1+$C$10)+IF(B443="Working",I443,0))),0)</f>
        <v/>
      </c>
      <c r="P443" s="137">
        <f>IF(B443="Retired",MIN(MAX(K443-M443-N443-O443,0),((T442)*(1+$C$10)+IF(B443="Working",F90,0))),0)</f>
        <v/>
      </c>
      <c r="Q443" s="138">
        <f>MAX(((Q442)*(1+$C$10)+IF(B443="Working",J443,0))-M443,0)</f>
        <v/>
      </c>
      <c r="R443" s="138">
        <f>MAX(((R442)*(1+$C$10)+IF(B443="Working",E90,0))-N443,0)</f>
        <v/>
      </c>
      <c r="S443" s="138">
        <f>MAX(((S442)*(1+$C$10)+IF(B443="Working",I443,0))-O443,0)</f>
        <v/>
      </c>
      <c r="T443" s="138">
        <f>MAX(((T442)*(1+$C$10)+IF(B443="Working",F90,0))-P443,0)</f>
        <v/>
      </c>
      <c r="U443" s="138">
        <f>Q443+R443+S443+T443</f>
        <v/>
      </c>
      <c r="V443" s="138">
        <f>IF(B443="Working",MAX(-(((Q442)*(1+$C$10)+IF(B443="Working",J443,0))),0),MAX(K443-L443,0))</f>
        <v/>
      </c>
      <c r="W443" s="138">
        <f>IF(OR(A443&gt;=$C$13,B443="Retired"),IF(V443&gt;0,-V443,U443-'Model Inputs'!$B$18),"")</f>
        <v/>
      </c>
      <c r="X443" s="138">
        <f>IF(AND($L$231&gt;0,A443&gt;=$C$13),$L$231*(1+$C$25)^(A443-$C$13),0)</f>
        <v/>
      </c>
      <c r="Y443" s="138">
        <f>IF(OR($L$231&lt;=0,$C$17&lt;=0,A443&lt;$C$13,MIN(MAX((A443-$C$13+1)*12,0),$C$17*12)&gt;=$C$17*12),0,IF($C$16=0,MAX(MAX($L$231*(1-$C$15),0)-(IF($C$17&lt;=0,0,IF($C$16=0,MAX($L$231*(1-$C$15),0)/$C$17,-PMT($C$16/12,$C$17*12,MAX($L$231*(1-$C$15),0))*12))/12)*MIN(MAX((A443-$C$13+1)*12,0),$C$17*12),0),MAX(MAX($L$231*(1-$C$15),0)*(1+$C$16/12)^MIN(MAX((A443-$C$13+1)*12,0),$C$17*12)-(IF($C$17&lt;=0,0,IF($C$16=0,MAX($L$231*(1-$C$15),0)/$C$17,-PMT($C$16/12,$C$17*12,MAX($L$231*(1-$C$15),0))*12))/12)*(((1+$C$16/12)^MIN(MAX((A443-$C$13+1)*12,0),$C$17*12)-1)/($C$16/12)),0)))</f>
        <v/>
      </c>
      <c r="Z443" s="138">
        <f>MAX(X443-Y443,0)</f>
        <v/>
      </c>
      <c r="AA443" s="139">
        <f>U443+Z443</f>
        <v/>
      </c>
      <c r="AB443" s="5" t="n"/>
      <c r="AC443" s="5" t="n"/>
      <c r="AD443" s="5" t="n"/>
      <c r="AE443" s="5" t="n"/>
      <c r="AF443" s="5" t="n"/>
      <c r="AG443" s="5" t="n"/>
    </row>
    <row r="444" outlineLevel="1" s="326">
      <c r="A444" s="140" t="n">
        <v>12</v>
      </c>
      <c r="B444" s="40">
        <f>B91</f>
        <v/>
      </c>
      <c r="C444" s="141">
        <f>D91</f>
        <v/>
      </c>
      <c r="D444" s="141">
        <f>I91</f>
        <v/>
      </c>
      <c r="E444" s="141">
        <f>J91</f>
        <v/>
      </c>
      <c r="F444" s="141">
        <f>K91</f>
        <v/>
      </c>
      <c r="G444" s="138">
        <f>IF(AND($L$231&gt;0,A444=$C$13),$L$231*($C$15+$C$18),0)+IF(AND($L$231&gt;0,A444=$C$13),$C$24,0)</f>
        <v/>
      </c>
      <c r="H444" s="138">
        <f>IF(OR($L$231&lt;=0,A444&lt;$C$13),0,IF(AND($L$231&gt;0,$C$17&gt;0,A444&gt;=$C$13,A444&lt;($C$13+$C$17)),IF($C$17&lt;=0,0,IF($C$16=0,MAX($L$231*(1-$C$15),0)/$C$17,-PMT($C$16/12,$C$17*12,MAX($L$231*(1-$C$15),0))*12)),0)+X444*($C$19+$C$20+$C$21)+$C$22+$C$23)</f>
        <v/>
      </c>
      <c r="I444" s="138">
        <f>IF(B444="Working",MIN(MAX(D444-E444-F444-G444-H444,0),'Tax Assumptions'!$B$20),0)</f>
        <v/>
      </c>
      <c r="J444" s="138">
        <f>IF(B444="Working",D444-E444-F444-I444-G444-H444,-L444)</f>
        <v/>
      </c>
      <c r="K444" s="141">
        <f>IF(B444="Retired",$N$231+G444+H444,0)</f>
        <v/>
      </c>
      <c r="L444" s="141">
        <f>M444+N444+O444+P444</f>
        <v/>
      </c>
      <c r="M444" s="141">
        <f>IF(B444="Retired",MIN(((Q443)*(1+$C$10)+IF(B444="Working",J444,0)),K444),0)</f>
        <v/>
      </c>
      <c r="N444" s="141">
        <f>IF(B444="Retired",MIN(MAX(K444-M444,0),((R443)*(1+$C$10)+IF(B444="Working",E91,0))),0)</f>
        <v/>
      </c>
      <c r="O444" s="141">
        <f>IF(B444="Retired",MIN(MAX(K444-M444-N444,0),((S443)*(1+$C$10)+IF(B444="Working",I444,0))),0)</f>
        <v/>
      </c>
      <c r="P444" s="141">
        <f>IF(B444="Retired",MIN(MAX(K444-M444-N444-O444,0),((T443)*(1+$C$10)+IF(B444="Working",F91,0))),0)</f>
        <v/>
      </c>
      <c r="Q444" s="138">
        <f>MAX(((Q443)*(1+$C$10)+IF(B444="Working",J444,0))-M444,0)</f>
        <v/>
      </c>
      <c r="R444" s="138">
        <f>MAX(((R443)*(1+$C$10)+IF(B444="Working",E91,0))-N444,0)</f>
        <v/>
      </c>
      <c r="S444" s="138">
        <f>MAX(((S443)*(1+$C$10)+IF(B444="Working",I444,0))-O444,0)</f>
        <v/>
      </c>
      <c r="T444" s="138">
        <f>MAX(((T443)*(1+$C$10)+IF(B444="Working",F91,0))-P444,0)</f>
        <v/>
      </c>
      <c r="U444" s="138">
        <f>Q444+R444+S444+T444</f>
        <v/>
      </c>
      <c r="V444" s="138">
        <f>IF(B444="Working",MAX(-(((Q443)*(1+$C$10)+IF(B444="Working",J444,0))),0),MAX(K444-L444,0))</f>
        <v/>
      </c>
      <c r="W444" s="138">
        <f>IF(OR(A444&gt;=$C$13,B444="Retired"),IF(V444&gt;0,-V444,U444-'Model Inputs'!$B$18),"")</f>
        <v/>
      </c>
      <c r="X444" s="138">
        <f>IF(AND($L$231&gt;0,A444&gt;=$C$13),$L$231*(1+$C$25)^(A444-$C$13),0)</f>
        <v/>
      </c>
      <c r="Y444" s="138">
        <f>IF(OR($L$231&lt;=0,$C$17&lt;=0,A444&lt;$C$13,MIN(MAX((A444-$C$13+1)*12,0),$C$17*12)&gt;=$C$17*12),0,IF($C$16=0,MAX(MAX($L$231*(1-$C$15),0)-(IF($C$17&lt;=0,0,IF($C$16=0,MAX($L$231*(1-$C$15),0)/$C$17,-PMT($C$16/12,$C$17*12,MAX($L$231*(1-$C$15),0))*12))/12)*MIN(MAX((A444-$C$13+1)*12,0),$C$17*12),0),MAX(MAX($L$231*(1-$C$15),0)*(1+$C$16/12)^MIN(MAX((A444-$C$13+1)*12,0),$C$17*12)-(IF($C$17&lt;=0,0,IF($C$16=0,MAX($L$231*(1-$C$15),0)/$C$17,-PMT($C$16/12,$C$17*12,MAX($L$231*(1-$C$15),0))*12))/12)*(((1+$C$16/12)^MIN(MAX((A444-$C$13+1)*12,0),$C$17*12)-1)/($C$16/12)),0)))</f>
        <v/>
      </c>
      <c r="Z444" s="138">
        <f>MAX(X444-Y444,0)</f>
        <v/>
      </c>
      <c r="AA444" s="142">
        <f>U444+Z444</f>
        <v/>
      </c>
      <c r="AB444" s="5" t="n"/>
      <c r="AC444" s="5" t="n"/>
      <c r="AD444" s="5" t="n"/>
      <c r="AE444" s="5" t="n"/>
      <c r="AF444" s="5" t="n"/>
      <c r="AG444" s="5" t="n"/>
    </row>
    <row r="445" outlineLevel="1" s="326">
      <c r="A445" s="136" t="n">
        <v>13</v>
      </c>
      <c r="B445" s="72">
        <f>B92</f>
        <v/>
      </c>
      <c r="C445" s="137">
        <f>D92</f>
        <v/>
      </c>
      <c r="D445" s="137">
        <f>I92</f>
        <v/>
      </c>
      <c r="E445" s="137">
        <f>J92</f>
        <v/>
      </c>
      <c r="F445" s="137">
        <f>K92</f>
        <v/>
      </c>
      <c r="G445" s="138">
        <f>IF(AND($L$231&gt;0,A445=$C$13),$L$231*($C$15+$C$18),0)+IF(AND($L$231&gt;0,A445=$C$13),$C$24,0)</f>
        <v/>
      </c>
      <c r="H445" s="138">
        <f>IF(OR($L$231&lt;=0,A445&lt;$C$13),0,IF(AND($L$231&gt;0,$C$17&gt;0,A445&gt;=$C$13,A445&lt;($C$13+$C$17)),IF($C$17&lt;=0,0,IF($C$16=0,MAX($L$231*(1-$C$15),0)/$C$17,-PMT($C$16/12,$C$17*12,MAX($L$231*(1-$C$15),0))*12)),0)+X445*($C$19+$C$20+$C$21)+$C$22+$C$23)</f>
        <v/>
      </c>
      <c r="I445" s="138">
        <f>IF(B445="Working",MIN(MAX(D445-E445-F445-G445-H445,0),'Tax Assumptions'!$B$20),0)</f>
        <v/>
      </c>
      <c r="J445" s="138">
        <f>IF(B445="Working",D445-E445-F445-I445-G445-H445,-L445)</f>
        <v/>
      </c>
      <c r="K445" s="137">
        <f>IF(B445="Retired",$N$231+G445+H445,0)</f>
        <v/>
      </c>
      <c r="L445" s="137">
        <f>M445+N445+O445+P445</f>
        <v/>
      </c>
      <c r="M445" s="137">
        <f>IF(B445="Retired",MIN(((Q444)*(1+$C$10)+IF(B445="Working",J445,0)),K445),0)</f>
        <v/>
      </c>
      <c r="N445" s="137">
        <f>IF(B445="Retired",MIN(MAX(K445-M445,0),((R444)*(1+$C$10)+IF(B445="Working",E92,0))),0)</f>
        <v/>
      </c>
      <c r="O445" s="137">
        <f>IF(B445="Retired",MIN(MAX(K445-M445-N445,0),((S444)*(1+$C$10)+IF(B445="Working",I445,0))),0)</f>
        <v/>
      </c>
      <c r="P445" s="137">
        <f>IF(B445="Retired",MIN(MAX(K445-M445-N445-O445,0),((T444)*(1+$C$10)+IF(B445="Working",F92,0))),0)</f>
        <v/>
      </c>
      <c r="Q445" s="138">
        <f>MAX(((Q444)*(1+$C$10)+IF(B445="Working",J445,0))-M445,0)</f>
        <v/>
      </c>
      <c r="R445" s="138">
        <f>MAX(((R444)*(1+$C$10)+IF(B445="Working",E92,0))-N445,0)</f>
        <v/>
      </c>
      <c r="S445" s="138">
        <f>MAX(((S444)*(1+$C$10)+IF(B445="Working",I445,0))-O445,0)</f>
        <v/>
      </c>
      <c r="T445" s="138">
        <f>MAX(((T444)*(1+$C$10)+IF(B445="Working",F92,0))-P445,0)</f>
        <v/>
      </c>
      <c r="U445" s="138">
        <f>Q445+R445+S445+T445</f>
        <v/>
      </c>
      <c r="V445" s="138">
        <f>IF(B445="Working",MAX(-(((Q444)*(1+$C$10)+IF(B445="Working",J445,0))),0),MAX(K445-L445,0))</f>
        <v/>
      </c>
      <c r="W445" s="138">
        <f>IF(OR(A445&gt;=$C$13,B445="Retired"),IF(V445&gt;0,-V445,U445-'Model Inputs'!$B$18),"")</f>
        <v/>
      </c>
      <c r="X445" s="138">
        <f>IF(AND($L$231&gt;0,A445&gt;=$C$13),$L$231*(1+$C$25)^(A445-$C$13),0)</f>
        <v/>
      </c>
      <c r="Y445" s="138">
        <f>IF(OR($L$231&lt;=0,$C$17&lt;=0,A445&lt;$C$13,MIN(MAX((A445-$C$13+1)*12,0),$C$17*12)&gt;=$C$17*12),0,IF($C$16=0,MAX(MAX($L$231*(1-$C$15),0)-(IF($C$17&lt;=0,0,IF($C$16=0,MAX($L$231*(1-$C$15),0)/$C$17,-PMT($C$16/12,$C$17*12,MAX($L$231*(1-$C$15),0))*12))/12)*MIN(MAX((A445-$C$13+1)*12,0),$C$17*12),0),MAX(MAX($L$231*(1-$C$15),0)*(1+$C$16/12)^MIN(MAX((A445-$C$13+1)*12,0),$C$17*12)-(IF($C$17&lt;=0,0,IF($C$16=0,MAX($L$231*(1-$C$15),0)/$C$17,-PMT($C$16/12,$C$17*12,MAX($L$231*(1-$C$15),0))*12))/12)*(((1+$C$16/12)^MIN(MAX((A445-$C$13+1)*12,0),$C$17*12)-1)/($C$16/12)),0)))</f>
        <v/>
      </c>
      <c r="Z445" s="138">
        <f>MAX(X445-Y445,0)</f>
        <v/>
      </c>
      <c r="AA445" s="139">
        <f>U445+Z445</f>
        <v/>
      </c>
      <c r="AB445" s="5" t="n"/>
      <c r="AC445" s="5" t="n"/>
      <c r="AD445" s="5" t="n"/>
      <c r="AE445" s="5" t="n"/>
      <c r="AF445" s="5" t="n"/>
      <c r="AG445" s="5" t="n"/>
    </row>
    <row r="446" outlineLevel="1" s="326">
      <c r="A446" s="140" t="n">
        <v>14</v>
      </c>
      <c r="B446" s="40">
        <f>B93</f>
        <v/>
      </c>
      <c r="C446" s="141">
        <f>D93</f>
        <v/>
      </c>
      <c r="D446" s="141">
        <f>I93</f>
        <v/>
      </c>
      <c r="E446" s="141">
        <f>J93</f>
        <v/>
      </c>
      <c r="F446" s="141">
        <f>K93</f>
        <v/>
      </c>
      <c r="G446" s="138">
        <f>IF(AND($L$231&gt;0,A446=$C$13),$L$231*($C$15+$C$18),0)+IF(AND($L$231&gt;0,A446=$C$13),$C$24,0)</f>
        <v/>
      </c>
      <c r="H446" s="138">
        <f>IF(OR($L$231&lt;=0,A446&lt;$C$13),0,IF(AND($L$231&gt;0,$C$17&gt;0,A446&gt;=$C$13,A446&lt;($C$13+$C$17)),IF($C$17&lt;=0,0,IF($C$16=0,MAX($L$231*(1-$C$15),0)/$C$17,-PMT($C$16/12,$C$17*12,MAX($L$231*(1-$C$15),0))*12)),0)+X446*($C$19+$C$20+$C$21)+$C$22+$C$23)</f>
        <v/>
      </c>
      <c r="I446" s="138">
        <f>IF(B446="Working",MIN(MAX(D446-E446-F446-G446-H446,0),'Tax Assumptions'!$B$20),0)</f>
        <v/>
      </c>
      <c r="J446" s="138">
        <f>IF(B446="Working",D446-E446-F446-I446-G446-H446,-L446)</f>
        <v/>
      </c>
      <c r="K446" s="141">
        <f>IF(B446="Retired",$N$231+G446+H446,0)</f>
        <v/>
      </c>
      <c r="L446" s="141">
        <f>M446+N446+O446+P446</f>
        <v/>
      </c>
      <c r="M446" s="141">
        <f>IF(B446="Retired",MIN(((Q445)*(1+$C$10)+IF(B446="Working",J446,0)),K446),0)</f>
        <v/>
      </c>
      <c r="N446" s="141">
        <f>IF(B446="Retired",MIN(MAX(K446-M446,0),((R445)*(1+$C$10)+IF(B446="Working",E93,0))),0)</f>
        <v/>
      </c>
      <c r="O446" s="141">
        <f>IF(B446="Retired",MIN(MAX(K446-M446-N446,0),((S445)*(1+$C$10)+IF(B446="Working",I446,0))),0)</f>
        <v/>
      </c>
      <c r="P446" s="141">
        <f>IF(B446="Retired",MIN(MAX(K446-M446-N446-O446,0),((T445)*(1+$C$10)+IF(B446="Working",F93,0))),0)</f>
        <v/>
      </c>
      <c r="Q446" s="138">
        <f>MAX(((Q445)*(1+$C$10)+IF(B446="Working",J446,0))-M446,0)</f>
        <v/>
      </c>
      <c r="R446" s="138">
        <f>MAX(((R445)*(1+$C$10)+IF(B446="Working",E93,0))-N446,0)</f>
        <v/>
      </c>
      <c r="S446" s="138">
        <f>MAX(((S445)*(1+$C$10)+IF(B446="Working",I446,0))-O446,0)</f>
        <v/>
      </c>
      <c r="T446" s="138">
        <f>MAX(((T445)*(1+$C$10)+IF(B446="Working",F93,0))-P446,0)</f>
        <v/>
      </c>
      <c r="U446" s="138">
        <f>Q446+R446+S446+T446</f>
        <v/>
      </c>
      <c r="V446" s="138">
        <f>IF(B446="Working",MAX(-(((Q445)*(1+$C$10)+IF(B446="Working",J446,0))),0),MAX(K446-L446,0))</f>
        <v/>
      </c>
      <c r="W446" s="138">
        <f>IF(OR(A446&gt;=$C$13,B446="Retired"),IF(V446&gt;0,-V446,U446-'Model Inputs'!$B$18),"")</f>
        <v/>
      </c>
      <c r="X446" s="138">
        <f>IF(AND($L$231&gt;0,A446&gt;=$C$13),$L$231*(1+$C$25)^(A446-$C$13),0)</f>
        <v/>
      </c>
      <c r="Y446" s="138">
        <f>IF(OR($L$231&lt;=0,$C$17&lt;=0,A446&lt;$C$13,MIN(MAX((A446-$C$13+1)*12,0),$C$17*12)&gt;=$C$17*12),0,IF($C$16=0,MAX(MAX($L$231*(1-$C$15),0)-(IF($C$17&lt;=0,0,IF($C$16=0,MAX($L$231*(1-$C$15),0)/$C$17,-PMT($C$16/12,$C$17*12,MAX($L$231*(1-$C$15),0))*12))/12)*MIN(MAX((A446-$C$13+1)*12,0),$C$17*12),0),MAX(MAX($L$231*(1-$C$15),0)*(1+$C$16/12)^MIN(MAX((A446-$C$13+1)*12,0),$C$17*12)-(IF($C$17&lt;=0,0,IF($C$16=0,MAX($L$231*(1-$C$15),0)/$C$17,-PMT($C$16/12,$C$17*12,MAX($L$231*(1-$C$15),0))*12))/12)*(((1+$C$16/12)^MIN(MAX((A446-$C$13+1)*12,0),$C$17*12)-1)/($C$16/12)),0)))</f>
        <v/>
      </c>
      <c r="Z446" s="138">
        <f>MAX(X446-Y446,0)</f>
        <v/>
      </c>
      <c r="AA446" s="142">
        <f>U446+Z446</f>
        <v/>
      </c>
      <c r="AB446" s="5" t="n"/>
      <c r="AC446" s="5" t="n"/>
      <c r="AD446" s="5" t="n"/>
      <c r="AE446" s="5" t="n"/>
      <c r="AF446" s="5" t="n"/>
      <c r="AG446" s="5" t="n"/>
    </row>
    <row r="447" outlineLevel="1" s="326">
      <c r="A447" s="136" t="n">
        <v>15</v>
      </c>
      <c r="B447" s="72">
        <f>B94</f>
        <v/>
      </c>
      <c r="C447" s="137">
        <f>D94</f>
        <v/>
      </c>
      <c r="D447" s="137">
        <f>I94</f>
        <v/>
      </c>
      <c r="E447" s="137">
        <f>J94</f>
        <v/>
      </c>
      <c r="F447" s="137">
        <f>K94</f>
        <v/>
      </c>
      <c r="G447" s="138">
        <f>IF(AND($L$231&gt;0,A447=$C$13),$L$231*($C$15+$C$18),0)+IF(AND($L$231&gt;0,A447=$C$13),$C$24,0)</f>
        <v/>
      </c>
      <c r="H447" s="138">
        <f>IF(OR($L$231&lt;=0,A447&lt;$C$13),0,IF(AND($L$231&gt;0,$C$17&gt;0,A447&gt;=$C$13,A447&lt;($C$13+$C$17)),IF($C$17&lt;=0,0,IF($C$16=0,MAX($L$231*(1-$C$15),0)/$C$17,-PMT($C$16/12,$C$17*12,MAX($L$231*(1-$C$15),0))*12)),0)+X447*($C$19+$C$20+$C$21)+$C$22+$C$23)</f>
        <v/>
      </c>
      <c r="I447" s="138">
        <f>IF(B447="Working",MIN(MAX(D447-E447-F447-G447-H447,0),'Tax Assumptions'!$B$20),0)</f>
        <v/>
      </c>
      <c r="J447" s="138">
        <f>IF(B447="Working",D447-E447-F447-I447-G447-H447,-L447)</f>
        <v/>
      </c>
      <c r="K447" s="137">
        <f>IF(B447="Retired",$N$231+G447+H447,0)</f>
        <v/>
      </c>
      <c r="L447" s="137">
        <f>M447+N447+O447+P447</f>
        <v/>
      </c>
      <c r="M447" s="137">
        <f>IF(B447="Retired",MIN(((Q446)*(1+$C$10)+IF(B447="Working",J447,0)),K447),0)</f>
        <v/>
      </c>
      <c r="N447" s="137">
        <f>IF(B447="Retired",MIN(MAX(K447-M447,0),((R446)*(1+$C$10)+IF(B447="Working",E94,0))),0)</f>
        <v/>
      </c>
      <c r="O447" s="137">
        <f>IF(B447="Retired",MIN(MAX(K447-M447-N447,0),((S446)*(1+$C$10)+IF(B447="Working",I447,0))),0)</f>
        <v/>
      </c>
      <c r="P447" s="137">
        <f>IF(B447="Retired",MIN(MAX(K447-M447-N447-O447,0),((T446)*(1+$C$10)+IF(B447="Working",F94,0))),0)</f>
        <v/>
      </c>
      <c r="Q447" s="138">
        <f>MAX(((Q446)*(1+$C$10)+IF(B447="Working",J447,0))-M447,0)</f>
        <v/>
      </c>
      <c r="R447" s="138">
        <f>MAX(((R446)*(1+$C$10)+IF(B447="Working",E94,0))-N447,0)</f>
        <v/>
      </c>
      <c r="S447" s="138">
        <f>MAX(((S446)*(1+$C$10)+IF(B447="Working",I447,0))-O447,0)</f>
        <v/>
      </c>
      <c r="T447" s="138">
        <f>MAX(((T446)*(1+$C$10)+IF(B447="Working",F94,0))-P447,0)</f>
        <v/>
      </c>
      <c r="U447" s="138">
        <f>Q447+R447+S447+T447</f>
        <v/>
      </c>
      <c r="V447" s="138">
        <f>IF(B447="Working",MAX(-(((Q446)*(1+$C$10)+IF(B447="Working",J447,0))),0),MAX(K447-L447,0))</f>
        <v/>
      </c>
      <c r="W447" s="138">
        <f>IF(OR(A447&gt;=$C$13,B447="Retired"),IF(V447&gt;0,-V447,U447-'Model Inputs'!$B$18),"")</f>
        <v/>
      </c>
      <c r="X447" s="138">
        <f>IF(AND($L$231&gt;0,A447&gt;=$C$13),$L$231*(1+$C$25)^(A447-$C$13),0)</f>
        <v/>
      </c>
      <c r="Y447" s="138">
        <f>IF(OR($L$231&lt;=0,$C$17&lt;=0,A447&lt;$C$13,MIN(MAX((A447-$C$13+1)*12,0),$C$17*12)&gt;=$C$17*12),0,IF($C$16=0,MAX(MAX($L$231*(1-$C$15),0)-(IF($C$17&lt;=0,0,IF($C$16=0,MAX($L$231*(1-$C$15),0)/$C$17,-PMT($C$16/12,$C$17*12,MAX($L$231*(1-$C$15),0))*12))/12)*MIN(MAX((A447-$C$13+1)*12,0),$C$17*12),0),MAX(MAX($L$231*(1-$C$15),0)*(1+$C$16/12)^MIN(MAX((A447-$C$13+1)*12,0),$C$17*12)-(IF($C$17&lt;=0,0,IF($C$16=0,MAX($L$231*(1-$C$15),0)/$C$17,-PMT($C$16/12,$C$17*12,MAX($L$231*(1-$C$15),0))*12))/12)*(((1+$C$16/12)^MIN(MAX((A447-$C$13+1)*12,0),$C$17*12)-1)/($C$16/12)),0)))</f>
        <v/>
      </c>
      <c r="Z447" s="138">
        <f>MAX(X447-Y447,0)</f>
        <v/>
      </c>
      <c r="AA447" s="139">
        <f>U447+Z447</f>
        <v/>
      </c>
      <c r="AB447" s="5" t="n"/>
      <c r="AC447" s="5" t="n"/>
      <c r="AD447" s="5" t="n"/>
      <c r="AE447" s="5" t="n"/>
      <c r="AF447" s="5" t="n"/>
      <c r="AG447" s="5" t="n"/>
    </row>
    <row r="448" outlineLevel="1" s="326">
      <c r="A448" s="140" t="n">
        <v>16</v>
      </c>
      <c r="B448" s="40">
        <f>B95</f>
        <v/>
      </c>
      <c r="C448" s="141">
        <f>D95</f>
        <v/>
      </c>
      <c r="D448" s="141">
        <f>I95</f>
        <v/>
      </c>
      <c r="E448" s="141">
        <f>J95</f>
        <v/>
      </c>
      <c r="F448" s="141">
        <f>K95</f>
        <v/>
      </c>
      <c r="G448" s="138">
        <f>IF(AND($L$231&gt;0,A448=$C$13),$L$231*($C$15+$C$18),0)+IF(AND($L$231&gt;0,A448=$C$13),$C$24,0)</f>
        <v/>
      </c>
      <c r="H448" s="138">
        <f>IF(OR($L$231&lt;=0,A448&lt;$C$13),0,IF(AND($L$231&gt;0,$C$17&gt;0,A448&gt;=$C$13,A448&lt;($C$13+$C$17)),IF($C$17&lt;=0,0,IF($C$16=0,MAX($L$231*(1-$C$15),0)/$C$17,-PMT($C$16/12,$C$17*12,MAX($L$231*(1-$C$15),0))*12)),0)+X448*($C$19+$C$20+$C$21)+$C$22+$C$23)</f>
        <v/>
      </c>
      <c r="I448" s="138">
        <f>IF(B448="Working",MIN(MAX(D448-E448-F448-G448-H448,0),'Tax Assumptions'!$B$20),0)</f>
        <v/>
      </c>
      <c r="J448" s="138">
        <f>IF(B448="Working",D448-E448-F448-I448-G448-H448,-L448)</f>
        <v/>
      </c>
      <c r="K448" s="141">
        <f>IF(B448="Retired",$N$231+G448+H448,0)</f>
        <v/>
      </c>
      <c r="L448" s="141">
        <f>M448+N448+O448+P448</f>
        <v/>
      </c>
      <c r="M448" s="141">
        <f>IF(B448="Retired",MIN(((Q447)*(1+$C$10)+IF(B448="Working",J448,0)),K448),0)</f>
        <v/>
      </c>
      <c r="N448" s="141">
        <f>IF(B448="Retired",MIN(MAX(K448-M448,0),((R447)*(1+$C$10)+IF(B448="Working",E95,0))),0)</f>
        <v/>
      </c>
      <c r="O448" s="141">
        <f>IF(B448="Retired",MIN(MAX(K448-M448-N448,0),((S447)*(1+$C$10)+IF(B448="Working",I448,0))),0)</f>
        <v/>
      </c>
      <c r="P448" s="141">
        <f>IF(B448="Retired",MIN(MAX(K448-M448-N448-O448,0),((T447)*(1+$C$10)+IF(B448="Working",F95,0))),0)</f>
        <v/>
      </c>
      <c r="Q448" s="138">
        <f>MAX(((Q447)*(1+$C$10)+IF(B448="Working",J448,0))-M448,0)</f>
        <v/>
      </c>
      <c r="R448" s="138">
        <f>MAX(((R447)*(1+$C$10)+IF(B448="Working",E95,0))-N448,0)</f>
        <v/>
      </c>
      <c r="S448" s="138">
        <f>MAX(((S447)*(1+$C$10)+IF(B448="Working",I448,0))-O448,0)</f>
        <v/>
      </c>
      <c r="T448" s="138">
        <f>MAX(((T447)*(1+$C$10)+IF(B448="Working",F95,0))-P448,0)</f>
        <v/>
      </c>
      <c r="U448" s="138">
        <f>Q448+R448+S448+T448</f>
        <v/>
      </c>
      <c r="V448" s="138">
        <f>IF(B448="Working",MAX(-(((Q447)*(1+$C$10)+IF(B448="Working",J448,0))),0),MAX(K448-L448,0))</f>
        <v/>
      </c>
      <c r="W448" s="138">
        <f>IF(OR(A448&gt;=$C$13,B448="Retired"),IF(V448&gt;0,-V448,U448-'Model Inputs'!$B$18),"")</f>
        <v/>
      </c>
      <c r="X448" s="138">
        <f>IF(AND($L$231&gt;0,A448&gt;=$C$13),$L$231*(1+$C$25)^(A448-$C$13),0)</f>
        <v/>
      </c>
      <c r="Y448" s="138">
        <f>IF(OR($L$231&lt;=0,$C$17&lt;=0,A448&lt;$C$13,MIN(MAX((A448-$C$13+1)*12,0),$C$17*12)&gt;=$C$17*12),0,IF($C$16=0,MAX(MAX($L$231*(1-$C$15),0)-(IF($C$17&lt;=0,0,IF($C$16=0,MAX($L$231*(1-$C$15),0)/$C$17,-PMT($C$16/12,$C$17*12,MAX($L$231*(1-$C$15),0))*12))/12)*MIN(MAX((A448-$C$13+1)*12,0),$C$17*12),0),MAX(MAX($L$231*(1-$C$15),0)*(1+$C$16/12)^MIN(MAX((A448-$C$13+1)*12,0),$C$17*12)-(IF($C$17&lt;=0,0,IF($C$16=0,MAX($L$231*(1-$C$15),0)/$C$17,-PMT($C$16/12,$C$17*12,MAX($L$231*(1-$C$15),0))*12))/12)*(((1+$C$16/12)^MIN(MAX((A448-$C$13+1)*12,0),$C$17*12)-1)/($C$16/12)),0)))</f>
        <v/>
      </c>
      <c r="Z448" s="138">
        <f>MAX(X448-Y448,0)</f>
        <v/>
      </c>
      <c r="AA448" s="142">
        <f>U448+Z448</f>
        <v/>
      </c>
      <c r="AB448" s="5" t="n"/>
      <c r="AC448" s="5" t="n"/>
      <c r="AD448" s="5" t="n"/>
      <c r="AE448" s="5" t="n"/>
      <c r="AF448" s="5" t="n"/>
      <c r="AG448" s="5" t="n"/>
    </row>
    <row r="449" outlineLevel="1" s="326">
      <c r="A449" s="136" t="n">
        <v>17</v>
      </c>
      <c r="B449" s="72">
        <f>B96</f>
        <v/>
      </c>
      <c r="C449" s="137">
        <f>D96</f>
        <v/>
      </c>
      <c r="D449" s="137">
        <f>I96</f>
        <v/>
      </c>
      <c r="E449" s="137">
        <f>J96</f>
        <v/>
      </c>
      <c r="F449" s="137">
        <f>K96</f>
        <v/>
      </c>
      <c r="G449" s="138">
        <f>IF(AND($L$231&gt;0,A449=$C$13),$L$231*($C$15+$C$18),0)+IF(AND($L$231&gt;0,A449=$C$13),$C$24,0)</f>
        <v/>
      </c>
      <c r="H449" s="138">
        <f>IF(OR($L$231&lt;=0,A449&lt;$C$13),0,IF(AND($L$231&gt;0,$C$17&gt;0,A449&gt;=$C$13,A449&lt;($C$13+$C$17)),IF($C$17&lt;=0,0,IF($C$16=0,MAX($L$231*(1-$C$15),0)/$C$17,-PMT($C$16/12,$C$17*12,MAX($L$231*(1-$C$15),0))*12)),0)+X449*($C$19+$C$20+$C$21)+$C$22+$C$23)</f>
        <v/>
      </c>
      <c r="I449" s="138">
        <f>IF(B449="Working",MIN(MAX(D449-E449-F449-G449-H449,0),'Tax Assumptions'!$B$20),0)</f>
        <v/>
      </c>
      <c r="J449" s="138">
        <f>IF(B449="Working",D449-E449-F449-I449-G449-H449,-L449)</f>
        <v/>
      </c>
      <c r="K449" s="137">
        <f>IF(B449="Retired",$N$231+G449+H449,0)</f>
        <v/>
      </c>
      <c r="L449" s="137">
        <f>M449+N449+O449+P449</f>
        <v/>
      </c>
      <c r="M449" s="137">
        <f>IF(B449="Retired",MIN(((Q448)*(1+$C$10)+IF(B449="Working",J449,0)),K449),0)</f>
        <v/>
      </c>
      <c r="N449" s="137">
        <f>IF(B449="Retired",MIN(MAX(K449-M449,0),((R448)*(1+$C$10)+IF(B449="Working",E96,0))),0)</f>
        <v/>
      </c>
      <c r="O449" s="137">
        <f>IF(B449="Retired",MIN(MAX(K449-M449-N449,0),((S448)*(1+$C$10)+IF(B449="Working",I449,0))),0)</f>
        <v/>
      </c>
      <c r="P449" s="137">
        <f>IF(B449="Retired",MIN(MAX(K449-M449-N449-O449,0),((T448)*(1+$C$10)+IF(B449="Working",F96,0))),0)</f>
        <v/>
      </c>
      <c r="Q449" s="138">
        <f>MAX(((Q448)*(1+$C$10)+IF(B449="Working",J449,0))-M449,0)</f>
        <v/>
      </c>
      <c r="R449" s="138">
        <f>MAX(((R448)*(1+$C$10)+IF(B449="Working",E96,0))-N449,0)</f>
        <v/>
      </c>
      <c r="S449" s="138">
        <f>MAX(((S448)*(1+$C$10)+IF(B449="Working",I449,0))-O449,0)</f>
        <v/>
      </c>
      <c r="T449" s="138">
        <f>MAX(((T448)*(1+$C$10)+IF(B449="Working",F96,0))-P449,0)</f>
        <v/>
      </c>
      <c r="U449" s="138">
        <f>Q449+R449+S449+T449</f>
        <v/>
      </c>
      <c r="V449" s="138">
        <f>IF(B449="Working",MAX(-(((Q448)*(1+$C$10)+IF(B449="Working",J449,0))),0),MAX(K449-L449,0))</f>
        <v/>
      </c>
      <c r="W449" s="138">
        <f>IF(OR(A449&gt;=$C$13,B449="Retired"),IF(V449&gt;0,-V449,U449-'Model Inputs'!$B$18),"")</f>
        <v/>
      </c>
      <c r="X449" s="138">
        <f>IF(AND($L$231&gt;0,A449&gt;=$C$13),$L$231*(1+$C$25)^(A449-$C$13),0)</f>
        <v/>
      </c>
      <c r="Y449" s="138">
        <f>IF(OR($L$231&lt;=0,$C$17&lt;=0,A449&lt;$C$13,MIN(MAX((A449-$C$13+1)*12,0),$C$17*12)&gt;=$C$17*12),0,IF($C$16=0,MAX(MAX($L$231*(1-$C$15),0)-(IF($C$17&lt;=0,0,IF($C$16=0,MAX($L$231*(1-$C$15),0)/$C$17,-PMT($C$16/12,$C$17*12,MAX($L$231*(1-$C$15),0))*12))/12)*MIN(MAX((A449-$C$13+1)*12,0),$C$17*12),0),MAX(MAX($L$231*(1-$C$15),0)*(1+$C$16/12)^MIN(MAX((A449-$C$13+1)*12,0),$C$17*12)-(IF($C$17&lt;=0,0,IF($C$16=0,MAX($L$231*(1-$C$15),0)/$C$17,-PMT($C$16/12,$C$17*12,MAX($L$231*(1-$C$15),0))*12))/12)*(((1+$C$16/12)^MIN(MAX((A449-$C$13+1)*12,0),$C$17*12)-1)/($C$16/12)),0)))</f>
        <v/>
      </c>
      <c r="Z449" s="138">
        <f>MAX(X449-Y449,0)</f>
        <v/>
      </c>
      <c r="AA449" s="139">
        <f>U449+Z449</f>
        <v/>
      </c>
      <c r="AB449" s="5" t="n"/>
      <c r="AC449" s="5" t="n"/>
      <c r="AD449" s="5" t="n"/>
      <c r="AE449" s="5" t="n"/>
      <c r="AF449" s="5" t="n"/>
      <c r="AG449" s="5" t="n"/>
    </row>
    <row r="450" outlineLevel="1" s="326">
      <c r="A450" s="140" t="n">
        <v>18</v>
      </c>
      <c r="B450" s="40">
        <f>B97</f>
        <v/>
      </c>
      <c r="C450" s="141">
        <f>D97</f>
        <v/>
      </c>
      <c r="D450" s="141">
        <f>I97</f>
        <v/>
      </c>
      <c r="E450" s="141">
        <f>J97</f>
        <v/>
      </c>
      <c r="F450" s="141">
        <f>K97</f>
        <v/>
      </c>
      <c r="G450" s="138">
        <f>IF(AND($L$231&gt;0,A450=$C$13),$L$231*($C$15+$C$18),0)+IF(AND($L$231&gt;0,A450=$C$13),$C$24,0)</f>
        <v/>
      </c>
      <c r="H450" s="138">
        <f>IF(OR($L$231&lt;=0,A450&lt;$C$13),0,IF(AND($L$231&gt;0,$C$17&gt;0,A450&gt;=$C$13,A450&lt;($C$13+$C$17)),IF($C$17&lt;=0,0,IF($C$16=0,MAX($L$231*(1-$C$15),0)/$C$17,-PMT($C$16/12,$C$17*12,MAX($L$231*(1-$C$15),0))*12)),0)+X450*($C$19+$C$20+$C$21)+$C$22+$C$23)</f>
        <v/>
      </c>
      <c r="I450" s="138">
        <f>IF(B450="Working",MIN(MAX(D450-E450-F450-G450-H450,0),'Tax Assumptions'!$B$20),0)</f>
        <v/>
      </c>
      <c r="J450" s="138">
        <f>IF(B450="Working",D450-E450-F450-I450-G450-H450,-L450)</f>
        <v/>
      </c>
      <c r="K450" s="141">
        <f>IF(B450="Retired",$N$231+G450+H450,0)</f>
        <v/>
      </c>
      <c r="L450" s="141">
        <f>M450+N450+O450+P450</f>
        <v/>
      </c>
      <c r="M450" s="141">
        <f>IF(B450="Retired",MIN(((Q449)*(1+$C$10)+IF(B450="Working",J450,0)),K450),0)</f>
        <v/>
      </c>
      <c r="N450" s="141">
        <f>IF(B450="Retired",MIN(MAX(K450-M450,0),((R449)*(1+$C$10)+IF(B450="Working",E97,0))),0)</f>
        <v/>
      </c>
      <c r="O450" s="141">
        <f>IF(B450="Retired",MIN(MAX(K450-M450-N450,0),((S449)*(1+$C$10)+IF(B450="Working",I450,0))),0)</f>
        <v/>
      </c>
      <c r="P450" s="141">
        <f>IF(B450="Retired",MIN(MAX(K450-M450-N450-O450,0),((T449)*(1+$C$10)+IF(B450="Working",F97,0))),0)</f>
        <v/>
      </c>
      <c r="Q450" s="138">
        <f>MAX(((Q449)*(1+$C$10)+IF(B450="Working",J450,0))-M450,0)</f>
        <v/>
      </c>
      <c r="R450" s="138">
        <f>MAX(((R449)*(1+$C$10)+IF(B450="Working",E97,0))-N450,0)</f>
        <v/>
      </c>
      <c r="S450" s="138">
        <f>MAX(((S449)*(1+$C$10)+IF(B450="Working",I450,0))-O450,0)</f>
        <v/>
      </c>
      <c r="T450" s="138">
        <f>MAX(((T449)*(1+$C$10)+IF(B450="Working",F97,0))-P450,0)</f>
        <v/>
      </c>
      <c r="U450" s="138">
        <f>Q450+R450+S450+T450</f>
        <v/>
      </c>
      <c r="V450" s="138">
        <f>IF(B450="Working",MAX(-(((Q449)*(1+$C$10)+IF(B450="Working",J450,0))),0),MAX(K450-L450,0))</f>
        <v/>
      </c>
      <c r="W450" s="138">
        <f>IF(OR(A450&gt;=$C$13,B450="Retired"),IF(V450&gt;0,-V450,U450-'Model Inputs'!$B$18),"")</f>
        <v/>
      </c>
      <c r="X450" s="138">
        <f>IF(AND($L$231&gt;0,A450&gt;=$C$13),$L$231*(1+$C$25)^(A450-$C$13),0)</f>
        <v/>
      </c>
      <c r="Y450" s="138">
        <f>IF(OR($L$231&lt;=0,$C$17&lt;=0,A450&lt;$C$13,MIN(MAX((A450-$C$13+1)*12,0),$C$17*12)&gt;=$C$17*12),0,IF($C$16=0,MAX(MAX($L$231*(1-$C$15),0)-(IF($C$17&lt;=0,0,IF($C$16=0,MAX($L$231*(1-$C$15),0)/$C$17,-PMT($C$16/12,$C$17*12,MAX($L$231*(1-$C$15),0))*12))/12)*MIN(MAX((A450-$C$13+1)*12,0),$C$17*12),0),MAX(MAX($L$231*(1-$C$15),0)*(1+$C$16/12)^MIN(MAX((A450-$C$13+1)*12,0),$C$17*12)-(IF($C$17&lt;=0,0,IF($C$16=0,MAX($L$231*(1-$C$15),0)/$C$17,-PMT($C$16/12,$C$17*12,MAX($L$231*(1-$C$15),0))*12))/12)*(((1+$C$16/12)^MIN(MAX((A450-$C$13+1)*12,0),$C$17*12)-1)/($C$16/12)),0)))</f>
        <v/>
      </c>
      <c r="Z450" s="138">
        <f>MAX(X450-Y450,0)</f>
        <v/>
      </c>
      <c r="AA450" s="142">
        <f>U450+Z450</f>
        <v/>
      </c>
      <c r="AB450" s="5" t="n"/>
      <c r="AC450" s="5" t="n"/>
      <c r="AD450" s="5" t="n"/>
      <c r="AE450" s="5" t="n"/>
      <c r="AF450" s="5" t="n"/>
      <c r="AG450" s="5" t="n"/>
    </row>
    <row r="451" outlineLevel="1" s="326">
      <c r="A451" s="136" t="n">
        <v>19</v>
      </c>
      <c r="B451" s="72">
        <f>B98</f>
        <v/>
      </c>
      <c r="C451" s="137">
        <f>D98</f>
        <v/>
      </c>
      <c r="D451" s="137">
        <f>I98</f>
        <v/>
      </c>
      <c r="E451" s="137">
        <f>J98</f>
        <v/>
      </c>
      <c r="F451" s="137">
        <f>K98</f>
        <v/>
      </c>
      <c r="G451" s="138">
        <f>IF(AND($L$231&gt;0,A451=$C$13),$L$231*($C$15+$C$18),0)+IF(AND($L$231&gt;0,A451=$C$13),$C$24,0)</f>
        <v/>
      </c>
      <c r="H451" s="138">
        <f>IF(OR($L$231&lt;=0,A451&lt;$C$13),0,IF(AND($L$231&gt;0,$C$17&gt;0,A451&gt;=$C$13,A451&lt;($C$13+$C$17)),IF($C$17&lt;=0,0,IF($C$16=0,MAX($L$231*(1-$C$15),0)/$C$17,-PMT($C$16/12,$C$17*12,MAX($L$231*(1-$C$15),0))*12)),0)+X451*($C$19+$C$20+$C$21)+$C$22+$C$23)</f>
        <v/>
      </c>
      <c r="I451" s="138">
        <f>IF(B451="Working",MIN(MAX(D451-E451-F451-G451-H451,0),'Tax Assumptions'!$B$20),0)</f>
        <v/>
      </c>
      <c r="J451" s="138">
        <f>IF(B451="Working",D451-E451-F451-I451-G451-H451,-L451)</f>
        <v/>
      </c>
      <c r="K451" s="137">
        <f>IF(B451="Retired",$N$231+G451+H451,0)</f>
        <v/>
      </c>
      <c r="L451" s="137">
        <f>M451+N451+O451+P451</f>
        <v/>
      </c>
      <c r="M451" s="137">
        <f>IF(B451="Retired",MIN(((Q450)*(1+$C$10)+IF(B451="Working",J451,0)),K451),0)</f>
        <v/>
      </c>
      <c r="N451" s="137">
        <f>IF(B451="Retired",MIN(MAX(K451-M451,0),((R450)*(1+$C$10)+IF(B451="Working",E98,0))),0)</f>
        <v/>
      </c>
      <c r="O451" s="137">
        <f>IF(B451="Retired",MIN(MAX(K451-M451-N451,0),((S450)*(1+$C$10)+IF(B451="Working",I451,0))),0)</f>
        <v/>
      </c>
      <c r="P451" s="137">
        <f>IF(B451="Retired",MIN(MAX(K451-M451-N451-O451,0),((T450)*(1+$C$10)+IF(B451="Working",F98,0))),0)</f>
        <v/>
      </c>
      <c r="Q451" s="138">
        <f>MAX(((Q450)*(1+$C$10)+IF(B451="Working",J451,0))-M451,0)</f>
        <v/>
      </c>
      <c r="R451" s="138">
        <f>MAX(((R450)*(1+$C$10)+IF(B451="Working",E98,0))-N451,0)</f>
        <v/>
      </c>
      <c r="S451" s="138">
        <f>MAX(((S450)*(1+$C$10)+IF(B451="Working",I451,0))-O451,0)</f>
        <v/>
      </c>
      <c r="T451" s="138">
        <f>MAX(((T450)*(1+$C$10)+IF(B451="Working",F98,0))-P451,0)</f>
        <v/>
      </c>
      <c r="U451" s="138">
        <f>Q451+R451+S451+T451</f>
        <v/>
      </c>
      <c r="V451" s="138">
        <f>IF(B451="Working",MAX(-(((Q450)*(1+$C$10)+IF(B451="Working",J451,0))),0),MAX(K451-L451,0))</f>
        <v/>
      </c>
      <c r="W451" s="138">
        <f>IF(OR(A451&gt;=$C$13,B451="Retired"),IF(V451&gt;0,-V451,U451-'Model Inputs'!$B$18),"")</f>
        <v/>
      </c>
      <c r="X451" s="138">
        <f>IF(AND($L$231&gt;0,A451&gt;=$C$13),$L$231*(1+$C$25)^(A451-$C$13),0)</f>
        <v/>
      </c>
      <c r="Y451" s="138">
        <f>IF(OR($L$231&lt;=0,$C$17&lt;=0,A451&lt;$C$13,MIN(MAX((A451-$C$13+1)*12,0),$C$17*12)&gt;=$C$17*12),0,IF($C$16=0,MAX(MAX($L$231*(1-$C$15),0)-(IF($C$17&lt;=0,0,IF($C$16=0,MAX($L$231*(1-$C$15),0)/$C$17,-PMT($C$16/12,$C$17*12,MAX($L$231*(1-$C$15),0))*12))/12)*MIN(MAX((A451-$C$13+1)*12,0),$C$17*12),0),MAX(MAX($L$231*(1-$C$15),0)*(1+$C$16/12)^MIN(MAX((A451-$C$13+1)*12,0),$C$17*12)-(IF($C$17&lt;=0,0,IF($C$16=0,MAX($L$231*(1-$C$15),0)/$C$17,-PMT($C$16/12,$C$17*12,MAX($L$231*(1-$C$15),0))*12))/12)*(((1+$C$16/12)^MIN(MAX((A451-$C$13+1)*12,0),$C$17*12)-1)/($C$16/12)),0)))</f>
        <v/>
      </c>
      <c r="Z451" s="138">
        <f>MAX(X451-Y451,0)</f>
        <v/>
      </c>
      <c r="AA451" s="139">
        <f>U451+Z451</f>
        <v/>
      </c>
      <c r="AB451" s="5" t="n"/>
      <c r="AC451" s="5" t="n"/>
      <c r="AD451" s="5" t="n"/>
      <c r="AE451" s="5" t="n"/>
      <c r="AF451" s="5" t="n"/>
      <c r="AG451" s="5" t="n"/>
    </row>
    <row r="452" outlineLevel="1" s="326">
      <c r="A452" s="140" t="n">
        <v>20</v>
      </c>
      <c r="B452" s="40">
        <f>B99</f>
        <v/>
      </c>
      <c r="C452" s="141">
        <f>D99</f>
        <v/>
      </c>
      <c r="D452" s="141">
        <f>I99</f>
        <v/>
      </c>
      <c r="E452" s="141">
        <f>J99</f>
        <v/>
      </c>
      <c r="F452" s="141">
        <f>K99</f>
        <v/>
      </c>
      <c r="G452" s="138">
        <f>IF(AND($L$231&gt;0,A452=$C$13),$L$231*($C$15+$C$18),0)+IF(AND($L$231&gt;0,A452=$C$13),$C$24,0)</f>
        <v/>
      </c>
      <c r="H452" s="138">
        <f>IF(OR($L$231&lt;=0,A452&lt;$C$13),0,IF(AND($L$231&gt;0,$C$17&gt;0,A452&gt;=$C$13,A452&lt;($C$13+$C$17)),IF($C$17&lt;=0,0,IF($C$16=0,MAX($L$231*(1-$C$15),0)/$C$17,-PMT($C$16/12,$C$17*12,MAX($L$231*(1-$C$15),0))*12)),0)+X452*($C$19+$C$20+$C$21)+$C$22+$C$23)</f>
        <v/>
      </c>
      <c r="I452" s="138">
        <f>IF(B452="Working",MIN(MAX(D452-E452-F452-G452-H452,0),'Tax Assumptions'!$B$20),0)</f>
        <v/>
      </c>
      <c r="J452" s="138">
        <f>IF(B452="Working",D452-E452-F452-I452-G452-H452,-L452)</f>
        <v/>
      </c>
      <c r="K452" s="141">
        <f>IF(B452="Retired",$N$231+G452+H452,0)</f>
        <v/>
      </c>
      <c r="L452" s="141">
        <f>M452+N452+O452+P452</f>
        <v/>
      </c>
      <c r="M452" s="141">
        <f>IF(B452="Retired",MIN(((Q451)*(1+$C$10)+IF(B452="Working",J452,0)),K452),0)</f>
        <v/>
      </c>
      <c r="N452" s="141">
        <f>IF(B452="Retired",MIN(MAX(K452-M452,0),((R451)*(1+$C$10)+IF(B452="Working",E99,0))),0)</f>
        <v/>
      </c>
      <c r="O452" s="141">
        <f>IF(B452="Retired",MIN(MAX(K452-M452-N452,0),((S451)*(1+$C$10)+IF(B452="Working",I452,0))),0)</f>
        <v/>
      </c>
      <c r="P452" s="141">
        <f>IF(B452="Retired",MIN(MAX(K452-M452-N452-O452,0),((T451)*(1+$C$10)+IF(B452="Working",F99,0))),0)</f>
        <v/>
      </c>
      <c r="Q452" s="138">
        <f>MAX(((Q451)*(1+$C$10)+IF(B452="Working",J452,0))-M452,0)</f>
        <v/>
      </c>
      <c r="R452" s="138">
        <f>MAX(((R451)*(1+$C$10)+IF(B452="Working",E99,0))-N452,0)</f>
        <v/>
      </c>
      <c r="S452" s="138">
        <f>MAX(((S451)*(1+$C$10)+IF(B452="Working",I452,0))-O452,0)</f>
        <v/>
      </c>
      <c r="T452" s="138">
        <f>MAX(((T451)*(1+$C$10)+IF(B452="Working",F99,0))-P452,0)</f>
        <v/>
      </c>
      <c r="U452" s="138">
        <f>Q452+R452+S452+T452</f>
        <v/>
      </c>
      <c r="V452" s="138">
        <f>IF(B452="Working",MAX(-(((Q451)*(1+$C$10)+IF(B452="Working",J452,0))),0),MAX(K452-L452,0))</f>
        <v/>
      </c>
      <c r="W452" s="138">
        <f>IF(OR(A452&gt;=$C$13,B452="Retired"),IF(V452&gt;0,-V452,U452-'Model Inputs'!$B$18),"")</f>
        <v/>
      </c>
      <c r="X452" s="138">
        <f>IF(AND($L$231&gt;0,A452&gt;=$C$13),$L$231*(1+$C$25)^(A452-$C$13),0)</f>
        <v/>
      </c>
      <c r="Y452" s="138">
        <f>IF(OR($L$231&lt;=0,$C$17&lt;=0,A452&lt;$C$13,MIN(MAX((A452-$C$13+1)*12,0),$C$17*12)&gt;=$C$17*12),0,IF($C$16=0,MAX(MAX($L$231*(1-$C$15),0)-(IF($C$17&lt;=0,0,IF($C$16=0,MAX($L$231*(1-$C$15),0)/$C$17,-PMT($C$16/12,$C$17*12,MAX($L$231*(1-$C$15),0))*12))/12)*MIN(MAX((A452-$C$13+1)*12,0),$C$17*12),0),MAX(MAX($L$231*(1-$C$15),0)*(1+$C$16/12)^MIN(MAX((A452-$C$13+1)*12,0),$C$17*12)-(IF($C$17&lt;=0,0,IF($C$16=0,MAX($L$231*(1-$C$15),0)/$C$17,-PMT($C$16/12,$C$17*12,MAX($L$231*(1-$C$15),0))*12))/12)*(((1+$C$16/12)^MIN(MAX((A452-$C$13+1)*12,0),$C$17*12)-1)/($C$16/12)),0)))</f>
        <v/>
      </c>
      <c r="Z452" s="138">
        <f>MAX(X452-Y452,0)</f>
        <v/>
      </c>
      <c r="AA452" s="142">
        <f>U452+Z452</f>
        <v/>
      </c>
      <c r="AB452" s="5" t="n"/>
      <c r="AC452" s="5" t="n"/>
      <c r="AD452" s="5" t="n"/>
      <c r="AE452" s="5" t="n"/>
      <c r="AF452" s="5" t="n"/>
      <c r="AG452" s="5" t="n"/>
    </row>
    <row r="453" outlineLevel="1" s="326">
      <c r="A453" s="136" t="n">
        <v>21</v>
      </c>
      <c r="B453" s="72">
        <f>B100</f>
        <v/>
      </c>
      <c r="C453" s="137">
        <f>D100</f>
        <v/>
      </c>
      <c r="D453" s="137">
        <f>I100</f>
        <v/>
      </c>
      <c r="E453" s="137">
        <f>J100</f>
        <v/>
      </c>
      <c r="F453" s="137">
        <f>K100</f>
        <v/>
      </c>
      <c r="G453" s="138">
        <f>IF(AND($L$231&gt;0,A453=$C$13),$L$231*($C$15+$C$18),0)+IF(AND($L$231&gt;0,A453=$C$13),$C$24,0)</f>
        <v/>
      </c>
      <c r="H453" s="138">
        <f>IF(OR($L$231&lt;=0,A453&lt;$C$13),0,IF(AND($L$231&gt;0,$C$17&gt;0,A453&gt;=$C$13,A453&lt;($C$13+$C$17)),IF($C$17&lt;=0,0,IF($C$16=0,MAX($L$231*(1-$C$15),0)/$C$17,-PMT($C$16/12,$C$17*12,MAX($L$231*(1-$C$15),0))*12)),0)+X453*($C$19+$C$20+$C$21)+$C$22+$C$23)</f>
        <v/>
      </c>
      <c r="I453" s="138">
        <f>IF(B453="Working",MIN(MAX(D453-E453-F453-G453-H453,0),'Tax Assumptions'!$B$20),0)</f>
        <v/>
      </c>
      <c r="J453" s="138">
        <f>IF(B453="Working",D453-E453-F453-I453-G453-H453,-L453)</f>
        <v/>
      </c>
      <c r="K453" s="137">
        <f>IF(B453="Retired",$N$231+G453+H453,0)</f>
        <v/>
      </c>
      <c r="L453" s="137">
        <f>M453+N453+O453+P453</f>
        <v/>
      </c>
      <c r="M453" s="137">
        <f>IF(B453="Retired",MIN(((Q452)*(1+$C$10)+IF(B453="Working",J453,0)),K453),0)</f>
        <v/>
      </c>
      <c r="N453" s="137">
        <f>IF(B453="Retired",MIN(MAX(K453-M453,0),((R452)*(1+$C$10)+IF(B453="Working",E100,0))),0)</f>
        <v/>
      </c>
      <c r="O453" s="137">
        <f>IF(B453="Retired",MIN(MAX(K453-M453-N453,0),((S452)*(1+$C$10)+IF(B453="Working",I453,0))),0)</f>
        <v/>
      </c>
      <c r="P453" s="137">
        <f>IF(B453="Retired",MIN(MAX(K453-M453-N453-O453,0),((T452)*(1+$C$10)+IF(B453="Working",F100,0))),0)</f>
        <v/>
      </c>
      <c r="Q453" s="138">
        <f>MAX(((Q452)*(1+$C$10)+IF(B453="Working",J453,0))-M453,0)</f>
        <v/>
      </c>
      <c r="R453" s="138">
        <f>MAX(((R452)*(1+$C$10)+IF(B453="Working",E100,0))-N453,0)</f>
        <v/>
      </c>
      <c r="S453" s="138">
        <f>MAX(((S452)*(1+$C$10)+IF(B453="Working",I453,0))-O453,0)</f>
        <v/>
      </c>
      <c r="T453" s="138">
        <f>MAX(((T452)*(1+$C$10)+IF(B453="Working",F100,0))-P453,0)</f>
        <v/>
      </c>
      <c r="U453" s="138">
        <f>Q453+R453+S453+T453</f>
        <v/>
      </c>
      <c r="V453" s="138">
        <f>IF(B453="Working",MAX(-(((Q452)*(1+$C$10)+IF(B453="Working",J453,0))),0),MAX(K453-L453,0))</f>
        <v/>
      </c>
      <c r="W453" s="138">
        <f>IF(OR(A453&gt;=$C$13,B453="Retired"),IF(V453&gt;0,-V453,U453-'Model Inputs'!$B$18),"")</f>
        <v/>
      </c>
      <c r="X453" s="138">
        <f>IF(AND($L$231&gt;0,A453&gt;=$C$13),$L$231*(1+$C$25)^(A453-$C$13),0)</f>
        <v/>
      </c>
      <c r="Y453" s="138">
        <f>IF(OR($L$231&lt;=0,$C$17&lt;=0,A453&lt;$C$13,MIN(MAX((A453-$C$13+1)*12,0),$C$17*12)&gt;=$C$17*12),0,IF($C$16=0,MAX(MAX($L$231*(1-$C$15),0)-(IF($C$17&lt;=0,0,IF($C$16=0,MAX($L$231*(1-$C$15),0)/$C$17,-PMT($C$16/12,$C$17*12,MAX($L$231*(1-$C$15),0))*12))/12)*MIN(MAX((A453-$C$13+1)*12,0),$C$17*12),0),MAX(MAX($L$231*(1-$C$15),0)*(1+$C$16/12)^MIN(MAX((A453-$C$13+1)*12,0),$C$17*12)-(IF($C$17&lt;=0,0,IF($C$16=0,MAX($L$231*(1-$C$15),0)/$C$17,-PMT($C$16/12,$C$17*12,MAX($L$231*(1-$C$15),0))*12))/12)*(((1+$C$16/12)^MIN(MAX((A453-$C$13+1)*12,0),$C$17*12)-1)/($C$16/12)),0)))</f>
        <v/>
      </c>
      <c r="Z453" s="138">
        <f>MAX(X453-Y453,0)</f>
        <v/>
      </c>
      <c r="AA453" s="139">
        <f>U453+Z453</f>
        <v/>
      </c>
      <c r="AB453" s="5" t="n"/>
      <c r="AC453" s="5" t="n"/>
      <c r="AD453" s="5" t="n"/>
      <c r="AE453" s="5" t="n"/>
      <c r="AF453" s="5" t="n"/>
      <c r="AG453" s="5" t="n"/>
    </row>
    <row r="454" outlineLevel="1" s="326">
      <c r="A454" s="140" t="n">
        <v>22</v>
      </c>
      <c r="B454" s="40">
        <f>B101</f>
        <v/>
      </c>
      <c r="C454" s="141">
        <f>D101</f>
        <v/>
      </c>
      <c r="D454" s="141">
        <f>I101</f>
        <v/>
      </c>
      <c r="E454" s="141">
        <f>J101</f>
        <v/>
      </c>
      <c r="F454" s="141">
        <f>K101</f>
        <v/>
      </c>
      <c r="G454" s="138">
        <f>IF(AND($L$231&gt;0,A454=$C$13),$L$231*($C$15+$C$18),0)+IF(AND($L$231&gt;0,A454=$C$13),$C$24,0)</f>
        <v/>
      </c>
      <c r="H454" s="138">
        <f>IF(OR($L$231&lt;=0,A454&lt;$C$13),0,IF(AND($L$231&gt;0,$C$17&gt;0,A454&gt;=$C$13,A454&lt;($C$13+$C$17)),IF($C$17&lt;=0,0,IF($C$16=0,MAX($L$231*(1-$C$15),0)/$C$17,-PMT($C$16/12,$C$17*12,MAX($L$231*(1-$C$15),0))*12)),0)+X454*($C$19+$C$20+$C$21)+$C$22+$C$23)</f>
        <v/>
      </c>
      <c r="I454" s="138">
        <f>IF(B454="Working",MIN(MAX(D454-E454-F454-G454-H454,0),'Tax Assumptions'!$B$20),0)</f>
        <v/>
      </c>
      <c r="J454" s="138">
        <f>IF(B454="Working",D454-E454-F454-I454-G454-H454,-L454)</f>
        <v/>
      </c>
      <c r="K454" s="141">
        <f>IF(B454="Retired",$N$231+G454+H454,0)</f>
        <v/>
      </c>
      <c r="L454" s="141">
        <f>M454+N454+O454+P454</f>
        <v/>
      </c>
      <c r="M454" s="141">
        <f>IF(B454="Retired",MIN(((Q453)*(1+$C$10)+IF(B454="Working",J454,0)),K454),0)</f>
        <v/>
      </c>
      <c r="N454" s="141">
        <f>IF(B454="Retired",MIN(MAX(K454-M454,0),((R453)*(1+$C$10)+IF(B454="Working",E101,0))),0)</f>
        <v/>
      </c>
      <c r="O454" s="141">
        <f>IF(B454="Retired",MIN(MAX(K454-M454-N454,0),((S453)*(1+$C$10)+IF(B454="Working",I454,0))),0)</f>
        <v/>
      </c>
      <c r="P454" s="141">
        <f>IF(B454="Retired",MIN(MAX(K454-M454-N454-O454,0),((T453)*(1+$C$10)+IF(B454="Working",F101,0))),0)</f>
        <v/>
      </c>
      <c r="Q454" s="138">
        <f>MAX(((Q453)*(1+$C$10)+IF(B454="Working",J454,0))-M454,0)</f>
        <v/>
      </c>
      <c r="R454" s="138">
        <f>MAX(((R453)*(1+$C$10)+IF(B454="Working",E101,0))-N454,0)</f>
        <v/>
      </c>
      <c r="S454" s="138">
        <f>MAX(((S453)*(1+$C$10)+IF(B454="Working",I454,0))-O454,0)</f>
        <v/>
      </c>
      <c r="T454" s="138">
        <f>MAX(((T453)*(1+$C$10)+IF(B454="Working",F101,0))-P454,0)</f>
        <v/>
      </c>
      <c r="U454" s="138">
        <f>Q454+R454+S454+T454</f>
        <v/>
      </c>
      <c r="V454" s="138">
        <f>IF(B454="Working",MAX(-(((Q453)*(1+$C$10)+IF(B454="Working",J454,0))),0),MAX(K454-L454,0))</f>
        <v/>
      </c>
      <c r="W454" s="138">
        <f>IF(OR(A454&gt;=$C$13,B454="Retired"),IF(V454&gt;0,-V454,U454-'Model Inputs'!$B$18),"")</f>
        <v/>
      </c>
      <c r="X454" s="138">
        <f>IF(AND($L$231&gt;0,A454&gt;=$C$13),$L$231*(1+$C$25)^(A454-$C$13),0)</f>
        <v/>
      </c>
      <c r="Y454" s="138">
        <f>IF(OR($L$231&lt;=0,$C$17&lt;=0,A454&lt;$C$13,MIN(MAX((A454-$C$13+1)*12,0),$C$17*12)&gt;=$C$17*12),0,IF($C$16=0,MAX(MAX($L$231*(1-$C$15),0)-(IF($C$17&lt;=0,0,IF($C$16=0,MAX($L$231*(1-$C$15),0)/$C$17,-PMT($C$16/12,$C$17*12,MAX($L$231*(1-$C$15),0))*12))/12)*MIN(MAX((A454-$C$13+1)*12,0),$C$17*12),0),MAX(MAX($L$231*(1-$C$15),0)*(1+$C$16/12)^MIN(MAX((A454-$C$13+1)*12,0),$C$17*12)-(IF($C$17&lt;=0,0,IF($C$16=0,MAX($L$231*(1-$C$15),0)/$C$17,-PMT($C$16/12,$C$17*12,MAX($L$231*(1-$C$15),0))*12))/12)*(((1+$C$16/12)^MIN(MAX((A454-$C$13+1)*12,0),$C$17*12)-1)/($C$16/12)),0)))</f>
        <v/>
      </c>
      <c r="Z454" s="138">
        <f>MAX(X454-Y454,0)</f>
        <v/>
      </c>
      <c r="AA454" s="142">
        <f>U454+Z454</f>
        <v/>
      </c>
      <c r="AB454" s="5" t="n"/>
      <c r="AC454" s="5" t="n"/>
      <c r="AD454" s="5" t="n"/>
      <c r="AE454" s="5" t="n"/>
      <c r="AF454" s="5" t="n"/>
      <c r="AG454" s="5" t="n"/>
    </row>
    <row r="455" outlineLevel="1" s="326">
      <c r="A455" s="136" t="n">
        <v>23</v>
      </c>
      <c r="B455" s="72">
        <f>B102</f>
        <v/>
      </c>
      <c r="C455" s="137">
        <f>D102</f>
        <v/>
      </c>
      <c r="D455" s="137">
        <f>I102</f>
        <v/>
      </c>
      <c r="E455" s="137">
        <f>J102</f>
        <v/>
      </c>
      <c r="F455" s="137">
        <f>K102</f>
        <v/>
      </c>
      <c r="G455" s="138">
        <f>IF(AND($L$231&gt;0,A455=$C$13),$L$231*($C$15+$C$18),0)+IF(AND($L$231&gt;0,A455=$C$13),$C$24,0)</f>
        <v/>
      </c>
      <c r="H455" s="138">
        <f>IF(OR($L$231&lt;=0,A455&lt;$C$13),0,IF(AND($L$231&gt;0,$C$17&gt;0,A455&gt;=$C$13,A455&lt;($C$13+$C$17)),IF($C$17&lt;=0,0,IF($C$16=0,MAX($L$231*(1-$C$15),0)/$C$17,-PMT($C$16/12,$C$17*12,MAX($L$231*(1-$C$15),0))*12)),0)+X455*($C$19+$C$20+$C$21)+$C$22+$C$23)</f>
        <v/>
      </c>
      <c r="I455" s="138">
        <f>IF(B455="Working",MIN(MAX(D455-E455-F455-G455-H455,0),'Tax Assumptions'!$B$20),0)</f>
        <v/>
      </c>
      <c r="J455" s="138">
        <f>IF(B455="Working",D455-E455-F455-I455-G455-H455,-L455)</f>
        <v/>
      </c>
      <c r="K455" s="137">
        <f>IF(B455="Retired",$N$231+G455+H455,0)</f>
        <v/>
      </c>
      <c r="L455" s="137">
        <f>M455+N455+O455+P455</f>
        <v/>
      </c>
      <c r="M455" s="137">
        <f>IF(B455="Retired",MIN(((Q454)*(1+$C$10)+IF(B455="Working",J455,0)),K455),0)</f>
        <v/>
      </c>
      <c r="N455" s="137">
        <f>IF(B455="Retired",MIN(MAX(K455-M455,0),((R454)*(1+$C$10)+IF(B455="Working",E102,0))),0)</f>
        <v/>
      </c>
      <c r="O455" s="137">
        <f>IF(B455="Retired",MIN(MAX(K455-M455-N455,0),((S454)*(1+$C$10)+IF(B455="Working",I455,0))),0)</f>
        <v/>
      </c>
      <c r="P455" s="137">
        <f>IF(B455="Retired",MIN(MAX(K455-M455-N455-O455,0),((T454)*(1+$C$10)+IF(B455="Working",F102,0))),0)</f>
        <v/>
      </c>
      <c r="Q455" s="138">
        <f>MAX(((Q454)*(1+$C$10)+IF(B455="Working",J455,0))-M455,0)</f>
        <v/>
      </c>
      <c r="R455" s="138">
        <f>MAX(((R454)*(1+$C$10)+IF(B455="Working",E102,0))-N455,0)</f>
        <v/>
      </c>
      <c r="S455" s="138">
        <f>MAX(((S454)*(1+$C$10)+IF(B455="Working",I455,0))-O455,0)</f>
        <v/>
      </c>
      <c r="T455" s="138">
        <f>MAX(((T454)*(1+$C$10)+IF(B455="Working",F102,0))-P455,0)</f>
        <v/>
      </c>
      <c r="U455" s="138">
        <f>Q455+R455+S455+T455</f>
        <v/>
      </c>
      <c r="V455" s="138">
        <f>IF(B455="Working",MAX(-(((Q454)*(1+$C$10)+IF(B455="Working",J455,0))),0),MAX(K455-L455,0))</f>
        <v/>
      </c>
      <c r="W455" s="138">
        <f>IF(OR(A455&gt;=$C$13,B455="Retired"),IF(V455&gt;0,-V455,U455-'Model Inputs'!$B$18),"")</f>
        <v/>
      </c>
      <c r="X455" s="138">
        <f>IF(AND($L$231&gt;0,A455&gt;=$C$13),$L$231*(1+$C$25)^(A455-$C$13),0)</f>
        <v/>
      </c>
      <c r="Y455" s="138">
        <f>IF(OR($L$231&lt;=0,$C$17&lt;=0,A455&lt;$C$13,MIN(MAX((A455-$C$13+1)*12,0),$C$17*12)&gt;=$C$17*12),0,IF($C$16=0,MAX(MAX($L$231*(1-$C$15),0)-(IF($C$17&lt;=0,0,IF($C$16=0,MAX($L$231*(1-$C$15),0)/$C$17,-PMT($C$16/12,$C$17*12,MAX($L$231*(1-$C$15),0))*12))/12)*MIN(MAX((A455-$C$13+1)*12,0),$C$17*12),0),MAX(MAX($L$231*(1-$C$15),0)*(1+$C$16/12)^MIN(MAX((A455-$C$13+1)*12,0),$C$17*12)-(IF($C$17&lt;=0,0,IF($C$16=0,MAX($L$231*(1-$C$15),0)/$C$17,-PMT($C$16/12,$C$17*12,MAX($L$231*(1-$C$15),0))*12))/12)*(((1+$C$16/12)^MIN(MAX((A455-$C$13+1)*12,0),$C$17*12)-1)/($C$16/12)),0)))</f>
        <v/>
      </c>
      <c r="Z455" s="138">
        <f>MAX(X455-Y455,0)</f>
        <v/>
      </c>
      <c r="AA455" s="139">
        <f>U455+Z455</f>
        <v/>
      </c>
      <c r="AB455" s="5" t="n"/>
      <c r="AC455" s="5" t="n"/>
      <c r="AD455" s="5" t="n"/>
      <c r="AE455" s="5" t="n"/>
      <c r="AF455" s="5" t="n"/>
      <c r="AG455" s="5" t="n"/>
    </row>
    <row r="456" outlineLevel="1" s="326">
      <c r="A456" s="140" t="n">
        <v>24</v>
      </c>
      <c r="B456" s="40">
        <f>B103</f>
        <v/>
      </c>
      <c r="C456" s="141">
        <f>D103</f>
        <v/>
      </c>
      <c r="D456" s="141">
        <f>I103</f>
        <v/>
      </c>
      <c r="E456" s="141">
        <f>J103</f>
        <v/>
      </c>
      <c r="F456" s="141">
        <f>K103</f>
        <v/>
      </c>
      <c r="G456" s="138">
        <f>IF(AND($L$231&gt;0,A456=$C$13),$L$231*($C$15+$C$18),0)+IF(AND($L$231&gt;0,A456=$C$13),$C$24,0)</f>
        <v/>
      </c>
      <c r="H456" s="138">
        <f>IF(OR($L$231&lt;=0,A456&lt;$C$13),0,IF(AND($L$231&gt;0,$C$17&gt;0,A456&gt;=$C$13,A456&lt;($C$13+$C$17)),IF($C$17&lt;=0,0,IF($C$16=0,MAX($L$231*(1-$C$15),0)/$C$17,-PMT($C$16/12,$C$17*12,MAX($L$231*(1-$C$15),0))*12)),0)+X456*($C$19+$C$20+$C$21)+$C$22+$C$23)</f>
        <v/>
      </c>
      <c r="I456" s="138">
        <f>IF(B456="Working",MIN(MAX(D456-E456-F456-G456-H456,0),'Tax Assumptions'!$B$20),0)</f>
        <v/>
      </c>
      <c r="J456" s="138">
        <f>IF(B456="Working",D456-E456-F456-I456-G456-H456,-L456)</f>
        <v/>
      </c>
      <c r="K456" s="141">
        <f>IF(B456="Retired",$N$231+G456+H456,0)</f>
        <v/>
      </c>
      <c r="L456" s="141">
        <f>M456+N456+O456+P456</f>
        <v/>
      </c>
      <c r="M456" s="141">
        <f>IF(B456="Retired",MIN(((Q455)*(1+$C$10)+IF(B456="Working",J456,0)),K456),0)</f>
        <v/>
      </c>
      <c r="N456" s="141">
        <f>IF(B456="Retired",MIN(MAX(K456-M456,0),((R455)*(1+$C$10)+IF(B456="Working",E103,0))),0)</f>
        <v/>
      </c>
      <c r="O456" s="141">
        <f>IF(B456="Retired",MIN(MAX(K456-M456-N456,0),((S455)*(1+$C$10)+IF(B456="Working",I456,0))),0)</f>
        <v/>
      </c>
      <c r="P456" s="141">
        <f>IF(B456="Retired",MIN(MAX(K456-M456-N456-O456,0),((T455)*(1+$C$10)+IF(B456="Working",F103,0))),0)</f>
        <v/>
      </c>
      <c r="Q456" s="138">
        <f>MAX(((Q455)*(1+$C$10)+IF(B456="Working",J456,0))-M456,0)</f>
        <v/>
      </c>
      <c r="R456" s="138">
        <f>MAX(((R455)*(1+$C$10)+IF(B456="Working",E103,0))-N456,0)</f>
        <v/>
      </c>
      <c r="S456" s="138">
        <f>MAX(((S455)*(1+$C$10)+IF(B456="Working",I456,0))-O456,0)</f>
        <v/>
      </c>
      <c r="T456" s="138">
        <f>MAX(((T455)*(1+$C$10)+IF(B456="Working",F103,0))-P456,0)</f>
        <v/>
      </c>
      <c r="U456" s="138">
        <f>Q456+R456+S456+T456</f>
        <v/>
      </c>
      <c r="V456" s="138">
        <f>IF(B456="Working",MAX(-(((Q455)*(1+$C$10)+IF(B456="Working",J456,0))),0),MAX(K456-L456,0))</f>
        <v/>
      </c>
      <c r="W456" s="138">
        <f>IF(OR(A456&gt;=$C$13,B456="Retired"),IF(V456&gt;0,-V456,U456-'Model Inputs'!$B$18),"")</f>
        <v/>
      </c>
      <c r="X456" s="138">
        <f>IF(AND($L$231&gt;0,A456&gt;=$C$13),$L$231*(1+$C$25)^(A456-$C$13),0)</f>
        <v/>
      </c>
      <c r="Y456" s="138">
        <f>IF(OR($L$231&lt;=0,$C$17&lt;=0,A456&lt;$C$13,MIN(MAX((A456-$C$13+1)*12,0),$C$17*12)&gt;=$C$17*12),0,IF($C$16=0,MAX(MAX($L$231*(1-$C$15),0)-(IF($C$17&lt;=0,0,IF($C$16=0,MAX($L$231*(1-$C$15),0)/$C$17,-PMT($C$16/12,$C$17*12,MAX($L$231*(1-$C$15),0))*12))/12)*MIN(MAX((A456-$C$13+1)*12,0),$C$17*12),0),MAX(MAX($L$231*(1-$C$15),0)*(1+$C$16/12)^MIN(MAX((A456-$C$13+1)*12,0),$C$17*12)-(IF($C$17&lt;=0,0,IF($C$16=0,MAX($L$231*(1-$C$15),0)/$C$17,-PMT($C$16/12,$C$17*12,MAX($L$231*(1-$C$15),0))*12))/12)*(((1+$C$16/12)^MIN(MAX((A456-$C$13+1)*12,0),$C$17*12)-1)/($C$16/12)),0)))</f>
        <v/>
      </c>
      <c r="Z456" s="138">
        <f>MAX(X456-Y456,0)</f>
        <v/>
      </c>
      <c r="AA456" s="142">
        <f>U456+Z456</f>
        <v/>
      </c>
      <c r="AB456" s="5" t="n"/>
      <c r="AC456" s="5" t="n"/>
      <c r="AD456" s="5" t="n"/>
      <c r="AE456" s="5" t="n"/>
      <c r="AF456" s="5" t="n"/>
      <c r="AG456" s="5" t="n"/>
    </row>
    <row r="457" outlineLevel="1" s="326">
      <c r="A457" s="136" t="n">
        <v>25</v>
      </c>
      <c r="B457" s="72">
        <f>B104</f>
        <v/>
      </c>
      <c r="C457" s="137">
        <f>D104</f>
        <v/>
      </c>
      <c r="D457" s="137">
        <f>I104</f>
        <v/>
      </c>
      <c r="E457" s="137">
        <f>J104</f>
        <v/>
      </c>
      <c r="F457" s="137">
        <f>K104</f>
        <v/>
      </c>
      <c r="G457" s="138">
        <f>IF(AND($L$231&gt;0,A457=$C$13),$L$231*($C$15+$C$18),0)+IF(AND($L$231&gt;0,A457=$C$13),$C$24,0)</f>
        <v/>
      </c>
      <c r="H457" s="138">
        <f>IF(OR($L$231&lt;=0,A457&lt;$C$13),0,IF(AND($L$231&gt;0,$C$17&gt;0,A457&gt;=$C$13,A457&lt;($C$13+$C$17)),IF($C$17&lt;=0,0,IF($C$16=0,MAX($L$231*(1-$C$15),0)/$C$17,-PMT($C$16/12,$C$17*12,MAX($L$231*(1-$C$15),0))*12)),0)+X457*($C$19+$C$20+$C$21)+$C$22+$C$23)</f>
        <v/>
      </c>
      <c r="I457" s="138">
        <f>IF(B457="Working",MIN(MAX(D457-E457-F457-G457-H457,0),'Tax Assumptions'!$B$20),0)</f>
        <v/>
      </c>
      <c r="J457" s="138">
        <f>IF(B457="Working",D457-E457-F457-I457-G457-H457,-L457)</f>
        <v/>
      </c>
      <c r="K457" s="137">
        <f>IF(B457="Retired",$N$231+G457+H457,0)</f>
        <v/>
      </c>
      <c r="L457" s="137">
        <f>M457+N457+O457+P457</f>
        <v/>
      </c>
      <c r="M457" s="137">
        <f>IF(B457="Retired",MIN(((Q456)*(1+$C$10)+IF(B457="Working",J457,0)),K457),0)</f>
        <v/>
      </c>
      <c r="N457" s="137">
        <f>IF(B457="Retired",MIN(MAX(K457-M457,0),((R456)*(1+$C$10)+IF(B457="Working",E104,0))),0)</f>
        <v/>
      </c>
      <c r="O457" s="137">
        <f>IF(B457="Retired",MIN(MAX(K457-M457-N457,0),((S456)*(1+$C$10)+IF(B457="Working",I457,0))),0)</f>
        <v/>
      </c>
      <c r="P457" s="137">
        <f>IF(B457="Retired",MIN(MAX(K457-M457-N457-O457,0),((T456)*(1+$C$10)+IF(B457="Working",F104,0))),0)</f>
        <v/>
      </c>
      <c r="Q457" s="138">
        <f>MAX(((Q456)*(1+$C$10)+IF(B457="Working",J457,0))-M457,0)</f>
        <v/>
      </c>
      <c r="R457" s="138">
        <f>MAX(((R456)*(1+$C$10)+IF(B457="Working",E104,0))-N457,0)</f>
        <v/>
      </c>
      <c r="S457" s="138">
        <f>MAX(((S456)*(1+$C$10)+IF(B457="Working",I457,0))-O457,0)</f>
        <v/>
      </c>
      <c r="T457" s="138">
        <f>MAX(((T456)*(1+$C$10)+IF(B457="Working",F104,0))-P457,0)</f>
        <v/>
      </c>
      <c r="U457" s="138">
        <f>Q457+R457+S457+T457</f>
        <v/>
      </c>
      <c r="V457" s="138">
        <f>IF(B457="Working",MAX(-(((Q456)*(1+$C$10)+IF(B457="Working",J457,0))),0),MAX(K457-L457,0))</f>
        <v/>
      </c>
      <c r="W457" s="138">
        <f>IF(OR(A457&gt;=$C$13,B457="Retired"),IF(V457&gt;0,-V457,U457-'Model Inputs'!$B$18),"")</f>
        <v/>
      </c>
      <c r="X457" s="138">
        <f>IF(AND($L$231&gt;0,A457&gt;=$C$13),$L$231*(1+$C$25)^(A457-$C$13),0)</f>
        <v/>
      </c>
      <c r="Y457" s="138">
        <f>IF(OR($L$231&lt;=0,$C$17&lt;=0,A457&lt;$C$13,MIN(MAX((A457-$C$13+1)*12,0),$C$17*12)&gt;=$C$17*12),0,IF($C$16=0,MAX(MAX($L$231*(1-$C$15),0)-(IF($C$17&lt;=0,0,IF($C$16=0,MAX($L$231*(1-$C$15),0)/$C$17,-PMT($C$16/12,$C$17*12,MAX($L$231*(1-$C$15),0))*12))/12)*MIN(MAX((A457-$C$13+1)*12,0),$C$17*12),0),MAX(MAX($L$231*(1-$C$15),0)*(1+$C$16/12)^MIN(MAX((A457-$C$13+1)*12,0),$C$17*12)-(IF($C$17&lt;=0,0,IF($C$16=0,MAX($L$231*(1-$C$15),0)/$C$17,-PMT($C$16/12,$C$17*12,MAX($L$231*(1-$C$15),0))*12))/12)*(((1+$C$16/12)^MIN(MAX((A457-$C$13+1)*12,0),$C$17*12)-1)/($C$16/12)),0)))</f>
        <v/>
      </c>
      <c r="Z457" s="138">
        <f>MAX(X457-Y457,0)</f>
        <v/>
      </c>
      <c r="AA457" s="139">
        <f>U457+Z457</f>
        <v/>
      </c>
      <c r="AB457" s="5" t="n"/>
      <c r="AC457" s="5" t="n"/>
      <c r="AD457" s="5" t="n"/>
      <c r="AE457" s="5" t="n"/>
      <c r="AF457" s="5" t="n"/>
      <c r="AG457" s="5" t="n"/>
    </row>
    <row r="458" outlineLevel="1" s="326">
      <c r="A458" s="140" t="n">
        <v>26</v>
      </c>
      <c r="B458" s="40">
        <f>B105</f>
        <v/>
      </c>
      <c r="C458" s="141">
        <f>D105</f>
        <v/>
      </c>
      <c r="D458" s="141">
        <f>I105</f>
        <v/>
      </c>
      <c r="E458" s="141">
        <f>J105</f>
        <v/>
      </c>
      <c r="F458" s="141">
        <f>K105</f>
        <v/>
      </c>
      <c r="G458" s="138">
        <f>IF(AND($L$231&gt;0,A458=$C$13),$L$231*($C$15+$C$18),0)+IF(AND($L$231&gt;0,A458=$C$13),$C$24,0)</f>
        <v/>
      </c>
      <c r="H458" s="138">
        <f>IF(OR($L$231&lt;=0,A458&lt;$C$13),0,IF(AND($L$231&gt;0,$C$17&gt;0,A458&gt;=$C$13,A458&lt;($C$13+$C$17)),IF($C$17&lt;=0,0,IF($C$16=0,MAX($L$231*(1-$C$15),0)/$C$17,-PMT($C$16/12,$C$17*12,MAX($L$231*(1-$C$15),0))*12)),0)+X458*($C$19+$C$20+$C$21)+$C$22+$C$23)</f>
        <v/>
      </c>
      <c r="I458" s="138">
        <f>IF(B458="Working",MIN(MAX(D458-E458-F458-G458-H458,0),'Tax Assumptions'!$B$20),0)</f>
        <v/>
      </c>
      <c r="J458" s="138">
        <f>IF(B458="Working",D458-E458-F458-I458-G458-H458,-L458)</f>
        <v/>
      </c>
      <c r="K458" s="141">
        <f>IF(B458="Retired",$N$231+G458+H458,0)</f>
        <v/>
      </c>
      <c r="L458" s="141">
        <f>M458+N458+O458+P458</f>
        <v/>
      </c>
      <c r="M458" s="141">
        <f>IF(B458="Retired",MIN(((Q457)*(1+$C$10)+IF(B458="Working",J458,0)),K458),0)</f>
        <v/>
      </c>
      <c r="N458" s="141">
        <f>IF(B458="Retired",MIN(MAX(K458-M458,0),((R457)*(1+$C$10)+IF(B458="Working",E105,0))),0)</f>
        <v/>
      </c>
      <c r="O458" s="141">
        <f>IF(B458="Retired",MIN(MAX(K458-M458-N458,0),((S457)*(1+$C$10)+IF(B458="Working",I458,0))),0)</f>
        <v/>
      </c>
      <c r="P458" s="141">
        <f>IF(B458="Retired",MIN(MAX(K458-M458-N458-O458,0),((T457)*(1+$C$10)+IF(B458="Working",F105,0))),0)</f>
        <v/>
      </c>
      <c r="Q458" s="138">
        <f>MAX(((Q457)*(1+$C$10)+IF(B458="Working",J458,0))-M458,0)</f>
        <v/>
      </c>
      <c r="R458" s="138">
        <f>MAX(((R457)*(1+$C$10)+IF(B458="Working",E105,0))-N458,0)</f>
        <v/>
      </c>
      <c r="S458" s="138">
        <f>MAX(((S457)*(1+$C$10)+IF(B458="Working",I458,0))-O458,0)</f>
        <v/>
      </c>
      <c r="T458" s="138">
        <f>MAX(((T457)*(1+$C$10)+IF(B458="Working",F105,0))-P458,0)</f>
        <v/>
      </c>
      <c r="U458" s="138">
        <f>Q458+R458+S458+T458</f>
        <v/>
      </c>
      <c r="V458" s="138">
        <f>IF(B458="Working",MAX(-(((Q457)*(1+$C$10)+IF(B458="Working",J458,0))),0),MAX(K458-L458,0))</f>
        <v/>
      </c>
      <c r="W458" s="138">
        <f>IF(OR(A458&gt;=$C$13,B458="Retired"),IF(V458&gt;0,-V458,U458-'Model Inputs'!$B$18),"")</f>
        <v/>
      </c>
      <c r="X458" s="138">
        <f>IF(AND($L$231&gt;0,A458&gt;=$C$13),$L$231*(1+$C$25)^(A458-$C$13),0)</f>
        <v/>
      </c>
      <c r="Y458" s="138">
        <f>IF(OR($L$231&lt;=0,$C$17&lt;=0,A458&lt;$C$13,MIN(MAX((A458-$C$13+1)*12,0),$C$17*12)&gt;=$C$17*12),0,IF($C$16=0,MAX(MAX($L$231*(1-$C$15),0)-(IF($C$17&lt;=0,0,IF($C$16=0,MAX($L$231*(1-$C$15),0)/$C$17,-PMT($C$16/12,$C$17*12,MAX($L$231*(1-$C$15),0))*12))/12)*MIN(MAX((A458-$C$13+1)*12,0),$C$17*12),0),MAX(MAX($L$231*(1-$C$15),0)*(1+$C$16/12)^MIN(MAX((A458-$C$13+1)*12,0),$C$17*12)-(IF($C$17&lt;=0,0,IF($C$16=0,MAX($L$231*(1-$C$15),0)/$C$17,-PMT($C$16/12,$C$17*12,MAX($L$231*(1-$C$15),0))*12))/12)*(((1+$C$16/12)^MIN(MAX((A458-$C$13+1)*12,0),$C$17*12)-1)/($C$16/12)),0)))</f>
        <v/>
      </c>
      <c r="Z458" s="138">
        <f>MAX(X458-Y458,0)</f>
        <v/>
      </c>
      <c r="AA458" s="142">
        <f>U458+Z458</f>
        <v/>
      </c>
      <c r="AB458" s="5" t="n"/>
      <c r="AC458" s="5" t="n"/>
      <c r="AD458" s="5" t="n"/>
      <c r="AE458" s="5" t="n"/>
      <c r="AF458" s="5" t="n"/>
      <c r="AG458" s="5" t="n"/>
    </row>
    <row r="459" outlineLevel="1" s="326">
      <c r="A459" s="136" t="n">
        <v>27</v>
      </c>
      <c r="B459" s="72">
        <f>B106</f>
        <v/>
      </c>
      <c r="C459" s="137">
        <f>D106</f>
        <v/>
      </c>
      <c r="D459" s="137">
        <f>I106</f>
        <v/>
      </c>
      <c r="E459" s="137">
        <f>J106</f>
        <v/>
      </c>
      <c r="F459" s="137">
        <f>K106</f>
        <v/>
      </c>
      <c r="G459" s="138">
        <f>IF(AND($L$231&gt;0,A459=$C$13),$L$231*($C$15+$C$18),0)+IF(AND($L$231&gt;0,A459=$C$13),$C$24,0)</f>
        <v/>
      </c>
      <c r="H459" s="138">
        <f>IF(OR($L$231&lt;=0,A459&lt;$C$13),0,IF(AND($L$231&gt;0,$C$17&gt;0,A459&gt;=$C$13,A459&lt;($C$13+$C$17)),IF($C$17&lt;=0,0,IF($C$16=0,MAX($L$231*(1-$C$15),0)/$C$17,-PMT($C$16/12,$C$17*12,MAX($L$231*(1-$C$15),0))*12)),0)+X459*($C$19+$C$20+$C$21)+$C$22+$C$23)</f>
        <v/>
      </c>
      <c r="I459" s="138">
        <f>IF(B459="Working",MIN(MAX(D459-E459-F459-G459-H459,0),'Tax Assumptions'!$B$20),0)</f>
        <v/>
      </c>
      <c r="J459" s="138">
        <f>IF(B459="Working",D459-E459-F459-I459-G459-H459,-L459)</f>
        <v/>
      </c>
      <c r="K459" s="137">
        <f>IF(B459="Retired",$N$231+G459+H459,0)</f>
        <v/>
      </c>
      <c r="L459" s="137">
        <f>M459+N459+O459+P459</f>
        <v/>
      </c>
      <c r="M459" s="137">
        <f>IF(B459="Retired",MIN(((Q458)*(1+$C$10)+IF(B459="Working",J459,0)),K459),0)</f>
        <v/>
      </c>
      <c r="N459" s="137">
        <f>IF(B459="Retired",MIN(MAX(K459-M459,0),((R458)*(1+$C$10)+IF(B459="Working",E106,0))),0)</f>
        <v/>
      </c>
      <c r="O459" s="137">
        <f>IF(B459="Retired",MIN(MAX(K459-M459-N459,0),((S458)*(1+$C$10)+IF(B459="Working",I459,0))),0)</f>
        <v/>
      </c>
      <c r="P459" s="137">
        <f>IF(B459="Retired",MIN(MAX(K459-M459-N459-O459,0),((T458)*(1+$C$10)+IF(B459="Working",F106,0))),0)</f>
        <v/>
      </c>
      <c r="Q459" s="138">
        <f>MAX(((Q458)*(1+$C$10)+IF(B459="Working",J459,0))-M459,0)</f>
        <v/>
      </c>
      <c r="R459" s="138">
        <f>MAX(((R458)*(1+$C$10)+IF(B459="Working",E106,0))-N459,0)</f>
        <v/>
      </c>
      <c r="S459" s="138">
        <f>MAX(((S458)*(1+$C$10)+IF(B459="Working",I459,0))-O459,0)</f>
        <v/>
      </c>
      <c r="T459" s="138">
        <f>MAX(((T458)*(1+$C$10)+IF(B459="Working",F106,0))-P459,0)</f>
        <v/>
      </c>
      <c r="U459" s="138">
        <f>Q459+R459+S459+T459</f>
        <v/>
      </c>
      <c r="V459" s="138">
        <f>IF(B459="Working",MAX(-(((Q458)*(1+$C$10)+IF(B459="Working",J459,0))),0),MAX(K459-L459,0))</f>
        <v/>
      </c>
      <c r="W459" s="138">
        <f>IF(OR(A459&gt;=$C$13,B459="Retired"),IF(V459&gt;0,-V459,U459-'Model Inputs'!$B$18),"")</f>
        <v/>
      </c>
      <c r="X459" s="138">
        <f>IF(AND($L$231&gt;0,A459&gt;=$C$13),$L$231*(1+$C$25)^(A459-$C$13),0)</f>
        <v/>
      </c>
      <c r="Y459" s="138">
        <f>IF(OR($L$231&lt;=0,$C$17&lt;=0,A459&lt;$C$13,MIN(MAX((A459-$C$13+1)*12,0),$C$17*12)&gt;=$C$17*12),0,IF($C$16=0,MAX(MAX($L$231*(1-$C$15),0)-(IF($C$17&lt;=0,0,IF($C$16=0,MAX($L$231*(1-$C$15),0)/$C$17,-PMT($C$16/12,$C$17*12,MAX($L$231*(1-$C$15),0))*12))/12)*MIN(MAX((A459-$C$13+1)*12,0),$C$17*12),0),MAX(MAX($L$231*(1-$C$15),0)*(1+$C$16/12)^MIN(MAX((A459-$C$13+1)*12,0),$C$17*12)-(IF($C$17&lt;=0,0,IF($C$16=0,MAX($L$231*(1-$C$15),0)/$C$17,-PMT($C$16/12,$C$17*12,MAX($L$231*(1-$C$15),0))*12))/12)*(((1+$C$16/12)^MIN(MAX((A459-$C$13+1)*12,0),$C$17*12)-1)/($C$16/12)),0)))</f>
        <v/>
      </c>
      <c r="Z459" s="138">
        <f>MAX(X459-Y459,0)</f>
        <v/>
      </c>
      <c r="AA459" s="139">
        <f>U459+Z459</f>
        <v/>
      </c>
      <c r="AB459" s="5" t="n"/>
      <c r="AC459" s="5" t="n"/>
      <c r="AD459" s="5" t="n"/>
      <c r="AE459" s="5" t="n"/>
      <c r="AF459" s="5" t="n"/>
      <c r="AG459" s="5" t="n"/>
    </row>
    <row r="460" outlineLevel="1" s="326">
      <c r="A460" s="140" t="n">
        <v>28</v>
      </c>
      <c r="B460" s="40">
        <f>B107</f>
        <v/>
      </c>
      <c r="C460" s="141">
        <f>D107</f>
        <v/>
      </c>
      <c r="D460" s="141">
        <f>I107</f>
        <v/>
      </c>
      <c r="E460" s="141">
        <f>J107</f>
        <v/>
      </c>
      <c r="F460" s="141">
        <f>K107</f>
        <v/>
      </c>
      <c r="G460" s="138">
        <f>IF(AND($L$231&gt;0,A460=$C$13),$L$231*($C$15+$C$18),0)+IF(AND($L$231&gt;0,A460=$C$13),$C$24,0)</f>
        <v/>
      </c>
      <c r="H460" s="138">
        <f>IF(OR($L$231&lt;=0,A460&lt;$C$13),0,IF(AND($L$231&gt;0,$C$17&gt;0,A460&gt;=$C$13,A460&lt;($C$13+$C$17)),IF($C$17&lt;=0,0,IF($C$16=0,MAX($L$231*(1-$C$15),0)/$C$17,-PMT($C$16/12,$C$17*12,MAX($L$231*(1-$C$15),0))*12)),0)+X460*($C$19+$C$20+$C$21)+$C$22+$C$23)</f>
        <v/>
      </c>
      <c r="I460" s="138">
        <f>IF(B460="Working",MIN(MAX(D460-E460-F460-G460-H460,0),'Tax Assumptions'!$B$20),0)</f>
        <v/>
      </c>
      <c r="J460" s="138">
        <f>IF(B460="Working",D460-E460-F460-I460-G460-H460,-L460)</f>
        <v/>
      </c>
      <c r="K460" s="141">
        <f>IF(B460="Retired",$N$231+G460+H460,0)</f>
        <v/>
      </c>
      <c r="L460" s="141">
        <f>M460+N460+O460+P460</f>
        <v/>
      </c>
      <c r="M460" s="141">
        <f>IF(B460="Retired",MIN(((Q459)*(1+$C$10)+IF(B460="Working",J460,0)),K460),0)</f>
        <v/>
      </c>
      <c r="N460" s="141">
        <f>IF(B460="Retired",MIN(MAX(K460-M460,0),((R459)*(1+$C$10)+IF(B460="Working",E107,0))),0)</f>
        <v/>
      </c>
      <c r="O460" s="141">
        <f>IF(B460="Retired",MIN(MAX(K460-M460-N460,0),((S459)*(1+$C$10)+IF(B460="Working",I460,0))),0)</f>
        <v/>
      </c>
      <c r="P460" s="141">
        <f>IF(B460="Retired",MIN(MAX(K460-M460-N460-O460,0),((T459)*(1+$C$10)+IF(B460="Working",F107,0))),0)</f>
        <v/>
      </c>
      <c r="Q460" s="138">
        <f>MAX(((Q459)*(1+$C$10)+IF(B460="Working",J460,0))-M460,0)</f>
        <v/>
      </c>
      <c r="R460" s="138">
        <f>MAX(((R459)*(1+$C$10)+IF(B460="Working",E107,0))-N460,0)</f>
        <v/>
      </c>
      <c r="S460" s="138">
        <f>MAX(((S459)*(1+$C$10)+IF(B460="Working",I460,0))-O460,0)</f>
        <v/>
      </c>
      <c r="T460" s="138">
        <f>MAX(((T459)*(1+$C$10)+IF(B460="Working",F107,0))-P460,0)</f>
        <v/>
      </c>
      <c r="U460" s="138">
        <f>Q460+R460+S460+T460</f>
        <v/>
      </c>
      <c r="V460" s="138">
        <f>IF(B460="Working",MAX(-(((Q459)*(1+$C$10)+IF(B460="Working",J460,0))),0),MAX(K460-L460,0))</f>
        <v/>
      </c>
      <c r="W460" s="138">
        <f>IF(OR(A460&gt;=$C$13,B460="Retired"),IF(V460&gt;0,-V460,U460-'Model Inputs'!$B$18),"")</f>
        <v/>
      </c>
      <c r="X460" s="138">
        <f>IF(AND($L$231&gt;0,A460&gt;=$C$13),$L$231*(1+$C$25)^(A460-$C$13),0)</f>
        <v/>
      </c>
      <c r="Y460" s="138">
        <f>IF(OR($L$231&lt;=0,$C$17&lt;=0,A460&lt;$C$13,MIN(MAX((A460-$C$13+1)*12,0),$C$17*12)&gt;=$C$17*12),0,IF($C$16=0,MAX(MAX($L$231*(1-$C$15),0)-(IF($C$17&lt;=0,0,IF($C$16=0,MAX($L$231*(1-$C$15),0)/$C$17,-PMT($C$16/12,$C$17*12,MAX($L$231*(1-$C$15),0))*12))/12)*MIN(MAX((A460-$C$13+1)*12,0),$C$17*12),0),MAX(MAX($L$231*(1-$C$15),0)*(1+$C$16/12)^MIN(MAX((A460-$C$13+1)*12,0),$C$17*12)-(IF($C$17&lt;=0,0,IF($C$16=0,MAX($L$231*(1-$C$15),0)/$C$17,-PMT($C$16/12,$C$17*12,MAX($L$231*(1-$C$15),0))*12))/12)*(((1+$C$16/12)^MIN(MAX((A460-$C$13+1)*12,0),$C$17*12)-1)/($C$16/12)),0)))</f>
        <v/>
      </c>
      <c r="Z460" s="138">
        <f>MAX(X460-Y460,0)</f>
        <v/>
      </c>
      <c r="AA460" s="142">
        <f>U460+Z460</f>
        <v/>
      </c>
      <c r="AB460" s="5" t="n"/>
      <c r="AC460" s="5" t="n"/>
      <c r="AD460" s="5" t="n"/>
      <c r="AE460" s="5" t="n"/>
      <c r="AF460" s="5" t="n"/>
      <c r="AG460" s="5" t="n"/>
    </row>
    <row r="461" outlineLevel="1" s="326">
      <c r="A461" s="136" t="n">
        <v>29</v>
      </c>
      <c r="B461" s="72">
        <f>B108</f>
        <v/>
      </c>
      <c r="C461" s="137">
        <f>D108</f>
        <v/>
      </c>
      <c r="D461" s="137">
        <f>I108</f>
        <v/>
      </c>
      <c r="E461" s="137">
        <f>J108</f>
        <v/>
      </c>
      <c r="F461" s="137">
        <f>K108</f>
        <v/>
      </c>
      <c r="G461" s="138">
        <f>IF(AND($L$231&gt;0,A461=$C$13),$L$231*($C$15+$C$18),0)+IF(AND($L$231&gt;0,A461=$C$13),$C$24,0)</f>
        <v/>
      </c>
      <c r="H461" s="138">
        <f>IF(OR($L$231&lt;=0,A461&lt;$C$13),0,IF(AND($L$231&gt;0,$C$17&gt;0,A461&gt;=$C$13,A461&lt;($C$13+$C$17)),IF($C$17&lt;=0,0,IF($C$16=0,MAX($L$231*(1-$C$15),0)/$C$17,-PMT($C$16/12,$C$17*12,MAX($L$231*(1-$C$15),0))*12)),0)+X461*($C$19+$C$20+$C$21)+$C$22+$C$23)</f>
        <v/>
      </c>
      <c r="I461" s="138">
        <f>IF(B461="Working",MIN(MAX(D461-E461-F461-G461-H461,0),'Tax Assumptions'!$B$20),0)</f>
        <v/>
      </c>
      <c r="J461" s="138">
        <f>IF(B461="Working",D461-E461-F461-I461-G461-H461,-L461)</f>
        <v/>
      </c>
      <c r="K461" s="137">
        <f>IF(B461="Retired",$N$231+G461+H461,0)</f>
        <v/>
      </c>
      <c r="L461" s="137">
        <f>M461+N461+O461+P461</f>
        <v/>
      </c>
      <c r="M461" s="137">
        <f>IF(B461="Retired",MIN(((Q460)*(1+$C$10)+IF(B461="Working",J461,0)),K461),0)</f>
        <v/>
      </c>
      <c r="N461" s="137">
        <f>IF(B461="Retired",MIN(MAX(K461-M461,0),((R460)*(1+$C$10)+IF(B461="Working",E108,0))),0)</f>
        <v/>
      </c>
      <c r="O461" s="137">
        <f>IF(B461="Retired",MIN(MAX(K461-M461-N461,0),((S460)*(1+$C$10)+IF(B461="Working",I461,0))),0)</f>
        <v/>
      </c>
      <c r="P461" s="137">
        <f>IF(B461="Retired",MIN(MAX(K461-M461-N461-O461,0),((T460)*(1+$C$10)+IF(B461="Working",F108,0))),0)</f>
        <v/>
      </c>
      <c r="Q461" s="138">
        <f>MAX(((Q460)*(1+$C$10)+IF(B461="Working",J461,0))-M461,0)</f>
        <v/>
      </c>
      <c r="R461" s="138">
        <f>MAX(((R460)*(1+$C$10)+IF(B461="Working",E108,0))-N461,0)</f>
        <v/>
      </c>
      <c r="S461" s="138">
        <f>MAX(((S460)*(1+$C$10)+IF(B461="Working",I461,0))-O461,0)</f>
        <v/>
      </c>
      <c r="T461" s="138">
        <f>MAX(((T460)*(1+$C$10)+IF(B461="Working",F108,0))-P461,0)</f>
        <v/>
      </c>
      <c r="U461" s="138">
        <f>Q461+R461+S461+T461</f>
        <v/>
      </c>
      <c r="V461" s="138">
        <f>IF(B461="Working",MAX(-(((Q460)*(1+$C$10)+IF(B461="Working",J461,0))),0),MAX(K461-L461,0))</f>
        <v/>
      </c>
      <c r="W461" s="138">
        <f>IF(OR(A461&gt;=$C$13,B461="Retired"),IF(V461&gt;0,-V461,U461-'Model Inputs'!$B$18),"")</f>
        <v/>
      </c>
      <c r="X461" s="138">
        <f>IF(AND($L$231&gt;0,A461&gt;=$C$13),$L$231*(1+$C$25)^(A461-$C$13),0)</f>
        <v/>
      </c>
      <c r="Y461" s="138">
        <f>IF(OR($L$231&lt;=0,$C$17&lt;=0,A461&lt;$C$13,MIN(MAX((A461-$C$13+1)*12,0),$C$17*12)&gt;=$C$17*12),0,IF($C$16=0,MAX(MAX($L$231*(1-$C$15),0)-(IF($C$17&lt;=0,0,IF($C$16=0,MAX($L$231*(1-$C$15),0)/$C$17,-PMT($C$16/12,$C$17*12,MAX($L$231*(1-$C$15),0))*12))/12)*MIN(MAX((A461-$C$13+1)*12,0),$C$17*12),0),MAX(MAX($L$231*(1-$C$15),0)*(1+$C$16/12)^MIN(MAX((A461-$C$13+1)*12,0),$C$17*12)-(IF($C$17&lt;=0,0,IF($C$16=0,MAX($L$231*(1-$C$15),0)/$C$17,-PMT($C$16/12,$C$17*12,MAX($L$231*(1-$C$15),0))*12))/12)*(((1+$C$16/12)^MIN(MAX((A461-$C$13+1)*12,0),$C$17*12)-1)/($C$16/12)),0)))</f>
        <v/>
      </c>
      <c r="Z461" s="138">
        <f>MAX(X461-Y461,0)</f>
        <v/>
      </c>
      <c r="AA461" s="139">
        <f>U461+Z461</f>
        <v/>
      </c>
      <c r="AB461" s="5" t="n"/>
      <c r="AC461" s="5" t="n"/>
      <c r="AD461" s="5" t="n"/>
      <c r="AE461" s="5" t="n"/>
      <c r="AF461" s="5" t="n"/>
      <c r="AG461" s="5" t="n"/>
    </row>
    <row r="462" outlineLevel="1" s="326">
      <c r="A462" s="140" t="n">
        <v>30</v>
      </c>
      <c r="B462" s="40">
        <f>B109</f>
        <v/>
      </c>
      <c r="C462" s="141">
        <f>D109</f>
        <v/>
      </c>
      <c r="D462" s="141">
        <f>I109</f>
        <v/>
      </c>
      <c r="E462" s="141">
        <f>J109</f>
        <v/>
      </c>
      <c r="F462" s="141">
        <f>K109</f>
        <v/>
      </c>
      <c r="G462" s="138">
        <f>IF(AND($L$231&gt;0,A462=$C$13),$L$231*($C$15+$C$18),0)+IF(AND($L$231&gt;0,A462=$C$13),$C$24,0)</f>
        <v/>
      </c>
      <c r="H462" s="138">
        <f>IF(OR($L$231&lt;=0,A462&lt;$C$13),0,IF(AND($L$231&gt;0,$C$17&gt;0,A462&gt;=$C$13,A462&lt;($C$13+$C$17)),IF($C$17&lt;=0,0,IF($C$16=0,MAX($L$231*(1-$C$15),0)/$C$17,-PMT($C$16/12,$C$17*12,MAX($L$231*(1-$C$15),0))*12)),0)+X462*($C$19+$C$20+$C$21)+$C$22+$C$23)</f>
        <v/>
      </c>
      <c r="I462" s="138">
        <f>IF(B462="Working",MIN(MAX(D462-E462-F462-G462-H462,0),'Tax Assumptions'!$B$20),0)</f>
        <v/>
      </c>
      <c r="J462" s="138">
        <f>IF(B462="Working",D462-E462-F462-I462-G462-H462,-L462)</f>
        <v/>
      </c>
      <c r="K462" s="141">
        <f>IF(B462="Retired",$N$231+G462+H462,0)</f>
        <v/>
      </c>
      <c r="L462" s="141">
        <f>M462+N462+O462+P462</f>
        <v/>
      </c>
      <c r="M462" s="141">
        <f>IF(B462="Retired",MIN(((Q461)*(1+$C$10)+IF(B462="Working",J462,0)),K462),0)</f>
        <v/>
      </c>
      <c r="N462" s="141">
        <f>IF(B462="Retired",MIN(MAX(K462-M462,0),((R461)*(1+$C$10)+IF(B462="Working",E109,0))),0)</f>
        <v/>
      </c>
      <c r="O462" s="141">
        <f>IF(B462="Retired",MIN(MAX(K462-M462-N462,0),((S461)*(1+$C$10)+IF(B462="Working",I462,0))),0)</f>
        <v/>
      </c>
      <c r="P462" s="141">
        <f>IF(B462="Retired",MIN(MAX(K462-M462-N462-O462,0),((T461)*(1+$C$10)+IF(B462="Working",F109,0))),0)</f>
        <v/>
      </c>
      <c r="Q462" s="138">
        <f>MAX(((Q461)*(1+$C$10)+IF(B462="Working",J462,0))-M462,0)</f>
        <v/>
      </c>
      <c r="R462" s="138">
        <f>MAX(((R461)*(1+$C$10)+IF(B462="Working",E109,0))-N462,0)</f>
        <v/>
      </c>
      <c r="S462" s="138">
        <f>MAX(((S461)*(1+$C$10)+IF(B462="Working",I462,0))-O462,0)</f>
        <v/>
      </c>
      <c r="T462" s="138">
        <f>MAX(((T461)*(1+$C$10)+IF(B462="Working",F109,0))-P462,0)</f>
        <v/>
      </c>
      <c r="U462" s="138">
        <f>Q462+R462+S462+T462</f>
        <v/>
      </c>
      <c r="V462" s="138">
        <f>IF(B462="Working",MAX(-(((Q461)*(1+$C$10)+IF(B462="Working",J462,0))),0),MAX(K462-L462,0))</f>
        <v/>
      </c>
      <c r="W462" s="138">
        <f>IF(OR(A462&gt;=$C$13,B462="Retired"),IF(V462&gt;0,-V462,U462-'Model Inputs'!$B$18),"")</f>
        <v/>
      </c>
      <c r="X462" s="138">
        <f>IF(AND($L$231&gt;0,A462&gt;=$C$13),$L$231*(1+$C$25)^(A462-$C$13),0)</f>
        <v/>
      </c>
      <c r="Y462" s="138">
        <f>IF(OR($L$231&lt;=0,$C$17&lt;=0,A462&lt;$C$13,MIN(MAX((A462-$C$13+1)*12,0),$C$17*12)&gt;=$C$17*12),0,IF($C$16=0,MAX(MAX($L$231*(1-$C$15),0)-(IF($C$17&lt;=0,0,IF($C$16=0,MAX($L$231*(1-$C$15),0)/$C$17,-PMT($C$16/12,$C$17*12,MAX($L$231*(1-$C$15),0))*12))/12)*MIN(MAX((A462-$C$13+1)*12,0),$C$17*12),0),MAX(MAX($L$231*(1-$C$15),0)*(1+$C$16/12)^MIN(MAX((A462-$C$13+1)*12,0),$C$17*12)-(IF($C$17&lt;=0,0,IF($C$16=0,MAX($L$231*(1-$C$15),0)/$C$17,-PMT($C$16/12,$C$17*12,MAX($L$231*(1-$C$15),0))*12))/12)*(((1+$C$16/12)^MIN(MAX((A462-$C$13+1)*12,0),$C$17*12)-1)/($C$16/12)),0)))</f>
        <v/>
      </c>
      <c r="Z462" s="138">
        <f>MAX(X462-Y462,0)</f>
        <v/>
      </c>
      <c r="AA462" s="142">
        <f>U462+Z462</f>
        <v/>
      </c>
      <c r="AB462" s="5" t="n"/>
      <c r="AC462" s="5" t="n"/>
      <c r="AD462" s="5" t="n"/>
      <c r="AE462" s="5" t="n"/>
      <c r="AF462" s="5" t="n"/>
      <c r="AG462" s="5" t="n"/>
    </row>
    <row r="463" outlineLevel="1" s="326">
      <c r="A463" s="136" t="n">
        <v>31</v>
      </c>
      <c r="B463" s="72">
        <f>B110</f>
        <v/>
      </c>
      <c r="C463" s="137">
        <f>D110</f>
        <v/>
      </c>
      <c r="D463" s="137">
        <f>I110</f>
        <v/>
      </c>
      <c r="E463" s="137">
        <f>J110</f>
        <v/>
      </c>
      <c r="F463" s="137">
        <f>K110</f>
        <v/>
      </c>
      <c r="G463" s="138">
        <f>IF(AND($L$231&gt;0,A463=$C$13),$L$231*($C$15+$C$18),0)+IF(AND($L$231&gt;0,A463=$C$13),$C$24,0)</f>
        <v/>
      </c>
      <c r="H463" s="138">
        <f>IF(OR($L$231&lt;=0,A463&lt;$C$13),0,IF(AND($L$231&gt;0,$C$17&gt;0,A463&gt;=$C$13,A463&lt;($C$13+$C$17)),IF($C$17&lt;=0,0,IF($C$16=0,MAX($L$231*(1-$C$15),0)/$C$17,-PMT($C$16/12,$C$17*12,MAX($L$231*(1-$C$15),0))*12)),0)+X463*($C$19+$C$20+$C$21)+$C$22+$C$23)</f>
        <v/>
      </c>
      <c r="I463" s="138">
        <f>IF(B463="Working",MIN(MAX(D463-E463-F463-G463-H463,0),'Tax Assumptions'!$B$20),0)</f>
        <v/>
      </c>
      <c r="J463" s="138">
        <f>IF(B463="Working",D463-E463-F463-I463-G463-H463,-L463)</f>
        <v/>
      </c>
      <c r="K463" s="137">
        <f>IF(B463="Retired",$N$231+G463+H463,0)</f>
        <v/>
      </c>
      <c r="L463" s="137">
        <f>M463+N463+O463+P463</f>
        <v/>
      </c>
      <c r="M463" s="137">
        <f>IF(B463="Retired",MIN(((Q462)*(1+$C$10)+IF(B463="Working",J463,0)),K463),0)</f>
        <v/>
      </c>
      <c r="N463" s="137">
        <f>IF(B463="Retired",MIN(MAX(K463-M463,0),((R462)*(1+$C$10)+IF(B463="Working",E110,0))),0)</f>
        <v/>
      </c>
      <c r="O463" s="137">
        <f>IF(B463="Retired",MIN(MAX(K463-M463-N463,0),((S462)*(1+$C$10)+IF(B463="Working",I463,0))),0)</f>
        <v/>
      </c>
      <c r="P463" s="137">
        <f>IF(B463="Retired",MIN(MAX(K463-M463-N463-O463,0),((T462)*(1+$C$10)+IF(B463="Working",F110,0))),0)</f>
        <v/>
      </c>
      <c r="Q463" s="138">
        <f>MAX(((Q462)*(1+$C$10)+IF(B463="Working",J463,0))-M463,0)</f>
        <v/>
      </c>
      <c r="R463" s="138">
        <f>MAX(((R462)*(1+$C$10)+IF(B463="Working",E110,0))-N463,0)</f>
        <v/>
      </c>
      <c r="S463" s="138">
        <f>MAX(((S462)*(1+$C$10)+IF(B463="Working",I463,0))-O463,0)</f>
        <v/>
      </c>
      <c r="T463" s="138">
        <f>MAX(((T462)*(1+$C$10)+IF(B463="Working",F110,0))-P463,0)</f>
        <v/>
      </c>
      <c r="U463" s="138">
        <f>Q463+R463+S463+T463</f>
        <v/>
      </c>
      <c r="V463" s="138">
        <f>IF(B463="Working",MAX(-(((Q462)*(1+$C$10)+IF(B463="Working",J463,0))),0),MAX(K463-L463,0))</f>
        <v/>
      </c>
      <c r="W463" s="138">
        <f>IF(OR(A463&gt;=$C$13,B463="Retired"),IF(V463&gt;0,-V463,U463-'Model Inputs'!$B$18),"")</f>
        <v/>
      </c>
      <c r="X463" s="138">
        <f>IF(AND($L$231&gt;0,A463&gt;=$C$13),$L$231*(1+$C$25)^(A463-$C$13),0)</f>
        <v/>
      </c>
      <c r="Y463" s="138">
        <f>IF(OR($L$231&lt;=0,$C$17&lt;=0,A463&lt;$C$13,MIN(MAX((A463-$C$13+1)*12,0),$C$17*12)&gt;=$C$17*12),0,IF($C$16=0,MAX(MAX($L$231*(1-$C$15),0)-(IF($C$17&lt;=0,0,IF($C$16=0,MAX($L$231*(1-$C$15),0)/$C$17,-PMT($C$16/12,$C$17*12,MAX($L$231*(1-$C$15),0))*12))/12)*MIN(MAX((A463-$C$13+1)*12,0),$C$17*12),0),MAX(MAX($L$231*(1-$C$15),0)*(1+$C$16/12)^MIN(MAX((A463-$C$13+1)*12,0),$C$17*12)-(IF($C$17&lt;=0,0,IF($C$16=0,MAX($L$231*(1-$C$15),0)/$C$17,-PMT($C$16/12,$C$17*12,MAX($L$231*(1-$C$15),0))*12))/12)*(((1+$C$16/12)^MIN(MAX((A463-$C$13+1)*12,0),$C$17*12)-1)/($C$16/12)),0)))</f>
        <v/>
      </c>
      <c r="Z463" s="138">
        <f>MAX(X463-Y463,0)</f>
        <v/>
      </c>
      <c r="AA463" s="139">
        <f>U463+Z463</f>
        <v/>
      </c>
      <c r="AB463" s="5" t="n"/>
      <c r="AC463" s="5" t="n"/>
      <c r="AD463" s="5" t="n"/>
      <c r="AE463" s="5" t="n"/>
      <c r="AF463" s="5" t="n"/>
      <c r="AG463" s="5" t="n"/>
    </row>
    <row r="464" outlineLevel="1" s="326">
      <c r="A464" s="140" t="n">
        <v>32</v>
      </c>
      <c r="B464" s="40">
        <f>B111</f>
        <v/>
      </c>
      <c r="C464" s="141">
        <f>D111</f>
        <v/>
      </c>
      <c r="D464" s="141">
        <f>I111</f>
        <v/>
      </c>
      <c r="E464" s="141">
        <f>J111</f>
        <v/>
      </c>
      <c r="F464" s="141">
        <f>K111</f>
        <v/>
      </c>
      <c r="G464" s="138">
        <f>IF(AND($L$231&gt;0,A464=$C$13),$L$231*($C$15+$C$18),0)+IF(AND($L$231&gt;0,A464=$C$13),$C$24,0)</f>
        <v/>
      </c>
      <c r="H464" s="138">
        <f>IF(OR($L$231&lt;=0,A464&lt;$C$13),0,IF(AND($L$231&gt;0,$C$17&gt;0,A464&gt;=$C$13,A464&lt;($C$13+$C$17)),IF($C$17&lt;=0,0,IF($C$16=0,MAX($L$231*(1-$C$15),0)/$C$17,-PMT($C$16/12,$C$17*12,MAX($L$231*(1-$C$15),0))*12)),0)+X464*($C$19+$C$20+$C$21)+$C$22+$C$23)</f>
        <v/>
      </c>
      <c r="I464" s="138">
        <f>IF(B464="Working",MIN(MAX(D464-E464-F464-G464-H464,0),'Tax Assumptions'!$B$20),0)</f>
        <v/>
      </c>
      <c r="J464" s="138">
        <f>IF(B464="Working",D464-E464-F464-I464-G464-H464,-L464)</f>
        <v/>
      </c>
      <c r="K464" s="141">
        <f>IF(B464="Retired",$N$231+G464+H464,0)</f>
        <v/>
      </c>
      <c r="L464" s="141">
        <f>M464+N464+O464+P464</f>
        <v/>
      </c>
      <c r="M464" s="141">
        <f>IF(B464="Retired",MIN(((Q463)*(1+$C$10)+IF(B464="Working",J464,0)),K464),0)</f>
        <v/>
      </c>
      <c r="N464" s="141">
        <f>IF(B464="Retired",MIN(MAX(K464-M464,0),((R463)*(1+$C$10)+IF(B464="Working",E111,0))),0)</f>
        <v/>
      </c>
      <c r="O464" s="141">
        <f>IF(B464="Retired",MIN(MAX(K464-M464-N464,0),((S463)*(1+$C$10)+IF(B464="Working",I464,0))),0)</f>
        <v/>
      </c>
      <c r="P464" s="141">
        <f>IF(B464="Retired",MIN(MAX(K464-M464-N464-O464,0),((T463)*(1+$C$10)+IF(B464="Working",F111,0))),0)</f>
        <v/>
      </c>
      <c r="Q464" s="138">
        <f>MAX(((Q463)*(1+$C$10)+IF(B464="Working",J464,0))-M464,0)</f>
        <v/>
      </c>
      <c r="R464" s="138">
        <f>MAX(((R463)*(1+$C$10)+IF(B464="Working",E111,0))-N464,0)</f>
        <v/>
      </c>
      <c r="S464" s="138">
        <f>MAX(((S463)*(1+$C$10)+IF(B464="Working",I464,0))-O464,0)</f>
        <v/>
      </c>
      <c r="T464" s="138">
        <f>MAX(((T463)*(1+$C$10)+IF(B464="Working",F111,0))-P464,0)</f>
        <v/>
      </c>
      <c r="U464" s="138">
        <f>Q464+R464+S464+T464</f>
        <v/>
      </c>
      <c r="V464" s="138">
        <f>IF(B464="Working",MAX(-(((Q463)*(1+$C$10)+IF(B464="Working",J464,0))),0),MAX(K464-L464,0))</f>
        <v/>
      </c>
      <c r="W464" s="138">
        <f>IF(OR(A464&gt;=$C$13,B464="Retired"),IF(V464&gt;0,-V464,U464-'Model Inputs'!$B$18),"")</f>
        <v/>
      </c>
      <c r="X464" s="138">
        <f>IF(AND($L$231&gt;0,A464&gt;=$C$13),$L$231*(1+$C$25)^(A464-$C$13),0)</f>
        <v/>
      </c>
      <c r="Y464" s="138">
        <f>IF(OR($L$231&lt;=0,$C$17&lt;=0,A464&lt;$C$13,MIN(MAX((A464-$C$13+1)*12,0),$C$17*12)&gt;=$C$17*12),0,IF($C$16=0,MAX(MAX($L$231*(1-$C$15),0)-(IF($C$17&lt;=0,0,IF($C$16=0,MAX($L$231*(1-$C$15),0)/$C$17,-PMT($C$16/12,$C$17*12,MAX($L$231*(1-$C$15),0))*12))/12)*MIN(MAX((A464-$C$13+1)*12,0),$C$17*12),0),MAX(MAX($L$231*(1-$C$15),0)*(1+$C$16/12)^MIN(MAX((A464-$C$13+1)*12,0),$C$17*12)-(IF($C$17&lt;=0,0,IF($C$16=0,MAX($L$231*(1-$C$15),0)/$C$17,-PMT($C$16/12,$C$17*12,MAX($L$231*(1-$C$15),0))*12))/12)*(((1+$C$16/12)^MIN(MAX((A464-$C$13+1)*12,0),$C$17*12)-1)/($C$16/12)),0)))</f>
        <v/>
      </c>
      <c r="Z464" s="138">
        <f>MAX(X464-Y464,0)</f>
        <v/>
      </c>
      <c r="AA464" s="142">
        <f>U464+Z464</f>
        <v/>
      </c>
      <c r="AB464" s="5" t="n"/>
      <c r="AC464" s="5" t="n"/>
      <c r="AD464" s="5" t="n"/>
      <c r="AE464" s="5" t="n"/>
      <c r="AF464" s="5" t="n"/>
      <c r="AG464" s="5" t="n"/>
    </row>
    <row r="465" outlineLevel="1" s="326">
      <c r="A465" s="136" t="n">
        <v>33</v>
      </c>
      <c r="B465" s="72">
        <f>B112</f>
        <v/>
      </c>
      <c r="C465" s="137">
        <f>D112</f>
        <v/>
      </c>
      <c r="D465" s="137">
        <f>I112</f>
        <v/>
      </c>
      <c r="E465" s="137">
        <f>J112</f>
        <v/>
      </c>
      <c r="F465" s="137">
        <f>K112</f>
        <v/>
      </c>
      <c r="G465" s="138">
        <f>IF(AND($L$231&gt;0,A465=$C$13),$L$231*($C$15+$C$18),0)+IF(AND($L$231&gt;0,A465=$C$13),$C$24,0)</f>
        <v/>
      </c>
      <c r="H465" s="138">
        <f>IF(OR($L$231&lt;=0,A465&lt;$C$13),0,IF(AND($L$231&gt;0,$C$17&gt;0,A465&gt;=$C$13,A465&lt;($C$13+$C$17)),IF($C$17&lt;=0,0,IF($C$16=0,MAX($L$231*(1-$C$15),0)/$C$17,-PMT($C$16/12,$C$17*12,MAX($L$231*(1-$C$15),0))*12)),0)+X465*($C$19+$C$20+$C$21)+$C$22+$C$23)</f>
        <v/>
      </c>
      <c r="I465" s="138">
        <f>IF(B465="Working",MIN(MAX(D465-E465-F465-G465-H465,0),'Tax Assumptions'!$B$20),0)</f>
        <v/>
      </c>
      <c r="J465" s="138">
        <f>IF(B465="Working",D465-E465-F465-I465-G465-H465,-L465)</f>
        <v/>
      </c>
      <c r="K465" s="137">
        <f>IF(B465="Retired",$N$231+G465+H465,0)</f>
        <v/>
      </c>
      <c r="L465" s="137">
        <f>M465+N465+O465+P465</f>
        <v/>
      </c>
      <c r="M465" s="137">
        <f>IF(B465="Retired",MIN(((Q464)*(1+$C$10)+IF(B465="Working",J465,0)),K465),0)</f>
        <v/>
      </c>
      <c r="N465" s="137">
        <f>IF(B465="Retired",MIN(MAX(K465-M465,0),((R464)*(1+$C$10)+IF(B465="Working",E112,0))),0)</f>
        <v/>
      </c>
      <c r="O465" s="137">
        <f>IF(B465="Retired",MIN(MAX(K465-M465-N465,0),((S464)*(1+$C$10)+IF(B465="Working",I465,0))),0)</f>
        <v/>
      </c>
      <c r="P465" s="137">
        <f>IF(B465="Retired",MIN(MAX(K465-M465-N465-O465,0),((T464)*(1+$C$10)+IF(B465="Working",F112,0))),0)</f>
        <v/>
      </c>
      <c r="Q465" s="138">
        <f>MAX(((Q464)*(1+$C$10)+IF(B465="Working",J465,0))-M465,0)</f>
        <v/>
      </c>
      <c r="R465" s="138">
        <f>MAX(((R464)*(1+$C$10)+IF(B465="Working",E112,0))-N465,0)</f>
        <v/>
      </c>
      <c r="S465" s="138">
        <f>MAX(((S464)*(1+$C$10)+IF(B465="Working",I465,0))-O465,0)</f>
        <v/>
      </c>
      <c r="T465" s="138">
        <f>MAX(((T464)*(1+$C$10)+IF(B465="Working",F112,0))-P465,0)</f>
        <v/>
      </c>
      <c r="U465" s="138">
        <f>Q465+R465+S465+T465</f>
        <v/>
      </c>
      <c r="V465" s="138">
        <f>IF(B465="Working",MAX(-(((Q464)*(1+$C$10)+IF(B465="Working",J465,0))),0),MAX(K465-L465,0))</f>
        <v/>
      </c>
      <c r="W465" s="138">
        <f>IF(OR(A465&gt;=$C$13,B465="Retired"),IF(V465&gt;0,-V465,U465-'Model Inputs'!$B$18),"")</f>
        <v/>
      </c>
      <c r="X465" s="138">
        <f>IF(AND($L$231&gt;0,A465&gt;=$C$13),$L$231*(1+$C$25)^(A465-$C$13),0)</f>
        <v/>
      </c>
      <c r="Y465" s="138">
        <f>IF(OR($L$231&lt;=0,$C$17&lt;=0,A465&lt;$C$13,MIN(MAX((A465-$C$13+1)*12,0),$C$17*12)&gt;=$C$17*12),0,IF($C$16=0,MAX(MAX($L$231*(1-$C$15),0)-(IF($C$17&lt;=0,0,IF($C$16=0,MAX($L$231*(1-$C$15),0)/$C$17,-PMT($C$16/12,$C$17*12,MAX($L$231*(1-$C$15),0))*12))/12)*MIN(MAX((A465-$C$13+1)*12,0),$C$17*12),0),MAX(MAX($L$231*(1-$C$15),0)*(1+$C$16/12)^MIN(MAX((A465-$C$13+1)*12,0),$C$17*12)-(IF($C$17&lt;=0,0,IF($C$16=0,MAX($L$231*(1-$C$15),0)/$C$17,-PMT($C$16/12,$C$17*12,MAX($L$231*(1-$C$15),0))*12))/12)*(((1+$C$16/12)^MIN(MAX((A465-$C$13+1)*12,0),$C$17*12)-1)/($C$16/12)),0)))</f>
        <v/>
      </c>
      <c r="Z465" s="138">
        <f>MAX(X465-Y465,0)</f>
        <v/>
      </c>
      <c r="AA465" s="139">
        <f>U465+Z465</f>
        <v/>
      </c>
      <c r="AB465" s="5" t="n"/>
      <c r="AC465" s="5" t="n"/>
      <c r="AD465" s="5" t="n"/>
      <c r="AE465" s="5" t="n"/>
      <c r="AF465" s="5" t="n"/>
      <c r="AG465" s="5" t="n"/>
    </row>
    <row r="466" outlineLevel="1" s="326">
      <c r="A466" s="140" t="n">
        <v>34</v>
      </c>
      <c r="B466" s="40">
        <f>B113</f>
        <v/>
      </c>
      <c r="C466" s="141">
        <f>D113</f>
        <v/>
      </c>
      <c r="D466" s="141">
        <f>I113</f>
        <v/>
      </c>
      <c r="E466" s="141">
        <f>J113</f>
        <v/>
      </c>
      <c r="F466" s="141">
        <f>K113</f>
        <v/>
      </c>
      <c r="G466" s="138">
        <f>IF(AND($L$231&gt;0,A466=$C$13),$L$231*($C$15+$C$18),0)+IF(AND($L$231&gt;0,A466=$C$13),$C$24,0)</f>
        <v/>
      </c>
      <c r="H466" s="138">
        <f>IF(OR($L$231&lt;=0,A466&lt;$C$13),0,IF(AND($L$231&gt;0,$C$17&gt;0,A466&gt;=$C$13,A466&lt;($C$13+$C$17)),IF($C$17&lt;=0,0,IF($C$16=0,MAX($L$231*(1-$C$15),0)/$C$17,-PMT($C$16/12,$C$17*12,MAX($L$231*(1-$C$15),0))*12)),0)+X466*($C$19+$C$20+$C$21)+$C$22+$C$23)</f>
        <v/>
      </c>
      <c r="I466" s="138">
        <f>IF(B466="Working",MIN(MAX(D466-E466-F466-G466-H466,0),'Tax Assumptions'!$B$20),0)</f>
        <v/>
      </c>
      <c r="J466" s="138">
        <f>IF(B466="Working",D466-E466-F466-I466-G466-H466,-L466)</f>
        <v/>
      </c>
      <c r="K466" s="141">
        <f>IF(B466="Retired",$N$231+G466+H466,0)</f>
        <v/>
      </c>
      <c r="L466" s="141">
        <f>M466+N466+O466+P466</f>
        <v/>
      </c>
      <c r="M466" s="141">
        <f>IF(B466="Retired",MIN(((Q465)*(1+$C$10)+IF(B466="Working",J466,0)),K466),0)</f>
        <v/>
      </c>
      <c r="N466" s="141">
        <f>IF(B466="Retired",MIN(MAX(K466-M466,0),((R465)*(1+$C$10)+IF(B466="Working",E113,0))),0)</f>
        <v/>
      </c>
      <c r="O466" s="141">
        <f>IF(B466="Retired",MIN(MAX(K466-M466-N466,0),((S465)*(1+$C$10)+IF(B466="Working",I466,0))),0)</f>
        <v/>
      </c>
      <c r="P466" s="141">
        <f>IF(B466="Retired",MIN(MAX(K466-M466-N466-O466,0),((T465)*(1+$C$10)+IF(B466="Working",F113,0))),0)</f>
        <v/>
      </c>
      <c r="Q466" s="138">
        <f>MAX(((Q465)*(1+$C$10)+IF(B466="Working",J466,0))-M466,0)</f>
        <v/>
      </c>
      <c r="R466" s="138">
        <f>MAX(((R465)*(1+$C$10)+IF(B466="Working",E113,0))-N466,0)</f>
        <v/>
      </c>
      <c r="S466" s="138">
        <f>MAX(((S465)*(1+$C$10)+IF(B466="Working",I466,0))-O466,0)</f>
        <v/>
      </c>
      <c r="T466" s="138">
        <f>MAX(((T465)*(1+$C$10)+IF(B466="Working",F113,0))-P466,0)</f>
        <v/>
      </c>
      <c r="U466" s="138">
        <f>Q466+R466+S466+T466</f>
        <v/>
      </c>
      <c r="V466" s="138">
        <f>IF(B466="Working",MAX(-(((Q465)*(1+$C$10)+IF(B466="Working",J466,0))),0),MAX(K466-L466,0))</f>
        <v/>
      </c>
      <c r="W466" s="138">
        <f>IF(OR(A466&gt;=$C$13,B466="Retired"),IF(V466&gt;0,-V466,U466-'Model Inputs'!$B$18),"")</f>
        <v/>
      </c>
      <c r="X466" s="138">
        <f>IF(AND($L$231&gt;0,A466&gt;=$C$13),$L$231*(1+$C$25)^(A466-$C$13),0)</f>
        <v/>
      </c>
      <c r="Y466" s="138">
        <f>IF(OR($L$231&lt;=0,$C$17&lt;=0,A466&lt;$C$13,MIN(MAX((A466-$C$13+1)*12,0),$C$17*12)&gt;=$C$17*12),0,IF($C$16=0,MAX(MAX($L$231*(1-$C$15),0)-(IF($C$17&lt;=0,0,IF($C$16=0,MAX($L$231*(1-$C$15),0)/$C$17,-PMT($C$16/12,$C$17*12,MAX($L$231*(1-$C$15),0))*12))/12)*MIN(MAX((A466-$C$13+1)*12,0),$C$17*12),0),MAX(MAX($L$231*(1-$C$15),0)*(1+$C$16/12)^MIN(MAX((A466-$C$13+1)*12,0),$C$17*12)-(IF($C$17&lt;=0,0,IF($C$16=0,MAX($L$231*(1-$C$15),0)/$C$17,-PMT($C$16/12,$C$17*12,MAX($L$231*(1-$C$15),0))*12))/12)*(((1+$C$16/12)^MIN(MAX((A466-$C$13+1)*12,0),$C$17*12)-1)/($C$16/12)),0)))</f>
        <v/>
      </c>
      <c r="Z466" s="138">
        <f>MAX(X466-Y466,0)</f>
        <v/>
      </c>
      <c r="AA466" s="142">
        <f>U466+Z466</f>
        <v/>
      </c>
      <c r="AB466" s="5" t="n"/>
      <c r="AC466" s="5" t="n"/>
      <c r="AD466" s="5" t="n"/>
      <c r="AE466" s="5" t="n"/>
      <c r="AF466" s="5" t="n"/>
      <c r="AG466" s="5" t="n"/>
    </row>
    <row r="467" outlineLevel="1" s="326">
      <c r="A467" s="136" t="n">
        <v>35</v>
      </c>
      <c r="B467" s="72">
        <f>B114</f>
        <v/>
      </c>
      <c r="C467" s="137">
        <f>D114</f>
        <v/>
      </c>
      <c r="D467" s="137">
        <f>I114</f>
        <v/>
      </c>
      <c r="E467" s="137">
        <f>J114</f>
        <v/>
      </c>
      <c r="F467" s="137">
        <f>K114</f>
        <v/>
      </c>
      <c r="G467" s="138">
        <f>IF(AND($L$231&gt;0,A467=$C$13),$L$231*($C$15+$C$18),0)+IF(AND($L$231&gt;0,A467=$C$13),$C$24,0)</f>
        <v/>
      </c>
      <c r="H467" s="138">
        <f>IF(OR($L$231&lt;=0,A467&lt;$C$13),0,IF(AND($L$231&gt;0,$C$17&gt;0,A467&gt;=$C$13,A467&lt;($C$13+$C$17)),IF($C$17&lt;=0,0,IF($C$16=0,MAX($L$231*(1-$C$15),0)/$C$17,-PMT($C$16/12,$C$17*12,MAX($L$231*(1-$C$15),0))*12)),0)+X467*($C$19+$C$20+$C$21)+$C$22+$C$23)</f>
        <v/>
      </c>
      <c r="I467" s="138">
        <f>IF(B467="Working",MIN(MAX(D467-E467-F467-G467-H467,0),'Tax Assumptions'!$B$20),0)</f>
        <v/>
      </c>
      <c r="J467" s="138">
        <f>IF(B467="Working",D467-E467-F467-I467-G467-H467,-L467)</f>
        <v/>
      </c>
      <c r="K467" s="137">
        <f>IF(B467="Retired",$N$231+G467+H467,0)</f>
        <v/>
      </c>
      <c r="L467" s="137">
        <f>M467+N467+O467+P467</f>
        <v/>
      </c>
      <c r="M467" s="137">
        <f>IF(B467="Retired",MIN(((Q466)*(1+$C$10)+IF(B467="Working",J467,0)),K467),0)</f>
        <v/>
      </c>
      <c r="N467" s="137">
        <f>IF(B467="Retired",MIN(MAX(K467-M467,0),((R466)*(1+$C$10)+IF(B467="Working",E114,0))),0)</f>
        <v/>
      </c>
      <c r="O467" s="137">
        <f>IF(B467="Retired",MIN(MAX(K467-M467-N467,0),((S466)*(1+$C$10)+IF(B467="Working",I467,0))),0)</f>
        <v/>
      </c>
      <c r="P467" s="137">
        <f>IF(B467="Retired",MIN(MAX(K467-M467-N467-O467,0),((T466)*(1+$C$10)+IF(B467="Working",F114,0))),0)</f>
        <v/>
      </c>
      <c r="Q467" s="138">
        <f>MAX(((Q466)*(1+$C$10)+IF(B467="Working",J467,0))-M467,0)</f>
        <v/>
      </c>
      <c r="R467" s="138">
        <f>MAX(((R466)*(1+$C$10)+IF(B467="Working",E114,0))-N467,0)</f>
        <v/>
      </c>
      <c r="S467" s="138">
        <f>MAX(((S466)*(1+$C$10)+IF(B467="Working",I467,0))-O467,0)</f>
        <v/>
      </c>
      <c r="T467" s="138">
        <f>MAX(((T466)*(1+$C$10)+IF(B467="Working",F114,0))-P467,0)</f>
        <v/>
      </c>
      <c r="U467" s="138">
        <f>Q467+R467+S467+T467</f>
        <v/>
      </c>
      <c r="V467" s="138">
        <f>IF(B467="Working",MAX(-(((Q466)*(1+$C$10)+IF(B467="Working",J467,0))),0),MAX(K467-L467,0))</f>
        <v/>
      </c>
      <c r="W467" s="138">
        <f>IF(OR(A467&gt;=$C$13,B467="Retired"),IF(V467&gt;0,-V467,U467-'Model Inputs'!$B$18),"")</f>
        <v/>
      </c>
      <c r="X467" s="138">
        <f>IF(AND($L$231&gt;0,A467&gt;=$C$13),$L$231*(1+$C$25)^(A467-$C$13),0)</f>
        <v/>
      </c>
      <c r="Y467" s="138">
        <f>IF(OR($L$231&lt;=0,$C$17&lt;=0,A467&lt;$C$13,MIN(MAX((A467-$C$13+1)*12,0),$C$17*12)&gt;=$C$17*12),0,IF($C$16=0,MAX(MAX($L$231*(1-$C$15),0)-(IF($C$17&lt;=0,0,IF($C$16=0,MAX($L$231*(1-$C$15),0)/$C$17,-PMT($C$16/12,$C$17*12,MAX($L$231*(1-$C$15),0))*12))/12)*MIN(MAX((A467-$C$13+1)*12,0),$C$17*12),0),MAX(MAX($L$231*(1-$C$15),0)*(1+$C$16/12)^MIN(MAX((A467-$C$13+1)*12,0),$C$17*12)-(IF($C$17&lt;=0,0,IF($C$16=0,MAX($L$231*(1-$C$15),0)/$C$17,-PMT($C$16/12,$C$17*12,MAX($L$231*(1-$C$15),0))*12))/12)*(((1+$C$16/12)^MIN(MAX((A467-$C$13+1)*12,0),$C$17*12)-1)/($C$16/12)),0)))</f>
        <v/>
      </c>
      <c r="Z467" s="138">
        <f>MAX(X467-Y467,0)</f>
        <v/>
      </c>
      <c r="AA467" s="139">
        <f>U467+Z467</f>
        <v/>
      </c>
      <c r="AB467" s="5" t="n"/>
      <c r="AC467" s="5" t="n"/>
      <c r="AD467" s="5" t="n"/>
      <c r="AE467" s="5" t="n"/>
      <c r="AF467" s="5" t="n"/>
      <c r="AG467" s="5" t="n"/>
    </row>
    <row r="468" outlineLevel="1" s="326">
      <c r="A468" s="140" t="n">
        <v>36</v>
      </c>
      <c r="B468" s="40">
        <f>B115</f>
        <v/>
      </c>
      <c r="C468" s="141">
        <f>D115</f>
        <v/>
      </c>
      <c r="D468" s="141">
        <f>I115</f>
        <v/>
      </c>
      <c r="E468" s="141">
        <f>J115</f>
        <v/>
      </c>
      <c r="F468" s="141">
        <f>K115</f>
        <v/>
      </c>
      <c r="G468" s="138">
        <f>IF(AND($L$231&gt;0,A468=$C$13),$L$231*($C$15+$C$18),0)+IF(AND($L$231&gt;0,A468=$C$13),$C$24,0)</f>
        <v/>
      </c>
      <c r="H468" s="138">
        <f>IF(OR($L$231&lt;=0,A468&lt;$C$13),0,IF(AND($L$231&gt;0,$C$17&gt;0,A468&gt;=$C$13,A468&lt;($C$13+$C$17)),IF($C$17&lt;=0,0,IF($C$16=0,MAX($L$231*(1-$C$15),0)/$C$17,-PMT($C$16/12,$C$17*12,MAX($L$231*(1-$C$15),0))*12)),0)+X468*($C$19+$C$20+$C$21)+$C$22+$C$23)</f>
        <v/>
      </c>
      <c r="I468" s="138">
        <f>IF(B468="Working",MIN(MAX(D468-E468-F468-G468-H468,0),'Tax Assumptions'!$B$20),0)</f>
        <v/>
      </c>
      <c r="J468" s="138">
        <f>IF(B468="Working",D468-E468-F468-I468-G468-H468,-L468)</f>
        <v/>
      </c>
      <c r="K468" s="141">
        <f>IF(B468="Retired",$N$231+G468+H468,0)</f>
        <v/>
      </c>
      <c r="L468" s="141">
        <f>M468+N468+O468+P468</f>
        <v/>
      </c>
      <c r="M468" s="141">
        <f>IF(B468="Retired",MIN(((Q467)*(1+$C$10)+IF(B468="Working",J468,0)),K468),0)</f>
        <v/>
      </c>
      <c r="N468" s="141">
        <f>IF(B468="Retired",MIN(MAX(K468-M468,0),((R467)*(1+$C$10)+IF(B468="Working",E115,0))),0)</f>
        <v/>
      </c>
      <c r="O468" s="141">
        <f>IF(B468="Retired",MIN(MAX(K468-M468-N468,0),((S467)*(1+$C$10)+IF(B468="Working",I468,0))),0)</f>
        <v/>
      </c>
      <c r="P468" s="141">
        <f>IF(B468="Retired",MIN(MAX(K468-M468-N468-O468,0),((T467)*(1+$C$10)+IF(B468="Working",F115,0))),0)</f>
        <v/>
      </c>
      <c r="Q468" s="138">
        <f>MAX(((Q467)*(1+$C$10)+IF(B468="Working",J468,0))-M468,0)</f>
        <v/>
      </c>
      <c r="R468" s="138">
        <f>MAX(((R467)*(1+$C$10)+IF(B468="Working",E115,0))-N468,0)</f>
        <v/>
      </c>
      <c r="S468" s="138">
        <f>MAX(((S467)*(1+$C$10)+IF(B468="Working",I468,0))-O468,0)</f>
        <v/>
      </c>
      <c r="T468" s="138">
        <f>MAX(((T467)*(1+$C$10)+IF(B468="Working",F115,0))-P468,0)</f>
        <v/>
      </c>
      <c r="U468" s="138">
        <f>Q468+R468+S468+T468</f>
        <v/>
      </c>
      <c r="V468" s="138">
        <f>IF(B468="Working",MAX(-(((Q467)*(1+$C$10)+IF(B468="Working",J468,0))),0),MAX(K468-L468,0))</f>
        <v/>
      </c>
      <c r="W468" s="138">
        <f>IF(OR(A468&gt;=$C$13,B468="Retired"),IF(V468&gt;0,-V468,U468-'Model Inputs'!$B$18),"")</f>
        <v/>
      </c>
      <c r="X468" s="138">
        <f>IF(AND($L$231&gt;0,A468&gt;=$C$13),$L$231*(1+$C$25)^(A468-$C$13),0)</f>
        <v/>
      </c>
      <c r="Y468" s="138">
        <f>IF(OR($L$231&lt;=0,$C$17&lt;=0,A468&lt;$C$13,MIN(MAX((A468-$C$13+1)*12,0),$C$17*12)&gt;=$C$17*12),0,IF($C$16=0,MAX(MAX($L$231*(1-$C$15),0)-(IF($C$17&lt;=0,0,IF($C$16=0,MAX($L$231*(1-$C$15),0)/$C$17,-PMT($C$16/12,$C$17*12,MAX($L$231*(1-$C$15),0))*12))/12)*MIN(MAX((A468-$C$13+1)*12,0),$C$17*12),0),MAX(MAX($L$231*(1-$C$15),0)*(1+$C$16/12)^MIN(MAX((A468-$C$13+1)*12,0),$C$17*12)-(IF($C$17&lt;=0,0,IF($C$16=0,MAX($L$231*(1-$C$15),0)/$C$17,-PMT($C$16/12,$C$17*12,MAX($L$231*(1-$C$15),0))*12))/12)*(((1+$C$16/12)^MIN(MAX((A468-$C$13+1)*12,0),$C$17*12)-1)/($C$16/12)),0)))</f>
        <v/>
      </c>
      <c r="Z468" s="138">
        <f>MAX(X468-Y468,0)</f>
        <v/>
      </c>
      <c r="AA468" s="142">
        <f>U468+Z468</f>
        <v/>
      </c>
      <c r="AB468" s="5" t="n"/>
      <c r="AC468" s="5" t="n"/>
      <c r="AD468" s="5" t="n"/>
      <c r="AE468" s="5" t="n"/>
      <c r="AF468" s="5" t="n"/>
      <c r="AG468" s="5" t="n"/>
    </row>
    <row r="469" outlineLevel="1" s="326">
      <c r="A469" s="136" t="n">
        <v>37</v>
      </c>
      <c r="B469" s="72">
        <f>B116</f>
        <v/>
      </c>
      <c r="C469" s="137">
        <f>D116</f>
        <v/>
      </c>
      <c r="D469" s="137">
        <f>I116</f>
        <v/>
      </c>
      <c r="E469" s="137">
        <f>J116</f>
        <v/>
      </c>
      <c r="F469" s="137">
        <f>K116</f>
        <v/>
      </c>
      <c r="G469" s="138">
        <f>IF(AND($L$231&gt;0,A469=$C$13),$L$231*($C$15+$C$18),0)+IF(AND($L$231&gt;0,A469=$C$13),$C$24,0)</f>
        <v/>
      </c>
      <c r="H469" s="138">
        <f>IF(OR($L$231&lt;=0,A469&lt;$C$13),0,IF(AND($L$231&gt;0,$C$17&gt;0,A469&gt;=$C$13,A469&lt;($C$13+$C$17)),IF($C$17&lt;=0,0,IF($C$16=0,MAX($L$231*(1-$C$15),0)/$C$17,-PMT($C$16/12,$C$17*12,MAX($L$231*(1-$C$15),0))*12)),0)+X469*($C$19+$C$20+$C$21)+$C$22+$C$23)</f>
        <v/>
      </c>
      <c r="I469" s="138">
        <f>IF(B469="Working",MIN(MAX(D469-E469-F469-G469-H469,0),'Tax Assumptions'!$B$20),0)</f>
        <v/>
      </c>
      <c r="J469" s="138">
        <f>IF(B469="Working",D469-E469-F469-I469-G469-H469,-L469)</f>
        <v/>
      </c>
      <c r="K469" s="137">
        <f>IF(B469="Retired",$N$231+G469+H469,0)</f>
        <v/>
      </c>
      <c r="L469" s="137">
        <f>M469+N469+O469+P469</f>
        <v/>
      </c>
      <c r="M469" s="137">
        <f>IF(B469="Retired",MIN(((Q468)*(1+$C$10)+IF(B469="Working",J469,0)),K469),0)</f>
        <v/>
      </c>
      <c r="N469" s="137">
        <f>IF(B469="Retired",MIN(MAX(K469-M469,0),((R468)*(1+$C$10)+IF(B469="Working",E116,0))),0)</f>
        <v/>
      </c>
      <c r="O469" s="137">
        <f>IF(B469="Retired",MIN(MAX(K469-M469-N469,0),((S468)*(1+$C$10)+IF(B469="Working",I469,0))),0)</f>
        <v/>
      </c>
      <c r="P469" s="137">
        <f>IF(B469="Retired",MIN(MAX(K469-M469-N469-O469,0),((T468)*(1+$C$10)+IF(B469="Working",F116,0))),0)</f>
        <v/>
      </c>
      <c r="Q469" s="138">
        <f>MAX(((Q468)*(1+$C$10)+IF(B469="Working",J469,0))-M469,0)</f>
        <v/>
      </c>
      <c r="R469" s="138">
        <f>MAX(((R468)*(1+$C$10)+IF(B469="Working",E116,0))-N469,0)</f>
        <v/>
      </c>
      <c r="S469" s="138">
        <f>MAX(((S468)*(1+$C$10)+IF(B469="Working",I469,0))-O469,0)</f>
        <v/>
      </c>
      <c r="T469" s="138">
        <f>MAX(((T468)*(1+$C$10)+IF(B469="Working",F116,0))-P469,0)</f>
        <v/>
      </c>
      <c r="U469" s="138">
        <f>Q469+R469+S469+T469</f>
        <v/>
      </c>
      <c r="V469" s="138">
        <f>IF(B469="Working",MAX(-(((Q468)*(1+$C$10)+IF(B469="Working",J469,0))),0),MAX(K469-L469,0))</f>
        <v/>
      </c>
      <c r="W469" s="138">
        <f>IF(OR(A469&gt;=$C$13,B469="Retired"),IF(V469&gt;0,-V469,U469-'Model Inputs'!$B$18),"")</f>
        <v/>
      </c>
      <c r="X469" s="138">
        <f>IF(AND($L$231&gt;0,A469&gt;=$C$13),$L$231*(1+$C$25)^(A469-$C$13),0)</f>
        <v/>
      </c>
      <c r="Y469" s="138">
        <f>IF(OR($L$231&lt;=0,$C$17&lt;=0,A469&lt;$C$13,MIN(MAX((A469-$C$13+1)*12,0),$C$17*12)&gt;=$C$17*12),0,IF($C$16=0,MAX(MAX($L$231*(1-$C$15),0)-(IF($C$17&lt;=0,0,IF($C$16=0,MAX($L$231*(1-$C$15),0)/$C$17,-PMT($C$16/12,$C$17*12,MAX($L$231*(1-$C$15),0))*12))/12)*MIN(MAX((A469-$C$13+1)*12,0),$C$17*12),0),MAX(MAX($L$231*(1-$C$15),0)*(1+$C$16/12)^MIN(MAX((A469-$C$13+1)*12,0),$C$17*12)-(IF($C$17&lt;=0,0,IF($C$16=0,MAX($L$231*(1-$C$15),0)/$C$17,-PMT($C$16/12,$C$17*12,MAX($L$231*(1-$C$15),0))*12))/12)*(((1+$C$16/12)^MIN(MAX((A469-$C$13+1)*12,0),$C$17*12)-1)/($C$16/12)),0)))</f>
        <v/>
      </c>
      <c r="Z469" s="138">
        <f>MAX(X469-Y469,0)</f>
        <v/>
      </c>
      <c r="AA469" s="139">
        <f>U469+Z469</f>
        <v/>
      </c>
      <c r="AB469" s="5" t="n"/>
      <c r="AC469" s="5" t="n"/>
      <c r="AD469" s="5" t="n"/>
      <c r="AE469" s="5" t="n"/>
      <c r="AF469" s="5" t="n"/>
      <c r="AG469" s="5" t="n"/>
    </row>
    <row r="470" outlineLevel="1" s="326">
      <c r="A470" s="140" t="n">
        <v>38</v>
      </c>
      <c r="B470" s="40">
        <f>B117</f>
        <v/>
      </c>
      <c r="C470" s="141">
        <f>D117</f>
        <v/>
      </c>
      <c r="D470" s="141">
        <f>I117</f>
        <v/>
      </c>
      <c r="E470" s="141">
        <f>J117</f>
        <v/>
      </c>
      <c r="F470" s="141">
        <f>K117</f>
        <v/>
      </c>
      <c r="G470" s="138">
        <f>IF(AND($L$231&gt;0,A470=$C$13),$L$231*($C$15+$C$18),0)+IF(AND($L$231&gt;0,A470=$C$13),$C$24,0)</f>
        <v/>
      </c>
      <c r="H470" s="138">
        <f>IF(OR($L$231&lt;=0,A470&lt;$C$13),0,IF(AND($L$231&gt;0,$C$17&gt;0,A470&gt;=$C$13,A470&lt;($C$13+$C$17)),IF($C$17&lt;=0,0,IF($C$16=0,MAX($L$231*(1-$C$15),0)/$C$17,-PMT($C$16/12,$C$17*12,MAX($L$231*(1-$C$15),0))*12)),0)+X470*($C$19+$C$20+$C$21)+$C$22+$C$23)</f>
        <v/>
      </c>
      <c r="I470" s="138">
        <f>IF(B470="Working",MIN(MAX(D470-E470-F470-G470-H470,0),'Tax Assumptions'!$B$20),0)</f>
        <v/>
      </c>
      <c r="J470" s="138">
        <f>IF(B470="Working",D470-E470-F470-I470-G470-H470,-L470)</f>
        <v/>
      </c>
      <c r="K470" s="141">
        <f>IF(B470="Retired",$N$231+G470+H470,0)</f>
        <v/>
      </c>
      <c r="L470" s="141">
        <f>M470+N470+O470+P470</f>
        <v/>
      </c>
      <c r="M470" s="141">
        <f>IF(B470="Retired",MIN(((Q469)*(1+$C$10)+IF(B470="Working",J470,0)),K470),0)</f>
        <v/>
      </c>
      <c r="N470" s="141">
        <f>IF(B470="Retired",MIN(MAX(K470-M470,0),((R469)*(1+$C$10)+IF(B470="Working",E117,0))),0)</f>
        <v/>
      </c>
      <c r="O470" s="141">
        <f>IF(B470="Retired",MIN(MAX(K470-M470-N470,0),((S469)*(1+$C$10)+IF(B470="Working",I470,0))),0)</f>
        <v/>
      </c>
      <c r="P470" s="141">
        <f>IF(B470="Retired",MIN(MAX(K470-M470-N470-O470,0),((T469)*(1+$C$10)+IF(B470="Working",F117,0))),0)</f>
        <v/>
      </c>
      <c r="Q470" s="138">
        <f>MAX(((Q469)*(1+$C$10)+IF(B470="Working",J470,0))-M470,0)</f>
        <v/>
      </c>
      <c r="R470" s="138">
        <f>MAX(((R469)*(1+$C$10)+IF(B470="Working",E117,0))-N470,0)</f>
        <v/>
      </c>
      <c r="S470" s="138">
        <f>MAX(((S469)*(1+$C$10)+IF(B470="Working",I470,0))-O470,0)</f>
        <v/>
      </c>
      <c r="T470" s="138">
        <f>MAX(((T469)*(1+$C$10)+IF(B470="Working",F117,0))-P470,0)</f>
        <v/>
      </c>
      <c r="U470" s="138">
        <f>Q470+R470+S470+T470</f>
        <v/>
      </c>
      <c r="V470" s="138">
        <f>IF(B470="Working",MAX(-(((Q469)*(1+$C$10)+IF(B470="Working",J470,0))),0),MAX(K470-L470,0))</f>
        <v/>
      </c>
      <c r="W470" s="138">
        <f>IF(OR(A470&gt;=$C$13,B470="Retired"),IF(V470&gt;0,-V470,U470-'Model Inputs'!$B$18),"")</f>
        <v/>
      </c>
      <c r="X470" s="138">
        <f>IF(AND($L$231&gt;0,A470&gt;=$C$13),$L$231*(1+$C$25)^(A470-$C$13),0)</f>
        <v/>
      </c>
      <c r="Y470" s="138">
        <f>IF(OR($L$231&lt;=0,$C$17&lt;=0,A470&lt;$C$13,MIN(MAX((A470-$C$13+1)*12,0),$C$17*12)&gt;=$C$17*12),0,IF($C$16=0,MAX(MAX($L$231*(1-$C$15),0)-(IF($C$17&lt;=0,0,IF($C$16=0,MAX($L$231*(1-$C$15),0)/$C$17,-PMT($C$16/12,$C$17*12,MAX($L$231*(1-$C$15),0))*12))/12)*MIN(MAX((A470-$C$13+1)*12,0),$C$17*12),0),MAX(MAX($L$231*(1-$C$15),0)*(1+$C$16/12)^MIN(MAX((A470-$C$13+1)*12,0),$C$17*12)-(IF($C$17&lt;=0,0,IF($C$16=0,MAX($L$231*(1-$C$15),0)/$C$17,-PMT($C$16/12,$C$17*12,MAX($L$231*(1-$C$15),0))*12))/12)*(((1+$C$16/12)^MIN(MAX((A470-$C$13+1)*12,0),$C$17*12)-1)/($C$16/12)),0)))</f>
        <v/>
      </c>
      <c r="Z470" s="138">
        <f>MAX(X470-Y470,0)</f>
        <v/>
      </c>
      <c r="AA470" s="142">
        <f>U470+Z470</f>
        <v/>
      </c>
      <c r="AB470" s="5" t="n"/>
      <c r="AC470" s="5" t="n"/>
      <c r="AD470" s="5" t="n"/>
      <c r="AE470" s="5" t="n"/>
      <c r="AF470" s="5" t="n"/>
      <c r="AG470" s="5" t="n"/>
    </row>
    <row r="471" outlineLevel="1" s="326">
      <c r="A471" s="136" t="n">
        <v>39</v>
      </c>
      <c r="B471" s="72">
        <f>B118</f>
        <v/>
      </c>
      <c r="C471" s="137">
        <f>D118</f>
        <v/>
      </c>
      <c r="D471" s="137">
        <f>I118</f>
        <v/>
      </c>
      <c r="E471" s="137">
        <f>J118</f>
        <v/>
      </c>
      <c r="F471" s="137">
        <f>K118</f>
        <v/>
      </c>
      <c r="G471" s="138">
        <f>IF(AND($L$231&gt;0,A471=$C$13),$L$231*($C$15+$C$18),0)+IF(AND($L$231&gt;0,A471=$C$13),$C$24,0)</f>
        <v/>
      </c>
      <c r="H471" s="138">
        <f>IF(OR($L$231&lt;=0,A471&lt;$C$13),0,IF(AND($L$231&gt;0,$C$17&gt;0,A471&gt;=$C$13,A471&lt;($C$13+$C$17)),IF($C$17&lt;=0,0,IF($C$16=0,MAX($L$231*(1-$C$15),0)/$C$17,-PMT($C$16/12,$C$17*12,MAX($L$231*(1-$C$15),0))*12)),0)+X471*($C$19+$C$20+$C$21)+$C$22+$C$23)</f>
        <v/>
      </c>
      <c r="I471" s="138">
        <f>IF(B471="Working",MIN(MAX(D471-E471-F471-G471-H471,0),'Tax Assumptions'!$B$20),0)</f>
        <v/>
      </c>
      <c r="J471" s="138">
        <f>IF(B471="Working",D471-E471-F471-I471-G471-H471,-L471)</f>
        <v/>
      </c>
      <c r="K471" s="137">
        <f>IF(B471="Retired",$N$231+G471+H471,0)</f>
        <v/>
      </c>
      <c r="L471" s="137">
        <f>M471+N471+O471+P471</f>
        <v/>
      </c>
      <c r="M471" s="137">
        <f>IF(B471="Retired",MIN(((Q470)*(1+$C$10)+IF(B471="Working",J471,0)),K471),0)</f>
        <v/>
      </c>
      <c r="N471" s="137">
        <f>IF(B471="Retired",MIN(MAX(K471-M471,0),((R470)*(1+$C$10)+IF(B471="Working",E118,0))),0)</f>
        <v/>
      </c>
      <c r="O471" s="137">
        <f>IF(B471="Retired",MIN(MAX(K471-M471-N471,0),((S470)*(1+$C$10)+IF(B471="Working",I471,0))),0)</f>
        <v/>
      </c>
      <c r="P471" s="137">
        <f>IF(B471="Retired",MIN(MAX(K471-M471-N471-O471,0),((T470)*(1+$C$10)+IF(B471="Working",F118,0))),0)</f>
        <v/>
      </c>
      <c r="Q471" s="138">
        <f>MAX(((Q470)*(1+$C$10)+IF(B471="Working",J471,0))-M471,0)</f>
        <v/>
      </c>
      <c r="R471" s="138">
        <f>MAX(((R470)*(1+$C$10)+IF(B471="Working",E118,0))-N471,0)</f>
        <v/>
      </c>
      <c r="S471" s="138">
        <f>MAX(((S470)*(1+$C$10)+IF(B471="Working",I471,0))-O471,0)</f>
        <v/>
      </c>
      <c r="T471" s="138">
        <f>MAX(((T470)*(1+$C$10)+IF(B471="Working",F118,0))-P471,0)</f>
        <v/>
      </c>
      <c r="U471" s="138">
        <f>Q471+R471+S471+T471</f>
        <v/>
      </c>
      <c r="V471" s="138">
        <f>IF(B471="Working",MAX(-(((Q470)*(1+$C$10)+IF(B471="Working",J471,0))),0),MAX(K471-L471,0))</f>
        <v/>
      </c>
      <c r="W471" s="138">
        <f>IF(OR(A471&gt;=$C$13,B471="Retired"),IF(V471&gt;0,-V471,U471-'Model Inputs'!$B$18),"")</f>
        <v/>
      </c>
      <c r="X471" s="138">
        <f>IF(AND($L$231&gt;0,A471&gt;=$C$13),$L$231*(1+$C$25)^(A471-$C$13),0)</f>
        <v/>
      </c>
      <c r="Y471" s="138">
        <f>IF(OR($L$231&lt;=0,$C$17&lt;=0,A471&lt;$C$13,MIN(MAX((A471-$C$13+1)*12,0),$C$17*12)&gt;=$C$17*12),0,IF($C$16=0,MAX(MAX($L$231*(1-$C$15),0)-(IF($C$17&lt;=0,0,IF($C$16=0,MAX($L$231*(1-$C$15),0)/$C$17,-PMT($C$16/12,$C$17*12,MAX($L$231*(1-$C$15),0))*12))/12)*MIN(MAX((A471-$C$13+1)*12,0),$C$17*12),0),MAX(MAX($L$231*(1-$C$15),0)*(1+$C$16/12)^MIN(MAX((A471-$C$13+1)*12,0),$C$17*12)-(IF($C$17&lt;=0,0,IF($C$16=0,MAX($L$231*(1-$C$15),0)/$C$17,-PMT($C$16/12,$C$17*12,MAX($L$231*(1-$C$15),0))*12))/12)*(((1+$C$16/12)^MIN(MAX((A471-$C$13+1)*12,0),$C$17*12)-1)/($C$16/12)),0)))</f>
        <v/>
      </c>
      <c r="Z471" s="138">
        <f>MAX(X471-Y471,0)</f>
        <v/>
      </c>
      <c r="AA471" s="139">
        <f>U471+Z471</f>
        <v/>
      </c>
      <c r="AB471" s="5" t="n"/>
      <c r="AC471" s="5" t="n"/>
      <c r="AD471" s="5" t="n"/>
      <c r="AE471" s="5" t="n"/>
      <c r="AF471" s="5" t="n"/>
      <c r="AG471" s="5" t="n"/>
    </row>
    <row r="472" outlineLevel="1" s="326">
      <c r="A472" s="140" t="n">
        <v>40</v>
      </c>
      <c r="B472" s="40">
        <f>B119</f>
        <v/>
      </c>
      <c r="C472" s="141">
        <f>D119</f>
        <v/>
      </c>
      <c r="D472" s="141">
        <f>I119</f>
        <v/>
      </c>
      <c r="E472" s="141">
        <f>J119</f>
        <v/>
      </c>
      <c r="F472" s="141">
        <f>K119</f>
        <v/>
      </c>
      <c r="G472" s="138">
        <f>IF(AND($L$231&gt;0,A472=$C$13),$L$231*($C$15+$C$18),0)+IF(AND($L$231&gt;0,A472=$C$13),$C$24,0)</f>
        <v/>
      </c>
      <c r="H472" s="138">
        <f>IF(OR($L$231&lt;=0,A472&lt;$C$13),0,IF(AND($L$231&gt;0,$C$17&gt;0,A472&gt;=$C$13,A472&lt;($C$13+$C$17)),IF($C$17&lt;=0,0,IF($C$16=0,MAX($L$231*(1-$C$15),0)/$C$17,-PMT($C$16/12,$C$17*12,MAX($L$231*(1-$C$15),0))*12)),0)+X472*($C$19+$C$20+$C$21)+$C$22+$C$23)</f>
        <v/>
      </c>
      <c r="I472" s="138">
        <f>IF(B472="Working",MIN(MAX(D472-E472-F472-G472-H472,0),'Tax Assumptions'!$B$20),0)</f>
        <v/>
      </c>
      <c r="J472" s="138">
        <f>IF(B472="Working",D472-E472-F472-I472-G472-H472,-L472)</f>
        <v/>
      </c>
      <c r="K472" s="141">
        <f>IF(B472="Retired",$N$231+G472+H472,0)</f>
        <v/>
      </c>
      <c r="L472" s="141">
        <f>M472+N472+O472+P472</f>
        <v/>
      </c>
      <c r="M472" s="141">
        <f>IF(B472="Retired",MIN(((Q471)*(1+$C$10)+IF(B472="Working",J472,0)),K472),0)</f>
        <v/>
      </c>
      <c r="N472" s="141">
        <f>IF(B472="Retired",MIN(MAX(K472-M472,0),((R471)*(1+$C$10)+IF(B472="Working",E119,0))),0)</f>
        <v/>
      </c>
      <c r="O472" s="141">
        <f>IF(B472="Retired",MIN(MAX(K472-M472-N472,0),((S471)*(1+$C$10)+IF(B472="Working",I472,0))),0)</f>
        <v/>
      </c>
      <c r="P472" s="141">
        <f>IF(B472="Retired",MIN(MAX(K472-M472-N472-O472,0),((T471)*(1+$C$10)+IF(B472="Working",F119,0))),0)</f>
        <v/>
      </c>
      <c r="Q472" s="138">
        <f>MAX(((Q471)*(1+$C$10)+IF(B472="Working",J472,0))-M472,0)</f>
        <v/>
      </c>
      <c r="R472" s="138">
        <f>MAX(((R471)*(1+$C$10)+IF(B472="Working",E119,0))-N472,0)</f>
        <v/>
      </c>
      <c r="S472" s="138">
        <f>MAX(((S471)*(1+$C$10)+IF(B472="Working",I472,0))-O472,0)</f>
        <v/>
      </c>
      <c r="T472" s="138">
        <f>MAX(((T471)*(1+$C$10)+IF(B472="Working",F119,0))-P472,0)</f>
        <v/>
      </c>
      <c r="U472" s="138">
        <f>Q472+R472+S472+T472</f>
        <v/>
      </c>
      <c r="V472" s="138">
        <f>IF(B472="Working",MAX(-(((Q471)*(1+$C$10)+IF(B472="Working",J472,0))),0),MAX(K472-L472,0))</f>
        <v/>
      </c>
      <c r="W472" s="138">
        <f>IF(OR(A472&gt;=$C$13,B472="Retired"),IF(V472&gt;0,-V472,U472-'Model Inputs'!$B$18),"")</f>
        <v/>
      </c>
      <c r="X472" s="138">
        <f>IF(AND($L$231&gt;0,A472&gt;=$C$13),$L$231*(1+$C$25)^(A472-$C$13),0)</f>
        <v/>
      </c>
      <c r="Y472" s="138">
        <f>IF(OR($L$231&lt;=0,$C$17&lt;=0,A472&lt;$C$13,MIN(MAX((A472-$C$13+1)*12,0),$C$17*12)&gt;=$C$17*12),0,IF($C$16=0,MAX(MAX($L$231*(1-$C$15),0)-(IF($C$17&lt;=0,0,IF($C$16=0,MAX($L$231*(1-$C$15),0)/$C$17,-PMT($C$16/12,$C$17*12,MAX($L$231*(1-$C$15),0))*12))/12)*MIN(MAX((A472-$C$13+1)*12,0),$C$17*12),0),MAX(MAX($L$231*(1-$C$15),0)*(1+$C$16/12)^MIN(MAX((A472-$C$13+1)*12,0),$C$17*12)-(IF($C$17&lt;=0,0,IF($C$16=0,MAX($L$231*(1-$C$15),0)/$C$17,-PMT($C$16/12,$C$17*12,MAX($L$231*(1-$C$15),0))*12))/12)*(((1+$C$16/12)^MIN(MAX((A472-$C$13+1)*12,0),$C$17*12)-1)/($C$16/12)),0)))</f>
        <v/>
      </c>
      <c r="Z472" s="138">
        <f>MAX(X472-Y472,0)</f>
        <v/>
      </c>
      <c r="AA472" s="142">
        <f>U472+Z472</f>
        <v/>
      </c>
      <c r="AB472" s="5" t="n"/>
      <c r="AC472" s="5" t="n"/>
      <c r="AD472" s="5" t="n"/>
      <c r="AE472" s="5" t="n"/>
      <c r="AF472" s="5" t="n"/>
      <c r="AG472" s="5" t="n"/>
    </row>
    <row r="473" outlineLevel="1" s="326">
      <c r="A473" s="143" t="inlineStr">
        <is>
          <t>Case Summary</t>
        </is>
      </c>
      <c r="B473" s="144" t="n"/>
      <c r="C473" s="144" t="n"/>
      <c r="D473" s="144" t="n"/>
      <c r="E473" s="144" t="n"/>
      <c r="F473" s="144" t="n"/>
      <c r="G473" s="145">
        <f>SUM(G433:G472)</f>
        <v/>
      </c>
      <c r="H473" s="145">
        <f>SUM(H433:H472)</f>
        <v/>
      </c>
      <c r="I473" s="145">
        <f>SUM(I433:I472)</f>
        <v/>
      </c>
      <c r="J473" s="145">
        <f>SUM(J433:J472)</f>
        <v/>
      </c>
      <c r="K473" s="145">
        <f>SUM(K433:K472)</f>
        <v/>
      </c>
      <c r="L473" s="145">
        <f>SUM(L433:L472)</f>
        <v/>
      </c>
      <c r="M473" s="145">
        <f>SUM(M433:M472)</f>
        <v/>
      </c>
      <c r="N473" s="145">
        <f>SUM(N433:N472)</f>
        <v/>
      </c>
      <c r="O473" s="145">
        <f>SUM(O433:O472)</f>
        <v/>
      </c>
      <c r="P473" s="145">
        <f>SUM(P433:P472)</f>
        <v/>
      </c>
      <c r="Q473" s="145">
        <f>Q472</f>
        <v/>
      </c>
      <c r="R473" s="145">
        <f>R472</f>
        <v/>
      </c>
      <c r="S473" s="145">
        <f>S472</f>
        <v/>
      </c>
      <c r="T473" s="145">
        <f>T472</f>
        <v/>
      </c>
      <c r="U473" s="145">
        <f>U472</f>
        <v/>
      </c>
      <c r="V473" s="145">
        <f>SUM(V433:V472)</f>
        <v/>
      </c>
      <c r="W473" s="145">
        <f>MIN(W433:W472)</f>
        <v/>
      </c>
      <c r="X473" s="145">
        <f>X472</f>
        <v/>
      </c>
      <c r="Y473" s="145">
        <f>Y472</f>
        <v/>
      </c>
      <c r="Z473" s="145">
        <f>Z472</f>
        <v/>
      </c>
      <c r="AA473" s="146">
        <f>AA472</f>
        <v/>
      </c>
      <c r="AB473" s="5" t="n"/>
      <c r="AC473" s="5" t="n"/>
      <c r="AD473" s="5" t="n"/>
      <c r="AE473" s="5" t="n"/>
      <c r="AF473" s="5" t="n"/>
      <c r="AG473" s="5" t="n"/>
    </row>
    <row r="474" outlineLevel="1" s="326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</row>
    <row r="475" outlineLevel="1" s="326">
      <c r="A475" s="387">
        <f>J232&amp;" | House "&amp;TEXT($L$232,"$#,##0")&amp;" | Spend "&amp;TEXT($N$232,"$#,##0")</f>
        <v/>
      </c>
      <c r="B475" s="345" t="n"/>
      <c r="C475" s="345" t="n"/>
      <c r="D475" s="345" t="n"/>
      <c r="E475" s="345" t="n"/>
      <c r="F475" s="345" t="n"/>
      <c r="G475" s="345" t="n"/>
      <c r="H475" s="345" t="n"/>
      <c r="I475" s="345" t="n"/>
      <c r="J475" s="345" t="n"/>
      <c r="K475" s="345" t="n"/>
      <c r="L475" s="345" t="n"/>
      <c r="M475" s="345" t="n"/>
      <c r="N475" s="345" t="n"/>
      <c r="O475" s="345" t="n"/>
      <c r="P475" s="345" t="n"/>
      <c r="Q475" s="345" t="n"/>
      <c r="R475" s="345" t="n"/>
      <c r="S475" s="345" t="n"/>
      <c r="T475" s="345" t="n"/>
      <c r="U475" s="345" t="n"/>
      <c r="V475" s="345" t="n"/>
      <c r="W475" s="345" t="n"/>
      <c r="X475" s="345" t="n"/>
      <c r="Y475" s="345" t="n"/>
      <c r="Z475" s="345" t="n"/>
      <c r="AA475" s="346" t="n"/>
      <c r="AB475" s="5" t="n"/>
      <c r="AC475" s="5" t="n"/>
      <c r="AD475" s="5" t="n"/>
      <c r="AE475" s="5" t="n"/>
      <c r="AF475" s="5" t="n"/>
      <c r="AG475" s="5" t="n"/>
    </row>
    <row r="476" outlineLevel="1" ht="34" customHeight="1" s="326">
      <c r="A476" s="134" t="inlineStr">
        <is>
          <t>Year</t>
        </is>
      </c>
      <c r="B476" s="83" t="inlineStr">
        <is>
          <t>Phase</t>
        </is>
      </c>
      <c r="C476" s="83" t="inlineStr">
        <is>
          <t>Gross</t>
        </is>
      </c>
      <c r="D476" s="83" t="inlineStr">
        <is>
          <t>Post-Tax Cash</t>
        </is>
      </c>
      <c r="E476" s="83" t="inlineStr">
        <is>
          <t>Rent</t>
        </is>
      </c>
      <c r="F476" s="83" t="inlineStr">
        <is>
          <t>Living</t>
        </is>
      </c>
      <c r="G476" s="83" t="inlineStr">
        <is>
          <t>House Cash</t>
        </is>
      </c>
      <c r="H476" s="83" t="inlineStr">
        <is>
          <t>Housing Carry</t>
        </is>
      </c>
      <c r="I476" s="83" t="inlineStr">
        <is>
          <t>Roth</t>
        </is>
      </c>
      <c r="J476" s="83" t="inlineStr">
        <is>
          <t>Taxable Sav / (Draw)</t>
        </is>
      </c>
      <c r="K476" s="83" t="inlineStr">
        <is>
          <t>Planned Need</t>
        </is>
      </c>
      <c r="L476" s="83" t="inlineStr">
        <is>
          <t>Actual W/D</t>
        </is>
      </c>
      <c r="M476" s="83" t="inlineStr">
        <is>
          <t>Taxable Draw</t>
        </is>
      </c>
      <c r="N476" s="83" t="inlineStr">
        <is>
          <t>401(k) Draw</t>
        </is>
      </c>
      <c r="O476" s="83" t="inlineStr">
        <is>
          <t>Roth Draw</t>
        </is>
      </c>
      <c r="P476" s="83" t="inlineStr">
        <is>
          <t>HSA Draw</t>
        </is>
      </c>
      <c r="Q476" s="83" t="inlineStr">
        <is>
          <t>Taxable Bal</t>
        </is>
      </c>
      <c r="R476" s="83" t="inlineStr">
        <is>
          <t>401(k) Bal</t>
        </is>
      </c>
      <c r="S476" s="83" t="inlineStr">
        <is>
          <t>Roth Bal</t>
        </is>
      </c>
      <c r="T476" s="83" t="inlineStr">
        <is>
          <t>HSA Bal</t>
        </is>
      </c>
      <c r="U476" s="83" t="inlineStr">
        <is>
          <t>Liquid Wealth</t>
        </is>
      </c>
      <c r="V476" s="83" t="inlineStr">
        <is>
          <t>Funding Gap</t>
        </is>
      </c>
      <c r="W476" s="83" t="inlineStr">
        <is>
          <t>Margin vs Reserve</t>
        </is>
      </c>
      <c r="X476" s="83" t="inlineStr">
        <is>
          <t>House Value</t>
        </is>
      </c>
      <c r="Y476" s="83" t="inlineStr">
        <is>
          <t>Mortgage Balance</t>
        </is>
      </c>
      <c r="Z476" s="83" t="inlineStr">
        <is>
          <t>Home Equity</t>
        </is>
      </c>
      <c r="AA476" s="135" t="inlineStr">
        <is>
          <t>Net Worth</t>
        </is>
      </c>
      <c r="AB476" s="5" t="n"/>
      <c r="AC476" s="5" t="n"/>
      <c r="AD476" s="5" t="n"/>
      <c r="AE476" s="5" t="n"/>
      <c r="AF476" s="5" t="n"/>
      <c r="AG476" s="5" t="n"/>
    </row>
    <row r="477" outlineLevel="1" s="326">
      <c r="A477" s="136" t="n">
        <v>1</v>
      </c>
      <c r="B477" s="72">
        <f>B80</f>
        <v/>
      </c>
      <c r="C477" s="137">
        <f>D80</f>
        <v/>
      </c>
      <c r="D477" s="137">
        <f>I80</f>
        <v/>
      </c>
      <c r="E477" s="137">
        <f>J80</f>
        <v/>
      </c>
      <c r="F477" s="137">
        <f>K80</f>
        <v/>
      </c>
      <c r="G477" s="138">
        <f>IF(AND($L$232&gt;0,A477=$C$13),$L$232*($C$15+$C$18),0)+IF(AND($L$232&gt;0,A477=$C$13),$C$24,0)</f>
        <v/>
      </c>
      <c r="H477" s="138">
        <f>IF(OR($L$232&lt;=0,A477&lt;$C$13),0,IF(AND($L$232&gt;0,$C$17&gt;0,A477&gt;=$C$13,A477&lt;($C$13+$C$17)),IF($C$17&lt;=0,0,IF($C$16=0,MAX($L$232*(1-$C$15),0)/$C$17,-PMT($C$16/12,$C$17*12,MAX($L$232*(1-$C$15),0))*12)),0)+X477*($C$19+$C$20+$C$21)+$C$22+$C$23)</f>
        <v/>
      </c>
      <c r="I477" s="138">
        <f>IF(B477="Working",MIN(MAX(D477-E477-F477-G477-H477,0),'Tax Assumptions'!$B$20),0)</f>
        <v/>
      </c>
      <c r="J477" s="138">
        <f>IF(B477="Working",D477-E477-F477-I477-G477-H477,-L477)</f>
        <v/>
      </c>
      <c r="K477" s="137">
        <f>IF(B477="Retired",$N$232+G477+H477,0)</f>
        <v/>
      </c>
      <c r="L477" s="137">
        <f>M477+N477+O477+P477</f>
        <v/>
      </c>
      <c r="M477" s="137">
        <f>IF(B477="Retired",MIN((('Savings Projection'!$B$7)*(1+$C$10)+IF(B477="Working",J477,0)),K477),0)</f>
        <v/>
      </c>
      <c r="N477" s="137">
        <f>IF(B477="Retired",MIN(MAX(K477-M477,0),(('Savings Projection'!$B$8)*(1+$C$10)+IF(B477="Working",E80,0))),0)</f>
        <v/>
      </c>
      <c r="O477" s="137">
        <f>IF(B477="Retired",MIN(MAX(K477-M477-N477,0),(('Savings Projection'!$B$9)*(1+$C$10)+IF(B477="Working",I477,0))),0)</f>
        <v/>
      </c>
      <c r="P477" s="137">
        <f>IF(B477="Retired",MIN(MAX(K477-M477-N477-O477,0),(('Savings Projection'!$B$10)*(1+$C$10)+IF(B477="Working",F80,0))),0)</f>
        <v/>
      </c>
      <c r="Q477" s="138">
        <f>MAX((('Savings Projection'!$B$7)*(1+$C$10)+IF(B477="Working",J477,0))-M477,0)</f>
        <v/>
      </c>
      <c r="R477" s="138">
        <f>MAX((('Savings Projection'!$B$8)*(1+$C$10)+IF(B477="Working",E80,0))-N477,0)</f>
        <v/>
      </c>
      <c r="S477" s="138">
        <f>MAX((('Savings Projection'!$B$9)*(1+$C$10)+IF(B477="Working",I477,0))-O477,0)</f>
        <v/>
      </c>
      <c r="T477" s="138">
        <f>MAX((('Savings Projection'!$B$10)*(1+$C$10)+IF(B477="Working",F80,0))-P477,0)</f>
        <v/>
      </c>
      <c r="U477" s="138">
        <f>Q477+R477+S477+T477</f>
        <v/>
      </c>
      <c r="V477" s="138">
        <f>IF(B477="Working",MAX(-((('Savings Projection'!$B$7)*(1+$C$10)+IF(B477="Working",J477,0))),0),MAX(K477-L477,0))</f>
        <v/>
      </c>
      <c r="W477" s="138">
        <f>IF(OR(A477&gt;=$C$13,B477="Retired"),IF(V477&gt;0,-V477,U477-'Model Inputs'!$B$18),"")</f>
        <v/>
      </c>
      <c r="X477" s="138">
        <f>IF(AND($L$232&gt;0,A477&gt;=$C$13),$L$232*(1+$C$25)^(A477-$C$13),0)</f>
        <v/>
      </c>
      <c r="Y477" s="138">
        <f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/>
      </c>
      <c r="Z477" s="138">
        <f>MAX(X477-Y477,0)</f>
        <v/>
      </c>
      <c r="AA477" s="139">
        <f>U477+Z477</f>
        <v/>
      </c>
      <c r="AB477" s="5" t="n"/>
      <c r="AC477" s="5" t="n"/>
      <c r="AD477" s="5" t="n"/>
      <c r="AE477" s="5" t="n"/>
      <c r="AF477" s="5" t="n"/>
      <c r="AG477" s="5" t="n"/>
    </row>
    <row r="478" outlineLevel="1" s="326">
      <c r="A478" s="140" t="n">
        <v>2</v>
      </c>
      <c r="B478" s="40">
        <f>B81</f>
        <v/>
      </c>
      <c r="C478" s="141">
        <f>D81</f>
        <v/>
      </c>
      <c r="D478" s="141">
        <f>I81</f>
        <v/>
      </c>
      <c r="E478" s="141">
        <f>J81</f>
        <v/>
      </c>
      <c r="F478" s="141">
        <f>K81</f>
        <v/>
      </c>
      <c r="G478" s="138">
        <f>IF(AND($L$232&gt;0,A478=$C$13),$L$232*($C$15+$C$18),0)+IF(AND($L$232&gt;0,A478=$C$13),$C$24,0)</f>
        <v/>
      </c>
      <c r="H478" s="138">
        <f>IF(OR($L$232&lt;=0,A478&lt;$C$13),0,IF(AND($L$232&gt;0,$C$17&gt;0,A478&gt;=$C$13,A478&lt;($C$13+$C$17)),IF($C$17&lt;=0,0,IF($C$16=0,MAX($L$232*(1-$C$15),0)/$C$17,-PMT($C$16/12,$C$17*12,MAX($L$232*(1-$C$15),0))*12)),0)+X478*($C$19+$C$20+$C$21)+$C$22+$C$23)</f>
        <v/>
      </c>
      <c r="I478" s="138">
        <f>IF(B478="Working",MIN(MAX(D478-E478-F478-G478-H478,0),'Tax Assumptions'!$B$20),0)</f>
        <v/>
      </c>
      <c r="J478" s="138">
        <f>IF(B478="Working",D478-E478-F478-I478-G478-H478,-L478)</f>
        <v/>
      </c>
      <c r="K478" s="141">
        <f>IF(B478="Retired",$N$232+G478+H478,0)</f>
        <v/>
      </c>
      <c r="L478" s="141">
        <f>M478+N478+O478+P478</f>
        <v/>
      </c>
      <c r="M478" s="141">
        <f>IF(B478="Retired",MIN(((Q477)*(1+$C$10)+IF(B478="Working",J478,0)),K478),0)</f>
        <v/>
      </c>
      <c r="N478" s="141">
        <f>IF(B478="Retired",MIN(MAX(K478-M478,0),((R477)*(1+$C$10)+IF(B478="Working",E81,0))),0)</f>
        <v/>
      </c>
      <c r="O478" s="141">
        <f>IF(B478="Retired",MIN(MAX(K478-M478-N478,0),((S477)*(1+$C$10)+IF(B478="Working",I478,0))),0)</f>
        <v/>
      </c>
      <c r="P478" s="141">
        <f>IF(B478="Retired",MIN(MAX(K478-M478-N478-O478,0),((T477)*(1+$C$10)+IF(B478="Working",F81,0))),0)</f>
        <v/>
      </c>
      <c r="Q478" s="138">
        <f>MAX(((Q477)*(1+$C$10)+IF(B478="Working",J478,0))-M478,0)</f>
        <v/>
      </c>
      <c r="R478" s="138">
        <f>MAX(((R477)*(1+$C$10)+IF(B478="Working",E81,0))-N478,0)</f>
        <v/>
      </c>
      <c r="S478" s="138">
        <f>MAX(((S477)*(1+$C$10)+IF(B478="Working",I478,0))-O478,0)</f>
        <v/>
      </c>
      <c r="T478" s="138">
        <f>MAX(((T477)*(1+$C$10)+IF(B478="Working",F81,0))-P478,0)</f>
        <v/>
      </c>
      <c r="U478" s="138">
        <f>Q478+R478+S478+T478</f>
        <v/>
      </c>
      <c r="V478" s="138">
        <f>IF(B478="Working",MAX(-(((Q477)*(1+$C$10)+IF(B478="Working",J478,0))),0),MAX(K478-L478,0))</f>
        <v/>
      </c>
      <c r="W478" s="138">
        <f>IF(OR(A478&gt;=$C$13,B478="Retired"),IF(V478&gt;0,-V478,U478-'Model Inputs'!$B$18),"")</f>
        <v/>
      </c>
      <c r="X478" s="138">
        <f>IF(AND($L$232&gt;0,A478&gt;=$C$13),$L$232*(1+$C$25)^(A478-$C$13),0)</f>
        <v/>
      </c>
      <c r="Y478" s="138">
        <f>IF(OR($L$232&lt;=0,$C$17&lt;=0,A478&lt;$C$13,MIN(MAX((A478-$C$13+1)*12,0),$C$17*12)&gt;=$C$17*12),0,IF($C$16=0,MAX(MAX($L$232*(1-$C$15),0)-(IF($C$17&lt;=0,0,IF($C$16=0,MAX($L$232*(1-$C$15),0)/$C$17,-PMT($C$16/12,$C$17*12,MAX($L$232*(1-$C$15),0))*12))/12)*MIN(MAX((A478-$C$13+1)*12,0),$C$17*12),0),MAX(MAX($L$232*(1-$C$15),0)*(1+$C$16/12)^MIN(MAX((A478-$C$13+1)*12,0),$C$17*12)-(IF($C$17&lt;=0,0,IF($C$16=0,MAX($L$232*(1-$C$15),0)/$C$17,-PMT($C$16/12,$C$17*12,MAX($L$232*(1-$C$15),0))*12))/12)*(((1+$C$16/12)^MIN(MAX((A478-$C$13+1)*12,0),$C$17*12)-1)/($C$16/12)),0)))</f>
        <v/>
      </c>
      <c r="Z478" s="138">
        <f>MAX(X478-Y478,0)</f>
        <v/>
      </c>
      <c r="AA478" s="142">
        <f>U478+Z478</f>
        <v/>
      </c>
      <c r="AB478" s="5" t="n"/>
      <c r="AC478" s="5" t="n"/>
      <c r="AD478" s="5" t="n"/>
      <c r="AE478" s="5" t="n"/>
      <c r="AF478" s="5" t="n"/>
      <c r="AG478" s="5" t="n"/>
    </row>
    <row r="479" outlineLevel="1" s="326">
      <c r="A479" s="136" t="n">
        <v>3</v>
      </c>
      <c r="B479" s="72">
        <f>B82</f>
        <v/>
      </c>
      <c r="C479" s="137">
        <f>D82</f>
        <v/>
      </c>
      <c r="D479" s="137">
        <f>I82</f>
        <v/>
      </c>
      <c r="E479" s="137">
        <f>J82</f>
        <v/>
      </c>
      <c r="F479" s="137">
        <f>K82</f>
        <v/>
      </c>
      <c r="G479" s="138">
        <f>IF(AND($L$232&gt;0,A479=$C$13),$L$232*($C$15+$C$18),0)+IF(AND($L$232&gt;0,A479=$C$13),$C$24,0)</f>
        <v/>
      </c>
      <c r="H479" s="138">
        <f>IF(OR($L$232&lt;=0,A479&lt;$C$13),0,IF(AND($L$232&gt;0,$C$17&gt;0,A479&gt;=$C$13,A479&lt;($C$13+$C$17)),IF($C$17&lt;=0,0,IF($C$16=0,MAX($L$232*(1-$C$15),0)/$C$17,-PMT($C$16/12,$C$17*12,MAX($L$232*(1-$C$15),0))*12)),0)+X479*($C$19+$C$20+$C$21)+$C$22+$C$23)</f>
        <v/>
      </c>
      <c r="I479" s="138">
        <f>IF(B479="Working",MIN(MAX(D479-E479-F479-G479-H479,0),'Tax Assumptions'!$B$20),0)</f>
        <v/>
      </c>
      <c r="J479" s="138">
        <f>IF(B479="Working",D479-E479-F479-I479-G479-H479,-L479)</f>
        <v/>
      </c>
      <c r="K479" s="137">
        <f>IF(B479="Retired",$N$232+G479+H479,0)</f>
        <v/>
      </c>
      <c r="L479" s="137">
        <f>M479+N479+O479+P479</f>
        <v/>
      </c>
      <c r="M479" s="137">
        <f>IF(B479="Retired",MIN(((Q478)*(1+$C$10)+IF(B479="Working",J479,0)),K479),0)</f>
        <v/>
      </c>
      <c r="N479" s="137">
        <f>IF(B479="Retired",MIN(MAX(K479-M479,0),((R478)*(1+$C$10)+IF(B479="Working",E82,0))),0)</f>
        <v/>
      </c>
      <c r="O479" s="137">
        <f>IF(B479="Retired",MIN(MAX(K479-M479-N479,0),((S478)*(1+$C$10)+IF(B479="Working",I479,0))),0)</f>
        <v/>
      </c>
      <c r="P479" s="137">
        <f>IF(B479="Retired",MIN(MAX(K479-M479-N479-O479,0),((T478)*(1+$C$10)+IF(B479="Working",F82,0))),0)</f>
        <v/>
      </c>
      <c r="Q479" s="138">
        <f>MAX(((Q478)*(1+$C$10)+IF(B479="Working",J479,0))-M479,0)</f>
        <v/>
      </c>
      <c r="R479" s="138">
        <f>MAX(((R478)*(1+$C$10)+IF(B479="Working",E82,0))-N479,0)</f>
        <v/>
      </c>
      <c r="S479" s="138">
        <f>MAX(((S478)*(1+$C$10)+IF(B479="Working",I479,0))-O479,0)</f>
        <v/>
      </c>
      <c r="T479" s="138">
        <f>MAX(((T478)*(1+$C$10)+IF(B479="Working",F82,0))-P479,0)</f>
        <v/>
      </c>
      <c r="U479" s="138">
        <f>Q479+R479+S479+T479</f>
        <v/>
      </c>
      <c r="V479" s="138">
        <f>IF(B479="Working",MAX(-(((Q478)*(1+$C$10)+IF(B479="Working",J479,0))),0),MAX(K479-L479,0))</f>
        <v/>
      </c>
      <c r="W479" s="138">
        <f>IF(OR(A479&gt;=$C$13,B479="Retired"),IF(V479&gt;0,-V479,U479-'Model Inputs'!$B$18),"")</f>
        <v/>
      </c>
      <c r="X479" s="138">
        <f>IF(AND($L$232&gt;0,A479&gt;=$C$13),$L$232*(1+$C$25)^(A479-$C$13),0)</f>
        <v/>
      </c>
      <c r="Y479" s="138">
        <f>IF(OR($L$232&lt;=0,$C$17&lt;=0,A479&lt;$C$13,MIN(MAX((A479-$C$13+1)*12,0),$C$17*12)&gt;=$C$17*12),0,IF($C$16=0,MAX(MAX($L$232*(1-$C$15),0)-(IF($C$17&lt;=0,0,IF($C$16=0,MAX($L$232*(1-$C$15),0)/$C$17,-PMT($C$16/12,$C$17*12,MAX($L$232*(1-$C$15),0))*12))/12)*MIN(MAX((A479-$C$13+1)*12,0),$C$17*12),0),MAX(MAX($L$232*(1-$C$15),0)*(1+$C$16/12)^MIN(MAX((A479-$C$13+1)*12,0),$C$17*12)-(IF($C$17&lt;=0,0,IF($C$16=0,MAX($L$232*(1-$C$15),0)/$C$17,-PMT($C$16/12,$C$17*12,MAX($L$232*(1-$C$15),0))*12))/12)*(((1+$C$16/12)^MIN(MAX((A479-$C$13+1)*12,0),$C$17*12)-1)/($C$16/12)),0)))</f>
        <v/>
      </c>
      <c r="Z479" s="138">
        <f>MAX(X479-Y479,0)</f>
        <v/>
      </c>
      <c r="AA479" s="139">
        <f>U479+Z479</f>
        <v/>
      </c>
      <c r="AB479" s="5" t="n"/>
      <c r="AC479" s="5" t="n"/>
      <c r="AD479" s="5" t="n"/>
      <c r="AE479" s="5" t="n"/>
      <c r="AF479" s="5" t="n"/>
      <c r="AG479" s="5" t="n"/>
    </row>
    <row r="480" outlineLevel="1" s="326">
      <c r="A480" s="140" t="n">
        <v>4</v>
      </c>
      <c r="B480" s="40">
        <f>B83</f>
        <v/>
      </c>
      <c r="C480" s="141">
        <f>D83</f>
        <v/>
      </c>
      <c r="D480" s="141">
        <f>I83</f>
        <v/>
      </c>
      <c r="E480" s="141">
        <f>J83</f>
        <v/>
      </c>
      <c r="F480" s="141">
        <f>K83</f>
        <v/>
      </c>
      <c r="G480" s="138">
        <f>IF(AND($L$232&gt;0,A480=$C$13),$L$232*($C$15+$C$18),0)+IF(AND($L$232&gt;0,A480=$C$13),$C$24,0)</f>
        <v/>
      </c>
      <c r="H480" s="138">
        <f>IF(OR($L$232&lt;=0,A480&lt;$C$13),0,IF(AND($L$232&gt;0,$C$17&gt;0,A480&gt;=$C$13,A480&lt;($C$13+$C$17)),IF($C$17&lt;=0,0,IF($C$16=0,MAX($L$232*(1-$C$15),0)/$C$17,-PMT($C$16/12,$C$17*12,MAX($L$232*(1-$C$15),0))*12)),0)+X480*($C$19+$C$20+$C$21)+$C$22+$C$23)</f>
        <v/>
      </c>
      <c r="I480" s="138">
        <f>IF(B480="Working",MIN(MAX(D480-E480-F480-G480-H480,0),'Tax Assumptions'!$B$20),0)</f>
        <v/>
      </c>
      <c r="J480" s="138">
        <f>IF(B480="Working",D480-E480-F480-I480-G480-H480,-L480)</f>
        <v/>
      </c>
      <c r="K480" s="141">
        <f>IF(B480="Retired",$N$232+G480+H480,0)</f>
        <v/>
      </c>
      <c r="L480" s="141">
        <f>M480+N480+O480+P480</f>
        <v/>
      </c>
      <c r="M480" s="141">
        <f>IF(B480="Retired",MIN(((Q479)*(1+$C$10)+IF(B480="Working",J480,0)),K480),0)</f>
        <v/>
      </c>
      <c r="N480" s="141">
        <f>IF(B480="Retired",MIN(MAX(K480-M480,0),((R479)*(1+$C$10)+IF(B480="Working",E83,0))),0)</f>
        <v/>
      </c>
      <c r="O480" s="141">
        <f>IF(B480="Retired",MIN(MAX(K480-M480-N480,0),((S479)*(1+$C$10)+IF(B480="Working",I480,0))),0)</f>
        <v/>
      </c>
      <c r="P480" s="141">
        <f>IF(B480="Retired",MIN(MAX(K480-M480-N480-O480,0),((T479)*(1+$C$10)+IF(B480="Working",F83,0))),0)</f>
        <v/>
      </c>
      <c r="Q480" s="138">
        <f>MAX(((Q479)*(1+$C$10)+IF(B480="Working",J480,0))-M480,0)</f>
        <v/>
      </c>
      <c r="R480" s="138">
        <f>MAX(((R479)*(1+$C$10)+IF(B480="Working",E83,0))-N480,0)</f>
        <v/>
      </c>
      <c r="S480" s="138">
        <f>MAX(((S479)*(1+$C$10)+IF(B480="Working",I480,0))-O480,0)</f>
        <v/>
      </c>
      <c r="T480" s="138">
        <f>MAX(((T479)*(1+$C$10)+IF(B480="Working",F83,0))-P480,0)</f>
        <v/>
      </c>
      <c r="U480" s="138">
        <f>Q480+R480+S480+T480</f>
        <v/>
      </c>
      <c r="V480" s="138">
        <f>IF(B480="Working",MAX(-(((Q479)*(1+$C$10)+IF(B480="Working",J480,0))),0),MAX(K480-L480,0))</f>
        <v/>
      </c>
      <c r="W480" s="138">
        <f>IF(OR(A480&gt;=$C$13,B480="Retired"),IF(V480&gt;0,-V480,U480-'Model Inputs'!$B$18),"")</f>
        <v/>
      </c>
      <c r="X480" s="138">
        <f>IF(AND($L$232&gt;0,A480&gt;=$C$13),$L$232*(1+$C$25)^(A480-$C$13),0)</f>
        <v/>
      </c>
      <c r="Y480" s="138">
        <f>IF(OR($L$232&lt;=0,$C$17&lt;=0,A480&lt;$C$13,MIN(MAX((A480-$C$13+1)*12,0),$C$17*12)&gt;=$C$17*12),0,IF($C$16=0,MAX(MAX($L$232*(1-$C$15),0)-(IF($C$17&lt;=0,0,IF($C$16=0,MAX($L$232*(1-$C$15),0)/$C$17,-PMT($C$16/12,$C$17*12,MAX($L$232*(1-$C$15),0))*12))/12)*MIN(MAX((A480-$C$13+1)*12,0),$C$17*12),0),MAX(MAX($L$232*(1-$C$15),0)*(1+$C$16/12)^MIN(MAX((A480-$C$13+1)*12,0),$C$17*12)-(IF($C$17&lt;=0,0,IF($C$16=0,MAX($L$232*(1-$C$15),0)/$C$17,-PMT($C$16/12,$C$17*12,MAX($L$232*(1-$C$15),0))*12))/12)*(((1+$C$16/12)^MIN(MAX((A480-$C$13+1)*12,0),$C$17*12)-1)/($C$16/12)),0)))</f>
        <v/>
      </c>
      <c r="Z480" s="138">
        <f>MAX(X480-Y480,0)</f>
        <v/>
      </c>
      <c r="AA480" s="142">
        <f>U480+Z480</f>
        <v/>
      </c>
      <c r="AB480" s="5" t="n"/>
      <c r="AC480" s="5" t="n"/>
      <c r="AD480" s="5" t="n"/>
      <c r="AE480" s="5" t="n"/>
      <c r="AF480" s="5" t="n"/>
      <c r="AG480" s="5" t="n"/>
    </row>
    <row r="481" outlineLevel="1" s="326">
      <c r="A481" s="136" t="n">
        <v>5</v>
      </c>
      <c r="B481" s="72">
        <f>B84</f>
        <v/>
      </c>
      <c r="C481" s="137">
        <f>D84</f>
        <v/>
      </c>
      <c r="D481" s="137">
        <f>I84</f>
        <v/>
      </c>
      <c r="E481" s="137">
        <f>J84</f>
        <v/>
      </c>
      <c r="F481" s="137">
        <f>K84</f>
        <v/>
      </c>
      <c r="G481" s="138">
        <f>IF(AND($L$232&gt;0,A481=$C$13),$L$232*($C$15+$C$18),0)+IF(AND($L$232&gt;0,A481=$C$13),$C$24,0)</f>
        <v/>
      </c>
      <c r="H481" s="138">
        <f>IF(OR($L$232&lt;=0,A481&lt;$C$13),0,IF(AND($L$232&gt;0,$C$17&gt;0,A481&gt;=$C$13,A481&lt;($C$13+$C$17)),IF($C$17&lt;=0,0,IF($C$16=0,MAX($L$232*(1-$C$15),0)/$C$17,-PMT($C$16/12,$C$17*12,MAX($L$232*(1-$C$15),0))*12)),0)+X481*($C$19+$C$20+$C$21)+$C$22+$C$23)</f>
        <v/>
      </c>
      <c r="I481" s="138">
        <f>IF(B481="Working",MIN(MAX(D481-E481-F481-G481-H481,0),'Tax Assumptions'!$B$20),0)</f>
        <v/>
      </c>
      <c r="J481" s="138">
        <f>IF(B481="Working",D481-E481-F481-I481-G481-H481,-L481)</f>
        <v/>
      </c>
      <c r="K481" s="137">
        <f>IF(B481="Retired",$N$232+G481+H481,0)</f>
        <v/>
      </c>
      <c r="L481" s="137">
        <f>M481+N481+O481+P481</f>
        <v/>
      </c>
      <c r="M481" s="137">
        <f>IF(B481="Retired",MIN(((Q480)*(1+$C$10)+IF(B481="Working",J481,0)),K481),0)</f>
        <v/>
      </c>
      <c r="N481" s="137">
        <f>IF(B481="Retired",MIN(MAX(K481-M481,0),((R480)*(1+$C$10)+IF(B481="Working",E84,0))),0)</f>
        <v/>
      </c>
      <c r="O481" s="137">
        <f>IF(B481="Retired",MIN(MAX(K481-M481-N481,0),((S480)*(1+$C$10)+IF(B481="Working",I481,0))),0)</f>
        <v/>
      </c>
      <c r="P481" s="137">
        <f>IF(B481="Retired",MIN(MAX(K481-M481-N481-O481,0),((T480)*(1+$C$10)+IF(B481="Working",F84,0))),0)</f>
        <v/>
      </c>
      <c r="Q481" s="138">
        <f>MAX(((Q480)*(1+$C$10)+IF(B481="Working",J481,0))-M481,0)</f>
        <v/>
      </c>
      <c r="R481" s="138">
        <f>MAX(((R480)*(1+$C$10)+IF(B481="Working",E84,0))-N481,0)</f>
        <v/>
      </c>
      <c r="S481" s="138">
        <f>MAX(((S480)*(1+$C$10)+IF(B481="Working",I481,0))-O481,0)</f>
        <v/>
      </c>
      <c r="T481" s="138">
        <f>MAX(((T480)*(1+$C$10)+IF(B481="Working",F84,0))-P481,0)</f>
        <v/>
      </c>
      <c r="U481" s="138">
        <f>Q481+R481+S481+T481</f>
        <v/>
      </c>
      <c r="V481" s="138">
        <f>IF(B481="Working",MAX(-(((Q480)*(1+$C$10)+IF(B481="Working",J481,0))),0),MAX(K481-L481,0))</f>
        <v/>
      </c>
      <c r="W481" s="138">
        <f>IF(OR(A481&gt;=$C$13,B481="Retired"),IF(V481&gt;0,-V481,U481-'Model Inputs'!$B$18),"")</f>
        <v/>
      </c>
      <c r="X481" s="138">
        <f>IF(AND($L$232&gt;0,A481&gt;=$C$13),$L$232*(1+$C$25)^(A481-$C$13),0)</f>
        <v/>
      </c>
      <c r="Y481" s="138">
        <f>IF(OR($L$232&lt;=0,$C$17&lt;=0,A481&lt;$C$13,MIN(MAX((A481-$C$13+1)*12,0),$C$17*12)&gt;=$C$17*12),0,IF($C$16=0,MAX(MAX($L$232*(1-$C$15),0)-(IF($C$17&lt;=0,0,IF($C$16=0,MAX($L$232*(1-$C$15),0)/$C$17,-PMT($C$16/12,$C$17*12,MAX($L$232*(1-$C$15),0))*12))/12)*MIN(MAX((A481-$C$13+1)*12,0),$C$17*12),0),MAX(MAX($L$232*(1-$C$15),0)*(1+$C$16/12)^MIN(MAX((A481-$C$13+1)*12,0),$C$17*12)-(IF($C$17&lt;=0,0,IF($C$16=0,MAX($L$232*(1-$C$15),0)/$C$17,-PMT($C$16/12,$C$17*12,MAX($L$232*(1-$C$15),0))*12))/12)*(((1+$C$16/12)^MIN(MAX((A481-$C$13+1)*12,0),$C$17*12)-1)/($C$16/12)),0)))</f>
        <v/>
      </c>
      <c r="Z481" s="138">
        <f>MAX(X481-Y481,0)</f>
        <v/>
      </c>
      <c r="AA481" s="139">
        <f>U481+Z481</f>
        <v/>
      </c>
      <c r="AB481" s="5" t="n"/>
      <c r="AC481" s="5" t="n"/>
      <c r="AD481" s="5" t="n"/>
      <c r="AE481" s="5" t="n"/>
      <c r="AF481" s="5" t="n"/>
      <c r="AG481" s="5" t="n"/>
    </row>
    <row r="482" outlineLevel="1" s="326">
      <c r="A482" s="140" t="n">
        <v>6</v>
      </c>
      <c r="B482" s="40">
        <f>B85</f>
        <v/>
      </c>
      <c r="C482" s="141">
        <f>D85</f>
        <v/>
      </c>
      <c r="D482" s="141">
        <f>I85</f>
        <v/>
      </c>
      <c r="E482" s="141">
        <f>J85</f>
        <v/>
      </c>
      <c r="F482" s="141">
        <f>K85</f>
        <v/>
      </c>
      <c r="G482" s="138">
        <f>IF(AND($L$232&gt;0,A482=$C$13),$L$232*($C$15+$C$18),0)+IF(AND($L$232&gt;0,A482=$C$13),$C$24,0)</f>
        <v/>
      </c>
      <c r="H482" s="138">
        <f>IF(OR($L$232&lt;=0,A482&lt;$C$13),0,IF(AND($L$232&gt;0,$C$17&gt;0,A482&gt;=$C$13,A482&lt;($C$13+$C$17)),IF($C$17&lt;=0,0,IF($C$16=0,MAX($L$232*(1-$C$15),0)/$C$17,-PMT($C$16/12,$C$17*12,MAX($L$232*(1-$C$15),0))*12)),0)+X482*($C$19+$C$20+$C$21)+$C$22+$C$23)</f>
        <v/>
      </c>
      <c r="I482" s="138">
        <f>IF(B482="Working",MIN(MAX(D482-E482-F482-G482-H482,0),'Tax Assumptions'!$B$20),0)</f>
        <v/>
      </c>
      <c r="J482" s="138">
        <f>IF(B482="Working",D482-E482-F482-I482-G482-H482,-L482)</f>
        <v/>
      </c>
      <c r="K482" s="141">
        <f>IF(B482="Retired",$N$232+G482+H482,0)</f>
        <v/>
      </c>
      <c r="L482" s="141">
        <f>M482+N482+O482+P482</f>
        <v/>
      </c>
      <c r="M482" s="141">
        <f>IF(B482="Retired",MIN(((Q481)*(1+$C$10)+IF(B482="Working",J482,0)),K482),0)</f>
        <v/>
      </c>
      <c r="N482" s="141">
        <f>IF(B482="Retired",MIN(MAX(K482-M482,0),((R481)*(1+$C$10)+IF(B482="Working",E85,0))),0)</f>
        <v/>
      </c>
      <c r="O482" s="141">
        <f>IF(B482="Retired",MIN(MAX(K482-M482-N482,0),((S481)*(1+$C$10)+IF(B482="Working",I482,0))),0)</f>
        <v/>
      </c>
      <c r="P482" s="141">
        <f>IF(B482="Retired",MIN(MAX(K482-M482-N482-O482,0),((T481)*(1+$C$10)+IF(B482="Working",F85,0))),0)</f>
        <v/>
      </c>
      <c r="Q482" s="138">
        <f>MAX(((Q481)*(1+$C$10)+IF(B482="Working",J482,0))-M482,0)</f>
        <v/>
      </c>
      <c r="R482" s="138">
        <f>MAX(((R481)*(1+$C$10)+IF(B482="Working",E85,0))-N482,0)</f>
        <v/>
      </c>
      <c r="S482" s="138">
        <f>MAX(((S481)*(1+$C$10)+IF(B482="Working",I482,0))-O482,0)</f>
        <v/>
      </c>
      <c r="T482" s="138">
        <f>MAX(((T481)*(1+$C$10)+IF(B482="Working",F85,0))-P482,0)</f>
        <v/>
      </c>
      <c r="U482" s="138">
        <f>Q482+R482+S482+T482</f>
        <v/>
      </c>
      <c r="V482" s="138">
        <f>IF(B482="Working",MAX(-(((Q481)*(1+$C$10)+IF(B482="Working",J482,0))),0),MAX(K482-L482,0))</f>
        <v/>
      </c>
      <c r="W482" s="138">
        <f>IF(OR(A482&gt;=$C$13,B482="Retired"),IF(V482&gt;0,-V482,U482-'Model Inputs'!$B$18),"")</f>
        <v/>
      </c>
      <c r="X482" s="138">
        <f>IF(AND($L$232&gt;0,A482&gt;=$C$13),$L$232*(1+$C$25)^(A482-$C$13),0)</f>
        <v/>
      </c>
      <c r="Y482" s="138">
        <f>IF(OR($L$232&lt;=0,$C$17&lt;=0,A482&lt;$C$13,MIN(MAX((A482-$C$13+1)*12,0),$C$17*12)&gt;=$C$17*12),0,IF($C$16=0,MAX(MAX($L$232*(1-$C$15),0)-(IF($C$17&lt;=0,0,IF($C$16=0,MAX($L$232*(1-$C$15),0)/$C$17,-PMT($C$16/12,$C$17*12,MAX($L$232*(1-$C$15),0))*12))/12)*MIN(MAX((A482-$C$13+1)*12,0),$C$17*12),0),MAX(MAX($L$232*(1-$C$15),0)*(1+$C$16/12)^MIN(MAX((A482-$C$13+1)*12,0),$C$17*12)-(IF($C$17&lt;=0,0,IF($C$16=0,MAX($L$232*(1-$C$15),0)/$C$17,-PMT($C$16/12,$C$17*12,MAX($L$232*(1-$C$15),0))*12))/12)*(((1+$C$16/12)^MIN(MAX((A482-$C$13+1)*12,0),$C$17*12)-1)/($C$16/12)),0)))</f>
        <v/>
      </c>
      <c r="Z482" s="138">
        <f>MAX(X482-Y482,0)</f>
        <v/>
      </c>
      <c r="AA482" s="142">
        <f>U482+Z482</f>
        <v/>
      </c>
      <c r="AB482" s="5" t="n"/>
      <c r="AC482" s="5" t="n"/>
      <c r="AD482" s="5" t="n"/>
      <c r="AE482" s="5" t="n"/>
      <c r="AF482" s="5" t="n"/>
      <c r="AG482" s="5" t="n"/>
    </row>
    <row r="483" outlineLevel="1" s="326">
      <c r="A483" s="136" t="n">
        <v>7</v>
      </c>
      <c r="B483" s="72">
        <f>B86</f>
        <v/>
      </c>
      <c r="C483" s="137">
        <f>D86</f>
        <v/>
      </c>
      <c r="D483" s="137">
        <f>I86</f>
        <v/>
      </c>
      <c r="E483" s="137">
        <f>J86</f>
        <v/>
      </c>
      <c r="F483" s="137">
        <f>K86</f>
        <v/>
      </c>
      <c r="G483" s="138">
        <f>IF(AND($L$232&gt;0,A483=$C$13),$L$232*($C$15+$C$18),0)+IF(AND($L$232&gt;0,A483=$C$13),$C$24,0)</f>
        <v/>
      </c>
      <c r="H483" s="138">
        <f>IF(OR($L$232&lt;=0,A483&lt;$C$13),0,IF(AND($L$232&gt;0,$C$17&gt;0,A483&gt;=$C$13,A483&lt;($C$13+$C$17)),IF($C$17&lt;=0,0,IF($C$16=0,MAX($L$232*(1-$C$15),0)/$C$17,-PMT($C$16/12,$C$17*12,MAX($L$232*(1-$C$15),0))*12)),0)+X483*($C$19+$C$20+$C$21)+$C$22+$C$23)</f>
        <v/>
      </c>
      <c r="I483" s="138">
        <f>IF(B483="Working",MIN(MAX(D483-E483-F483-G483-H483,0),'Tax Assumptions'!$B$20),0)</f>
        <v/>
      </c>
      <c r="J483" s="138">
        <f>IF(B483="Working",D483-E483-F483-I483-G483-H483,-L483)</f>
        <v/>
      </c>
      <c r="K483" s="137">
        <f>IF(B483="Retired",$N$232+G483+H483,0)</f>
        <v/>
      </c>
      <c r="L483" s="137">
        <f>M483+N483+O483+P483</f>
        <v/>
      </c>
      <c r="M483" s="137">
        <f>IF(B483="Retired",MIN(((Q482)*(1+$C$10)+IF(B483="Working",J483,0)),K483),0)</f>
        <v/>
      </c>
      <c r="N483" s="137">
        <f>IF(B483="Retired",MIN(MAX(K483-M483,0),((R482)*(1+$C$10)+IF(B483="Working",E86,0))),0)</f>
        <v/>
      </c>
      <c r="O483" s="137">
        <f>IF(B483="Retired",MIN(MAX(K483-M483-N483,0),((S482)*(1+$C$10)+IF(B483="Working",I483,0))),0)</f>
        <v/>
      </c>
      <c r="P483" s="137">
        <f>IF(B483="Retired",MIN(MAX(K483-M483-N483-O483,0),((T482)*(1+$C$10)+IF(B483="Working",F86,0))),0)</f>
        <v/>
      </c>
      <c r="Q483" s="138">
        <f>MAX(((Q482)*(1+$C$10)+IF(B483="Working",J483,0))-M483,0)</f>
        <v/>
      </c>
      <c r="R483" s="138">
        <f>MAX(((R482)*(1+$C$10)+IF(B483="Working",E86,0))-N483,0)</f>
        <v/>
      </c>
      <c r="S483" s="138">
        <f>MAX(((S482)*(1+$C$10)+IF(B483="Working",I483,0))-O483,0)</f>
        <v/>
      </c>
      <c r="T483" s="138">
        <f>MAX(((T482)*(1+$C$10)+IF(B483="Working",F86,0))-P483,0)</f>
        <v/>
      </c>
      <c r="U483" s="138">
        <f>Q483+R483+S483+T483</f>
        <v/>
      </c>
      <c r="V483" s="138">
        <f>IF(B483="Working",MAX(-(((Q482)*(1+$C$10)+IF(B483="Working",J483,0))),0),MAX(K483-L483,0))</f>
        <v/>
      </c>
      <c r="W483" s="138">
        <f>IF(OR(A483&gt;=$C$13,B483="Retired"),IF(V483&gt;0,-V483,U483-'Model Inputs'!$B$18),"")</f>
        <v/>
      </c>
      <c r="X483" s="138">
        <f>IF(AND($L$232&gt;0,A483&gt;=$C$13),$L$232*(1+$C$25)^(A483-$C$13),0)</f>
        <v/>
      </c>
      <c r="Y483" s="138">
        <f>IF(OR($L$232&lt;=0,$C$17&lt;=0,A483&lt;$C$13,MIN(MAX((A483-$C$13+1)*12,0),$C$17*12)&gt;=$C$17*12),0,IF($C$16=0,MAX(MAX($L$232*(1-$C$15),0)-(IF($C$17&lt;=0,0,IF($C$16=0,MAX($L$232*(1-$C$15),0)/$C$17,-PMT($C$16/12,$C$17*12,MAX($L$232*(1-$C$15),0))*12))/12)*MIN(MAX((A483-$C$13+1)*12,0),$C$17*12),0),MAX(MAX($L$232*(1-$C$15),0)*(1+$C$16/12)^MIN(MAX((A483-$C$13+1)*12,0),$C$17*12)-(IF($C$17&lt;=0,0,IF($C$16=0,MAX($L$232*(1-$C$15),0)/$C$17,-PMT($C$16/12,$C$17*12,MAX($L$232*(1-$C$15),0))*12))/12)*(((1+$C$16/12)^MIN(MAX((A483-$C$13+1)*12,0),$C$17*12)-1)/($C$16/12)),0)))</f>
        <v/>
      </c>
      <c r="Z483" s="138">
        <f>MAX(X483-Y483,0)</f>
        <v/>
      </c>
      <c r="AA483" s="139">
        <f>U483+Z483</f>
        <v/>
      </c>
      <c r="AB483" s="5" t="n"/>
      <c r="AC483" s="5" t="n"/>
      <c r="AD483" s="5" t="n"/>
      <c r="AE483" s="5" t="n"/>
      <c r="AF483" s="5" t="n"/>
      <c r="AG483" s="5" t="n"/>
    </row>
    <row r="484" outlineLevel="1" s="326">
      <c r="A484" s="140" t="n">
        <v>8</v>
      </c>
      <c r="B484" s="40">
        <f>B87</f>
        <v/>
      </c>
      <c r="C484" s="141">
        <f>D87</f>
        <v/>
      </c>
      <c r="D484" s="141">
        <f>I87</f>
        <v/>
      </c>
      <c r="E484" s="141">
        <f>J87</f>
        <v/>
      </c>
      <c r="F484" s="141">
        <f>K87</f>
        <v/>
      </c>
      <c r="G484" s="138">
        <f>IF(AND($L$232&gt;0,A484=$C$13),$L$232*($C$15+$C$18),0)+IF(AND($L$232&gt;0,A484=$C$13),$C$24,0)</f>
        <v/>
      </c>
      <c r="H484" s="138">
        <f>IF(OR($L$232&lt;=0,A484&lt;$C$13),0,IF(AND($L$232&gt;0,$C$17&gt;0,A484&gt;=$C$13,A484&lt;($C$13+$C$17)),IF($C$17&lt;=0,0,IF($C$16=0,MAX($L$232*(1-$C$15),0)/$C$17,-PMT($C$16/12,$C$17*12,MAX($L$232*(1-$C$15),0))*12)),0)+X484*($C$19+$C$20+$C$21)+$C$22+$C$23)</f>
        <v/>
      </c>
      <c r="I484" s="138">
        <f>IF(B484="Working",MIN(MAX(D484-E484-F484-G484-H484,0),'Tax Assumptions'!$B$20),0)</f>
        <v/>
      </c>
      <c r="J484" s="138">
        <f>IF(B484="Working",D484-E484-F484-I484-G484-H484,-L484)</f>
        <v/>
      </c>
      <c r="K484" s="141">
        <f>IF(B484="Retired",$N$232+G484+H484,0)</f>
        <v/>
      </c>
      <c r="L484" s="141">
        <f>M484+N484+O484+P484</f>
        <v/>
      </c>
      <c r="M484" s="141">
        <f>IF(B484="Retired",MIN(((Q483)*(1+$C$10)+IF(B484="Working",J484,0)),K484),0)</f>
        <v/>
      </c>
      <c r="N484" s="141">
        <f>IF(B484="Retired",MIN(MAX(K484-M484,0),((R483)*(1+$C$10)+IF(B484="Working",E87,0))),0)</f>
        <v/>
      </c>
      <c r="O484" s="141">
        <f>IF(B484="Retired",MIN(MAX(K484-M484-N484,0),((S483)*(1+$C$10)+IF(B484="Working",I484,0))),0)</f>
        <v/>
      </c>
      <c r="P484" s="141">
        <f>IF(B484="Retired",MIN(MAX(K484-M484-N484-O484,0),((T483)*(1+$C$10)+IF(B484="Working",F87,0))),0)</f>
        <v/>
      </c>
      <c r="Q484" s="138">
        <f>MAX(((Q483)*(1+$C$10)+IF(B484="Working",J484,0))-M484,0)</f>
        <v/>
      </c>
      <c r="R484" s="138">
        <f>MAX(((R483)*(1+$C$10)+IF(B484="Working",E87,0))-N484,0)</f>
        <v/>
      </c>
      <c r="S484" s="138">
        <f>MAX(((S483)*(1+$C$10)+IF(B484="Working",I484,0))-O484,0)</f>
        <v/>
      </c>
      <c r="T484" s="138">
        <f>MAX(((T483)*(1+$C$10)+IF(B484="Working",F87,0))-P484,0)</f>
        <v/>
      </c>
      <c r="U484" s="138">
        <f>Q484+R484+S484+T484</f>
        <v/>
      </c>
      <c r="V484" s="138">
        <f>IF(B484="Working",MAX(-(((Q483)*(1+$C$10)+IF(B484="Working",J484,0))),0),MAX(K484-L484,0))</f>
        <v/>
      </c>
      <c r="W484" s="138">
        <f>IF(OR(A484&gt;=$C$13,B484="Retired"),IF(V484&gt;0,-V484,U484-'Model Inputs'!$B$18),"")</f>
        <v/>
      </c>
      <c r="X484" s="138">
        <f>IF(AND($L$232&gt;0,A484&gt;=$C$13),$L$232*(1+$C$25)^(A484-$C$13),0)</f>
        <v/>
      </c>
      <c r="Y484" s="138">
        <f>IF(OR($L$232&lt;=0,$C$17&lt;=0,A484&lt;$C$13,MIN(MAX((A484-$C$13+1)*12,0),$C$17*12)&gt;=$C$17*12),0,IF($C$16=0,MAX(MAX($L$232*(1-$C$15),0)-(IF($C$17&lt;=0,0,IF($C$16=0,MAX($L$232*(1-$C$15),0)/$C$17,-PMT($C$16/12,$C$17*12,MAX($L$232*(1-$C$15),0))*12))/12)*MIN(MAX((A484-$C$13+1)*12,0),$C$17*12),0),MAX(MAX($L$232*(1-$C$15),0)*(1+$C$16/12)^MIN(MAX((A484-$C$13+1)*12,0),$C$17*12)-(IF($C$17&lt;=0,0,IF($C$16=0,MAX($L$232*(1-$C$15),0)/$C$17,-PMT($C$16/12,$C$17*12,MAX($L$232*(1-$C$15),0))*12))/12)*(((1+$C$16/12)^MIN(MAX((A484-$C$13+1)*12,0),$C$17*12)-1)/($C$16/12)),0)))</f>
        <v/>
      </c>
      <c r="Z484" s="138">
        <f>MAX(X484-Y484,0)</f>
        <v/>
      </c>
      <c r="AA484" s="142">
        <f>U484+Z484</f>
        <v/>
      </c>
      <c r="AB484" s="5" t="n"/>
      <c r="AC484" s="5" t="n"/>
      <c r="AD484" s="5" t="n"/>
      <c r="AE484" s="5" t="n"/>
      <c r="AF484" s="5" t="n"/>
      <c r="AG484" s="5" t="n"/>
    </row>
    <row r="485" outlineLevel="1" s="326">
      <c r="A485" s="136" t="n">
        <v>9</v>
      </c>
      <c r="B485" s="72">
        <f>B88</f>
        <v/>
      </c>
      <c r="C485" s="137">
        <f>D88</f>
        <v/>
      </c>
      <c r="D485" s="137">
        <f>I88</f>
        <v/>
      </c>
      <c r="E485" s="137">
        <f>J88</f>
        <v/>
      </c>
      <c r="F485" s="137">
        <f>K88</f>
        <v/>
      </c>
      <c r="G485" s="138">
        <f>IF(AND($L$232&gt;0,A485=$C$13),$L$232*($C$15+$C$18),0)+IF(AND($L$232&gt;0,A485=$C$13),$C$24,0)</f>
        <v/>
      </c>
      <c r="H485" s="138">
        <f>IF(OR($L$232&lt;=0,A485&lt;$C$13),0,IF(AND($L$232&gt;0,$C$17&gt;0,A485&gt;=$C$13,A485&lt;($C$13+$C$17)),IF($C$17&lt;=0,0,IF($C$16=0,MAX($L$232*(1-$C$15),0)/$C$17,-PMT($C$16/12,$C$17*12,MAX($L$232*(1-$C$15),0))*12)),0)+X485*($C$19+$C$20+$C$21)+$C$22+$C$23)</f>
        <v/>
      </c>
      <c r="I485" s="138">
        <f>IF(B485="Working",MIN(MAX(D485-E485-F485-G485-H485,0),'Tax Assumptions'!$B$20),0)</f>
        <v/>
      </c>
      <c r="J485" s="138">
        <f>IF(B485="Working",D485-E485-F485-I485-G485-H485,-L485)</f>
        <v/>
      </c>
      <c r="K485" s="137">
        <f>IF(B485="Retired",$N$232+G485+H485,0)</f>
        <v/>
      </c>
      <c r="L485" s="137">
        <f>M485+N485+O485+P485</f>
        <v/>
      </c>
      <c r="M485" s="137">
        <f>IF(B485="Retired",MIN(((Q484)*(1+$C$10)+IF(B485="Working",J485,0)),K485),0)</f>
        <v/>
      </c>
      <c r="N485" s="137">
        <f>IF(B485="Retired",MIN(MAX(K485-M485,0),((R484)*(1+$C$10)+IF(B485="Working",E88,0))),0)</f>
        <v/>
      </c>
      <c r="O485" s="137">
        <f>IF(B485="Retired",MIN(MAX(K485-M485-N485,0),((S484)*(1+$C$10)+IF(B485="Working",I485,0))),0)</f>
        <v/>
      </c>
      <c r="P485" s="137">
        <f>IF(B485="Retired",MIN(MAX(K485-M485-N485-O485,0),((T484)*(1+$C$10)+IF(B485="Working",F88,0))),0)</f>
        <v/>
      </c>
      <c r="Q485" s="138">
        <f>MAX(((Q484)*(1+$C$10)+IF(B485="Working",J485,0))-M485,0)</f>
        <v/>
      </c>
      <c r="R485" s="138">
        <f>MAX(((R484)*(1+$C$10)+IF(B485="Working",E88,0))-N485,0)</f>
        <v/>
      </c>
      <c r="S485" s="138">
        <f>MAX(((S484)*(1+$C$10)+IF(B485="Working",I485,0))-O485,0)</f>
        <v/>
      </c>
      <c r="T485" s="138">
        <f>MAX(((T484)*(1+$C$10)+IF(B485="Working",F88,0))-P485,0)</f>
        <v/>
      </c>
      <c r="U485" s="138">
        <f>Q485+R485+S485+T485</f>
        <v/>
      </c>
      <c r="V485" s="138">
        <f>IF(B485="Working",MAX(-(((Q484)*(1+$C$10)+IF(B485="Working",J485,0))),0),MAX(K485-L485,0))</f>
        <v/>
      </c>
      <c r="W485" s="138">
        <f>IF(OR(A485&gt;=$C$13,B485="Retired"),IF(V485&gt;0,-V485,U485-'Model Inputs'!$B$18),"")</f>
        <v/>
      </c>
      <c r="X485" s="138">
        <f>IF(AND($L$232&gt;0,A485&gt;=$C$13),$L$232*(1+$C$25)^(A485-$C$13),0)</f>
        <v/>
      </c>
      <c r="Y485" s="138">
        <f>IF(OR($L$232&lt;=0,$C$17&lt;=0,A485&lt;$C$13,MIN(MAX((A485-$C$13+1)*12,0),$C$17*12)&gt;=$C$17*12),0,IF($C$16=0,MAX(MAX($L$232*(1-$C$15),0)-(IF($C$17&lt;=0,0,IF($C$16=0,MAX($L$232*(1-$C$15),0)/$C$17,-PMT($C$16/12,$C$17*12,MAX($L$232*(1-$C$15),0))*12))/12)*MIN(MAX((A485-$C$13+1)*12,0),$C$17*12),0),MAX(MAX($L$232*(1-$C$15),0)*(1+$C$16/12)^MIN(MAX((A485-$C$13+1)*12,0),$C$17*12)-(IF($C$17&lt;=0,0,IF($C$16=0,MAX($L$232*(1-$C$15),0)/$C$17,-PMT($C$16/12,$C$17*12,MAX($L$232*(1-$C$15),0))*12))/12)*(((1+$C$16/12)^MIN(MAX((A485-$C$13+1)*12,0),$C$17*12)-1)/($C$16/12)),0)))</f>
        <v/>
      </c>
      <c r="Z485" s="138">
        <f>MAX(X485-Y485,0)</f>
        <v/>
      </c>
      <c r="AA485" s="139">
        <f>U485+Z485</f>
        <v/>
      </c>
      <c r="AB485" s="5" t="n"/>
      <c r="AC485" s="5" t="n"/>
      <c r="AD485" s="5" t="n"/>
      <c r="AE485" s="5" t="n"/>
      <c r="AF485" s="5" t="n"/>
      <c r="AG485" s="5" t="n"/>
    </row>
    <row r="486" outlineLevel="1" s="326">
      <c r="A486" s="140" t="n">
        <v>10</v>
      </c>
      <c r="B486" s="40">
        <f>B89</f>
        <v/>
      </c>
      <c r="C486" s="141">
        <f>D89</f>
        <v/>
      </c>
      <c r="D486" s="141">
        <f>I89</f>
        <v/>
      </c>
      <c r="E486" s="141">
        <f>J89</f>
        <v/>
      </c>
      <c r="F486" s="141">
        <f>K89</f>
        <v/>
      </c>
      <c r="G486" s="138">
        <f>IF(AND($L$232&gt;0,A486=$C$13),$L$232*($C$15+$C$18),0)+IF(AND($L$232&gt;0,A486=$C$13),$C$24,0)</f>
        <v/>
      </c>
      <c r="H486" s="138">
        <f>IF(OR($L$232&lt;=0,A486&lt;$C$13),0,IF(AND($L$232&gt;0,$C$17&gt;0,A486&gt;=$C$13,A486&lt;($C$13+$C$17)),IF($C$17&lt;=0,0,IF($C$16=0,MAX($L$232*(1-$C$15),0)/$C$17,-PMT($C$16/12,$C$17*12,MAX($L$232*(1-$C$15),0))*12)),0)+X486*($C$19+$C$20+$C$21)+$C$22+$C$23)</f>
        <v/>
      </c>
      <c r="I486" s="138">
        <f>IF(B486="Working",MIN(MAX(D486-E486-F486-G486-H486,0),'Tax Assumptions'!$B$20),0)</f>
        <v/>
      </c>
      <c r="J486" s="138">
        <f>IF(B486="Working",D486-E486-F486-I486-G486-H486,-L486)</f>
        <v/>
      </c>
      <c r="K486" s="141">
        <f>IF(B486="Retired",$N$232+G486+H486,0)</f>
        <v/>
      </c>
      <c r="L486" s="141">
        <f>M486+N486+O486+P486</f>
        <v/>
      </c>
      <c r="M486" s="141">
        <f>IF(B486="Retired",MIN(((Q485)*(1+$C$10)+IF(B486="Working",J486,0)),K486),0)</f>
        <v/>
      </c>
      <c r="N486" s="141">
        <f>IF(B486="Retired",MIN(MAX(K486-M486,0),((R485)*(1+$C$10)+IF(B486="Working",E89,0))),0)</f>
        <v/>
      </c>
      <c r="O486" s="141">
        <f>IF(B486="Retired",MIN(MAX(K486-M486-N486,0),((S485)*(1+$C$10)+IF(B486="Working",I486,0))),0)</f>
        <v/>
      </c>
      <c r="P486" s="141">
        <f>IF(B486="Retired",MIN(MAX(K486-M486-N486-O486,0),((T485)*(1+$C$10)+IF(B486="Working",F89,0))),0)</f>
        <v/>
      </c>
      <c r="Q486" s="138">
        <f>MAX(((Q485)*(1+$C$10)+IF(B486="Working",J486,0))-M486,0)</f>
        <v/>
      </c>
      <c r="R486" s="138">
        <f>MAX(((R485)*(1+$C$10)+IF(B486="Working",E89,0))-N486,0)</f>
        <v/>
      </c>
      <c r="S486" s="138">
        <f>MAX(((S485)*(1+$C$10)+IF(B486="Working",I486,0))-O486,0)</f>
        <v/>
      </c>
      <c r="T486" s="138">
        <f>MAX(((T485)*(1+$C$10)+IF(B486="Working",F89,0))-P486,0)</f>
        <v/>
      </c>
      <c r="U486" s="138">
        <f>Q486+R486+S486+T486</f>
        <v/>
      </c>
      <c r="V486" s="138">
        <f>IF(B486="Working",MAX(-(((Q485)*(1+$C$10)+IF(B486="Working",J486,0))),0),MAX(K486-L486,0))</f>
        <v/>
      </c>
      <c r="W486" s="138">
        <f>IF(OR(A486&gt;=$C$13,B486="Retired"),IF(V486&gt;0,-V486,U486-'Model Inputs'!$B$18),"")</f>
        <v/>
      </c>
      <c r="X486" s="138">
        <f>IF(AND($L$232&gt;0,A486&gt;=$C$13),$L$232*(1+$C$25)^(A486-$C$13),0)</f>
        <v/>
      </c>
      <c r="Y486" s="138">
        <f>IF(OR($L$232&lt;=0,$C$17&lt;=0,A486&lt;$C$13,MIN(MAX((A486-$C$13+1)*12,0),$C$17*12)&gt;=$C$17*12),0,IF($C$16=0,MAX(MAX($L$232*(1-$C$15),0)-(IF($C$17&lt;=0,0,IF($C$16=0,MAX($L$232*(1-$C$15),0)/$C$17,-PMT($C$16/12,$C$17*12,MAX($L$232*(1-$C$15),0))*12))/12)*MIN(MAX((A486-$C$13+1)*12,0),$C$17*12),0),MAX(MAX($L$232*(1-$C$15),0)*(1+$C$16/12)^MIN(MAX((A486-$C$13+1)*12,0),$C$17*12)-(IF($C$17&lt;=0,0,IF($C$16=0,MAX($L$232*(1-$C$15),0)/$C$17,-PMT($C$16/12,$C$17*12,MAX($L$232*(1-$C$15),0))*12))/12)*(((1+$C$16/12)^MIN(MAX((A486-$C$13+1)*12,0),$C$17*12)-1)/($C$16/12)),0)))</f>
        <v/>
      </c>
      <c r="Z486" s="138">
        <f>MAX(X486-Y486,0)</f>
        <v/>
      </c>
      <c r="AA486" s="142">
        <f>U486+Z486</f>
        <v/>
      </c>
      <c r="AB486" s="5" t="n"/>
      <c r="AC486" s="5" t="n"/>
      <c r="AD486" s="5" t="n"/>
      <c r="AE486" s="5" t="n"/>
      <c r="AF486" s="5" t="n"/>
      <c r="AG486" s="5" t="n"/>
    </row>
    <row r="487" outlineLevel="1" s="326">
      <c r="A487" s="136" t="n">
        <v>11</v>
      </c>
      <c r="B487" s="72">
        <f>B90</f>
        <v/>
      </c>
      <c r="C487" s="137">
        <f>D90</f>
        <v/>
      </c>
      <c r="D487" s="137">
        <f>I90</f>
        <v/>
      </c>
      <c r="E487" s="137">
        <f>J90</f>
        <v/>
      </c>
      <c r="F487" s="137">
        <f>K90</f>
        <v/>
      </c>
      <c r="G487" s="138">
        <f>IF(AND($L$232&gt;0,A487=$C$13),$L$232*($C$15+$C$18),0)+IF(AND($L$232&gt;0,A487=$C$13),$C$24,0)</f>
        <v/>
      </c>
      <c r="H487" s="138">
        <f>IF(OR($L$232&lt;=0,A487&lt;$C$13),0,IF(AND($L$232&gt;0,$C$17&gt;0,A487&gt;=$C$13,A487&lt;($C$13+$C$17)),IF($C$17&lt;=0,0,IF($C$16=0,MAX($L$232*(1-$C$15),0)/$C$17,-PMT($C$16/12,$C$17*12,MAX($L$232*(1-$C$15),0))*12)),0)+X487*($C$19+$C$20+$C$21)+$C$22+$C$23)</f>
        <v/>
      </c>
      <c r="I487" s="138">
        <f>IF(B487="Working",MIN(MAX(D487-E487-F487-G487-H487,0),'Tax Assumptions'!$B$20),0)</f>
        <v/>
      </c>
      <c r="J487" s="138">
        <f>IF(B487="Working",D487-E487-F487-I487-G487-H487,-L487)</f>
        <v/>
      </c>
      <c r="K487" s="137">
        <f>IF(B487="Retired",$N$232+G487+H487,0)</f>
        <v/>
      </c>
      <c r="L487" s="137">
        <f>M487+N487+O487+P487</f>
        <v/>
      </c>
      <c r="M487" s="137">
        <f>IF(B487="Retired",MIN(((Q486)*(1+$C$10)+IF(B487="Working",J487,0)),K487),0)</f>
        <v/>
      </c>
      <c r="N487" s="137">
        <f>IF(B487="Retired",MIN(MAX(K487-M487,0),((R486)*(1+$C$10)+IF(B487="Working",E90,0))),0)</f>
        <v/>
      </c>
      <c r="O487" s="137">
        <f>IF(B487="Retired",MIN(MAX(K487-M487-N487,0),((S486)*(1+$C$10)+IF(B487="Working",I487,0))),0)</f>
        <v/>
      </c>
      <c r="P487" s="137">
        <f>IF(B487="Retired",MIN(MAX(K487-M487-N487-O487,0),((T486)*(1+$C$10)+IF(B487="Working",F90,0))),0)</f>
        <v/>
      </c>
      <c r="Q487" s="138">
        <f>MAX(((Q486)*(1+$C$10)+IF(B487="Working",J487,0))-M487,0)</f>
        <v/>
      </c>
      <c r="R487" s="138">
        <f>MAX(((R486)*(1+$C$10)+IF(B487="Working",E90,0))-N487,0)</f>
        <v/>
      </c>
      <c r="S487" s="138">
        <f>MAX(((S486)*(1+$C$10)+IF(B487="Working",I487,0))-O487,0)</f>
        <v/>
      </c>
      <c r="T487" s="138">
        <f>MAX(((T486)*(1+$C$10)+IF(B487="Working",F90,0))-P487,0)</f>
        <v/>
      </c>
      <c r="U487" s="138">
        <f>Q487+R487+S487+T487</f>
        <v/>
      </c>
      <c r="V487" s="138">
        <f>IF(B487="Working",MAX(-(((Q486)*(1+$C$10)+IF(B487="Working",J487,0))),0),MAX(K487-L487,0))</f>
        <v/>
      </c>
      <c r="W487" s="138">
        <f>IF(OR(A487&gt;=$C$13,B487="Retired"),IF(V487&gt;0,-V487,U487-'Model Inputs'!$B$18),"")</f>
        <v/>
      </c>
      <c r="X487" s="138">
        <f>IF(AND($L$232&gt;0,A487&gt;=$C$13),$L$232*(1+$C$25)^(A487-$C$13),0)</f>
        <v/>
      </c>
      <c r="Y487" s="138">
        <f>IF(OR($L$232&lt;=0,$C$17&lt;=0,A487&lt;$C$13,MIN(MAX((A487-$C$13+1)*12,0),$C$17*12)&gt;=$C$17*12),0,IF($C$16=0,MAX(MAX($L$232*(1-$C$15),0)-(IF($C$17&lt;=0,0,IF($C$16=0,MAX($L$232*(1-$C$15),0)/$C$17,-PMT($C$16/12,$C$17*12,MAX($L$232*(1-$C$15),0))*12))/12)*MIN(MAX((A487-$C$13+1)*12,0),$C$17*12),0),MAX(MAX($L$232*(1-$C$15),0)*(1+$C$16/12)^MIN(MAX((A487-$C$13+1)*12,0),$C$17*12)-(IF($C$17&lt;=0,0,IF($C$16=0,MAX($L$232*(1-$C$15),0)/$C$17,-PMT($C$16/12,$C$17*12,MAX($L$232*(1-$C$15),0))*12))/12)*(((1+$C$16/12)^MIN(MAX((A487-$C$13+1)*12,0),$C$17*12)-1)/($C$16/12)),0)))</f>
        <v/>
      </c>
      <c r="Z487" s="138">
        <f>MAX(X487-Y487,0)</f>
        <v/>
      </c>
      <c r="AA487" s="139">
        <f>U487+Z487</f>
        <v/>
      </c>
      <c r="AB487" s="5" t="n"/>
      <c r="AC487" s="5" t="n"/>
      <c r="AD487" s="5" t="n"/>
      <c r="AE487" s="5" t="n"/>
      <c r="AF487" s="5" t="n"/>
      <c r="AG487" s="5" t="n"/>
    </row>
    <row r="488" outlineLevel="1" s="326">
      <c r="A488" s="140" t="n">
        <v>12</v>
      </c>
      <c r="B488" s="40">
        <f>B91</f>
        <v/>
      </c>
      <c r="C488" s="141">
        <f>D91</f>
        <v/>
      </c>
      <c r="D488" s="141">
        <f>I91</f>
        <v/>
      </c>
      <c r="E488" s="141">
        <f>J91</f>
        <v/>
      </c>
      <c r="F488" s="141">
        <f>K91</f>
        <v/>
      </c>
      <c r="G488" s="138">
        <f>IF(AND($L$232&gt;0,A488=$C$13),$L$232*($C$15+$C$18),0)+IF(AND($L$232&gt;0,A488=$C$13),$C$24,0)</f>
        <v/>
      </c>
      <c r="H488" s="138">
        <f>IF(OR($L$232&lt;=0,A488&lt;$C$13),0,IF(AND($L$232&gt;0,$C$17&gt;0,A488&gt;=$C$13,A488&lt;($C$13+$C$17)),IF($C$17&lt;=0,0,IF($C$16=0,MAX($L$232*(1-$C$15),0)/$C$17,-PMT($C$16/12,$C$17*12,MAX($L$232*(1-$C$15),0))*12)),0)+X488*($C$19+$C$20+$C$21)+$C$22+$C$23)</f>
        <v/>
      </c>
      <c r="I488" s="138">
        <f>IF(B488="Working",MIN(MAX(D488-E488-F488-G488-H488,0),'Tax Assumptions'!$B$20),0)</f>
        <v/>
      </c>
      <c r="J488" s="138">
        <f>IF(B488="Working",D488-E488-F488-I488-G488-H488,-L488)</f>
        <v/>
      </c>
      <c r="K488" s="141">
        <f>IF(B488="Retired",$N$232+G488+H488,0)</f>
        <v/>
      </c>
      <c r="L488" s="141">
        <f>M488+N488+O488+P488</f>
        <v/>
      </c>
      <c r="M488" s="141">
        <f>IF(B488="Retired",MIN(((Q487)*(1+$C$10)+IF(B488="Working",J488,0)),K488),0)</f>
        <v/>
      </c>
      <c r="N488" s="141">
        <f>IF(B488="Retired",MIN(MAX(K488-M488,0),((R487)*(1+$C$10)+IF(B488="Working",E91,0))),0)</f>
        <v/>
      </c>
      <c r="O488" s="141">
        <f>IF(B488="Retired",MIN(MAX(K488-M488-N488,0),((S487)*(1+$C$10)+IF(B488="Working",I488,0))),0)</f>
        <v/>
      </c>
      <c r="P488" s="141">
        <f>IF(B488="Retired",MIN(MAX(K488-M488-N488-O488,0),((T487)*(1+$C$10)+IF(B488="Working",F91,0))),0)</f>
        <v/>
      </c>
      <c r="Q488" s="138">
        <f>MAX(((Q487)*(1+$C$10)+IF(B488="Working",J488,0))-M488,0)</f>
        <v/>
      </c>
      <c r="R488" s="138">
        <f>MAX(((R487)*(1+$C$10)+IF(B488="Working",E91,0))-N488,0)</f>
        <v/>
      </c>
      <c r="S488" s="138">
        <f>MAX(((S487)*(1+$C$10)+IF(B488="Working",I488,0))-O488,0)</f>
        <v/>
      </c>
      <c r="T488" s="138">
        <f>MAX(((T487)*(1+$C$10)+IF(B488="Working",F91,0))-P488,0)</f>
        <v/>
      </c>
      <c r="U488" s="138">
        <f>Q488+R488+S488+T488</f>
        <v/>
      </c>
      <c r="V488" s="138">
        <f>IF(B488="Working",MAX(-(((Q487)*(1+$C$10)+IF(B488="Working",J488,0))),0),MAX(K488-L488,0))</f>
        <v/>
      </c>
      <c r="W488" s="138">
        <f>IF(OR(A488&gt;=$C$13,B488="Retired"),IF(V488&gt;0,-V488,U488-'Model Inputs'!$B$18),"")</f>
        <v/>
      </c>
      <c r="X488" s="138">
        <f>IF(AND($L$232&gt;0,A488&gt;=$C$13),$L$232*(1+$C$25)^(A488-$C$13),0)</f>
        <v/>
      </c>
      <c r="Y488" s="138">
        <f>IF(OR($L$232&lt;=0,$C$17&lt;=0,A488&lt;$C$13,MIN(MAX((A488-$C$13+1)*12,0),$C$17*12)&gt;=$C$17*12),0,IF($C$16=0,MAX(MAX($L$232*(1-$C$15),0)-(IF($C$17&lt;=0,0,IF($C$16=0,MAX($L$232*(1-$C$15),0)/$C$17,-PMT($C$16/12,$C$17*12,MAX($L$232*(1-$C$15),0))*12))/12)*MIN(MAX((A488-$C$13+1)*12,0),$C$17*12),0),MAX(MAX($L$232*(1-$C$15),0)*(1+$C$16/12)^MIN(MAX((A488-$C$13+1)*12,0),$C$17*12)-(IF($C$17&lt;=0,0,IF($C$16=0,MAX($L$232*(1-$C$15),0)/$C$17,-PMT($C$16/12,$C$17*12,MAX($L$232*(1-$C$15),0))*12))/12)*(((1+$C$16/12)^MIN(MAX((A488-$C$13+1)*12,0),$C$17*12)-1)/($C$16/12)),0)))</f>
        <v/>
      </c>
      <c r="Z488" s="138">
        <f>MAX(X488-Y488,0)</f>
        <v/>
      </c>
      <c r="AA488" s="142">
        <f>U488+Z488</f>
        <v/>
      </c>
      <c r="AB488" s="5" t="n"/>
      <c r="AC488" s="5" t="n"/>
      <c r="AD488" s="5" t="n"/>
      <c r="AE488" s="5" t="n"/>
      <c r="AF488" s="5" t="n"/>
      <c r="AG488" s="5" t="n"/>
    </row>
    <row r="489" outlineLevel="1" s="326">
      <c r="A489" s="136" t="n">
        <v>13</v>
      </c>
      <c r="B489" s="72">
        <f>B92</f>
        <v/>
      </c>
      <c r="C489" s="137">
        <f>D92</f>
        <v/>
      </c>
      <c r="D489" s="137">
        <f>I92</f>
        <v/>
      </c>
      <c r="E489" s="137">
        <f>J92</f>
        <v/>
      </c>
      <c r="F489" s="137">
        <f>K92</f>
        <v/>
      </c>
      <c r="G489" s="138">
        <f>IF(AND($L$232&gt;0,A489=$C$13),$L$232*($C$15+$C$18),0)+IF(AND($L$232&gt;0,A489=$C$13),$C$24,0)</f>
        <v/>
      </c>
      <c r="H489" s="138">
        <f>IF(OR($L$232&lt;=0,A489&lt;$C$13),0,IF(AND($L$232&gt;0,$C$17&gt;0,A489&gt;=$C$13,A489&lt;($C$13+$C$17)),IF($C$17&lt;=0,0,IF($C$16=0,MAX($L$232*(1-$C$15),0)/$C$17,-PMT($C$16/12,$C$17*12,MAX($L$232*(1-$C$15),0))*12)),0)+X489*($C$19+$C$20+$C$21)+$C$22+$C$23)</f>
        <v/>
      </c>
      <c r="I489" s="138">
        <f>IF(B489="Working",MIN(MAX(D489-E489-F489-G489-H489,0),'Tax Assumptions'!$B$20),0)</f>
        <v/>
      </c>
      <c r="J489" s="138">
        <f>IF(B489="Working",D489-E489-F489-I489-G489-H489,-L489)</f>
        <v/>
      </c>
      <c r="K489" s="137">
        <f>IF(B489="Retired",$N$232+G489+H489,0)</f>
        <v/>
      </c>
      <c r="L489" s="137">
        <f>M489+N489+O489+P489</f>
        <v/>
      </c>
      <c r="M489" s="137">
        <f>IF(B489="Retired",MIN(((Q488)*(1+$C$10)+IF(B489="Working",J489,0)),K489),0)</f>
        <v/>
      </c>
      <c r="N489" s="137">
        <f>IF(B489="Retired",MIN(MAX(K489-M489,0),((R488)*(1+$C$10)+IF(B489="Working",E92,0))),0)</f>
        <v/>
      </c>
      <c r="O489" s="137">
        <f>IF(B489="Retired",MIN(MAX(K489-M489-N489,0),((S488)*(1+$C$10)+IF(B489="Working",I489,0))),0)</f>
        <v/>
      </c>
      <c r="P489" s="137">
        <f>IF(B489="Retired",MIN(MAX(K489-M489-N489-O489,0),((T488)*(1+$C$10)+IF(B489="Working",F92,0))),0)</f>
        <v/>
      </c>
      <c r="Q489" s="138">
        <f>MAX(((Q488)*(1+$C$10)+IF(B489="Working",J489,0))-M489,0)</f>
        <v/>
      </c>
      <c r="R489" s="138">
        <f>MAX(((R488)*(1+$C$10)+IF(B489="Working",E92,0))-N489,0)</f>
        <v/>
      </c>
      <c r="S489" s="138">
        <f>MAX(((S488)*(1+$C$10)+IF(B489="Working",I489,0))-O489,0)</f>
        <v/>
      </c>
      <c r="T489" s="138">
        <f>MAX(((T488)*(1+$C$10)+IF(B489="Working",F92,0))-P489,0)</f>
        <v/>
      </c>
      <c r="U489" s="138">
        <f>Q489+R489+S489+T489</f>
        <v/>
      </c>
      <c r="V489" s="138">
        <f>IF(B489="Working",MAX(-(((Q488)*(1+$C$10)+IF(B489="Working",J489,0))),0),MAX(K489-L489,0))</f>
        <v/>
      </c>
      <c r="W489" s="138">
        <f>IF(OR(A489&gt;=$C$13,B489="Retired"),IF(V489&gt;0,-V489,U489-'Model Inputs'!$B$18),"")</f>
        <v/>
      </c>
      <c r="X489" s="138">
        <f>IF(AND($L$232&gt;0,A489&gt;=$C$13),$L$232*(1+$C$25)^(A489-$C$13),0)</f>
        <v/>
      </c>
      <c r="Y489" s="138">
        <f>IF(OR($L$232&lt;=0,$C$17&lt;=0,A489&lt;$C$13,MIN(MAX((A489-$C$13+1)*12,0),$C$17*12)&gt;=$C$17*12),0,IF($C$16=0,MAX(MAX($L$232*(1-$C$15),0)-(IF($C$17&lt;=0,0,IF($C$16=0,MAX($L$232*(1-$C$15),0)/$C$17,-PMT($C$16/12,$C$17*12,MAX($L$232*(1-$C$15),0))*12))/12)*MIN(MAX((A489-$C$13+1)*12,0),$C$17*12),0),MAX(MAX($L$232*(1-$C$15),0)*(1+$C$16/12)^MIN(MAX((A489-$C$13+1)*12,0),$C$17*12)-(IF($C$17&lt;=0,0,IF($C$16=0,MAX($L$232*(1-$C$15),0)/$C$17,-PMT($C$16/12,$C$17*12,MAX($L$232*(1-$C$15),0))*12))/12)*(((1+$C$16/12)^MIN(MAX((A489-$C$13+1)*12,0),$C$17*12)-1)/($C$16/12)),0)))</f>
        <v/>
      </c>
      <c r="Z489" s="138">
        <f>MAX(X489-Y489,0)</f>
        <v/>
      </c>
      <c r="AA489" s="139">
        <f>U489+Z489</f>
        <v/>
      </c>
      <c r="AB489" s="5" t="n"/>
      <c r="AC489" s="5" t="n"/>
      <c r="AD489" s="5" t="n"/>
      <c r="AE489" s="5" t="n"/>
      <c r="AF489" s="5" t="n"/>
      <c r="AG489" s="5" t="n"/>
    </row>
    <row r="490" outlineLevel="1" s="326">
      <c r="A490" s="140" t="n">
        <v>14</v>
      </c>
      <c r="B490" s="40">
        <f>B93</f>
        <v/>
      </c>
      <c r="C490" s="141">
        <f>D93</f>
        <v/>
      </c>
      <c r="D490" s="141">
        <f>I93</f>
        <v/>
      </c>
      <c r="E490" s="141">
        <f>J93</f>
        <v/>
      </c>
      <c r="F490" s="141">
        <f>K93</f>
        <v/>
      </c>
      <c r="G490" s="138">
        <f>IF(AND($L$232&gt;0,A490=$C$13),$L$232*($C$15+$C$18),0)+IF(AND($L$232&gt;0,A490=$C$13),$C$24,0)</f>
        <v/>
      </c>
      <c r="H490" s="138">
        <f>IF(OR($L$232&lt;=0,A490&lt;$C$13),0,IF(AND($L$232&gt;0,$C$17&gt;0,A490&gt;=$C$13,A490&lt;($C$13+$C$17)),IF($C$17&lt;=0,0,IF($C$16=0,MAX($L$232*(1-$C$15),0)/$C$17,-PMT($C$16/12,$C$17*12,MAX($L$232*(1-$C$15),0))*12)),0)+X490*($C$19+$C$20+$C$21)+$C$22+$C$23)</f>
        <v/>
      </c>
      <c r="I490" s="138">
        <f>IF(B490="Working",MIN(MAX(D490-E490-F490-G490-H490,0),'Tax Assumptions'!$B$20),0)</f>
        <v/>
      </c>
      <c r="J490" s="138">
        <f>IF(B490="Working",D490-E490-F490-I490-G490-H490,-L490)</f>
        <v/>
      </c>
      <c r="K490" s="141">
        <f>IF(B490="Retired",$N$232+G490+H490,0)</f>
        <v/>
      </c>
      <c r="L490" s="141">
        <f>M490+N490+O490+P490</f>
        <v/>
      </c>
      <c r="M490" s="141">
        <f>IF(B490="Retired",MIN(((Q489)*(1+$C$10)+IF(B490="Working",J490,0)),K490),0)</f>
        <v/>
      </c>
      <c r="N490" s="141">
        <f>IF(B490="Retired",MIN(MAX(K490-M490,0),((R489)*(1+$C$10)+IF(B490="Working",E93,0))),0)</f>
        <v/>
      </c>
      <c r="O490" s="141">
        <f>IF(B490="Retired",MIN(MAX(K490-M490-N490,0),((S489)*(1+$C$10)+IF(B490="Working",I490,0))),0)</f>
        <v/>
      </c>
      <c r="P490" s="141">
        <f>IF(B490="Retired",MIN(MAX(K490-M490-N490-O490,0),((T489)*(1+$C$10)+IF(B490="Working",F93,0))),0)</f>
        <v/>
      </c>
      <c r="Q490" s="138">
        <f>MAX(((Q489)*(1+$C$10)+IF(B490="Working",J490,0))-M490,0)</f>
        <v/>
      </c>
      <c r="R490" s="138">
        <f>MAX(((R489)*(1+$C$10)+IF(B490="Working",E93,0))-N490,0)</f>
        <v/>
      </c>
      <c r="S490" s="138">
        <f>MAX(((S489)*(1+$C$10)+IF(B490="Working",I490,0))-O490,0)</f>
        <v/>
      </c>
      <c r="T490" s="138">
        <f>MAX(((T489)*(1+$C$10)+IF(B490="Working",F93,0))-P490,0)</f>
        <v/>
      </c>
      <c r="U490" s="138">
        <f>Q490+R490+S490+T490</f>
        <v/>
      </c>
      <c r="V490" s="138">
        <f>IF(B490="Working",MAX(-(((Q489)*(1+$C$10)+IF(B490="Working",J490,0))),0),MAX(K490-L490,0))</f>
        <v/>
      </c>
      <c r="W490" s="138">
        <f>IF(OR(A490&gt;=$C$13,B490="Retired"),IF(V490&gt;0,-V490,U490-'Model Inputs'!$B$18),"")</f>
        <v/>
      </c>
      <c r="X490" s="138">
        <f>IF(AND($L$232&gt;0,A490&gt;=$C$13),$L$232*(1+$C$25)^(A490-$C$13),0)</f>
        <v/>
      </c>
      <c r="Y490" s="138">
        <f>IF(OR($L$232&lt;=0,$C$17&lt;=0,A490&lt;$C$13,MIN(MAX((A490-$C$13+1)*12,0),$C$17*12)&gt;=$C$17*12),0,IF($C$16=0,MAX(MAX($L$232*(1-$C$15),0)-(IF($C$17&lt;=0,0,IF($C$16=0,MAX($L$232*(1-$C$15),0)/$C$17,-PMT($C$16/12,$C$17*12,MAX($L$232*(1-$C$15),0))*12))/12)*MIN(MAX((A490-$C$13+1)*12,0),$C$17*12),0),MAX(MAX($L$232*(1-$C$15),0)*(1+$C$16/12)^MIN(MAX((A490-$C$13+1)*12,0),$C$17*12)-(IF($C$17&lt;=0,0,IF($C$16=0,MAX($L$232*(1-$C$15),0)/$C$17,-PMT($C$16/12,$C$17*12,MAX($L$232*(1-$C$15),0))*12))/12)*(((1+$C$16/12)^MIN(MAX((A490-$C$13+1)*12,0),$C$17*12)-1)/($C$16/12)),0)))</f>
        <v/>
      </c>
      <c r="Z490" s="138">
        <f>MAX(X490-Y490,0)</f>
        <v/>
      </c>
      <c r="AA490" s="142">
        <f>U490+Z490</f>
        <v/>
      </c>
      <c r="AB490" s="5" t="n"/>
      <c r="AC490" s="5" t="n"/>
      <c r="AD490" s="5" t="n"/>
      <c r="AE490" s="5" t="n"/>
      <c r="AF490" s="5" t="n"/>
      <c r="AG490" s="5" t="n"/>
    </row>
    <row r="491" outlineLevel="1" s="326">
      <c r="A491" s="136" t="n">
        <v>15</v>
      </c>
      <c r="B491" s="72">
        <f>B94</f>
        <v/>
      </c>
      <c r="C491" s="137">
        <f>D94</f>
        <v/>
      </c>
      <c r="D491" s="137">
        <f>I94</f>
        <v/>
      </c>
      <c r="E491" s="137">
        <f>J94</f>
        <v/>
      </c>
      <c r="F491" s="137">
        <f>K94</f>
        <v/>
      </c>
      <c r="G491" s="138">
        <f>IF(AND($L$232&gt;0,A491=$C$13),$L$232*($C$15+$C$18),0)+IF(AND($L$232&gt;0,A491=$C$13),$C$24,0)</f>
        <v/>
      </c>
      <c r="H491" s="138">
        <f>IF(OR($L$232&lt;=0,A491&lt;$C$13),0,IF(AND($L$232&gt;0,$C$17&gt;0,A491&gt;=$C$13,A491&lt;($C$13+$C$17)),IF($C$17&lt;=0,0,IF($C$16=0,MAX($L$232*(1-$C$15),0)/$C$17,-PMT($C$16/12,$C$17*12,MAX($L$232*(1-$C$15),0))*12)),0)+X491*($C$19+$C$20+$C$21)+$C$22+$C$23)</f>
        <v/>
      </c>
      <c r="I491" s="138">
        <f>IF(B491="Working",MIN(MAX(D491-E491-F491-G491-H491,0),'Tax Assumptions'!$B$20),0)</f>
        <v/>
      </c>
      <c r="J491" s="138">
        <f>IF(B491="Working",D491-E491-F491-I491-G491-H491,-L491)</f>
        <v/>
      </c>
      <c r="K491" s="137">
        <f>IF(B491="Retired",$N$232+G491+H491,0)</f>
        <v/>
      </c>
      <c r="L491" s="137">
        <f>M491+N491+O491+P491</f>
        <v/>
      </c>
      <c r="M491" s="137">
        <f>IF(B491="Retired",MIN(((Q490)*(1+$C$10)+IF(B491="Working",J491,0)),K491),0)</f>
        <v/>
      </c>
      <c r="N491" s="137">
        <f>IF(B491="Retired",MIN(MAX(K491-M491,0),((R490)*(1+$C$10)+IF(B491="Working",E94,0))),0)</f>
        <v/>
      </c>
      <c r="O491" s="137">
        <f>IF(B491="Retired",MIN(MAX(K491-M491-N491,0),((S490)*(1+$C$10)+IF(B491="Working",I491,0))),0)</f>
        <v/>
      </c>
      <c r="P491" s="137">
        <f>IF(B491="Retired",MIN(MAX(K491-M491-N491-O491,0),((T490)*(1+$C$10)+IF(B491="Working",F94,0))),0)</f>
        <v/>
      </c>
      <c r="Q491" s="138">
        <f>MAX(((Q490)*(1+$C$10)+IF(B491="Working",J491,0))-M491,0)</f>
        <v/>
      </c>
      <c r="R491" s="138">
        <f>MAX(((R490)*(1+$C$10)+IF(B491="Working",E94,0))-N491,0)</f>
        <v/>
      </c>
      <c r="S491" s="138">
        <f>MAX(((S490)*(1+$C$10)+IF(B491="Working",I491,0))-O491,0)</f>
        <v/>
      </c>
      <c r="T491" s="138">
        <f>MAX(((T490)*(1+$C$10)+IF(B491="Working",F94,0))-P491,0)</f>
        <v/>
      </c>
      <c r="U491" s="138">
        <f>Q491+R491+S491+T491</f>
        <v/>
      </c>
      <c r="V491" s="138">
        <f>IF(B491="Working",MAX(-(((Q490)*(1+$C$10)+IF(B491="Working",J491,0))),0),MAX(K491-L491,0))</f>
        <v/>
      </c>
      <c r="W491" s="138">
        <f>IF(OR(A491&gt;=$C$13,B491="Retired"),IF(V491&gt;0,-V491,U491-'Model Inputs'!$B$18),"")</f>
        <v/>
      </c>
      <c r="X491" s="138">
        <f>IF(AND($L$232&gt;0,A491&gt;=$C$13),$L$232*(1+$C$25)^(A491-$C$13),0)</f>
        <v/>
      </c>
      <c r="Y491" s="138">
        <f>IF(OR($L$232&lt;=0,$C$17&lt;=0,A491&lt;$C$13,MIN(MAX((A491-$C$13+1)*12,0),$C$17*12)&gt;=$C$17*12),0,IF($C$16=0,MAX(MAX($L$232*(1-$C$15),0)-(IF($C$17&lt;=0,0,IF($C$16=0,MAX($L$232*(1-$C$15),0)/$C$17,-PMT($C$16/12,$C$17*12,MAX($L$232*(1-$C$15),0))*12))/12)*MIN(MAX((A491-$C$13+1)*12,0),$C$17*12),0),MAX(MAX($L$232*(1-$C$15),0)*(1+$C$16/12)^MIN(MAX((A491-$C$13+1)*12,0),$C$17*12)-(IF($C$17&lt;=0,0,IF($C$16=0,MAX($L$232*(1-$C$15),0)/$C$17,-PMT($C$16/12,$C$17*12,MAX($L$232*(1-$C$15),0))*12))/12)*(((1+$C$16/12)^MIN(MAX((A491-$C$13+1)*12,0),$C$17*12)-1)/($C$16/12)),0)))</f>
        <v/>
      </c>
      <c r="Z491" s="138">
        <f>MAX(X491-Y491,0)</f>
        <v/>
      </c>
      <c r="AA491" s="139">
        <f>U491+Z491</f>
        <v/>
      </c>
      <c r="AB491" s="5" t="n"/>
      <c r="AC491" s="5" t="n"/>
      <c r="AD491" s="5" t="n"/>
      <c r="AE491" s="5" t="n"/>
      <c r="AF491" s="5" t="n"/>
      <c r="AG491" s="5" t="n"/>
    </row>
    <row r="492" outlineLevel="1" s="326">
      <c r="A492" s="140" t="n">
        <v>16</v>
      </c>
      <c r="B492" s="40">
        <f>B95</f>
        <v/>
      </c>
      <c r="C492" s="141">
        <f>D95</f>
        <v/>
      </c>
      <c r="D492" s="141">
        <f>I95</f>
        <v/>
      </c>
      <c r="E492" s="141">
        <f>J95</f>
        <v/>
      </c>
      <c r="F492" s="141">
        <f>K95</f>
        <v/>
      </c>
      <c r="G492" s="138">
        <f>IF(AND($L$232&gt;0,A492=$C$13),$L$232*($C$15+$C$18),0)+IF(AND($L$232&gt;0,A492=$C$13),$C$24,0)</f>
        <v/>
      </c>
      <c r="H492" s="138">
        <f>IF(OR($L$232&lt;=0,A492&lt;$C$13),0,IF(AND($L$232&gt;0,$C$17&gt;0,A492&gt;=$C$13,A492&lt;($C$13+$C$17)),IF($C$17&lt;=0,0,IF($C$16=0,MAX($L$232*(1-$C$15),0)/$C$17,-PMT($C$16/12,$C$17*12,MAX($L$232*(1-$C$15),0))*12)),0)+X492*($C$19+$C$20+$C$21)+$C$22+$C$23)</f>
        <v/>
      </c>
      <c r="I492" s="138">
        <f>IF(B492="Working",MIN(MAX(D492-E492-F492-G492-H492,0),'Tax Assumptions'!$B$20),0)</f>
        <v/>
      </c>
      <c r="J492" s="138">
        <f>IF(B492="Working",D492-E492-F492-I492-G492-H492,-L492)</f>
        <v/>
      </c>
      <c r="K492" s="141">
        <f>IF(B492="Retired",$N$232+G492+H492,0)</f>
        <v/>
      </c>
      <c r="L492" s="141">
        <f>M492+N492+O492+P492</f>
        <v/>
      </c>
      <c r="M492" s="141">
        <f>IF(B492="Retired",MIN(((Q491)*(1+$C$10)+IF(B492="Working",J492,0)),K492),0)</f>
        <v/>
      </c>
      <c r="N492" s="141">
        <f>IF(B492="Retired",MIN(MAX(K492-M492,0),((R491)*(1+$C$10)+IF(B492="Working",E95,0))),0)</f>
        <v/>
      </c>
      <c r="O492" s="141">
        <f>IF(B492="Retired",MIN(MAX(K492-M492-N492,0),((S491)*(1+$C$10)+IF(B492="Working",I492,0))),0)</f>
        <v/>
      </c>
      <c r="P492" s="141">
        <f>IF(B492="Retired",MIN(MAX(K492-M492-N492-O492,0),((T491)*(1+$C$10)+IF(B492="Working",F95,0))),0)</f>
        <v/>
      </c>
      <c r="Q492" s="138">
        <f>MAX(((Q491)*(1+$C$10)+IF(B492="Working",J492,0))-M492,0)</f>
        <v/>
      </c>
      <c r="R492" s="138">
        <f>MAX(((R491)*(1+$C$10)+IF(B492="Working",E95,0))-N492,0)</f>
        <v/>
      </c>
      <c r="S492" s="138">
        <f>MAX(((S491)*(1+$C$10)+IF(B492="Working",I492,0))-O492,0)</f>
        <v/>
      </c>
      <c r="T492" s="138">
        <f>MAX(((T491)*(1+$C$10)+IF(B492="Working",F95,0))-P492,0)</f>
        <v/>
      </c>
      <c r="U492" s="138">
        <f>Q492+R492+S492+T492</f>
        <v/>
      </c>
      <c r="V492" s="138">
        <f>IF(B492="Working",MAX(-(((Q491)*(1+$C$10)+IF(B492="Working",J492,0))),0),MAX(K492-L492,0))</f>
        <v/>
      </c>
      <c r="W492" s="138">
        <f>IF(OR(A492&gt;=$C$13,B492="Retired"),IF(V492&gt;0,-V492,U492-'Model Inputs'!$B$18),"")</f>
        <v/>
      </c>
      <c r="X492" s="138">
        <f>IF(AND($L$232&gt;0,A492&gt;=$C$13),$L$232*(1+$C$25)^(A492-$C$13),0)</f>
        <v/>
      </c>
      <c r="Y492" s="138">
        <f>IF(OR($L$232&lt;=0,$C$17&lt;=0,A492&lt;$C$13,MIN(MAX((A492-$C$13+1)*12,0),$C$17*12)&gt;=$C$17*12),0,IF($C$16=0,MAX(MAX($L$232*(1-$C$15),0)-(IF($C$17&lt;=0,0,IF($C$16=0,MAX($L$232*(1-$C$15),0)/$C$17,-PMT($C$16/12,$C$17*12,MAX($L$232*(1-$C$15),0))*12))/12)*MIN(MAX((A492-$C$13+1)*12,0),$C$17*12),0),MAX(MAX($L$232*(1-$C$15),0)*(1+$C$16/12)^MIN(MAX((A492-$C$13+1)*12,0),$C$17*12)-(IF($C$17&lt;=0,0,IF($C$16=0,MAX($L$232*(1-$C$15),0)/$C$17,-PMT($C$16/12,$C$17*12,MAX($L$232*(1-$C$15),0))*12))/12)*(((1+$C$16/12)^MIN(MAX((A492-$C$13+1)*12,0),$C$17*12)-1)/($C$16/12)),0)))</f>
        <v/>
      </c>
      <c r="Z492" s="138">
        <f>MAX(X492-Y492,0)</f>
        <v/>
      </c>
      <c r="AA492" s="142">
        <f>U492+Z492</f>
        <v/>
      </c>
      <c r="AB492" s="5" t="n"/>
      <c r="AC492" s="5" t="n"/>
      <c r="AD492" s="5" t="n"/>
      <c r="AE492" s="5" t="n"/>
      <c r="AF492" s="5" t="n"/>
      <c r="AG492" s="5" t="n"/>
    </row>
    <row r="493" outlineLevel="1" s="326">
      <c r="A493" s="136" t="n">
        <v>17</v>
      </c>
      <c r="B493" s="72">
        <f>B96</f>
        <v/>
      </c>
      <c r="C493" s="137">
        <f>D96</f>
        <v/>
      </c>
      <c r="D493" s="137">
        <f>I96</f>
        <v/>
      </c>
      <c r="E493" s="137">
        <f>J96</f>
        <v/>
      </c>
      <c r="F493" s="137">
        <f>K96</f>
        <v/>
      </c>
      <c r="G493" s="138">
        <f>IF(AND($L$232&gt;0,A493=$C$13),$L$232*($C$15+$C$18),0)+IF(AND($L$232&gt;0,A493=$C$13),$C$24,0)</f>
        <v/>
      </c>
      <c r="H493" s="138">
        <f>IF(OR($L$232&lt;=0,A493&lt;$C$13),0,IF(AND($L$232&gt;0,$C$17&gt;0,A493&gt;=$C$13,A493&lt;($C$13+$C$17)),IF($C$17&lt;=0,0,IF($C$16=0,MAX($L$232*(1-$C$15),0)/$C$17,-PMT($C$16/12,$C$17*12,MAX($L$232*(1-$C$15),0))*12)),0)+X493*($C$19+$C$20+$C$21)+$C$22+$C$23)</f>
        <v/>
      </c>
      <c r="I493" s="138">
        <f>IF(B493="Working",MIN(MAX(D493-E493-F493-G493-H493,0),'Tax Assumptions'!$B$20),0)</f>
        <v/>
      </c>
      <c r="J493" s="138">
        <f>IF(B493="Working",D493-E493-F493-I493-G493-H493,-L493)</f>
        <v/>
      </c>
      <c r="K493" s="137">
        <f>IF(B493="Retired",$N$232+G493+H493,0)</f>
        <v/>
      </c>
      <c r="L493" s="137">
        <f>M493+N493+O493+P493</f>
        <v/>
      </c>
      <c r="M493" s="137">
        <f>IF(B493="Retired",MIN(((Q492)*(1+$C$10)+IF(B493="Working",J493,0)),K493),0)</f>
        <v/>
      </c>
      <c r="N493" s="137">
        <f>IF(B493="Retired",MIN(MAX(K493-M493,0),((R492)*(1+$C$10)+IF(B493="Working",E96,0))),0)</f>
        <v/>
      </c>
      <c r="O493" s="137">
        <f>IF(B493="Retired",MIN(MAX(K493-M493-N493,0),((S492)*(1+$C$10)+IF(B493="Working",I493,0))),0)</f>
        <v/>
      </c>
      <c r="P493" s="137">
        <f>IF(B493="Retired",MIN(MAX(K493-M493-N493-O493,0),((T492)*(1+$C$10)+IF(B493="Working",F96,0))),0)</f>
        <v/>
      </c>
      <c r="Q493" s="138">
        <f>MAX(((Q492)*(1+$C$10)+IF(B493="Working",J493,0))-M493,0)</f>
        <v/>
      </c>
      <c r="R493" s="138">
        <f>MAX(((R492)*(1+$C$10)+IF(B493="Working",E96,0))-N493,0)</f>
        <v/>
      </c>
      <c r="S493" s="138">
        <f>MAX(((S492)*(1+$C$10)+IF(B493="Working",I493,0))-O493,0)</f>
        <v/>
      </c>
      <c r="T493" s="138">
        <f>MAX(((T492)*(1+$C$10)+IF(B493="Working",F96,0))-P493,0)</f>
        <v/>
      </c>
      <c r="U493" s="138">
        <f>Q493+R493+S493+T493</f>
        <v/>
      </c>
      <c r="V493" s="138">
        <f>IF(B493="Working",MAX(-(((Q492)*(1+$C$10)+IF(B493="Working",J493,0))),0),MAX(K493-L493,0))</f>
        <v/>
      </c>
      <c r="W493" s="138">
        <f>IF(OR(A493&gt;=$C$13,B493="Retired"),IF(V493&gt;0,-V493,U493-'Model Inputs'!$B$18),"")</f>
        <v/>
      </c>
      <c r="X493" s="138">
        <f>IF(AND($L$232&gt;0,A493&gt;=$C$13),$L$232*(1+$C$25)^(A493-$C$13),0)</f>
        <v/>
      </c>
      <c r="Y493" s="138">
        <f>IF(OR($L$232&lt;=0,$C$17&lt;=0,A493&lt;$C$13,MIN(MAX((A493-$C$13+1)*12,0),$C$17*12)&gt;=$C$17*12),0,IF($C$16=0,MAX(MAX($L$232*(1-$C$15),0)-(IF($C$17&lt;=0,0,IF($C$16=0,MAX($L$232*(1-$C$15),0)/$C$17,-PMT($C$16/12,$C$17*12,MAX($L$232*(1-$C$15),0))*12))/12)*MIN(MAX((A493-$C$13+1)*12,0),$C$17*12),0),MAX(MAX($L$232*(1-$C$15),0)*(1+$C$16/12)^MIN(MAX((A493-$C$13+1)*12,0),$C$17*12)-(IF($C$17&lt;=0,0,IF($C$16=0,MAX($L$232*(1-$C$15),0)/$C$17,-PMT($C$16/12,$C$17*12,MAX($L$232*(1-$C$15),0))*12))/12)*(((1+$C$16/12)^MIN(MAX((A493-$C$13+1)*12,0),$C$17*12)-1)/($C$16/12)),0)))</f>
        <v/>
      </c>
      <c r="Z493" s="138">
        <f>MAX(X493-Y493,0)</f>
        <v/>
      </c>
      <c r="AA493" s="139">
        <f>U493+Z493</f>
        <v/>
      </c>
      <c r="AB493" s="5" t="n"/>
      <c r="AC493" s="5" t="n"/>
      <c r="AD493" s="5" t="n"/>
      <c r="AE493" s="5" t="n"/>
      <c r="AF493" s="5" t="n"/>
      <c r="AG493" s="5" t="n"/>
    </row>
    <row r="494" outlineLevel="1" s="326">
      <c r="A494" s="140" t="n">
        <v>18</v>
      </c>
      <c r="B494" s="40">
        <f>B97</f>
        <v/>
      </c>
      <c r="C494" s="141">
        <f>D97</f>
        <v/>
      </c>
      <c r="D494" s="141">
        <f>I97</f>
        <v/>
      </c>
      <c r="E494" s="141">
        <f>J97</f>
        <v/>
      </c>
      <c r="F494" s="141">
        <f>K97</f>
        <v/>
      </c>
      <c r="G494" s="138">
        <f>IF(AND($L$232&gt;0,A494=$C$13),$L$232*($C$15+$C$18),0)+IF(AND($L$232&gt;0,A494=$C$13),$C$24,0)</f>
        <v/>
      </c>
      <c r="H494" s="138">
        <f>IF(OR($L$232&lt;=0,A494&lt;$C$13),0,IF(AND($L$232&gt;0,$C$17&gt;0,A494&gt;=$C$13,A494&lt;($C$13+$C$17)),IF($C$17&lt;=0,0,IF($C$16=0,MAX($L$232*(1-$C$15),0)/$C$17,-PMT($C$16/12,$C$17*12,MAX($L$232*(1-$C$15),0))*12)),0)+X494*($C$19+$C$20+$C$21)+$C$22+$C$23)</f>
        <v/>
      </c>
      <c r="I494" s="138">
        <f>IF(B494="Working",MIN(MAX(D494-E494-F494-G494-H494,0),'Tax Assumptions'!$B$20),0)</f>
        <v/>
      </c>
      <c r="J494" s="138">
        <f>IF(B494="Working",D494-E494-F494-I494-G494-H494,-L494)</f>
        <v/>
      </c>
      <c r="K494" s="141">
        <f>IF(B494="Retired",$N$232+G494+H494,0)</f>
        <v/>
      </c>
      <c r="L494" s="141">
        <f>M494+N494+O494+P494</f>
        <v/>
      </c>
      <c r="M494" s="141">
        <f>IF(B494="Retired",MIN(((Q493)*(1+$C$10)+IF(B494="Working",J494,0)),K494),0)</f>
        <v/>
      </c>
      <c r="N494" s="141">
        <f>IF(B494="Retired",MIN(MAX(K494-M494,0),((R493)*(1+$C$10)+IF(B494="Working",E97,0))),0)</f>
        <v/>
      </c>
      <c r="O494" s="141">
        <f>IF(B494="Retired",MIN(MAX(K494-M494-N494,0),((S493)*(1+$C$10)+IF(B494="Working",I494,0))),0)</f>
        <v/>
      </c>
      <c r="P494" s="141">
        <f>IF(B494="Retired",MIN(MAX(K494-M494-N494-O494,0),((T493)*(1+$C$10)+IF(B494="Working",F97,0))),0)</f>
        <v/>
      </c>
      <c r="Q494" s="138">
        <f>MAX(((Q493)*(1+$C$10)+IF(B494="Working",J494,0))-M494,0)</f>
        <v/>
      </c>
      <c r="R494" s="138">
        <f>MAX(((R493)*(1+$C$10)+IF(B494="Working",E97,0))-N494,0)</f>
        <v/>
      </c>
      <c r="S494" s="138">
        <f>MAX(((S493)*(1+$C$10)+IF(B494="Working",I494,0))-O494,0)</f>
        <v/>
      </c>
      <c r="T494" s="138">
        <f>MAX(((T493)*(1+$C$10)+IF(B494="Working",F97,0))-P494,0)</f>
        <v/>
      </c>
      <c r="U494" s="138">
        <f>Q494+R494+S494+T494</f>
        <v/>
      </c>
      <c r="V494" s="138">
        <f>IF(B494="Working",MAX(-(((Q493)*(1+$C$10)+IF(B494="Working",J494,0))),0),MAX(K494-L494,0))</f>
        <v/>
      </c>
      <c r="W494" s="138">
        <f>IF(OR(A494&gt;=$C$13,B494="Retired"),IF(V494&gt;0,-V494,U494-'Model Inputs'!$B$18),"")</f>
        <v/>
      </c>
      <c r="X494" s="138">
        <f>IF(AND($L$232&gt;0,A494&gt;=$C$13),$L$232*(1+$C$25)^(A494-$C$13),0)</f>
        <v/>
      </c>
      <c r="Y494" s="138">
        <f>IF(OR($L$232&lt;=0,$C$17&lt;=0,A494&lt;$C$13,MIN(MAX((A494-$C$13+1)*12,0),$C$17*12)&gt;=$C$17*12),0,IF($C$16=0,MAX(MAX($L$232*(1-$C$15),0)-(IF($C$17&lt;=0,0,IF($C$16=0,MAX($L$232*(1-$C$15),0)/$C$17,-PMT($C$16/12,$C$17*12,MAX($L$232*(1-$C$15),0))*12))/12)*MIN(MAX((A494-$C$13+1)*12,0),$C$17*12),0),MAX(MAX($L$232*(1-$C$15),0)*(1+$C$16/12)^MIN(MAX((A494-$C$13+1)*12,0),$C$17*12)-(IF($C$17&lt;=0,0,IF($C$16=0,MAX($L$232*(1-$C$15),0)/$C$17,-PMT($C$16/12,$C$17*12,MAX($L$232*(1-$C$15),0))*12))/12)*(((1+$C$16/12)^MIN(MAX((A494-$C$13+1)*12,0),$C$17*12)-1)/($C$16/12)),0)))</f>
        <v/>
      </c>
      <c r="Z494" s="138">
        <f>MAX(X494-Y494,0)</f>
        <v/>
      </c>
      <c r="AA494" s="142">
        <f>U494+Z494</f>
        <v/>
      </c>
      <c r="AB494" s="5" t="n"/>
      <c r="AC494" s="5" t="n"/>
      <c r="AD494" s="5" t="n"/>
      <c r="AE494" s="5" t="n"/>
      <c r="AF494" s="5" t="n"/>
      <c r="AG494" s="5" t="n"/>
    </row>
    <row r="495" outlineLevel="1" s="326">
      <c r="A495" s="136" t="n">
        <v>19</v>
      </c>
      <c r="B495" s="72">
        <f>B98</f>
        <v/>
      </c>
      <c r="C495" s="137">
        <f>D98</f>
        <v/>
      </c>
      <c r="D495" s="137">
        <f>I98</f>
        <v/>
      </c>
      <c r="E495" s="137">
        <f>J98</f>
        <v/>
      </c>
      <c r="F495" s="137">
        <f>K98</f>
        <v/>
      </c>
      <c r="G495" s="138">
        <f>IF(AND($L$232&gt;0,A495=$C$13),$L$232*($C$15+$C$18),0)+IF(AND($L$232&gt;0,A495=$C$13),$C$24,0)</f>
        <v/>
      </c>
      <c r="H495" s="138">
        <f>IF(OR($L$232&lt;=0,A495&lt;$C$13),0,IF(AND($L$232&gt;0,$C$17&gt;0,A495&gt;=$C$13,A495&lt;($C$13+$C$17)),IF($C$17&lt;=0,0,IF($C$16=0,MAX($L$232*(1-$C$15),0)/$C$17,-PMT($C$16/12,$C$17*12,MAX($L$232*(1-$C$15),0))*12)),0)+X495*($C$19+$C$20+$C$21)+$C$22+$C$23)</f>
        <v/>
      </c>
      <c r="I495" s="138">
        <f>IF(B495="Working",MIN(MAX(D495-E495-F495-G495-H495,0),'Tax Assumptions'!$B$20),0)</f>
        <v/>
      </c>
      <c r="J495" s="138">
        <f>IF(B495="Working",D495-E495-F495-I495-G495-H495,-L495)</f>
        <v/>
      </c>
      <c r="K495" s="137">
        <f>IF(B495="Retired",$N$232+G495+H495,0)</f>
        <v/>
      </c>
      <c r="L495" s="137">
        <f>M495+N495+O495+P495</f>
        <v/>
      </c>
      <c r="M495" s="137">
        <f>IF(B495="Retired",MIN(((Q494)*(1+$C$10)+IF(B495="Working",J495,0)),K495),0)</f>
        <v/>
      </c>
      <c r="N495" s="137">
        <f>IF(B495="Retired",MIN(MAX(K495-M495,0),((R494)*(1+$C$10)+IF(B495="Working",E98,0))),0)</f>
        <v/>
      </c>
      <c r="O495" s="137">
        <f>IF(B495="Retired",MIN(MAX(K495-M495-N495,0),((S494)*(1+$C$10)+IF(B495="Working",I495,0))),0)</f>
        <v/>
      </c>
      <c r="P495" s="137">
        <f>IF(B495="Retired",MIN(MAX(K495-M495-N495-O495,0),((T494)*(1+$C$10)+IF(B495="Working",F98,0))),0)</f>
        <v/>
      </c>
      <c r="Q495" s="138">
        <f>MAX(((Q494)*(1+$C$10)+IF(B495="Working",J495,0))-M495,0)</f>
        <v/>
      </c>
      <c r="R495" s="138">
        <f>MAX(((R494)*(1+$C$10)+IF(B495="Working",E98,0))-N495,0)</f>
        <v/>
      </c>
      <c r="S495" s="138">
        <f>MAX(((S494)*(1+$C$10)+IF(B495="Working",I495,0))-O495,0)</f>
        <v/>
      </c>
      <c r="T495" s="138">
        <f>MAX(((T494)*(1+$C$10)+IF(B495="Working",F98,0))-P495,0)</f>
        <v/>
      </c>
      <c r="U495" s="138">
        <f>Q495+R495+S495+T495</f>
        <v/>
      </c>
      <c r="V495" s="138">
        <f>IF(B495="Working",MAX(-(((Q494)*(1+$C$10)+IF(B495="Working",J495,0))),0),MAX(K495-L495,0))</f>
        <v/>
      </c>
      <c r="W495" s="138">
        <f>IF(OR(A495&gt;=$C$13,B495="Retired"),IF(V495&gt;0,-V495,U495-'Model Inputs'!$B$18),"")</f>
        <v/>
      </c>
      <c r="X495" s="138">
        <f>IF(AND($L$232&gt;0,A495&gt;=$C$13),$L$232*(1+$C$25)^(A495-$C$13),0)</f>
        <v/>
      </c>
      <c r="Y495" s="138">
        <f>IF(OR($L$232&lt;=0,$C$17&lt;=0,A495&lt;$C$13,MIN(MAX((A495-$C$13+1)*12,0),$C$17*12)&gt;=$C$17*12),0,IF($C$16=0,MAX(MAX($L$232*(1-$C$15),0)-(IF($C$17&lt;=0,0,IF($C$16=0,MAX($L$232*(1-$C$15),0)/$C$17,-PMT($C$16/12,$C$17*12,MAX($L$232*(1-$C$15),0))*12))/12)*MIN(MAX((A495-$C$13+1)*12,0),$C$17*12),0),MAX(MAX($L$232*(1-$C$15),0)*(1+$C$16/12)^MIN(MAX((A495-$C$13+1)*12,0),$C$17*12)-(IF($C$17&lt;=0,0,IF($C$16=0,MAX($L$232*(1-$C$15),0)/$C$17,-PMT($C$16/12,$C$17*12,MAX($L$232*(1-$C$15),0))*12))/12)*(((1+$C$16/12)^MIN(MAX((A495-$C$13+1)*12,0),$C$17*12)-1)/($C$16/12)),0)))</f>
        <v/>
      </c>
      <c r="Z495" s="138">
        <f>MAX(X495-Y495,0)</f>
        <v/>
      </c>
      <c r="AA495" s="139">
        <f>U495+Z495</f>
        <v/>
      </c>
      <c r="AB495" s="5" t="n"/>
      <c r="AC495" s="5" t="n"/>
      <c r="AD495" s="5" t="n"/>
      <c r="AE495" s="5" t="n"/>
      <c r="AF495" s="5" t="n"/>
      <c r="AG495" s="5" t="n"/>
    </row>
    <row r="496" outlineLevel="1" s="326">
      <c r="A496" s="140" t="n">
        <v>20</v>
      </c>
      <c r="B496" s="40">
        <f>B99</f>
        <v/>
      </c>
      <c r="C496" s="141">
        <f>D99</f>
        <v/>
      </c>
      <c r="D496" s="141">
        <f>I99</f>
        <v/>
      </c>
      <c r="E496" s="141">
        <f>J99</f>
        <v/>
      </c>
      <c r="F496" s="141">
        <f>K99</f>
        <v/>
      </c>
      <c r="G496" s="138">
        <f>IF(AND($L$232&gt;0,A496=$C$13),$L$232*($C$15+$C$18),0)+IF(AND($L$232&gt;0,A496=$C$13),$C$24,0)</f>
        <v/>
      </c>
      <c r="H496" s="138">
        <f>IF(OR($L$232&lt;=0,A496&lt;$C$13),0,IF(AND($L$232&gt;0,$C$17&gt;0,A496&gt;=$C$13,A496&lt;($C$13+$C$17)),IF($C$17&lt;=0,0,IF($C$16=0,MAX($L$232*(1-$C$15),0)/$C$17,-PMT($C$16/12,$C$17*12,MAX($L$232*(1-$C$15),0))*12)),0)+X496*($C$19+$C$20+$C$21)+$C$22+$C$23)</f>
        <v/>
      </c>
      <c r="I496" s="138">
        <f>IF(B496="Working",MIN(MAX(D496-E496-F496-G496-H496,0),'Tax Assumptions'!$B$20),0)</f>
        <v/>
      </c>
      <c r="J496" s="138">
        <f>IF(B496="Working",D496-E496-F496-I496-G496-H496,-L496)</f>
        <v/>
      </c>
      <c r="K496" s="141">
        <f>IF(B496="Retired",$N$232+G496+H496,0)</f>
        <v/>
      </c>
      <c r="L496" s="141">
        <f>M496+N496+O496+P496</f>
        <v/>
      </c>
      <c r="M496" s="141">
        <f>IF(B496="Retired",MIN(((Q495)*(1+$C$10)+IF(B496="Working",J496,0)),K496),0)</f>
        <v/>
      </c>
      <c r="N496" s="141">
        <f>IF(B496="Retired",MIN(MAX(K496-M496,0),((R495)*(1+$C$10)+IF(B496="Working",E99,0))),0)</f>
        <v/>
      </c>
      <c r="O496" s="141">
        <f>IF(B496="Retired",MIN(MAX(K496-M496-N496,0),((S495)*(1+$C$10)+IF(B496="Working",I496,0))),0)</f>
        <v/>
      </c>
      <c r="P496" s="141">
        <f>IF(B496="Retired",MIN(MAX(K496-M496-N496-O496,0),((T495)*(1+$C$10)+IF(B496="Working",F99,0))),0)</f>
        <v/>
      </c>
      <c r="Q496" s="138">
        <f>MAX(((Q495)*(1+$C$10)+IF(B496="Working",J496,0))-M496,0)</f>
        <v/>
      </c>
      <c r="R496" s="138">
        <f>MAX(((R495)*(1+$C$10)+IF(B496="Working",E99,0))-N496,0)</f>
        <v/>
      </c>
      <c r="S496" s="138">
        <f>MAX(((S495)*(1+$C$10)+IF(B496="Working",I496,0))-O496,0)</f>
        <v/>
      </c>
      <c r="T496" s="138">
        <f>MAX(((T495)*(1+$C$10)+IF(B496="Working",F99,0))-P496,0)</f>
        <v/>
      </c>
      <c r="U496" s="138">
        <f>Q496+R496+S496+T496</f>
        <v/>
      </c>
      <c r="V496" s="138">
        <f>IF(B496="Working",MAX(-(((Q495)*(1+$C$10)+IF(B496="Working",J496,0))),0),MAX(K496-L496,0))</f>
        <v/>
      </c>
      <c r="W496" s="138">
        <f>IF(OR(A496&gt;=$C$13,B496="Retired"),IF(V496&gt;0,-V496,U496-'Model Inputs'!$B$18),"")</f>
        <v/>
      </c>
      <c r="X496" s="138">
        <f>IF(AND($L$232&gt;0,A496&gt;=$C$13),$L$232*(1+$C$25)^(A496-$C$13),0)</f>
        <v/>
      </c>
      <c r="Y496" s="138">
        <f>IF(OR($L$232&lt;=0,$C$17&lt;=0,A496&lt;$C$13,MIN(MAX((A496-$C$13+1)*12,0),$C$17*12)&gt;=$C$17*12),0,IF($C$16=0,MAX(MAX($L$232*(1-$C$15),0)-(IF($C$17&lt;=0,0,IF($C$16=0,MAX($L$232*(1-$C$15),0)/$C$17,-PMT($C$16/12,$C$17*12,MAX($L$232*(1-$C$15),0))*12))/12)*MIN(MAX((A496-$C$13+1)*12,0),$C$17*12),0),MAX(MAX($L$232*(1-$C$15),0)*(1+$C$16/12)^MIN(MAX((A496-$C$13+1)*12,0),$C$17*12)-(IF($C$17&lt;=0,0,IF($C$16=0,MAX($L$232*(1-$C$15),0)/$C$17,-PMT($C$16/12,$C$17*12,MAX($L$232*(1-$C$15),0))*12))/12)*(((1+$C$16/12)^MIN(MAX((A496-$C$13+1)*12,0),$C$17*12)-1)/($C$16/12)),0)))</f>
        <v/>
      </c>
      <c r="Z496" s="138">
        <f>MAX(X496-Y496,0)</f>
        <v/>
      </c>
      <c r="AA496" s="142">
        <f>U496+Z496</f>
        <v/>
      </c>
      <c r="AB496" s="5" t="n"/>
      <c r="AC496" s="5" t="n"/>
      <c r="AD496" s="5" t="n"/>
      <c r="AE496" s="5" t="n"/>
      <c r="AF496" s="5" t="n"/>
      <c r="AG496" s="5" t="n"/>
    </row>
    <row r="497" outlineLevel="1" s="326">
      <c r="A497" s="136" t="n">
        <v>21</v>
      </c>
      <c r="B497" s="72">
        <f>B100</f>
        <v/>
      </c>
      <c r="C497" s="137">
        <f>D100</f>
        <v/>
      </c>
      <c r="D497" s="137">
        <f>I100</f>
        <v/>
      </c>
      <c r="E497" s="137">
        <f>J100</f>
        <v/>
      </c>
      <c r="F497" s="137">
        <f>K100</f>
        <v/>
      </c>
      <c r="G497" s="138">
        <f>IF(AND($L$232&gt;0,A497=$C$13),$L$232*($C$15+$C$18),0)+IF(AND($L$232&gt;0,A497=$C$13),$C$24,0)</f>
        <v/>
      </c>
      <c r="H497" s="138">
        <f>IF(OR($L$232&lt;=0,A497&lt;$C$13),0,IF(AND($L$232&gt;0,$C$17&gt;0,A497&gt;=$C$13,A497&lt;($C$13+$C$17)),IF($C$17&lt;=0,0,IF($C$16=0,MAX($L$232*(1-$C$15),0)/$C$17,-PMT($C$16/12,$C$17*12,MAX($L$232*(1-$C$15),0))*12)),0)+X497*($C$19+$C$20+$C$21)+$C$22+$C$23)</f>
        <v/>
      </c>
      <c r="I497" s="138">
        <f>IF(B497="Working",MIN(MAX(D497-E497-F497-G497-H497,0),'Tax Assumptions'!$B$20),0)</f>
        <v/>
      </c>
      <c r="J497" s="138">
        <f>IF(B497="Working",D497-E497-F497-I497-G497-H497,-L497)</f>
        <v/>
      </c>
      <c r="K497" s="137">
        <f>IF(B497="Retired",$N$232+G497+H497,0)</f>
        <v/>
      </c>
      <c r="L497" s="137">
        <f>M497+N497+O497+P497</f>
        <v/>
      </c>
      <c r="M497" s="137">
        <f>IF(B497="Retired",MIN(((Q496)*(1+$C$10)+IF(B497="Working",J497,0)),K497),0)</f>
        <v/>
      </c>
      <c r="N497" s="137">
        <f>IF(B497="Retired",MIN(MAX(K497-M497,0),((R496)*(1+$C$10)+IF(B497="Working",E100,0))),0)</f>
        <v/>
      </c>
      <c r="O497" s="137">
        <f>IF(B497="Retired",MIN(MAX(K497-M497-N497,0),((S496)*(1+$C$10)+IF(B497="Working",I497,0))),0)</f>
        <v/>
      </c>
      <c r="P497" s="137">
        <f>IF(B497="Retired",MIN(MAX(K497-M497-N497-O497,0),((T496)*(1+$C$10)+IF(B497="Working",F100,0))),0)</f>
        <v/>
      </c>
      <c r="Q497" s="138">
        <f>MAX(((Q496)*(1+$C$10)+IF(B497="Working",J497,0))-M497,0)</f>
        <v/>
      </c>
      <c r="R497" s="138">
        <f>MAX(((R496)*(1+$C$10)+IF(B497="Working",E100,0))-N497,0)</f>
        <v/>
      </c>
      <c r="S497" s="138">
        <f>MAX(((S496)*(1+$C$10)+IF(B497="Working",I497,0))-O497,0)</f>
        <v/>
      </c>
      <c r="T497" s="138">
        <f>MAX(((T496)*(1+$C$10)+IF(B497="Working",F100,0))-P497,0)</f>
        <v/>
      </c>
      <c r="U497" s="138">
        <f>Q497+R497+S497+T497</f>
        <v/>
      </c>
      <c r="V497" s="138">
        <f>IF(B497="Working",MAX(-(((Q496)*(1+$C$10)+IF(B497="Working",J497,0))),0),MAX(K497-L497,0))</f>
        <v/>
      </c>
      <c r="W497" s="138">
        <f>IF(OR(A497&gt;=$C$13,B497="Retired"),IF(V497&gt;0,-V497,U497-'Model Inputs'!$B$18),"")</f>
        <v/>
      </c>
      <c r="X497" s="138">
        <f>IF(AND($L$232&gt;0,A497&gt;=$C$13),$L$232*(1+$C$25)^(A497-$C$13),0)</f>
        <v/>
      </c>
      <c r="Y497" s="138">
        <f>IF(OR($L$232&lt;=0,$C$17&lt;=0,A497&lt;$C$13,MIN(MAX((A497-$C$13+1)*12,0),$C$17*12)&gt;=$C$17*12),0,IF($C$16=0,MAX(MAX($L$232*(1-$C$15),0)-(IF($C$17&lt;=0,0,IF($C$16=0,MAX($L$232*(1-$C$15),0)/$C$17,-PMT($C$16/12,$C$17*12,MAX($L$232*(1-$C$15),0))*12))/12)*MIN(MAX((A497-$C$13+1)*12,0),$C$17*12),0),MAX(MAX($L$232*(1-$C$15),0)*(1+$C$16/12)^MIN(MAX((A497-$C$13+1)*12,0),$C$17*12)-(IF($C$17&lt;=0,0,IF($C$16=0,MAX($L$232*(1-$C$15),0)/$C$17,-PMT($C$16/12,$C$17*12,MAX($L$232*(1-$C$15),0))*12))/12)*(((1+$C$16/12)^MIN(MAX((A497-$C$13+1)*12,0),$C$17*12)-1)/($C$16/12)),0)))</f>
        <v/>
      </c>
      <c r="Z497" s="138">
        <f>MAX(X497-Y497,0)</f>
        <v/>
      </c>
      <c r="AA497" s="139">
        <f>U497+Z497</f>
        <v/>
      </c>
      <c r="AB497" s="5" t="n"/>
      <c r="AC497" s="5" t="n"/>
      <c r="AD497" s="5" t="n"/>
      <c r="AE497" s="5" t="n"/>
      <c r="AF497" s="5" t="n"/>
      <c r="AG497" s="5" t="n"/>
    </row>
    <row r="498" outlineLevel="1" s="326">
      <c r="A498" s="140" t="n">
        <v>22</v>
      </c>
      <c r="B498" s="40">
        <f>B101</f>
        <v/>
      </c>
      <c r="C498" s="141">
        <f>D101</f>
        <v/>
      </c>
      <c r="D498" s="141">
        <f>I101</f>
        <v/>
      </c>
      <c r="E498" s="141">
        <f>J101</f>
        <v/>
      </c>
      <c r="F498" s="141">
        <f>K101</f>
        <v/>
      </c>
      <c r="G498" s="138">
        <f>IF(AND($L$232&gt;0,A498=$C$13),$L$232*($C$15+$C$18),0)+IF(AND($L$232&gt;0,A498=$C$13),$C$24,0)</f>
        <v/>
      </c>
      <c r="H498" s="138">
        <f>IF(OR($L$232&lt;=0,A498&lt;$C$13),0,IF(AND($L$232&gt;0,$C$17&gt;0,A498&gt;=$C$13,A498&lt;($C$13+$C$17)),IF($C$17&lt;=0,0,IF($C$16=0,MAX($L$232*(1-$C$15),0)/$C$17,-PMT($C$16/12,$C$17*12,MAX($L$232*(1-$C$15),0))*12)),0)+X498*($C$19+$C$20+$C$21)+$C$22+$C$23)</f>
        <v/>
      </c>
      <c r="I498" s="138">
        <f>IF(B498="Working",MIN(MAX(D498-E498-F498-G498-H498,0),'Tax Assumptions'!$B$20),0)</f>
        <v/>
      </c>
      <c r="J498" s="138">
        <f>IF(B498="Working",D498-E498-F498-I498-G498-H498,-L498)</f>
        <v/>
      </c>
      <c r="K498" s="141">
        <f>IF(B498="Retired",$N$232+G498+H498,0)</f>
        <v/>
      </c>
      <c r="L498" s="141">
        <f>M498+N498+O498+P498</f>
        <v/>
      </c>
      <c r="M498" s="141">
        <f>IF(B498="Retired",MIN(((Q497)*(1+$C$10)+IF(B498="Working",J498,0)),K498),0)</f>
        <v/>
      </c>
      <c r="N498" s="141">
        <f>IF(B498="Retired",MIN(MAX(K498-M498,0),((R497)*(1+$C$10)+IF(B498="Working",E101,0))),0)</f>
        <v/>
      </c>
      <c r="O498" s="141">
        <f>IF(B498="Retired",MIN(MAX(K498-M498-N498,0),((S497)*(1+$C$10)+IF(B498="Working",I498,0))),0)</f>
        <v/>
      </c>
      <c r="P498" s="141">
        <f>IF(B498="Retired",MIN(MAX(K498-M498-N498-O498,0),((T497)*(1+$C$10)+IF(B498="Working",F101,0))),0)</f>
        <v/>
      </c>
      <c r="Q498" s="138">
        <f>MAX(((Q497)*(1+$C$10)+IF(B498="Working",J498,0))-M498,0)</f>
        <v/>
      </c>
      <c r="R498" s="138">
        <f>MAX(((R497)*(1+$C$10)+IF(B498="Working",E101,0))-N498,0)</f>
        <v/>
      </c>
      <c r="S498" s="138">
        <f>MAX(((S497)*(1+$C$10)+IF(B498="Working",I498,0))-O498,0)</f>
        <v/>
      </c>
      <c r="T498" s="138">
        <f>MAX(((T497)*(1+$C$10)+IF(B498="Working",F101,0))-P498,0)</f>
        <v/>
      </c>
      <c r="U498" s="138">
        <f>Q498+R498+S498+T498</f>
        <v/>
      </c>
      <c r="V498" s="138">
        <f>IF(B498="Working",MAX(-(((Q497)*(1+$C$10)+IF(B498="Working",J498,0))),0),MAX(K498-L498,0))</f>
        <v/>
      </c>
      <c r="W498" s="138">
        <f>IF(OR(A498&gt;=$C$13,B498="Retired"),IF(V498&gt;0,-V498,U498-'Model Inputs'!$B$18),"")</f>
        <v/>
      </c>
      <c r="X498" s="138">
        <f>IF(AND($L$232&gt;0,A498&gt;=$C$13),$L$232*(1+$C$25)^(A498-$C$13),0)</f>
        <v/>
      </c>
      <c r="Y498" s="138">
        <f>IF(OR($L$232&lt;=0,$C$17&lt;=0,A498&lt;$C$13,MIN(MAX((A498-$C$13+1)*12,0),$C$17*12)&gt;=$C$17*12),0,IF($C$16=0,MAX(MAX($L$232*(1-$C$15),0)-(IF($C$17&lt;=0,0,IF($C$16=0,MAX($L$232*(1-$C$15),0)/$C$17,-PMT($C$16/12,$C$17*12,MAX($L$232*(1-$C$15),0))*12))/12)*MIN(MAX((A498-$C$13+1)*12,0),$C$17*12),0),MAX(MAX($L$232*(1-$C$15),0)*(1+$C$16/12)^MIN(MAX((A498-$C$13+1)*12,0),$C$17*12)-(IF($C$17&lt;=0,0,IF($C$16=0,MAX($L$232*(1-$C$15),0)/$C$17,-PMT($C$16/12,$C$17*12,MAX($L$232*(1-$C$15),0))*12))/12)*(((1+$C$16/12)^MIN(MAX((A498-$C$13+1)*12,0),$C$17*12)-1)/($C$16/12)),0)))</f>
        <v/>
      </c>
      <c r="Z498" s="138">
        <f>MAX(X498-Y498,0)</f>
        <v/>
      </c>
      <c r="AA498" s="142">
        <f>U498+Z498</f>
        <v/>
      </c>
      <c r="AB498" s="5" t="n"/>
      <c r="AC498" s="5" t="n"/>
      <c r="AD498" s="5" t="n"/>
      <c r="AE498" s="5" t="n"/>
      <c r="AF498" s="5" t="n"/>
      <c r="AG498" s="5" t="n"/>
    </row>
    <row r="499" outlineLevel="1" s="326">
      <c r="A499" s="136" t="n">
        <v>23</v>
      </c>
      <c r="B499" s="72">
        <f>B102</f>
        <v/>
      </c>
      <c r="C499" s="137">
        <f>D102</f>
        <v/>
      </c>
      <c r="D499" s="137">
        <f>I102</f>
        <v/>
      </c>
      <c r="E499" s="137">
        <f>J102</f>
        <v/>
      </c>
      <c r="F499" s="137">
        <f>K102</f>
        <v/>
      </c>
      <c r="G499" s="138">
        <f>IF(AND($L$232&gt;0,A499=$C$13),$L$232*($C$15+$C$18),0)+IF(AND($L$232&gt;0,A499=$C$13),$C$24,0)</f>
        <v/>
      </c>
      <c r="H499" s="138">
        <f>IF(OR($L$232&lt;=0,A499&lt;$C$13),0,IF(AND($L$232&gt;0,$C$17&gt;0,A499&gt;=$C$13,A499&lt;($C$13+$C$17)),IF($C$17&lt;=0,0,IF($C$16=0,MAX($L$232*(1-$C$15),0)/$C$17,-PMT($C$16/12,$C$17*12,MAX($L$232*(1-$C$15),0))*12)),0)+X499*($C$19+$C$20+$C$21)+$C$22+$C$23)</f>
        <v/>
      </c>
      <c r="I499" s="138">
        <f>IF(B499="Working",MIN(MAX(D499-E499-F499-G499-H499,0),'Tax Assumptions'!$B$20),0)</f>
        <v/>
      </c>
      <c r="J499" s="138">
        <f>IF(B499="Working",D499-E499-F499-I499-G499-H499,-L499)</f>
        <v/>
      </c>
      <c r="K499" s="137">
        <f>IF(B499="Retired",$N$232+G499+H499,0)</f>
        <v/>
      </c>
      <c r="L499" s="137">
        <f>M499+N499+O499+P499</f>
        <v/>
      </c>
      <c r="M499" s="137">
        <f>IF(B499="Retired",MIN(((Q498)*(1+$C$10)+IF(B499="Working",J499,0)),K499),0)</f>
        <v/>
      </c>
      <c r="N499" s="137">
        <f>IF(B499="Retired",MIN(MAX(K499-M499,0),((R498)*(1+$C$10)+IF(B499="Working",E102,0))),0)</f>
        <v/>
      </c>
      <c r="O499" s="137">
        <f>IF(B499="Retired",MIN(MAX(K499-M499-N499,0),((S498)*(1+$C$10)+IF(B499="Working",I499,0))),0)</f>
        <v/>
      </c>
      <c r="P499" s="137">
        <f>IF(B499="Retired",MIN(MAX(K499-M499-N499-O499,0),((T498)*(1+$C$10)+IF(B499="Working",F102,0))),0)</f>
        <v/>
      </c>
      <c r="Q499" s="138">
        <f>MAX(((Q498)*(1+$C$10)+IF(B499="Working",J499,0))-M499,0)</f>
        <v/>
      </c>
      <c r="R499" s="138">
        <f>MAX(((R498)*(1+$C$10)+IF(B499="Working",E102,0))-N499,0)</f>
        <v/>
      </c>
      <c r="S499" s="138">
        <f>MAX(((S498)*(1+$C$10)+IF(B499="Working",I499,0))-O499,0)</f>
        <v/>
      </c>
      <c r="T499" s="138">
        <f>MAX(((T498)*(1+$C$10)+IF(B499="Working",F102,0))-P499,0)</f>
        <v/>
      </c>
      <c r="U499" s="138">
        <f>Q499+R499+S499+T499</f>
        <v/>
      </c>
      <c r="V499" s="138">
        <f>IF(B499="Working",MAX(-(((Q498)*(1+$C$10)+IF(B499="Working",J499,0))),0),MAX(K499-L499,0))</f>
        <v/>
      </c>
      <c r="W499" s="138">
        <f>IF(OR(A499&gt;=$C$13,B499="Retired"),IF(V499&gt;0,-V499,U499-'Model Inputs'!$B$18),"")</f>
        <v/>
      </c>
      <c r="X499" s="138">
        <f>IF(AND($L$232&gt;0,A499&gt;=$C$13),$L$232*(1+$C$25)^(A499-$C$13),0)</f>
        <v/>
      </c>
      <c r="Y499" s="138">
        <f>IF(OR($L$232&lt;=0,$C$17&lt;=0,A499&lt;$C$13,MIN(MAX((A499-$C$13+1)*12,0),$C$17*12)&gt;=$C$17*12),0,IF($C$16=0,MAX(MAX($L$232*(1-$C$15),0)-(IF($C$17&lt;=0,0,IF($C$16=0,MAX($L$232*(1-$C$15),0)/$C$17,-PMT($C$16/12,$C$17*12,MAX($L$232*(1-$C$15),0))*12))/12)*MIN(MAX((A499-$C$13+1)*12,0),$C$17*12),0),MAX(MAX($L$232*(1-$C$15),0)*(1+$C$16/12)^MIN(MAX((A499-$C$13+1)*12,0),$C$17*12)-(IF($C$17&lt;=0,0,IF($C$16=0,MAX($L$232*(1-$C$15),0)/$C$17,-PMT($C$16/12,$C$17*12,MAX($L$232*(1-$C$15),0))*12))/12)*(((1+$C$16/12)^MIN(MAX((A499-$C$13+1)*12,0),$C$17*12)-1)/($C$16/12)),0)))</f>
        <v/>
      </c>
      <c r="Z499" s="138">
        <f>MAX(X499-Y499,0)</f>
        <v/>
      </c>
      <c r="AA499" s="139">
        <f>U499+Z499</f>
        <v/>
      </c>
      <c r="AB499" s="5" t="n"/>
      <c r="AC499" s="5" t="n"/>
      <c r="AD499" s="5" t="n"/>
      <c r="AE499" s="5" t="n"/>
      <c r="AF499" s="5" t="n"/>
      <c r="AG499" s="5" t="n"/>
    </row>
    <row r="500" outlineLevel="1" s="326">
      <c r="A500" s="140" t="n">
        <v>24</v>
      </c>
      <c r="B500" s="40">
        <f>B103</f>
        <v/>
      </c>
      <c r="C500" s="141">
        <f>D103</f>
        <v/>
      </c>
      <c r="D500" s="141">
        <f>I103</f>
        <v/>
      </c>
      <c r="E500" s="141">
        <f>J103</f>
        <v/>
      </c>
      <c r="F500" s="141">
        <f>K103</f>
        <v/>
      </c>
      <c r="G500" s="138">
        <f>IF(AND($L$232&gt;0,A500=$C$13),$L$232*($C$15+$C$18),0)+IF(AND($L$232&gt;0,A500=$C$13),$C$24,0)</f>
        <v/>
      </c>
      <c r="H500" s="138">
        <f>IF(OR($L$232&lt;=0,A500&lt;$C$13),0,IF(AND($L$232&gt;0,$C$17&gt;0,A500&gt;=$C$13,A500&lt;($C$13+$C$17)),IF($C$17&lt;=0,0,IF($C$16=0,MAX($L$232*(1-$C$15),0)/$C$17,-PMT($C$16/12,$C$17*12,MAX($L$232*(1-$C$15),0))*12)),0)+X500*($C$19+$C$20+$C$21)+$C$22+$C$23)</f>
        <v/>
      </c>
      <c r="I500" s="138">
        <f>IF(B500="Working",MIN(MAX(D500-E500-F500-G500-H500,0),'Tax Assumptions'!$B$20),0)</f>
        <v/>
      </c>
      <c r="J500" s="138">
        <f>IF(B500="Working",D500-E500-F500-I500-G500-H500,-L500)</f>
        <v/>
      </c>
      <c r="K500" s="141">
        <f>IF(B500="Retired",$N$232+G500+H500,0)</f>
        <v/>
      </c>
      <c r="L500" s="141">
        <f>M500+N500+O500+P500</f>
        <v/>
      </c>
      <c r="M500" s="141">
        <f>IF(B500="Retired",MIN(((Q499)*(1+$C$10)+IF(B500="Working",J500,0)),K500),0)</f>
        <v/>
      </c>
      <c r="N500" s="141">
        <f>IF(B500="Retired",MIN(MAX(K500-M500,0),((R499)*(1+$C$10)+IF(B500="Working",E103,0))),0)</f>
        <v/>
      </c>
      <c r="O500" s="141">
        <f>IF(B500="Retired",MIN(MAX(K500-M500-N500,0),((S499)*(1+$C$10)+IF(B500="Working",I500,0))),0)</f>
        <v/>
      </c>
      <c r="P500" s="141">
        <f>IF(B500="Retired",MIN(MAX(K500-M500-N500-O500,0),((T499)*(1+$C$10)+IF(B500="Working",F103,0))),0)</f>
        <v/>
      </c>
      <c r="Q500" s="138">
        <f>MAX(((Q499)*(1+$C$10)+IF(B500="Working",J500,0))-M500,0)</f>
        <v/>
      </c>
      <c r="R500" s="138">
        <f>MAX(((R499)*(1+$C$10)+IF(B500="Working",E103,0))-N500,0)</f>
        <v/>
      </c>
      <c r="S500" s="138">
        <f>MAX(((S499)*(1+$C$10)+IF(B500="Working",I500,0))-O500,0)</f>
        <v/>
      </c>
      <c r="T500" s="138">
        <f>MAX(((T499)*(1+$C$10)+IF(B500="Working",F103,0))-P500,0)</f>
        <v/>
      </c>
      <c r="U500" s="138">
        <f>Q500+R500+S500+T500</f>
        <v/>
      </c>
      <c r="V500" s="138">
        <f>IF(B500="Working",MAX(-(((Q499)*(1+$C$10)+IF(B500="Working",J500,0))),0),MAX(K500-L500,0))</f>
        <v/>
      </c>
      <c r="W500" s="138">
        <f>IF(OR(A500&gt;=$C$13,B500="Retired"),IF(V500&gt;0,-V500,U500-'Model Inputs'!$B$18),"")</f>
        <v/>
      </c>
      <c r="X500" s="138">
        <f>IF(AND($L$232&gt;0,A500&gt;=$C$13),$L$232*(1+$C$25)^(A500-$C$13),0)</f>
        <v/>
      </c>
      <c r="Y500" s="138">
        <f>IF(OR($L$232&lt;=0,$C$17&lt;=0,A500&lt;$C$13,MIN(MAX((A500-$C$13+1)*12,0),$C$17*12)&gt;=$C$17*12),0,IF($C$16=0,MAX(MAX($L$232*(1-$C$15),0)-(IF($C$17&lt;=0,0,IF($C$16=0,MAX($L$232*(1-$C$15),0)/$C$17,-PMT($C$16/12,$C$17*12,MAX($L$232*(1-$C$15),0))*12))/12)*MIN(MAX((A500-$C$13+1)*12,0),$C$17*12),0),MAX(MAX($L$232*(1-$C$15),0)*(1+$C$16/12)^MIN(MAX((A500-$C$13+1)*12,0),$C$17*12)-(IF($C$17&lt;=0,0,IF($C$16=0,MAX($L$232*(1-$C$15),0)/$C$17,-PMT($C$16/12,$C$17*12,MAX($L$232*(1-$C$15),0))*12))/12)*(((1+$C$16/12)^MIN(MAX((A500-$C$13+1)*12,0),$C$17*12)-1)/($C$16/12)),0)))</f>
        <v/>
      </c>
      <c r="Z500" s="138">
        <f>MAX(X500-Y500,0)</f>
        <v/>
      </c>
      <c r="AA500" s="142">
        <f>U500+Z500</f>
        <v/>
      </c>
      <c r="AB500" s="5" t="n"/>
      <c r="AC500" s="5" t="n"/>
      <c r="AD500" s="5" t="n"/>
      <c r="AE500" s="5" t="n"/>
      <c r="AF500" s="5" t="n"/>
      <c r="AG500" s="5" t="n"/>
    </row>
    <row r="501" outlineLevel="1" s="326">
      <c r="A501" s="136" t="n">
        <v>25</v>
      </c>
      <c r="B501" s="72">
        <f>B104</f>
        <v/>
      </c>
      <c r="C501" s="137">
        <f>D104</f>
        <v/>
      </c>
      <c r="D501" s="137">
        <f>I104</f>
        <v/>
      </c>
      <c r="E501" s="137">
        <f>J104</f>
        <v/>
      </c>
      <c r="F501" s="137">
        <f>K104</f>
        <v/>
      </c>
      <c r="G501" s="138">
        <f>IF(AND($L$232&gt;0,A501=$C$13),$L$232*($C$15+$C$18),0)+IF(AND($L$232&gt;0,A501=$C$13),$C$24,0)</f>
        <v/>
      </c>
      <c r="H501" s="138">
        <f>IF(OR($L$232&lt;=0,A501&lt;$C$13),0,IF(AND($L$232&gt;0,$C$17&gt;0,A501&gt;=$C$13,A501&lt;($C$13+$C$17)),IF($C$17&lt;=0,0,IF($C$16=0,MAX($L$232*(1-$C$15),0)/$C$17,-PMT($C$16/12,$C$17*12,MAX($L$232*(1-$C$15),0))*12)),0)+X501*($C$19+$C$20+$C$21)+$C$22+$C$23)</f>
        <v/>
      </c>
      <c r="I501" s="138">
        <f>IF(B501="Working",MIN(MAX(D501-E501-F501-G501-H501,0),'Tax Assumptions'!$B$20),0)</f>
        <v/>
      </c>
      <c r="J501" s="138">
        <f>IF(B501="Working",D501-E501-F501-I501-G501-H501,-L501)</f>
        <v/>
      </c>
      <c r="K501" s="137">
        <f>IF(B501="Retired",$N$232+G501+H501,0)</f>
        <v/>
      </c>
      <c r="L501" s="137">
        <f>M501+N501+O501+P501</f>
        <v/>
      </c>
      <c r="M501" s="137">
        <f>IF(B501="Retired",MIN(((Q500)*(1+$C$10)+IF(B501="Working",J501,0)),K501),0)</f>
        <v/>
      </c>
      <c r="N501" s="137">
        <f>IF(B501="Retired",MIN(MAX(K501-M501,0),((R500)*(1+$C$10)+IF(B501="Working",E104,0))),0)</f>
        <v/>
      </c>
      <c r="O501" s="137">
        <f>IF(B501="Retired",MIN(MAX(K501-M501-N501,0),((S500)*(1+$C$10)+IF(B501="Working",I501,0))),0)</f>
        <v/>
      </c>
      <c r="P501" s="137">
        <f>IF(B501="Retired",MIN(MAX(K501-M501-N501-O501,0),((T500)*(1+$C$10)+IF(B501="Working",F104,0))),0)</f>
        <v/>
      </c>
      <c r="Q501" s="138">
        <f>MAX(((Q500)*(1+$C$10)+IF(B501="Working",J501,0))-M501,0)</f>
        <v/>
      </c>
      <c r="R501" s="138">
        <f>MAX(((R500)*(1+$C$10)+IF(B501="Working",E104,0))-N501,0)</f>
        <v/>
      </c>
      <c r="S501" s="138">
        <f>MAX(((S500)*(1+$C$10)+IF(B501="Working",I501,0))-O501,0)</f>
        <v/>
      </c>
      <c r="T501" s="138">
        <f>MAX(((T500)*(1+$C$10)+IF(B501="Working",F104,0))-P501,0)</f>
        <v/>
      </c>
      <c r="U501" s="138">
        <f>Q501+R501+S501+T501</f>
        <v/>
      </c>
      <c r="V501" s="138">
        <f>IF(B501="Working",MAX(-(((Q500)*(1+$C$10)+IF(B501="Working",J501,0))),0),MAX(K501-L501,0))</f>
        <v/>
      </c>
      <c r="W501" s="138">
        <f>IF(OR(A501&gt;=$C$13,B501="Retired"),IF(V501&gt;0,-V501,U501-'Model Inputs'!$B$18),"")</f>
        <v/>
      </c>
      <c r="X501" s="138">
        <f>IF(AND($L$232&gt;0,A501&gt;=$C$13),$L$232*(1+$C$25)^(A501-$C$13),0)</f>
        <v/>
      </c>
      <c r="Y501" s="138">
        <f>IF(OR($L$232&lt;=0,$C$17&lt;=0,A501&lt;$C$13,MIN(MAX((A501-$C$13+1)*12,0),$C$17*12)&gt;=$C$17*12),0,IF($C$16=0,MAX(MAX($L$232*(1-$C$15),0)-(IF($C$17&lt;=0,0,IF($C$16=0,MAX($L$232*(1-$C$15),0)/$C$17,-PMT($C$16/12,$C$17*12,MAX($L$232*(1-$C$15),0))*12))/12)*MIN(MAX((A501-$C$13+1)*12,0),$C$17*12),0),MAX(MAX($L$232*(1-$C$15),0)*(1+$C$16/12)^MIN(MAX((A501-$C$13+1)*12,0),$C$17*12)-(IF($C$17&lt;=0,0,IF($C$16=0,MAX($L$232*(1-$C$15),0)/$C$17,-PMT($C$16/12,$C$17*12,MAX($L$232*(1-$C$15),0))*12))/12)*(((1+$C$16/12)^MIN(MAX((A501-$C$13+1)*12,0),$C$17*12)-1)/($C$16/12)),0)))</f>
        <v/>
      </c>
      <c r="Z501" s="138">
        <f>MAX(X501-Y501,0)</f>
        <v/>
      </c>
      <c r="AA501" s="139">
        <f>U501+Z501</f>
        <v/>
      </c>
      <c r="AB501" s="5" t="n"/>
      <c r="AC501" s="5" t="n"/>
      <c r="AD501" s="5" t="n"/>
      <c r="AE501" s="5" t="n"/>
      <c r="AF501" s="5" t="n"/>
      <c r="AG501" s="5" t="n"/>
    </row>
    <row r="502" outlineLevel="1" s="326">
      <c r="A502" s="140" t="n">
        <v>26</v>
      </c>
      <c r="B502" s="40">
        <f>B105</f>
        <v/>
      </c>
      <c r="C502" s="141">
        <f>D105</f>
        <v/>
      </c>
      <c r="D502" s="141">
        <f>I105</f>
        <v/>
      </c>
      <c r="E502" s="141">
        <f>J105</f>
        <v/>
      </c>
      <c r="F502" s="141">
        <f>K105</f>
        <v/>
      </c>
      <c r="G502" s="138">
        <f>IF(AND($L$232&gt;0,A502=$C$13),$L$232*($C$15+$C$18),0)+IF(AND($L$232&gt;0,A502=$C$13),$C$24,0)</f>
        <v/>
      </c>
      <c r="H502" s="138">
        <f>IF(OR($L$232&lt;=0,A502&lt;$C$13),0,IF(AND($L$232&gt;0,$C$17&gt;0,A502&gt;=$C$13,A502&lt;($C$13+$C$17)),IF($C$17&lt;=0,0,IF($C$16=0,MAX($L$232*(1-$C$15),0)/$C$17,-PMT($C$16/12,$C$17*12,MAX($L$232*(1-$C$15),0))*12)),0)+X502*($C$19+$C$20+$C$21)+$C$22+$C$23)</f>
        <v/>
      </c>
      <c r="I502" s="138">
        <f>IF(B502="Working",MIN(MAX(D502-E502-F502-G502-H502,0),'Tax Assumptions'!$B$20),0)</f>
        <v/>
      </c>
      <c r="J502" s="138">
        <f>IF(B502="Working",D502-E502-F502-I502-G502-H502,-L502)</f>
        <v/>
      </c>
      <c r="K502" s="141">
        <f>IF(B502="Retired",$N$232+G502+H502,0)</f>
        <v/>
      </c>
      <c r="L502" s="141">
        <f>M502+N502+O502+P502</f>
        <v/>
      </c>
      <c r="M502" s="141">
        <f>IF(B502="Retired",MIN(((Q501)*(1+$C$10)+IF(B502="Working",J502,0)),K502),0)</f>
        <v/>
      </c>
      <c r="N502" s="141">
        <f>IF(B502="Retired",MIN(MAX(K502-M502,0),((R501)*(1+$C$10)+IF(B502="Working",E105,0))),0)</f>
        <v/>
      </c>
      <c r="O502" s="141">
        <f>IF(B502="Retired",MIN(MAX(K502-M502-N502,0),((S501)*(1+$C$10)+IF(B502="Working",I502,0))),0)</f>
        <v/>
      </c>
      <c r="P502" s="141">
        <f>IF(B502="Retired",MIN(MAX(K502-M502-N502-O502,0),((T501)*(1+$C$10)+IF(B502="Working",F105,0))),0)</f>
        <v/>
      </c>
      <c r="Q502" s="138">
        <f>MAX(((Q501)*(1+$C$10)+IF(B502="Working",J502,0))-M502,0)</f>
        <v/>
      </c>
      <c r="R502" s="138">
        <f>MAX(((R501)*(1+$C$10)+IF(B502="Working",E105,0))-N502,0)</f>
        <v/>
      </c>
      <c r="S502" s="138">
        <f>MAX(((S501)*(1+$C$10)+IF(B502="Working",I502,0))-O502,0)</f>
        <v/>
      </c>
      <c r="T502" s="138">
        <f>MAX(((T501)*(1+$C$10)+IF(B502="Working",F105,0))-P502,0)</f>
        <v/>
      </c>
      <c r="U502" s="138">
        <f>Q502+R502+S502+T502</f>
        <v/>
      </c>
      <c r="V502" s="138">
        <f>IF(B502="Working",MAX(-(((Q501)*(1+$C$10)+IF(B502="Working",J502,0))),0),MAX(K502-L502,0))</f>
        <v/>
      </c>
      <c r="W502" s="138">
        <f>IF(OR(A502&gt;=$C$13,B502="Retired"),IF(V502&gt;0,-V502,U502-'Model Inputs'!$B$18),"")</f>
        <v/>
      </c>
      <c r="X502" s="138">
        <f>IF(AND($L$232&gt;0,A502&gt;=$C$13),$L$232*(1+$C$25)^(A502-$C$13),0)</f>
        <v/>
      </c>
      <c r="Y502" s="138">
        <f>IF(OR($L$232&lt;=0,$C$17&lt;=0,A502&lt;$C$13,MIN(MAX((A502-$C$13+1)*12,0),$C$17*12)&gt;=$C$17*12),0,IF($C$16=0,MAX(MAX($L$232*(1-$C$15),0)-(IF($C$17&lt;=0,0,IF($C$16=0,MAX($L$232*(1-$C$15),0)/$C$17,-PMT($C$16/12,$C$17*12,MAX($L$232*(1-$C$15),0))*12))/12)*MIN(MAX((A502-$C$13+1)*12,0),$C$17*12),0),MAX(MAX($L$232*(1-$C$15),0)*(1+$C$16/12)^MIN(MAX((A502-$C$13+1)*12,0),$C$17*12)-(IF($C$17&lt;=0,0,IF($C$16=0,MAX($L$232*(1-$C$15),0)/$C$17,-PMT($C$16/12,$C$17*12,MAX($L$232*(1-$C$15),0))*12))/12)*(((1+$C$16/12)^MIN(MAX((A502-$C$13+1)*12,0),$C$17*12)-1)/($C$16/12)),0)))</f>
        <v/>
      </c>
      <c r="Z502" s="138">
        <f>MAX(X502-Y502,0)</f>
        <v/>
      </c>
      <c r="AA502" s="142">
        <f>U502+Z502</f>
        <v/>
      </c>
      <c r="AB502" s="5" t="n"/>
      <c r="AC502" s="5" t="n"/>
      <c r="AD502" s="5" t="n"/>
      <c r="AE502" s="5" t="n"/>
      <c r="AF502" s="5" t="n"/>
      <c r="AG502" s="5" t="n"/>
    </row>
    <row r="503" outlineLevel="1" s="326">
      <c r="A503" s="136" t="n">
        <v>27</v>
      </c>
      <c r="B503" s="72">
        <f>B106</f>
        <v/>
      </c>
      <c r="C503" s="137">
        <f>D106</f>
        <v/>
      </c>
      <c r="D503" s="137">
        <f>I106</f>
        <v/>
      </c>
      <c r="E503" s="137">
        <f>J106</f>
        <v/>
      </c>
      <c r="F503" s="137">
        <f>K106</f>
        <v/>
      </c>
      <c r="G503" s="138">
        <f>IF(AND($L$232&gt;0,A503=$C$13),$L$232*($C$15+$C$18),0)+IF(AND($L$232&gt;0,A503=$C$13),$C$24,0)</f>
        <v/>
      </c>
      <c r="H503" s="138">
        <f>IF(OR($L$232&lt;=0,A503&lt;$C$13),0,IF(AND($L$232&gt;0,$C$17&gt;0,A503&gt;=$C$13,A503&lt;($C$13+$C$17)),IF($C$17&lt;=0,0,IF($C$16=0,MAX($L$232*(1-$C$15),0)/$C$17,-PMT($C$16/12,$C$17*12,MAX($L$232*(1-$C$15),0))*12)),0)+X503*($C$19+$C$20+$C$21)+$C$22+$C$23)</f>
        <v/>
      </c>
      <c r="I503" s="138">
        <f>IF(B503="Working",MIN(MAX(D503-E503-F503-G503-H503,0),'Tax Assumptions'!$B$20),0)</f>
        <v/>
      </c>
      <c r="J503" s="138">
        <f>IF(B503="Working",D503-E503-F503-I503-G503-H503,-L503)</f>
        <v/>
      </c>
      <c r="K503" s="137">
        <f>IF(B503="Retired",$N$232+G503+H503,0)</f>
        <v/>
      </c>
      <c r="L503" s="137">
        <f>M503+N503+O503+P503</f>
        <v/>
      </c>
      <c r="M503" s="137">
        <f>IF(B503="Retired",MIN(((Q502)*(1+$C$10)+IF(B503="Working",J503,0)),K503),0)</f>
        <v/>
      </c>
      <c r="N503" s="137">
        <f>IF(B503="Retired",MIN(MAX(K503-M503,0),((R502)*(1+$C$10)+IF(B503="Working",E106,0))),0)</f>
        <v/>
      </c>
      <c r="O503" s="137">
        <f>IF(B503="Retired",MIN(MAX(K503-M503-N503,0),((S502)*(1+$C$10)+IF(B503="Working",I503,0))),0)</f>
        <v/>
      </c>
      <c r="P503" s="137">
        <f>IF(B503="Retired",MIN(MAX(K503-M503-N503-O503,0),((T502)*(1+$C$10)+IF(B503="Working",F106,0))),0)</f>
        <v/>
      </c>
      <c r="Q503" s="138">
        <f>MAX(((Q502)*(1+$C$10)+IF(B503="Working",J503,0))-M503,0)</f>
        <v/>
      </c>
      <c r="R503" s="138">
        <f>MAX(((R502)*(1+$C$10)+IF(B503="Working",E106,0))-N503,0)</f>
        <v/>
      </c>
      <c r="S503" s="138">
        <f>MAX(((S502)*(1+$C$10)+IF(B503="Working",I503,0))-O503,0)</f>
        <v/>
      </c>
      <c r="T503" s="138">
        <f>MAX(((T502)*(1+$C$10)+IF(B503="Working",F106,0))-P503,0)</f>
        <v/>
      </c>
      <c r="U503" s="138">
        <f>Q503+R503+S503+T503</f>
        <v/>
      </c>
      <c r="V503" s="138">
        <f>IF(B503="Working",MAX(-(((Q502)*(1+$C$10)+IF(B503="Working",J503,0))),0),MAX(K503-L503,0))</f>
        <v/>
      </c>
      <c r="W503" s="138">
        <f>IF(OR(A503&gt;=$C$13,B503="Retired"),IF(V503&gt;0,-V503,U503-'Model Inputs'!$B$18),"")</f>
        <v/>
      </c>
      <c r="X503" s="138">
        <f>IF(AND($L$232&gt;0,A503&gt;=$C$13),$L$232*(1+$C$25)^(A503-$C$13),0)</f>
        <v/>
      </c>
      <c r="Y503" s="138">
        <f>IF(OR($L$232&lt;=0,$C$17&lt;=0,A503&lt;$C$13,MIN(MAX((A503-$C$13+1)*12,0),$C$17*12)&gt;=$C$17*12),0,IF($C$16=0,MAX(MAX($L$232*(1-$C$15),0)-(IF($C$17&lt;=0,0,IF($C$16=0,MAX($L$232*(1-$C$15),0)/$C$17,-PMT($C$16/12,$C$17*12,MAX($L$232*(1-$C$15),0))*12))/12)*MIN(MAX((A503-$C$13+1)*12,0),$C$17*12),0),MAX(MAX($L$232*(1-$C$15),0)*(1+$C$16/12)^MIN(MAX((A503-$C$13+1)*12,0),$C$17*12)-(IF($C$17&lt;=0,0,IF($C$16=0,MAX($L$232*(1-$C$15),0)/$C$17,-PMT($C$16/12,$C$17*12,MAX($L$232*(1-$C$15),0))*12))/12)*(((1+$C$16/12)^MIN(MAX((A503-$C$13+1)*12,0),$C$17*12)-1)/($C$16/12)),0)))</f>
        <v/>
      </c>
      <c r="Z503" s="138">
        <f>MAX(X503-Y503,0)</f>
        <v/>
      </c>
      <c r="AA503" s="139">
        <f>U503+Z503</f>
        <v/>
      </c>
      <c r="AB503" s="5" t="n"/>
      <c r="AC503" s="5" t="n"/>
      <c r="AD503" s="5" t="n"/>
      <c r="AE503" s="5" t="n"/>
      <c r="AF503" s="5" t="n"/>
      <c r="AG503" s="5" t="n"/>
    </row>
    <row r="504" outlineLevel="1" s="326">
      <c r="A504" s="140" t="n">
        <v>28</v>
      </c>
      <c r="B504" s="40">
        <f>B107</f>
        <v/>
      </c>
      <c r="C504" s="141">
        <f>D107</f>
        <v/>
      </c>
      <c r="D504" s="141">
        <f>I107</f>
        <v/>
      </c>
      <c r="E504" s="141">
        <f>J107</f>
        <v/>
      </c>
      <c r="F504" s="141">
        <f>K107</f>
        <v/>
      </c>
      <c r="G504" s="138">
        <f>IF(AND($L$232&gt;0,A504=$C$13),$L$232*($C$15+$C$18),0)+IF(AND($L$232&gt;0,A504=$C$13),$C$24,0)</f>
        <v/>
      </c>
      <c r="H504" s="138">
        <f>IF(OR($L$232&lt;=0,A504&lt;$C$13),0,IF(AND($L$232&gt;0,$C$17&gt;0,A504&gt;=$C$13,A504&lt;($C$13+$C$17)),IF($C$17&lt;=0,0,IF($C$16=0,MAX($L$232*(1-$C$15),0)/$C$17,-PMT($C$16/12,$C$17*12,MAX($L$232*(1-$C$15),0))*12)),0)+X504*($C$19+$C$20+$C$21)+$C$22+$C$23)</f>
        <v/>
      </c>
      <c r="I504" s="138">
        <f>IF(B504="Working",MIN(MAX(D504-E504-F504-G504-H504,0),'Tax Assumptions'!$B$20),0)</f>
        <v/>
      </c>
      <c r="J504" s="138">
        <f>IF(B504="Working",D504-E504-F504-I504-G504-H504,-L504)</f>
        <v/>
      </c>
      <c r="K504" s="141">
        <f>IF(B504="Retired",$N$232+G504+H504,0)</f>
        <v/>
      </c>
      <c r="L504" s="141">
        <f>M504+N504+O504+P504</f>
        <v/>
      </c>
      <c r="M504" s="141">
        <f>IF(B504="Retired",MIN(((Q503)*(1+$C$10)+IF(B504="Working",J504,0)),K504),0)</f>
        <v/>
      </c>
      <c r="N504" s="141">
        <f>IF(B504="Retired",MIN(MAX(K504-M504,0),((R503)*(1+$C$10)+IF(B504="Working",E107,0))),0)</f>
        <v/>
      </c>
      <c r="O504" s="141">
        <f>IF(B504="Retired",MIN(MAX(K504-M504-N504,0),((S503)*(1+$C$10)+IF(B504="Working",I504,0))),0)</f>
        <v/>
      </c>
      <c r="P504" s="141">
        <f>IF(B504="Retired",MIN(MAX(K504-M504-N504-O504,0),((T503)*(1+$C$10)+IF(B504="Working",F107,0))),0)</f>
        <v/>
      </c>
      <c r="Q504" s="138">
        <f>MAX(((Q503)*(1+$C$10)+IF(B504="Working",J504,0))-M504,0)</f>
        <v/>
      </c>
      <c r="R504" s="138">
        <f>MAX(((R503)*(1+$C$10)+IF(B504="Working",E107,0))-N504,0)</f>
        <v/>
      </c>
      <c r="S504" s="138">
        <f>MAX(((S503)*(1+$C$10)+IF(B504="Working",I504,0))-O504,0)</f>
        <v/>
      </c>
      <c r="T504" s="138">
        <f>MAX(((T503)*(1+$C$10)+IF(B504="Working",F107,0))-P504,0)</f>
        <v/>
      </c>
      <c r="U504" s="138">
        <f>Q504+R504+S504+T504</f>
        <v/>
      </c>
      <c r="V504" s="138">
        <f>IF(B504="Working",MAX(-(((Q503)*(1+$C$10)+IF(B504="Working",J504,0))),0),MAX(K504-L504,0))</f>
        <v/>
      </c>
      <c r="W504" s="138">
        <f>IF(OR(A504&gt;=$C$13,B504="Retired"),IF(V504&gt;0,-V504,U504-'Model Inputs'!$B$18),"")</f>
        <v/>
      </c>
      <c r="X504" s="138">
        <f>IF(AND($L$232&gt;0,A504&gt;=$C$13),$L$232*(1+$C$25)^(A504-$C$13),0)</f>
        <v/>
      </c>
      <c r="Y504" s="138">
        <f>IF(OR($L$232&lt;=0,$C$17&lt;=0,A504&lt;$C$13,MIN(MAX((A504-$C$13+1)*12,0),$C$17*12)&gt;=$C$17*12),0,IF($C$16=0,MAX(MAX($L$232*(1-$C$15),0)-(IF($C$17&lt;=0,0,IF($C$16=0,MAX($L$232*(1-$C$15),0)/$C$17,-PMT($C$16/12,$C$17*12,MAX($L$232*(1-$C$15),0))*12))/12)*MIN(MAX((A504-$C$13+1)*12,0),$C$17*12),0),MAX(MAX($L$232*(1-$C$15),0)*(1+$C$16/12)^MIN(MAX((A504-$C$13+1)*12,0),$C$17*12)-(IF($C$17&lt;=0,0,IF($C$16=0,MAX($L$232*(1-$C$15),0)/$C$17,-PMT($C$16/12,$C$17*12,MAX($L$232*(1-$C$15),0))*12))/12)*(((1+$C$16/12)^MIN(MAX((A504-$C$13+1)*12,0),$C$17*12)-1)/($C$16/12)),0)))</f>
        <v/>
      </c>
      <c r="Z504" s="138">
        <f>MAX(X504-Y504,0)</f>
        <v/>
      </c>
      <c r="AA504" s="142">
        <f>U504+Z504</f>
        <v/>
      </c>
      <c r="AB504" s="5" t="n"/>
      <c r="AC504" s="5" t="n"/>
      <c r="AD504" s="5" t="n"/>
      <c r="AE504" s="5" t="n"/>
      <c r="AF504" s="5" t="n"/>
      <c r="AG504" s="5" t="n"/>
    </row>
    <row r="505" outlineLevel="1" s="326">
      <c r="A505" s="136" t="n">
        <v>29</v>
      </c>
      <c r="B505" s="72">
        <f>B108</f>
        <v/>
      </c>
      <c r="C505" s="137">
        <f>D108</f>
        <v/>
      </c>
      <c r="D505" s="137">
        <f>I108</f>
        <v/>
      </c>
      <c r="E505" s="137">
        <f>J108</f>
        <v/>
      </c>
      <c r="F505" s="137">
        <f>K108</f>
        <v/>
      </c>
      <c r="G505" s="138">
        <f>IF(AND($L$232&gt;0,A505=$C$13),$L$232*($C$15+$C$18),0)+IF(AND($L$232&gt;0,A505=$C$13),$C$24,0)</f>
        <v/>
      </c>
      <c r="H505" s="138">
        <f>IF(OR($L$232&lt;=0,A505&lt;$C$13),0,IF(AND($L$232&gt;0,$C$17&gt;0,A505&gt;=$C$13,A505&lt;($C$13+$C$17)),IF($C$17&lt;=0,0,IF($C$16=0,MAX($L$232*(1-$C$15),0)/$C$17,-PMT($C$16/12,$C$17*12,MAX($L$232*(1-$C$15),0))*12)),0)+X505*($C$19+$C$20+$C$21)+$C$22+$C$23)</f>
        <v/>
      </c>
      <c r="I505" s="138">
        <f>IF(B505="Working",MIN(MAX(D505-E505-F505-G505-H505,0),'Tax Assumptions'!$B$20),0)</f>
        <v/>
      </c>
      <c r="J505" s="138">
        <f>IF(B505="Working",D505-E505-F505-I505-G505-H505,-L505)</f>
        <v/>
      </c>
      <c r="K505" s="137">
        <f>IF(B505="Retired",$N$232+G505+H505,0)</f>
        <v/>
      </c>
      <c r="L505" s="137">
        <f>M505+N505+O505+P505</f>
        <v/>
      </c>
      <c r="M505" s="137">
        <f>IF(B505="Retired",MIN(((Q504)*(1+$C$10)+IF(B505="Working",J505,0)),K505),0)</f>
        <v/>
      </c>
      <c r="N505" s="137">
        <f>IF(B505="Retired",MIN(MAX(K505-M505,0),((R504)*(1+$C$10)+IF(B505="Working",E108,0))),0)</f>
        <v/>
      </c>
      <c r="O505" s="137">
        <f>IF(B505="Retired",MIN(MAX(K505-M505-N505,0),((S504)*(1+$C$10)+IF(B505="Working",I505,0))),0)</f>
        <v/>
      </c>
      <c r="P505" s="137">
        <f>IF(B505="Retired",MIN(MAX(K505-M505-N505-O505,0),((T504)*(1+$C$10)+IF(B505="Working",F108,0))),0)</f>
        <v/>
      </c>
      <c r="Q505" s="138">
        <f>MAX(((Q504)*(1+$C$10)+IF(B505="Working",J505,0))-M505,0)</f>
        <v/>
      </c>
      <c r="R505" s="138">
        <f>MAX(((R504)*(1+$C$10)+IF(B505="Working",E108,0))-N505,0)</f>
        <v/>
      </c>
      <c r="S505" s="138">
        <f>MAX(((S504)*(1+$C$10)+IF(B505="Working",I505,0))-O505,0)</f>
        <v/>
      </c>
      <c r="T505" s="138">
        <f>MAX(((T504)*(1+$C$10)+IF(B505="Working",F108,0))-P505,0)</f>
        <v/>
      </c>
      <c r="U505" s="138">
        <f>Q505+R505+S505+T505</f>
        <v/>
      </c>
      <c r="V505" s="138">
        <f>IF(B505="Working",MAX(-(((Q504)*(1+$C$10)+IF(B505="Working",J505,0))),0),MAX(K505-L505,0))</f>
        <v/>
      </c>
      <c r="W505" s="138">
        <f>IF(OR(A505&gt;=$C$13,B505="Retired"),IF(V505&gt;0,-V505,U505-'Model Inputs'!$B$18),"")</f>
        <v/>
      </c>
      <c r="X505" s="138">
        <f>IF(AND($L$232&gt;0,A505&gt;=$C$13),$L$232*(1+$C$25)^(A505-$C$13),0)</f>
        <v/>
      </c>
      <c r="Y505" s="138">
        <f>IF(OR($L$232&lt;=0,$C$17&lt;=0,A505&lt;$C$13,MIN(MAX((A505-$C$13+1)*12,0),$C$17*12)&gt;=$C$17*12),0,IF($C$16=0,MAX(MAX($L$232*(1-$C$15),0)-(IF($C$17&lt;=0,0,IF($C$16=0,MAX($L$232*(1-$C$15),0)/$C$17,-PMT($C$16/12,$C$17*12,MAX($L$232*(1-$C$15),0))*12))/12)*MIN(MAX((A505-$C$13+1)*12,0),$C$17*12),0),MAX(MAX($L$232*(1-$C$15),0)*(1+$C$16/12)^MIN(MAX((A505-$C$13+1)*12,0),$C$17*12)-(IF($C$17&lt;=0,0,IF($C$16=0,MAX($L$232*(1-$C$15),0)/$C$17,-PMT($C$16/12,$C$17*12,MAX($L$232*(1-$C$15),0))*12))/12)*(((1+$C$16/12)^MIN(MAX((A505-$C$13+1)*12,0),$C$17*12)-1)/($C$16/12)),0)))</f>
        <v/>
      </c>
      <c r="Z505" s="138">
        <f>MAX(X505-Y505,0)</f>
        <v/>
      </c>
      <c r="AA505" s="139">
        <f>U505+Z505</f>
        <v/>
      </c>
      <c r="AB505" s="5" t="n"/>
      <c r="AC505" s="5" t="n"/>
      <c r="AD505" s="5" t="n"/>
      <c r="AE505" s="5" t="n"/>
      <c r="AF505" s="5" t="n"/>
      <c r="AG505" s="5" t="n"/>
    </row>
    <row r="506" outlineLevel="1" s="326">
      <c r="A506" s="140" t="n">
        <v>30</v>
      </c>
      <c r="B506" s="40">
        <f>B109</f>
        <v/>
      </c>
      <c r="C506" s="141">
        <f>D109</f>
        <v/>
      </c>
      <c r="D506" s="141">
        <f>I109</f>
        <v/>
      </c>
      <c r="E506" s="141">
        <f>J109</f>
        <v/>
      </c>
      <c r="F506" s="141">
        <f>K109</f>
        <v/>
      </c>
      <c r="G506" s="138">
        <f>IF(AND($L$232&gt;0,A506=$C$13),$L$232*($C$15+$C$18),0)+IF(AND($L$232&gt;0,A506=$C$13),$C$24,0)</f>
        <v/>
      </c>
      <c r="H506" s="138">
        <f>IF(OR($L$232&lt;=0,A506&lt;$C$13),0,IF(AND($L$232&gt;0,$C$17&gt;0,A506&gt;=$C$13,A506&lt;($C$13+$C$17)),IF($C$17&lt;=0,0,IF($C$16=0,MAX($L$232*(1-$C$15),0)/$C$17,-PMT($C$16/12,$C$17*12,MAX($L$232*(1-$C$15),0))*12)),0)+X506*($C$19+$C$20+$C$21)+$C$22+$C$23)</f>
        <v/>
      </c>
      <c r="I506" s="138">
        <f>IF(B506="Working",MIN(MAX(D506-E506-F506-G506-H506,0),'Tax Assumptions'!$B$20),0)</f>
        <v/>
      </c>
      <c r="J506" s="138">
        <f>IF(B506="Working",D506-E506-F506-I506-G506-H506,-L506)</f>
        <v/>
      </c>
      <c r="K506" s="141">
        <f>IF(B506="Retired",$N$232+G506+H506,0)</f>
        <v/>
      </c>
      <c r="L506" s="141">
        <f>M506+N506+O506+P506</f>
        <v/>
      </c>
      <c r="M506" s="141">
        <f>IF(B506="Retired",MIN(((Q505)*(1+$C$10)+IF(B506="Working",J506,0)),K506),0)</f>
        <v/>
      </c>
      <c r="N506" s="141">
        <f>IF(B506="Retired",MIN(MAX(K506-M506,0),((R505)*(1+$C$10)+IF(B506="Working",E109,0))),0)</f>
        <v/>
      </c>
      <c r="O506" s="141">
        <f>IF(B506="Retired",MIN(MAX(K506-M506-N506,0),((S505)*(1+$C$10)+IF(B506="Working",I506,0))),0)</f>
        <v/>
      </c>
      <c r="P506" s="141">
        <f>IF(B506="Retired",MIN(MAX(K506-M506-N506-O506,0),((T505)*(1+$C$10)+IF(B506="Working",F109,0))),0)</f>
        <v/>
      </c>
      <c r="Q506" s="138">
        <f>MAX(((Q505)*(1+$C$10)+IF(B506="Working",J506,0))-M506,0)</f>
        <v/>
      </c>
      <c r="R506" s="138">
        <f>MAX(((R505)*(1+$C$10)+IF(B506="Working",E109,0))-N506,0)</f>
        <v/>
      </c>
      <c r="S506" s="138">
        <f>MAX(((S505)*(1+$C$10)+IF(B506="Working",I506,0))-O506,0)</f>
        <v/>
      </c>
      <c r="T506" s="138">
        <f>MAX(((T505)*(1+$C$10)+IF(B506="Working",F109,0))-P506,0)</f>
        <v/>
      </c>
      <c r="U506" s="138">
        <f>Q506+R506+S506+T506</f>
        <v/>
      </c>
      <c r="V506" s="138">
        <f>IF(B506="Working",MAX(-(((Q505)*(1+$C$10)+IF(B506="Working",J506,0))),0),MAX(K506-L506,0))</f>
        <v/>
      </c>
      <c r="W506" s="138">
        <f>IF(OR(A506&gt;=$C$13,B506="Retired"),IF(V506&gt;0,-V506,U506-'Model Inputs'!$B$18),"")</f>
        <v/>
      </c>
      <c r="X506" s="138">
        <f>IF(AND($L$232&gt;0,A506&gt;=$C$13),$L$232*(1+$C$25)^(A506-$C$13),0)</f>
        <v/>
      </c>
      <c r="Y506" s="138">
        <f>IF(OR($L$232&lt;=0,$C$17&lt;=0,A506&lt;$C$13,MIN(MAX((A506-$C$13+1)*12,0),$C$17*12)&gt;=$C$17*12),0,IF($C$16=0,MAX(MAX($L$232*(1-$C$15),0)-(IF($C$17&lt;=0,0,IF($C$16=0,MAX($L$232*(1-$C$15),0)/$C$17,-PMT($C$16/12,$C$17*12,MAX($L$232*(1-$C$15),0))*12))/12)*MIN(MAX((A506-$C$13+1)*12,0),$C$17*12),0),MAX(MAX($L$232*(1-$C$15),0)*(1+$C$16/12)^MIN(MAX((A506-$C$13+1)*12,0),$C$17*12)-(IF($C$17&lt;=0,0,IF($C$16=0,MAX($L$232*(1-$C$15),0)/$C$17,-PMT($C$16/12,$C$17*12,MAX($L$232*(1-$C$15),0))*12))/12)*(((1+$C$16/12)^MIN(MAX((A506-$C$13+1)*12,0),$C$17*12)-1)/($C$16/12)),0)))</f>
        <v/>
      </c>
      <c r="Z506" s="138">
        <f>MAX(X506-Y506,0)</f>
        <v/>
      </c>
      <c r="AA506" s="142">
        <f>U506+Z506</f>
        <v/>
      </c>
      <c r="AB506" s="5" t="n"/>
      <c r="AC506" s="5" t="n"/>
      <c r="AD506" s="5" t="n"/>
      <c r="AE506" s="5" t="n"/>
      <c r="AF506" s="5" t="n"/>
      <c r="AG506" s="5" t="n"/>
    </row>
    <row r="507" outlineLevel="1" s="326">
      <c r="A507" s="136" t="n">
        <v>31</v>
      </c>
      <c r="B507" s="72">
        <f>B110</f>
        <v/>
      </c>
      <c r="C507" s="137">
        <f>D110</f>
        <v/>
      </c>
      <c r="D507" s="137">
        <f>I110</f>
        <v/>
      </c>
      <c r="E507" s="137">
        <f>J110</f>
        <v/>
      </c>
      <c r="F507" s="137">
        <f>K110</f>
        <v/>
      </c>
      <c r="G507" s="138">
        <f>IF(AND($L$232&gt;0,A507=$C$13),$L$232*($C$15+$C$18),0)+IF(AND($L$232&gt;0,A507=$C$13),$C$24,0)</f>
        <v/>
      </c>
      <c r="H507" s="138">
        <f>IF(OR($L$232&lt;=0,A507&lt;$C$13),0,IF(AND($L$232&gt;0,$C$17&gt;0,A507&gt;=$C$13,A507&lt;($C$13+$C$17)),IF($C$17&lt;=0,0,IF($C$16=0,MAX($L$232*(1-$C$15),0)/$C$17,-PMT($C$16/12,$C$17*12,MAX($L$232*(1-$C$15),0))*12)),0)+X507*($C$19+$C$20+$C$21)+$C$22+$C$23)</f>
        <v/>
      </c>
      <c r="I507" s="138">
        <f>IF(B507="Working",MIN(MAX(D507-E507-F507-G507-H507,0),'Tax Assumptions'!$B$20),0)</f>
        <v/>
      </c>
      <c r="J507" s="138">
        <f>IF(B507="Working",D507-E507-F507-I507-G507-H507,-L507)</f>
        <v/>
      </c>
      <c r="K507" s="137">
        <f>IF(B507="Retired",$N$232+G507+H507,0)</f>
        <v/>
      </c>
      <c r="L507" s="137">
        <f>M507+N507+O507+P507</f>
        <v/>
      </c>
      <c r="M507" s="137">
        <f>IF(B507="Retired",MIN(((Q506)*(1+$C$10)+IF(B507="Working",J507,0)),K507),0)</f>
        <v/>
      </c>
      <c r="N507" s="137">
        <f>IF(B507="Retired",MIN(MAX(K507-M507,0),((R506)*(1+$C$10)+IF(B507="Working",E110,0))),0)</f>
        <v/>
      </c>
      <c r="O507" s="137">
        <f>IF(B507="Retired",MIN(MAX(K507-M507-N507,0),((S506)*(1+$C$10)+IF(B507="Working",I507,0))),0)</f>
        <v/>
      </c>
      <c r="P507" s="137">
        <f>IF(B507="Retired",MIN(MAX(K507-M507-N507-O507,0),((T506)*(1+$C$10)+IF(B507="Working",F110,0))),0)</f>
        <v/>
      </c>
      <c r="Q507" s="138">
        <f>MAX(((Q506)*(1+$C$10)+IF(B507="Working",J507,0))-M507,0)</f>
        <v/>
      </c>
      <c r="R507" s="138">
        <f>MAX(((R506)*(1+$C$10)+IF(B507="Working",E110,0))-N507,0)</f>
        <v/>
      </c>
      <c r="S507" s="138">
        <f>MAX(((S506)*(1+$C$10)+IF(B507="Working",I507,0))-O507,0)</f>
        <v/>
      </c>
      <c r="T507" s="138">
        <f>MAX(((T506)*(1+$C$10)+IF(B507="Working",F110,0))-P507,0)</f>
        <v/>
      </c>
      <c r="U507" s="138">
        <f>Q507+R507+S507+T507</f>
        <v/>
      </c>
      <c r="V507" s="138">
        <f>IF(B507="Working",MAX(-(((Q506)*(1+$C$10)+IF(B507="Working",J507,0))),0),MAX(K507-L507,0))</f>
        <v/>
      </c>
      <c r="W507" s="138">
        <f>IF(OR(A507&gt;=$C$13,B507="Retired"),IF(V507&gt;0,-V507,U507-'Model Inputs'!$B$18),"")</f>
        <v/>
      </c>
      <c r="X507" s="138">
        <f>IF(AND($L$232&gt;0,A507&gt;=$C$13),$L$232*(1+$C$25)^(A507-$C$13),0)</f>
        <v/>
      </c>
      <c r="Y507" s="138">
        <f>IF(OR($L$232&lt;=0,$C$17&lt;=0,A507&lt;$C$13,MIN(MAX((A507-$C$13+1)*12,0),$C$17*12)&gt;=$C$17*12),0,IF($C$16=0,MAX(MAX($L$232*(1-$C$15),0)-(IF($C$17&lt;=0,0,IF($C$16=0,MAX($L$232*(1-$C$15),0)/$C$17,-PMT($C$16/12,$C$17*12,MAX($L$232*(1-$C$15),0))*12))/12)*MIN(MAX((A507-$C$13+1)*12,0),$C$17*12),0),MAX(MAX($L$232*(1-$C$15),0)*(1+$C$16/12)^MIN(MAX((A507-$C$13+1)*12,0),$C$17*12)-(IF($C$17&lt;=0,0,IF($C$16=0,MAX($L$232*(1-$C$15),0)/$C$17,-PMT($C$16/12,$C$17*12,MAX($L$232*(1-$C$15),0))*12))/12)*(((1+$C$16/12)^MIN(MAX((A507-$C$13+1)*12,0),$C$17*12)-1)/($C$16/12)),0)))</f>
        <v/>
      </c>
      <c r="Z507" s="138">
        <f>MAX(X507-Y507,0)</f>
        <v/>
      </c>
      <c r="AA507" s="139">
        <f>U507+Z507</f>
        <v/>
      </c>
      <c r="AB507" s="5" t="n"/>
      <c r="AC507" s="5" t="n"/>
      <c r="AD507" s="5" t="n"/>
      <c r="AE507" s="5" t="n"/>
      <c r="AF507" s="5" t="n"/>
      <c r="AG507" s="5" t="n"/>
    </row>
    <row r="508" outlineLevel="1" s="326">
      <c r="A508" s="140" t="n">
        <v>32</v>
      </c>
      <c r="B508" s="40">
        <f>B111</f>
        <v/>
      </c>
      <c r="C508" s="141">
        <f>D111</f>
        <v/>
      </c>
      <c r="D508" s="141">
        <f>I111</f>
        <v/>
      </c>
      <c r="E508" s="141">
        <f>J111</f>
        <v/>
      </c>
      <c r="F508" s="141">
        <f>K111</f>
        <v/>
      </c>
      <c r="G508" s="138">
        <f>IF(AND($L$232&gt;0,A508=$C$13),$L$232*($C$15+$C$18),0)+IF(AND($L$232&gt;0,A508=$C$13),$C$24,0)</f>
        <v/>
      </c>
      <c r="H508" s="138">
        <f>IF(OR($L$232&lt;=0,A508&lt;$C$13),0,IF(AND($L$232&gt;0,$C$17&gt;0,A508&gt;=$C$13,A508&lt;($C$13+$C$17)),IF($C$17&lt;=0,0,IF($C$16=0,MAX($L$232*(1-$C$15),0)/$C$17,-PMT($C$16/12,$C$17*12,MAX($L$232*(1-$C$15),0))*12)),0)+X508*($C$19+$C$20+$C$21)+$C$22+$C$23)</f>
        <v/>
      </c>
      <c r="I508" s="138">
        <f>IF(B508="Working",MIN(MAX(D508-E508-F508-G508-H508,0),'Tax Assumptions'!$B$20),0)</f>
        <v/>
      </c>
      <c r="J508" s="138">
        <f>IF(B508="Working",D508-E508-F508-I508-G508-H508,-L508)</f>
        <v/>
      </c>
      <c r="K508" s="141">
        <f>IF(B508="Retired",$N$232+G508+H508,0)</f>
        <v/>
      </c>
      <c r="L508" s="141">
        <f>M508+N508+O508+P508</f>
        <v/>
      </c>
      <c r="M508" s="141">
        <f>IF(B508="Retired",MIN(((Q507)*(1+$C$10)+IF(B508="Working",J508,0)),K508),0)</f>
        <v/>
      </c>
      <c r="N508" s="141">
        <f>IF(B508="Retired",MIN(MAX(K508-M508,0),((R507)*(1+$C$10)+IF(B508="Working",E111,0))),0)</f>
        <v/>
      </c>
      <c r="O508" s="141">
        <f>IF(B508="Retired",MIN(MAX(K508-M508-N508,0),((S507)*(1+$C$10)+IF(B508="Working",I508,0))),0)</f>
        <v/>
      </c>
      <c r="P508" s="141">
        <f>IF(B508="Retired",MIN(MAX(K508-M508-N508-O508,0),((T507)*(1+$C$10)+IF(B508="Working",F111,0))),0)</f>
        <v/>
      </c>
      <c r="Q508" s="138">
        <f>MAX(((Q507)*(1+$C$10)+IF(B508="Working",J508,0))-M508,0)</f>
        <v/>
      </c>
      <c r="R508" s="138">
        <f>MAX(((R507)*(1+$C$10)+IF(B508="Working",E111,0))-N508,0)</f>
        <v/>
      </c>
      <c r="S508" s="138">
        <f>MAX(((S507)*(1+$C$10)+IF(B508="Working",I508,0))-O508,0)</f>
        <v/>
      </c>
      <c r="T508" s="138">
        <f>MAX(((T507)*(1+$C$10)+IF(B508="Working",F111,0))-P508,0)</f>
        <v/>
      </c>
      <c r="U508" s="138">
        <f>Q508+R508+S508+T508</f>
        <v/>
      </c>
      <c r="V508" s="138">
        <f>IF(B508="Working",MAX(-(((Q507)*(1+$C$10)+IF(B508="Working",J508,0))),0),MAX(K508-L508,0))</f>
        <v/>
      </c>
      <c r="W508" s="138">
        <f>IF(OR(A508&gt;=$C$13,B508="Retired"),IF(V508&gt;0,-V508,U508-'Model Inputs'!$B$18),"")</f>
        <v/>
      </c>
      <c r="X508" s="138">
        <f>IF(AND($L$232&gt;0,A508&gt;=$C$13),$L$232*(1+$C$25)^(A508-$C$13),0)</f>
        <v/>
      </c>
      <c r="Y508" s="138">
        <f>IF(OR($L$232&lt;=0,$C$17&lt;=0,A508&lt;$C$13,MIN(MAX((A508-$C$13+1)*12,0),$C$17*12)&gt;=$C$17*12),0,IF($C$16=0,MAX(MAX($L$232*(1-$C$15),0)-(IF($C$17&lt;=0,0,IF($C$16=0,MAX($L$232*(1-$C$15),0)/$C$17,-PMT($C$16/12,$C$17*12,MAX($L$232*(1-$C$15),0))*12))/12)*MIN(MAX((A508-$C$13+1)*12,0),$C$17*12),0),MAX(MAX($L$232*(1-$C$15),0)*(1+$C$16/12)^MIN(MAX((A508-$C$13+1)*12,0),$C$17*12)-(IF($C$17&lt;=0,0,IF($C$16=0,MAX($L$232*(1-$C$15),0)/$C$17,-PMT($C$16/12,$C$17*12,MAX($L$232*(1-$C$15),0))*12))/12)*(((1+$C$16/12)^MIN(MAX((A508-$C$13+1)*12,0),$C$17*12)-1)/($C$16/12)),0)))</f>
        <v/>
      </c>
      <c r="Z508" s="138">
        <f>MAX(X508-Y508,0)</f>
        <v/>
      </c>
      <c r="AA508" s="142">
        <f>U508+Z508</f>
        <v/>
      </c>
      <c r="AB508" s="5" t="n"/>
      <c r="AC508" s="5" t="n"/>
      <c r="AD508" s="5" t="n"/>
      <c r="AE508" s="5" t="n"/>
      <c r="AF508" s="5" t="n"/>
      <c r="AG508" s="5" t="n"/>
    </row>
    <row r="509" outlineLevel="1" s="326">
      <c r="A509" s="136" t="n">
        <v>33</v>
      </c>
      <c r="B509" s="72">
        <f>B112</f>
        <v/>
      </c>
      <c r="C509" s="137">
        <f>D112</f>
        <v/>
      </c>
      <c r="D509" s="137">
        <f>I112</f>
        <v/>
      </c>
      <c r="E509" s="137">
        <f>J112</f>
        <v/>
      </c>
      <c r="F509" s="137">
        <f>K112</f>
        <v/>
      </c>
      <c r="G509" s="138">
        <f>IF(AND($L$232&gt;0,A509=$C$13),$L$232*($C$15+$C$18),0)+IF(AND($L$232&gt;0,A509=$C$13),$C$24,0)</f>
        <v/>
      </c>
      <c r="H509" s="138">
        <f>IF(OR($L$232&lt;=0,A509&lt;$C$13),0,IF(AND($L$232&gt;0,$C$17&gt;0,A509&gt;=$C$13,A509&lt;($C$13+$C$17)),IF($C$17&lt;=0,0,IF($C$16=0,MAX($L$232*(1-$C$15),0)/$C$17,-PMT($C$16/12,$C$17*12,MAX($L$232*(1-$C$15),0))*12)),0)+X509*($C$19+$C$20+$C$21)+$C$22+$C$23)</f>
        <v/>
      </c>
      <c r="I509" s="138">
        <f>IF(B509="Working",MIN(MAX(D509-E509-F509-G509-H509,0),'Tax Assumptions'!$B$20),0)</f>
        <v/>
      </c>
      <c r="J509" s="138">
        <f>IF(B509="Working",D509-E509-F509-I509-G509-H509,-L509)</f>
        <v/>
      </c>
      <c r="K509" s="137">
        <f>IF(B509="Retired",$N$232+G509+H509,0)</f>
        <v/>
      </c>
      <c r="L509" s="137">
        <f>M509+N509+O509+P509</f>
        <v/>
      </c>
      <c r="M509" s="137">
        <f>IF(B509="Retired",MIN(((Q508)*(1+$C$10)+IF(B509="Working",J509,0)),K509),0)</f>
        <v/>
      </c>
      <c r="N509" s="137">
        <f>IF(B509="Retired",MIN(MAX(K509-M509,0),((R508)*(1+$C$10)+IF(B509="Working",E112,0))),0)</f>
        <v/>
      </c>
      <c r="O509" s="137">
        <f>IF(B509="Retired",MIN(MAX(K509-M509-N509,0),((S508)*(1+$C$10)+IF(B509="Working",I509,0))),0)</f>
        <v/>
      </c>
      <c r="P509" s="137">
        <f>IF(B509="Retired",MIN(MAX(K509-M509-N509-O509,0),((T508)*(1+$C$10)+IF(B509="Working",F112,0))),0)</f>
        <v/>
      </c>
      <c r="Q509" s="138">
        <f>MAX(((Q508)*(1+$C$10)+IF(B509="Working",J509,0))-M509,0)</f>
        <v/>
      </c>
      <c r="R509" s="138">
        <f>MAX(((R508)*(1+$C$10)+IF(B509="Working",E112,0))-N509,0)</f>
        <v/>
      </c>
      <c r="S509" s="138">
        <f>MAX(((S508)*(1+$C$10)+IF(B509="Working",I509,0))-O509,0)</f>
        <v/>
      </c>
      <c r="T509" s="138">
        <f>MAX(((T508)*(1+$C$10)+IF(B509="Working",F112,0))-P509,0)</f>
        <v/>
      </c>
      <c r="U509" s="138">
        <f>Q509+R509+S509+T509</f>
        <v/>
      </c>
      <c r="V509" s="138">
        <f>IF(B509="Working",MAX(-(((Q508)*(1+$C$10)+IF(B509="Working",J509,0))),0),MAX(K509-L509,0))</f>
        <v/>
      </c>
      <c r="W509" s="138">
        <f>IF(OR(A509&gt;=$C$13,B509="Retired"),IF(V509&gt;0,-V509,U509-'Model Inputs'!$B$18),"")</f>
        <v/>
      </c>
      <c r="X509" s="138">
        <f>IF(AND($L$232&gt;0,A509&gt;=$C$13),$L$232*(1+$C$25)^(A509-$C$13),0)</f>
        <v/>
      </c>
      <c r="Y509" s="138">
        <f>IF(OR($L$232&lt;=0,$C$17&lt;=0,A509&lt;$C$13,MIN(MAX((A509-$C$13+1)*12,0),$C$17*12)&gt;=$C$17*12),0,IF($C$16=0,MAX(MAX($L$232*(1-$C$15),0)-(IF($C$17&lt;=0,0,IF($C$16=0,MAX($L$232*(1-$C$15),0)/$C$17,-PMT($C$16/12,$C$17*12,MAX($L$232*(1-$C$15),0))*12))/12)*MIN(MAX((A509-$C$13+1)*12,0),$C$17*12),0),MAX(MAX($L$232*(1-$C$15),0)*(1+$C$16/12)^MIN(MAX((A509-$C$13+1)*12,0),$C$17*12)-(IF($C$17&lt;=0,0,IF($C$16=0,MAX($L$232*(1-$C$15),0)/$C$17,-PMT($C$16/12,$C$17*12,MAX($L$232*(1-$C$15),0))*12))/12)*(((1+$C$16/12)^MIN(MAX((A509-$C$13+1)*12,0),$C$17*12)-1)/($C$16/12)),0)))</f>
        <v/>
      </c>
      <c r="Z509" s="138">
        <f>MAX(X509-Y509,0)</f>
        <v/>
      </c>
      <c r="AA509" s="139">
        <f>U509+Z509</f>
        <v/>
      </c>
      <c r="AB509" s="5" t="n"/>
      <c r="AC509" s="5" t="n"/>
      <c r="AD509" s="5" t="n"/>
      <c r="AE509" s="5" t="n"/>
      <c r="AF509" s="5" t="n"/>
      <c r="AG509" s="5" t="n"/>
    </row>
    <row r="510" outlineLevel="1" s="326">
      <c r="A510" s="140" t="n">
        <v>34</v>
      </c>
      <c r="B510" s="40">
        <f>B113</f>
        <v/>
      </c>
      <c r="C510" s="141">
        <f>D113</f>
        <v/>
      </c>
      <c r="D510" s="141">
        <f>I113</f>
        <v/>
      </c>
      <c r="E510" s="141">
        <f>J113</f>
        <v/>
      </c>
      <c r="F510" s="141">
        <f>K113</f>
        <v/>
      </c>
      <c r="G510" s="138">
        <f>IF(AND($L$232&gt;0,A510=$C$13),$L$232*($C$15+$C$18),0)+IF(AND($L$232&gt;0,A510=$C$13),$C$24,0)</f>
        <v/>
      </c>
      <c r="H510" s="138">
        <f>IF(OR($L$232&lt;=0,A510&lt;$C$13),0,IF(AND($L$232&gt;0,$C$17&gt;0,A510&gt;=$C$13,A510&lt;($C$13+$C$17)),IF($C$17&lt;=0,0,IF($C$16=0,MAX($L$232*(1-$C$15),0)/$C$17,-PMT($C$16/12,$C$17*12,MAX($L$232*(1-$C$15),0))*12)),0)+X510*($C$19+$C$20+$C$21)+$C$22+$C$23)</f>
        <v/>
      </c>
      <c r="I510" s="138">
        <f>IF(B510="Working",MIN(MAX(D510-E510-F510-G510-H510,0),'Tax Assumptions'!$B$20),0)</f>
        <v/>
      </c>
      <c r="J510" s="138">
        <f>IF(B510="Working",D510-E510-F510-I510-G510-H510,-L510)</f>
        <v/>
      </c>
      <c r="K510" s="141">
        <f>IF(B510="Retired",$N$232+G510+H510,0)</f>
        <v/>
      </c>
      <c r="L510" s="141">
        <f>M510+N510+O510+P510</f>
        <v/>
      </c>
      <c r="M510" s="141">
        <f>IF(B510="Retired",MIN(((Q509)*(1+$C$10)+IF(B510="Working",J510,0)),K510),0)</f>
        <v/>
      </c>
      <c r="N510" s="141">
        <f>IF(B510="Retired",MIN(MAX(K510-M510,0),((R509)*(1+$C$10)+IF(B510="Working",E113,0))),0)</f>
        <v/>
      </c>
      <c r="O510" s="141">
        <f>IF(B510="Retired",MIN(MAX(K510-M510-N510,0),((S509)*(1+$C$10)+IF(B510="Working",I510,0))),0)</f>
        <v/>
      </c>
      <c r="P510" s="141">
        <f>IF(B510="Retired",MIN(MAX(K510-M510-N510-O510,0),((T509)*(1+$C$10)+IF(B510="Working",F113,0))),0)</f>
        <v/>
      </c>
      <c r="Q510" s="138">
        <f>MAX(((Q509)*(1+$C$10)+IF(B510="Working",J510,0))-M510,0)</f>
        <v/>
      </c>
      <c r="R510" s="138">
        <f>MAX(((R509)*(1+$C$10)+IF(B510="Working",E113,0))-N510,0)</f>
        <v/>
      </c>
      <c r="S510" s="138">
        <f>MAX(((S509)*(1+$C$10)+IF(B510="Working",I510,0))-O510,0)</f>
        <v/>
      </c>
      <c r="T510" s="138">
        <f>MAX(((T509)*(1+$C$10)+IF(B510="Working",F113,0))-P510,0)</f>
        <v/>
      </c>
      <c r="U510" s="138">
        <f>Q510+R510+S510+T510</f>
        <v/>
      </c>
      <c r="V510" s="138">
        <f>IF(B510="Working",MAX(-(((Q509)*(1+$C$10)+IF(B510="Working",J510,0))),0),MAX(K510-L510,0))</f>
        <v/>
      </c>
      <c r="W510" s="138">
        <f>IF(OR(A510&gt;=$C$13,B510="Retired"),IF(V510&gt;0,-V510,U510-'Model Inputs'!$B$18),"")</f>
        <v/>
      </c>
      <c r="X510" s="138">
        <f>IF(AND($L$232&gt;0,A510&gt;=$C$13),$L$232*(1+$C$25)^(A510-$C$13),0)</f>
        <v/>
      </c>
      <c r="Y510" s="138">
        <f>IF(OR($L$232&lt;=0,$C$17&lt;=0,A510&lt;$C$13,MIN(MAX((A510-$C$13+1)*12,0),$C$17*12)&gt;=$C$17*12),0,IF($C$16=0,MAX(MAX($L$232*(1-$C$15),0)-(IF($C$17&lt;=0,0,IF($C$16=0,MAX($L$232*(1-$C$15),0)/$C$17,-PMT($C$16/12,$C$17*12,MAX($L$232*(1-$C$15),0))*12))/12)*MIN(MAX((A510-$C$13+1)*12,0),$C$17*12),0),MAX(MAX($L$232*(1-$C$15),0)*(1+$C$16/12)^MIN(MAX((A510-$C$13+1)*12,0),$C$17*12)-(IF($C$17&lt;=0,0,IF($C$16=0,MAX($L$232*(1-$C$15),0)/$C$17,-PMT($C$16/12,$C$17*12,MAX($L$232*(1-$C$15),0))*12))/12)*(((1+$C$16/12)^MIN(MAX((A510-$C$13+1)*12,0),$C$17*12)-1)/($C$16/12)),0)))</f>
        <v/>
      </c>
      <c r="Z510" s="138">
        <f>MAX(X510-Y510,0)</f>
        <v/>
      </c>
      <c r="AA510" s="142">
        <f>U510+Z510</f>
        <v/>
      </c>
      <c r="AB510" s="5" t="n"/>
      <c r="AC510" s="5" t="n"/>
      <c r="AD510" s="5" t="n"/>
      <c r="AE510" s="5" t="n"/>
      <c r="AF510" s="5" t="n"/>
      <c r="AG510" s="5" t="n"/>
    </row>
    <row r="511" outlineLevel="1" s="326">
      <c r="A511" s="136" t="n">
        <v>35</v>
      </c>
      <c r="B511" s="72">
        <f>B114</f>
        <v/>
      </c>
      <c r="C511" s="137">
        <f>D114</f>
        <v/>
      </c>
      <c r="D511" s="137">
        <f>I114</f>
        <v/>
      </c>
      <c r="E511" s="137">
        <f>J114</f>
        <v/>
      </c>
      <c r="F511" s="137">
        <f>K114</f>
        <v/>
      </c>
      <c r="G511" s="138">
        <f>IF(AND($L$232&gt;0,A511=$C$13),$L$232*($C$15+$C$18),0)+IF(AND($L$232&gt;0,A511=$C$13),$C$24,0)</f>
        <v/>
      </c>
      <c r="H511" s="138">
        <f>IF(OR($L$232&lt;=0,A511&lt;$C$13),0,IF(AND($L$232&gt;0,$C$17&gt;0,A511&gt;=$C$13,A511&lt;($C$13+$C$17)),IF($C$17&lt;=0,0,IF($C$16=0,MAX($L$232*(1-$C$15),0)/$C$17,-PMT($C$16/12,$C$17*12,MAX($L$232*(1-$C$15),0))*12)),0)+X511*($C$19+$C$20+$C$21)+$C$22+$C$23)</f>
        <v/>
      </c>
      <c r="I511" s="138">
        <f>IF(B511="Working",MIN(MAX(D511-E511-F511-G511-H511,0),'Tax Assumptions'!$B$20),0)</f>
        <v/>
      </c>
      <c r="J511" s="138">
        <f>IF(B511="Working",D511-E511-F511-I511-G511-H511,-L511)</f>
        <v/>
      </c>
      <c r="K511" s="137">
        <f>IF(B511="Retired",$N$232+G511+H511,0)</f>
        <v/>
      </c>
      <c r="L511" s="137">
        <f>M511+N511+O511+P511</f>
        <v/>
      </c>
      <c r="M511" s="137">
        <f>IF(B511="Retired",MIN(((Q510)*(1+$C$10)+IF(B511="Working",J511,0)),K511),0)</f>
        <v/>
      </c>
      <c r="N511" s="137">
        <f>IF(B511="Retired",MIN(MAX(K511-M511,0),((R510)*(1+$C$10)+IF(B511="Working",E114,0))),0)</f>
        <v/>
      </c>
      <c r="O511" s="137">
        <f>IF(B511="Retired",MIN(MAX(K511-M511-N511,0),((S510)*(1+$C$10)+IF(B511="Working",I511,0))),0)</f>
        <v/>
      </c>
      <c r="P511" s="137">
        <f>IF(B511="Retired",MIN(MAX(K511-M511-N511-O511,0),((T510)*(1+$C$10)+IF(B511="Working",F114,0))),0)</f>
        <v/>
      </c>
      <c r="Q511" s="138">
        <f>MAX(((Q510)*(1+$C$10)+IF(B511="Working",J511,0))-M511,0)</f>
        <v/>
      </c>
      <c r="R511" s="138">
        <f>MAX(((R510)*(1+$C$10)+IF(B511="Working",E114,0))-N511,0)</f>
        <v/>
      </c>
      <c r="S511" s="138">
        <f>MAX(((S510)*(1+$C$10)+IF(B511="Working",I511,0))-O511,0)</f>
        <v/>
      </c>
      <c r="T511" s="138">
        <f>MAX(((T510)*(1+$C$10)+IF(B511="Working",F114,0))-P511,0)</f>
        <v/>
      </c>
      <c r="U511" s="138">
        <f>Q511+R511+S511+T511</f>
        <v/>
      </c>
      <c r="V511" s="138">
        <f>IF(B511="Working",MAX(-(((Q510)*(1+$C$10)+IF(B511="Working",J511,0))),0),MAX(K511-L511,0))</f>
        <v/>
      </c>
      <c r="W511" s="138">
        <f>IF(OR(A511&gt;=$C$13,B511="Retired"),IF(V511&gt;0,-V511,U511-'Model Inputs'!$B$18),"")</f>
        <v/>
      </c>
      <c r="X511" s="138">
        <f>IF(AND($L$232&gt;0,A511&gt;=$C$13),$L$232*(1+$C$25)^(A511-$C$13),0)</f>
        <v/>
      </c>
      <c r="Y511" s="138">
        <f>IF(OR($L$232&lt;=0,$C$17&lt;=0,A511&lt;$C$13,MIN(MAX((A511-$C$13+1)*12,0),$C$17*12)&gt;=$C$17*12),0,IF($C$16=0,MAX(MAX($L$232*(1-$C$15),0)-(IF($C$17&lt;=0,0,IF($C$16=0,MAX($L$232*(1-$C$15),0)/$C$17,-PMT($C$16/12,$C$17*12,MAX($L$232*(1-$C$15),0))*12))/12)*MIN(MAX((A511-$C$13+1)*12,0),$C$17*12),0),MAX(MAX($L$232*(1-$C$15),0)*(1+$C$16/12)^MIN(MAX((A511-$C$13+1)*12,0),$C$17*12)-(IF($C$17&lt;=0,0,IF($C$16=0,MAX($L$232*(1-$C$15),0)/$C$17,-PMT($C$16/12,$C$17*12,MAX($L$232*(1-$C$15),0))*12))/12)*(((1+$C$16/12)^MIN(MAX((A511-$C$13+1)*12,0),$C$17*12)-1)/($C$16/12)),0)))</f>
        <v/>
      </c>
      <c r="Z511" s="138">
        <f>MAX(X511-Y511,0)</f>
        <v/>
      </c>
      <c r="AA511" s="139">
        <f>U511+Z511</f>
        <v/>
      </c>
      <c r="AB511" s="5" t="n"/>
      <c r="AC511" s="5" t="n"/>
      <c r="AD511" s="5" t="n"/>
      <c r="AE511" s="5" t="n"/>
      <c r="AF511" s="5" t="n"/>
      <c r="AG511" s="5" t="n"/>
    </row>
    <row r="512" outlineLevel="1" s="326">
      <c r="A512" s="140" t="n">
        <v>36</v>
      </c>
      <c r="B512" s="40">
        <f>B115</f>
        <v/>
      </c>
      <c r="C512" s="141">
        <f>D115</f>
        <v/>
      </c>
      <c r="D512" s="141">
        <f>I115</f>
        <v/>
      </c>
      <c r="E512" s="141">
        <f>J115</f>
        <v/>
      </c>
      <c r="F512" s="141">
        <f>K115</f>
        <v/>
      </c>
      <c r="G512" s="138">
        <f>IF(AND($L$232&gt;0,A512=$C$13),$L$232*($C$15+$C$18),0)+IF(AND($L$232&gt;0,A512=$C$13),$C$24,0)</f>
        <v/>
      </c>
      <c r="H512" s="138">
        <f>IF(OR($L$232&lt;=0,A512&lt;$C$13),0,IF(AND($L$232&gt;0,$C$17&gt;0,A512&gt;=$C$13,A512&lt;($C$13+$C$17)),IF($C$17&lt;=0,0,IF($C$16=0,MAX($L$232*(1-$C$15),0)/$C$17,-PMT($C$16/12,$C$17*12,MAX($L$232*(1-$C$15),0))*12)),0)+X512*($C$19+$C$20+$C$21)+$C$22+$C$23)</f>
        <v/>
      </c>
      <c r="I512" s="138">
        <f>IF(B512="Working",MIN(MAX(D512-E512-F512-G512-H512,0),'Tax Assumptions'!$B$20),0)</f>
        <v/>
      </c>
      <c r="J512" s="138">
        <f>IF(B512="Working",D512-E512-F512-I512-G512-H512,-L512)</f>
        <v/>
      </c>
      <c r="K512" s="141">
        <f>IF(B512="Retired",$N$232+G512+H512,0)</f>
        <v/>
      </c>
      <c r="L512" s="141">
        <f>M512+N512+O512+P512</f>
        <v/>
      </c>
      <c r="M512" s="141">
        <f>IF(B512="Retired",MIN(((Q511)*(1+$C$10)+IF(B512="Working",J512,0)),K512),0)</f>
        <v/>
      </c>
      <c r="N512" s="141">
        <f>IF(B512="Retired",MIN(MAX(K512-M512,0),((R511)*(1+$C$10)+IF(B512="Working",E115,0))),0)</f>
        <v/>
      </c>
      <c r="O512" s="141">
        <f>IF(B512="Retired",MIN(MAX(K512-M512-N512,0),((S511)*(1+$C$10)+IF(B512="Working",I512,0))),0)</f>
        <v/>
      </c>
      <c r="P512" s="141">
        <f>IF(B512="Retired",MIN(MAX(K512-M512-N512-O512,0),((T511)*(1+$C$10)+IF(B512="Working",F115,0))),0)</f>
        <v/>
      </c>
      <c r="Q512" s="138">
        <f>MAX(((Q511)*(1+$C$10)+IF(B512="Working",J512,0))-M512,0)</f>
        <v/>
      </c>
      <c r="R512" s="138">
        <f>MAX(((R511)*(1+$C$10)+IF(B512="Working",E115,0))-N512,0)</f>
        <v/>
      </c>
      <c r="S512" s="138">
        <f>MAX(((S511)*(1+$C$10)+IF(B512="Working",I512,0))-O512,0)</f>
        <v/>
      </c>
      <c r="T512" s="138">
        <f>MAX(((T511)*(1+$C$10)+IF(B512="Working",F115,0))-P512,0)</f>
        <v/>
      </c>
      <c r="U512" s="138">
        <f>Q512+R512+S512+T512</f>
        <v/>
      </c>
      <c r="V512" s="138">
        <f>IF(B512="Working",MAX(-(((Q511)*(1+$C$10)+IF(B512="Working",J512,0))),0),MAX(K512-L512,0))</f>
        <v/>
      </c>
      <c r="W512" s="138">
        <f>IF(OR(A512&gt;=$C$13,B512="Retired"),IF(V512&gt;0,-V512,U512-'Model Inputs'!$B$18),"")</f>
        <v/>
      </c>
      <c r="X512" s="138">
        <f>IF(AND($L$232&gt;0,A512&gt;=$C$13),$L$232*(1+$C$25)^(A512-$C$13),0)</f>
        <v/>
      </c>
      <c r="Y512" s="138">
        <f>IF(OR($L$232&lt;=0,$C$17&lt;=0,A512&lt;$C$13,MIN(MAX((A512-$C$13+1)*12,0),$C$17*12)&gt;=$C$17*12),0,IF($C$16=0,MAX(MAX($L$232*(1-$C$15),0)-(IF($C$17&lt;=0,0,IF($C$16=0,MAX($L$232*(1-$C$15),0)/$C$17,-PMT($C$16/12,$C$17*12,MAX($L$232*(1-$C$15),0))*12))/12)*MIN(MAX((A512-$C$13+1)*12,0),$C$17*12),0),MAX(MAX($L$232*(1-$C$15),0)*(1+$C$16/12)^MIN(MAX((A512-$C$13+1)*12,0),$C$17*12)-(IF($C$17&lt;=0,0,IF($C$16=0,MAX($L$232*(1-$C$15),0)/$C$17,-PMT($C$16/12,$C$17*12,MAX($L$232*(1-$C$15),0))*12))/12)*(((1+$C$16/12)^MIN(MAX((A512-$C$13+1)*12,0),$C$17*12)-1)/($C$16/12)),0)))</f>
        <v/>
      </c>
      <c r="Z512" s="138">
        <f>MAX(X512-Y512,0)</f>
        <v/>
      </c>
      <c r="AA512" s="142">
        <f>U512+Z512</f>
        <v/>
      </c>
      <c r="AB512" s="5" t="n"/>
      <c r="AC512" s="5" t="n"/>
      <c r="AD512" s="5" t="n"/>
      <c r="AE512" s="5" t="n"/>
      <c r="AF512" s="5" t="n"/>
      <c r="AG512" s="5" t="n"/>
    </row>
    <row r="513" outlineLevel="1" s="326">
      <c r="A513" s="136" t="n">
        <v>37</v>
      </c>
      <c r="B513" s="72">
        <f>B116</f>
        <v/>
      </c>
      <c r="C513" s="137">
        <f>D116</f>
        <v/>
      </c>
      <c r="D513" s="137">
        <f>I116</f>
        <v/>
      </c>
      <c r="E513" s="137">
        <f>J116</f>
        <v/>
      </c>
      <c r="F513" s="137">
        <f>K116</f>
        <v/>
      </c>
      <c r="G513" s="138">
        <f>IF(AND($L$232&gt;0,A513=$C$13),$L$232*($C$15+$C$18),0)+IF(AND($L$232&gt;0,A513=$C$13),$C$24,0)</f>
        <v/>
      </c>
      <c r="H513" s="138">
        <f>IF(OR($L$232&lt;=0,A513&lt;$C$13),0,IF(AND($L$232&gt;0,$C$17&gt;0,A513&gt;=$C$13,A513&lt;($C$13+$C$17)),IF($C$17&lt;=0,0,IF($C$16=0,MAX($L$232*(1-$C$15),0)/$C$17,-PMT($C$16/12,$C$17*12,MAX($L$232*(1-$C$15),0))*12)),0)+X513*($C$19+$C$20+$C$21)+$C$22+$C$23)</f>
        <v/>
      </c>
      <c r="I513" s="138">
        <f>IF(B513="Working",MIN(MAX(D513-E513-F513-G513-H513,0),'Tax Assumptions'!$B$20),0)</f>
        <v/>
      </c>
      <c r="J513" s="138">
        <f>IF(B513="Working",D513-E513-F513-I513-G513-H513,-L513)</f>
        <v/>
      </c>
      <c r="K513" s="137">
        <f>IF(B513="Retired",$N$232+G513+H513,0)</f>
        <v/>
      </c>
      <c r="L513" s="137">
        <f>M513+N513+O513+P513</f>
        <v/>
      </c>
      <c r="M513" s="137">
        <f>IF(B513="Retired",MIN(((Q512)*(1+$C$10)+IF(B513="Working",J513,0)),K513),0)</f>
        <v/>
      </c>
      <c r="N513" s="137">
        <f>IF(B513="Retired",MIN(MAX(K513-M513,0),((R512)*(1+$C$10)+IF(B513="Working",E116,0))),0)</f>
        <v/>
      </c>
      <c r="O513" s="137">
        <f>IF(B513="Retired",MIN(MAX(K513-M513-N513,0),((S512)*(1+$C$10)+IF(B513="Working",I513,0))),0)</f>
        <v/>
      </c>
      <c r="P513" s="137">
        <f>IF(B513="Retired",MIN(MAX(K513-M513-N513-O513,0),((T512)*(1+$C$10)+IF(B513="Working",F116,0))),0)</f>
        <v/>
      </c>
      <c r="Q513" s="138">
        <f>MAX(((Q512)*(1+$C$10)+IF(B513="Working",J513,0))-M513,0)</f>
        <v/>
      </c>
      <c r="R513" s="138">
        <f>MAX(((R512)*(1+$C$10)+IF(B513="Working",E116,0))-N513,0)</f>
        <v/>
      </c>
      <c r="S513" s="138">
        <f>MAX(((S512)*(1+$C$10)+IF(B513="Working",I513,0))-O513,0)</f>
        <v/>
      </c>
      <c r="T513" s="138">
        <f>MAX(((T512)*(1+$C$10)+IF(B513="Working",F116,0))-P513,0)</f>
        <v/>
      </c>
      <c r="U513" s="138">
        <f>Q513+R513+S513+T513</f>
        <v/>
      </c>
      <c r="V513" s="138">
        <f>IF(B513="Working",MAX(-(((Q512)*(1+$C$10)+IF(B513="Working",J513,0))),0),MAX(K513-L513,0))</f>
        <v/>
      </c>
      <c r="W513" s="138">
        <f>IF(OR(A513&gt;=$C$13,B513="Retired"),IF(V513&gt;0,-V513,U513-'Model Inputs'!$B$18),"")</f>
        <v/>
      </c>
      <c r="X513" s="138">
        <f>IF(AND($L$232&gt;0,A513&gt;=$C$13),$L$232*(1+$C$25)^(A513-$C$13),0)</f>
        <v/>
      </c>
      <c r="Y513" s="138">
        <f>IF(OR($L$232&lt;=0,$C$17&lt;=0,A513&lt;$C$13,MIN(MAX((A513-$C$13+1)*12,0),$C$17*12)&gt;=$C$17*12),0,IF($C$16=0,MAX(MAX($L$232*(1-$C$15),0)-(IF($C$17&lt;=0,0,IF($C$16=0,MAX($L$232*(1-$C$15),0)/$C$17,-PMT($C$16/12,$C$17*12,MAX($L$232*(1-$C$15),0))*12))/12)*MIN(MAX((A513-$C$13+1)*12,0),$C$17*12),0),MAX(MAX($L$232*(1-$C$15),0)*(1+$C$16/12)^MIN(MAX((A513-$C$13+1)*12,0),$C$17*12)-(IF($C$17&lt;=0,0,IF($C$16=0,MAX($L$232*(1-$C$15),0)/$C$17,-PMT($C$16/12,$C$17*12,MAX($L$232*(1-$C$15),0))*12))/12)*(((1+$C$16/12)^MIN(MAX((A513-$C$13+1)*12,0),$C$17*12)-1)/($C$16/12)),0)))</f>
        <v/>
      </c>
      <c r="Z513" s="138">
        <f>MAX(X513-Y513,0)</f>
        <v/>
      </c>
      <c r="AA513" s="139">
        <f>U513+Z513</f>
        <v/>
      </c>
      <c r="AB513" s="5" t="n"/>
      <c r="AC513" s="5" t="n"/>
      <c r="AD513" s="5" t="n"/>
      <c r="AE513" s="5" t="n"/>
      <c r="AF513" s="5" t="n"/>
      <c r="AG513" s="5" t="n"/>
    </row>
    <row r="514" outlineLevel="1" s="326">
      <c r="A514" s="140" t="n">
        <v>38</v>
      </c>
      <c r="B514" s="40">
        <f>B117</f>
        <v/>
      </c>
      <c r="C514" s="141">
        <f>D117</f>
        <v/>
      </c>
      <c r="D514" s="141">
        <f>I117</f>
        <v/>
      </c>
      <c r="E514" s="141">
        <f>J117</f>
        <v/>
      </c>
      <c r="F514" s="141">
        <f>K117</f>
        <v/>
      </c>
      <c r="G514" s="138">
        <f>IF(AND($L$232&gt;0,A514=$C$13),$L$232*($C$15+$C$18),0)+IF(AND($L$232&gt;0,A514=$C$13),$C$24,0)</f>
        <v/>
      </c>
      <c r="H514" s="138">
        <f>IF(OR($L$232&lt;=0,A514&lt;$C$13),0,IF(AND($L$232&gt;0,$C$17&gt;0,A514&gt;=$C$13,A514&lt;($C$13+$C$17)),IF($C$17&lt;=0,0,IF($C$16=0,MAX($L$232*(1-$C$15),0)/$C$17,-PMT($C$16/12,$C$17*12,MAX($L$232*(1-$C$15),0))*12)),0)+X514*($C$19+$C$20+$C$21)+$C$22+$C$23)</f>
        <v/>
      </c>
      <c r="I514" s="138">
        <f>IF(B514="Working",MIN(MAX(D514-E514-F514-G514-H514,0),'Tax Assumptions'!$B$20),0)</f>
        <v/>
      </c>
      <c r="J514" s="138">
        <f>IF(B514="Working",D514-E514-F514-I514-G514-H514,-L514)</f>
        <v/>
      </c>
      <c r="K514" s="141">
        <f>IF(B514="Retired",$N$232+G514+H514,0)</f>
        <v/>
      </c>
      <c r="L514" s="141">
        <f>M514+N514+O514+P514</f>
        <v/>
      </c>
      <c r="M514" s="141">
        <f>IF(B514="Retired",MIN(((Q513)*(1+$C$10)+IF(B514="Working",J514,0)),K514),0)</f>
        <v/>
      </c>
      <c r="N514" s="141">
        <f>IF(B514="Retired",MIN(MAX(K514-M514,0),((R513)*(1+$C$10)+IF(B514="Working",E117,0))),0)</f>
        <v/>
      </c>
      <c r="O514" s="141">
        <f>IF(B514="Retired",MIN(MAX(K514-M514-N514,0),((S513)*(1+$C$10)+IF(B514="Working",I514,0))),0)</f>
        <v/>
      </c>
      <c r="P514" s="141">
        <f>IF(B514="Retired",MIN(MAX(K514-M514-N514-O514,0),((T513)*(1+$C$10)+IF(B514="Working",F117,0))),0)</f>
        <v/>
      </c>
      <c r="Q514" s="138">
        <f>MAX(((Q513)*(1+$C$10)+IF(B514="Working",J514,0))-M514,0)</f>
        <v/>
      </c>
      <c r="R514" s="138">
        <f>MAX(((R513)*(1+$C$10)+IF(B514="Working",E117,0))-N514,0)</f>
        <v/>
      </c>
      <c r="S514" s="138">
        <f>MAX(((S513)*(1+$C$10)+IF(B514="Working",I514,0))-O514,0)</f>
        <v/>
      </c>
      <c r="T514" s="138">
        <f>MAX(((T513)*(1+$C$10)+IF(B514="Working",F117,0))-P514,0)</f>
        <v/>
      </c>
      <c r="U514" s="138">
        <f>Q514+R514+S514+T514</f>
        <v/>
      </c>
      <c r="V514" s="138">
        <f>IF(B514="Working",MAX(-(((Q513)*(1+$C$10)+IF(B514="Working",J514,0))),0),MAX(K514-L514,0))</f>
        <v/>
      </c>
      <c r="W514" s="138">
        <f>IF(OR(A514&gt;=$C$13,B514="Retired"),IF(V514&gt;0,-V514,U514-'Model Inputs'!$B$18),"")</f>
        <v/>
      </c>
      <c r="X514" s="138">
        <f>IF(AND($L$232&gt;0,A514&gt;=$C$13),$L$232*(1+$C$25)^(A514-$C$13),0)</f>
        <v/>
      </c>
      <c r="Y514" s="138">
        <f>IF(OR($L$232&lt;=0,$C$17&lt;=0,A514&lt;$C$13,MIN(MAX((A514-$C$13+1)*12,0),$C$17*12)&gt;=$C$17*12),0,IF($C$16=0,MAX(MAX($L$232*(1-$C$15),0)-(IF($C$17&lt;=0,0,IF($C$16=0,MAX($L$232*(1-$C$15),0)/$C$17,-PMT($C$16/12,$C$17*12,MAX($L$232*(1-$C$15),0))*12))/12)*MIN(MAX((A514-$C$13+1)*12,0),$C$17*12),0),MAX(MAX($L$232*(1-$C$15),0)*(1+$C$16/12)^MIN(MAX((A514-$C$13+1)*12,0),$C$17*12)-(IF($C$17&lt;=0,0,IF($C$16=0,MAX($L$232*(1-$C$15),0)/$C$17,-PMT($C$16/12,$C$17*12,MAX($L$232*(1-$C$15),0))*12))/12)*(((1+$C$16/12)^MIN(MAX((A514-$C$13+1)*12,0),$C$17*12)-1)/($C$16/12)),0)))</f>
        <v/>
      </c>
      <c r="Z514" s="138">
        <f>MAX(X514-Y514,0)</f>
        <v/>
      </c>
      <c r="AA514" s="142">
        <f>U514+Z514</f>
        <v/>
      </c>
      <c r="AB514" s="5" t="n"/>
      <c r="AC514" s="5" t="n"/>
      <c r="AD514" s="5" t="n"/>
      <c r="AE514" s="5" t="n"/>
      <c r="AF514" s="5" t="n"/>
      <c r="AG514" s="5" t="n"/>
    </row>
    <row r="515" outlineLevel="1" s="326">
      <c r="A515" s="136" t="n">
        <v>39</v>
      </c>
      <c r="B515" s="72">
        <f>B118</f>
        <v/>
      </c>
      <c r="C515" s="137">
        <f>D118</f>
        <v/>
      </c>
      <c r="D515" s="137">
        <f>I118</f>
        <v/>
      </c>
      <c r="E515" s="137">
        <f>J118</f>
        <v/>
      </c>
      <c r="F515" s="137">
        <f>K118</f>
        <v/>
      </c>
      <c r="G515" s="138">
        <f>IF(AND($L$232&gt;0,A515=$C$13),$L$232*($C$15+$C$18),0)+IF(AND($L$232&gt;0,A515=$C$13),$C$24,0)</f>
        <v/>
      </c>
      <c r="H515" s="138">
        <f>IF(OR($L$232&lt;=0,A515&lt;$C$13),0,IF(AND($L$232&gt;0,$C$17&gt;0,A515&gt;=$C$13,A515&lt;($C$13+$C$17)),IF($C$17&lt;=0,0,IF($C$16=0,MAX($L$232*(1-$C$15),0)/$C$17,-PMT($C$16/12,$C$17*12,MAX($L$232*(1-$C$15),0))*12)),0)+X515*($C$19+$C$20+$C$21)+$C$22+$C$23)</f>
        <v/>
      </c>
      <c r="I515" s="138">
        <f>IF(B515="Working",MIN(MAX(D515-E515-F515-G515-H515,0),'Tax Assumptions'!$B$20),0)</f>
        <v/>
      </c>
      <c r="J515" s="138">
        <f>IF(B515="Working",D515-E515-F515-I515-G515-H515,-L515)</f>
        <v/>
      </c>
      <c r="K515" s="137">
        <f>IF(B515="Retired",$N$232+G515+H515,0)</f>
        <v/>
      </c>
      <c r="L515" s="137">
        <f>M515+N515+O515+P515</f>
        <v/>
      </c>
      <c r="M515" s="137">
        <f>IF(B515="Retired",MIN(((Q514)*(1+$C$10)+IF(B515="Working",J515,0)),K515),0)</f>
        <v/>
      </c>
      <c r="N515" s="137">
        <f>IF(B515="Retired",MIN(MAX(K515-M515,0),((R514)*(1+$C$10)+IF(B515="Working",E118,0))),0)</f>
        <v/>
      </c>
      <c r="O515" s="137">
        <f>IF(B515="Retired",MIN(MAX(K515-M515-N515,0),((S514)*(1+$C$10)+IF(B515="Working",I515,0))),0)</f>
        <v/>
      </c>
      <c r="P515" s="137">
        <f>IF(B515="Retired",MIN(MAX(K515-M515-N515-O515,0),((T514)*(1+$C$10)+IF(B515="Working",F118,0))),0)</f>
        <v/>
      </c>
      <c r="Q515" s="138">
        <f>MAX(((Q514)*(1+$C$10)+IF(B515="Working",J515,0))-M515,0)</f>
        <v/>
      </c>
      <c r="R515" s="138">
        <f>MAX(((R514)*(1+$C$10)+IF(B515="Working",E118,0))-N515,0)</f>
        <v/>
      </c>
      <c r="S515" s="138">
        <f>MAX(((S514)*(1+$C$10)+IF(B515="Working",I515,0))-O515,0)</f>
        <v/>
      </c>
      <c r="T515" s="138">
        <f>MAX(((T514)*(1+$C$10)+IF(B515="Working",F118,0))-P515,0)</f>
        <v/>
      </c>
      <c r="U515" s="138">
        <f>Q515+R515+S515+T515</f>
        <v/>
      </c>
      <c r="V515" s="138">
        <f>IF(B515="Working",MAX(-(((Q514)*(1+$C$10)+IF(B515="Working",J515,0))),0),MAX(K515-L515,0))</f>
        <v/>
      </c>
      <c r="W515" s="138">
        <f>IF(OR(A515&gt;=$C$13,B515="Retired"),IF(V515&gt;0,-V515,U515-'Model Inputs'!$B$18),"")</f>
        <v/>
      </c>
      <c r="X515" s="138">
        <f>IF(AND($L$232&gt;0,A515&gt;=$C$13),$L$232*(1+$C$25)^(A515-$C$13),0)</f>
        <v/>
      </c>
      <c r="Y515" s="138">
        <f>IF(OR($L$232&lt;=0,$C$17&lt;=0,A515&lt;$C$13,MIN(MAX((A515-$C$13+1)*12,0),$C$17*12)&gt;=$C$17*12),0,IF($C$16=0,MAX(MAX($L$232*(1-$C$15),0)-(IF($C$17&lt;=0,0,IF($C$16=0,MAX($L$232*(1-$C$15),0)/$C$17,-PMT($C$16/12,$C$17*12,MAX($L$232*(1-$C$15),0))*12))/12)*MIN(MAX((A515-$C$13+1)*12,0),$C$17*12),0),MAX(MAX($L$232*(1-$C$15),0)*(1+$C$16/12)^MIN(MAX((A515-$C$13+1)*12,0),$C$17*12)-(IF($C$17&lt;=0,0,IF($C$16=0,MAX($L$232*(1-$C$15),0)/$C$17,-PMT($C$16/12,$C$17*12,MAX($L$232*(1-$C$15),0))*12))/12)*(((1+$C$16/12)^MIN(MAX((A515-$C$13+1)*12,0),$C$17*12)-1)/($C$16/12)),0)))</f>
        <v/>
      </c>
      <c r="Z515" s="138">
        <f>MAX(X515-Y515,0)</f>
        <v/>
      </c>
      <c r="AA515" s="139">
        <f>U515+Z515</f>
        <v/>
      </c>
      <c r="AB515" s="5" t="n"/>
      <c r="AC515" s="5" t="n"/>
      <c r="AD515" s="5" t="n"/>
      <c r="AE515" s="5" t="n"/>
      <c r="AF515" s="5" t="n"/>
      <c r="AG515" s="5" t="n"/>
    </row>
    <row r="516" outlineLevel="1" s="326">
      <c r="A516" s="140" t="n">
        <v>40</v>
      </c>
      <c r="B516" s="40">
        <f>B119</f>
        <v/>
      </c>
      <c r="C516" s="141">
        <f>D119</f>
        <v/>
      </c>
      <c r="D516" s="141">
        <f>I119</f>
        <v/>
      </c>
      <c r="E516" s="141">
        <f>J119</f>
        <v/>
      </c>
      <c r="F516" s="141">
        <f>K119</f>
        <v/>
      </c>
      <c r="G516" s="138">
        <f>IF(AND($L$232&gt;0,A516=$C$13),$L$232*($C$15+$C$18),0)+IF(AND($L$232&gt;0,A516=$C$13),$C$24,0)</f>
        <v/>
      </c>
      <c r="H516" s="138">
        <f>IF(OR($L$232&lt;=0,A516&lt;$C$13),0,IF(AND($L$232&gt;0,$C$17&gt;0,A516&gt;=$C$13,A516&lt;($C$13+$C$17)),IF($C$17&lt;=0,0,IF($C$16=0,MAX($L$232*(1-$C$15),0)/$C$17,-PMT($C$16/12,$C$17*12,MAX($L$232*(1-$C$15),0))*12)),0)+X516*($C$19+$C$20+$C$21)+$C$22+$C$23)</f>
        <v/>
      </c>
      <c r="I516" s="138">
        <f>IF(B516="Working",MIN(MAX(D516-E516-F516-G516-H516,0),'Tax Assumptions'!$B$20),0)</f>
        <v/>
      </c>
      <c r="J516" s="138">
        <f>IF(B516="Working",D516-E516-F516-I516-G516-H516,-L516)</f>
        <v/>
      </c>
      <c r="K516" s="141">
        <f>IF(B516="Retired",$N$232+G516+H516,0)</f>
        <v/>
      </c>
      <c r="L516" s="141">
        <f>M516+N516+O516+P516</f>
        <v/>
      </c>
      <c r="M516" s="141">
        <f>IF(B516="Retired",MIN(((Q515)*(1+$C$10)+IF(B516="Working",J516,0)),K516),0)</f>
        <v/>
      </c>
      <c r="N516" s="141">
        <f>IF(B516="Retired",MIN(MAX(K516-M516,0),((R515)*(1+$C$10)+IF(B516="Working",E119,0))),0)</f>
        <v/>
      </c>
      <c r="O516" s="141">
        <f>IF(B516="Retired",MIN(MAX(K516-M516-N516,0),((S515)*(1+$C$10)+IF(B516="Working",I516,0))),0)</f>
        <v/>
      </c>
      <c r="P516" s="141">
        <f>IF(B516="Retired",MIN(MAX(K516-M516-N516-O516,0),((T515)*(1+$C$10)+IF(B516="Working",F119,0))),0)</f>
        <v/>
      </c>
      <c r="Q516" s="138">
        <f>MAX(((Q515)*(1+$C$10)+IF(B516="Working",J516,0))-M516,0)</f>
        <v/>
      </c>
      <c r="R516" s="138">
        <f>MAX(((R515)*(1+$C$10)+IF(B516="Working",E119,0))-N516,0)</f>
        <v/>
      </c>
      <c r="S516" s="138">
        <f>MAX(((S515)*(1+$C$10)+IF(B516="Working",I516,0))-O516,0)</f>
        <v/>
      </c>
      <c r="T516" s="138">
        <f>MAX(((T515)*(1+$C$10)+IF(B516="Working",F119,0))-P516,0)</f>
        <v/>
      </c>
      <c r="U516" s="138">
        <f>Q516+R516+S516+T516</f>
        <v/>
      </c>
      <c r="V516" s="138">
        <f>IF(B516="Working",MAX(-(((Q515)*(1+$C$10)+IF(B516="Working",J516,0))),0),MAX(K516-L516,0))</f>
        <v/>
      </c>
      <c r="W516" s="138">
        <f>IF(OR(A516&gt;=$C$13,B516="Retired"),IF(V516&gt;0,-V516,U516-'Model Inputs'!$B$18),"")</f>
        <v/>
      </c>
      <c r="X516" s="138">
        <f>IF(AND($L$232&gt;0,A516&gt;=$C$13),$L$232*(1+$C$25)^(A516-$C$13),0)</f>
        <v/>
      </c>
      <c r="Y516" s="138">
        <f>IF(OR($L$232&lt;=0,$C$17&lt;=0,A516&lt;$C$13,MIN(MAX((A516-$C$13+1)*12,0),$C$17*12)&gt;=$C$17*12),0,IF($C$16=0,MAX(MAX($L$232*(1-$C$15),0)-(IF($C$17&lt;=0,0,IF($C$16=0,MAX($L$232*(1-$C$15),0)/$C$17,-PMT($C$16/12,$C$17*12,MAX($L$232*(1-$C$15),0))*12))/12)*MIN(MAX((A516-$C$13+1)*12,0),$C$17*12),0),MAX(MAX($L$232*(1-$C$15),0)*(1+$C$16/12)^MIN(MAX((A516-$C$13+1)*12,0),$C$17*12)-(IF($C$17&lt;=0,0,IF($C$16=0,MAX($L$232*(1-$C$15),0)/$C$17,-PMT($C$16/12,$C$17*12,MAX($L$232*(1-$C$15),0))*12))/12)*(((1+$C$16/12)^MIN(MAX((A516-$C$13+1)*12,0),$C$17*12)-1)/($C$16/12)),0)))</f>
        <v/>
      </c>
      <c r="Z516" s="138">
        <f>MAX(X516-Y516,0)</f>
        <v/>
      </c>
      <c r="AA516" s="142">
        <f>U516+Z516</f>
        <v/>
      </c>
      <c r="AB516" s="5" t="n"/>
      <c r="AC516" s="5" t="n"/>
      <c r="AD516" s="5" t="n"/>
      <c r="AE516" s="5" t="n"/>
      <c r="AF516" s="5" t="n"/>
      <c r="AG516" s="5" t="n"/>
    </row>
    <row r="517" outlineLevel="1" s="326">
      <c r="A517" s="143" t="inlineStr">
        <is>
          <t>Case Summary</t>
        </is>
      </c>
      <c r="B517" s="144" t="n"/>
      <c r="C517" s="144" t="n"/>
      <c r="D517" s="144" t="n"/>
      <c r="E517" s="144" t="n"/>
      <c r="F517" s="144" t="n"/>
      <c r="G517" s="145">
        <f>SUM(G477:G516)</f>
        <v/>
      </c>
      <c r="H517" s="145">
        <f>SUM(H477:H516)</f>
        <v/>
      </c>
      <c r="I517" s="145">
        <f>SUM(I477:I516)</f>
        <v/>
      </c>
      <c r="J517" s="145">
        <f>SUM(J477:J516)</f>
        <v/>
      </c>
      <c r="K517" s="145">
        <f>SUM(K477:K516)</f>
        <v/>
      </c>
      <c r="L517" s="145">
        <f>SUM(L477:L516)</f>
        <v/>
      </c>
      <c r="M517" s="145">
        <f>SUM(M477:M516)</f>
        <v/>
      </c>
      <c r="N517" s="145">
        <f>SUM(N477:N516)</f>
        <v/>
      </c>
      <c r="O517" s="145">
        <f>SUM(O477:O516)</f>
        <v/>
      </c>
      <c r="P517" s="145">
        <f>SUM(P477:P516)</f>
        <v/>
      </c>
      <c r="Q517" s="145">
        <f>Q516</f>
        <v/>
      </c>
      <c r="R517" s="145">
        <f>R516</f>
        <v/>
      </c>
      <c r="S517" s="145">
        <f>S516</f>
        <v/>
      </c>
      <c r="T517" s="145">
        <f>T516</f>
        <v/>
      </c>
      <c r="U517" s="145">
        <f>U516</f>
        <v/>
      </c>
      <c r="V517" s="145">
        <f>SUM(V477:V516)</f>
        <v/>
      </c>
      <c r="W517" s="145">
        <f>MIN(W477:W516)</f>
        <v/>
      </c>
      <c r="X517" s="145">
        <f>X516</f>
        <v/>
      </c>
      <c r="Y517" s="145">
        <f>Y516</f>
        <v/>
      </c>
      <c r="Z517" s="145">
        <f>Z516</f>
        <v/>
      </c>
      <c r="AA517" s="146">
        <f>AA516</f>
        <v/>
      </c>
      <c r="AB517" s="5" t="n"/>
      <c r="AC517" s="5" t="n"/>
      <c r="AD517" s="5" t="n"/>
      <c r="AE517" s="5" t="n"/>
      <c r="AF517" s="5" t="n"/>
      <c r="AG517" s="5" t="n"/>
    </row>
    <row r="518" outlineLevel="1" s="326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</row>
    <row r="519" outlineLevel="1" s="326">
      <c r="A519" s="387">
        <f>J233&amp;" | House "&amp;TEXT($L$233,"$#,##0")&amp;" | Spend "&amp;TEXT($N$233,"$#,##0")</f>
        <v/>
      </c>
      <c r="B519" s="345" t="n"/>
      <c r="C519" s="345" t="n"/>
      <c r="D519" s="345" t="n"/>
      <c r="E519" s="345" t="n"/>
      <c r="F519" s="345" t="n"/>
      <c r="G519" s="345" t="n"/>
      <c r="H519" s="345" t="n"/>
      <c r="I519" s="345" t="n"/>
      <c r="J519" s="345" t="n"/>
      <c r="K519" s="345" t="n"/>
      <c r="L519" s="345" t="n"/>
      <c r="M519" s="345" t="n"/>
      <c r="N519" s="345" t="n"/>
      <c r="O519" s="345" t="n"/>
      <c r="P519" s="345" t="n"/>
      <c r="Q519" s="345" t="n"/>
      <c r="R519" s="345" t="n"/>
      <c r="S519" s="345" t="n"/>
      <c r="T519" s="345" t="n"/>
      <c r="U519" s="345" t="n"/>
      <c r="V519" s="345" t="n"/>
      <c r="W519" s="345" t="n"/>
      <c r="X519" s="345" t="n"/>
      <c r="Y519" s="345" t="n"/>
      <c r="Z519" s="345" t="n"/>
      <c r="AA519" s="346" t="n"/>
      <c r="AB519" s="5" t="n"/>
      <c r="AC519" s="5" t="n"/>
      <c r="AD519" s="5" t="n"/>
      <c r="AE519" s="5" t="n"/>
      <c r="AF519" s="5" t="n"/>
      <c r="AG519" s="5" t="n"/>
    </row>
    <row r="520" outlineLevel="1" ht="34" customHeight="1" s="326">
      <c r="A520" s="134" t="inlineStr">
        <is>
          <t>Year</t>
        </is>
      </c>
      <c r="B520" s="83" t="inlineStr">
        <is>
          <t>Phase</t>
        </is>
      </c>
      <c r="C520" s="83" t="inlineStr">
        <is>
          <t>Gross</t>
        </is>
      </c>
      <c r="D520" s="83" t="inlineStr">
        <is>
          <t>Post-Tax Cash</t>
        </is>
      </c>
      <c r="E520" s="83" t="inlineStr">
        <is>
          <t>Rent</t>
        </is>
      </c>
      <c r="F520" s="83" t="inlineStr">
        <is>
          <t>Living</t>
        </is>
      </c>
      <c r="G520" s="83" t="inlineStr">
        <is>
          <t>House Cash</t>
        </is>
      </c>
      <c r="H520" s="83" t="inlineStr">
        <is>
          <t>Housing Carry</t>
        </is>
      </c>
      <c r="I520" s="83" t="inlineStr">
        <is>
          <t>Roth</t>
        </is>
      </c>
      <c r="J520" s="83" t="inlineStr">
        <is>
          <t>Taxable Sav / (Draw)</t>
        </is>
      </c>
      <c r="K520" s="83" t="inlineStr">
        <is>
          <t>Planned Need</t>
        </is>
      </c>
      <c r="L520" s="83" t="inlineStr">
        <is>
          <t>Actual W/D</t>
        </is>
      </c>
      <c r="M520" s="83" t="inlineStr">
        <is>
          <t>Taxable Draw</t>
        </is>
      </c>
      <c r="N520" s="83" t="inlineStr">
        <is>
          <t>401(k) Draw</t>
        </is>
      </c>
      <c r="O520" s="83" t="inlineStr">
        <is>
          <t>Roth Draw</t>
        </is>
      </c>
      <c r="P520" s="83" t="inlineStr">
        <is>
          <t>HSA Draw</t>
        </is>
      </c>
      <c r="Q520" s="83" t="inlineStr">
        <is>
          <t>Taxable Bal</t>
        </is>
      </c>
      <c r="R520" s="83" t="inlineStr">
        <is>
          <t>401(k) Bal</t>
        </is>
      </c>
      <c r="S520" s="83" t="inlineStr">
        <is>
          <t>Roth Bal</t>
        </is>
      </c>
      <c r="T520" s="83" t="inlineStr">
        <is>
          <t>HSA Bal</t>
        </is>
      </c>
      <c r="U520" s="83" t="inlineStr">
        <is>
          <t>Liquid Wealth</t>
        </is>
      </c>
      <c r="V520" s="83" t="inlineStr">
        <is>
          <t>Funding Gap</t>
        </is>
      </c>
      <c r="W520" s="83" t="inlineStr">
        <is>
          <t>Margin vs Reserve</t>
        </is>
      </c>
      <c r="X520" s="83" t="inlineStr">
        <is>
          <t>House Value</t>
        </is>
      </c>
      <c r="Y520" s="83" t="inlineStr">
        <is>
          <t>Mortgage Balance</t>
        </is>
      </c>
      <c r="Z520" s="83" t="inlineStr">
        <is>
          <t>Home Equity</t>
        </is>
      </c>
      <c r="AA520" s="135" t="inlineStr">
        <is>
          <t>Net Worth</t>
        </is>
      </c>
      <c r="AB520" s="5" t="n"/>
      <c r="AC520" s="5" t="n"/>
      <c r="AD520" s="5" t="n"/>
      <c r="AE520" s="5" t="n"/>
      <c r="AF520" s="5" t="n"/>
      <c r="AG520" s="5" t="n"/>
    </row>
    <row r="521" outlineLevel="1" s="326">
      <c r="A521" s="136" t="n">
        <v>1</v>
      </c>
      <c r="B521" s="72">
        <f>B80</f>
        <v/>
      </c>
      <c r="C521" s="137">
        <f>D80</f>
        <v/>
      </c>
      <c r="D521" s="137">
        <f>I80</f>
        <v/>
      </c>
      <c r="E521" s="137">
        <f>J80</f>
        <v/>
      </c>
      <c r="F521" s="137">
        <f>K80</f>
        <v/>
      </c>
      <c r="G521" s="138">
        <f>IF(AND($L$233&gt;0,A521=$C$13),$L$233*($C$15+$C$18),0)+IF(AND($L$233&gt;0,A521=$C$13),$C$24,0)</f>
        <v/>
      </c>
      <c r="H521" s="138">
        <f>IF(OR($L$233&lt;=0,A521&lt;$C$13),0,IF(AND($L$233&gt;0,$C$17&gt;0,A521&gt;=$C$13,A521&lt;($C$13+$C$17)),IF($C$17&lt;=0,0,IF($C$16=0,MAX($L$233*(1-$C$15),0)/$C$17,-PMT($C$16/12,$C$17*12,MAX($L$233*(1-$C$15),0))*12)),0)+X521*($C$19+$C$20+$C$21)+$C$22+$C$23)</f>
        <v/>
      </c>
      <c r="I521" s="138">
        <f>IF(B521="Working",MIN(MAX(D521-E521-F521-G521-H521,0),'Tax Assumptions'!$B$20),0)</f>
        <v/>
      </c>
      <c r="J521" s="138">
        <f>IF(B521="Working",D521-E521-F521-I521-G521-H521,-L521)</f>
        <v/>
      </c>
      <c r="K521" s="137">
        <f>IF(B521="Retired",$N$233+G521+H521,0)</f>
        <v/>
      </c>
      <c r="L521" s="137">
        <f>M521+N521+O521+P521</f>
        <v/>
      </c>
      <c r="M521" s="137">
        <f>IF(B521="Retired",MIN((('Savings Projection'!$B$7)*(1+$C$10)+IF(B521="Working",J521,0)),K521),0)</f>
        <v/>
      </c>
      <c r="N521" s="137">
        <f>IF(B521="Retired",MIN(MAX(K521-M521,0),(('Savings Projection'!$B$8)*(1+$C$10)+IF(B521="Working",E80,0))),0)</f>
        <v/>
      </c>
      <c r="O521" s="137">
        <f>IF(B521="Retired",MIN(MAX(K521-M521-N521,0),(('Savings Projection'!$B$9)*(1+$C$10)+IF(B521="Working",I521,0))),0)</f>
        <v/>
      </c>
      <c r="P521" s="137">
        <f>IF(B521="Retired",MIN(MAX(K521-M521-N521-O521,0),(('Savings Projection'!$B$10)*(1+$C$10)+IF(B521="Working",F80,0))),0)</f>
        <v/>
      </c>
      <c r="Q521" s="138">
        <f>MAX((('Savings Projection'!$B$7)*(1+$C$10)+IF(B521="Working",J521,0))-M521,0)</f>
        <v/>
      </c>
      <c r="R521" s="138">
        <f>MAX((('Savings Projection'!$B$8)*(1+$C$10)+IF(B521="Working",E80,0))-N521,0)</f>
        <v/>
      </c>
      <c r="S521" s="138">
        <f>MAX((('Savings Projection'!$B$9)*(1+$C$10)+IF(B521="Working",I521,0))-O521,0)</f>
        <v/>
      </c>
      <c r="T521" s="138">
        <f>MAX((('Savings Projection'!$B$10)*(1+$C$10)+IF(B521="Working",F80,0))-P521,0)</f>
        <v/>
      </c>
      <c r="U521" s="138">
        <f>Q521+R521+S521+T521</f>
        <v/>
      </c>
      <c r="V521" s="138">
        <f>IF(B521="Working",MAX(-((('Savings Projection'!$B$7)*(1+$C$10)+IF(B521="Working",J521,0))),0),MAX(K521-L521,0))</f>
        <v/>
      </c>
      <c r="W521" s="138">
        <f>IF(OR(A521&gt;=$C$13,B521="Retired"),IF(V521&gt;0,-V521,U521-'Model Inputs'!$B$18),"")</f>
        <v/>
      </c>
      <c r="X521" s="138">
        <f>IF(AND($L$233&gt;0,A521&gt;=$C$13),$L$233*(1+$C$25)^(A521-$C$13),0)</f>
        <v/>
      </c>
      <c r="Y521" s="138">
        <f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/>
      </c>
      <c r="Z521" s="138">
        <f>MAX(X521-Y521,0)</f>
        <v/>
      </c>
      <c r="AA521" s="139">
        <f>U521+Z521</f>
        <v/>
      </c>
      <c r="AB521" s="5" t="n"/>
      <c r="AC521" s="5" t="n"/>
      <c r="AD521" s="5" t="n"/>
      <c r="AE521" s="5" t="n"/>
      <c r="AF521" s="5" t="n"/>
      <c r="AG521" s="5" t="n"/>
    </row>
    <row r="522" outlineLevel="1" s="326">
      <c r="A522" s="140" t="n">
        <v>2</v>
      </c>
      <c r="B522" s="40">
        <f>B81</f>
        <v/>
      </c>
      <c r="C522" s="141">
        <f>D81</f>
        <v/>
      </c>
      <c r="D522" s="141">
        <f>I81</f>
        <v/>
      </c>
      <c r="E522" s="141">
        <f>J81</f>
        <v/>
      </c>
      <c r="F522" s="141">
        <f>K81</f>
        <v/>
      </c>
      <c r="G522" s="138">
        <f>IF(AND($L$233&gt;0,A522=$C$13),$L$233*($C$15+$C$18),0)+IF(AND($L$233&gt;0,A522=$C$13),$C$24,0)</f>
        <v/>
      </c>
      <c r="H522" s="138">
        <f>IF(OR($L$233&lt;=0,A522&lt;$C$13),0,IF(AND($L$233&gt;0,$C$17&gt;0,A522&gt;=$C$13,A522&lt;($C$13+$C$17)),IF($C$17&lt;=0,0,IF($C$16=0,MAX($L$233*(1-$C$15),0)/$C$17,-PMT($C$16/12,$C$17*12,MAX($L$233*(1-$C$15),0))*12)),0)+X522*($C$19+$C$20+$C$21)+$C$22+$C$23)</f>
        <v/>
      </c>
      <c r="I522" s="138">
        <f>IF(B522="Working",MIN(MAX(D522-E522-F522-G522-H522,0),'Tax Assumptions'!$B$20),0)</f>
        <v/>
      </c>
      <c r="J522" s="138">
        <f>IF(B522="Working",D522-E522-F522-I522-G522-H522,-L522)</f>
        <v/>
      </c>
      <c r="K522" s="141">
        <f>IF(B522="Retired",$N$233+G522+H522,0)</f>
        <v/>
      </c>
      <c r="L522" s="141">
        <f>M522+N522+O522+P522</f>
        <v/>
      </c>
      <c r="M522" s="141">
        <f>IF(B522="Retired",MIN(((Q521)*(1+$C$10)+IF(B522="Working",J522,0)),K522),0)</f>
        <v/>
      </c>
      <c r="N522" s="141">
        <f>IF(B522="Retired",MIN(MAX(K522-M522,0),((R521)*(1+$C$10)+IF(B522="Working",E81,0))),0)</f>
        <v/>
      </c>
      <c r="O522" s="141">
        <f>IF(B522="Retired",MIN(MAX(K522-M522-N522,0),((S521)*(1+$C$10)+IF(B522="Working",I522,0))),0)</f>
        <v/>
      </c>
      <c r="P522" s="141">
        <f>IF(B522="Retired",MIN(MAX(K522-M522-N522-O522,0),((T521)*(1+$C$10)+IF(B522="Working",F81,0))),0)</f>
        <v/>
      </c>
      <c r="Q522" s="138">
        <f>MAX(((Q521)*(1+$C$10)+IF(B522="Working",J522,0))-M522,0)</f>
        <v/>
      </c>
      <c r="R522" s="138">
        <f>MAX(((R521)*(1+$C$10)+IF(B522="Working",E81,0))-N522,0)</f>
        <v/>
      </c>
      <c r="S522" s="138">
        <f>MAX(((S521)*(1+$C$10)+IF(B522="Working",I522,0))-O522,0)</f>
        <v/>
      </c>
      <c r="T522" s="138">
        <f>MAX(((T521)*(1+$C$10)+IF(B522="Working",F81,0))-P522,0)</f>
        <v/>
      </c>
      <c r="U522" s="138">
        <f>Q522+R522+S522+T522</f>
        <v/>
      </c>
      <c r="V522" s="138">
        <f>IF(B522="Working",MAX(-(((Q521)*(1+$C$10)+IF(B522="Working",J522,0))),0),MAX(K522-L522,0))</f>
        <v/>
      </c>
      <c r="W522" s="138">
        <f>IF(OR(A522&gt;=$C$13,B522="Retired"),IF(V522&gt;0,-V522,U522-'Model Inputs'!$B$18),"")</f>
        <v/>
      </c>
      <c r="X522" s="138">
        <f>IF(AND($L$233&gt;0,A522&gt;=$C$13),$L$233*(1+$C$25)^(A522-$C$13),0)</f>
        <v/>
      </c>
      <c r="Y522" s="138">
        <f>IF(OR($L$233&lt;=0,$C$17&lt;=0,A522&lt;$C$13,MIN(MAX((A522-$C$13+1)*12,0),$C$17*12)&gt;=$C$17*12),0,IF($C$16=0,MAX(MAX($L$233*(1-$C$15),0)-(IF($C$17&lt;=0,0,IF($C$16=0,MAX($L$233*(1-$C$15),0)/$C$17,-PMT($C$16/12,$C$17*12,MAX($L$233*(1-$C$15),0))*12))/12)*MIN(MAX((A522-$C$13+1)*12,0),$C$17*12),0),MAX(MAX($L$233*(1-$C$15),0)*(1+$C$16/12)^MIN(MAX((A522-$C$13+1)*12,0),$C$17*12)-(IF($C$17&lt;=0,0,IF($C$16=0,MAX($L$233*(1-$C$15),0)/$C$17,-PMT($C$16/12,$C$17*12,MAX($L$233*(1-$C$15),0))*12))/12)*(((1+$C$16/12)^MIN(MAX((A522-$C$13+1)*12,0),$C$17*12)-1)/($C$16/12)),0)))</f>
        <v/>
      </c>
      <c r="Z522" s="138">
        <f>MAX(X522-Y522,0)</f>
        <v/>
      </c>
      <c r="AA522" s="142">
        <f>U522+Z522</f>
        <v/>
      </c>
      <c r="AB522" s="5" t="n"/>
      <c r="AC522" s="5" t="n"/>
      <c r="AD522" s="5" t="n"/>
      <c r="AE522" s="5" t="n"/>
      <c r="AF522" s="5" t="n"/>
      <c r="AG522" s="5" t="n"/>
    </row>
    <row r="523" outlineLevel="1" s="326">
      <c r="A523" s="136" t="n">
        <v>3</v>
      </c>
      <c r="B523" s="72">
        <f>B82</f>
        <v/>
      </c>
      <c r="C523" s="137">
        <f>D82</f>
        <v/>
      </c>
      <c r="D523" s="137">
        <f>I82</f>
        <v/>
      </c>
      <c r="E523" s="137">
        <f>J82</f>
        <v/>
      </c>
      <c r="F523" s="137">
        <f>K82</f>
        <v/>
      </c>
      <c r="G523" s="138">
        <f>IF(AND($L$233&gt;0,A523=$C$13),$L$233*($C$15+$C$18),0)+IF(AND($L$233&gt;0,A523=$C$13),$C$24,0)</f>
        <v/>
      </c>
      <c r="H523" s="138">
        <f>IF(OR($L$233&lt;=0,A523&lt;$C$13),0,IF(AND($L$233&gt;0,$C$17&gt;0,A523&gt;=$C$13,A523&lt;($C$13+$C$17)),IF($C$17&lt;=0,0,IF($C$16=0,MAX($L$233*(1-$C$15),0)/$C$17,-PMT($C$16/12,$C$17*12,MAX($L$233*(1-$C$15),0))*12)),0)+X523*($C$19+$C$20+$C$21)+$C$22+$C$23)</f>
        <v/>
      </c>
      <c r="I523" s="138">
        <f>IF(B523="Working",MIN(MAX(D523-E523-F523-G523-H523,0),'Tax Assumptions'!$B$20),0)</f>
        <v/>
      </c>
      <c r="J523" s="138">
        <f>IF(B523="Working",D523-E523-F523-I523-G523-H523,-L523)</f>
        <v/>
      </c>
      <c r="K523" s="137">
        <f>IF(B523="Retired",$N$233+G523+H523,0)</f>
        <v/>
      </c>
      <c r="L523" s="137">
        <f>M523+N523+O523+P523</f>
        <v/>
      </c>
      <c r="M523" s="137">
        <f>IF(B523="Retired",MIN(((Q522)*(1+$C$10)+IF(B523="Working",J523,0)),K523),0)</f>
        <v/>
      </c>
      <c r="N523" s="137">
        <f>IF(B523="Retired",MIN(MAX(K523-M523,0),((R522)*(1+$C$10)+IF(B523="Working",E82,0))),0)</f>
        <v/>
      </c>
      <c r="O523" s="137">
        <f>IF(B523="Retired",MIN(MAX(K523-M523-N523,0),((S522)*(1+$C$10)+IF(B523="Working",I523,0))),0)</f>
        <v/>
      </c>
      <c r="P523" s="137">
        <f>IF(B523="Retired",MIN(MAX(K523-M523-N523-O523,0),((T522)*(1+$C$10)+IF(B523="Working",F82,0))),0)</f>
        <v/>
      </c>
      <c r="Q523" s="138">
        <f>MAX(((Q522)*(1+$C$10)+IF(B523="Working",J523,0))-M523,0)</f>
        <v/>
      </c>
      <c r="R523" s="138">
        <f>MAX(((R522)*(1+$C$10)+IF(B523="Working",E82,0))-N523,0)</f>
        <v/>
      </c>
      <c r="S523" s="138">
        <f>MAX(((S522)*(1+$C$10)+IF(B523="Working",I523,0))-O523,0)</f>
        <v/>
      </c>
      <c r="T523" s="138">
        <f>MAX(((T522)*(1+$C$10)+IF(B523="Working",F82,0))-P523,0)</f>
        <v/>
      </c>
      <c r="U523" s="138">
        <f>Q523+R523+S523+T523</f>
        <v/>
      </c>
      <c r="V523" s="138">
        <f>IF(B523="Working",MAX(-(((Q522)*(1+$C$10)+IF(B523="Working",J523,0))),0),MAX(K523-L523,0))</f>
        <v/>
      </c>
      <c r="W523" s="138">
        <f>IF(OR(A523&gt;=$C$13,B523="Retired"),IF(V523&gt;0,-V523,U523-'Model Inputs'!$B$18),"")</f>
        <v/>
      </c>
      <c r="X523" s="138">
        <f>IF(AND($L$233&gt;0,A523&gt;=$C$13),$L$233*(1+$C$25)^(A523-$C$13),0)</f>
        <v/>
      </c>
      <c r="Y523" s="138">
        <f>IF(OR($L$233&lt;=0,$C$17&lt;=0,A523&lt;$C$13,MIN(MAX((A523-$C$13+1)*12,0),$C$17*12)&gt;=$C$17*12),0,IF($C$16=0,MAX(MAX($L$233*(1-$C$15),0)-(IF($C$17&lt;=0,0,IF($C$16=0,MAX($L$233*(1-$C$15),0)/$C$17,-PMT($C$16/12,$C$17*12,MAX($L$233*(1-$C$15),0))*12))/12)*MIN(MAX((A523-$C$13+1)*12,0),$C$17*12),0),MAX(MAX($L$233*(1-$C$15),0)*(1+$C$16/12)^MIN(MAX((A523-$C$13+1)*12,0),$C$17*12)-(IF($C$17&lt;=0,0,IF($C$16=0,MAX($L$233*(1-$C$15),0)/$C$17,-PMT($C$16/12,$C$17*12,MAX($L$233*(1-$C$15),0))*12))/12)*(((1+$C$16/12)^MIN(MAX((A523-$C$13+1)*12,0),$C$17*12)-1)/($C$16/12)),0)))</f>
        <v/>
      </c>
      <c r="Z523" s="138">
        <f>MAX(X523-Y523,0)</f>
        <v/>
      </c>
      <c r="AA523" s="139">
        <f>U523+Z523</f>
        <v/>
      </c>
      <c r="AB523" s="5" t="n"/>
      <c r="AC523" s="5" t="n"/>
      <c r="AD523" s="5" t="n"/>
      <c r="AE523" s="5" t="n"/>
      <c r="AF523" s="5" t="n"/>
      <c r="AG523" s="5" t="n"/>
    </row>
    <row r="524" outlineLevel="1" s="326">
      <c r="A524" s="140" t="n">
        <v>4</v>
      </c>
      <c r="B524" s="40">
        <f>B83</f>
        <v/>
      </c>
      <c r="C524" s="141">
        <f>D83</f>
        <v/>
      </c>
      <c r="D524" s="141">
        <f>I83</f>
        <v/>
      </c>
      <c r="E524" s="141">
        <f>J83</f>
        <v/>
      </c>
      <c r="F524" s="141">
        <f>K83</f>
        <v/>
      </c>
      <c r="G524" s="138">
        <f>IF(AND($L$233&gt;0,A524=$C$13),$L$233*($C$15+$C$18),0)+IF(AND($L$233&gt;0,A524=$C$13),$C$24,0)</f>
        <v/>
      </c>
      <c r="H524" s="138">
        <f>IF(OR($L$233&lt;=0,A524&lt;$C$13),0,IF(AND($L$233&gt;0,$C$17&gt;0,A524&gt;=$C$13,A524&lt;($C$13+$C$17)),IF($C$17&lt;=0,0,IF($C$16=0,MAX($L$233*(1-$C$15),0)/$C$17,-PMT($C$16/12,$C$17*12,MAX($L$233*(1-$C$15),0))*12)),0)+X524*($C$19+$C$20+$C$21)+$C$22+$C$23)</f>
        <v/>
      </c>
      <c r="I524" s="138">
        <f>IF(B524="Working",MIN(MAX(D524-E524-F524-G524-H524,0),'Tax Assumptions'!$B$20),0)</f>
        <v/>
      </c>
      <c r="J524" s="138">
        <f>IF(B524="Working",D524-E524-F524-I524-G524-H524,-L524)</f>
        <v/>
      </c>
      <c r="K524" s="141">
        <f>IF(B524="Retired",$N$233+G524+H524,0)</f>
        <v/>
      </c>
      <c r="L524" s="141">
        <f>M524+N524+O524+P524</f>
        <v/>
      </c>
      <c r="M524" s="141">
        <f>IF(B524="Retired",MIN(((Q523)*(1+$C$10)+IF(B524="Working",J524,0)),K524),0)</f>
        <v/>
      </c>
      <c r="N524" s="141">
        <f>IF(B524="Retired",MIN(MAX(K524-M524,0),((R523)*(1+$C$10)+IF(B524="Working",E83,0))),0)</f>
        <v/>
      </c>
      <c r="O524" s="141">
        <f>IF(B524="Retired",MIN(MAX(K524-M524-N524,0),((S523)*(1+$C$10)+IF(B524="Working",I524,0))),0)</f>
        <v/>
      </c>
      <c r="P524" s="141">
        <f>IF(B524="Retired",MIN(MAX(K524-M524-N524-O524,0),((T523)*(1+$C$10)+IF(B524="Working",F83,0))),0)</f>
        <v/>
      </c>
      <c r="Q524" s="138">
        <f>MAX(((Q523)*(1+$C$10)+IF(B524="Working",J524,0))-M524,0)</f>
        <v/>
      </c>
      <c r="R524" s="138">
        <f>MAX(((R523)*(1+$C$10)+IF(B524="Working",E83,0))-N524,0)</f>
        <v/>
      </c>
      <c r="S524" s="138">
        <f>MAX(((S523)*(1+$C$10)+IF(B524="Working",I524,0))-O524,0)</f>
        <v/>
      </c>
      <c r="T524" s="138">
        <f>MAX(((T523)*(1+$C$10)+IF(B524="Working",F83,0))-P524,0)</f>
        <v/>
      </c>
      <c r="U524" s="138">
        <f>Q524+R524+S524+T524</f>
        <v/>
      </c>
      <c r="V524" s="138">
        <f>IF(B524="Working",MAX(-(((Q523)*(1+$C$10)+IF(B524="Working",J524,0))),0),MAX(K524-L524,0))</f>
        <v/>
      </c>
      <c r="W524" s="138">
        <f>IF(OR(A524&gt;=$C$13,B524="Retired"),IF(V524&gt;0,-V524,U524-'Model Inputs'!$B$18),"")</f>
        <v/>
      </c>
      <c r="X524" s="138">
        <f>IF(AND($L$233&gt;0,A524&gt;=$C$13),$L$233*(1+$C$25)^(A524-$C$13),0)</f>
        <v/>
      </c>
      <c r="Y524" s="138">
        <f>IF(OR($L$233&lt;=0,$C$17&lt;=0,A524&lt;$C$13,MIN(MAX((A524-$C$13+1)*12,0),$C$17*12)&gt;=$C$17*12),0,IF($C$16=0,MAX(MAX($L$233*(1-$C$15),0)-(IF($C$17&lt;=0,0,IF($C$16=0,MAX($L$233*(1-$C$15),0)/$C$17,-PMT($C$16/12,$C$17*12,MAX($L$233*(1-$C$15),0))*12))/12)*MIN(MAX((A524-$C$13+1)*12,0),$C$17*12),0),MAX(MAX($L$233*(1-$C$15),0)*(1+$C$16/12)^MIN(MAX((A524-$C$13+1)*12,0),$C$17*12)-(IF($C$17&lt;=0,0,IF($C$16=0,MAX($L$233*(1-$C$15),0)/$C$17,-PMT($C$16/12,$C$17*12,MAX($L$233*(1-$C$15),0))*12))/12)*(((1+$C$16/12)^MIN(MAX((A524-$C$13+1)*12,0),$C$17*12)-1)/($C$16/12)),0)))</f>
        <v/>
      </c>
      <c r="Z524" s="138">
        <f>MAX(X524-Y524,0)</f>
        <v/>
      </c>
      <c r="AA524" s="142">
        <f>U524+Z524</f>
        <v/>
      </c>
      <c r="AB524" s="5" t="n"/>
      <c r="AC524" s="5" t="n"/>
      <c r="AD524" s="5" t="n"/>
      <c r="AE524" s="5" t="n"/>
      <c r="AF524" s="5" t="n"/>
      <c r="AG524" s="5" t="n"/>
    </row>
    <row r="525" outlineLevel="1" s="326">
      <c r="A525" s="136" t="n">
        <v>5</v>
      </c>
      <c r="B525" s="72">
        <f>B84</f>
        <v/>
      </c>
      <c r="C525" s="137">
        <f>D84</f>
        <v/>
      </c>
      <c r="D525" s="137">
        <f>I84</f>
        <v/>
      </c>
      <c r="E525" s="137">
        <f>J84</f>
        <v/>
      </c>
      <c r="F525" s="137">
        <f>K84</f>
        <v/>
      </c>
      <c r="G525" s="138">
        <f>IF(AND($L$233&gt;0,A525=$C$13),$L$233*($C$15+$C$18),0)+IF(AND($L$233&gt;0,A525=$C$13),$C$24,0)</f>
        <v/>
      </c>
      <c r="H525" s="138">
        <f>IF(OR($L$233&lt;=0,A525&lt;$C$13),0,IF(AND($L$233&gt;0,$C$17&gt;0,A525&gt;=$C$13,A525&lt;($C$13+$C$17)),IF($C$17&lt;=0,0,IF($C$16=0,MAX($L$233*(1-$C$15),0)/$C$17,-PMT($C$16/12,$C$17*12,MAX($L$233*(1-$C$15),0))*12)),0)+X525*($C$19+$C$20+$C$21)+$C$22+$C$23)</f>
        <v/>
      </c>
      <c r="I525" s="138">
        <f>IF(B525="Working",MIN(MAX(D525-E525-F525-G525-H525,0),'Tax Assumptions'!$B$20),0)</f>
        <v/>
      </c>
      <c r="J525" s="138">
        <f>IF(B525="Working",D525-E525-F525-I525-G525-H525,-L525)</f>
        <v/>
      </c>
      <c r="K525" s="137">
        <f>IF(B525="Retired",$N$233+G525+H525,0)</f>
        <v/>
      </c>
      <c r="L525" s="137">
        <f>M525+N525+O525+P525</f>
        <v/>
      </c>
      <c r="M525" s="137">
        <f>IF(B525="Retired",MIN(((Q524)*(1+$C$10)+IF(B525="Working",J525,0)),K525),0)</f>
        <v/>
      </c>
      <c r="N525" s="137">
        <f>IF(B525="Retired",MIN(MAX(K525-M525,0),((R524)*(1+$C$10)+IF(B525="Working",E84,0))),0)</f>
        <v/>
      </c>
      <c r="O525" s="137">
        <f>IF(B525="Retired",MIN(MAX(K525-M525-N525,0),((S524)*(1+$C$10)+IF(B525="Working",I525,0))),0)</f>
        <v/>
      </c>
      <c r="P525" s="137">
        <f>IF(B525="Retired",MIN(MAX(K525-M525-N525-O525,0),((T524)*(1+$C$10)+IF(B525="Working",F84,0))),0)</f>
        <v/>
      </c>
      <c r="Q525" s="138">
        <f>MAX(((Q524)*(1+$C$10)+IF(B525="Working",J525,0))-M525,0)</f>
        <v/>
      </c>
      <c r="R525" s="138">
        <f>MAX(((R524)*(1+$C$10)+IF(B525="Working",E84,0))-N525,0)</f>
        <v/>
      </c>
      <c r="S525" s="138">
        <f>MAX(((S524)*(1+$C$10)+IF(B525="Working",I525,0))-O525,0)</f>
        <v/>
      </c>
      <c r="T525" s="138">
        <f>MAX(((T524)*(1+$C$10)+IF(B525="Working",F84,0))-P525,0)</f>
        <v/>
      </c>
      <c r="U525" s="138">
        <f>Q525+R525+S525+T525</f>
        <v/>
      </c>
      <c r="V525" s="138">
        <f>IF(B525="Working",MAX(-(((Q524)*(1+$C$10)+IF(B525="Working",J525,0))),0),MAX(K525-L525,0))</f>
        <v/>
      </c>
      <c r="W525" s="138">
        <f>IF(OR(A525&gt;=$C$13,B525="Retired"),IF(V525&gt;0,-V525,U525-'Model Inputs'!$B$18),"")</f>
        <v/>
      </c>
      <c r="X525" s="138">
        <f>IF(AND($L$233&gt;0,A525&gt;=$C$13),$L$233*(1+$C$25)^(A525-$C$13),0)</f>
        <v/>
      </c>
      <c r="Y525" s="138">
        <f>IF(OR($L$233&lt;=0,$C$17&lt;=0,A525&lt;$C$13,MIN(MAX((A525-$C$13+1)*12,0),$C$17*12)&gt;=$C$17*12),0,IF($C$16=0,MAX(MAX($L$233*(1-$C$15),0)-(IF($C$17&lt;=0,0,IF($C$16=0,MAX($L$233*(1-$C$15),0)/$C$17,-PMT($C$16/12,$C$17*12,MAX($L$233*(1-$C$15),0))*12))/12)*MIN(MAX((A525-$C$13+1)*12,0),$C$17*12),0),MAX(MAX($L$233*(1-$C$15),0)*(1+$C$16/12)^MIN(MAX((A525-$C$13+1)*12,0),$C$17*12)-(IF($C$17&lt;=0,0,IF($C$16=0,MAX($L$233*(1-$C$15),0)/$C$17,-PMT($C$16/12,$C$17*12,MAX($L$233*(1-$C$15),0))*12))/12)*(((1+$C$16/12)^MIN(MAX((A525-$C$13+1)*12,0),$C$17*12)-1)/($C$16/12)),0)))</f>
        <v/>
      </c>
      <c r="Z525" s="138">
        <f>MAX(X525-Y525,0)</f>
        <v/>
      </c>
      <c r="AA525" s="139">
        <f>U525+Z525</f>
        <v/>
      </c>
      <c r="AB525" s="5" t="n"/>
      <c r="AC525" s="5" t="n"/>
      <c r="AD525" s="5" t="n"/>
      <c r="AE525" s="5" t="n"/>
      <c r="AF525" s="5" t="n"/>
      <c r="AG525" s="5" t="n"/>
    </row>
    <row r="526" outlineLevel="1" s="326">
      <c r="A526" s="140" t="n">
        <v>6</v>
      </c>
      <c r="B526" s="40">
        <f>B85</f>
        <v/>
      </c>
      <c r="C526" s="141">
        <f>D85</f>
        <v/>
      </c>
      <c r="D526" s="141">
        <f>I85</f>
        <v/>
      </c>
      <c r="E526" s="141">
        <f>J85</f>
        <v/>
      </c>
      <c r="F526" s="141">
        <f>K85</f>
        <v/>
      </c>
      <c r="G526" s="138">
        <f>IF(AND($L$233&gt;0,A526=$C$13),$L$233*($C$15+$C$18),0)+IF(AND($L$233&gt;0,A526=$C$13),$C$24,0)</f>
        <v/>
      </c>
      <c r="H526" s="138">
        <f>IF(OR($L$233&lt;=0,A526&lt;$C$13),0,IF(AND($L$233&gt;0,$C$17&gt;0,A526&gt;=$C$13,A526&lt;($C$13+$C$17)),IF($C$17&lt;=0,0,IF($C$16=0,MAX($L$233*(1-$C$15),0)/$C$17,-PMT($C$16/12,$C$17*12,MAX($L$233*(1-$C$15),0))*12)),0)+X526*($C$19+$C$20+$C$21)+$C$22+$C$23)</f>
        <v/>
      </c>
      <c r="I526" s="138">
        <f>IF(B526="Working",MIN(MAX(D526-E526-F526-G526-H526,0),'Tax Assumptions'!$B$20),0)</f>
        <v/>
      </c>
      <c r="J526" s="138">
        <f>IF(B526="Working",D526-E526-F526-I526-G526-H526,-L526)</f>
        <v/>
      </c>
      <c r="K526" s="141">
        <f>IF(B526="Retired",$N$233+G526+H526,0)</f>
        <v/>
      </c>
      <c r="L526" s="141">
        <f>M526+N526+O526+P526</f>
        <v/>
      </c>
      <c r="M526" s="141">
        <f>IF(B526="Retired",MIN(((Q525)*(1+$C$10)+IF(B526="Working",J526,0)),K526),0)</f>
        <v/>
      </c>
      <c r="N526" s="141">
        <f>IF(B526="Retired",MIN(MAX(K526-M526,0),((R525)*(1+$C$10)+IF(B526="Working",E85,0))),0)</f>
        <v/>
      </c>
      <c r="O526" s="141">
        <f>IF(B526="Retired",MIN(MAX(K526-M526-N526,0),((S525)*(1+$C$10)+IF(B526="Working",I526,0))),0)</f>
        <v/>
      </c>
      <c r="P526" s="141">
        <f>IF(B526="Retired",MIN(MAX(K526-M526-N526-O526,0),((T525)*(1+$C$10)+IF(B526="Working",F85,0))),0)</f>
        <v/>
      </c>
      <c r="Q526" s="138">
        <f>MAX(((Q525)*(1+$C$10)+IF(B526="Working",J526,0))-M526,0)</f>
        <v/>
      </c>
      <c r="R526" s="138">
        <f>MAX(((R525)*(1+$C$10)+IF(B526="Working",E85,0))-N526,0)</f>
        <v/>
      </c>
      <c r="S526" s="138">
        <f>MAX(((S525)*(1+$C$10)+IF(B526="Working",I526,0))-O526,0)</f>
        <v/>
      </c>
      <c r="T526" s="138">
        <f>MAX(((T525)*(1+$C$10)+IF(B526="Working",F85,0))-P526,0)</f>
        <v/>
      </c>
      <c r="U526" s="138">
        <f>Q526+R526+S526+T526</f>
        <v/>
      </c>
      <c r="V526" s="138">
        <f>IF(B526="Working",MAX(-(((Q525)*(1+$C$10)+IF(B526="Working",J526,0))),0),MAX(K526-L526,0))</f>
        <v/>
      </c>
      <c r="W526" s="138">
        <f>IF(OR(A526&gt;=$C$13,B526="Retired"),IF(V526&gt;0,-V526,U526-'Model Inputs'!$B$18),"")</f>
        <v/>
      </c>
      <c r="X526" s="138">
        <f>IF(AND($L$233&gt;0,A526&gt;=$C$13),$L$233*(1+$C$25)^(A526-$C$13),0)</f>
        <v/>
      </c>
      <c r="Y526" s="138">
        <f>IF(OR($L$233&lt;=0,$C$17&lt;=0,A526&lt;$C$13,MIN(MAX((A526-$C$13+1)*12,0),$C$17*12)&gt;=$C$17*12),0,IF($C$16=0,MAX(MAX($L$233*(1-$C$15),0)-(IF($C$17&lt;=0,0,IF($C$16=0,MAX($L$233*(1-$C$15),0)/$C$17,-PMT($C$16/12,$C$17*12,MAX($L$233*(1-$C$15),0))*12))/12)*MIN(MAX((A526-$C$13+1)*12,0),$C$17*12),0),MAX(MAX($L$233*(1-$C$15),0)*(1+$C$16/12)^MIN(MAX((A526-$C$13+1)*12,0),$C$17*12)-(IF($C$17&lt;=0,0,IF($C$16=0,MAX($L$233*(1-$C$15),0)/$C$17,-PMT($C$16/12,$C$17*12,MAX($L$233*(1-$C$15),0))*12))/12)*(((1+$C$16/12)^MIN(MAX((A526-$C$13+1)*12,0),$C$17*12)-1)/($C$16/12)),0)))</f>
        <v/>
      </c>
      <c r="Z526" s="138">
        <f>MAX(X526-Y526,0)</f>
        <v/>
      </c>
      <c r="AA526" s="142">
        <f>U526+Z526</f>
        <v/>
      </c>
      <c r="AB526" s="5" t="n"/>
      <c r="AC526" s="5" t="n"/>
      <c r="AD526" s="5" t="n"/>
      <c r="AE526" s="5" t="n"/>
      <c r="AF526" s="5" t="n"/>
      <c r="AG526" s="5" t="n"/>
    </row>
    <row r="527" outlineLevel="1" s="326">
      <c r="A527" s="136" t="n">
        <v>7</v>
      </c>
      <c r="B527" s="72">
        <f>B86</f>
        <v/>
      </c>
      <c r="C527" s="137">
        <f>D86</f>
        <v/>
      </c>
      <c r="D527" s="137">
        <f>I86</f>
        <v/>
      </c>
      <c r="E527" s="137">
        <f>J86</f>
        <v/>
      </c>
      <c r="F527" s="137">
        <f>K86</f>
        <v/>
      </c>
      <c r="G527" s="138">
        <f>IF(AND($L$233&gt;0,A527=$C$13),$L$233*($C$15+$C$18),0)+IF(AND($L$233&gt;0,A527=$C$13),$C$24,0)</f>
        <v/>
      </c>
      <c r="H527" s="138">
        <f>IF(OR($L$233&lt;=0,A527&lt;$C$13),0,IF(AND($L$233&gt;0,$C$17&gt;0,A527&gt;=$C$13,A527&lt;($C$13+$C$17)),IF($C$17&lt;=0,0,IF($C$16=0,MAX($L$233*(1-$C$15),0)/$C$17,-PMT($C$16/12,$C$17*12,MAX($L$233*(1-$C$15),0))*12)),0)+X527*($C$19+$C$20+$C$21)+$C$22+$C$23)</f>
        <v/>
      </c>
      <c r="I527" s="138">
        <f>IF(B527="Working",MIN(MAX(D527-E527-F527-G527-H527,0),'Tax Assumptions'!$B$20),0)</f>
        <v/>
      </c>
      <c r="J527" s="138">
        <f>IF(B527="Working",D527-E527-F527-I527-G527-H527,-L527)</f>
        <v/>
      </c>
      <c r="K527" s="137">
        <f>IF(B527="Retired",$N$233+G527+H527,0)</f>
        <v/>
      </c>
      <c r="L527" s="137">
        <f>M527+N527+O527+P527</f>
        <v/>
      </c>
      <c r="M527" s="137">
        <f>IF(B527="Retired",MIN(((Q526)*(1+$C$10)+IF(B527="Working",J527,0)),K527),0)</f>
        <v/>
      </c>
      <c r="N527" s="137">
        <f>IF(B527="Retired",MIN(MAX(K527-M527,0),((R526)*(1+$C$10)+IF(B527="Working",E86,0))),0)</f>
        <v/>
      </c>
      <c r="O527" s="137">
        <f>IF(B527="Retired",MIN(MAX(K527-M527-N527,0),((S526)*(1+$C$10)+IF(B527="Working",I527,0))),0)</f>
        <v/>
      </c>
      <c r="P527" s="137">
        <f>IF(B527="Retired",MIN(MAX(K527-M527-N527-O527,0),((T526)*(1+$C$10)+IF(B527="Working",F86,0))),0)</f>
        <v/>
      </c>
      <c r="Q527" s="138">
        <f>MAX(((Q526)*(1+$C$10)+IF(B527="Working",J527,0))-M527,0)</f>
        <v/>
      </c>
      <c r="R527" s="138">
        <f>MAX(((R526)*(1+$C$10)+IF(B527="Working",E86,0))-N527,0)</f>
        <v/>
      </c>
      <c r="S527" s="138">
        <f>MAX(((S526)*(1+$C$10)+IF(B527="Working",I527,0))-O527,0)</f>
        <v/>
      </c>
      <c r="T527" s="138">
        <f>MAX(((T526)*(1+$C$10)+IF(B527="Working",F86,0))-P527,0)</f>
        <v/>
      </c>
      <c r="U527" s="138">
        <f>Q527+R527+S527+T527</f>
        <v/>
      </c>
      <c r="V527" s="138">
        <f>IF(B527="Working",MAX(-(((Q526)*(1+$C$10)+IF(B527="Working",J527,0))),0),MAX(K527-L527,0))</f>
        <v/>
      </c>
      <c r="W527" s="138">
        <f>IF(OR(A527&gt;=$C$13,B527="Retired"),IF(V527&gt;0,-V527,U527-'Model Inputs'!$B$18),"")</f>
        <v/>
      </c>
      <c r="X527" s="138">
        <f>IF(AND($L$233&gt;0,A527&gt;=$C$13),$L$233*(1+$C$25)^(A527-$C$13),0)</f>
        <v/>
      </c>
      <c r="Y527" s="138">
        <f>IF(OR($L$233&lt;=0,$C$17&lt;=0,A527&lt;$C$13,MIN(MAX((A527-$C$13+1)*12,0),$C$17*12)&gt;=$C$17*12),0,IF($C$16=0,MAX(MAX($L$233*(1-$C$15),0)-(IF($C$17&lt;=0,0,IF($C$16=0,MAX($L$233*(1-$C$15),0)/$C$17,-PMT($C$16/12,$C$17*12,MAX($L$233*(1-$C$15),0))*12))/12)*MIN(MAX((A527-$C$13+1)*12,0),$C$17*12),0),MAX(MAX($L$233*(1-$C$15),0)*(1+$C$16/12)^MIN(MAX((A527-$C$13+1)*12,0),$C$17*12)-(IF($C$17&lt;=0,0,IF($C$16=0,MAX($L$233*(1-$C$15),0)/$C$17,-PMT($C$16/12,$C$17*12,MAX($L$233*(1-$C$15),0))*12))/12)*(((1+$C$16/12)^MIN(MAX((A527-$C$13+1)*12,0),$C$17*12)-1)/($C$16/12)),0)))</f>
        <v/>
      </c>
      <c r="Z527" s="138">
        <f>MAX(X527-Y527,0)</f>
        <v/>
      </c>
      <c r="AA527" s="139">
        <f>U527+Z527</f>
        <v/>
      </c>
      <c r="AB527" s="5" t="n"/>
      <c r="AC527" s="5" t="n"/>
      <c r="AD527" s="5" t="n"/>
      <c r="AE527" s="5" t="n"/>
      <c r="AF527" s="5" t="n"/>
      <c r="AG527" s="5" t="n"/>
    </row>
    <row r="528" outlineLevel="1" s="326">
      <c r="A528" s="140" t="n">
        <v>8</v>
      </c>
      <c r="B528" s="40">
        <f>B87</f>
        <v/>
      </c>
      <c r="C528" s="141">
        <f>D87</f>
        <v/>
      </c>
      <c r="D528" s="141">
        <f>I87</f>
        <v/>
      </c>
      <c r="E528" s="141">
        <f>J87</f>
        <v/>
      </c>
      <c r="F528" s="141">
        <f>K87</f>
        <v/>
      </c>
      <c r="G528" s="138">
        <f>IF(AND($L$233&gt;0,A528=$C$13),$L$233*($C$15+$C$18),0)+IF(AND($L$233&gt;0,A528=$C$13),$C$24,0)</f>
        <v/>
      </c>
      <c r="H528" s="138">
        <f>IF(OR($L$233&lt;=0,A528&lt;$C$13),0,IF(AND($L$233&gt;0,$C$17&gt;0,A528&gt;=$C$13,A528&lt;($C$13+$C$17)),IF($C$17&lt;=0,0,IF($C$16=0,MAX($L$233*(1-$C$15),0)/$C$17,-PMT($C$16/12,$C$17*12,MAX($L$233*(1-$C$15),0))*12)),0)+X528*($C$19+$C$20+$C$21)+$C$22+$C$23)</f>
        <v/>
      </c>
      <c r="I528" s="138">
        <f>IF(B528="Working",MIN(MAX(D528-E528-F528-G528-H528,0),'Tax Assumptions'!$B$20),0)</f>
        <v/>
      </c>
      <c r="J528" s="138">
        <f>IF(B528="Working",D528-E528-F528-I528-G528-H528,-L528)</f>
        <v/>
      </c>
      <c r="K528" s="141">
        <f>IF(B528="Retired",$N$233+G528+H528,0)</f>
        <v/>
      </c>
      <c r="L528" s="141">
        <f>M528+N528+O528+P528</f>
        <v/>
      </c>
      <c r="M528" s="141">
        <f>IF(B528="Retired",MIN(((Q527)*(1+$C$10)+IF(B528="Working",J528,0)),K528),0)</f>
        <v/>
      </c>
      <c r="N528" s="141">
        <f>IF(B528="Retired",MIN(MAX(K528-M528,0),((R527)*(1+$C$10)+IF(B528="Working",E87,0))),0)</f>
        <v/>
      </c>
      <c r="O528" s="141">
        <f>IF(B528="Retired",MIN(MAX(K528-M528-N528,0),((S527)*(1+$C$10)+IF(B528="Working",I528,0))),0)</f>
        <v/>
      </c>
      <c r="P528" s="141">
        <f>IF(B528="Retired",MIN(MAX(K528-M528-N528-O528,0),((T527)*(1+$C$10)+IF(B528="Working",F87,0))),0)</f>
        <v/>
      </c>
      <c r="Q528" s="138">
        <f>MAX(((Q527)*(1+$C$10)+IF(B528="Working",J528,0))-M528,0)</f>
        <v/>
      </c>
      <c r="R528" s="138">
        <f>MAX(((R527)*(1+$C$10)+IF(B528="Working",E87,0))-N528,0)</f>
        <v/>
      </c>
      <c r="S528" s="138">
        <f>MAX(((S527)*(1+$C$10)+IF(B528="Working",I528,0))-O528,0)</f>
        <v/>
      </c>
      <c r="T528" s="138">
        <f>MAX(((T527)*(1+$C$10)+IF(B528="Working",F87,0))-P528,0)</f>
        <v/>
      </c>
      <c r="U528" s="138">
        <f>Q528+R528+S528+T528</f>
        <v/>
      </c>
      <c r="V528" s="138">
        <f>IF(B528="Working",MAX(-(((Q527)*(1+$C$10)+IF(B528="Working",J528,0))),0),MAX(K528-L528,0))</f>
        <v/>
      </c>
      <c r="W528" s="138">
        <f>IF(OR(A528&gt;=$C$13,B528="Retired"),IF(V528&gt;0,-V528,U528-'Model Inputs'!$B$18),"")</f>
        <v/>
      </c>
      <c r="X528" s="138">
        <f>IF(AND($L$233&gt;0,A528&gt;=$C$13),$L$233*(1+$C$25)^(A528-$C$13),0)</f>
        <v/>
      </c>
      <c r="Y528" s="138">
        <f>IF(OR($L$233&lt;=0,$C$17&lt;=0,A528&lt;$C$13,MIN(MAX((A528-$C$13+1)*12,0),$C$17*12)&gt;=$C$17*12),0,IF($C$16=0,MAX(MAX($L$233*(1-$C$15),0)-(IF($C$17&lt;=0,0,IF($C$16=0,MAX($L$233*(1-$C$15),0)/$C$17,-PMT($C$16/12,$C$17*12,MAX($L$233*(1-$C$15),0))*12))/12)*MIN(MAX((A528-$C$13+1)*12,0),$C$17*12),0),MAX(MAX($L$233*(1-$C$15),0)*(1+$C$16/12)^MIN(MAX((A528-$C$13+1)*12,0),$C$17*12)-(IF($C$17&lt;=0,0,IF($C$16=0,MAX($L$233*(1-$C$15),0)/$C$17,-PMT($C$16/12,$C$17*12,MAX($L$233*(1-$C$15),0))*12))/12)*(((1+$C$16/12)^MIN(MAX((A528-$C$13+1)*12,0),$C$17*12)-1)/($C$16/12)),0)))</f>
        <v/>
      </c>
      <c r="Z528" s="138">
        <f>MAX(X528-Y528,0)</f>
        <v/>
      </c>
      <c r="AA528" s="142">
        <f>U528+Z528</f>
        <v/>
      </c>
      <c r="AB528" s="5" t="n"/>
      <c r="AC528" s="5" t="n"/>
      <c r="AD528" s="5" t="n"/>
      <c r="AE528" s="5" t="n"/>
      <c r="AF528" s="5" t="n"/>
      <c r="AG528" s="5" t="n"/>
    </row>
    <row r="529" outlineLevel="1" s="326">
      <c r="A529" s="136" t="n">
        <v>9</v>
      </c>
      <c r="B529" s="72">
        <f>B88</f>
        <v/>
      </c>
      <c r="C529" s="137">
        <f>D88</f>
        <v/>
      </c>
      <c r="D529" s="137">
        <f>I88</f>
        <v/>
      </c>
      <c r="E529" s="137">
        <f>J88</f>
        <v/>
      </c>
      <c r="F529" s="137">
        <f>K88</f>
        <v/>
      </c>
      <c r="G529" s="138">
        <f>IF(AND($L$233&gt;0,A529=$C$13),$L$233*($C$15+$C$18),0)+IF(AND($L$233&gt;0,A529=$C$13),$C$24,0)</f>
        <v/>
      </c>
      <c r="H529" s="138">
        <f>IF(OR($L$233&lt;=0,A529&lt;$C$13),0,IF(AND($L$233&gt;0,$C$17&gt;0,A529&gt;=$C$13,A529&lt;($C$13+$C$17)),IF($C$17&lt;=0,0,IF($C$16=0,MAX($L$233*(1-$C$15),0)/$C$17,-PMT($C$16/12,$C$17*12,MAX($L$233*(1-$C$15),0))*12)),0)+X529*($C$19+$C$20+$C$21)+$C$22+$C$23)</f>
        <v/>
      </c>
      <c r="I529" s="138">
        <f>IF(B529="Working",MIN(MAX(D529-E529-F529-G529-H529,0),'Tax Assumptions'!$B$20),0)</f>
        <v/>
      </c>
      <c r="J529" s="138">
        <f>IF(B529="Working",D529-E529-F529-I529-G529-H529,-L529)</f>
        <v/>
      </c>
      <c r="K529" s="137">
        <f>IF(B529="Retired",$N$233+G529+H529,0)</f>
        <v/>
      </c>
      <c r="L529" s="137">
        <f>M529+N529+O529+P529</f>
        <v/>
      </c>
      <c r="M529" s="137">
        <f>IF(B529="Retired",MIN(((Q528)*(1+$C$10)+IF(B529="Working",J529,0)),K529),0)</f>
        <v/>
      </c>
      <c r="N529" s="137">
        <f>IF(B529="Retired",MIN(MAX(K529-M529,0),((R528)*(1+$C$10)+IF(B529="Working",E88,0))),0)</f>
        <v/>
      </c>
      <c r="O529" s="137">
        <f>IF(B529="Retired",MIN(MAX(K529-M529-N529,0),((S528)*(1+$C$10)+IF(B529="Working",I529,0))),0)</f>
        <v/>
      </c>
      <c r="P529" s="137">
        <f>IF(B529="Retired",MIN(MAX(K529-M529-N529-O529,0),((T528)*(1+$C$10)+IF(B529="Working",F88,0))),0)</f>
        <v/>
      </c>
      <c r="Q529" s="138">
        <f>MAX(((Q528)*(1+$C$10)+IF(B529="Working",J529,0))-M529,0)</f>
        <v/>
      </c>
      <c r="R529" s="138">
        <f>MAX(((R528)*(1+$C$10)+IF(B529="Working",E88,0))-N529,0)</f>
        <v/>
      </c>
      <c r="S529" s="138">
        <f>MAX(((S528)*(1+$C$10)+IF(B529="Working",I529,0))-O529,0)</f>
        <v/>
      </c>
      <c r="T529" s="138">
        <f>MAX(((T528)*(1+$C$10)+IF(B529="Working",F88,0))-P529,0)</f>
        <v/>
      </c>
      <c r="U529" s="138">
        <f>Q529+R529+S529+T529</f>
        <v/>
      </c>
      <c r="V529" s="138">
        <f>IF(B529="Working",MAX(-(((Q528)*(1+$C$10)+IF(B529="Working",J529,0))),0),MAX(K529-L529,0))</f>
        <v/>
      </c>
      <c r="W529" s="138">
        <f>IF(OR(A529&gt;=$C$13,B529="Retired"),IF(V529&gt;0,-V529,U529-'Model Inputs'!$B$18),"")</f>
        <v/>
      </c>
      <c r="X529" s="138">
        <f>IF(AND($L$233&gt;0,A529&gt;=$C$13),$L$233*(1+$C$25)^(A529-$C$13),0)</f>
        <v/>
      </c>
      <c r="Y529" s="138">
        <f>IF(OR($L$233&lt;=0,$C$17&lt;=0,A529&lt;$C$13,MIN(MAX((A529-$C$13+1)*12,0),$C$17*12)&gt;=$C$17*12),0,IF($C$16=0,MAX(MAX($L$233*(1-$C$15),0)-(IF($C$17&lt;=0,0,IF($C$16=0,MAX($L$233*(1-$C$15),0)/$C$17,-PMT($C$16/12,$C$17*12,MAX($L$233*(1-$C$15),0))*12))/12)*MIN(MAX((A529-$C$13+1)*12,0),$C$17*12),0),MAX(MAX($L$233*(1-$C$15),0)*(1+$C$16/12)^MIN(MAX((A529-$C$13+1)*12,0),$C$17*12)-(IF($C$17&lt;=0,0,IF($C$16=0,MAX($L$233*(1-$C$15),0)/$C$17,-PMT($C$16/12,$C$17*12,MAX($L$233*(1-$C$15),0))*12))/12)*(((1+$C$16/12)^MIN(MAX((A529-$C$13+1)*12,0),$C$17*12)-1)/($C$16/12)),0)))</f>
        <v/>
      </c>
      <c r="Z529" s="138">
        <f>MAX(X529-Y529,0)</f>
        <v/>
      </c>
      <c r="AA529" s="139">
        <f>U529+Z529</f>
        <v/>
      </c>
      <c r="AB529" s="5" t="n"/>
      <c r="AC529" s="5" t="n"/>
      <c r="AD529" s="5" t="n"/>
      <c r="AE529" s="5" t="n"/>
      <c r="AF529" s="5" t="n"/>
      <c r="AG529" s="5" t="n"/>
    </row>
    <row r="530" outlineLevel="1" s="326">
      <c r="A530" s="140" t="n">
        <v>10</v>
      </c>
      <c r="B530" s="40">
        <f>B89</f>
        <v/>
      </c>
      <c r="C530" s="141">
        <f>D89</f>
        <v/>
      </c>
      <c r="D530" s="141">
        <f>I89</f>
        <v/>
      </c>
      <c r="E530" s="141">
        <f>J89</f>
        <v/>
      </c>
      <c r="F530" s="141">
        <f>K89</f>
        <v/>
      </c>
      <c r="G530" s="138">
        <f>IF(AND($L$233&gt;0,A530=$C$13),$L$233*($C$15+$C$18),0)+IF(AND($L$233&gt;0,A530=$C$13),$C$24,0)</f>
        <v/>
      </c>
      <c r="H530" s="138">
        <f>IF(OR($L$233&lt;=0,A530&lt;$C$13),0,IF(AND($L$233&gt;0,$C$17&gt;0,A530&gt;=$C$13,A530&lt;($C$13+$C$17)),IF($C$17&lt;=0,0,IF($C$16=0,MAX($L$233*(1-$C$15),0)/$C$17,-PMT($C$16/12,$C$17*12,MAX($L$233*(1-$C$15),0))*12)),0)+X530*($C$19+$C$20+$C$21)+$C$22+$C$23)</f>
        <v/>
      </c>
      <c r="I530" s="138">
        <f>IF(B530="Working",MIN(MAX(D530-E530-F530-G530-H530,0),'Tax Assumptions'!$B$20),0)</f>
        <v/>
      </c>
      <c r="J530" s="138">
        <f>IF(B530="Working",D530-E530-F530-I530-G530-H530,-L530)</f>
        <v/>
      </c>
      <c r="K530" s="141">
        <f>IF(B530="Retired",$N$233+G530+H530,0)</f>
        <v/>
      </c>
      <c r="L530" s="141">
        <f>M530+N530+O530+P530</f>
        <v/>
      </c>
      <c r="M530" s="141">
        <f>IF(B530="Retired",MIN(((Q529)*(1+$C$10)+IF(B530="Working",J530,0)),K530),0)</f>
        <v/>
      </c>
      <c r="N530" s="141">
        <f>IF(B530="Retired",MIN(MAX(K530-M530,0),((R529)*(1+$C$10)+IF(B530="Working",E89,0))),0)</f>
        <v/>
      </c>
      <c r="O530" s="141">
        <f>IF(B530="Retired",MIN(MAX(K530-M530-N530,0),((S529)*(1+$C$10)+IF(B530="Working",I530,0))),0)</f>
        <v/>
      </c>
      <c r="P530" s="141">
        <f>IF(B530="Retired",MIN(MAX(K530-M530-N530-O530,0),((T529)*(1+$C$10)+IF(B530="Working",F89,0))),0)</f>
        <v/>
      </c>
      <c r="Q530" s="138">
        <f>MAX(((Q529)*(1+$C$10)+IF(B530="Working",J530,0))-M530,0)</f>
        <v/>
      </c>
      <c r="R530" s="138">
        <f>MAX(((R529)*(1+$C$10)+IF(B530="Working",E89,0))-N530,0)</f>
        <v/>
      </c>
      <c r="S530" s="138">
        <f>MAX(((S529)*(1+$C$10)+IF(B530="Working",I530,0))-O530,0)</f>
        <v/>
      </c>
      <c r="T530" s="138">
        <f>MAX(((T529)*(1+$C$10)+IF(B530="Working",F89,0))-P530,0)</f>
        <v/>
      </c>
      <c r="U530" s="138">
        <f>Q530+R530+S530+T530</f>
        <v/>
      </c>
      <c r="V530" s="138">
        <f>IF(B530="Working",MAX(-(((Q529)*(1+$C$10)+IF(B530="Working",J530,0))),0),MAX(K530-L530,0))</f>
        <v/>
      </c>
      <c r="W530" s="138">
        <f>IF(OR(A530&gt;=$C$13,B530="Retired"),IF(V530&gt;0,-V530,U530-'Model Inputs'!$B$18),"")</f>
        <v/>
      </c>
      <c r="X530" s="138">
        <f>IF(AND($L$233&gt;0,A530&gt;=$C$13),$L$233*(1+$C$25)^(A530-$C$13),0)</f>
        <v/>
      </c>
      <c r="Y530" s="138">
        <f>IF(OR($L$233&lt;=0,$C$17&lt;=0,A530&lt;$C$13,MIN(MAX((A530-$C$13+1)*12,0),$C$17*12)&gt;=$C$17*12),0,IF($C$16=0,MAX(MAX($L$233*(1-$C$15),0)-(IF($C$17&lt;=0,0,IF($C$16=0,MAX($L$233*(1-$C$15),0)/$C$17,-PMT($C$16/12,$C$17*12,MAX($L$233*(1-$C$15),0))*12))/12)*MIN(MAX((A530-$C$13+1)*12,0),$C$17*12),0),MAX(MAX($L$233*(1-$C$15),0)*(1+$C$16/12)^MIN(MAX((A530-$C$13+1)*12,0),$C$17*12)-(IF($C$17&lt;=0,0,IF($C$16=0,MAX($L$233*(1-$C$15),0)/$C$17,-PMT($C$16/12,$C$17*12,MAX($L$233*(1-$C$15),0))*12))/12)*(((1+$C$16/12)^MIN(MAX((A530-$C$13+1)*12,0),$C$17*12)-1)/($C$16/12)),0)))</f>
        <v/>
      </c>
      <c r="Z530" s="138">
        <f>MAX(X530-Y530,0)</f>
        <v/>
      </c>
      <c r="AA530" s="142">
        <f>U530+Z530</f>
        <v/>
      </c>
      <c r="AB530" s="5" t="n"/>
      <c r="AC530" s="5" t="n"/>
      <c r="AD530" s="5" t="n"/>
      <c r="AE530" s="5" t="n"/>
      <c r="AF530" s="5" t="n"/>
      <c r="AG530" s="5" t="n"/>
    </row>
    <row r="531" outlineLevel="1" s="326">
      <c r="A531" s="136" t="n">
        <v>11</v>
      </c>
      <c r="B531" s="72">
        <f>B90</f>
        <v/>
      </c>
      <c r="C531" s="137">
        <f>D90</f>
        <v/>
      </c>
      <c r="D531" s="137">
        <f>I90</f>
        <v/>
      </c>
      <c r="E531" s="137">
        <f>J90</f>
        <v/>
      </c>
      <c r="F531" s="137">
        <f>K90</f>
        <v/>
      </c>
      <c r="G531" s="138">
        <f>IF(AND($L$233&gt;0,A531=$C$13),$L$233*($C$15+$C$18),0)+IF(AND($L$233&gt;0,A531=$C$13),$C$24,0)</f>
        <v/>
      </c>
      <c r="H531" s="138">
        <f>IF(OR($L$233&lt;=0,A531&lt;$C$13),0,IF(AND($L$233&gt;0,$C$17&gt;0,A531&gt;=$C$13,A531&lt;($C$13+$C$17)),IF($C$17&lt;=0,0,IF($C$16=0,MAX($L$233*(1-$C$15),0)/$C$17,-PMT($C$16/12,$C$17*12,MAX($L$233*(1-$C$15),0))*12)),0)+X531*($C$19+$C$20+$C$21)+$C$22+$C$23)</f>
        <v/>
      </c>
      <c r="I531" s="138">
        <f>IF(B531="Working",MIN(MAX(D531-E531-F531-G531-H531,0),'Tax Assumptions'!$B$20),0)</f>
        <v/>
      </c>
      <c r="J531" s="138">
        <f>IF(B531="Working",D531-E531-F531-I531-G531-H531,-L531)</f>
        <v/>
      </c>
      <c r="K531" s="137">
        <f>IF(B531="Retired",$N$233+G531+H531,0)</f>
        <v/>
      </c>
      <c r="L531" s="137">
        <f>M531+N531+O531+P531</f>
        <v/>
      </c>
      <c r="M531" s="137">
        <f>IF(B531="Retired",MIN(((Q530)*(1+$C$10)+IF(B531="Working",J531,0)),K531),0)</f>
        <v/>
      </c>
      <c r="N531" s="137">
        <f>IF(B531="Retired",MIN(MAX(K531-M531,0),((R530)*(1+$C$10)+IF(B531="Working",E90,0))),0)</f>
        <v/>
      </c>
      <c r="O531" s="137">
        <f>IF(B531="Retired",MIN(MAX(K531-M531-N531,0),((S530)*(1+$C$10)+IF(B531="Working",I531,0))),0)</f>
        <v/>
      </c>
      <c r="P531" s="137">
        <f>IF(B531="Retired",MIN(MAX(K531-M531-N531-O531,0),((T530)*(1+$C$10)+IF(B531="Working",F90,0))),0)</f>
        <v/>
      </c>
      <c r="Q531" s="138">
        <f>MAX(((Q530)*(1+$C$10)+IF(B531="Working",J531,0))-M531,0)</f>
        <v/>
      </c>
      <c r="R531" s="138">
        <f>MAX(((R530)*(1+$C$10)+IF(B531="Working",E90,0))-N531,0)</f>
        <v/>
      </c>
      <c r="S531" s="138">
        <f>MAX(((S530)*(1+$C$10)+IF(B531="Working",I531,0))-O531,0)</f>
        <v/>
      </c>
      <c r="T531" s="138">
        <f>MAX(((T530)*(1+$C$10)+IF(B531="Working",F90,0))-P531,0)</f>
        <v/>
      </c>
      <c r="U531" s="138">
        <f>Q531+R531+S531+T531</f>
        <v/>
      </c>
      <c r="V531" s="138">
        <f>IF(B531="Working",MAX(-(((Q530)*(1+$C$10)+IF(B531="Working",J531,0))),0),MAX(K531-L531,0))</f>
        <v/>
      </c>
      <c r="W531" s="138">
        <f>IF(OR(A531&gt;=$C$13,B531="Retired"),IF(V531&gt;0,-V531,U531-'Model Inputs'!$B$18),"")</f>
        <v/>
      </c>
      <c r="X531" s="138">
        <f>IF(AND($L$233&gt;0,A531&gt;=$C$13),$L$233*(1+$C$25)^(A531-$C$13),0)</f>
        <v/>
      </c>
      <c r="Y531" s="138">
        <f>IF(OR($L$233&lt;=0,$C$17&lt;=0,A531&lt;$C$13,MIN(MAX((A531-$C$13+1)*12,0),$C$17*12)&gt;=$C$17*12),0,IF($C$16=0,MAX(MAX($L$233*(1-$C$15),0)-(IF($C$17&lt;=0,0,IF($C$16=0,MAX($L$233*(1-$C$15),0)/$C$17,-PMT($C$16/12,$C$17*12,MAX($L$233*(1-$C$15),0))*12))/12)*MIN(MAX((A531-$C$13+1)*12,0),$C$17*12),0),MAX(MAX($L$233*(1-$C$15),0)*(1+$C$16/12)^MIN(MAX((A531-$C$13+1)*12,0),$C$17*12)-(IF($C$17&lt;=0,0,IF($C$16=0,MAX($L$233*(1-$C$15),0)/$C$17,-PMT($C$16/12,$C$17*12,MAX($L$233*(1-$C$15),0))*12))/12)*(((1+$C$16/12)^MIN(MAX((A531-$C$13+1)*12,0),$C$17*12)-1)/($C$16/12)),0)))</f>
        <v/>
      </c>
      <c r="Z531" s="138">
        <f>MAX(X531-Y531,0)</f>
        <v/>
      </c>
      <c r="AA531" s="139">
        <f>U531+Z531</f>
        <v/>
      </c>
      <c r="AB531" s="5" t="n"/>
      <c r="AC531" s="5" t="n"/>
      <c r="AD531" s="5" t="n"/>
      <c r="AE531" s="5" t="n"/>
      <c r="AF531" s="5" t="n"/>
      <c r="AG531" s="5" t="n"/>
    </row>
    <row r="532" outlineLevel="1" s="326">
      <c r="A532" s="140" t="n">
        <v>12</v>
      </c>
      <c r="B532" s="40">
        <f>B91</f>
        <v/>
      </c>
      <c r="C532" s="141">
        <f>D91</f>
        <v/>
      </c>
      <c r="D532" s="141">
        <f>I91</f>
        <v/>
      </c>
      <c r="E532" s="141">
        <f>J91</f>
        <v/>
      </c>
      <c r="F532" s="141">
        <f>K91</f>
        <v/>
      </c>
      <c r="G532" s="138">
        <f>IF(AND($L$233&gt;0,A532=$C$13),$L$233*($C$15+$C$18),0)+IF(AND($L$233&gt;0,A532=$C$13),$C$24,0)</f>
        <v/>
      </c>
      <c r="H532" s="138">
        <f>IF(OR($L$233&lt;=0,A532&lt;$C$13),0,IF(AND($L$233&gt;0,$C$17&gt;0,A532&gt;=$C$13,A532&lt;($C$13+$C$17)),IF($C$17&lt;=0,0,IF($C$16=0,MAX($L$233*(1-$C$15),0)/$C$17,-PMT($C$16/12,$C$17*12,MAX($L$233*(1-$C$15),0))*12)),0)+X532*($C$19+$C$20+$C$21)+$C$22+$C$23)</f>
        <v/>
      </c>
      <c r="I532" s="138">
        <f>IF(B532="Working",MIN(MAX(D532-E532-F532-G532-H532,0),'Tax Assumptions'!$B$20),0)</f>
        <v/>
      </c>
      <c r="J532" s="138">
        <f>IF(B532="Working",D532-E532-F532-I532-G532-H532,-L532)</f>
        <v/>
      </c>
      <c r="K532" s="141">
        <f>IF(B532="Retired",$N$233+G532+H532,0)</f>
        <v/>
      </c>
      <c r="L532" s="141">
        <f>M532+N532+O532+P532</f>
        <v/>
      </c>
      <c r="M532" s="141">
        <f>IF(B532="Retired",MIN(((Q531)*(1+$C$10)+IF(B532="Working",J532,0)),K532),0)</f>
        <v/>
      </c>
      <c r="N532" s="141">
        <f>IF(B532="Retired",MIN(MAX(K532-M532,0),((R531)*(1+$C$10)+IF(B532="Working",E91,0))),0)</f>
        <v/>
      </c>
      <c r="O532" s="141">
        <f>IF(B532="Retired",MIN(MAX(K532-M532-N532,0),((S531)*(1+$C$10)+IF(B532="Working",I532,0))),0)</f>
        <v/>
      </c>
      <c r="P532" s="141">
        <f>IF(B532="Retired",MIN(MAX(K532-M532-N532-O532,0),((T531)*(1+$C$10)+IF(B532="Working",F91,0))),0)</f>
        <v/>
      </c>
      <c r="Q532" s="138">
        <f>MAX(((Q531)*(1+$C$10)+IF(B532="Working",J532,0))-M532,0)</f>
        <v/>
      </c>
      <c r="R532" s="138">
        <f>MAX(((R531)*(1+$C$10)+IF(B532="Working",E91,0))-N532,0)</f>
        <v/>
      </c>
      <c r="S532" s="138">
        <f>MAX(((S531)*(1+$C$10)+IF(B532="Working",I532,0))-O532,0)</f>
        <v/>
      </c>
      <c r="T532" s="138">
        <f>MAX(((T531)*(1+$C$10)+IF(B532="Working",F91,0))-P532,0)</f>
        <v/>
      </c>
      <c r="U532" s="138">
        <f>Q532+R532+S532+T532</f>
        <v/>
      </c>
      <c r="V532" s="138">
        <f>IF(B532="Working",MAX(-(((Q531)*(1+$C$10)+IF(B532="Working",J532,0))),0),MAX(K532-L532,0))</f>
        <v/>
      </c>
      <c r="W532" s="138">
        <f>IF(OR(A532&gt;=$C$13,B532="Retired"),IF(V532&gt;0,-V532,U532-'Model Inputs'!$B$18),"")</f>
        <v/>
      </c>
      <c r="X532" s="138">
        <f>IF(AND($L$233&gt;0,A532&gt;=$C$13),$L$233*(1+$C$25)^(A532-$C$13),0)</f>
        <v/>
      </c>
      <c r="Y532" s="138">
        <f>IF(OR($L$233&lt;=0,$C$17&lt;=0,A532&lt;$C$13,MIN(MAX((A532-$C$13+1)*12,0),$C$17*12)&gt;=$C$17*12),0,IF($C$16=0,MAX(MAX($L$233*(1-$C$15),0)-(IF($C$17&lt;=0,0,IF($C$16=0,MAX($L$233*(1-$C$15),0)/$C$17,-PMT($C$16/12,$C$17*12,MAX($L$233*(1-$C$15),0))*12))/12)*MIN(MAX((A532-$C$13+1)*12,0),$C$17*12),0),MAX(MAX($L$233*(1-$C$15),0)*(1+$C$16/12)^MIN(MAX((A532-$C$13+1)*12,0),$C$17*12)-(IF($C$17&lt;=0,0,IF($C$16=0,MAX($L$233*(1-$C$15),0)/$C$17,-PMT($C$16/12,$C$17*12,MAX($L$233*(1-$C$15),0))*12))/12)*(((1+$C$16/12)^MIN(MAX((A532-$C$13+1)*12,0),$C$17*12)-1)/($C$16/12)),0)))</f>
        <v/>
      </c>
      <c r="Z532" s="138">
        <f>MAX(X532-Y532,0)</f>
        <v/>
      </c>
      <c r="AA532" s="142">
        <f>U532+Z532</f>
        <v/>
      </c>
      <c r="AB532" s="5" t="n"/>
      <c r="AC532" s="5" t="n"/>
      <c r="AD532" s="5" t="n"/>
      <c r="AE532" s="5" t="n"/>
      <c r="AF532" s="5" t="n"/>
      <c r="AG532" s="5" t="n"/>
    </row>
    <row r="533" outlineLevel="1" s="326">
      <c r="A533" s="136" t="n">
        <v>13</v>
      </c>
      <c r="B533" s="72">
        <f>B92</f>
        <v/>
      </c>
      <c r="C533" s="137">
        <f>D92</f>
        <v/>
      </c>
      <c r="D533" s="137">
        <f>I92</f>
        <v/>
      </c>
      <c r="E533" s="137">
        <f>J92</f>
        <v/>
      </c>
      <c r="F533" s="137">
        <f>K92</f>
        <v/>
      </c>
      <c r="G533" s="138">
        <f>IF(AND($L$233&gt;0,A533=$C$13),$L$233*($C$15+$C$18),0)+IF(AND($L$233&gt;0,A533=$C$13),$C$24,0)</f>
        <v/>
      </c>
      <c r="H533" s="138">
        <f>IF(OR($L$233&lt;=0,A533&lt;$C$13),0,IF(AND($L$233&gt;0,$C$17&gt;0,A533&gt;=$C$13,A533&lt;($C$13+$C$17)),IF($C$17&lt;=0,0,IF($C$16=0,MAX($L$233*(1-$C$15),0)/$C$17,-PMT($C$16/12,$C$17*12,MAX($L$233*(1-$C$15),0))*12)),0)+X533*($C$19+$C$20+$C$21)+$C$22+$C$23)</f>
        <v/>
      </c>
      <c r="I533" s="138">
        <f>IF(B533="Working",MIN(MAX(D533-E533-F533-G533-H533,0),'Tax Assumptions'!$B$20),0)</f>
        <v/>
      </c>
      <c r="J533" s="138">
        <f>IF(B533="Working",D533-E533-F533-I533-G533-H533,-L533)</f>
        <v/>
      </c>
      <c r="K533" s="137">
        <f>IF(B533="Retired",$N$233+G533+H533,0)</f>
        <v/>
      </c>
      <c r="L533" s="137">
        <f>M533+N533+O533+P533</f>
        <v/>
      </c>
      <c r="M533" s="137">
        <f>IF(B533="Retired",MIN(((Q532)*(1+$C$10)+IF(B533="Working",J533,0)),K533),0)</f>
        <v/>
      </c>
      <c r="N533" s="137">
        <f>IF(B533="Retired",MIN(MAX(K533-M533,0),((R532)*(1+$C$10)+IF(B533="Working",E92,0))),0)</f>
        <v/>
      </c>
      <c r="O533" s="137">
        <f>IF(B533="Retired",MIN(MAX(K533-M533-N533,0),((S532)*(1+$C$10)+IF(B533="Working",I533,0))),0)</f>
        <v/>
      </c>
      <c r="P533" s="137">
        <f>IF(B533="Retired",MIN(MAX(K533-M533-N533-O533,0),((T532)*(1+$C$10)+IF(B533="Working",F92,0))),0)</f>
        <v/>
      </c>
      <c r="Q533" s="138">
        <f>MAX(((Q532)*(1+$C$10)+IF(B533="Working",J533,0))-M533,0)</f>
        <v/>
      </c>
      <c r="R533" s="138">
        <f>MAX(((R532)*(1+$C$10)+IF(B533="Working",E92,0))-N533,0)</f>
        <v/>
      </c>
      <c r="S533" s="138">
        <f>MAX(((S532)*(1+$C$10)+IF(B533="Working",I533,0))-O533,0)</f>
        <v/>
      </c>
      <c r="T533" s="138">
        <f>MAX(((T532)*(1+$C$10)+IF(B533="Working",F92,0))-P533,0)</f>
        <v/>
      </c>
      <c r="U533" s="138">
        <f>Q533+R533+S533+T533</f>
        <v/>
      </c>
      <c r="V533" s="138">
        <f>IF(B533="Working",MAX(-(((Q532)*(1+$C$10)+IF(B533="Working",J533,0))),0),MAX(K533-L533,0))</f>
        <v/>
      </c>
      <c r="W533" s="138">
        <f>IF(OR(A533&gt;=$C$13,B533="Retired"),IF(V533&gt;0,-V533,U533-'Model Inputs'!$B$18),"")</f>
        <v/>
      </c>
      <c r="X533" s="138">
        <f>IF(AND($L$233&gt;0,A533&gt;=$C$13),$L$233*(1+$C$25)^(A533-$C$13),0)</f>
        <v/>
      </c>
      <c r="Y533" s="138">
        <f>IF(OR($L$233&lt;=0,$C$17&lt;=0,A533&lt;$C$13,MIN(MAX((A533-$C$13+1)*12,0),$C$17*12)&gt;=$C$17*12),0,IF($C$16=0,MAX(MAX($L$233*(1-$C$15),0)-(IF($C$17&lt;=0,0,IF($C$16=0,MAX($L$233*(1-$C$15),0)/$C$17,-PMT($C$16/12,$C$17*12,MAX($L$233*(1-$C$15),0))*12))/12)*MIN(MAX((A533-$C$13+1)*12,0),$C$17*12),0),MAX(MAX($L$233*(1-$C$15),0)*(1+$C$16/12)^MIN(MAX((A533-$C$13+1)*12,0),$C$17*12)-(IF($C$17&lt;=0,0,IF($C$16=0,MAX($L$233*(1-$C$15),0)/$C$17,-PMT($C$16/12,$C$17*12,MAX($L$233*(1-$C$15),0))*12))/12)*(((1+$C$16/12)^MIN(MAX((A533-$C$13+1)*12,0),$C$17*12)-1)/($C$16/12)),0)))</f>
        <v/>
      </c>
      <c r="Z533" s="138">
        <f>MAX(X533-Y533,0)</f>
        <v/>
      </c>
      <c r="AA533" s="139">
        <f>U533+Z533</f>
        <v/>
      </c>
      <c r="AB533" s="5" t="n"/>
      <c r="AC533" s="5" t="n"/>
      <c r="AD533" s="5" t="n"/>
      <c r="AE533" s="5" t="n"/>
      <c r="AF533" s="5" t="n"/>
      <c r="AG533" s="5" t="n"/>
    </row>
    <row r="534" outlineLevel="1" s="326">
      <c r="A534" s="140" t="n">
        <v>14</v>
      </c>
      <c r="B534" s="40">
        <f>B93</f>
        <v/>
      </c>
      <c r="C534" s="141">
        <f>D93</f>
        <v/>
      </c>
      <c r="D534" s="141">
        <f>I93</f>
        <v/>
      </c>
      <c r="E534" s="141">
        <f>J93</f>
        <v/>
      </c>
      <c r="F534" s="141">
        <f>K93</f>
        <v/>
      </c>
      <c r="G534" s="138">
        <f>IF(AND($L$233&gt;0,A534=$C$13),$L$233*($C$15+$C$18),0)+IF(AND($L$233&gt;0,A534=$C$13),$C$24,0)</f>
        <v/>
      </c>
      <c r="H534" s="138">
        <f>IF(OR($L$233&lt;=0,A534&lt;$C$13),0,IF(AND($L$233&gt;0,$C$17&gt;0,A534&gt;=$C$13,A534&lt;($C$13+$C$17)),IF($C$17&lt;=0,0,IF($C$16=0,MAX($L$233*(1-$C$15),0)/$C$17,-PMT($C$16/12,$C$17*12,MAX($L$233*(1-$C$15),0))*12)),0)+X534*($C$19+$C$20+$C$21)+$C$22+$C$23)</f>
        <v/>
      </c>
      <c r="I534" s="138">
        <f>IF(B534="Working",MIN(MAX(D534-E534-F534-G534-H534,0),'Tax Assumptions'!$B$20),0)</f>
        <v/>
      </c>
      <c r="J534" s="138">
        <f>IF(B534="Working",D534-E534-F534-I534-G534-H534,-L534)</f>
        <v/>
      </c>
      <c r="K534" s="141">
        <f>IF(B534="Retired",$N$233+G534+H534,0)</f>
        <v/>
      </c>
      <c r="L534" s="141">
        <f>M534+N534+O534+P534</f>
        <v/>
      </c>
      <c r="M534" s="141">
        <f>IF(B534="Retired",MIN(((Q533)*(1+$C$10)+IF(B534="Working",J534,0)),K534),0)</f>
        <v/>
      </c>
      <c r="N534" s="141">
        <f>IF(B534="Retired",MIN(MAX(K534-M534,0),((R533)*(1+$C$10)+IF(B534="Working",E93,0))),0)</f>
        <v/>
      </c>
      <c r="O534" s="141">
        <f>IF(B534="Retired",MIN(MAX(K534-M534-N534,0),((S533)*(1+$C$10)+IF(B534="Working",I534,0))),0)</f>
        <v/>
      </c>
      <c r="P534" s="141">
        <f>IF(B534="Retired",MIN(MAX(K534-M534-N534-O534,0),((T533)*(1+$C$10)+IF(B534="Working",F93,0))),0)</f>
        <v/>
      </c>
      <c r="Q534" s="138">
        <f>MAX(((Q533)*(1+$C$10)+IF(B534="Working",J534,0))-M534,0)</f>
        <v/>
      </c>
      <c r="R534" s="138">
        <f>MAX(((R533)*(1+$C$10)+IF(B534="Working",E93,0))-N534,0)</f>
        <v/>
      </c>
      <c r="S534" s="138">
        <f>MAX(((S533)*(1+$C$10)+IF(B534="Working",I534,0))-O534,0)</f>
        <v/>
      </c>
      <c r="T534" s="138">
        <f>MAX(((T533)*(1+$C$10)+IF(B534="Working",F93,0))-P534,0)</f>
        <v/>
      </c>
      <c r="U534" s="138">
        <f>Q534+R534+S534+T534</f>
        <v/>
      </c>
      <c r="V534" s="138">
        <f>IF(B534="Working",MAX(-(((Q533)*(1+$C$10)+IF(B534="Working",J534,0))),0),MAX(K534-L534,0))</f>
        <v/>
      </c>
      <c r="W534" s="138">
        <f>IF(OR(A534&gt;=$C$13,B534="Retired"),IF(V534&gt;0,-V534,U534-'Model Inputs'!$B$18),"")</f>
        <v/>
      </c>
      <c r="X534" s="138">
        <f>IF(AND($L$233&gt;0,A534&gt;=$C$13),$L$233*(1+$C$25)^(A534-$C$13),0)</f>
        <v/>
      </c>
      <c r="Y534" s="138">
        <f>IF(OR($L$233&lt;=0,$C$17&lt;=0,A534&lt;$C$13,MIN(MAX((A534-$C$13+1)*12,0),$C$17*12)&gt;=$C$17*12),0,IF($C$16=0,MAX(MAX($L$233*(1-$C$15),0)-(IF($C$17&lt;=0,0,IF($C$16=0,MAX($L$233*(1-$C$15),0)/$C$17,-PMT($C$16/12,$C$17*12,MAX($L$233*(1-$C$15),0))*12))/12)*MIN(MAX((A534-$C$13+1)*12,0),$C$17*12),0),MAX(MAX($L$233*(1-$C$15),0)*(1+$C$16/12)^MIN(MAX((A534-$C$13+1)*12,0),$C$17*12)-(IF($C$17&lt;=0,0,IF($C$16=0,MAX($L$233*(1-$C$15),0)/$C$17,-PMT($C$16/12,$C$17*12,MAX($L$233*(1-$C$15),0))*12))/12)*(((1+$C$16/12)^MIN(MAX((A534-$C$13+1)*12,0),$C$17*12)-1)/($C$16/12)),0)))</f>
        <v/>
      </c>
      <c r="Z534" s="138">
        <f>MAX(X534-Y534,0)</f>
        <v/>
      </c>
      <c r="AA534" s="142">
        <f>U534+Z534</f>
        <v/>
      </c>
      <c r="AB534" s="5" t="n"/>
      <c r="AC534" s="5" t="n"/>
      <c r="AD534" s="5" t="n"/>
      <c r="AE534" s="5" t="n"/>
      <c r="AF534" s="5" t="n"/>
      <c r="AG534" s="5" t="n"/>
    </row>
    <row r="535" outlineLevel="1" s="326">
      <c r="A535" s="136" t="n">
        <v>15</v>
      </c>
      <c r="B535" s="72">
        <f>B94</f>
        <v/>
      </c>
      <c r="C535" s="137">
        <f>D94</f>
        <v/>
      </c>
      <c r="D535" s="137">
        <f>I94</f>
        <v/>
      </c>
      <c r="E535" s="137">
        <f>J94</f>
        <v/>
      </c>
      <c r="F535" s="137">
        <f>K94</f>
        <v/>
      </c>
      <c r="G535" s="138">
        <f>IF(AND($L$233&gt;0,A535=$C$13),$L$233*($C$15+$C$18),0)+IF(AND($L$233&gt;0,A535=$C$13),$C$24,0)</f>
        <v/>
      </c>
      <c r="H535" s="138">
        <f>IF(OR($L$233&lt;=0,A535&lt;$C$13),0,IF(AND($L$233&gt;0,$C$17&gt;0,A535&gt;=$C$13,A535&lt;($C$13+$C$17)),IF($C$17&lt;=0,0,IF($C$16=0,MAX($L$233*(1-$C$15),0)/$C$17,-PMT($C$16/12,$C$17*12,MAX($L$233*(1-$C$15),0))*12)),0)+X535*($C$19+$C$20+$C$21)+$C$22+$C$23)</f>
        <v/>
      </c>
      <c r="I535" s="138">
        <f>IF(B535="Working",MIN(MAX(D535-E535-F535-G535-H535,0),'Tax Assumptions'!$B$20),0)</f>
        <v/>
      </c>
      <c r="J535" s="138">
        <f>IF(B535="Working",D535-E535-F535-I535-G535-H535,-L535)</f>
        <v/>
      </c>
      <c r="K535" s="137">
        <f>IF(B535="Retired",$N$233+G535+H535,0)</f>
        <v/>
      </c>
      <c r="L535" s="137">
        <f>M535+N535+O535+P535</f>
        <v/>
      </c>
      <c r="M535" s="137">
        <f>IF(B535="Retired",MIN(((Q534)*(1+$C$10)+IF(B535="Working",J535,0)),K535),0)</f>
        <v/>
      </c>
      <c r="N535" s="137">
        <f>IF(B535="Retired",MIN(MAX(K535-M535,0),((R534)*(1+$C$10)+IF(B535="Working",E94,0))),0)</f>
        <v/>
      </c>
      <c r="O535" s="137">
        <f>IF(B535="Retired",MIN(MAX(K535-M535-N535,0),((S534)*(1+$C$10)+IF(B535="Working",I535,0))),0)</f>
        <v/>
      </c>
      <c r="P535" s="137">
        <f>IF(B535="Retired",MIN(MAX(K535-M535-N535-O535,0),((T534)*(1+$C$10)+IF(B535="Working",F94,0))),0)</f>
        <v/>
      </c>
      <c r="Q535" s="138">
        <f>MAX(((Q534)*(1+$C$10)+IF(B535="Working",J535,0))-M535,0)</f>
        <v/>
      </c>
      <c r="R535" s="138">
        <f>MAX(((R534)*(1+$C$10)+IF(B535="Working",E94,0))-N535,0)</f>
        <v/>
      </c>
      <c r="S535" s="138">
        <f>MAX(((S534)*(1+$C$10)+IF(B535="Working",I535,0))-O535,0)</f>
        <v/>
      </c>
      <c r="T535" s="138">
        <f>MAX(((T534)*(1+$C$10)+IF(B535="Working",F94,0))-P535,0)</f>
        <v/>
      </c>
      <c r="U535" s="138">
        <f>Q535+R535+S535+T535</f>
        <v/>
      </c>
      <c r="V535" s="138">
        <f>IF(B535="Working",MAX(-(((Q534)*(1+$C$10)+IF(B535="Working",J535,0))),0),MAX(K535-L535,0))</f>
        <v/>
      </c>
      <c r="W535" s="138">
        <f>IF(OR(A535&gt;=$C$13,B535="Retired"),IF(V535&gt;0,-V535,U535-'Model Inputs'!$B$18),"")</f>
        <v/>
      </c>
      <c r="X535" s="138">
        <f>IF(AND($L$233&gt;0,A535&gt;=$C$13),$L$233*(1+$C$25)^(A535-$C$13),0)</f>
        <v/>
      </c>
      <c r="Y535" s="138">
        <f>IF(OR($L$233&lt;=0,$C$17&lt;=0,A535&lt;$C$13,MIN(MAX((A535-$C$13+1)*12,0),$C$17*12)&gt;=$C$17*12),0,IF($C$16=0,MAX(MAX($L$233*(1-$C$15),0)-(IF($C$17&lt;=0,0,IF($C$16=0,MAX($L$233*(1-$C$15),0)/$C$17,-PMT($C$16/12,$C$17*12,MAX($L$233*(1-$C$15),0))*12))/12)*MIN(MAX((A535-$C$13+1)*12,0),$C$17*12),0),MAX(MAX($L$233*(1-$C$15),0)*(1+$C$16/12)^MIN(MAX((A535-$C$13+1)*12,0),$C$17*12)-(IF($C$17&lt;=0,0,IF($C$16=0,MAX($L$233*(1-$C$15),0)/$C$17,-PMT($C$16/12,$C$17*12,MAX($L$233*(1-$C$15),0))*12))/12)*(((1+$C$16/12)^MIN(MAX((A535-$C$13+1)*12,0),$C$17*12)-1)/($C$16/12)),0)))</f>
        <v/>
      </c>
      <c r="Z535" s="138">
        <f>MAX(X535-Y535,0)</f>
        <v/>
      </c>
      <c r="AA535" s="139">
        <f>U535+Z535</f>
        <v/>
      </c>
      <c r="AB535" s="5" t="n"/>
      <c r="AC535" s="5" t="n"/>
      <c r="AD535" s="5" t="n"/>
      <c r="AE535" s="5" t="n"/>
      <c r="AF535" s="5" t="n"/>
      <c r="AG535" s="5" t="n"/>
    </row>
    <row r="536" outlineLevel="1" s="326">
      <c r="A536" s="140" t="n">
        <v>16</v>
      </c>
      <c r="B536" s="40">
        <f>B95</f>
        <v/>
      </c>
      <c r="C536" s="141">
        <f>D95</f>
        <v/>
      </c>
      <c r="D536" s="141">
        <f>I95</f>
        <v/>
      </c>
      <c r="E536" s="141">
        <f>J95</f>
        <v/>
      </c>
      <c r="F536" s="141">
        <f>K95</f>
        <v/>
      </c>
      <c r="G536" s="138">
        <f>IF(AND($L$233&gt;0,A536=$C$13),$L$233*($C$15+$C$18),0)+IF(AND($L$233&gt;0,A536=$C$13),$C$24,0)</f>
        <v/>
      </c>
      <c r="H536" s="138">
        <f>IF(OR($L$233&lt;=0,A536&lt;$C$13),0,IF(AND($L$233&gt;0,$C$17&gt;0,A536&gt;=$C$13,A536&lt;($C$13+$C$17)),IF($C$17&lt;=0,0,IF($C$16=0,MAX($L$233*(1-$C$15),0)/$C$17,-PMT($C$16/12,$C$17*12,MAX($L$233*(1-$C$15),0))*12)),0)+X536*($C$19+$C$20+$C$21)+$C$22+$C$23)</f>
        <v/>
      </c>
      <c r="I536" s="138">
        <f>IF(B536="Working",MIN(MAX(D536-E536-F536-G536-H536,0),'Tax Assumptions'!$B$20),0)</f>
        <v/>
      </c>
      <c r="J536" s="138">
        <f>IF(B536="Working",D536-E536-F536-I536-G536-H536,-L536)</f>
        <v/>
      </c>
      <c r="K536" s="141">
        <f>IF(B536="Retired",$N$233+G536+H536,0)</f>
        <v/>
      </c>
      <c r="L536" s="141">
        <f>M536+N536+O536+P536</f>
        <v/>
      </c>
      <c r="M536" s="141">
        <f>IF(B536="Retired",MIN(((Q535)*(1+$C$10)+IF(B536="Working",J536,0)),K536),0)</f>
        <v/>
      </c>
      <c r="N536" s="141">
        <f>IF(B536="Retired",MIN(MAX(K536-M536,0),((R535)*(1+$C$10)+IF(B536="Working",E95,0))),0)</f>
        <v/>
      </c>
      <c r="O536" s="141">
        <f>IF(B536="Retired",MIN(MAX(K536-M536-N536,0),((S535)*(1+$C$10)+IF(B536="Working",I536,0))),0)</f>
        <v/>
      </c>
      <c r="P536" s="141">
        <f>IF(B536="Retired",MIN(MAX(K536-M536-N536-O536,0),((T535)*(1+$C$10)+IF(B536="Working",F95,0))),0)</f>
        <v/>
      </c>
      <c r="Q536" s="138">
        <f>MAX(((Q535)*(1+$C$10)+IF(B536="Working",J536,0))-M536,0)</f>
        <v/>
      </c>
      <c r="R536" s="138">
        <f>MAX(((R535)*(1+$C$10)+IF(B536="Working",E95,0))-N536,0)</f>
        <v/>
      </c>
      <c r="S536" s="138">
        <f>MAX(((S535)*(1+$C$10)+IF(B536="Working",I536,0))-O536,0)</f>
        <v/>
      </c>
      <c r="T536" s="138">
        <f>MAX(((T535)*(1+$C$10)+IF(B536="Working",F95,0))-P536,0)</f>
        <v/>
      </c>
      <c r="U536" s="138">
        <f>Q536+R536+S536+T536</f>
        <v/>
      </c>
      <c r="V536" s="138">
        <f>IF(B536="Working",MAX(-(((Q535)*(1+$C$10)+IF(B536="Working",J536,0))),0),MAX(K536-L536,0))</f>
        <v/>
      </c>
      <c r="W536" s="138">
        <f>IF(OR(A536&gt;=$C$13,B536="Retired"),IF(V536&gt;0,-V536,U536-'Model Inputs'!$B$18),"")</f>
        <v/>
      </c>
      <c r="X536" s="138">
        <f>IF(AND($L$233&gt;0,A536&gt;=$C$13),$L$233*(1+$C$25)^(A536-$C$13),0)</f>
        <v/>
      </c>
      <c r="Y536" s="138">
        <f>IF(OR($L$233&lt;=0,$C$17&lt;=0,A536&lt;$C$13,MIN(MAX((A536-$C$13+1)*12,0),$C$17*12)&gt;=$C$17*12),0,IF($C$16=0,MAX(MAX($L$233*(1-$C$15),0)-(IF($C$17&lt;=0,0,IF($C$16=0,MAX($L$233*(1-$C$15),0)/$C$17,-PMT($C$16/12,$C$17*12,MAX($L$233*(1-$C$15),0))*12))/12)*MIN(MAX((A536-$C$13+1)*12,0),$C$17*12),0),MAX(MAX($L$233*(1-$C$15),0)*(1+$C$16/12)^MIN(MAX((A536-$C$13+1)*12,0),$C$17*12)-(IF($C$17&lt;=0,0,IF($C$16=0,MAX($L$233*(1-$C$15),0)/$C$17,-PMT($C$16/12,$C$17*12,MAX($L$233*(1-$C$15),0))*12))/12)*(((1+$C$16/12)^MIN(MAX((A536-$C$13+1)*12,0),$C$17*12)-1)/($C$16/12)),0)))</f>
        <v/>
      </c>
      <c r="Z536" s="138">
        <f>MAX(X536-Y536,0)</f>
        <v/>
      </c>
      <c r="AA536" s="142">
        <f>U536+Z536</f>
        <v/>
      </c>
      <c r="AB536" s="5" t="n"/>
      <c r="AC536" s="5" t="n"/>
      <c r="AD536" s="5" t="n"/>
      <c r="AE536" s="5" t="n"/>
      <c r="AF536" s="5" t="n"/>
      <c r="AG536" s="5" t="n"/>
    </row>
    <row r="537" outlineLevel="1" s="326">
      <c r="A537" s="136" t="n">
        <v>17</v>
      </c>
      <c r="B537" s="72">
        <f>B96</f>
        <v/>
      </c>
      <c r="C537" s="137">
        <f>D96</f>
        <v/>
      </c>
      <c r="D537" s="137">
        <f>I96</f>
        <v/>
      </c>
      <c r="E537" s="137">
        <f>J96</f>
        <v/>
      </c>
      <c r="F537" s="137">
        <f>K96</f>
        <v/>
      </c>
      <c r="G537" s="138">
        <f>IF(AND($L$233&gt;0,A537=$C$13),$L$233*($C$15+$C$18),0)+IF(AND($L$233&gt;0,A537=$C$13),$C$24,0)</f>
        <v/>
      </c>
      <c r="H537" s="138">
        <f>IF(OR($L$233&lt;=0,A537&lt;$C$13),0,IF(AND($L$233&gt;0,$C$17&gt;0,A537&gt;=$C$13,A537&lt;($C$13+$C$17)),IF($C$17&lt;=0,0,IF($C$16=0,MAX($L$233*(1-$C$15),0)/$C$17,-PMT($C$16/12,$C$17*12,MAX($L$233*(1-$C$15),0))*12)),0)+X537*($C$19+$C$20+$C$21)+$C$22+$C$23)</f>
        <v/>
      </c>
      <c r="I537" s="138">
        <f>IF(B537="Working",MIN(MAX(D537-E537-F537-G537-H537,0),'Tax Assumptions'!$B$20),0)</f>
        <v/>
      </c>
      <c r="J537" s="138">
        <f>IF(B537="Working",D537-E537-F537-I537-G537-H537,-L537)</f>
        <v/>
      </c>
      <c r="K537" s="137">
        <f>IF(B537="Retired",$N$233+G537+H537,0)</f>
        <v/>
      </c>
      <c r="L537" s="137">
        <f>M537+N537+O537+P537</f>
        <v/>
      </c>
      <c r="M537" s="137">
        <f>IF(B537="Retired",MIN(((Q536)*(1+$C$10)+IF(B537="Working",J537,0)),K537),0)</f>
        <v/>
      </c>
      <c r="N537" s="137">
        <f>IF(B537="Retired",MIN(MAX(K537-M537,0),((R536)*(1+$C$10)+IF(B537="Working",E96,0))),0)</f>
        <v/>
      </c>
      <c r="O537" s="137">
        <f>IF(B537="Retired",MIN(MAX(K537-M537-N537,0),((S536)*(1+$C$10)+IF(B537="Working",I537,0))),0)</f>
        <v/>
      </c>
      <c r="P537" s="137">
        <f>IF(B537="Retired",MIN(MAX(K537-M537-N537-O537,0),((T536)*(1+$C$10)+IF(B537="Working",F96,0))),0)</f>
        <v/>
      </c>
      <c r="Q537" s="138">
        <f>MAX(((Q536)*(1+$C$10)+IF(B537="Working",J537,0))-M537,0)</f>
        <v/>
      </c>
      <c r="R537" s="138">
        <f>MAX(((R536)*(1+$C$10)+IF(B537="Working",E96,0))-N537,0)</f>
        <v/>
      </c>
      <c r="S537" s="138">
        <f>MAX(((S536)*(1+$C$10)+IF(B537="Working",I537,0))-O537,0)</f>
        <v/>
      </c>
      <c r="T537" s="138">
        <f>MAX(((T536)*(1+$C$10)+IF(B537="Working",F96,0))-P537,0)</f>
        <v/>
      </c>
      <c r="U537" s="138">
        <f>Q537+R537+S537+T537</f>
        <v/>
      </c>
      <c r="V537" s="138">
        <f>IF(B537="Working",MAX(-(((Q536)*(1+$C$10)+IF(B537="Working",J537,0))),0),MAX(K537-L537,0))</f>
        <v/>
      </c>
      <c r="W537" s="138">
        <f>IF(OR(A537&gt;=$C$13,B537="Retired"),IF(V537&gt;0,-V537,U537-'Model Inputs'!$B$18),"")</f>
        <v/>
      </c>
      <c r="X537" s="138">
        <f>IF(AND($L$233&gt;0,A537&gt;=$C$13),$L$233*(1+$C$25)^(A537-$C$13),0)</f>
        <v/>
      </c>
      <c r="Y537" s="138">
        <f>IF(OR($L$233&lt;=0,$C$17&lt;=0,A537&lt;$C$13,MIN(MAX((A537-$C$13+1)*12,0),$C$17*12)&gt;=$C$17*12),0,IF($C$16=0,MAX(MAX($L$233*(1-$C$15),0)-(IF($C$17&lt;=0,0,IF($C$16=0,MAX($L$233*(1-$C$15),0)/$C$17,-PMT($C$16/12,$C$17*12,MAX($L$233*(1-$C$15),0))*12))/12)*MIN(MAX((A537-$C$13+1)*12,0),$C$17*12),0),MAX(MAX($L$233*(1-$C$15),0)*(1+$C$16/12)^MIN(MAX((A537-$C$13+1)*12,0),$C$17*12)-(IF($C$17&lt;=0,0,IF($C$16=0,MAX($L$233*(1-$C$15),0)/$C$17,-PMT($C$16/12,$C$17*12,MAX($L$233*(1-$C$15),0))*12))/12)*(((1+$C$16/12)^MIN(MAX((A537-$C$13+1)*12,0),$C$17*12)-1)/($C$16/12)),0)))</f>
        <v/>
      </c>
      <c r="Z537" s="138">
        <f>MAX(X537-Y537,0)</f>
        <v/>
      </c>
      <c r="AA537" s="139">
        <f>U537+Z537</f>
        <v/>
      </c>
      <c r="AB537" s="5" t="n"/>
      <c r="AC537" s="5" t="n"/>
      <c r="AD537" s="5" t="n"/>
      <c r="AE537" s="5" t="n"/>
      <c r="AF537" s="5" t="n"/>
      <c r="AG537" s="5" t="n"/>
    </row>
    <row r="538" outlineLevel="1" s="326">
      <c r="A538" s="140" t="n">
        <v>18</v>
      </c>
      <c r="B538" s="40">
        <f>B97</f>
        <v/>
      </c>
      <c r="C538" s="141">
        <f>D97</f>
        <v/>
      </c>
      <c r="D538" s="141">
        <f>I97</f>
        <v/>
      </c>
      <c r="E538" s="141">
        <f>J97</f>
        <v/>
      </c>
      <c r="F538" s="141">
        <f>K97</f>
        <v/>
      </c>
      <c r="G538" s="138">
        <f>IF(AND($L$233&gt;0,A538=$C$13),$L$233*($C$15+$C$18),0)+IF(AND($L$233&gt;0,A538=$C$13),$C$24,0)</f>
        <v/>
      </c>
      <c r="H538" s="138">
        <f>IF(OR($L$233&lt;=0,A538&lt;$C$13),0,IF(AND($L$233&gt;0,$C$17&gt;0,A538&gt;=$C$13,A538&lt;($C$13+$C$17)),IF($C$17&lt;=0,0,IF($C$16=0,MAX($L$233*(1-$C$15),0)/$C$17,-PMT($C$16/12,$C$17*12,MAX($L$233*(1-$C$15),0))*12)),0)+X538*($C$19+$C$20+$C$21)+$C$22+$C$23)</f>
        <v/>
      </c>
      <c r="I538" s="138">
        <f>IF(B538="Working",MIN(MAX(D538-E538-F538-G538-H538,0),'Tax Assumptions'!$B$20),0)</f>
        <v/>
      </c>
      <c r="J538" s="138">
        <f>IF(B538="Working",D538-E538-F538-I538-G538-H538,-L538)</f>
        <v/>
      </c>
      <c r="K538" s="141">
        <f>IF(B538="Retired",$N$233+G538+H538,0)</f>
        <v/>
      </c>
      <c r="L538" s="141">
        <f>M538+N538+O538+P538</f>
        <v/>
      </c>
      <c r="M538" s="141">
        <f>IF(B538="Retired",MIN(((Q537)*(1+$C$10)+IF(B538="Working",J538,0)),K538),0)</f>
        <v/>
      </c>
      <c r="N538" s="141">
        <f>IF(B538="Retired",MIN(MAX(K538-M538,0),((R537)*(1+$C$10)+IF(B538="Working",E97,0))),0)</f>
        <v/>
      </c>
      <c r="O538" s="141">
        <f>IF(B538="Retired",MIN(MAX(K538-M538-N538,0),((S537)*(1+$C$10)+IF(B538="Working",I538,0))),0)</f>
        <v/>
      </c>
      <c r="P538" s="141">
        <f>IF(B538="Retired",MIN(MAX(K538-M538-N538-O538,0),((T537)*(1+$C$10)+IF(B538="Working",F97,0))),0)</f>
        <v/>
      </c>
      <c r="Q538" s="138">
        <f>MAX(((Q537)*(1+$C$10)+IF(B538="Working",J538,0))-M538,0)</f>
        <v/>
      </c>
      <c r="R538" s="138">
        <f>MAX(((R537)*(1+$C$10)+IF(B538="Working",E97,0))-N538,0)</f>
        <v/>
      </c>
      <c r="S538" s="138">
        <f>MAX(((S537)*(1+$C$10)+IF(B538="Working",I538,0))-O538,0)</f>
        <v/>
      </c>
      <c r="T538" s="138">
        <f>MAX(((T537)*(1+$C$10)+IF(B538="Working",F97,0))-P538,0)</f>
        <v/>
      </c>
      <c r="U538" s="138">
        <f>Q538+R538+S538+T538</f>
        <v/>
      </c>
      <c r="V538" s="138">
        <f>IF(B538="Working",MAX(-(((Q537)*(1+$C$10)+IF(B538="Working",J538,0))),0),MAX(K538-L538,0))</f>
        <v/>
      </c>
      <c r="W538" s="138">
        <f>IF(OR(A538&gt;=$C$13,B538="Retired"),IF(V538&gt;0,-V538,U538-'Model Inputs'!$B$18),"")</f>
        <v/>
      </c>
      <c r="X538" s="138">
        <f>IF(AND($L$233&gt;0,A538&gt;=$C$13),$L$233*(1+$C$25)^(A538-$C$13),0)</f>
        <v/>
      </c>
      <c r="Y538" s="138">
        <f>IF(OR($L$233&lt;=0,$C$17&lt;=0,A538&lt;$C$13,MIN(MAX((A538-$C$13+1)*12,0),$C$17*12)&gt;=$C$17*12),0,IF($C$16=0,MAX(MAX($L$233*(1-$C$15),0)-(IF($C$17&lt;=0,0,IF($C$16=0,MAX($L$233*(1-$C$15),0)/$C$17,-PMT($C$16/12,$C$17*12,MAX($L$233*(1-$C$15),0))*12))/12)*MIN(MAX((A538-$C$13+1)*12,0),$C$17*12),0),MAX(MAX($L$233*(1-$C$15),0)*(1+$C$16/12)^MIN(MAX((A538-$C$13+1)*12,0),$C$17*12)-(IF($C$17&lt;=0,0,IF($C$16=0,MAX($L$233*(1-$C$15),0)/$C$17,-PMT($C$16/12,$C$17*12,MAX($L$233*(1-$C$15),0))*12))/12)*(((1+$C$16/12)^MIN(MAX((A538-$C$13+1)*12,0),$C$17*12)-1)/($C$16/12)),0)))</f>
        <v/>
      </c>
      <c r="Z538" s="138">
        <f>MAX(X538-Y538,0)</f>
        <v/>
      </c>
      <c r="AA538" s="142">
        <f>U538+Z538</f>
        <v/>
      </c>
      <c r="AB538" s="5" t="n"/>
      <c r="AC538" s="5" t="n"/>
      <c r="AD538" s="5" t="n"/>
      <c r="AE538" s="5" t="n"/>
      <c r="AF538" s="5" t="n"/>
      <c r="AG538" s="5" t="n"/>
    </row>
    <row r="539" outlineLevel="1" s="326">
      <c r="A539" s="136" t="n">
        <v>19</v>
      </c>
      <c r="B539" s="72">
        <f>B98</f>
        <v/>
      </c>
      <c r="C539" s="137">
        <f>D98</f>
        <v/>
      </c>
      <c r="D539" s="137">
        <f>I98</f>
        <v/>
      </c>
      <c r="E539" s="137">
        <f>J98</f>
        <v/>
      </c>
      <c r="F539" s="137">
        <f>K98</f>
        <v/>
      </c>
      <c r="G539" s="138">
        <f>IF(AND($L$233&gt;0,A539=$C$13),$L$233*($C$15+$C$18),0)+IF(AND($L$233&gt;0,A539=$C$13),$C$24,0)</f>
        <v/>
      </c>
      <c r="H539" s="138">
        <f>IF(OR($L$233&lt;=0,A539&lt;$C$13),0,IF(AND($L$233&gt;0,$C$17&gt;0,A539&gt;=$C$13,A539&lt;($C$13+$C$17)),IF($C$17&lt;=0,0,IF($C$16=0,MAX($L$233*(1-$C$15),0)/$C$17,-PMT($C$16/12,$C$17*12,MAX($L$233*(1-$C$15),0))*12)),0)+X539*($C$19+$C$20+$C$21)+$C$22+$C$23)</f>
        <v/>
      </c>
      <c r="I539" s="138">
        <f>IF(B539="Working",MIN(MAX(D539-E539-F539-G539-H539,0),'Tax Assumptions'!$B$20),0)</f>
        <v/>
      </c>
      <c r="J539" s="138">
        <f>IF(B539="Working",D539-E539-F539-I539-G539-H539,-L539)</f>
        <v/>
      </c>
      <c r="K539" s="137">
        <f>IF(B539="Retired",$N$233+G539+H539,0)</f>
        <v/>
      </c>
      <c r="L539" s="137">
        <f>M539+N539+O539+P539</f>
        <v/>
      </c>
      <c r="M539" s="137">
        <f>IF(B539="Retired",MIN(((Q538)*(1+$C$10)+IF(B539="Working",J539,0)),K539),0)</f>
        <v/>
      </c>
      <c r="N539" s="137">
        <f>IF(B539="Retired",MIN(MAX(K539-M539,0),((R538)*(1+$C$10)+IF(B539="Working",E98,0))),0)</f>
        <v/>
      </c>
      <c r="O539" s="137">
        <f>IF(B539="Retired",MIN(MAX(K539-M539-N539,0),((S538)*(1+$C$10)+IF(B539="Working",I539,0))),0)</f>
        <v/>
      </c>
      <c r="P539" s="137">
        <f>IF(B539="Retired",MIN(MAX(K539-M539-N539-O539,0),((T538)*(1+$C$10)+IF(B539="Working",F98,0))),0)</f>
        <v/>
      </c>
      <c r="Q539" s="138">
        <f>MAX(((Q538)*(1+$C$10)+IF(B539="Working",J539,0))-M539,0)</f>
        <v/>
      </c>
      <c r="R539" s="138">
        <f>MAX(((R538)*(1+$C$10)+IF(B539="Working",E98,0))-N539,0)</f>
        <v/>
      </c>
      <c r="S539" s="138">
        <f>MAX(((S538)*(1+$C$10)+IF(B539="Working",I539,0))-O539,0)</f>
        <v/>
      </c>
      <c r="T539" s="138">
        <f>MAX(((T538)*(1+$C$10)+IF(B539="Working",F98,0))-P539,0)</f>
        <v/>
      </c>
      <c r="U539" s="138">
        <f>Q539+R539+S539+T539</f>
        <v/>
      </c>
      <c r="V539" s="138">
        <f>IF(B539="Working",MAX(-(((Q538)*(1+$C$10)+IF(B539="Working",J539,0))),0),MAX(K539-L539,0))</f>
        <v/>
      </c>
      <c r="W539" s="138">
        <f>IF(OR(A539&gt;=$C$13,B539="Retired"),IF(V539&gt;0,-V539,U539-'Model Inputs'!$B$18),"")</f>
        <v/>
      </c>
      <c r="X539" s="138">
        <f>IF(AND($L$233&gt;0,A539&gt;=$C$13),$L$233*(1+$C$25)^(A539-$C$13),0)</f>
        <v/>
      </c>
      <c r="Y539" s="138">
        <f>IF(OR($L$233&lt;=0,$C$17&lt;=0,A539&lt;$C$13,MIN(MAX((A539-$C$13+1)*12,0),$C$17*12)&gt;=$C$17*12),0,IF($C$16=0,MAX(MAX($L$233*(1-$C$15),0)-(IF($C$17&lt;=0,0,IF($C$16=0,MAX($L$233*(1-$C$15),0)/$C$17,-PMT($C$16/12,$C$17*12,MAX($L$233*(1-$C$15),0))*12))/12)*MIN(MAX((A539-$C$13+1)*12,0),$C$17*12),0),MAX(MAX($L$233*(1-$C$15),0)*(1+$C$16/12)^MIN(MAX((A539-$C$13+1)*12,0),$C$17*12)-(IF($C$17&lt;=0,0,IF($C$16=0,MAX($L$233*(1-$C$15),0)/$C$17,-PMT($C$16/12,$C$17*12,MAX($L$233*(1-$C$15),0))*12))/12)*(((1+$C$16/12)^MIN(MAX((A539-$C$13+1)*12,0),$C$17*12)-1)/($C$16/12)),0)))</f>
        <v/>
      </c>
      <c r="Z539" s="138">
        <f>MAX(X539-Y539,0)</f>
        <v/>
      </c>
      <c r="AA539" s="139">
        <f>U539+Z539</f>
        <v/>
      </c>
      <c r="AB539" s="5" t="n"/>
      <c r="AC539" s="5" t="n"/>
      <c r="AD539" s="5" t="n"/>
      <c r="AE539" s="5" t="n"/>
      <c r="AF539" s="5" t="n"/>
      <c r="AG539" s="5" t="n"/>
    </row>
    <row r="540" outlineLevel="1" s="326">
      <c r="A540" s="140" t="n">
        <v>20</v>
      </c>
      <c r="B540" s="40">
        <f>B99</f>
        <v/>
      </c>
      <c r="C540" s="141">
        <f>D99</f>
        <v/>
      </c>
      <c r="D540" s="141">
        <f>I99</f>
        <v/>
      </c>
      <c r="E540" s="141">
        <f>J99</f>
        <v/>
      </c>
      <c r="F540" s="141">
        <f>K99</f>
        <v/>
      </c>
      <c r="G540" s="138">
        <f>IF(AND($L$233&gt;0,A540=$C$13),$L$233*($C$15+$C$18),0)+IF(AND($L$233&gt;0,A540=$C$13),$C$24,0)</f>
        <v/>
      </c>
      <c r="H540" s="138">
        <f>IF(OR($L$233&lt;=0,A540&lt;$C$13),0,IF(AND($L$233&gt;0,$C$17&gt;0,A540&gt;=$C$13,A540&lt;($C$13+$C$17)),IF($C$17&lt;=0,0,IF($C$16=0,MAX($L$233*(1-$C$15),0)/$C$17,-PMT($C$16/12,$C$17*12,MAX($L$233*(1-$C$15),0))*12)),0)+X540*($C$19+$C$20+$C$21)+$C$22+$C$23)</f>
        <v/>
      </c>
      <c r="I540" s="138">
        <f>IF(B540="Working",MIN(MAX(D540-E540-F540-G540-H540,0),'Tax Assumptions'!$B$20),0)</f>
        <v/>
      </c>
      <c r="J540" s="138">
        <f>IF(B540="Working",D540-E540-F540-I540-G540-H540,-L540)</f>
        <v/>
      </c>
      <c r="K540" s="141">
        <f>IF(B540="Retired",$N$233+G540+H540,0)</f>
        <v/>
      </c>
      <c r="L540" s="141">
        <f>M540+N540+O540+P540</f>
        <v/>
      </c>
      <c r="M540" s="141">
        <f>IF(B540="Retired",MIN(((Q539)*(1+$C$10)+IF(B540="Working",J540,0)),K540),0)</f>
        <v/>
      </c>
      <c r="N540" s="141">
        <f>IF(B540="Retired",MIN(MAX(K540-M540,0),((R539)*(1+$C$10)+IF(B540="Working",E99,0))),0)</f>
        <v/>
      </c>
      <c r="O540" s="141">
        <f>IF(B540="Retired",MIN(MAX(K540-M540-N540,0),((S539)*(1+$C$10)+IF(B540="Working",I540,0))),0)</f>
        <v/>
      </c>
      <c r="P540" s="141">
        <f>IF(B540="Retired",MIN(MAX(K540-M540-N540-O540,0),((T539)*(1+$C$10)+IF(B540="Working",F99,0))),0)</f>
        <v/>
      </c>
      <c r="Q540" s="138">
        <f>MAX(((Q539)*(1+$C$10)+IF(B540="Working",J540,0))-M540,0)</f>
        <v/>
      </c>
      <c r="R540" s="138">
        <f>MAX(((R539)*(1+$C$10)+IF(B540="Working",E99,0))-N540,0)</f>
        <v/>
      </c>
      <c r="S540" s="138">
        <f>MAX(((S539)*(1+$C$10)+IF(B540="Working",I540,0))-O540,0)</f>
        <v/>
      </c>
      <c r="T540" s="138">
        <f>MAX(((T539)*(1+$C$10)+IF(B540="Working",F99,0))-P540,0)</f>
        <v/>
      </c>
      <c r="U540" s="138">
        <f>Q540+R540+S540+T540</f>
        <v/>
      </c>
      <c r="V540" s="138">
        <f>IF(B540="Working",MAX(-(((Q539)*(1+$C$10)+IF(B540="Working",J540,0))),0),MAX(K540-L540,0))</f>
        <v/>
      </c>
      <c r="W540" s="138">
        <f>IF(OR(A540&gt;=$C$13,B540="Retired"),IF(V540&gt;0,-V540,U540-'Model Inputs'!$B$18),"")</f>
        <v/>
      </c>
      <c r="X540" s="138">
        <f>IF(AND($L$233&gt;0,A540&gt;=$C$13),$L$233*(1+$C$25)^(A540-$C$13),0)</f>
        <v/>
      </c>
      <c r="Y540" s="138">
        <f>IF(OR($L$233&lt;=0,$C$17&lt;=0,A540&lt;$C$13,MIN(MAX((A540-$C$13+1)*12,0),$C$17*12)&gt;=$C$17*12),0,IF($C$16=0,MAX(MAX($L$233*(1-$C$15),0)-(IF($C$17&lt;=0,0,IF($C$16=0,MAX($L$233*(1-$C$15),0)/$C$17,-PMT($C$16/12,$C$17*12,MAX($L$233*(1-$C$15),0))*12))/12)*MIN(MAX((A540-$C$13+1)*12,0),$C$17*12),0),MAX(MAX($L$233*(1-$C$15),0)*(1+$C$16/12)^MIN(MAX((A540-$C$13+1)*12,0),$C$17*12)-(IF($C$17&lt;=0,0,IF($C$16=0,MAX($L$233*(1-$C$15),0)/$C$17,-PMT($C$16/12,$C$17*12,MAX($L$233*(1-$C$15),0))*12))/12)*(((1+$C$16/12)^MIN(MAX((A540-$C$13+1)*12,0),$C$17*12)-1)/($C$16/12)),0)))</f>
        <v/>
      </c>
      <c r="Z540" s="138">
        <f>MAX(X540-Y540,0)</f>
        <v/>
      </c>
      <c r="AA540" s="142">
        <f>U540+Z540</f>
        <v/>
      </c>
      <c r="AB540" s="5" t="n"/>
      <c r="AC540" s="5" t="n"/>
      <c r="AD540" s="5" t="n"/>
      <c r="AE540" s="5" t="n"/>
      <c r="AF540" s="5" t="n"/>
      <c r="AG540" s="5" t="n"/>
    </row>
    <row r="541" outlineLevel="1" s="326">
      <c r="A541" s="136" t="n">
        <v>21</v>
      </c>
      <c r="B541" s="72">
        <f>B100</f>
        <v/>
      </c>
      <c r="C541" s="137">
        <f>D100</f>
        <v/>
      </c>
      <c r="D541" s="137">
        <f>I100</f>
        <v/>
      </c>
      <c r="E541" s="137">
        <f>J100</f>
        <v/>
      </c>
      <c r="F541" s="137">
        <f>K100</f>
        <v/>
      </c>
      <c r="G541" s="138">
        <f>IF(AND($L$233&gt;0,A541=$C$13),$L$233*($C$15+$C$18),0)+IF(AND($L$233&gt;0,A541=$C$13),$C$24,0)</f>
        <v/>
      </c>
      <c r="H541" s="138">
        <f>IF(OR($L$233&lt;=0,A541&lt;$C$13),0,IF(AND($L$233&gt;0,$C$17&gt;0,A541&gt;=$C$13,A541&lt;($C$13+$C$17)),IF($C$17&lt;=0,0,IF($C$16=0,MAX($L$233*(1-$C$15),0)/$C$17,-PMT($C$16/12,$C$17*12,MAX($L$233*(1-$C$15),0))*12)),0)+X541*($C$19+$C$20+$C$21)+$C$22+$C$23)</f>
        <v/>
      </c>
      <c r="I541" s="138">
        <f>IF(B541="Working",MIN(MAX(D541-E541-F541-G541-H541,0),'Tax Assumptions'!$B$20),0)</f>
        <v/>
      </c>
      <c r="J541" s="138">
        <f>IF(B541="Working",D541-E541-F541-I541-G541-H541,-L541)</f>
        <v/>
      </c>
      <c r="K541" s="137">
        <f>IF(B541="Retired",$N$233+G541+H541,0)</f>
        <v/>
      </c>
      <c r="L541" s="137">
        <f>M541+N541+O541+P541</f>
        <v/>
      </c>
      <c r="M541" s="137">
        <f>IF(B541="Retired",MIN(((Q540)*(1+$C$10)+IF(B541="Working",J541,0)),K541),0)</f>
        <v/>
      </c>
      <c r="N541" s="137">
        <f>IF(B541="Retired",MIN(MAX(K541-M541,0),((R540)*(1+$C$10)+IF(B541="Working",E100,0))),0)</f>
        <v/>
      </c>
      <c r="O541" s="137">
        <f>IF(B541="Retired",MIN(MAX(K541-M541-N541,0),((S540)*(1+$C$10)+IF(B541="Working",I541,0))),0)</f>
        <v/>
      </c>
      <c r="P541" s="137">
        <f>IF(B541="Retired",MIN(MAX(K541-M541-N541-O541,0),((T540)*(1+$C$10)+IF(B541="Working",F100,0))),0)</f>
        <v/>
      </c>
      <c r="Q541" s="138">
        <f>MAX(((Q540)*(1+$C$10)+IF(B541="Working",J541,0))-M541,0)</f>
        <v/>
      </c>
      <c r="R541" s="138">
        <f>MAX(((R540)*(1+$C$10)+IF(B541="Working",E100,0))-N541,0)</f>
        <v/>
      </c>
      <c r="S541" s="138">
        <f>MAX(((S540)*(1+$C$10)+IF(B541="Working",I541,0))-O541,0)</f>
        <v/>
      </c>
      <c r="T541" s="138">
        <f>MAX(((T540)*(1+$C$10)+IF(B541="Working",F100,0))-P541,0)</f>
        <v/>
      </c>
      <c r="U541" s="138">
        <f>Q541+R541+S541+T541</f>
        <v/>
      </c>
      <c r="V541" s="138">
        <f>IF(B541="Working",MAX(-(((Q540)*(1+$C$10)+IF(B541="Working",J541,0))),0),MAX(K541-L541,0))</f>
        <v/>
      </c>
      <c r="W541" s="138">
        <f>IF(OR(A541&gt;=$C$13,B541="Retired"),IF(V541&gt;0,-V541,U541-'Model Inputs'!$B$18),"")</f>
        <v/>
      </c>
      <c r="X541" s="138">
        <f>IF(AND($L$233&gt;0,A541&gt;=$C$13),$L$233*(1+$C$25)^(A541-$C$13),0)</f>
        <v/>
      </c>
      <c r="Y541" s="138">
        <f>IF(OR($L$233&lt;=0,$C$17&lt;=0,A541&lt;$C$13,MIN(MAX((A541-$C$13+1)*12,0),$C$17*12)&gt;=$C$17*12),0,IF($C$16=0,MAX(MAX($L$233*(1-$C$15),0)-(IF($C$17&lt;=0,0,IF($C$16=0,MAX($L$233*(1-$C$15),0)/$C$17,-PMT($C$16/12,$C$17*12,MAX($L$233*(1-$C$15),0))*12))/12)*MIN(MAX((A541-$C$13+1)*12,0),$C$17*12),0),MAX(MAX($L$233*(1-$C$15),0)*(1+$C$16/12)^MIN(MAX((A541-$C$13+1)*12,0),$C$17*12)-(IF($C$17&lt;=0,0,IF($C$16=0,MAX($L$233*(1-$C$15),0)/$C$17,-PMT($C$16/12,$C$17*12,MAX($L$233*(1-$C$15),0))*12))/12)*(((1+$C$16/12)^MIN(MAX((A541-$C$13+1)*12,0),$C$17*12)-1)/($C$16/12)),0)))</f>
        <v/>
      </c>
      <c r="Z541" s="138">
        <f>MAX(X541-Y541,0)</f>
        <v/>
      </c>
      <c r="AA541" s="139">
        <f>U541+Z541</f>
        <v/>
      </c>
      <c r="AB541" s="5" t="n"/>
      <c r="AC541" s="5" t="n"/>
      <c r="AD541" s="5" t="n"/>
      <c r="AE541" s="5" t="n"/>
      <c r="AF541" s="5" t="n"/>
      <c r="AG541" s="5" t="n"/>
    </row>
    <row r="542" outlineLevel="1" s="326">
      <c r="A542" s="140" t="n">
        <v>22</v>
      </c>
      <c r="B542" s="40">
        <f>B101</f>
        <v/>
      </c>
      <c r="C542" s="141">
        <f>D101</f>
        <v/>
      </c>
      <c r="D542" s="141">
        <f>I101</f>
        <v/>
      </c>
      <c r="E542" s="141">
        <f>J101</f>
        <v/>
      </c>
      <c r="F542" s="141">
        <f>K101</f>
        <v/>
      </c>
      <c r="G542" s="138">
        <f>IF(AND($L$233&gt;0,A542=$C$13),$L$233*($C$15+$C$18),0)+IF(AND($L$233&gt;0,A542=$C$13),$C$24,0)</f>
        <v/>
      </c>
      <c r="H542" s="138">
        <f>IF(OR($L$233&lt;=0,A542&lt;$C$13),0,IF(AND($L$233&gt;0,$C$17&gt;0,A542&gt;=$C$13,A542&lt;($C$13+$C$17)),IF($C$17&lt;=0,0,IF($C$16=0,MAX($L$233*(1-$C$15),0)/$C$17,-PMT($C$16/12,$C$17*12,MAX($L$233*(1-$C$15),0))*12)),0)+X542*($C$19+$C$20+$C$21)+$C$22+$C$23)</f>
        <v/>
      </c>
      <c r="I542" s="138">
        <f>IF(B542="Working",MIN(MAX(D542-E542-F542-G542-H542,0),'Tax Assumptions'!$B$20),0)</f>
        <v/>
      </c>
      <c r="J542" s="138">
        <f>IF(B542="Working",D542-E542-F542-I542-G542-H542,-L542)</f>
        <v/>
      </c>
      <c r="K542" s="141">
        <f>IF(B542="Retired",$N$233+G542+H542,0)</f>
        <v/>
      </c>
      <c r="L542" s="141">
        <f>M542+N542+O542+P542</f>
        <v/>
      </c>
      <c r="M542" s="141">
        <f>IF(B542="Retired",MIN(((Q541)*(1+$C$10)+IF(B542="Working",J542,0)),K542),0)</f>
        <v/>
      </c>
      <c r="N542" s="141">
        <f>IF(B542="Retired",MIN(MAX(K542-M542,0),((R541)*(1+$C$10)+IF(B542="Working",E101,0))),0)</f>
        <v/>
      </c>
      <c r="O542" s="141">
        <f>IF(B542="Retired",MIN(MAX(K542-M542-N542,0),((S541)*(1+$C$10)+IF(B542="Working",I542,0))),0)</f>
        <v/>
      </c>
      <c r="P542" s="141">
        <f>IF(B542="Retired",MIN(MAX(K542-M542-N542-O542,0),((T541)*(1+$C$10)+IF(B542="Working",F101,0))),0)</f>
        <v/>
      </c>
      <c r="Q542" s="138">
        <f>MAX(((Q541)*(1+$C$10)+IF(B542="Working",J542,0))-M542,0)</f>
        <v/>
      </c>
      <c r="R542" s="138">
        <f>MAX(((R541)*(1+$C$10)+IF(B542="Working",E101,0))-N542,0)</f>
        <v/>
      </c>
      <c r="S542" s="138">
        <f>MAX(((S541)*(1+$C$10)+IF(B542="Working",I542,0))-O542,0)</f>
        <v/>
      </c>
      <c r="T542" s="138">
        <f>MAX(((T541)*(1+$C$10)+IF(B542="Working",F101,0))-P542,0)</f>
        <v/>
      </c>
      <c r="U542" s="138">
        <f>Q542+R542+S542+T542</f>
        <v/>
      </c>
      <c r="V542" s="138">
        <f>IF(B542="Working",MAX(-(((Q541)*(1+$C$10)+IF(B542="Working",J542,0))),0),MAX(K542-L542,0))</f>
        <v/>
      </c>
      <c r="W542" s="138">
        <f>IF(OR(A542&gt;=$C$13,B542="Retired"),IF(V542&gt;0,-V542,U542-'Model Inputs'!$B$18),"")</f>
        <v/>
      </c>
      <c r="X542" s="138">
        <f>IF(AND($L$233&gt;0,A542&gt;=$C$13),$L$233*(1+$C$25)^(A542-$C$13),0)</f>
        <v/>
      </c>
      <c r="Y542" s="138">
        <f>IF(OR($L$233&lt;=0,$C$17&lt;=0,A542&lt;$C$13,MIN(MAX((A542-$C$13+1)*12,0),$C$17*12)&gt;=$C$17*12),0,IF($C$16=0,MAX(MAX($L$233*(1-$C$15),0)-(IF($C$17&lt;=0,0,IF($C$16=0,MAX($L$233*(1-$C$15),0)/$C$17,-PMT($C$16/12,$C$17*12,MAX($L$233*(1-$C$15),0))*12))/12)*MIN(MAX((A542-$C$13+1)*12,0),$C$17*12),0),MAX(MAX($L$233*(1-$C$15),0)*(1+$C$16/12)^MIN(MAX((A542-$C$13+1)*12,0),$C$17*12)-(IF($C$17&lt;=0,0,IF($C$16=0,MAX($L$233*(1-$C$15),0)/$C$17,-PMT($C$16/12,$C$17*12,MAX($L$233*(1-$C$15),0))*12))/12)*(((1+$C$16/12)^MIN(MAX((A542-$C$13+1)*12,0),$C$17*12)-1)/($C$16/12)),0)))</f>
        <v/>
      </c>
      <c r="Z542" s="138">
        <f>MAX(X542-Y542,0)</f>
        <v/>
      </c>
      <c r="AA542" s="142">
        <f>U542+Z542</f>
        <v/>
      </c>
      <c r="AB542" s="5" t="n"/>
      <c r="AC542" s="5" t="n"/>
      <c r="AD542" s="5" t="n"/>
      <c r="AE542" s="5" t="n"/>
      <c r="AF542" s="5" t="n"/>
      <c r="AG542" s="5" t="n"/>
    </row>
    <row r="543" outlineLevel="1" s="326">
      <c r="A543" s="136" t="n">
        <v>23</v>
      </c>
      <c r="B543" s="72">
        <f>B102</f>
        <v/>
      </c>
      <c r="C543" s="137">
        <f>D102</f>
        <v/>
      </c>
      <c r="D543" s="137">
        <f>I102</f>
        <v/>
      </c>
      <c r="E543" s="137">
        <f>J102</f>
        <v/>
      </c>
      <c r="F543" s="137">
        <f>K102</f>
        <v/>
      </c>
      <c r="G543" s="138">
        <f>IF(AND($L$233&gt;0,A543=$C$13),$L$233*($C$15+$C$18),0)+IF(AND($L$233&gt;0,A543=$C$13),$C$24,0)</f>
        <v/>
      </c>
      <c r="H543" s="138">
        <f>IF(OR($L$233&lt;=0,A543&lt;$C$13),0,IF(AND($L$233&gt;0,$C$17&gt;0,A543&gt;=$C$13,A543&lt;($C$13+$C$17)),IF($C$17&lt;=0,0,IF($C$16=0,MAX($L$233*(1-$C$15),0)/$C$17,-PMT($C$16/12,$C$17*12,MAX($L$233*(1-$C$15),0))*12)),0)+X543*($C$19+$C$20+$C$21)+$C$22+$C$23)</f>
        <v/>
      </c>
      <c r="I543" s="138">
        <f>IF(B543="Working",MIN(MAX(D543-E543-F543-G543-H543,0),'Tax Assumptions'!$B$20),0)</f>
        <v/>
      </c>
      <c r="J543" s="138">
        <f>IF(B543="Working",D543-E543-F543-I543-G543-H543,-L543)</f>
        <v/>
      </c>
      <c r="K543" s="137">
        <f>IF(B543="Retired",$N$233+G543+H543,0)</f>
        <v/>
      </c>
      <c r="L543" s="137">
        <f>M543+N543+O543+P543</f>
        <v/>
      </c>
      <c r="M543" s="137">
        <f>IF(B543="Retired",MIN(((Q542)*(1+$C$10)+IF(B543="Working",J543,0)),K543),0)</f>
        <v/>
      </c>
      <c r="N543" s="137">
        <f>IF(B543="Retired",MIN(MAX(K543-M543,0),((R542)*(1+$C$10)+IF(B543="Working",E102,0))),0)</f>
        <v/>
      </c>
      <c r="O543" s="137">
        <f>IF(B543="Retired",MIN(MAX(K543-M543-N543,0),((S542)*(1+$C$10)+IF(B543="Working",I543,0))),0)</f>
        <v/>
      </c>
      <c r="P543" s="137">
        <f>IF(B543="Retired",MIN(MAX(K543-M543-N543-O543,0),((T542)*(1+$C$10)+IF(B543="Working",F102,0))),0)</f>
        <v/>
      </c>
      <c r="Q543" s="138">
        <f>MAX(((Q542)*(1+$C$10)+IF(B543="Working",J543,0))-M543,0)</f>
        <v/>
      </c>
      <c r="R543" s="138">
        <f>MAX(((R542)*(1+$C$10)+IF(B543="Working",E102,0))-N543,0)</f>
        <v/>
      </c>
      <c r="S543" s="138">
        <f>MAX(((S542)*(1+$C$10)+IF(B543="Working",I543,0))-O543,0)</f>
        <v/>
      </c>
      <c r="T543" s="138">
        <f>MAX(((T542)*(1+$C$10)+IF(B543="Working",F102,0))-P543,0)</f>
        <v/>
      </c>
      <c r="U543" s="138">
        <f>Q543+R543+S543+T543</f>
        <v/>
      </c>
      <c r="V543" s="138">
        <f>IF(B543="Working",MAX(-(((Q542)*(1+$C$10)+IF(B543="Working",J543,0))),0),MAX(K543-L543,0))</f>
        <v/>
      </c>
      <c r="W543" s="138">
        <f>IF(OR(A543&gt;=$C$13,B543="Retired"),IF(V543&gt;0,-V543,U543-'Model Inputs'!$B$18),"")</f>
        <v/>
      </c>
      <c r="X543" s="138">
        <f>IF(AND($L$233&gt;0,A543&gt;=$C$13),$L$233*(1+$C$25)^(A543-$C$13),0)</f>
        <v/>
      </c>
      <c r="Y543" s="138">
        <f>IF(OR($L$233&lt;=0,$C$17&lt;=0,A543&lt;$C$13,MIN(MAX((A543-$C$13+1)*12,0),$C$17*12)&gt;=$C$17*12),0,IF($C$16=0,MAX(MAX($L$233*(1-$C$15),0)-(IF($C$17&lt;=0,0,IF($C$16=0,MAX($L$233*(1-$C$15),0)/$C$17,-PMT($C$16/12,$C$17*12,MAX($L$233*(1-$C$15),0))*12))/12)*MIN(MAX((A543-$C$13+1)*12,0),$C$17*12),0),MAX(MAX($L$233*(1-$C$15),0)*(1+$C$16/12)^MIN(MAX((A543-$C$13+1)*12,0),$C$17*12)-(IF($C$17&lt;=0,0,IF($C$16=0,MAX($L$233*(1-$C$15),0)/$C$17,-PMT($C$16/12,$C$17*12,MAX($L$233*(1-$C$15),0))*12))/12)*(((1+$C$16/12)^MIN(MAX((A543-$C$13+1)*12,0),$C$17*12)-1)/($C$16/12)),0)))</f>
        <v/>
      </c>
      <c r="Z543" s="138">
        <f>MAX(X543-Y543,0)</f>
        <v/>
      </c>
      <c r="AA543" s="139">
        <f>U543+Z543</f>
        <v/>
      </c>
      <c r="AB543" s="5" t="n"/>
      <c r="AC543" s="5" t="n"/>
      <c r="AD543" s="5" t="n"/>
      <c r="AE543" s="5" t="n"/>
      <c r="AF543" s="5" t="n"/>
      <c r="AG543" s="5" t="n"/>
    </row>
    <row r="544" outlineLevel="1" s="326">
      <c r="A544" s="140" t="n">
        <v>24</v>
      </c>
      <c r="B544" s="40">
        <f>B103</f>
        <v/>
      </c>
      <c r="C544" s="141">
        <f>D103</f>
        <v/>
      </c>
      <c r="D544" s="141">
        <f>I103</f>
        <v/>
      </c>
      <c r="E544" s="141">
        <f>J103</f>
        <v/>
      </c>
      <c r="F544" s="141">
        <f>K103</f>
        <v/>
      </c>
      <c r="G544" s="138">
        <f>IF(AND($L$233&gt;0,A544=$C$13),$L$233*($C$15+$C$18),0)+IF(AND($L$233&gt;0,A544=$C$13),$C$24,0)</f>
        <v/>
      </c>
      <c r="H544" s="138">
        <f>IF(OR($L$233&lt;=0,A544&lt;$C$13),0,IF(AND($L$233&gt;0,$C$17&gt;0,A544&gt;=$C$13,A544&lt;($C$13+$C$17)),IF($C$17&lt;=0,0,IF($C$16=0,MAX($L$233*(1-$C$15),0)/$C$17,-PMT($C$16/12,$C$17*12,MAX($L$233*(1-$C$15),0))*12)),0)+X544*($C$19+$C$20+$C$21)+$C$22+$C$23)</f>
        <v/>
      </c>
      <c r="I544" s="138">
        <f>IF(B544="Working",MIN(MAX(D544-E544-F544-G544-H544,0),'Tax Assumptions'!$B$20),0)</f>
        <v/>
      </c>
      <c r="J544" s="138">
        <f>IF(B544="Working",D544-E544-F544-I544-G544-H544,-L544)</f>
        <v/>
      </c>
      <c r="K544" s="141">
        <f>IF(B544="Retired",$N$233+G544+H544,0)</f>
        <v/>
      </c>
      <c r="L544" s="141">
        <f>M544+N544+O544+P544</f>
        <v/>
      </c>
      <c r="M544" s="141">
        <f>IF(B544="Retired",MIN(((Q543)*(1+$C$10)+IF(B544="Working",J544,0)),K544),0)</f>
        <v/>
      </c>
      <c r="N544" s="141">
        <f>IF(B544="Retired",MIN(MAX(K544-M544,0),((R543)*(1+$C$10)+IF(B544="Working",E103,0))),0)</f>
        <v/>
      </c>
      <c r="O544" s="141">
        <f>IF(B544="Retired",MIN(MAX(K544-M544-N544,0),((S543)*(1+$C$10)+IF(B544="Working",I544,0))),0)</f>
        <v/>
      </c>
      <c r="P544" s="141">
        <f>IF(B544="Retired",MIN(MAX(K544-M544-N544-O544,0),((T543)*(1+$C$10)+IF(B544="Working",F103,0))),0)</f>
        <v/>
      </c>
      <c r="Q544" s="138">
        <f>MAX(((Q543)*(1+$C$10)+IF(B544="Working",J544,0))-M544,0)</f>
        <v/>
      </c>
      <c r="R544" s="138">
        <f>MAX(((R543)*(1+$C$10)+IF(B544="Working",E103,0))-N544,0)</f>
        <v/>
      </c>
      <c r="S544" s="138">
        <f>MAX(((S543)*(1+$C$10)+IF(B544="Working",I544,0))-O544,0)</f>
        <v/>
      </c>
      <c r="T544" s="138">
        <f>MAX(((T543)*(1+$C$10)+IF(B544="Working",F103,0))-P544,0)</f>
        <v/>
      </c>
      <c r="U544" s="138">
        <f>Q544+R544+S544+T544</f>
        <v/>
      </c>
      <c r="V544" s="138">
        <f>IF(B544="Working",MAX(-(((Q543)*(1+$C$10)+IF(B544="Working",J544,0))),0),MAX(K544-L544,0))</f>
        <v/>
      </c>
      <c r="W544" s="138">
        <f>IF(OR(A544&gt;=$C$13,B544="Retired"),IF(V544&gt;0,-V544,U544-'Model Inputs'!$B$18),"")</f>
        <v/>
      </c>
      <c r="X544" s="138">
        <f>IF(AND($L$233&gt;0,A544&gt;=$C$13),$L$233*(1+$C$25)^(A544-$C$13),0)</f>
        <v/>
      </c>
      <c r="Y544" s="138">
        <f>IF(OR($L$233&lt;=0,$C$17&lt;=0,A544&lt;$C$13,MIN(MAX((A544-$C$13+1)*12,0),$C$17*12)&gt;=$C$17*12),0,IF($C$16=0,MAX(MAX($L$233*(1-$C$15),0)-(IF($C$17&lt;=0,0,IF($C$16=0,MAX($L$233*(1-$C$15),0)/$C$17,-PMT($C$16/12,$C$17*12,MAX($L$233*(1-$C$15),0))*12))/12)*MIN(MAX((A544-$C$13+1)*12,0),$C$17*12),0),MAX(MAX($L$233*(1-$C$15),0)*(1+$C$16/12)^MIN(MAX((A544-$C$13+1)*12,0),$C$17*12)-(IF($C$17&lt;=0,0,IF($C$16=0,MAX($L$233*(1-$C$15),0)/$C$17,-PMT($C$16/12,$C$17*12,MAX($L$233*(1-$C$15),0))*12))/12)*(((1+$C$16/12)^MIN(MAX((A544-$C$13+1)*12,0),$C$17*12)-1)/($C$16/12)),0)))</f>
        <v/>
      </c>
      <c r="Z544" s="138">
        <f>MAX(X544-Y544,0)</f>
        <v/>
      </c>
      <c r="AA544" s="142">
        <f>U544+Z544</f>
        <v/>
      </c>
      <c r="AB544" s="5" t="n"/>
      <c r="AC544" s="5" t="n"/>
      <c r="AD544" s="5" t="n"/>
      <c r="AE544" s="5" t="n"/>
      <c r="AF544" s="5" t="n"/>
      <c r="AG544" s="5" t="n"/>
    </row>
    <row r="545" outlineLevel="1" s="326">
      <c r="A545" s="136" t="n">
        <v>25</v>
      </c>
      <c r="B545" s="72">
        <f>B104</f>
        <v/>
      </c>
      <c r="C545" s="137">
        <f>D104</f>
        <v/>
      </c>
      <c r="D545" s="137">
        <f>I104</f>
        <v/>
      </c>
      <c r="E545" s="137">
        <f>J104</f>
        <v/>
      </c>
      <c r="F545" s="137">
        <f>K104</f>
        <v/>
      </c>
      <c r="G545" s="138">
        <f>IF(AND($L$233&gt;0,A545=$C$13),$L$233*($C$15+$C$18),0)+IF(AND($L$233&gt;0,A545=$C$13),$C$24,0)</f>
        <v/>
      </c>
      <c r="H545" s="138">
        <f>IF(OR($L$233&lt;=0,A545&lt;$C$13),0,IF(AND($L$233&gt;0,$C$17&gt;0,A545&gt;=$C$13,A545&lt;($C$13+$C$17)),IF($C$17&lt;=0,0,IF($C$16=0,MAX($L$233*(1-$C$15),0)/$C$17,-PMT($C$16/12,$C$17*12,MAX($L$233*(1-$C$15),0))*12)),0)+X545*($C$19+$C$20+$C$21)+$C$22+$C$23)</f>
        <v/>
      </c>
      <c r="I545" s="138">
        <f>IF(B545="Working",MIN(MAX(D545-E545-F545-G545-H545,0),'Tax Assumptions'!$B$20),0)</f>
        <v/>
      </c>
      <c r="J545" s="138">
        <f>IF(B545="Working",D545-E545-F545-I545-G545-H545,-L545)</f>
        <v/>
      </c>
      <c r="K545" s="137">
        <f>IF(B545="Retired",$N$233+G545+H545,0)</f>
        <v/>
      </c>
      <c r="L545" s="137">
        <f>M545+N545+O545+P545</f>
        <v/>
      </c>
      <c r="M545" s="137">
        <f>IF(B545="Retired",MIN(((Q544)*(1+$C$10)+IF(B545="Working",J545,0)),K545),0)</f>
        <v/>
      </c>
      <c r="N545" s="137">
        <f>IF(B545="Retired",MIN(MAX(K545-M545,0),((R544)*(1+$C$10)+IF(B545="Working",E104,0))),0)</f>
        <v/>
      </c>
      <c r="O545" s="137">
        <f>IF(B545="Retired",MIN(MAX(K545-M545-N545,0),((S544)*(1+$C$10)+IF(B545="Working",I545,0))),0)</f>
        <v/>
      </c>
      <c r="P545" s="137">
        <f>IF(B545="Retired",MIN(MAX(K545-M545-N545-O545,0),((T544)*(1+$C$10)+IF(B545="Working",F104,0))),0)</f>
        <v/>
      </c>
      <c r="Q545" s="138">
        <f>MAX(((Q544)*(1+$C$10)+IF(B545="Working",J545,0))-M545,0)</f>
        <v/>
      </c>
      <c r="R545" s="138">
        <f>MAX(((R544)*(1+$C$10)+IF(B545="Working",E104,0))-N545,0)</f>
        <v/>
      </c>
      <c r="S545" s="138">
        <f>MAX(((S544)*(1+$C$10)+IF(B545="Working",I545,0))-O545,0)</f>
        <v/>
      </c>
      <c r="T545" s="138">
        <f>MAX(((T544)*(1+$C$10)+IF(B545="Working",F104,0))-P545,0)</f>
        <v/>
      </c>
      <c r="U545" s="138">
        <f>Q545+R545+S545+T545</f>
        <v/>
      </c>
      <c r="V545" s="138">
        <f>IF(B545="Working",MAX(-(((Q544)*(1+$C$10)+IF(B545="Working",J545,0))),0),MAX(K545-L545,0))</f>
        <v/>
      </c>
      <c r="W545" s="138">
        <f>IF(OR(A545&gt;=$C$13,B545="Retired"),IF(V545&gt;0,-V545,U545-'Model Inputs'!$B$18),"")</f>
        <v/>
      </c>
      <c r="X545" s="138">
        <f>IF(AND($L$233&gt;0,A545&gt;=$C$13),$L$233*(1+$C$25)^(A545-$C$13),0)</f>
        <v/>
      </c>
      <c r="Y545" s="138">
        <f>IF(OR($L$233&lt;=0,$C$17&lt;=0,A545&lt;$C$13,MIN(MAX((A545-$C$13+1)*12,0),$C$17*12)&gt;=$C$17*12),0,IF($C$16=0,MAX(MAX($L$233*(1-$C$15),0)-(IF($C$17&lt;=0,0,IF($C$16=0,MAX($L$233*(1-$C$15),0)/$C$17,-PMT($C$16/12,$C$17*12,MAX($L$233*(1-$C$15),0))*12))/12)*MIN(MAX((A545-$C$13+1)*12,0),$C$17*12),0),MAX(MAX($L$233*(1-$C$15),0)*(1+$C$16/12)^MIN(MAX((A545-$C$13+1)*12,0),$C$17*12)-(IF($C$17&lt;=0,0,IF($C$16=0,MAX($L$233*(1-$C$15),0)/$C$17,-PMT($C$16/12,$C$17*12,MAX($L$233*(1-$C$15),0))*12))/12)*(((1+$C$16/12)^MIN(MAX((A545-$C$13+1)*12,0),$C$17*12)-1)/($C$16/12)),0)))</f>
        <v/>
      </c>
      <c r="Z545" s="138">
        <f>MAX(X545-Y545,0)</f>
        <v/>
      </c>
      <c r="AA545" s="139">
        <f>U545+Z545</f>
        <v/>
      </c>
      <c r="AB545" s="5" t="n"/>
      <c r="AC545" s="5" t="n"/>
      <c r="AD545" s="5" t="n"/>
      <c r="AE545" s="5" t="n"/>
      <c r="AF545" s="5" t="n"/>
      <c r="AG545" s="5" t="n"/>
    </row>
    <row r="546" outlineLevel="1" s="326">
      <c r="A546" s="140" t="n">
        <v>26</v>
      </c>
      <c r="B546" s="40">
        <f>B105</f>
        <v/>
      </c>
      <c r="C546" s="141">
        <f>D105</f>
        <v/>
      </c>
      <c r="D546" s="141">
        <f>I105</f>
        <v/>
      </c>
      <c r="E546" s="141">
        <f>J105</f>
        <v/>
      </c>
      <c r="F546" s="141">
        <f>K105</f>
        <v/>
      </c>
      <c r="G546" s="138">
        <f>IF(AND($L$233&gt;0,A546=$C$13),$L$233*($C$15+$C$18),0)+IF(AND($L$233&gt;0,A546=$C$13),$C$24,0)</f>
        <v/>
      </c>
      <c r="H546" s="138">
        <f>IF(OR($L$233&lt;=0,A546&lt;$C$13),0,IF(AND($L$233&gt;0,$C$17&gt;0,A546&gt;=$C$13,A546&lt;($C$13+$C$17)),IF($C$17&lt;=0,0,IF($C$16=0,MAX($L$233*(1-$C$15),0)/$C$17,-PMT($C$16/12,$C$17*12,MAX($L$233*(1-$C$15),0))*12)),0)+X546*($C$19+$C$20+$C$21)+$C$22+$C$23)</f>
        <v/>
      </c>
      <c r="I546" s="138">
        <f>IF(B546="Working",MIN(MAX(D546-E546-F546-G546-H546,0),'Tax Assumptions'!$B$20),0)</f>
        <v/>
      </c>
      <c r="J546" s="138">
        <f>IF(B546="Working",D546-E546-F546-I546-G546-H546,-L546)</f>
        <v/>
      </c>
      <c r="K546" s="141">
        <f>IF(B546="Retired",$N$233+G546+H546,0)</f>
        <v/>
      </c>
      <c r="L546" s="141">
        <f>M546+N546+O546+P546</f>
        <v/>
      </c>
      <c r="M546" s="141">
        <f>IF(B546="Retired",MIN(((Q545)*(1+$C$10)+IF(B546="Working",J546,0)),K546),0)</f>
        <v/>
      </c>
      <c r="N546" s="141">
        <f>IF(B546="Retired",MIN(MAX(K546-M546,0),((R545)*(1+$C$10)+IF(B546="Working",E105,0))),0)</f>
        <v/>
      </c>
      <c r="O546" s="141">
        <f>IF(B546="Retired",MIN(MAX(K546-M546-N546,0),((S545)*(1+$C$10)+IF(B546="Working",I546,0))),0)</f>
        <v/>
      </c>
      <c r="P546" s="141">
        <f>IF(B546="Retired",MIN(MAX(K546-M546-N546-O546,0),((T545)*(1+$C$10)+IF(B546="Working",F105,0))),0)</f>
        <v/>
      </c>
      <c r="Q546" s="138">
        <f>MAX(((Q545)*(1+$C$10)+IF(B546="Working",J546,0))-M546,0)</f>
        <v/>
      </c>
      <c r="R546" s="138">
        <f>MAX(((R545)*(1+$C$10)+IF(B546="Working",E105,0))-N546,0)</f>
        <v/>
      </c>
      <c r="S546" s="138">
        <f>MAX(((S545)*(1+$C$10)+IF(B546="Working",I546,0))-O546,0)</f>
        <v/>
      </c>
      <c r="T546" s="138">
        <f>MAX(((T545)*(1+$C$10)+IF(B546="Working",F105,0))-P546,0)</f>
        <v/>
      </c>
      <c r="U546" s="138">
        <f>Q546+R546+S546+T546</f>
        <v/>
      </c>
      <c r="V546" s="138">
        <f>IF(B546="Working",MAX(-(((Q545)*(1+$C$10)+IF(B546="Working",J546,0))),0),MAX(K546-L546,0))</f>
        <v/>
      </c>
      <c r="W546" s="138">
        <f>IF(OR(A546&gt;=$C$13,B546="Retired"),IF(V546&gt;0,-V546,U546-'Model Inputs'!$B$18),"")</f>
        <v/>
      </c>
      <c r="X546" s="138">
        <f>IF(AND($L$233&gt;0,A546&gt;=$C$13),$L$233*(1+$C$25)^(A546-$C$13),0)</f>
        <v/>
      </c>
      <c r="Y546" s="138">
        <f>IF(OR($L$233&lt;=0,$C$17&lt;=0,A546&lt;$C$13,MIN(MAX((A546-$C$13+1)*12,0),$C$17*12)&gt;=$C$17*12),0,IF($C$16=0,MAX(MAX($L$233*(1-$C$15),0)-(IF($C$17&lt;=0,0,IF($C$16=0,MAX($L$233*(1-$C$15),0)/$C$17,-PMT($C$16/12,$C$17*12,MAX($L$233*(1-$C$15),0))*12))/12)*MIN(MAX((A546-$C$13+1)*12,0),$C$17*12),0),MAX(MAX($L$233*(1-$C$15),0)*(1+$C$16/12)^MIN(MAX((A546-$C$13+1)*12,0),$C$17*12)-(IF($C$17&lt;=0,0,IF($C$16=0,MAX($L$233*(1-$C$15),0)/$C$17,-PMT($C$16/12,$C$17*12,MAX($L$233*(1-$C$15),0))*12))/12)*(((1+$C$16/12)^MIN(MAX((A546-$C$13+1)*12,0),$C$17*12)-1)/($C$16/12)),0)))</f>
        <v/>
      </c>
      <c r="Z546" s="138">
        <f>MAX(X546-Y546,0)</f>
        <v/>
      </c>
      <c r="AA546" s="142">
        <f>U546+Z546</f>
        <v/>
      </c>
      <c r="AB546" s="5" t="n"/>
      <c r="AC546" s="5" t="n"/>
      <c r="AD546" s="5" t="n"/>
      <c r="AE546" s="5" t="n"/>
      <c r="AF546" s="5" t="n"/>
      <c r="AG546" s="5" t="n"/>
    </row>
    <row r="547" outlineLevel="1" s="326">
      <c r="A547" s="136" t="n">
        <v>27</v>
      </c>
      <c r="B547" s="72">
        <f>B106</f>
        <v/>
      </c>
      <c r="C547" s="137">
        <f>D106</f>
        <v/>
      </c>
      <c r="D547" s="137">
        <f>I106</f>
        <v/>
      </c>
      <c r="E547" s="137">
        <f>J106</f>
        <v/>
      </c>
      <c r="F547" s="137">
        <f>K106</f>
        <v/>
      </c>
      <c r="G547" s="138">
        <f>IF(AND($L$233&gt;0,A547=$C$13),$L$233*($C$15+$C$18),0)+IF(AND($L$233&gt;0,A547=$C$13),$C$24,0)</f>
        <v/>
      </c>
      <c r="H547" s="138">
        <f>IF(OR($L$233&lt;=0,A547&lt;$C$13),0,IF(AND($L$233&gt;0,$C$17&gt;0,A547&gt;=$C$13,A547&lt;($C$13+$C$17)),IF($C$17&lt;=0,0,IF($C$16=0,MAX($L$233*(1-$C$15),0)/$C$17,-PMT($C$16/12,$C$17*12,MAX($L$233*(1-$C$15),0))*12)),0)+X547*($C$19+$C$20+$C$21)+$C$22+$C$23)</f>
        <v/>
      </c>
      <c r="I547" s="138">
        <f>IF(B547="Working",MIN(MAX(D547-E547-F547-G547-H547,0),'Tax Assumptions'!$B$20),0)</f>
        <v/>
      </c>
      <c r="J547" s="138">
        <f>IF(B547="Working",D547-E547-F547-I547-G547-H547,-L547)</f>
        <v/>
      </c>
      <c r="K547" s="137">
        <f>IF(B547="Retired",$N$233+G547+H547,0)</f>
        <v/>
      </c>
      <c r="L547" s="137">
        <f>M547+N547+O547+P547</f>
        <v/>
      </c>
      <c r="M547" s="137">
        <f>IF(B547="Retired",MIN(((Q546)*(1+$C$10)+IF(B547="Working",J547,0)),K547),0)</f>
        <v/>
      </c>
      <c r="N547" s="137">
        <f>IF(B547="Retired",MIN(MAX(K547-M547,0),((R546)*(1+$C$10)+IF(B547="Working",E106,0))),0)</f>
        <v/>
      </c>
      <c r="O547" s="137">
        <f>IF(B547="Retired",MIN(MAX(K547-M547-N547,0),((S546)*(1+$C$10)+IF(B547="Working",I547,0))),0)</f>
        <v/>
      </c>
      <c r="P547" s="137">
        <f>IF(B547="Retired",MIN(MAX(K547-M547-N547-O547,0),((T546)*(1+$C$10)+IF(B547="Working",F106,0))),0)</f>
        <v/>
      </c>
      <c r="Q547" s="138">
        <f>MAX(((Q546)*(1+$C$10)+IF(B547="Working",J547,0))-M547,0)</f>
        <v/>
      </c>
      <c r="R547" s="138">
        <f>MAX(((R546)*(1+$C$10)+IF(B547="Working",E106,0))-N547,0)</f>
        <v/>
      </c>
      <c r="S547" s="138">
        <f>MAX(((S546)*(1+$C$10)+IF(B547="Working",I547,0))-O547,0)</f>
        <v/>
      </c>
      <c r="T547" s="138">
        <f>MAX(((T546)*(1+$C$10)+IF(B547="Working",F106,0))-P547,0)</f>
        <v/>
      </c>
      <c r="U547" s="138">
        <f>Q547+R547+S547+T547</f>
        <v/>
      </c>
      <c r="V547" s="138">
        <f>IF(B547="Working",MAX(-(((Q546)*(1+$C$10)+IF(B547="Working",J547,0))),0),MAX(K547-L547,0))</f>
        <v/>
      </c>
      <c r="W547" s="138">
        <f>IF(OR(A547&gt;=$C$13,B547="Retired"),IF(V547&gt;0,-V547,U547-'Model Inputs'!$B$18),"")</f>
        <v/>
      </c>
      <c r="X547" s="138">
        <f>IF(AND($L$233&gt;0,A547&gt;=$C$13),$L$233*(1+$C$25)^(A547-$C$13),0)</f>
        <v/>
      </c>
      <c r="Y547" s="138">
        <f>IF(OR($L$233&lt;=0,$C$17&lt;=0,A547&lt;$C$13,MIN(MAX((A547-$C$13+1)*12,0),$C$17*12)&gt;=$C$17*12),0,IF($C$16=0,MAX(MAX($L$233*(1-$C$15),0)-(IF($C$17&lt;=0,0,IF($C$16=0,MAX($L$233*(1-$C$15),0)/$C$17,-PMT($C$16/12,$C$17*12,MAX($L$233*(1-$C$15),0))*12))/12)*MIN(MAX((A547-$C$13+1)*12,0),$C$17*12),0),MAX(MAX($L$233*(1-$C$15),0)*(1+$C$16/12)^MIN(MAX((A547-$C$13+1)*12,0),$C$17*12)-(IF($C$17&lt;=0,0,IF($C$16=0,MAX($L$233*(1-$C$15),0)/$C$17,-PMT($C$16/12,$C$17*12,MAX($L$233*(1-$C$15),0))*12))/12)*(((1+$C$16/12)^MIN(MAX((A547-$C$13+1)*12,0),$C$17*12)-1)/($C$16/12)),0)))</f>
        <v/>
      </c>
      <c r="Z547" s="138">
        <f>MAX(X547-Y547,0)</f>
        <v/>
      </c>
      <c r="AA547" s="139">
        <f>U547+Z547</f>
        <v/>
      </c>
      <c r="AB547" s="5" t="n"/>
      <c r="AC547" s="5" t="n"/>
      <c r="AD547" s="5" t="n"/>
      <c r="AE547" s="5" t="n"/>
      <c r="AF547" s="5" t="n"/>
      <c r="AG547" s="5" t="n"/>
    </row>
    <row r="548" outlineLevel="1" s="326">
      <c r="A548" s="140" t="n">
        <v>28</v>
      </c>
      <c r="B548" s="40">
        <f>B107</f>
        <v/>
      </c>
      <c r="C548" s="141">
        <f>D107</f>
        <v/>
      </c>
      <c r="D548" s="141">
        <f>I107</f>
        <v/>
      </c>
      <c r="E548" s="141">
        <f>J107</f>
        <v/>
      </c>
      <c r="F548" s="141">
        <f>K107</f>
        <v/>
      </c>
      <c r="G548" s="138">
        <f>IF(AND($L$233&gt;0,A548=$C$13),$L$233*($C$15+$C$18),0)+IF(AND($L$233&gt;0,A548=$C$13),$C$24,0)</f>
        <v/>
      </c>
      <c r="H548" s="138">
        <f>IF(OR($L$233&lt;=0,A548&lt;$C$13),0,IF(AND($L$233&gt;0,$C$17&gt;0,A548&gt;=$C$13,A548&lt;($C$13+$C$17)),IF($C$17&lt;=0,0,IF($C$16=0,MAX($L$233*(1-$C$15),0)/$C$17,-PMT($C$16/12,$C$17*12,MAX($L$233*(1-$C$15),0))*12)),0)+X548*($C$19+$C$20+$C$21)+$C$22+$C$23)</f>
        <v/>
      </c>
      <c r="I548" s="138">
        <f>IF(B548="Working",MIN(MAX(D548-E548-F548-G548-H548,0),'Tax Assumptions'!$B$20),0)</f>
        <v/>
      </c>
      <c r="J548" s="138">
        <f>IF(B548="Working",D548-E548-F548-I548-G548-H548,-L548)</f>
        <v/>
      </c>
      <c r="K548" s="141">
        <f>IF(B548="Retired",$N$233+G548+H548,0)</f>
        <v/>
      </c>
      <c r="L548" s="141">
        <f>M548+N548+O548+P548</f>
        <v/>
      </c>
      <c r="M548" s="141">
        <f>IF(B548="Retired",MIN(((Q547)*(1+$C$10)+IF(B548="Working",J548,0)),K548),0)</f>
        <v/>
      </c>
      <c r="N548" s="141">
        <f>IF(B548="Retired",MIN(MAX(K548-M548,0),((R547)*(1+$C$10)+IF(B548="Working",E107,0))),0)</f>
        <v/>
      </c>
      <c r="O548" s="141">
        <f>IF(B548="Retired",MIN(MAX(K548-M548-N548,0),((S547)*(1+$C$10)+IF(B548="Working",I548,0))),0)</f>
        <v/>
      </c>
      <c r="P548" s="141">
        <f>IF(B548="Retired",MIN(MAX(K548-M548-N548-O548,0),((T547)*(1+$C$10)+IF(B548="Working",F107,0))),0)</f>
        <v/>
      </c>
      <c r="Q548" s="138">
        <f>MAX(((Q547)*(1+$C$10)+IF(B548="Working",J548,0))-M548,0)</f>
        <v/>
      </c>
      <c r="R548" s="138">
        <f>MAX(((R547)*(1+$C$10)+IF(B548="Working",E107,0))-N548,0)</f>
        <v/>
      </c>
      <c r="S548" s="138">
        <f>MAX(((S547)*(1+$C$10)+IF(B548="Working",I548,0))-O548,0)</f>
        <v/>
      </c>
      <c r="T548" s="138">
        <f>MAX(((T547)*(1+$C$10)+IF(B548="Working",F107,0))-P548,0)</f>
        <v/>
      </c>
      <c r="U548" s="138">
        <f>Q548+R548+S548+T548</f>
        <v/>
      </c>
      <c r="V548" s="138">
        <f>IF(B548="Working",MAX(-(((Q547)*(1+$C$10)+IF(B548="Working",J548,0))),0),MAX(K548-L548,0))</f>
        <v/>
      </c>
      <c r="W548" s="138">
        <f>IF(OR(A548&gt;=$C$13,B548="Retired"),IF(V548&gt;0,-V548,U548-'Model Inputs'!$B$18),"")</f>
        <v/>
      </c>
      <c r="X548" s="138">
        <f>IF(AND($L$233&gt;0,A548&gt;=$C$13),$L$233*(1+$C$25)^(A548-$C$13),0)</f>
        <v/>
      </c>
      <c r="Y548" s="138">
        <f>IF(OR($L$233&lt;=0,$C$17&lt;=0,A548&lt;$C$13,MIN(MAX((A548-$C$13+1)*12,0),$C$17*12)&gt;=$C$17*12),0,IF($C$16=0,MAX(MAX($L$233*(1-$C$15),0)-(IF($C$17&lt;=0,0,IF($C$16=0,MAX($L$233*(1-$C$15),0)/$C$17,-PMT($C$16/12,$C$17*12,MAX($L$233*(1-$C$15),0))*12))/12)*MIN(MAX((A548-$C$13+1)*12,0),$C$17*12),0),MAX(MAX($L$233*(1-$C$15),0)*(1+$C$16/12)^MIN(MAX((A548-$C$13+1)*12,0),$C$17*12)-(IF($C$17&lt;=0,0,IF($C$16=0,MAX($L$233*(1-$C$15),0)/$C$17,-PMT($C$16/12,$C$17*12,MAX($L$233*(1-$C$15),0))*12))/12)*(((1+$C$16/12)^MIN(MAX((A548-$C$13+1)*12,0),$C$17*12)-1)/($C$16/12)),0)))</f>
        <v/>
      </c>
      <c r="Z548" s="138">
        <f>MAX(X548-Y548,0)</f>
        <v/>
      </c>
      <c r="AA548" s="142">
        <f>U548+Z548</f>
        <v/>
      </c>
      <c r="AB548" s="5" t="n"/>
      <c r="AC548" s="5" t="n"/>
      <c r="AD548" s="5" t="n"/>
      <c r="AE548" s="5" t="n"/>
      <c r="AF548" s="5" t="n"/>
      <c r="AG548" s="5" t="n"/>
    </row>
    <row r="549" outlineLevel="1" s="326">
      <c r="A549" s="136" t="n">
        <v>29</v>
      </c>
      <c r="B549" s="72">
        <f>B108</f>
        <v/>
      </c>
      <c r="C549" s="137">
        <f>D108</f>
        <v/>
      </c>
      <c r="D549" s="137">
        <f>I108</f>
        <v/>
      </c>
      <c r="E549" s="137">
        <f>J108</f>
        <v/>
      </c>
      <c r="F549" s="137">
        <f>K108</f>
        <v/>
      </c>
      <c r="G549" s="138">
        <f>IF(AND($L$233&gt;0,A549=$C$13),$L$233*($C$15+$C$18),0)+IF(AND($L$233&gt;0,A549=$C$13),$C$24,0)</f>
        <v/>
      </c>
      <c r="H549" s="138">
        <f>IF(OR($L$233&lt;=0,A549&lt;$C$13),0,IF(AND($L$233&gt;0,$C$17&gt;0,A549&gt;=$C$13,A549&lt;($C$13+$C$17)),IF($C$17&lt;=0,0,IF($C$16=0,MAX($L$233*(1-$C$15),0)/$C$17,-PMT($C$16/12,$C$17*12,MAX($L$233*(1-$C$15),0))*12)),0)+X549*($C$19+$C$20+$C$21)+$C$22+$C$23)</f>
        <v/>
      </c>
      <c r="I549" s="138">
        <f>IF(B549="Working",MIN(MAX(D549-E549-F549-G549-H549,0),'Tax Assumptions'!$B$20),0)</f>
        <v/>
      </c>
      <c r="J549" s="138">
        <f>IF(B549="Working",D549-E549-F549-I549-G549-H549,-L549)</f>
        <v/>
      </c>
      <c r="K549" s="137">
        <f>IF(B549="Retired",$N$233+G549+H549,0)</f>
        <v/>
      </c>
      <c r="L549" s="137">
        <f>M549+N549+O549+P549</f>
        <v/>
      </c>
      <c r="M549" s="137">
        <f>IF(B549="Retired",MIN(((Q548)*(1+$C$10)+IF(B549="Working",J549,0)),K549),0)</f>
        <v/>
      </c>
      <c r="N549" s="137">
        <f>IF(B549="Retired",MIN(MAX(K549-M549,0),((R548)*(1+$C$10)+IF(B549="Working",E108,0))),0)</f>
        <v/>
      </c>
      <c r="O549" s="137">
        <f>IF(B549="Retired",MIN(MAX(K549-M549-N549,0),((S548)*(1+$C$10)+IF(B549="Working",I549,0))),0)</f>
        <v/>
      </c>
      <c r="P549" s="137">
        <f>IF(B549="Retired",MIN(MAX(K549-M549-N549-O549,0),((T548)*(1+$C$10)+IF(B549="Working",F108,0))),0)</f>
        <v/>
      </c>
      <c r="Q549" s="138">
        <f>MAX(((Q548)*(1+$C$10)+IF(B549="Working",J549,0))-M549,0)</f>
        <v/>
      </c>
      <c r="R549" s="138">
        <f>MAX(((R548)*(1+$C$10)+IF(B549="Working",E108,0))-N549,0)</f>
        <v/>
      </c>
      <c r="S549" s="138">
        <f>MAX(((S548)*(1+$C$10)+IF(B549="Working",I549,0))-O549,0)</f>
        <v/>
      </c>
      <c r="T549" s="138">
        <f>MAX(((T548)*(1+$C$10)+IF(B549="Working",F108,0))-P549,0)</f>
        <v/>
      </c>
      <c r="U549" s="138">
        <f>Q549+R549+S549+T549</f>
        <v/>
      </c>
      <c r="V549" s="138">
        <f>IF(B549="Working",MAX(-(((Q548)*(1+$C$10)+IF(B549="Working",J549,0))),0),MAX(K549-L549,0))</f>
        <v/>
      </c>
      <c r="W549" s="138">
        <f>IF(OR(A549&gt;=$C$13,B549="Retired"),IF(V549&gt;0,-V549,U549-'Model Inputs'!$B$18),"")</f>
        <v/>
      </c>
      <c r="X549" s="138">
        <f>IF(AND($L$233&gt;0,A549&gt;=$C$13),$L$233*(1+$C$25)^(A549-$C$13),0)</f>
        <v/>
      </c>
      <c r="Y549" s="138">
        <f>IF(OR($L$233&lt;=0,$C$17&lt;=0,A549&lt;$C$13,MIN(MAX((A549-$C$13+1)*12,0),$C$17*12)&gt;=$C$17*12),0,IF($C$16=0,MAX(MAX($L$233*(1-$C$15),0)-(IF($C$17&lt;=0,0,IF($C$16=0,MAX($L$233*(1-$C$15),0)/$C$17,-PMT($C$16/12,$C$17*12,MAX($L$233*(1-$C$15),0))*12))/12)*MIN(MAX((A549-$C$13+1)*12,0),$C$17*12),0),MAX(MAX($L$233*(1-$C$15),0)*(1+$C$16/12)^MIN(MAX((A549-$C$13+1)*12,0),$C$17*12)-(IF($C$17&lt;=0,0,IF($C$16=0,MAX($L$233*(1-$C$15),0)/$C$17,-PMT($C$16/12,$C$17*12,MAX($L$233*(1-$C$15),0))*12))/12)*(((1+$C$16/12)^MIN(MAX((A549-$C$13+1)*12,0),$C$17*12)-1)/($C$16/12)),0)))</f>
        <v/>
      </c>
      <c r="Z549" s="138">
        <f>MAX(X549-Y549,0)</f>
        <v/>
      </c>
      <c r="AA549" s="139">
        <f>U549+Z549</f>
        <v/>
      </c>
      <c r="AB549" s="5" t="n"/>
      <c r="AC549" s="5" t="n"/>
      <c r="AD549" s="5" t="n"/>
      <c r="AE549" s="5" t="n"/>
      <c r="AF549" s="5" t="n"/>
      <c r="AG549" s="5" t="n"/>
    </row>
    <row r="550" outlineLevel="1" s="326">
      <c r="A550" s="140" t="n">
        <v>30</v>
      </c>
      <c r="B550" s="40">
        <f>B109</f>
        <v/>
      </c>
      <c r="C550" s="141">
        <f>D109</f>
        <v/>
      </c>
      <c r="D550" s="141">
        <f>I109</f>
        <v/>
      </c>
      <c r="E550" s="141">
        <f>J109</f>
        <v/>
      </c>
      <c r="F550" s="141">
        <f>K109</f>
        <v/>
      </c>
      <c r="G550" s="138">
        <f>IF(AND($L$233&gt;0,A550=$C$13),$L$233*($C$15+$C$18),0)+IF(AND($L$233&gt;0,A550=$C$13),$C$24,0)</f>
        <v/>
      </c>
      <c r="H550" s="138">
        <f>IF(OR($L$233&lt;=0,A550&lt;$C$13),0,IF(AND($L$233&gt;0,$C$17&gt;0,A550&gt;=$C$13,A550&lt;($C$13+$C$17)),IF($C$17&lt;=0,0,IF($C$16=0,MAX($L$233*(1-$C$15),0)/$C$17,-PMT($C$16/12,$C$17*12,MAX($L$233*(1-$C$15),0))*12)),0)+X550*($C$19+$C$20+$C$21)+$C$22+$C$23)</f>
        <v/>
      </c>
      <c r="I550" s="138">
        <f>IF(B550="Working",MIN(MAX(D550-E550-F550-G550-H550,0),'Tax Assumptions'!$B$20),0)</f>
        <v/>
      </c>
      <c r="J550" s="138">
        <f>IF(B550="Working",D550-E550-F550-I550-G550-H550,-L550)</f>
        <v/>
      </c>
      <c r="K550" s="141">
        <f>IF(B550="Retired",$N$233+G550+H550,0)</f>
        <v/>
      </c>
      <c r="L550" s="141">
        <f>M550+N550+O550+P550</f>
        <v/>
      </c>
      <c r="M550" s="141">
        <f>IF(B550="Retired",MIN(((Q549)*(1+$C$10)+IF(B550="Working",J550,0)),K550),0)</f>
        <v/>
      </c>
      <c r="N550" s="141">
        <f>IF(B550="Retired",MIN(MAX(K550-M550,0),((R549)*(1+$C$10)+IF(B550="Working",E109,0))),0)</f>
        <v/>
      </c>
      <c r="O550" s="141">
        <f>IF(B550="Retired",MIN(MAX(K550-M550-N550,0),((S549)*(1+$C$10)+IF(B550="Working",I550,0))),0)</f>
        <v/>
      </c>
      <c r="P550" s="141">
        <f>IF(B550="Retired",MIN(MAX(K550-M550-N550-O550,0),((T549)*(1+$C$10)+IF(B550="Working",F109,0))),0)</f>
        <v/>
      </c>
      <c r="Q550" s="138">
        <f>MAX(((Q549)*(1+$C$10)+IF(B550="Working",J550,0))-M550,0)</f>
        <v/>
      </c>
      <c r="R550" s="138">
        <f>MAX(((R549)*(1+$C$10)+IF(B550="Working",E109,0))-N550,0)</f>
        <v/>
      </c>
      <c r="S550" s="138">
        <f>MAX(((S549)*(1+$C$10)+IF(B550="Working",I550,0))-O550,0)</f>
        <v/>
      </c>
      <c r="T550" s="138">
        <f>MAX(((T549)*(1+$C$10)+IF(B550="Working",F109,0))-P550,0)</f>
        <v/>
      </c>
      <c r="U550" s="138">
        <f>Q550+R550+S550+T550</f>
        <v/>
      </c>
      <c r="V550" s="138">
        <f>IF(B550="Working",MAX(-(((Q549)*(1+$C$10)+IF(B550="Working",J550,0))),0),MAX(K550-L550,0))</f>
        <v/>
      </c>
      <c r="W550" s="138">
        <f>IF(OR(A550&gt;=$C$13,B550="Retired"),IF(V550&gt;0,-V550,U550-'Model Inputs'!$B$18),"")</f>
        <v/>
      </c>
      <c r="X550" s="138">
        <f>IF(AND($L$233&gt;0,A550&gt;=$C$13),$L$233*(1+$C$25)^(A550-$C$13),0)</f>
        <v/>
      </c>
      <c r="Y550" s="138">
        <f>IF(OR($L$233&lt;=0,$C$17&lt;=0,A550&lt;$C$13,MIN(MAX((A550-$C$13+1)*12,0),$C$17*12)&gt;=$C$17*12),0,IF($C$16=0,MAX(MAX($L$233*(1-$C$15),0)-(IF($C$17&lt;=0,0,IF($C$16=0,MAX($L$233*(1-$C$15),0)/$C$17,-PMT($C$16/12,$C$17*12,MAX($L$233*(1-$C$15),0))*12))/12)*MIN(MAX((A550-$C$13+1)*12,0),$C$17*12),0),MAX(MAX($L$233*(1-$C$15),0)*(1+$C$16/12)^MIN(MAX((A550-$C$13+1)*12,0),$C$17*12)-(IF($C$17&lt;=0,0,IF($C$16=0,MAX($L$233*(1-$C$15),0)/$C$17,-PMT($C$16/12,$C$17*12,MAX($L$233*(1-$C$15),0))*12))/12)*(((1+$C$16/12)^MIN(MAX((A550-$C$13+1)*12,0),$C$17*12)-1)/($C$16/12)),0)))</f>
        <v/>
      </c>
      <c r="Z550" s="138">
        <f>MAX(X550-Y550,0)</f>
        <v/>
      </c>
      <c r="AA550" s="142">
        <f>U550+Z550</f>
        <v/>
      </c>
      <c r="AB550" s="5" t="n"/>
      <c r="AC550" s="5" t="n"/>
      <c r="AD550" s="5" t="n"/>
      <c r="AE550" s="5" t="n"/>
      <c r="AF550" s="5" t="n"/>
      <c r="AG550" s="5" t="n"/>
    </row>
    <row r="551" outlineLevel="1" s="326">
      <c r="A551" s="136" t="n">
        <v>31</v>
      </c>
      <c r="B551" s="72">
        <f>B110</f>
        <v/>
      </c>
      <c r="C551" s="137">
        <f>D110</f>
        <v/>
      </c>
      <c r="D551" s="137">
        <f>I110</f>
        <v/>
      </c>
      <c r="E551" s="137">
        <f>J110</f>
        <v/>
      </c>
      <c r="F551" s="137">
        <f>K110</f>
        <v/>
      </c>
      <c r="G551" s="138">
        <f>IF(AND($L$233&gt;0,A551=$C$13),$L$233*($C$15+$C$18),0)+IF(AND($L$233&gt;0,A551=$C$13),$C$24,0)</f>
        <v/>
      </c>
      <c r="H551" s="138">
        <f>IF(OR($L$233&lt;=0,A551&lt;$C$13),0,IF(AND($L$233&gt;0,$C$17&gt;0,A551&gt;=$C$13,A551&lt;($C$13+$C$17)),IF($C$17&lt;=0,0,IF($C$16=0,MAX($L$233*(1-$C$15),0)/$C$17,-PMT($C$16/12,$C$17*12,MAX($L$233*(1-$C$15),0))*12)),0)+X551*($C$19+$C$20+$C$21)+$C$22+$C$23)</f>
        <v/>
      </c>
      <c r="I551" s="138">
        <f>IF(B551="Working",MIN(MAX(D551-E551-F551-G551-H551,0),'Tax Assumptions'!$B$20),0)</f>
        <v/>
      </c>
      <c r="J551" s="138">
        <f>IF(B551="Working",D551-E551-F551-I551-G551-H551,-L551)</f>
        <v/>
      </c>
      <c r="K551" s="137">
        <f>IF(B551="Retired",$N$233+G551+H551,0)</f>
        <v/>
      </c>
      <c r="L551" s="137">
        <f>M551+N551+O551+P551</f>
        <v/>
      </c>
      <c r="M551" s="137">
        <f>IF(B551="Retired",MIN(((Q550)*(1+$C$10)+IF(B551="Working",J551,0)),K551),0)</f>
        <v/>
      </c>
      <c r="N551" s="137">
        <f>IF(B551="Retired",MIN(MAX(K551-M551,0),((R550)*(1+$C$10)+IF(B551="Working",E110,0))),0)</f>
        <v/>
      </c>
      <c r="O551" s="137">
        <f>IF(B551="Retired",MIN(MAX(K551-M551-N551,0),((S550)*(1+$C$10)+IF(B551="Working",I551,0))),0)</f>
        <v/>
      </c>
      <c r="P551" s="137">
        <f>IF(B551="Retired",MIN(MAX(K551-M551-N551-O551,0),((T550)*(1+$C$10)+IF(B551="Working",F110,0))),0)</f>
        <v/>
      </c>
      <c r="Q551" s="138">
        <f>MAX(((Q550)*(1+$C$10)+IF(B551="Working",J551,0))-M551,0)</f>
        <v/>
      </c>
      <c r="R551" s="138">
        <f>MAX(((R550)*(1+$C$10)+IF(B551="Working",E110,0))-N551,0)</f>
        <v/>
      </c>
      <c r="S551" s="138">
        <f>MAX(((S550)*(1+$C$10)+IF(B551="Working",I551,0))-O551,0)</f>
        <v/>
      </c>
      <c r="T551" s="138">
        <f>MAX(((T550)*(1+$C$10)+IF(B551="Working",F110,0))-P551,0)</f>
        <v/>
      </c>
      <c r="U551" s="138">
        <f>Q551+R551+S551+T551</f>
        <v/>
      </c>
      <c r="V551" s="138">
        <f>IF(B551="Working",MAX(-(((Q550)*(1+$C$10)+IF(B551="Working",J551,0))),0),MAX(K551-L551,0))</f>
        <v/>
      </c>
      <c r="W551" s="138">
        <f>IF(OR(A551&gt;=$C$13,B551="Retired"),IF(V551&gt;0,-V551,U551-'Model Inputs'!$B$18),"")</f>
        <v/>
      </c>
      <c r="X551" s="138">
        <f>IF(AND($L$233&gt;0,A551&gt;=$C$13),$L$233*(1+$C$25)^(A551-$C$13),0)</f>
        <v/>
      </c>
      <c r="Y551" s="138">
        <f>IF(OR($L$233&lt;=0,$C$17&lt;=0,A551&lt;$C$13,MIN(MAX((A551-$C$13+1)*12,0),$C$17*12)&gt;=$C$17*12),0,IF($C$16=0,MAX(MAX($L$233*(1-$C$15),0)-(IF($C$17&lt;=0,0,IF($C$16=0,MAX($L$233*(1-$C$15),0)/$C$17,-PMT($C$16/12,$C$17*12,MAX($L$233*(1-$C$15),0))*12))/12)*MIN(MAX((A551-$C$13+1)*12,0),$C$17*12),0),MAX(MAX($L$233*(1-$C$15),0)*(1+$C$16/12)^MIN(MAX((A551-$C$13+1)*12,0),$C$17*12)-(IF($C$17&lt;=0,0,IF($C$16=0,MAX($L$233*(1-$C$15),0)/$C$17,-PMT($C$16/12,$C$17*12,MAX($L$233*(1-$C$15),0))*12))/12)*(((1+$C$16/12)^MIN(MAX((A551-$C$13+1)*12,0),$C$17*12)-1)/($C$16/12)),0)))</f>
        <v/>
      </c>
      <c r="Z551" s="138">
        <f>MAX(X551-Y551,0)</f>
        <v/>
      </c>
      <c r="AA551" s="139">
        <f>U551+Z551</f>
        <v/>
      </c>
      <c r="AB551" s="5" t="n"/>
      <c r="AC551" s="5" t="n"/>
      <c r="AD551" s="5" t="n"/>
      <c r="AE551" s="5" t="n"/>
      <c r="AF551" s="5" t="n"/>
      <c r="AG551" s="5" t="n"/>
    </row>
    <row r="552" outlineLevel="1" s="326">
      <c r="A552" s="140" t="n">
        <v>32</v>
      </c>
      <c r="B552" s="40">
        <f>B111</f>
        <v/>
      </c>
      <c r="C552" s="141">
        <f>D111</f>
        <v/>
      </c>
      <c r="D552" s="141">
        <f>I111</f>
        <v/>
      </c>
      <c r="E552" s="141">
        <f>J111</f>
        <v/>
      </c>
      <c r="F552" s="141">
        <f>K111</f>
        <v/>
      </c>
      <c r="G552" s="138">
        <f>IF(AND($L$233&gt;0,A552=$C$13),$L$233*($C$15+$C$18),0)+IF(AND($L$233&gt;0,A552=$C$13),$C$24,0)</f>
        <v/>
      </c>
      <c r="H552" s="138">
        <f>IF(OR($L$233&lt;=0,A552&lt;$C$13),0,IF(AND($L$233&gt;0,$C$17&gt;0,A552&gt;=$C$13,A552&lt;($C$13+$C$17)),IF($C$17&lt;=0,0,IF($C$16=0,MAX($L$233*(1-$C$15),0)/$C$17,-PMT($C$16/12,$C$17*12,MAX($L$233*(1-$C$15),0))*12)),0)+X552*($C$19+$C$20+$C$21)+$C$22+$C$23)</f>
        <v/>
      </c>
      <c r="I552" s="138">
        <f>IF(B552="Working",MIN(MAX(D552-E552-F552-G552-H552,0),'Tax Assumptions'!$B$20),0)</f>
        <v/>
      </c>
      <c r="J552" s="138">
        <f>IF(B552="Working",D552-E552-F552-I552-G552-H552,-L552)</f>
        <v/>
      </c>
      <c r="K552" s="141">
        <f>IF(B552="Retired",$N$233+G552+H552,0)</f>
        <v/>
      </c>
      <c r="L552" s="141">
        <f>M552+N552+O552+P552</f>
        <v/>
      </c>
      <c r="M552" s="141">
        <f>IF(B552="Retired",MIN(((Q551)*(1+$C$10)+IF(B552="Working",J552,0)),K552),0)</f>
        <v/>
      </c>
      <c r="N552" s="141">
        <f>IF(B552="Retired",MIN(MAX(K552-M552,0),((R551)*(1+$C$10)+IF(B552="Working",E111,0))),0)</f>
        <v/>
      </c>
      <c r="O552" s="141">
        <f>IF(B552="Retired",MIN(MAX(K552-M552-N552,0),((S551)*(1+$C$10)+IF(B552="Working",I552,0))),0)</f>
        <v/>
      </c>
      <c r="P552" s="141">
        <f>IF(B552="Retired",MIN(MAX(K552-M552-N552-O552,0),((T551)*(1+$C$10)+IF(B552="Working",F111,0))),0)</f>
        <v/>
      </c>
      <c r="Q552" s="138">
        <f>MAX(((Q551)*(1+$C$10)+IF(B552="Working",J552,0))-M552,0)</f>
        <v/>
      </c>
      <c r="R552" s="138">
        <f>MAX(((R551)*(1+$C$10)+IF(B552="Working",E111,0))-N552,0)</f>
        <v/>
      </c>
      <c r="S552" s="138">
        <f>MAX(((S551)*(1+$C$10)+IF(B552="Working",I552,0))-O552,0)</f>
        <v/>
      </c>
      <c r="T552" s="138">
        <f>MAX(((T551)*(1+$C$10)+IF(B552="Working",F111,0))-P552,0)</f>
        <v/>
      </c>
      <c r="U552" s="138">
        <f>Q552+R552+S552+T552</f>
        <v/>
      </c>
      <c r="V552" s="138">
        <f>IF(B552="Working",MAX(-(((Q551)*(1+$C$10)+IF(B552="Working",J552,0))),0),MAX(K552-L552,0))</f>
        <v/>
      </c>
      <c r="W552" s="138">
        <f>IF(OR(A552&gt;=$C$13,B552="Retired"),IF(V552&gt;0,-V552,U552-'Model Inputs'!$B$18),"")</f>
        <v/>
      </c>
      <c r="X552" s="138">
        <f>IF(AND($L$233&gt;0,A552&gt;=$C$13),$L$233*(1+$C$25)^(A552-$C$13),0)</f>
        <v/>
      </c>
      <c r="Y552" s="138">
        <f>IF(OR($L$233&lt;=0,$C$17&lt;=0,A552&lt;$C$13,MIN(MAX((A552-$C$13+1)*12,0),$C$17*12)&gt;=$C$17*12),0,IF($C$16=0,MAX(MAX($L$233*(1-$C$15),0)-(IF($C$17&lt;=0,0,IF($C$16=0,MAX($L$233*(1-$C$15),0)/$C$17,-PMT($C$16/12,$C$17*12,MAX($L$233*(1-$C$15),0))*12))/12)*MIN(MAX((A552-$C$13+1)*12,0),$C$17*12),0),MAX(MAX($L$233*(1-$C$15),0)*(1+$C$16/12)^MIN(MAX((A552-$C$13+1)*12,0),$C$17*12)-(IF($C$17&lt;=0,0,IF($C$16=0,MAX($L$233*(1-$C$15),0)/$C$17,-PMT($C$16/12,$C$17*12,MAX($L$233*(1-$C$15),0))*12))/12)*(((1+$C$16/12)^MIN(MAX((A552-$C$13+1)*12,0),$C$17*12)-1)/($C$16/12)),0)))</f>
        <v/>
      </c>
      <c r="Z552" s="138">
        <f>MAX(X552-Y552,0)</f>
        <v/>
      </c>
      <c r="AA552" s="142">
        <f>U552+Z552</f>
        <v/>
      </c>
      <c r="AB552" s="5" t="n"/>
      <c r="AC552" s="5" t="n"/>
      <c r="AD552" s="5" t="n"/>
      <c r="AE552" s="5" t="n"/>
      <c r="AF552" s="5" t="n"/>
      <c r="AG552" s="5" t="n"/>
    </row>
    <row r="553" outlineLevel="1" s="326">
      <c r="A553" s="136" t="n">
        <v>33</v>
      </c>
      <c r="B553" s="72">
        <f>B112</f>
        <v/>
      </c>
      <c r="C553" s="137">
        <f>D112</f>
        <v/>
      </c>
      <c r="D553" s="137">
        <f>I112</f>
        <v/>
      </c>
      <c r="E553" s="137">
        <f>J112</f>
        <v/>
      </c>
      <c r="F553" s="137">
        <f>K112</f>
        <v/>
      </c>
      <c r="G553" s="138">
        <f>IF(AND($L$233&gt;0,A553=$C$13),$L$233*($C$15+$C$18),0)+IF(AND($L$233&gt;0,A553=$C$13),$C$24,0)</f>
        <v/>
      </c>
      <c r="H553" s="138">
        <f>IF(OR($L$233&lt;=0,A553&lt;$C$13),0,IF(AND($L$233&gt;0,$C$17&gt;0,A553&gt;=$C$13,A553&lt;($C$13+$C$17)),IF($C$17&lt;=0,0,IF($C$16=0,MAX($L$233*(1-$C$15),0)/$C$17,-PMT($C$16/12,$C$17*12,MAX($L$233*(1-$C$15),0))*12)),0)+X553*($C$19+$C$20+$C$21)+$C$22+$C$23)</f>
        <v/>
      </c>
      <c r="I553" s="138">
        <f>IF(B553="Working",MIN(MAX(D553-E553-F553-G553-H553,0),'Tax Assumptions'!$B$20),0)</f>
        <v/>
      </c>
      <c r="J553" s="138">
        <f>IF(B553="Working",D553-E553-F553-I553-G553-H553,-L553)</f>
        <v/>
      </c>
      <c r="K553" s="137">
        <f>IF(B553="Retired",$N$233+G553+H553,0)</f>
        <v/>
      </c>
      <c r="L553" s="137">
        <f>M553+N553+O553+P553</f>
        <v/>
      </c>
      <c r="M553" s="137">
        <f>IF(B553="Retired",MIN(((Q552)*(1+$C$10)+IF(B553="Working",J553,0)),K553),0)</f>
        <v/>
      </c>
      <c r="N553" s="137">
        <f>IF(B553="Retired",MIN(MAX(K553-M553,0),((R552)*(1+$C$10)+IF(B553="Working",E112,0))),0)</f>
        <v/>
      </c>
      <c r="O553" s="137">
        <f>IF(B553="Retired",MIN(MAX(K553-M553-N553,0),((S552)*(1+$C$10)+IF(B553="Working",I553,0))),0)</f>
        <v/>
      </c>
      <c r="P553" s="137">
        <f>IF(B553="Retired",MIN(MAX(K553-M553-N553-O553,0),((T552)*(1+$C$10)+IF(B553="Working",F112,0))),0)</f>
        <v/>
      </c>
      <c r="Q553" s="138">
        <f>MAX(((Q552)*(1+$C$10)+IF(B553="Working",J553,0))-M553,0)</f>
        <v/>
      </c>
      <c r="R553" s="138">
        <f>MAX(((R552)*(1+$C$10)+IF(B553="Working",E112,0))-N553,0)</f>
        <v/>
      </c>
      <c r="S553" s="138">
        <f>MAX(((S552)*(1+$C$10)+IF(B553="Working",I553,0))-O553,0)</f>
        <v/>
      </c>
      <c r="T553" s="138">
        <f>MAX(((T552)*(1+$C$10)+IF(B553="Working",F112,0))-P553,0)</f>
        <v/>
      </c>
      <c r="U553" s="138">
        <f>Q553+R553+S553+T553</f>
        <v/>
      </c>
      <c r="V553" s="138">
        <f>IF(B553="Working",MAX(-(((Q552)*(1+$C$10)+IF(B553="Working",J553,0))),0),MAX(K553-L553,0))</f>
        <v/>
      </c>
      <c r="W553" s="138">
        <f>IF(OR(A553&gt;=$C$13,B553="Retired"),IF(V553&gt;0,-V553,U553-'Model Inputs'!$B$18),"")</f>
        <v/>
      </c>
      <c r="X553" s="138">
        <f>IF(AND($L$233&gt;0,A553&gt;=$C$13),$L$233*(1+$C$25)^(A553-$C$13),0)</f>
        <v/>
      </c>
      <c r="Y553" s="138">
        <f>IF(OR($L$233&lt;=0,$C$17&lt;=0,A553&lt;$C$13,MIN(MAX((A553-$C$13+1)*12,0),$C$17*12)&gt;=$C$17*12),0,IF($C$16=0,MAX(MAX($L$233*(1-$C$15),0)-(IF($C$17&lt;=0,0,IF($C$16=0,MAX($L$233*(1-$C$15),0)/$C$17,-PMT($C$16/12,$C$17*12,MAX($L$233*(1-$C$15),0))*12))/12)*MIN(MAX((A553-$C$13+1)*12,0),$C$17*12),0),MAX(MAX($L$233*(1-$C$15),0)*(1+$C$16/12)^MIN(MAX((A553-$C$13+1)*12,0),$C$17*12)-(IF($C$17&lt;=0,0,IF($C$16=0,MAX($L$233*(1-$C$15),0)/$C$17,-PMT($C$16/12,$C$17*12,MAX($L$233*(1-$C$15),0))*12))/12)*(((1+$C$16/12)^MIN(MAX((A553-$C$13+1)*12,0),$C$17*12)-1)/($C$16/12)),0)))</f>
        <v/>
      </c>
      <c r="Z553" s="138">
        <f>MAX(X553-Y553,0)</f>
        <v/>
      </c>
      <c r="AA553" s="139">
        <f>U553+Z553</f>
        <v/>
      </c>
      <c r="AB553" s="5" t="n"/>
      <c r="AC553" s="5" t="n"/>
      <c r="AD553" s="5" t="n"/>
      <c r="AE553" s="5" t="n"/>
      <c r="AF553" s="5" t="n"/>
      <c r="AG553" s="5" t="n"/>
    </row>
    <row r="554" outlineLevel="1" s="326">
      <c r="A554" s="140" t="n">
        <v>34</v>
      </c>
      <c r="B554" s="40">
        <f>B113</f>
        <v/>
      </c>
      <c r="C554" s="141">
        <f>D113</f>
        <v/>
      </c>
      <c r="D554" s="141">
        <f>I113</f>
        <v/>
      </c>
      <c r="E554" s="141">
        <f>J113</f>
        <v/>
      </c>
      <c r="F554" s="141">
        <f>K113</f>
        <v/>
      </c>
      <c r="G554" s="138">
        <f>IF(AND($L$233&gt;0,A554=$C$13),$L$233*($C$15+$C$18),0)+IF(AND($L$233&gt;0,A554=$C$13),$C$24,0)</f>
        <v/>
      </c>
      <c r="H554" s="138">
        <f>IF(OR($L$233&lt;=0,A554&lt;$C$13),0,IF(AND($L$233&gt;0,$C$17&gt;0,A554&gt;=$C$13,A554&lt;($C$13+$C$17)),IF($C$17&lt;=0,0,IF($C$16=0,MAX($L$233*(1-$C$15),0)/$C$17,-PMT($C$16/12,$C$17*12,MAX($L$233*(1-$C$15),0))*12)),0)+X554*($C$19+$C$20+$C$21)+$C$22+$C$23)</f>
        <v/>
      </c>
      <c r="I554" s="138">
        <f>IF(B554="Working",MIN(MAX(D554-E554-F554-G554-H554,0),'Tax Assumptions'!$B$20),0)</f>
        <v/>
      </c>
      <c r="J554" s="138">
        <f>IF(B554="Working",D554-E554-F554-I554-G554-H554,-L554)</f>
        <v/>
      </c>
      <c r="K554" s="141">
        <f>IF(B554="Retired",$N$233+G554+H554,0)</f>
        <v/>
      </c>
      <c r="L554" s="141">
        <f>M554+N554+O554+P554</f>
        <v/>
      </c>
      <c r="M554" s="141">
        <f>IF(B554="Retired",MIN(((Q553)*(1+$C$10)+IF(B554="Working",J554,0)),K554),0)</f>
        <v/>
      </c>
      <c r="N554" s="141">
        <f>IF(B554="Retired",MIN(MAX(K554-M554,0),((R553)*(1+$C$10)+IF(B554="Working",E113,0))),0)</f>
        <v/>
      </c>
      <c r="O554" s="141">
        <f>IF(B554="Retired",MIN(MAX(K554-M554-N554,0),((S553)*(1+$C$10)+IF(B554="Working",I554,0))),0)</f>
        <v/>
      </c>
      <c r="P554" s="141">
        <f>IF(B554="Retired",MIN(MAX(K554-M554-N554-O554,0),((T553)*(1+$C$10)+IF(B554="Working",F113,0))),0)</f>
        <v/>
      </c>
      <c r="Q554" s="138">
        <f>MAX(((Q553)*(1+$C$10)+IF(B554="Working",J554,0))-M554,0)</f>
        <v/>
      </c>
      <c r="R554" s="138">
        <f>MAX(((R553)*(1+$C$10)+IF(B554="Working",E113,0))-N554,0)</f>
        <v/>
      </c>
      <c r="S554" s="138">
        <f>MAX(((S553)*(1+$C$10)+IF(B554="Working",I554,0))-O554,0)</f>
        <v/>
      </c>
      <c r="T554" s="138">
        <f>MAX(((T553)*(1+$C$10)+IF(B554="Working",F113,0))-P554,0)</f>
        <v/>
      </c>
      <c r="U554" s="138">
        <f>Q554+R554+S554+T554</f>
        <v/>
      </c>
      <c r="V554" s="138">
        <f>IF(B554="Working",MAX(-(((Q553)*(1+$C$10)+IF(B554="Working",J554,0))),0),MAX(K554-L554,0))</f>
        <v/>
      </c>
      <c r="W554" s="138">
        <f>IF(OR(A554&gt;=$C$13,B554="Retired"),IF(V554&gt;0,-V554,U554-'Model Inputs'!$B$18),"")</f>
        <v/>
      </c>
      <c r="X554" s="138">
        <f>IF(AND($L$233&gt;0,A554&gt;=$C$13),$L$233*(1+$C$25)^(A554-$C$13),0)</f>
        <v/>
      </c>
      <c r="Y554" s="138">
        <f>IF(OR($L$233&lt;=0,$C$17&lt;=0,A554&lt;$C$13,MIN(MAX((A554-$C$13+1)*12,0),$C$17*12)&gt;=$C$17*12),0,IF($C$16=0,MAX(MAX($L$233*(1-$C$15),0)-(IF($C$17&lt;=0,0,IF($C$16=0,MAX($L$233*(1-$C$15),0)/$C$17,-PMT($C$16/12,$C$17*12,MAX($L$233*(1-$C$15),0))*12))/12)*MIN(MAX((A554-$C$13+1)*12,0),$C$17*12),0),MAX(MAX($L$233*(1-$C$15),0)*(1+$C$16/12)^MIN(MAX((A554-$C$13+1)*12,0),$C$17*12)-(IF($C$17&lt;=0,0,IF($C$16=0,MAX($L$233*(1-$C$15),0)/$C$17,-PMT($C$16/12,$C$17*12,MAX($L$233*(1-$C$15),0))*12))/12)*(((1+$C$16/12)^MIN(MAX((A554-$C$13+1)*12,0),$C$17*12)-1)/($C$16/12)),0)))</f>
        <v/>
      </c>
      <c r="Z554" s="138">
        <f>MAX(X554-Y554,0)</f>
        <v/>
      </c>
      <c r="AA554" s="142">
        <f>U554+Z554</f>
        <v/>
      </c>
      <c r="AB554" s="5" t="n"/>
      <c r="AC554" s="5" t="n"/>
      <c r="AD554" s="5" t="n"/>
      <c r="AE554" s="5" t="n"/>
      <c r="AF554" s="5" t="n"/>
      <c r="AG554" s="5" t="n"/>
    </row>
    <row r="555" outlineLevel="1" s="326">
      <c r="A555" s="136" t="n">
        <v>35</v>
      </c>
      <c r="B555" s="72">
        <f>B114</f>
        <v/>
      </c>
      <c r="C555" s="137">
        <f>D114</f>
        <v/>
      </c>
      <c r="D555" s="137">
        <f>I114</f>
        <v/>
      </c>
      <c r="E555" s="137">
        <f>J114</f>
        <v/>
      </c>
      <c r="F555" s="137">
        <f>K114</f>
        <v/>
      </c>
      <c r="G555" s="138">
        <f>IF(AND($L$233&gt;0,A555=$C$13),$L$233*($C$15+$C$18),0)+IF(AND($L$233&gt;0,A555=$C$13),$C$24,0)</f>
        <v/>
      </c>
      <c r="H555" s="138">
        <f>IF(OR($L$233&lt;=0,A555&lt;$C$13),0,IF(AND($L$233&gt;0,$C$17&gt;0,A555&gt;=$C$13,A555&lt;($C$13+$C$17)),IF($C$17&lt;=0,0,IF($C$16=0,MAX($L$233*(1-$C$15),0)/$C$17,-PMT($C$16/12,$C$17*12,MAX($L$233*(1-$C$15),0))*12)),0)+X555*($C$19+$C$20+$C$21)+$C$22+$C$23)</f>
        <v/>
      </c>
      <c r="I555" s="138">
        <f>IF(B555="Working",MIN(MAX(D555-E555-F555-G555-H555,0),'Tax Assumptions'!$B$20),0)</f>
        <v/>
      </c>
      <c r="J555" s="138">
        <f>IF(B555="Working",D555-E555-F555-I555-G555-H555,-L555)</f>
        <v/>
      </c>
      <c r="K555" s="137">
        <f>IF(B555="Retired",$N$233+G555+H555,0)</f>
        <v/>
      </c>
      <c r="L555" s="137">
        <f>M555+N555+O555+P555</f>
        <v/>
      </c>
      <c r="M555" s="137">
        <f>IF(B555="Retired",MIN(((Q554)*(1+$C$10)+IF(B555="Working",J555,0)),K555),0)</f>
        <v/>
      </c>
      <c r="N555" s="137">
        <f>IF(B555="Retired",MIN(MAX(K555-M555,0),((R554)*(1+$C$10)+IF(B555="Working",E114,0))),0)</f>
        <v/>
      </c>
      <c r="O555" s="137">
        <f>IF(B555="Retired",MIN(MAX(K555-M555-N555,0),((S554)*(1+$C$10)+IF(B555="Working",I555,0))),0)</f>
        <v/>
      </c>
      <c r="P555" s="137">
        <f>IF(B555="Retired",MIN(MAX(K555-M555-N555-O555,0),((T554)*(1+$C$10)+IF(B555="Working",F114,0))),0)</f>
        <v/>
      </c>
      <c r="Q555" s="138">
        <f>MAX(((Q554)*(1+$C$10)+IF(B555="Working",J555,0))-M555,0)</f>
        <v/>
      </c>
      <c r="R555" s="138">
        <f>MAX(((R554)*(1+$C$10)+IF(B555="Working",E114,0))-N555,0)</f>
        <v/>
      </c>
      <c r="S555" s="138">
        <f>MAX(((S554)*(1+$C$10)+IF(B555="Working",I555,0))-O555,0)</f>
        <v/>
      </c>
      <c r="T555" s="138">
        <f>MAX(((T554)*(1+$C$10)+IF(B555="Working",F114,0))-P555,0)</f>
        <v/>
      </c>
      <c r="U555" s="138">
        <f>Q555+R555+S555+T555</f>
        <v/>
      </c>
      <c r="V555" s="138">
        <f>IF(B555="Working",MAX(-(((Q554)*(1+$C$10)+IF(B555="Working",J555,0))),0),MAX(K555-L555,0))</f>
        <v/>
      </c>
      <c r="W555" s="138">
        <f>IF(OR(A555&gt;=$C$13,B555="Retired"),IF(V555&gt;0,-V555,U555-'Model Inputs'!$B$18),"")</f>
        <v/>
      </c>
      <c r="X555" s="138">
        <f>IF(AND($L$233&gt;0,A555&gt;=$C$13),$L$233*(1+$C$25)^(A555-$C$13),0)</f>
        <v/>
      </c>
      <c r="Y555" s="138">
        <f>IF(OR($L$233&lt;=0,$C$17&lt;=0,A555&lt;$C$13,MIN(MAX((A555-$C$13+1)*12,0),$C$17*12)&gt;=$C$17*12),0,IF($C$16=0,MAX(MAX($L$233*(1-$C$15),0)-(IF($C$17&lt;=0,0,IF($C$16=0,MAX($L$233*(1-$C$15),0)/$C$17,-PMT($C$16/12,$C$17*12,MAX($L$233*(1-$C$15),0))*12))/12)*MIN(MAX((A555-$C$13+1)*12,0),$C$17*12),0),MAX(MAX($L$233*(1-$C$15),0)*(1+$C$16/12)^MIN(MAX((A555-$C$13+1)*12,0),$C$17*12)-(IF($C$17&lt;=0,0,IF($C$16=0,MAX($L$233*(1-$C$15),0)/$C$17,-PMT($C$16/12,$C$17*12,MAX($L$233*(1-$C$15),0))*12))/12)*(((1+$C$16/12)^MIN(MAX((A555-$C$13+1)*12,0),$C$17*12)-1)/($C$16/12)),0)))</f>
        <v/>
      </c>
      <c r="Z555" s="138">
        <f>MAX(X555-Y555,0)</f>
        <v/>
      </c>
      <c r="AA555" s="139">
        <f>U555+Z555</f>
        <v/>
      </c>
      <c r="AB555" s="5" t="n"/>
      <c r="AC555" s="5" t="n"/>
      <c r="AD555" s="5" t="n"/>
      <c r="AE555" s="5" t="n"/>
      <c r="AF555" s="5" t="n"/>
      <c r="AG555" s="5" t="n"/>
    </row>
    <row r="556" outlineLevel="1" s="326">
      <c r="A556" s="140" t="n">
        <v>36</v>
      </c>
      <c r="B556" s="40">
        <f>B115</f>
        <v/>
      </c>
      <c r="C556" s="141">
        <f>D115</f>
        <v/>
      </c>
      <c r="D556" s="141">
        <f>I115</f>
        <v/>
      </c>
      <c r="E556" s="141">
        <f>J115</f>
        <v/>
      </c>
      <c r="F556" s="141">
        <f>K115</f>
        <v/>
      </c>
      <c r="G556" s="138">
        <f>IF(AND($L$233&gt;0,A556=$C$13),$L$233*($C$15+$C$18),0)+IF(AND($L$233&gt;0,A556=$C$13),$C$24,0)</f>
        <v/>
      </c>
      <c r="H556" s="138">
        <f>IF(OR($L$233&lt;=0,A556&lt;$C$13),0,IF(AND($L$233&gt;0,$C$17&gt;0,A556&gt;=$C$13,A556&lt;($C$13+$C$17)),IF($C$17&lt;=0,0,IF($C$16=0,MAX($L$233*(1-$C$15),0)/$C$17,-PMT($C$16/12,$C$17*12,MAX($L$233*(1-$C$15),0))*12)),0)+X556*($C$19+$C$20+$C$21)+$C$22+$C$23)</f>
        <v/>
      </c>
      <c r="I556" s="138">
        <f>IF(B556="Working",MIN(MAX(D556-E556-F556-G556-H556,0),'Tax Assumptions'!$B$20),0)</f>
        <v/>
      </c>
      <c r="J556" s="138">
        <f>IF(B556="Working",D556-E556-F556-I556-G556-H556,-L556)</f>
        <v/>
      </c>
      <c r="K556" s="141">
        <f>IF(B556="Retired",$N$233+G556+H556,0)</f>
        <v/>
      </c>
      <c r="L556" s="141">
        <f>M556+N556+O556+P556</f>
        <v/>
      </c>
      <c r="M556" s="141">
        <f>IF(B556="Retired",MIN(((Q555)*(1+$C$10)+IF(B556="Working",J556,0)),K556),0)</f>
        <v/>
      </c>
      <c r="N556" s="141">
        <f>IF(B556="Retired",MIN(MAX(K556-M556,0),((R555)*(1+$C$10)+IF(B556="Working",E115,0))),0)</f>
        <v/>
      </c>
      <c r="O556" s="141">
        <f>IF(B556="Retired",MIN(MAX(K556-M556-N556,0),((S555)*(1+$C$10)+IF(B556="Working",I556,0))),0)</f>
        <v/>
      </c>
      <c r="P556" s="141">
        <f>IF(B556="Retired",MIN(MAX(K556-M556-N556-O556,0),((T555)*(1+$C$10)+IF(B556="Working",F115,0))),0)</f>
        <v/>
      </c>
      <c r="Q556" s="138">
        <f>MAX(((Q555)*(1+$C$10)+IF(B556="Working",J556,0))-M556,0)</f>
        <v/>
      </c>
      <c r="R556" s="138">
        <f>MAX(((R555)*(1+$C$10)+IF(B556="Working",E115,0))-N556,0)</f>
        <v/>
      </c>
      <c r="S556" s="138">
        <f>MAX(((S555)*(1+$C$10)+IF(B556="Working",I556,0))-O556,0)</f>
        <v/>
      </c>
      <c r="T556" s="138">
        <f>MAX(((T555)*(1+$C$10)+IF(B556="Working",F115,0))-P556,0)</f>
        <v/>
      </c>
      <c r="U556" s="138">
        <f>Q556+R556+S556+T556</f>
        <v/>
      </c>
      <c r="V556" s="138">
        <f>IF(B556="Working",MAX(-(((Q555)*(1+$C$10)+IF(B556="Working",J556,0))),0),MAX(K556-L556,0))</f>
        <v/>
      </c>
      <c r="W556" s="138">
        <f>IF(OR(A556&gt;=$C$13,B556="Retired"),IF(V556&gt;0,-V556,U556-'Model Inputs'!$B$18),"")</f>
        <v/>
      </c>
      <c r="X556" s="138">
        <f>IF(AND($L$233&gt;0,A556&gt;=$C$13),$L$233*(1+$C$25)^(A556-$C$13),0)</f>
        <v/>
      </c>
      <c r="Y556" s="138">
        <f>IF(OR($L$233&lt;=0,$C$17&lt;=0,A556&lt;$C$13,MIN(MAX((A556-$C$13+1)*12,0),$C$17*12)&gt;=$C$17*12),0,IF($C$16=0,MAX(MAX($L$233*(1-$C$15),0)-(IF($C$17&lt;=0,0,IF($C$16=0,MAX($L$233*(1-$C$15),0)/$C$17,-PMT($C$16/12,$C$17*12,MAX($L$233*(1-$C$15),0))*12))/12)*MIN(MAX((A556-$C$13+1)*12,0),$C$17*12),0),MAX(MAX($L$233*(1-$C$15),0)*(1+$C$16/12)^MIN(MAX((A556-$C$13+1)*12,0),$C$17*12)-(IF($C$17&lt;=0,0,IF($C$16=0,MAX($L$233*(1-$C$15),0)/$C$17,-PMT($C$16/12,$C$17*12,MAX($L$233*(1-$C$15),0))*12))/12)*(((1+$C$16/12)^MIN(MAX((A556-$C$13+1)*12,0),$C$17*12)-1)/($C$16/12)),0)))</f>
        <v/>
      </c>
      <c r="Z556" s="138">
        <f>MAX(X556-Y556,0)</f>
        <v/>
      </c>
      <c r="AA556" s="142">
        <f>U556+Z556</f>
        <v/>
      </c>
      <c r="AB556" s="5" t="n"/>
      <c r="AC556" s="5" t="n"/>
      <c r="AD556" s="5" t="n"/>
      <c r="AE556" s="5" t="n"/>
      <c r="AF556" s="5" t="n"/>
      <c r="AG556" s="5" t="n"/>
    </row>
    <row r="557" outlineLevel="1" s="326">
      <c r="A557" s="136" t="n">
        <v>37</v>
      </c>
      <c r="B557" s="72">
        <f>B116</f>
        <v/>
      </c>
      <c r="C557" s="137">
        <f>D116</f>
        <v/>
      </c>
      <c r="D557" s="137">
        <f>I116</f>
        <v/>
      </c>
      <c r="E557" s="137">
        <f>J116</f>
        <v/>
      </c>
      <c r="F557" s="137">
        <f>K116</f>
        <v/>
      </c>
      <c r="G557" s="138">
        <f>IF(AND($L$233&gt;0,A557=$C$13),$L$233*($C$15+$C$18),0)+IF(AND($L$233&gt;0,A557=$C$13),$C$24,0)</f>
        <v/>
      </c>
      <c r="H557" s="138">
        <f>IF(OR($L$233&lt;=0,A557&lt;$C$13),0,IF(AND($L$233&gt;0,$C$17&gt;0,A557&gt;=$C$13,A557&lt;($C$13+$C$17)),IF($C$17&lt;=0,0,IF($C$16=0,MAX($L$233*(1-$C$15),0)/$C$17,-PMT($C$16/12,$C$17*12,MAX($L$233*(1-$C$15),0))*12)),0)+X557*($C$19+$C$20+$C$21)+$C$22+$C$23)</f>
        <v/>
      </c>
      <c r="I557" s="138">
        <f>IF(B557="Working",MIN(MAX(D557-E557-F557-G557-H557,0),'Tax Assumptions'!$B$20),0)</f>
        <v/>
      </c>
      <c r="J557" s="138">
        <f>IF(B557="Working",D557-E557-F557-I557-G557-H557,-L557)</f>
        <v/>
      </c>
      <c r="K557" s="137">
        <f>IF(B557="Retired",$N$233+G557+H557,0)</f>
        <v/>
      </c>
      <c r="L557" s="137">
        <f>M557+N557+O557+P557</f>
        <v/>
      </c>
      <c r="M557" s="137">
        <f>IF(B557="Retired",MIN(((Q556)*(1+$C$10)+IF(B557="Working",J557,0)),K557),0)</f>
        <v/>
      </c>
      <c r="N557" s="137">
        <f>IF(B557="Retired",MIN(MAX(K557-M557,0),((R556)*(1+$C$10)+IF(B557="Working",E116,0))),0)</f>
        <v/>
      </c>
      <c r="O557" s="137">
        <f>IF(B557="Retired",MIN(MAX(K557-M557-N557,0),((S556)*(1+$C$10)+IF(B557="Working",I557,0))),0)</f>
        <v/>
      </c>
      <c r="P557" s="137">
        <f>IF(B557="Retired",MIN(MAX(K557-M557-N557-O557,0),((T556)*(1+$C$10)+IF(B557="Working",F116,0))),0)</f>
        <v/>
      </c>
      <c r="Q557" s="138">
        <f>MAX(((Q556)*(1+$C$10)+IF(B557="Working",J557,0))-M557,0)</f>
        <v/>
      </c>
      <c r="R557" s="138">
        <f>MAX(((R556)*(1+$C$10)+IF(B557="Working",E116,0))-N557,0)</f>
        <v/>
      </c>
      <c r="S557" s="138">
        <f>MAX(((S556)*(1+$C$10)+IF(B557="Working",I557,0))-O557,0)</f>
        <v/>
      </c>
      <c r="T557" s="138">
        <f>MAX(((T556)*(1+$C$10)+IF(B557="Working",F116,0))-P557,0)</f>
        <v/>
      </c>
      <c r="U557" s="138">
        <f>Q557+R557+S557+T557</f>
        <v/>
      </c>
      <c r="V557" s="138">
        <f>IF(B557="Working",MAX(-(((Q556)*(1+$C$10)+IF(B557="Working",J557,0))),0),MAX(K557-L557,0))</f>
        <v/>
      </c>
      <c r="W557" s="138">
        <f>IF(OR(A557&gt;=$C$13,B557="Retired"),IF(V557&gt;0,-V557,U557-'Model Inputs'!$B$18),"")</f>
        <v/>
      </c>
      <c r="X557" s="138">
        <f>IF(AND($L$233&gt;0,A557&gt;=$C$13),$L$233*(1+$C$25)^(A557-$C$13),0)</f>
        <v/>
      </c>
      <c r="Y557" s="138">
        <f>IF(OR($L$233&lt;=0,$C$17&lt;=0,A557&lt;$C$13,MIN(MAX((A557-$C$13+1)*12,0),$C$17*12)&gt;=$C$17*12),0,IF($C$16=0,MAX(MAX($L$233*(1-$C$15),0)-(IF($C$17&lt;=0,0,IF($C$16=0,MAX($L$233*(1-$C$15),0)/$C$17,-PMT($C$16/12,$C$17*12,MAX($L$233*(1-$C$15),0))*12))/12)*MIN(MAX((A557-$C$13+1)*12,0),$C$17*12),0),MAX(MAX($L$233*(1-$C$15),0)*(1+$C$16/12)^MIN(MAX((A557-$C$13+1)*12,0),$C$17*12)-(IF($C$17&lt;=0,0,IF($C$16=0,MAX($L$233*(1-$C$15),0)/$C$17,-PMT($C$16/12,$C$17*12,MAX($L$233*(1-$C$15),0))*12))/12)*(((1+$C$16/12)^MIN(MAX((A557-$C$13+1)*12,0),$C$17*12)-1)/($C$16/12)),0)))</f>
        <v/>
      </c>
      <c r="Z557" s="138">
        <f>MAX(X557-Y557,0)</f>
        <v/>
      </c>
      <c r="AA557" s="139">
        <f>U557+Z557</f>
        <v/>
      </c>
      <c r="AB557" s="5" t="n"/>
      <c r="AC557" s="5" t="n"/>
      <c r="AD557" s="5" t="n"/>
      <c r="AE557" s="5" t="n"/>
      <c r="AF557" s="5" t="n"/>
      <c r="AG557" s="5" t="n"/>
    </row>
    <row r="558" outlineLevel="1" s="326">
      <c r="A558" s="140" t="n">
        <v>38</v>
      </c>
      <c r="B558" s="40">
        <f>B117</f>
        <v/>
      </c>
      <c r="C558" s="141">
        <f>D117</f>
        <v/>
      </c>
      <c r="D558" s="141">
        <f>I117</f>
        <v/>
      </c>
      <c r="E558" s="141">
        <f>J117</f>
        <v/>
      </c>
      <c r="F558" s="141">
        <f>K117</f>
        <v/>
      </c>
      <c r="G558" s="138">
        <f>IF(AND($L$233&gt;0,A558=$C$13),$L$233*($C$15+$C$18),0)+IF(AND($L$233&gt;0,A558=$C$13),$C$24,0)</f>
        <v/>
      </c>
      <c r="H558" s="138">
        <f>IF(OR($L$233&lt;=0,A558&lt;$C$13),0,IF(AND($L$233&gt;0,$C$17&gt;0,A558&gt;=$C$13,A558&lt;($C$13+$C$17)),IF($C$17&lt;=0,0,IF($C$16=0,MAX($L$233*(1-$C$15),0)/$C$17,-PMT($C$16/12,$C$17*12,MAX($L$233*(1-$C$15),0))*12)),0)+X558*($C$19+$C$20+$C$21)+$C$22+$C$23)</f>
        <v/>
      </c>
      <c r="I558" s="138">
        <f>IF(B558="Working",MIN(MAX(D558-E558-F558-G558-H558,0),'Tax Assumptions'!$B$20),0)</f>
        <v/>
      </c>
      <c r="J558" s="138">
        <f>IF(B558="Working",D558-E558-F558-I558-G558-H558,-L558)</f>
        <v/>
      </c>
      <c r="K558" s="141">
        <f>IF(B558="Retired",$N$233+G558+H558,0)</f>
        <v/>
      </c>
      <c r="L558" s="141">
        <f>M558+N558+O558+P558</f>
        <v/>
      </c>
      <c r="M558" s="141">
        <f>IF(B558="Retired",MIN(((Q557)*(1+$C$10)+IF(B558="Working",J558,0)),K558),0)</f>
        <v/>
      </c>
      <c r="N558" s="141">
        <f>IF(B558="Retired",MIN(MAX(K558-M558,0),((R557)*(1+$C$10)+IF(B558="Working",E117,0))),0)</f>
        <v/>
      </c>
      <c r="O558" s="141">
        <f>IF(B558="Retired",MIN(MAX(K558-M558-N558,0),((S557)*(1+$C$10)+IF(B558="Working",I558,0))),0)</f>
        <v/>
      </c>
      <c r="P558" s="141">
        <f>IF(B558="Retired",MIN(MAX(K558-M558-N558-O558,0),((T557)*(1+$C$10)+IF(B558="Working",F117,0))),0)</f>
        <v/>
      </c>
      <c r="Q558" s="138">
        <f>MAX(((Q557)*(1+$C$10)+IF(B558="Working",J558,0))-M558,0)</f>
        <v/>
      </c>
      <c r="R558" s="138">
        <f>MAX(((R557)*(1+$C$10)+IF(B558="Working",E117,0))-N558,0)</f>
        <v/>
      </c>
      <c r="S558" s="138">
        <f>MAX(((S557)*(1+$C$10)+IF(B558="Working",I558,0))-O558,0)</f>
        <v/>
      </c>
      <c r="T558" s="138">
        <f>MAX(((T557)*(1+$C$10)+IF(B558="Working",F117,0))-P558,0)</f>
        <v/>
      </c>
      <c r="U558" s="138">
        <f>Q558+R558+S558+T558</f>
        <v/>
      </c>
      <c r="V558" s="138">
        <f>IF(B558="Working",MAX(-(((Q557)*(1+$C$10)+IF(B558="Working",J558,0))),0),MAX(K558-L558,0))</f>
        <v/>
      </c>
      <c r="W558" s="138">
        <f>IF(OR(A558&gt;=$C$13,B558="Retired"),IF(V558&gt;0,-V558,U558-'Model Inputs'!$B$18),"")</f>
        <v/>
      </c>
      <c r="X558" s="138">
        <f>IF(AND($L$233&gt;0,A558&gt;=$C$13),$L$233*(1+$C$25)^(A558-$C$13),0)</f>
        <v/>
      </c>
      <c r="Y558" s="138">
        <f>IF(OR($L$233&lt;=0,$C$17&lt;=0,A558&lt;$C$13,MIN(MAX((A558-$C$13+1)*12,0),$C$17*12)&gt;=$C$17*12),0,IF($C$16=0,MAX(MAX($L$233*(1-$C$15),0)-(IF($C$17&lt;=0,0,IF($C$16=0,MAX($L$233*(1-$C$15),0)/$C$17,-PMT($C$16/12,$C$17*12,MAX($L$233*(1-$C$15),0))*12))/12)*MIN(MAX((A558-$C$13+1)*12,0),$C$17*12),0),MAX(MAX($L$233*(1-$C$15),0)*(1+$C$16/12)^MIN(MAX((A558-$C$13+1)*12,0),$C$17*12)-(IF($C$17&lt;=0,0,IF($C$16=0,MAX($L$233*(1-$C$15),0)/$C$17,-PMT($C$16/12,$C$17*12,MAX($L$233*(1-$C$15),0))*12))/12)*(((1+$C$16/12)^MIN(MAX((A558-$C$13+1)*12,0),$C$17*12)-1)/($C$16/12)),0)))</f>
        <v/>
      </c>
      <c r="Z558" s="138">
        <f>MAX(X558-Y558,0)</f>
        <v/>
      </c>
      <c r="AA558" s="142">
        <f>U558+Z558</f>
        <v/>
      </c>
      <c r="AB558" s="5" t="n"/>
      <c r="AC558" s="5" t="n"/>
      <c r="AD558" s="5" t="n"/>
      <c r="AE558" s="5" t="n"/>
      <c r="AF558" s="5" t="n"/>
      <c r="AG558" s="5" t="n"/>
    </row>
    <row r="559" outlineLevel="1" s="326">
      <c r="A559" s="136" t="n">
        <v>39</v>
      </c>
      <c r="B559" s="72">
        <f>B118</f>
        <v/>
      </c>
      <c r="C559" s="137">
        <f>D118</f>
        <v/>
      </c>
      <c r="D559" s="137">
        <f>I118</f>
        <v/>
      </c>
      <c r="E559" s="137">
        <f>J118</f>
        <v/>
      </c>
      <c r="F559" s="137">
        <f>K118</f>
        <v/>
      </c>
      <c r="G559" s="138">
        <f>IF(AND($L$233&gt;0,A559=$C$13),$L$233*($C$15+$C$18),0)+IF(AND($L$233&gt;0,A559=$C$13),$C$24,0)</f>
        <v/>
      </c>
      <c r="H559" s="138">
        <f>IF(OR($L$233&lt;=0,A559&lt;$C$13),0,IF(AND($L$233&gt;0,$C$17&gt;0,A559&gt;=$C$13,A559&lt;($C$13+$C$17)),IF($C$17&lt;=0,0,IF($C$16=0,MAX($L$233*(1-$C$15),0)/$C$17,-PMT($C$16/12,$C$17*12,MAX($L$233*(1-$C$15),0))*12)),0)+X559*($C$19+$C$20+$C$21)+$C$22+$C$23)</f>
        <v/>
      </c>
      <c r="I559" s="138">
        <f>IF(B559="Working",MIN(MAX(D559-E559-F559-G559-H559,0),'Tax Assumptions'!$B$20),0)</f>
        <v/>
      </c>
      <c r="J559" s="138">
        <f>IF(B559="Working",D559-E559-F559-I559-G559-H559,-L559)</f>
        <v/>
      </c>
      <c r="K559" s="137">
        <f>IF(B559="Retired",$N$233+G559+H559,0)</f>
        <v/>
      </c>
      <c r="L559" s="137">
        <f>M559+N559+O559+P559</f>
        <v/>
      </c>
      <c r="M559" s="137">
        <f>IF(B559="Retired",MIN(((Q558)*(1+$C$10)+IF(B559="Working",J559,0)),K559),0)</f>
        <v/>
      </c>
      <c r="N559" s="137">
        <f>IF(B559="Retired",MIN(MAX(K559-M559,0),((R558)*(1+$C$10)+IF(B559="Working",E118,0))),0)</f>
        <v/>
      </c>
      <c r="O559" s="137">
        <f>IF(B559="Retired",MIN(MAX(K559-M559-N559,0),((S558)*(1+$C$10)+IF(B559="Working",I559,0))),0)</f>
        <v/>
      </c>
      <c r="P559" s="137">
        <f>IF(B559="Retired",MIN(MAX(K559-M559-N559-O559,0),((T558)*(1+$C$10)+IF(B559="Working",F118,0))),0)</f>
        <v/>
      </c>
      <c r="Q559" s="138">
        <f>MAX(((Q558)*(1+$C$10)+IF(B559="Working",J559,0))-M559,0)</f>
        <v/>
      </c>
      <c r="R559" s="138">
        <f>MAX(((R558)*(1+$C$10)+IF(B559="Working",E118,0))-N559,0)</f>
        <v/>
      </c>
      <c r="S559" s="138">
        <f>MAX(((S558)*(1+$C$10)+IF(B559="Working",I559,0))-O559,0)</f>
        <v/>
      </c>
      <c r="T559" s="138">
        <f>MAX(((T558)*(1+$C$10)+IF(B559="Working",F118,0))-P559,0)</f>
        <v/>
      </c>
      <c r="U559" s="138">
        <f>Q559+R559+S559+T559</f>
        <v/>
      </c>
      <c r="V559" s="138">
        <f>IF(B559="Working",MAX(-(((Q558)*(1+$C$10)+IF(B559="Working",J559,0))),0),MAX(K559-L559,0))</f>
        <v/>
      </c>
      <c r="W559" s="138">
        <f>IF(OR(A559&gt;=$C$13,B559="Retired"),IF(V559&gt;0,-V559,U559-'Model Inputs'!$B$18),"")</f>
        <v/>
      </c>
      <c r="X559" s="138">
        <f>IF(AND($L$233&gt;0,A559&gt;=$C$13),$L$233*(1+$C$25)^(A559-$C$13),0)</f>
        <v/>
      </c>
      <c r="Y559" s="138">
        <f>IF(OR($L$233&lt;=0,$C$17&lt;=0,A559&lt;$C$13,MIN(MAX((A559-$C$13+1)*12,0),$C$17*12)&gt;=$C$17*12),0,IF($C$16=0,MAX(MAX($L$233*(1-$C$15),0)-(IF($C$17&lt;=0,0,IF($C$16=0,MAX($L$233*(1-$C$15),0)/$C$17,-PMT($C$16/12,$C$17*12,MAX($L$233*(1-$C$15),0))*12))/12)*MIN(MAX((A559-$C$13+1)*12,0),$C$17*12),0),MAX(MAX($L$233*(1-$C$15),0)*(1+$C$16/12)^MIN(MAX((A559-$C$13+1)*12,0),$C$17*12)-(IF($C$17&lt;=0,0,IF($C$16=0,MAX($L$233*(1-$C$15),0)/$C$17,-PMT($C$16/12,$C$17*12,MAX($L$233*(1-$C$15),0))*12))/12)*(((1+$C$16/12)^MIN(MAX((A559-$C$13+1)*12,0),$C$17*12)-1)/($C$16/12)),0)))</f>
        <v/>
      </c>
      <c r="Z559" s="138">
        <f>MAX(X559-Y559,0)</f>
        <v/>
      </c>
      <c r="AA559" s="139">
        <f>U559+Z559</f>
        <v/>
      </c>
      <c r="AB559" s="5" t="n"/>
      <c r="AC559" s="5" t="n"/>
      <c r="AD559" s="5" t="n"/>
      <c r="AE559" s="5" t="n"/>
      <c r="AF559" s="5" t="n"/>
      <c r="AG559" s="5" t="n"/>
    </row>
    <row r="560" outlineLevel="1" s="326">
      <c r="A560" s="140" t="n">
        <v>40</v>
      </c>
      <c r="B560" s="40">
        <f>B119</f>
        <v/>
      </c>
      <c r="C560" s="141">
        <f>D119</f>
        <v/>
      </c>
      <c r="D560" s="141">
        <f>I119</f>
        <v/>
      </c>
      <c r="E560" s="141">
        <f>J119</f>
        <v/>
      </c>
      <c r="F560" s="141">
        <f>K119</f>
        <v/>
      </c>
      <c r="G560" s="138">
        <f>IF(AND($L$233&gt;0,A560=$C$13),$L$233*($C$15+$C$18),0)+IF(AND($L$233&gt;0,A560=$C$13),$C$24,0)</f>
        <v/>
      </c>
      <c r="H560" s="138">
        <f>IF(OR($L$233&lt;=0,A560&lt;$C$13),0,IF(AND($L$233&gt;0,$C$17&gt;0,A560&gt;=$C$13,A560&lt;($C$13+$C$17)),IF($C$17&lt;=0,0,IF($C$16=0,MAX($L$233*(1-$C$15),0)/$C$17,-PMT($C$16/12,$C$17*12,MAX($L$233*(1-$C$15),0))*12)),0)+X560*($C$19+$C$20+$C$21)+$C$22+$C$23)</f>
        <v/>
      </c>
      <c r="I560" s="138">
        <f>IF(B560="Working",MIN(MAX(D560-E560-F560-G560-H560,0),'Tax Assumptions'!$B$20),0)</f>
        <v/>
      </c>
      <c r="J560" s="138">
        <f>IF(B560="Working",D560-E560-F560-I560-G560-H560,-L560)</f>
        <v/>
      </c>
      <c r="K560" s="141">
        <f>IF(B560="Retired",$N$233+G560+H560,0)</f>
        <v/>
      </c>
      <c r="L560" s="141">
        <f>M560+N560+O560+P560</f>
        <v/>
      </c>
      <c r="M560" s="141">
        <f>IF(B560="Retired",MIN(((Q559)*(1+$C$10)+IF(B560="Working",J560,0)),K560),0)</f>
        <v/>
      </c>
      <c r="N560" s="141">
        <f>IF(B560="Retired",MIN(MAX(K560-M560,0),((R559)*(1+$C$10)+IF(B560="Working",E119,0))),0)</f>
        <v/>
      </c>
      <c r="O560" s="141">
        <f>IF(B560="Retired",MIN(MAX(K560-M560-N560,0),((S559)*(1+$C$10)+IF(B560="Working",I560,0))),0)</f>
        <v/>
      </c>
      <c r="P560" s="141">
        <f>IF(B560="Retired",MIN(MAX(K560-M560-N560-O560,0),((T559)*(1+$C$10)+IF(B560="Working",F119,0))),0)</f>
        <v/>
      </c>
      <c r="Q560" s="138">
        <f>MAX(((Q559)*(1+$C$10)+IF(B560="Working",J560,0))-M560,0)</f>
        <v/>
      </c>
      <c r="R560" s="138">
        <f>MAX(((R559)*(1+$C$10)+IF(B560="Working",E119,0))-N560,0)</f>
        <v/>
      </c>
      <c r="S560" s="138">
        <f>MAX(((S559)*(1+$C$10)+IF(B560="Working",I560,0))-O560,0)</f>
        <v/>
      </c>
      <c r="T560" s="138">
        <f>MAX(((T559)*(1+$C$10)+IF(B560="Working",F119,0))-P560,0)</f>
        <v/>
      </c>
      <c r="U560" s="138">
        <f>Q560+R560+S560+T560</f>
        <v/>
      </c>
      <c r="V560" s="138">
        <f>IF(B560="Working",MAX(-(((Q559)*(1+$C$10)+IF(B560="Working",J560,0))),0),MAX(K560-L560,0))</f>
        <v/>
      </c>
      <c r="W560" s="138">
        <f>IF(OR(A560&gt;=$C$13,B560="Retired"),IF(V560&gt;0,-V560,U560-'Model Inputs'!$B$18),"")</f>
        <v/>
      </c>
      <c r="X560" s="138">
        <f>IF(AND($L$233&gt;0,A560&gt;=$C$13),$L$233*(1+$C$25)^(A560-$C$13),0)</f>
        <v/>
      </c>
      <c r="Y560" s="138">
        <f>IF(OR($L$233&lt;=0,$C$17&lt;=0,A560&lt;$C$13,MIN(MAX((A560-$C$13+1)*12,0),$C$17*12)&gt;=$C$17*12),0,IF($C$16=0,MAX(MAX($L$233*(1-$C$15),0)-(IF($C$17&lt;=0,0,IF($C$16=0,MAX($L$233*(1-$C$15),0)/$C$17,-PMT($C$16/12,$C$17*12,MAX($L$233*(1-$C$15),0))*12))/12)*MIN(MAX((A560-$C$13+1)*12,0),$C$17*12),0),MAX(MAX($L$233*(1-$C$15),0)*(1+$C$16/12)^MIN(MAX((A560-$C$13+1)*12,0),$C$17*12)-(IF($C$17&lt;=0,0,IF($C$16=0,MAX($L$233*(1-$C$15),0)/$C$17,-PMT($C$16/12,$C$17*12,MAX($L$233*(1-$C$15),0))*12))/12)*(((1+$C$16/12)^MIN(MAX((A560-$C$13+1)*12,0),$C$17*12)-1)/($C$16/12)),0)))</f>
        <v/>
      </c>
      <c r="Z560" s="138">
        <f>MAX(X560-Y560,0)</f>
        <v/>
      </c>
      <c r="AA560" s="142">
        <f>U560+Z560</f>
        <v/>
      </c>
      <c r="AB560" s="5" t="n"/>
      <c r="AC560" s="5" t="n"/>
      <c r="AD560" s="5" t="n"/>
      <c r="AE560" s="5" t="n"/>
      <c r="AF560" s="5" t="n"/>
      <c r="AG560" s="5" t="n"/>
    </row>
    <row r="561" outlineLevel="1" s="326">
      <c r="A561" s="143" t="inlineStr">
        <is>
          <t>Case Summary</t>
        </is>
      </c>
      <c r="B561" s="144" t="n"/>
      <c r="C561" s="144" t="n"/>
      <c r="D561" s="144" t="n"/>
      <c r="E561" s="144" t="n"/>
      <c r="F561" s="144" t="n"/>
      <c r="G561" s="145">
        <f>SUM(G521:G560)</f>
        <v/>
      </c>
      <c r="H561" s="145">
        <f>SUM(H521:H560)</f>
        <v/>
      </c>
      <c r="I561" s="145">
        <f>SUM(I521:I560)</f>
        <v/>
      </c>
      <c r="J561" s="145">
        <f>SUM(J521:J560)</f>
        <v/>
      </c>
      <c r="K561" s="145">
        <f>SUM(K521:K560)</f>
        <v/>
      </c>
      <c r="L561" s="145">
        <f>SUM(L521:L560)</f>
        <v/>
      </c>
      <c r="M561" s="145">
        <f>SUM(M521:M560)</f>
        <v/>
      </c>
      <c r="N561" s="145">
        <f>SUM(N521:N560)</f>
        <v/>
      </c>
      <c r="O561" s="145">
        <f>SUM(O521:O560)</f>
        <v/>
      </c>
      <c r="P561" s="145">
        <f>SUM(P521:P560)</f>
        <v/>
      </c>
      <c r="Q561" s="145">
        <f>Q560</f>
        <v/>
      </c>
      <c r="R561" s="145">
        <f>R560</f>
        <v/>
      </c>
      <c r="S561" s="145">
        <f>S560</f>
        <v/>
      </c>
      <c r="T561" s="145">
        <f>T560</f>
        <v/>
      </c>
      <c r="U561" s="145">
        <f>U560</f>
        <v/>
      </c>
      <c r="V561" s="145">
        <f>SUM(V521:V560)</f>
        <v/>
      </c>
      <c r="W561" s="145">
        <f>MIN(W521:W560)</f>
        <v/>
      </c>
      <c r="X561" s="145">
        <f>X560</f>
        <v/>
      </c>
      <c r="Y561" s="145">
        <f>Y560</f>
        <v/>
      </c>
      <c r="Z561" s="145">
        <f>Z560</f>
        <v/>
      </c>
      <c r="AA561" s="146">
        <f>AA560</f>
        <v/>
      </c>
      <c r="AB561" s="5" t="n"/>
      <c r="AC561" s="5" t="n"/>
      <c r="AD561" s="5" t="n"/>
      <c r="AE561" s="5" t="n"/>
      <c r="AF561" s="5" t="n"/>
      <c r="AG561" s="5" t="n"/>
    </row>
    <row r="562" outlineLevel="1" s="326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</row>
    <row r="563" outlineLevel="1" s="326">
      <c r="A563" s="387">
        <f>J234&amp;" | House "&amp;TEXT($L$234,"$#,##0")&amp;" | Spend "&amp;TEXT($N$234,"$#,##0")</f>
        <v/>
      </c>
      <c r="B563" s="345" t="n"/>
      <c r="C563" s="345" t="n"/>
      <c r="D563" s="345" t="n"/>
      <c r="E563" s="345" t="n"/>
      <c r="F563" s="345" t="n"/>
      <c r="G563" s="345" t="n"/>
      <c r="H563" s="345" t="n"/>
      <c r="I563" s="345" t="n"/>
      <c r="J563" s="345" t="n"/>
      <c r="K563" s="345" t="n"/>
      <c r="L563" s="345" t="n"/>
      <c r="M563" s="345" t="n"/>
      <c r="N563" s="345" t="n"/>
      <c r="O563" s="345" t="n"/>
      <c r="P563" s="345" t="n"/>
      <c r="Q563" s="345" t="n"/>
      <c r="R563" s="345" t="n"/>
      <c r="S563" s="345" t="n"/>
      <c r="T563" s="345" t="n"/>
      <c r="U563" s="345" t="n"/>
      <c r="V563" s="345" t="n"/>
      <c r="W563" s="345" t="n"/>
      <c r="X563" s="345" t="n"/>
      <c r="Y563" s="345" t="n"/>
      <c r="Z563" s="345" t="n"/>
      <c r="AA563" s="346" t="n"/>
      <c r="AB563" s="5" t="n"/>
      <c r="AC563" s="5" t="n"/>
      <c r="AD563" s="5" t="n"/>
      <c r="AE563" s="5" t="n"/>
      <c r="AF563" s="5" t="n"/>
      <c r="AG563" s="5" t="n"/>
    </row>
    <row r="564" outlineLevel="1" ht="34" customHeight="1" s="326">
      <c r="A564" s="134" t="inlineStr">
        <is>
          <t>Year</t>
        </is>
      </c>
      <c r="B564" s="83" t="inlineStr">
        <is>
          <t>Phase</t>
        </is>
      </c>
      <c r="C564" s="83" t="inlineStr">
        <is>
          <t>Gross</t>
        </is>
      </c>
      <c r="D564" s="83" t="inlineStr">
        <is>
          <t>Post-Tax Cash</t>
        </is>
      </c>
      <c r="E564" s="83" t="inlineStr">
        <is>
          <t>Rent</t>
        </is>
      </c>
      <c r="F564" s="83" t="inlineStr">
        <is>
          <t>Living</t>
        </is>
      </c>
      <c r="G564" s="83" t="inlineStr">
        <is>
          <t>House Cash</t>
        </is>
      </c>
      <c r="H564" s="83" t="inlineStr">
        <is>
          <t>Housing Carry</t>
        </is>
      </c>
      <c r="I564" s="83" t="inlineStr">
        <is>
          <t>Roth</t>
        </is>
      </c>
      <c r="J564" s="83" t="inlineStr">
        <is>
          <t>Taxable Sav / (Draw)</t>
        </is>
      </c>
      <c r="K564" s="83" t="inlineStr">
        <is>
          <t>Planned Need</t>
        </is>
      </c>
      <c r="L564" s="83" t="inlineStr">
        <is>
          <t>Actual W/D</t>
        </is>
      </c>
      <c r="M564" s="83" t="inlineStr">
        <is>
          <t>Taxable Draw</t>
        </is>
      </c>
      <c r="N564" s="83" t="inlineStr">
        <is>
          <t>401(k) Draw</t>
        </is>
      </c>
      <c r="O564" s="83" t="inlineStr">
        <is>
          <t>Roth Draw</t>
        </is>
      </c>
      <c r="P564" s="83" t="inlineStr">
        <is>
          <t>HSA Draw</t>
        </is>
      </c>
      <c r="Q564" s="83" t="inlineStr">
        <is>
          <t>Taxable Bal</t>
        </is>
      </c>
      <c r="R564" s="83" t="inlineStr">
        <is>
          <t>401(k) Bal</t>
        </is>
      </c>
      <c r="S564" s="83" t="inlineStr">
        <is>
          <t>Roth Bal</t>
        </is>
      </c>
      <c r="T564" s="83" t="inlineStr">
        <is>
          <t>HSA Bal</t>
        </is>
      </c>
      <c r="U564" s="83" t="inlineStr">
        <is>
          <t>Liquid Wealth</t>
        </is>
      </c>
      <c r="V564" s="83" t="inlineStr">
        <is>
          <t>Funding Gap</t>
        </is>
      </c>
      <c r="W564" s="83" t="inlineStr">
        <is>
          <t>Margin vs Reserve</t>
        </is>
      </c>
      <c r="X564" s="83" t="inlineStr">
        <is>
          <t>House Value</t>
        </is>
      </c>
      <c r="Y564" s="83" t="inlineStr">
        <is>
          <t>Mortgage Balance</t>
        </is>
      </c>
      <c r="Z564" s="83" t="inlineStr">
        <is>
          <t>Home Equity</t>
        </is>
      </c>
      <c r="AA564" s="135" t="inlineStr">
        <is>
          <t>Net Worth</t>
        </is>
      </c>
      <c r="AB564" s="5" t="n"/>
      <c r="AC564" s="5" t="n"/>
      <c r="AD564" s="5" t="n"/>
      <c r="AE564" s="5" t="n"/>
      <c r="AF564" s="5" t="n"/>
      <c r="AG564" s="5" t="n"/>
    </row>
    <row r="565" outlineLevel="1" s="326">
      <c r="A565" s="136" t="n">
        <v>1</v>
      </c>
      <c r="B565" s="72">
        <f>B80</f>
        <v/>
      </c>
      <c r="C565" s="137">
        <f>D80</f>
        <v/>
      </c>
      <c r="D565" s="137">
        <f>I80</f>
        <v/>
      </c>
      <c r="E565" s="137">
        <f>J80</f>
        <v/>
      </c>
      <c r="F565" s="137">
        <f>K80</f>
        <v/>
      </c>
      <c r="G565" s="138">
        <f>IF(AND($L$234&gt;0,A565=$C$13),$L$234*($C$15+$C$18),0)+IF(AND($L$234&gt;0,A565=$C$13),$C$24,0)</f>
        <v/>
      </c>
      <c r="H565" s="138">
        <f>IF(OR($L$234&lt;=0,A565&lt;$C$13),0,IF(AND($L$234&gt;0,$C$17&gt;0,A565&gt;=$C$13,A565&lt;($C$13+$C$17)),IF($C$17&lt;=0,0,IF($C$16=0,MAX($L$234*(1-$C$15),0)/$C$17,-PMT($C$16/12,$C$17*12,MAX($L$234*(1-$C$15),0))*12)),0)+X565*($C$19+$C$20+$C$21)+$C$22+$C$23)</f>
        <v/>
      </c>
      <c r="I565" s="138">
        <f>IF(B565="Working",MIN(MAX(D565-E565-F565-G565-H565,0),'Tax Assumptions'!$B$20),0)</f>
        <v/>
      </c>
      <c r="J565" s="138">
        <f>IF(B565="Working",D565-E565-F565-I565-G565-H565,-L565)</f>
        <v/>
      </c>
      <c r="K565" s="137">
        <f>IF(B565="Retired",$N$234+G565+H565,0)</f>
        <v/>
      </c>
      <c r="L565" s="137">
        <f>M565+N565+O565+P565</f>
        <v/>
      </c>
      <c r="M565" s="137">
        <f>IF(B565="Retired",MIN((('Savings Projection'!$B$7)*(1+$C$10)+IF(B565="Working",J565,0)),K565),0)</f>
        <v/>
      </c>
      <c r="N565" s="137">
        <f>IF(B565="Retired",MIN(MAX(K565-M565,0),(('Savings Projection'!$B$8)*(1+$C$10)+IF(B565="Working",E80,0))),0)</f>
        <v/>
      </c>
      <c r="O565" s="137">
        <f>IF(B565="Retired",MIN(MAX(K565-M565-N565,0),(('Savings Projection'!$B$9)*(1+$C$10)+IF(B565="Working",I565,0))),0)</f>
        <v/>
      </c>
      <c r="P565" s="137">
        <f>IF(B565="Retired",MIN(MAX(K565-M565-N565-O565,0),(('Savings Projection'!$B$10)*(1+$C$10)+IF(B565="Working",F80,0))),0)</f>
        <v/>
      </c>
      <c r="Q565" s="138">
        <f>MAX((('Savings Projection'!$B$7)*(1+$C$10)+IF(B565="Working",J565,0))-M565,0)</f>
        <v/>
      </c>
      <c r="R565" s="138">
        <f>MAX((('Savings Projection'!$B$8)*(1+$C$10)+IF(B565="Working",E80,0))-N565,0)</f>
        <v/>
      </c>
      <c r="S565" s="138">
        <f>MAX((('Savings Projection'!$B$9)*(1+$C$10)+IF(B565="Working",I565,0))-O565,0)</f>
        <v/>
      </c>
      <c r="T565" s="138">
        <f>MAX((('Savings Projection'!$B$10)*(1+$C$10)+IF(B565="Working",F80,0))-P565,0)</f>
        <v/>
      </c>
      <c r="U565" s="138">
        <f>Q565+R565+S565+T565</f>
        <v/>
      </c>
      <c r="V565" s="138">
        <f>IF(B565="Working",MAX(-((('Savings Projection'!$B$7)*(1+$C$10)+IF(B565="Working",J565,0))),0),MAX(K565-L565,0))</f>
        <v/>
      </c>
      <c r="W565" s="138">
        <f>IF(OR(A565&gt;=$C$13,B565="Retired"),IF(V565&gt;0,-V565,U565-'Model Inputs'!$B$18),"")</f>
        <v/>
      </c>
      <c r="X565" s="138">
        <f>IF(AND($L$234&gt;0,A565&gt;=$C$13),$L$234*(1+$C$25)^(A565-$C$13),0)</f>
        <v/>
      </c>
      <c r="Y565" s="138">
        <f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/>
      </c>
      <c r="Z565" s="138">
        <f>MAX(X565-Y565,0)</f>
        <v/>
      </c>
      <c r="AA565" s="139">
        <f>U565+Z565</f>
        <v/>
      </c>
      <c r="AB565" s="5" t="n"/>
      <c r="AC565" s="5" t="n"/>
      <c r="AD565" s="5" t="n"/>
      <c r="AE565" s="5" t="n"/>
      <c r="AF565" s="5" t="n"/>
      <c r="AG565" s="5" t="n"/>
    </row>
    <row r="566" outlineLevel="1" s="326">
      <c r="A566" s="140" t="n">
        <v>2</v>
      </c>
      <c r="B566" s="40">
        <f>B81</f>
        <v/>
      </c>
      <c r="C566" s="141">
        <f>D81</f>
        <v/>
      </c>
      <c r="D566" s="141">
        <f>I81</f>
        <v/>
      </c>
      <c r="E566" s="141">
        <f>J81</f>
        <v/>
      </c>
      <c r="F566" s="141">
        <f>K81</f>
        <v/>
      </c>
      <c r="G566" s="138">
        <f>IF(AND($L$234&gt;0,A566=$C$13),$L$234*($C$15+$C$18),0)+IF(AND($L$234&gt;0,A566=$C$13),$C$24,0)</f>
        <v/>
      </c>
      <c r="H566" s="138">
        <f>IF(OR($L$234&lt;=0,A566&lt;$C$13),0,IF(AND($L$234&gt;0,$C$17&gt;0,A566&gt;=$C$13,A566&lt;($C$13+$C$17)),IF($C$17&lt;=0,0,IF($C$16=0,MAX($L$234*(1-$C$15),0)/$C$17,-PMT($C$16/12,$C$17*12,MAX($L$234*(1-$C$15),0))*12)),0)+X566*($C$19+$C$20+$C$21)+$C$22+$C$23)</f>
        <v/>
      </c>
      <c r="I566" s="138">
        <f>IF(B566="Working",MIN(MAX(D566-E566-F566-G566-H566,0),'Tax Assumptions'!$B$20),0)</f>
        <v/>
      </c>
      <c r="J566" s="138">
        <f>IF(B566="Working",D566-E566-F566-I566-G566-H566,-L566)</f>
        <v/>
      </c>
      <c r="K566" s="141">
        <f>IF(B566="Retired",$N$234+G566+H566,0)</f>
        <v/>
      </c>
      <c r="L566" s="141">
        <f>M566+N566+O566+P566</f>
        <v/>
      </c>
      <c r="M566" s="141">
        <f>IF(B566="Retired",MIN(((Q565)*(1+$C$10)+IF(B566="Working",J566,0)),K566),0)</f>
        <v/>
      </c>
      <c r="N566" s="141">
        <f>IF(B566="Retired",MIN(MAX(K566-M566,0),((R565)*(1+$C$10)+IF(B566="Working",E81,0))),0)</f>
        <v/>
      </c>
      <c r="O566" s="141">
        <f>IF(B566="Retired",MIN(MAX(K566-M566-N566,0),((S565)*(1+$C$10)+IF(B566="Working",I566,0))),0)</f>
        <v/>
      </c>
      <c r="P566" s="141">
        <f>IF(B566="Retired",MIN(MAX(K566-M566-N566-O566,0),((T565)*(1+$C$10)+IF(B566="Working",F81,0))),0)</f>
        <v/>
      </c>
      <c r="Q566" s="138">
        <f>MAX(((Q565)*(1+$C$10)+IF(B566="Working",J566,0))-M566,0)</f>
        <v/>
      </c>
      <c r="R566" s="138">
        <f>MAX(((R565)*(1+$C$10)+IF(B566="Working",E81,0))-N566,0)</f>
        <v/>
      </c>
      <c r="S566" s="138">
        <f>MAX(((S565)*(1+$C$10)+IF(B566="Working",I566,0))-O566,0)</f>
        <v/>
      </c>
      <c r="T566" s="138">
        <f>MAX(((T565)*(1+$C$10)+IF(B566="Working",F81,0))-P566,0)</f>
        <v/>
      </c>
      <c r="U566" s="138">
        <f>Q566+R566+S566+T566</f>
        <v/>
      </c>
      <c r="V566" s="138">
        <f>IF(B566="Working",MAX(-(((Q565)*(1+$C$10)+IF(B566="Working",J566,0))),0),MAX(K566-L566,0))</f>
        <v/>
      </c>
      <c r="W566" s="138">
        <f>IF(OR(A566&gt;=$C$13,B566="Retired"),IF(V566&gt;0,-V566,U566-'Model Inputs'!$B$18),"")</f>
        <v/>
      </c>
      <c r="X566" s="138">
        <f>IF(AND($L$234&gt;0,A566&gt;=$C$13),$L$234*(1+$C$25)^(A566-$C$13),0)</f>
        <v/>
      </c>
      <c r="Y566" s="138">
        <f>IF(OR($L$234&lt;=0,$C$17&lt;=0,A566&lt;$C$13,MIN(MAX((A566-$C$13+1)*12,0),$C$17*12)&gt;=$C$17*12),0,IF($C$16=0,MAX(MAX($L$234*(1-$C$15),0)-(IF($C$17&lt;=0,0,IF($C$16=0,MAX($L$234*(1-$C$15),0)/$C$17,-PMT($C$16/12,$C$17*12,MAX($L$234*(1-$C$15),0))*12))/12)*MIN(MAX((A566-$C$13+1)*12,0),$C$17*12),0),MAX(MAX($L$234*(1-$C$15),0)*(1+$C$16/12)^MIN(MAX((A566-$C$13+1)*12,0),$C$17*12)-(IF($C$17&lt;=0,0,IF($C$16=0,MAX($L$234*(1-$C$15),0)/$C$17,-PMT($C$16/12,$C$17*12,MAX($L$234*(1-$C$15),0))*12))/12)*(((1+$C$16/12)^MIN(MAX((A566-$C$13+1)*12,0),$C$17*12)-1)/($C$16/12)),0)))</f>
        <v/>
      </c>
      <c r="Z566" s="138">
        <f>MAX(X566-Y566,0)</f>
        <v/>
      </c>
      <c r="AA566" s="142">
        <f>U566+Z566</f>
        <v/>
      </c>
      <c r="AB566" s="5" t="n"/>
      <c r="AC566" s="5" t="n"/>
      <c r="AD566" s="5" t="n"/>
      <c r="AE566" s="5" t="n"/>
      <c r="AF566" s="5" t="n"/>
      <c r="AG566" s="5" t="n"/>
    </row>
    <row r="567" outlineLevel="1" s="326">
      <c r="A567" s="136" t="n">
        <v>3</v>
      </c>
      <c r="B567" s="72">
        <f>B82</f>
        <v/>
      </c>
      <c r="C567" s="137">
        <f>D82</f>
        <v/>
      </c>
      <c r="D567" s="137">
        <f>I82</f>
        <v/>
      </c>
      <c r="E567" s="137">
        <f>J82</f>
        <v/>
      </c>
      <c r="F567" s="137">
        <f>K82</f>
        <v/>
      </c>
      <c r="G567" s="138">
        <f>IF(AND($L$234&gt;0,A567=$C$13),$L$234*($C$15+$C$18),0)+IF(AND($L$234&gt;0,A567=$C$13),$C$24,0)</f>
        <v/>
      </c>
      <c r="H567" s="138">
        <f>IF(OR($L$234&lt;=0,A567&lt;$C$13),0,IF(AND($L$234&gt;0,$C$17&gt;0,A567&gt;=$C$13,A567&lt;($C$13+$C$17)),IF($C$17&lt;=0,0,IF($C$16=0,MAX($L$234*(1-$C$15),0)/$C$17,-PMT($C$16/12,$C$17*12,MAX($L$234*(1-$C$15),0))*12)),0)+X567*($C$19+$C$20+$C$21)+$C$22+$C$23)</f>
        <v/>
      </c>
      <c r="I567" s="138">
        <f>IF(B567="Working",MIN(MAX(D567-E567-F567-G567-H567,0),'Tax Assumptions'!$B$20),0)</f>
        <v/>
      </c>
      <c r="J567" s="138">
        <f>IF(B567="Working",D567-E567-F567-I567-G567-H567,-L567)</f>
        <v/>
      </c>
      <c r="K567" s="137">
        <f>IF(B567="Retired",$N$234+G567+H567,0)</f>
        <v/>
      </c>
      <c r="L567" s="137">
        <f>M567+N567+O567+P567</f>
        <v/>
      </c>
      <c r="M567" s="137">
        <f>IF(B567="Retired",MIN(((Q566)*(1+$C$10)+IF(B567="Working",J567,0)),K567),0)</f>
        <v/>
      </c>
      <c r="N567" s="137">
        <f>IF(B567="Retired",MIN(MAX(K567-M567,0),((R566)*(1+$C$10)+IF(B567="Working",E82,0))),0)</f>
        <v/>
      </c>
      <c r="O567" s="137">
        <f>IF(B567="Retired",MIN(MAX(K567-M567-N567,0),((S566)*(1+$C$10)+IF(B567="Working",I567,0))),0)</f>
        <v/>
      </c>
      <c r="P567" s="137">
        <f>IF(B567="Retired",MIN(MAX(K567-M567-N567-O567,0),((T566)*(1+$C$10)+IF(B567="Working",F82,0))),0)</f>
        <v/>
      </c>
      <c r="Q567" s="138">
        <f>MAX(((Q566)*(1+$C$10)+IF(B567="Working",J567,0))-M567,0)</f>
        <v/>
      </c>
      <c r="R567" s="138">
        <f>MAX(((R566)*(1+$C$10)+IF(B567="Working",E82,0))-N567,0)</f>
        <v/>
      </c>
      <c r="S567" s="138">
        <f>MAX(((S566)*(1+$C$10)+IF(B567="Working",I567,0))-O567,0)</f>
        <v/>
      </c>
      <c r="T567" s="138">
        <f>MAX(((T566)*(1+$C$10)+IF(B567="Working",F82,0))-P567,0)</f>
        <v/>
      </c>
      <c r="U567" s="138">
        <f>Q567+R567+S567+T567</f>
        <v/>
      </c>
      <c r="V567" s="138">
        <f>IF(B567="Working",MAX(-(((Q566)*(1+$C$10)+IF(B567="Working",J567,0))),0),MAX(K567-L567,0))</f>
        <v/>
      </c>
      <c r="W567" s="138">
        <f>IF(OR(A567&gt;=$C$13,B567="Retired"),IF(V567&gt;0,-V567,U567-'Model Inputs'!$B$18),"")</f>
        <v/>
      </c>
      <c r="X567" s="138">
        <f>IF(AND($L$234&gt;0,A567&gt;=$C$13),$L$234*(1+$C$25)^(A567-$C$13),0)</f>
        <v/>
      </c>
      <c r="Y567" s="138">
        <f>IF(OR($L$234&lt;=0,$C$17&lt;=0,A567&lt;$C$13,MIN(MAX((A567-$C$13+1)*12,0),$C$17*12)&gt;=$C$17*12),0,IF($C$16=0,MAX(MAX($L$234*(1-$C$15),0)-(IF($C$17&lt;=0,0,IF($C$16=0,MAX($L$234*(1-$C$15),0)/$C$17,-PMT($C$16/12,$C$17*12,MAX($L$234*(1-$C$15),0))*12))/12)*MIN(MAX((A567-$C$13+1)*12,0),$C$17*12),0),MAX(MAX($L$234*(1-$C$15),0)*(1+$C$16/12)^MIN(MAX((A567-$C$13+1)*12,0),$C$17*12)-(IF($C$17&lt;=0,0,IF($C$16=0,MAX($L$234*(1-$C$15),0)/$C$17,-PMT($C$16/12,$C$17*12,MAX($L$234*(1-$C$15),0))*12))/12)*(((1+$C$16/12)^MIN(MAX((A567-$C$13+1)*12,0),$C$17*12)-1)/($C$16/12)),0)))</f>
        <v/>
      </c>
      <c r="Z567" s="138">
        <f>MAX(X567-Y567,0)</f>
        <v/>
      </c>
      <c r="AA567" s="139">
        <f>U567+Z567</f>
        <v/>
      </c>
      <c r="AB567" s="5" t="n"/>
      <c r="AC567" s="5" t="n"/>
      <c r="AD567" s="5" t="n"/>
      <c r="AE567" s="5" t="n"/>
      <c r="AF567" s="5" t="n"/>
      <c r="AG567" s="5" t="n"/>
    </row>
    <row r="568" outlineLevel="1" s="326">
      <c r="A568" s="140" t="n">
        <v>4</v>
      </c>
      <c r="B568" s="40">
        <f>B83</f>
        <v/>
      </c>
      <c r="C568" s="141">
        <f>D83</f>
        <v/>
      </c>
      <c r="D568" s="141">
        <f>I83</f>
        <v/>
      </c>
      <c r="E568" s="141">
        <f>J83</f>
        <v/>
      </c>
      <c r="F568" s="141">
        <f>K83</f>
        <v/>
      </c>
      <c r="G568" s="138">
        <f>IF(AND($L$234&gt;0,A568=$C$13),$L$234*($C$15+$C$18),0)+IF(AND($L$234&gt;0,A568=$C$13),$C$24,0)</f>
        <v/>
      </c>
      <c r="H568" s="138">
        <f>IF(OR($L$234&lt;=0,A568&lt;$C$13),0,IF(AND($L$234&gt;0,$C$17&gt;0,A568&gt;=$C$13,A568&lt;($C$13+$C$17)),IF($C$17&lt;=0,0,IF($C$16=0,MAX($L$234*(1-$C$15),0)/$C$17,-PMT($C$16/12,$C$17*12,MAX($L$234*(1-$C$15),0))*12)),0)+X568*($C$19+$C$20+$C$21)+$C$22+$C$23)</f>
        <v/>
      </c>
      <c r="I568" s="138">
        <f>IF(B568="Working",MIN(MAX(D568-E568-F568-G568-H568,0),'Tax Assumptions'!$B$20),0)</f>
        <v/>
      </c>
      <c r="J568" s="138">
        <f>IF(B568="Working",D568-E568-F568-I568-G568-H568,-L568)</f>
        <v/>
      </c>
      <c r="K568" s="141">
        <f>IF(B568="Retired",$N$234+G568+H568,0)</f>
        <v/>
      </c>
      <c r="L568" s="141">
        <f>M568+N568+O568+P568</f>
        <v/>
      </c>
      <c r="M568" s="141">
        <f>IF(B568="Retired",MIN(((Q567)*(1+$C$10)+IF(B568="Working",J568,0)),K568),0)</f>
        <v/>
      </c>
      <c r="N568" s="141">
        <f>IF(B568="Retired",MIN(MAX(K568-M568,0),((R567)*(1+$C$10)+IF(B568="Working",E83,0))),0)</f>
        <v/>
      </c>
      <c r="O568" s="141">
        <f>IF(B568="Retired",MIN(MAX(K568-M568-N568,0),((S567)*(1+$C$10)+IF(B568="Working",I568,0))),0)</f>
        <v/>
      </c>
      <c r="P568" s="141">
        <f>IF(B568="Retired",MIN(MAX(K568-M568-N568-O568,0),((T567)*(1+$C$10)+IF(B568="Working",F83,0))),0)</f>
        <v/>
      </c>
      <c r="Q568" s="138">
        <f>MAX(((Q567)*(1+$C$10)+IF(B568="Working",J568,0))-M568,0)</f>
        <v/>
      </c>
      <c r="R568" s="138">
        <f>MAX(((R567)*(1+$C$10)+IF(B568="Working",E83,0))-N568,0)</f>
        <v/>
      </c>
      <c r="S568" s="138">
        <f>MAX(((S567)*(1+$C$10)+IF(B568="Working",I568,0))-O568,0)</f>
        <v/>
      </c>
      <c r="T568" s="138">
        <f>MAX(((T567)*(1+$C$10)+IF(B568="Working",F83,0))-P568,0)</f>
        <v/>
      </c>
      <c r="U568" s="138">
        <f>Q568+R568+S568+T568</f>
        <v/>
      </c>
      <c r="V568" s="138">
        <f>IF(B568="Working",MAX(-(((Q567)*(1+$C$10)+IF(B568="Working",J568,0))),0),MAX(K568-L568,0))</f>
        <v/>
      </c>
      <c r="W568" s="138">
        <f>IF(OR(A568&gt;=$C$13,B568="Retired"),IF(V568&gt;0,-V568,U568-'Model Inputs'!$B$18),"")</f>
        <v/>
      </c>
      <c r="X568" s="138">
        <f>IF(AND($L$234&gt;0,A568&gt;=$C$13),$L$234*(1+$C$25)^(A568-$C$13),0)</f>
        <v/>
      </c>
      <c r="Y568" s="138">
        <f>IF(OR($L$234&lt;=0,$C$17&lt;=0,A568&lt;$C$13,MIN(MAX((A568-$C$13+1)*12,0),$C$17*12)&gt;=$C$17*12),0,IF($C$16=0,MAX(MAX($L$234*(1-$C$15),0)-(IF($C$17&lt;=0,0,IF($C$16=0,MAX($L$234*(1-$C$15),0)/$C$17,-PMT($C$16/12,$C$17*12,MAX($L$234*(1-$C$15),0))*12))/12)*MIN(MAX((A568-$C$13+1)*12,0),$C$17*12),0),MAX(MAX($L$234*(1-$C$15),0)*(1+$C$16/12)^MIN(MAX((A568-$C$13+1)*12,0),$C$17*12)-(IF($C$17&lt;=0,0,IF($C$16=0,MAX($L$234*(1-$C$15),0)/$C$17,-PMT($C$16/12,$C$17*12,MAX($L$234*(1-$C$15),0))*12))/12)*(((1+$C$16/12)^MIN(MAX((A568-$C$13+1)*12,0),$C$17*12)-1)/($C$16/12)),0)))</f>
        <v/>
      </c>
      <c r="Z568" s="138">
        <f>MAX(X568-Y568,0)</f>
        <v/>
      </c>
      <c r="AA568" s="142">
        <f>U568+Z568</f>
        <v/>
      </c>
      <c r="AB568" s="5" t="n"/>
      <c r="AC568" s="5" t="n"/>
      <c r="AD568" s="5" t="n"/>
      <c r="AE568" s="5" t="n"/>
      <c r="AF568" s="5" t="n"/>
      <c r="AG568" s="5" t="n"/>
    </row>
    <row r="569" outlineLevel="1" s="326">
      <c r="A569" s="136" t="n">
        <v>5</v>
      </c>
      <c r="B569" s="72">
        <f>B84</f>
        <v/>
      </c>
      <c r="C569" s="137">
        <f>D84</f>
        <v/>
      </c>
      <c r="D569" s="137">
        <f>I84</f>
        <v/>
      </c>
      <c r="E569" s="137">
        <f>J84</f>
        <v/>
      </c>
      <c r="F569" s="137">
        <f>K84</f>
        <v/>
      </c>
      <c r="G569" s="138">
        <f>IF(AND($L$234&gt;0,A569=$C$13),$L$234*($C$15+$C$18),0)+IF(AND($L$234&gt;0,A569=$C$13),$C$24,0)</f>
        <v/>
      </c>
      <c r="H569" s="138">
        <f>IF(OR($L$234&lt;=0,A569&lt;$C$13),0,IF(AND($L$234&gt;0,$C$17&gt;0,A569&gt;=$C$13,A569&lt;($C$13+$C$17)),IF($C$17&lt;=0,0,IF($C$16=0,MAX($L$234*(1-$C$15),0)/$C$17,-PMT($C$16/12,$C$17*12,MAX($L$234*(1-$C$15),0))*12)),0)+X569*($C$19+$C$20+$C$21)+$C$22+$C$23)</f>
        <v/>
      </c>
      <c r="I569" s="138">
        <f>IF(B569="Working",MIN(MAX(D569-E569-F569-G569-H569,0),'Tax Assumptions'!$B$20),0)</f>
        <v/>
      </c>
      <c r="J569" s="138">
        <f>IF(B569="Working",D569-E569-F569-I569-G569-H569,-L569)</f>
        <v/>
      </c>
      <c r="K569" s="137">
        <f>IF(B569="Retired",$N$234+G569+H569,0)</f>
        <v/>
      </c>
      <c r="L569" s="137">
        <f>M569+N569+O569+P569</f>
        <v/>
      </c>
      <c r="M569" s="137">
        <f>IF(B569="Retired",MIN(((Q568)*(1+$C$10)+IF(B569="Working",J569,0)),K569),0)</f>
        <v/>
      </c>
      <c r="N569" s="137">
        <f>IF(B569="Retired",MIN(MAX(K569-M569,0),((R568)*(1+$C$10)+IF(B569="Working",E84,0))),0)</f>
        <v/>
      </c>
      <c r="O569" s="137">
        <f>IF(B569="Retired",MIN(MAX(K569-M569-N569,0),((S568)*(1+$C$10)+IF(B569="Working",I569,0))),0)</f>
        <v/>
      </c>
      <c r="P569" s="137">
        <f>IF(B569="Retired",MIN(MAX(K569-M569-N569-O569,0),((T568)*(1+$C$10)+IF(B569="Working",F84,0))),0)</f>
        <v/>
      </c>
      <c r="Q569" s="138">
        <f>MAX(((Q568)*(1+$C$10)+IF(B569="Working",J569,0))-M569,0)</f>
        <v/>
      </c>
      <c r="R569" s="138">
        <f>MAX(((R568)*(1+$C$10)+IF(B569="Working",E84,0))-N569,0)</f>
        <v/>
      </c>
      <c r="S569" s="138">
        <f>MAX(((S568)*(1+$C$10)+IF(B569="Working",I569,0))-O569,0)</f>
        <v/>
      </c>
      <c r="T569" s="138">
        <f>MAX(((T568)*(1+$C$10)+IF(B569="Working",F84,0))-P569,0)</f>
        <v/>
      </c>
      <c r="U569" s="138">
        <f>Q569+R569+S569+T569</f>
        <v/>
      </c>
      <c r="V569" s="138">
        <f>IF(B569="Working",MAX(-(((Q568)*(1+$C$10)+IF(B569="Working",J569,0))),0),MAX(K569-L569,0))</f>
        <v/>
      </c>
      <c r="W569" s="138">
        <f>IF(OR(A569&gt;=$C$13,B569="Retired"),IF(V569&gt;0,-V569,U569-'Model Inputs'!$B$18),"")</f>
        <v/>
      </c>
      <c r="X569" s="138">
        <f>IF(AND($L$234&gt;0,A569&gt;=$C$13),$L$234*(1+$C$25)^(A569-$C$13),0)</f>
        <v/>
      </c>
      <c r="Y569" s="138">
        <f>IF(OR($L$234&lt;=0,$C$17&lt;=0,A569&lt;$C$13,MIN(MAX((A569-$C$13+1)*12,0),$C$17*12)&gt;=$C$17*12),0,IF($C$16=0,MAX(MAX($L$234*(1-$C$15),0)-(IF($C$17&lt;=0,0,IF($C$16=0,MAX($L$234*(1-$C$15),0)/$C$17,-PMT($C$16/12,$C$17*12,MAX($L$234*(1-$C$15),0))*12))/12)*MIN(MAX((A569-$C$13+1)*12,0),$C$17*12),0),MAX(MAX($L$234*(1-$C$15),0)*(1+$C$16/12)^MIN(MAX((A569-$C$13+1)*12,0),$C$17*12)-(IF($C$17&lt;=0,0,IF($C$16=0,MAX($L$234*(1-$C$15),0)/$C$17,-PMT($C$16/12,$C$17*12,MAX($L$234*(1-$C$15),0))*12))/12)*(((1+$C$16/12)^MIN(MAX((A569-$C$13+1)*12,0),$C$17*12)-1)/($C$16/12)),0)))</f>
        <v/>
      </c>
      <c r="Z569" s="138">
        <f>MAX(X569-Y569,0)</f>
        <v/>
      </c>
      <c r="AA569" s="139">
        <f>U569+Z569</f>
        <v/>
      </c>
      <c r="AB569" s="5" t="n"/>
      <c r="AC569" s="5" t="n"/>
      <c r="AD569" s="5" t="n"/>
      <c r="AE569" s="5" t="n"/>
      <c r="AF569" s="5" t="n"/>
      <c r="AG569" s="5" t="n"/>
    </row>
    <row r="570" outlineLevel="1" s="326">
      <c r="A570" s="140" t="n">
        <v>6</v>
      </c>
      <c r="B570" s="40">
        <f>B85</f>
        <v/>
      </c>
      <c r="C570" s="141">
        <f>D85</f>
        <v/>
      </c>
      <c r="D570" s="141">
        <f>I85</f>
        <v/>
      </c>
      <c r="E570" s="141">
        <f>J85</f>
        <v/>
      </c>
      <c r="F570" s="141">
        <f>K85</f>
        <v/>
      </c>
      <c r="G570" s="138">
        <f>IF(AND($L$234&gt;0,A570=$C$13),$L$234*($C$15+$C$18),0)+IF(AND($L$234&gt;0,A570=$C$13),$C$24,0)</f>
        <v/>
      </c>
      <c r="H570" s="138">
        <f>IF(OR($L$234&lt;=0,A570&lt;$C$13),0,IF(AND($L$234&gt;0,$C$17&gt;0,A570&gt;=$C$13,A570&lt;($C$13+$C$17)),IF($C$17&lt;=0,0,IF($C$16=0,MAX($L$234*(1-$C$15),0)/$C$17,-PMT($C$16/12,$C$17*12,MAX($L$234*(1-$C$15),0))*12)),0)+X570*($C$19+$C$20+$C$21)+$C$22+$C$23)</f>
        <v/>
      </c>
      <c r="I570" s="138">
        <f>IF(B570="Working",MIN(MAX(D570-E570-F570-G570-H570,0),'Tax Assumptions'!$B$20),0)</f>
        <v/>
      </c>
      <c r="J570" s="138">
        <f>IF(B570="Working",D570-E570-F570-I570-G570-H570,-L570)</f>
        <v/>
      </c>
      <c r="K570" s="141">
        <f>IF(B570="Retired",$N$234+G570+H570,0)</f>
        <v/>
      </c>
      <c r="L570" s="141">
        <f>M570+N570+O570+P570</f>
        <v/>
      </c>
      <c r="M570" s="141">
        <f>IF(B570="Retired",MIN(((Q569)*(1+$C$10)+IF(B570="Working",J570,0)),K570),0)</f>
        <v/>
      </c>
      <c r="N570" s="141">
        <f>IF(B570="Retired",MIN(MAX(K570-M570,0),((R569)*(1+$C$10)+IF(B570="Working",E85,0))),0)</f>
        <v/>
      </c>
      <c r="O570" s="141">
        <f>IF(B570="Retired",MIN(MAX(K570-M570-N570,0),((S569)*(1+$C$10)+IF(B570="Working",I570,0))),0)</f>
        <v/>
      </c>
      <c r="P570" s="141">
        <f>IF(B570="Retired",MIN(MAX(K570-M570-N570-O570,0),((T569)*(1+$C$10)+IF(B570="Working",F85,0))),0)</f>
        <v/>
      </c>
      <c r="Q570" s="138">
        <f>MAX(((Q569)*(1+$C$10)+IF(B570="Working",J570,0))-M570,0)</f>
        <v/>
      </c>
      <c r="R570" s="138">
        <f>MAX(((R569)*(1+$C$10)+IF(B570="Working",E85,0))-N570,0)</f>
        <v/>
      </c>
      <c r="S570" s="138">
        <f>MAX(((S569)*(1+$C$10)+IF(B570="Working",I570,0))-O570,0)</f>
        <v/>
      </c>
      <c r="T570" s="138">
        <f>MAX(((T569)*(1+$C$10)+IF(B570="Working",F85,0))-P570,0)</f>
        <v/>
      </c>
      <c r="U570" s="138">
        <f>Q570+R570+S570+T570</f>
        <v/>
      </c>
      <c r="V570" s="138">
        <f>IF(B570="Working",MAX(-(((Q569)*(1+$C$10)+IF(B570="Working",J570,0))),0),MAX(K570-L570,0))</f>
        <v/>
      </c>
      <c r="W570" s="138">
        <f>IF(OR(A570&gt;=$C$13,B570="Retired"),IF(V570&gt;0,-V570,U570-'Model Inputs'!$B$18),"")</f>
        <v/>
      </c>
      <c r="X570" s="138">
        <f>IF(AND($L$234&gt;0,A570&gt;=$C$13),$L$234*(1+$C$25)^(A570-$C$13),0)</f>
        <v/>
      </c>
      <c r="Y570" s="138">
        <f>IF(OR($L$234&lt;=0,$C$17&lt;=0,A570&lt;$C$13,MIN(MAX((A570-$C$13+1)*12,0),$C$17*12)&gt;=$C$17*12),0,IF($C$16=0,MAX(MAX($L$234*(1-$C$15),0)-(IF($C$17&lt;=0,0,IF($C$16=0,MAX($L$234*(1-$C$15),0)/$C$17,-PMT($C$16/12,$C$17*12,MAX($L$234*(1-$C$15),0))*12))/12)*MIN(MAX((A570-$C$13+1)*12,0),$C$17*12),0),MAX(MAX($L$234*(1-$C$15),0)*(1+$C$16/12)^MIN(MAX((A570-$C$13+1)*12,0),$C$17*12)-(IF($C$17&lt;=0,0,IF($C$16=0,MAX($L$234*(1-$C$15),0)/$C$17,-PMT($C$16/12,$C$17*12,MAX($L$234*(1-$C$15),0))*12))/12)*(((1+$C$16/12)^MIN(MAX((A570-$C$13+1)*12,0),$C$17*12)-1)/($C$16/12)),0)))</f>
        <v/>
      </c>
      <c r="Z570" s="138">
        <f>MAX(X570-Y570,0)</f>
        <v/>
      </c>
      <c r="AA570" s="142">
        <f>U570+Z570</f>
        <v/>
      </c>
      <c r="AB570" s="5" t="n"/>
      <c r="AC570" s="5" t="n"/>
      <c r="AD570" s="5" t="n"/>
      <c r="AE570" s="5" t="n"/>
      <c r="AF570" s="5" t="n"/>
      <c r="AG570" s="5" t="n"/>
    </row>
    <row r="571" outlineLevel="1" s="326">
      <c r="A571" s="136" t="n">
        <v>7</v>
      </c>
      <c r="B571" s="72">
        <f>B86</f>
        <v/>
      </c>
      <c r="C571" s="137">
        <f>D86</f>
        <v/>
      </c>
      <c r="D571" s="137">
        <f>I86</f>
        <v/>
      </c>
      <c r="E571" s="137">
        <f>J86</f>
        <v/>
      </c>
      <c r="F571" s="137">
        <f>K86</f>
        <v/>
      </c>
      <c r="G571" s="138">
        <f>IF(AND($L$234&gt;0,A571=$C$13),$L$234*($C$15+$C$18),0)+IF(AND($L$234&gt;0,A571=$C$13),$C$24,0)</f>
        <v/>
      </c>
      <c r="H571" s="138">
        <f>IF(OR($L$234&lt;=0,A571&lt;$C$13),0,IF(AND($L$234&gt;0,$C$17&gt;0,A571&gt;=$C$13,A571&lt;($C$13+$C$17)),IF($C$17&lt;=0,0,IF($C$16=0,MAX($L$234*(1-$C$15),0)/$C$17,-PMT($C$16/12,$C$17*12,MAX($L$234*(1-$C$15),0))*12)),0)+X571*($C$19+$C$20+$C$21)+$C$22+$C$23)</f>
        <v/>
      </c>
      <c r="I571" s="138">
        <f>IF(B571="Working",MIN(MAX(D571-E571-F571-G571-H571,0),'Tax Assumptions'!$B$20),0)</f>
        <v/>
      </c>
      <c r="J571" s="138">
        <f>IF(B571="Working",D571-E571-F571-I571-G571-H571,-L571)</f>
        <v/>
      </c>
      <c r="K571" s="137">
        <f>IF(B571="Retired",$N$234+G571+H571,0)</f>
        <v/>
      </c>
      <c r="L571" s="137">
        <f>M571+N571+O571+P571</f>
        <v/>
      </c>
      <c r="M571" s="137">
        <f>IF(B571="Retired",MIN(((Q570)*(1+$C$10)+IF(B571="Working",J571,0)),K571),0)</f>
        <v/>
      </c>
      <c r="N571" s="137">
        <f>IF(B571="Retired",MIN(MAX(K571-M571,0),((R570)*(1+$C$10)+IF(B571="Working",E86,0))),0)</f>
        <v/>
      </c>
      <c r="O571" s="137">
        <f>IF(B571="Retired",MIN(MAX(K571-M571-N571,0),((S570)*(1+$C$10)+IF(B571="Working",I571,0))),0)</f>
        <v/>
      </c>
      <c r="P571" s="137">
        <f>IF(B571="Retired",MIN(MAX(K571-M571-N571-O571,0),((T570)*(1+$C$10)+IF(B571="Working",F86,0))),0)</f>
        <v/>
      </c>
      <c r="Q571" s="138">
        <f>MAX(((Q570)*(1+$C$10)+IF(B571="Working",J571,0))-M571,0)</f>
        <v/>
      </c>
      <c r="R571" s="138">
        <f>MAX(((R570)*(1+$C$10)+IF(B571="Working",E86,0))-N571,0)</f>
        <v/>
      </c>
      <c r="S571" s="138">
        <f>MAX(((S570)*(1+$C$10)+IF(B571="Working",I571,0))-O571,0)</f>
        <v/>
      </c>
      <c r="T571" s="138">
        <f>MAX(((T570)*(1+$C$10)+IF(B571="Working",F86,0))-P571,0)</f>
        <v/>
      </c>
      <c r="U571" s="138">
        <f>Q571+R571+S571+T571</f>
        <v/>
      </c>
      <c r="V571" s="138">
        <f>IF(B571="Working",MAX(-(((Q570)*(1+$C$10)+IF(B571="Working",J571,0))),0),MAX(K571-L571,0))</f>
        <v/>
      </c>
      <c r="W571" s="138">
        <f>IF(OR(A571&gt;=$C$13,B571="Retired"),IF(V571&gt;0,-V571,U571-'Model Inputs'!$B$18),"")</f>
        <v/>
      </c>
      <c r="X571" s="138">
        <f>IF(AND($L$234&gt;0,A571&gt;=$C$13),$L$234*(1+$C$25)^(A571-$C$13),0)</f>
        <v/>
      </c>
      <c r="Y571" s="138">
        <f>IF(OR($L$234&lt;=0,$C$17&lt;=0,A571&lt;$C$13,MIN(MAX((A571-$C$13+1)*12,0),$C$17*12)&gt;=$C$17*12),0,IF($C$16=0,MAX(MAX($L$234*(1-$C$15),0)-(IF($C$17&lt;=0,0,IF($C$16=0,MAX($L$234*(1-$C$15),0)/$C$17,-PMT($C$16/12,$C$17*12,MAX($L$234*(1-$C$15),0))*12))/12)*MIN(MAX((A571-$C$13+1)*12,0),$C$17*12),0),MAX(MAX($L$234*(1-$C$15),0)*(1+$C$16/12)^MIN(MAX((A571-$C$13+1)*12,0),$C$17*12)-(IF($C$17&lt;=0,0,IF($C$16=0,MAX($L$234*(1-$C$15),0)/$C$17,-PMT($C$16/12,$C$17*12,MAX($L$234*(1-$C$15),0))*12))/12)*(((1+$C$16/12)^MIN(MAX((A571-$C$13+1)*12,0),$C$17*12)-1)/($C$16/12)),0)))</f>
        <v/>
      </c>
      <c r="Z571" s="138">
        <f>MAX(X571-Y571,0)</f>
        <v/>
      </c>
      <c r="AA571" s="139">
        <f>U571+Z571</f>
        <v/>
      </c>
      <c r="AB571" s="5" t="n"/>
      <c r="AC571" s="5" t="n"/>
      <c r="AD571" s="5" t="n"/>
      <c r="AE571" s="5" t="n"/>
      <c r="AF571" s="5" t="n"/>
      <c r="AG571" s="5" t="n"/>
    </row>
    <row r="572" outlineLevel="1" s="326">
      <c r="A572" s="140" t="n">
        <v>8</v>
      </c>
      <c r="B572" s="40">
        <f>B87</f>
        <v/>
      </c>
      <c r="C572" s="141">
        <f>D87</f>
        <v/>
      </c>
      <c r="D572" s="141">
        <f>I87</f>
        <v/>
      </c>
      <c r="E572" s="141">
        <f>J87</f>
        <v/>
      </c>
      <c r="F572" s="141">
        <f>K87</f>
        <v/>
      </c>
      <c r="G572" s="138">
        <f>IF(AND($L$234&gt;0,A572=$C$13),$L$234*($C$15+$C$18),0)+IF(AND($L$234&gt;0,A572=$C$13),$C$24,0)</f>
        <v/>
      </c>
      <c r="H572" s="138">
        <f>IF(OR($L$234&lt;=0,A572&lt;$C$13),0,IF(AND($L$234&gt;0,$C$17&gt;0,A572&gt;=$C$13,A572&lt;($C$13+$C$17)),IF($C$17&lt;=0,0,IF($C$16=0,MAX($L$234*(1-$C$15),0)/$C$17,-PMT($C$16/12,$C$17*12,MAX($L$234*(1-$C$15),0))*12)),0)+X572*($C$19+$C$20+$C$21)+$C$22+$C$23)</f>
        <v/>
      </c>
      <c r="I572" s="138">
        <f>IF(B572="Working",MIN(MAX(D572-E572-F572-G572-H572,0),'Tax Assumptions'!$B$20),0)</f>
        <v/>
      </c>
      <c r="J572" s="138">
        <f>IF(B572="Working",D572-E572-F572-I572-G572-H572,-L572)</f>
        <v/>
      </c>
      <c r="K572" s="141">
        <f>IF(B572="Retired",$N$234+G572+H572,0)</f>
        <v/>
      </c>
      <c r="L572" s="141">
        <f>M572+N572+O572+P572</f>
        <v/>
      </c>
      <c r="M572" s="141">
        <f>IF(B572="Retired",MIN(((Q571)*(1+$C$10)+IF(B572="Working",J572,0)),K572),0)</f>
        <v/>
      </c>
      <c r="N572" s="141">
        <f>IF(B572="Retired",MIN(MAX(K572-M572,0),((R571)*(1+$C$10)+IF(B572="Working",E87,0))),0)</f>
        <v/>
      </c>
      <c r="O572" s="141">
        <f>IF(B572="Retired",MIN(MAX(K572-M572-N572,0),((S571)*(1+$C$10)+IF(B572="Working",I572,0))),0)</f>
        <v/>
      </c>
      <c r="P572" s="141">
        <f>IF(B572="Retired",MIN(MAX(K572-M572-N572-O572,0),((T571)*(1+$C$10)+IF(B572="Working",F87,0))),0)</f>
        <v/>
      </c>
      <c r="Q572" s="138">
        <f>MAX(((Q571)*(1+$C$10)+IF(B572="Working",J572,0))-M572,0)</f>
        <v/>
      </c>
      <c r="R572" s="138">
        <f>MAX(((R571)*(1+$C$10)+IF(B572="Working",E87,0))-N572,0)</f>
        <v/>
      </c>
      <c r="S572" s="138">
        <f>MAX(((S571)*(1+$C$10)+IF(B572="Working",I572,0))-O572,0)</f>
        <v/>
      </c>
      <c r="T572" s="138">
        <f>MAX(((T571)*(1+$C$10)+IF(B572="Working",F87,0))-P572,0)</f>
        <v/>
      </c>
      <c r="U572" s="138">
        <f>Q572+R572+S572+T572</f>
        <v/>
      </c>
      <c r="V572" s="138">
        <f>IF(B572="Working",MAX(-(((Q571)*(1+$C$10)+IF(B572="Working",J572,0))),0),MAX(K572-L572,0))</f>
        <v/>
      </c>
      <c r="W572" s="138">
        <f>IF(OR(A572&gt;=$C$13,B572="Retired"),IF(V572&gt;0,-V572,U572-'Model Inputs'!$B$18),"")</f>
        <v/>
      </c>
      <c r="X572" s="138">
        <f>IF(AND($L$234&gt;0,A572&gt;=$C$13),$L$234*(1+$C$25)^(A572-$C$13),0)</f>
        <v/>
      </c>
      <c r="Y572" s="138">
        <f>IF(OR($L$234&lt;=0,$C$17&lt;=0,A572&lt;$C$13,MIN(MAX((A572-$C$13+1)*12,0),$C$17*12)&gt;=$C$17*12),0,IF($C$16=0,MAX(MAX($L$234*(1-$C$15),0)-(IF($C$17&lt;=0,0,IF($C$16=0,MAX($L$234*(1-$C$15),0)/$C$17,-PMT($C$16/12,$C$17*12,MAX($L$234*(1-$C$15),0))*12))/12)*MIN(MAX((A572-$C$13+1)*12,0),$C$17*12),0),MAX(MAX($L$234*(1-$C$15),0)*(1+$C$16/12)^MIN(MAX((A572-$C$13+1)*12,0),$C$17*12)-(IF($C$17&lt;=0,0,IF($C$16=0,MAX($L$234*(1-$C$15),0)/$C$17,-PMT($C$16/12,$C$17*12,MAX($L$234*(1-$C$15),0))*12))/12)*(((1+$C$16/12)^MIN(MAX((A572-$C$13+1)*12,0),$C$17*12)-1)/($C$16/12)),0)))</f>
        <v/>
      </c>
      <c r="Z572" s="138">
        <f>MAX(X572-Y572,0)</f>
        <v/>
      </c>
      <c r="AA572" s="142">
        <f>U572+Z572</f>
        <v/>
      </c>
      <c r="AB572" s="5" t="n"/>
      <c r="AC572" s="5" t="n"/>
      <c r="AD572" s="5" t="n"/>
      <c r="AE572" s="5" t="n"/>
      <c r="AF572" s="5" t="n"/>
      <c r="AG572" s="5" t="n"/>
    </row>
    <row r="573" outlineLevel="1" s="326">
      <c r="A573" s="136" t="n">
        <v>9</v>
      </c>
      <c r="B573" s="72">
        <f>B88</f>
        <v/>
      </c>
      <c r="C573" s="137">
        <f>D88</f>
        <v/>
      </c>
      <c r="D573" s="137">
        <f>I88</f>
        <v/>
      </c>
      <c r="E573" s="137">
        <f>J88</f>
        <v/>
      </c>
      <c r="F573" s="137">
        <f>K88</f>
        <v/>
      </c>
      <c r="G573" s="138">
        <f>IF(AND($L$234&gt;0,A573=$C$13),$L$234*($C$15+$C$18),0)+IF(AND($L$234&gt;0,A573=$C$13),$C$24,0)</f>
        <v/>
      </c>
      <c r="H573" s="138">
        <f>IF(OR($L$234&lt;=0,A573&lt;$C$13),0,IF(AND($L$234&gt;0,$C$17&gt;0,A573&gt;=$C$13,A573&lt;($C$13+$C$17)),IF($C$17&lt;=0,0,IF($C$16=0,MAX($L$234*(1-$C$15),0)/$C$17,-PMT($C$16/12,$C$17*12,MAX($L$234*(1-$C$15),0))*12)),0)+X573*($C$19+$C$20+$C$21)+$C$22+$C$23)</f>
        <v/>
      </c>
      <c r="I573" s="138">
        <f>IF(B573="Working",MIN(MAX(D573-E573-F573-G573-H573,0),'Tax Assumptions'!$B$20),0)</f>
        <v/>
      </c>
      <c r="J573" s="138">
        <f>IF(B573="Working",D573-E573-F573-I573-G573-H573,-L573)</f>
        <v/>
      </c>
      <c r="K573" s="137">
        <f>IF(B573="Retired",$N$234+G573+H573,0)</f>
        <v/>
      </c>
      <c r="L573" s="137">
        <f>M573+N573+O573+P573</f>
        <v/>
      </c>
      <c r="M573" s="137">
        <f>IF(B573="Retired",MIN(((Q572)*(1+$C$10)+IF(B573="Working",J573,0)),K573),0)</f>
        <v/>
      </c>
      <c r="N573" s="137">
        <f>IF(B573="Retired",MIN(MAX(K573-M573,0),((R572)*(1+$C$10)+IF(B573="Working",E88,0))),0)</f>
        <v/>
      </c>
      <c r="O573" s="137">
        <f>IF(B573="Retired",MIN(MAX(K573-M573-N573,0),((S572)*(1+$C$10)+IF(B573="Working",I573,0))),0)</f>
        <v/>
      </c>
      <c r="P573" s="137">
        <f>IF(B573="Retired",MIN(MAX(K573-M573-N573-O573,0),((T572)*(1+$C$10)+IF(B573="Working",F88,0))),0)</f>
        <v/>
      </c>
      <c r="Q573" s="138">
        <f>MAX(((Q572)*(1+$C$10)+IF(B573="Working",J573,0))-M573,0)</f>
        <v/>
      </c>
      <c r="R573" s="138">
        <f>MAX(((R572)*(1+$C$10)+IF(B573="Working",E88,0))-N573,0)</f>
        <v/>
      </c>
      <c r="S573" s="138">
        <f>MAX(((S572)*(1+$C$10)+IF(B573="Working",I573,0))-O573,0)</f>
        <v/>
      </c>
      <c r="T573" s="138">
        <f>MAX(((T572)*(1+$C$10)+IF(B573="Working",F88,0))-P573,0)</f>
        <v/>
      </c>
      <c r="U573" s="138">
        <f>Q573+R573+S573+T573</f>
        <v/>
      </c>
      <c r="V573" s="138">
        <f>IF(B573="Working",MAX(-(((Q572)*(1+$C$10)+IF(B573="Working",J573,0))),0),MAX(K573-L573,0))</f>
        <v/>
      </c>
      <c r="W573" s="138">
        <f>IF(OR(A573&gt;=$C$13,B573="Retired"),IF(V573&gt;0,-V573,U573-'Model Inputs'!$B$18),"")</f>
        <v/>
      </c>
      <c r="X573" s="138">
        <f>IF(AND($L$234&gt;0,A573&gt;=$C$13),$L$234*(1+$C$25)^(A573-$C$13),0)</f>
        <v/>
      </c>
      <c r="Y573" s="138">
        <f>IF(OR($L$234&lt;=0,$C$17&lt;=0,A573&lt;$C$13,MIN(MAX((A573-$C$13+1)*12,0),$C$17*12)&gt;=$C$17*12),0,IF($C$16=0,MAX(MAX($L$234*(1-$C$15),0)-(IF($C$17&lt;=0,0,IF($C$16=0,MAX($L$234*(1-$C$15),0)/$C$17,-PMT($C$16/12,$C$17*12,MAX($L$234*(1-$C$15),0))*12))/12)*MIN(MAX((A573-$C$13+1)*12,0),$C$17*12),0),MAX(MAX($L$234*(1-$C$15),0)*(1+$C$16/12)^MIN(MAX((A573-$C$13+1)*12,0),$C$17*12)-(IF($C$17&lt;=0,0,IF($C$16=0,MAX($L$234*(1-$C$15),0)/$C$17,-PMT($C$16/12,$C$17*12,MAX($L$234*(1-$C$15),0))*12))/12)*(((1+$C$16/12)^MIN(MAX((A573-$C$13+1)*12,0),$C$17*12)-1)/($C$16/12)),0)))</f>
        <v/>
      </c>
      <c r="Z573" s="138">
        <f>MAX(X573-Y573,0)</f>
        <v/>
      </c>
      <c r="AA573" s="139">
        <f>U573+Z573</f>
        <v/>
      </c>
      <c r="AB573" s="5" t="n"/>
      <c r="AC573" s="5" t="n"/>
      <c r="AD573" s="5" t="n"/>
      <c r="AE573" s="5" t="n"/>
      <c r="AF573" s="5" t="n"/>
      <c r="AG573" s="5" t="n"/>
    </row>
    <row r="574" outlineLevel="1" s="326">
      <c r="A574" s="140" t="n">
        <v>10</v>
      </c>
      <c r="B574" s="40">
        <f>B89</f>
        <v/>
      </c>
      <c r="C574" s="141">
        <f>D89</f>
        <v/>
      </c>
      <c r="D574" s="141">
        <f>I89</f>
        <v/>
      </c>
      <c r="E574" s="141">
        <f>J89</f>
        <v/>
      </c>
      <c r="F574" s="141">
        <f>K89</f>
        <v/>
      </c>
      <c r="G574" s="138">
        <f>IF(AND($L$234&gt;0,A574=$C$13),$L$234*($C$15+$C$18),0)+IF(AND($L$234&gt;0,A574=$C$13),$C$24,0)</f>
        <v/>
      </c>
      <c r="H574" s="138">
        <f>IF(OR($L$234&lt;=0,A574&lt;$C$13),0,IF(AND($L$234&gt;0,$C$17&gt;0,A574&gt;=$C$13,A574&lt;($C$13+$C$17)),IF($C$17&lt;=0,0,IF($C$16=0,MAX($L$234*(1-$C$15),0)/$C$17,-PMT($C$16/12,$C$17*12,MAX($L$234*(1-$C$15),0))*12)),0)+X574*($C$19+$C$20+$C$21)+$C$22+$C$23)</f>
        <v/>
      </c>
      <c r="I574" s="138">
        <f>IF(B574="Working",MIN(MAX(D574-E574-F574-G574-H574,0),'Tax Assumptions'!$B$20),0)</f>
        <v/>
      </c>
      <c r="J574" s="138">
        <f>IF(B574="Working",D574-E574-F574-I574-G574-H574,-L574)</f>
        <v/>
      </c>
      <c r="K574" s="141">
        <f>IF(B574="Retired",$N$234+G574+H574,0)</f>
        <v/>
      </c>
      <c r="L574" s="141">
        <f>M574+N574+O574+P574</f>
        <v/>
      </c>
      <c r="M574" s="141">
        <f>IF(B574="Retired",MIN(((Q573)*(1+$C$10)+IF(B574="Working",J574,0)),K574),0)</f>
        <v/>
      </c>
      <c r="N574" s="141">
        <f>IF(B574="Retired",MIN(MAX(K574-M574,0),((R573)*(1+$C$10)+IF(B574="Working",E89,0))),0)</f>
        <v/>
      </c>
      <c r="O574" s="141">
        <f>IF(B574="Retired",MIN(MAX(K574-M574-N574,0),((S573)*(1+$C$10)+IF(B574="Working",I574,0))),0)</f>
        <v/>
      </c>
      <c r="P574" s="141">
        <f>IF(B574="Retired",MIN(MAX(K574-M574-N574-O574,0),((T573)*(1+$C$10)+IF(B574="Working",F89,0))),0)</f>
        <v/>
      </c>
      <c r="Q574" s="138">
        <f>MAX(((Q573)*(1+$C$10)+IF(B574="Working",J574,0))-M574,0)</f>
        <v/>
      </c>
      <c r="R574" s="138">
        <f>MAX(((R573)*(1+$C$10)+IF(B574="Working",E89,0))-N574,0)</f>
        <v/>
      </c>
      <c r="S574" s="138">
        <f>MAX(((S573)*(1+$C$10)+IF(B574="Working",I574,0))-O574,0)</f>
        <v/>
      </c>
      <c r="T574" s="138">
        <f>MAX(((T573)*(1+$C$10)+IF(B574="Working",F89,0))-P574,0)</f>
        <v/>
      </c>
      <c r="U574" s="138">
        <f>Q574+R574+S574+T574</f>
        <v/>
      </c>
      <c r="V574" s="138">
        <f>IF(B574="Working",MAX(-(((Q573)*(1+$C$10)+IF(B574="Working",J574,0))),0),MAX(K574-L574,0))</f>
        <v/>
      </c>
      <c r="W574" s="138">
        <f>IF(OR(A574&gt;=$C$13,B574="Retired"),IF(V574&gt;0,-V574,U574-'Model Inputs'!$B$18),"")</f>
        <v/>
      </c>
      <c r="X574" s="138">
        <f>IF(AND($L$234&gt;0,A574&gt;=$C$13),$L$234*(1+$C$25)^(A574-$C$13),0)</f>
        <v/>
      </c>
      <c r="Y574" s="138">
        <f>IF(OR($L$234&lt;=0,$C$17&lt;=0,A574&lt;$C$13,MIN(MAX((A574-$C$13+1)*12,0),$C$17*12)&gt;=$C$17*12),0,IF($C$16=0,MAX(MAX($L$234*(1-$C$15),0)-(IF($C$17&lt;=0,0,IF($C$16=0,MAX($L$234*(1-$C$15),0)/$C$17,-PMT($C$16/12,$C$17*12,MAX($L$234*(1-$C$15),0))*12))/12)*MIN(MAX((A574-$C$13+1)*12,0),$C$17*12),0),MAX(MAX($L$234*(1-$C$15),0)*(1+$C$16/12)^MIN(MAX((A574-$C$13+1)*12,0),$C$17*12)-(IF($C$17&lt;=0,0,IF($C$16=0,MAX($L$234*(1-$C$15),0)/$C$17,-PMT($C$16/12,$C$17*12,MAX($L$234*(1-$C$15),0))*12))/12)*(((1+$C$16/12)^MIN(MAX((A574-$C$13+1)*12,0),$C$17*12)-1)/($C$16/12)),0)))</f>
        <v/>
      </c>
      <c r="Z574" s="138">
        <f>MAX(X574-Y574,0)</f>
        <v/>
      </c>
      <c r="AA574" s="142">
        <f>U574+Z574</f>
        <v/>
      </c>
      <c r="AB574" s="5" t="n"/>
      <c r="AC574" s="5" t="n"/>
      <c r="AD574" s="5" t="n"/>
      <c r="AE574" s="5" t="n"/>
      <c r="AF574" s="5" t="n"/>
      <c r="AG574" s="5" t="n"/>
    </row>
    <row r="575" outlineLevel="1" s="326">
      <c r="A575" s="136" t="n">
        <v>11</v>
      </c>
      <c r="B575" s="72">
        <f>B90</f>
        <v/>
      </c>
      <c r="C575" s="137">
        <f>D90</f>
        <v/>
      </c>
      <c r="D575" s="137">
        <f>I90</f>
        <v/>
      </c>
      <c r="E575" s="137">
        <f>J90</f>
        <v/>
      </c>
      <c r="F575" s="137">
        <f>K90</f>
        <v/>
      </c>
      <c r="G575" s="138">
        <f>IF(AND($L$234&gt;0,A575=$C$13),$L$234*($C$15+$C$18),0)+IF(AND($L$234&gt;0,A575=$C$13),$C$24,0)</f>
        <v/>
      </c>
      <c r="H575" s="138">
        <f>IF(OR($L$234&lt;=0,A575&lt;$C$13),0,IF(AND($L$234&gt;0,$C$17&gt;0,A575&gt;=$C$13,A575&lt;($C$13+$C$17)),IF($C$17&lt;=0,0,IF($C$16=0,MAX($L$234*(1-$C$15),0)/$C$17,-PMT($C$16/12,$C$17*12,MAX($L$234*(1-$C$15),0))*12)),0)+X575*($C$19+$C$20+$C$21)+$C$22+$C$23)</f>
        <v/>
      </c>
      <c r="I575" s="138">
        <f>IF(B575="Working",MIN(MAX(D575-E575-F575-G575-H575,0),'Tax Assumptions'!$B$20),0)</f>
        <v/>
      </c>
      <c r="J575" s="138">
        <f>IF(B575="Working",D575-E575-F575-I575-G575-H575,-L575)</f>
        <v/>
      </c>
      <c r="K575" s="137">
        <f>IF(B575="Retired",$N$234+G575+H575,0)</f>
        <v/>
      </c>
      <c r="L575" s="137">
        <f>M575+N575+O575+P575</f>
        <v/>
      </c>
      <c r="M575" s="137">
        <f>IF(B575="Retired",MIN(((Q574)*(1+$C$10)+IF(B575="Working",J575,0)),K575),0)</f>
        <v/>
      </c>
      <c r="N575" s="137">
        <f>IF(B575="Retired",MIN(MAX(K575-M575,0),((R574)*(1+$C$10)+IF(B575="Working",E90,0))),0)</f>
        <v/>
      </c>
      <c r="O575" s="137">
        <f>IF(B575="Retired",MIN(MAX(K575-M575-N575,0),((S574)*(1+$C$10)+IF(B575="Working",I575,0))),0)</f>
        <v/>
      </c>
      <c r="P575" s="137">
        <f>IF(B575="Retired",MIN(MAX(K575-M575-N575-O575,0),((T574)*(1+$C$10)+IF(B575="Working",F90,0))),0)</f>
        <v/>
      </c>
      <c r="Q575" s="138">
        <f>MAX(((Q574)*(1+$C$10)+IF(B575="Working",J575,0))-M575,0)</f>
        <v/>
      </c>
      <c r="R575" s="138">
        <f>MAX(((R574)*(1+$C$10)+IF(B575="Working",E90,0))-N575,0)</f>
        <v/>
      </c>
      <c r="S575" s="138">
        <f>MAX(((S574)*(1+$C$10)+IF(B575="Working",I575,0))-O575,0)</f>
        <v/>
      </c>
      <c r="T575" s="138">
        <f>MAX(((T574)*(1+$C$10)+IF(B575="Working",F90,0))-P575,0)</f>
        <v/>
      </c>
      <c r="U575" s="138">
        <f>Q575+R575+S575+T575</f>
        <v/>
      </c>
      <c r="V575" s="138">
        <f>IF(B575="Working",MAX(-(((Q574)*(1+$C$10)+IF(B575="Working",J575,0))),0),MAX(K575-L575,0))</f>
        <v/>
      </c>
      <c r="W575" s="138">
        <f>IF(OR(A575&gt;=$C$13,B575="Retired"),IF(V575&gt;0,-V575,U575-'Model Inputs'!$B$18),"")</f>
        <v/>
      </c>
      <c r="X575" s="138">
        <f>IF(AND($L$234&gt;0,A575&gt;=$C$13),$L$234*(1+$C$25)^(A575-$C$13),0)</f>
        <v/>
      </c>
      <c r="Y575" s="138">
        <f>IF(OR($L$234&lt;=0,$C$17&lt;=0,A575&lt;$C$13,MIN(MAX((A575-$C$13+1)*12,0),$C$17*12)&gt;=$C$17*12),0,IF($C$16=0,MAX(MAX($L$234*(1-$C$15),0)-(IF($C$17&lt;=0,0,IF($C$16=0,MAX($L$234*(1-$C$15),0)/$C$17,-PMT($C$16/12,$C$17*12,MAX($L$234*(1-$C$15),0))*12))/12)*MIN(MAX((A575-$C$13+1)*12,0),$C$17*12),0),MAX(MAX($L$234*(1-$C$15),0)*(1+$C$16/12)^MIN(MAX((A575-$C$13+1)*12,0),$C$17*12)-(IF($C$17&lt;=0,0,IF($C$16=0,MAX($L$234*(1-$C$15),0)/$C$17,-PMT($C$16/12,$C$17*12,MAX($L$234*(1-$C$15),0))*12))/12)*(((1+$C$16/12)^MIN(MAX((A575-$C$13+1)*12,0),$C$17*12)-1)/($C$16/12)),0)))</f>
        <v/>
      </c>
      <c r="Z575" s="138">
        <f>MAX(X575-Y575,0)</f>
        <v/>
      </c>
      <c r="AA575" s="139">
        <f>U575+Z575</f>
        <v/>
      </c>
      <c r="AB575" s="5" t="n"/>
      <c r="AC575" s="5" t="n"/>
      <c r="AD575" s="5" t="n"/>
      <c r="AE575" s="5" t="n"/>
      <c r="AF575" s="5" t="n"/>
      <c r="AG575" s="5" t="n"/>
    </row>
    <row r="576" outlineLevel="1" s="326">
      <c r="A576" s="140" t="n">
        <v>12</v>
      </c>
      <c r="B576" s="40">
        <f>B91</f>
        <v/>
      </c>
      <c r="C576" s="141">
        <f>D91</f>
        <v/>
      </c>
      <c r="D576" s="141">
        <f>I91</f>
        <v/>
      </c>
      <c r="E576" s="141">
        <f>J91</f>
        <v/>
      </c>
      <c r="F576" s="141">
        <f>K91</f>
        <v/>
      </c>
      <c r="G576" s="138">
        <f>IF(AND($L$234&gt;0,A576=$C$13),$L$234*($C$15+$C$18),0)+IF(AND($L$234&gt;0,A576=$C$13),$C$24,0)</f>
        <v/>
      </c>
      <c r="H576" s="138">
        <f>IF(OR($L$234&lt;=0,A576&lt;$C$13),0,IF(AND($L$234&gt;0,$C$17&gt;0,A576&gt;=$C$13,A576&lt;($C$13+$C$17)),IF($C$17&lt;=0,0,IF($C$16=0,MAX($L$234*(1-$C$15),0)/$C$17,-PMT($C$16/12,$C$17*12,MAX($L$234*(1-$C$15),0))*12)),0)+X576*($C$19+$C$20+$C$21)+$C$22+$C$23)</f>
        <v/>
      </c>
      <c r="I576" s="138">
        <f>IF(B576="Working",MIN(MAX(D576-E576-F576-G576-H576,0),'Tax Assumptions'!$B$20),0)</f>
        <v/>
      </c>
      <c r="J576" s="138">
        <f>IF(B576="Working",D576-E576-F576-I576-G576-H576,-L576)</f>
        <v/>
      </c>
      <c r="K576" s="141">
        <f>IF(B576="Retired",$N$234+G576+H576,0)</f>
        <v/>
      </c>
      <c r="L576" s="141">
        <f>M576+N576+O576+P576</f>
        <v/>
      </c>
      <c r="M576" s="141">
        <f>IF(B576="Retired",MIN(((Q575)*(1+$C$10)+IF(B576="Working",J576,0)),K576),0)</f>
        <v/>
      </c>
      <c r="N576" s="141">
        <f>IF(B576="Retired",MIN(MAX(K576-M576,0),((R575)*(1+$C$10)+IF(B576="Working",E91,0))),0)</f>
        <v/>
      </c>
      <c r="O576" s="141">
        <f>IF(B576="Retired",MIN(MAX(K576-M576-N576,0),((S575)*(1+$C$10)+IF(B576="Working",I576,0))),0)</f>
        <v/>
      </c>
      <c r="P576" s="141">
        <f>IF(B576="Retired",MIN(MAX(K576-M576-N576-O576,0),((T575)*(1+$C$10)+IF(B576="Working",F91,0))),0)</f>
        <v/>
      </c>
      <c r="Q576" s="138">
        <f>MAX(((Q575)*(1+$C$10)+IF(B576="Working",J576,0))-M576,0)</f>
        <v/>
      </c>
      <c r="R576" s="138">
        <f>MAX(((R575)*(1+$C$10)+IF(B576="Working",E91,0))-N576,0)</f>
        <v/>
      </c>
      <c r="S576" s="138">
        <f>MAX(((S575)*(1+$C$10)+IF(B576="Working",I576,0))-O576,0)</f>
        <v/>
      </c>
      <c r="T576" s="138">
        <f>MAX(((T575)*(1+$C$10)+IF(B576="Working",F91,0))-P576,0)</f>
        <v/>
      </c>
      <c r="U576" s="138">
        <f>Q576+R576+S576+T576</f>
        <v/>
      </c>
      <c r="V576" s="138">
        <f>IF(B576="Working",MAX(-(((Q575)*(1+$C$10)+IF(B576="Working",J576,0))),0),MAX(K576-L576,0))</f>
        <v/>
      </c>
      <c r="W576" s="138">
        <f>IF(OR(A576&gt;=$C$13,B576="Retired"),IF(V576&gt;0,-V576,U576-'Model Inputs'!$B$18),"")</f>
        <v/>
      </c>
      <c r="X576" s="138">
        <f>IF(AND($L$234&gt;0,A576&gt;=$C$13),$L$234*(1+$C$25)^(A576-$C$13),0)</f>
        <v/>
      </c>
      <c r="Y576" s="138">
        <f>IF(OR($L$234&lt;=0,$C$17&lt;=0,A576&lt;$C$13,MIN(MAX((A576-$C$13+1)*12,0),$C$17*12)&gt;=$C$17*12),0,IF($C$16=0,MAX(MAX($L$234*(1-$C$15),0)-(IF($C$17&lt;=0,0,IF($C$16=0,MAX($L$234*(1-$C$15),0)/$C$17,-PMT($C$16/12,$C$17*12,MAX($L$234*(1-$C$15),0))*12))/12)*MIN(MAX((A576-$C$13+1)*12,0),$C$17*12),0),MAX(MAX($L$234*(1-$C$15),0)*(1+$C$16/12)^MIN(MAX((A576-$C$13+1)*12,0),$C$17*12)-(IF($C$17&lt;=0,0,IF($C$16=0,MAX($L$234*(1-$C$15),0)/$C$17,-PMT($C$16/12,$C$17*12,MAX($L$234*(1-$C$15),0))*12))/12)*(((1+$C$16/12)^MIN(MAX((A576-$C$13+1)*12,0),$C$17*12)-1)/($C$16/12)),0)))</f>
        <v/>
      </c>
      <c r="Z576" s="138">
        <f>MAX(X576-Y576,0)</f>
        <v/>
      </c>
      <c r="AA576" s="142">
        <f>U576+Z576</f>
        <v/>
      </c>
      <c r="AB576" s="5" t="n"/>
      <c r="AC576" s="5" t="n"/>
      <c r="AD576" s="5" t="n"/>
      <c r="AE576" s="5" t="n"/>
      <c r="AF576" s="5" t="n"/>
      <c r="AG576" s="5" t="n"/>
    </row>
    <row r="577" outlineLevel="1" s="326">
      <c r="A577" s="136" t="n">
        <v>13</v>
      </c>
      <c r="B577" s="72">
        <f>B92</f>
        <v/>
      </c>
      <c r="C577" s="137">
        <f>D92</f>
        <v/>
      </c>
      <c r="D577" s="137">
        <f>I92</f>
        <v/>
      </c>
      <c r="E577" s="137">
        <f>J92</f>
        <v/>
      </c>
      <c r="F577" s="137">
        <f>K92</f>
        <v/>
      </c>
      <c r="G577" s="138">
        <f>IF(AND($L$234&gt;0,A577=$C$13),$L$234*($C$15+$C$18),0)+IF(AND($L$234&gt;0,A577=$C$13),$C$24,0)</f>
        <v/>
      </c>
      <c r="H577" s="138">
        <f>IF(OR($L$234&lt;=0,A577&lt;$C$13),0,IF(AND($L$234&gt;0,$C$17&gt;0,A577&gt;=$C$13,A577&lt;($C$13+$C$17)),IF($C$17&lt;=0,0,IF($C$16=0,MAX($L$234*(1-$C$15),0)/$C$17,-PMT($C$16/12,$C$17*12,MAX($L$234*(1-$C$15),0))*12)),0)+X577*($C$19+$C$20+$C$21)+$C$22+$C$23)</f>
        <v/>
      </c>
      <c r="I577" s="138">
        <f>IF(B577="Working",MIN(MAX(D577-E577-F577-G577-H577,0),'Tax Assumptions'!$B$20),0)</f>
        <v/>
      </c>
      <c r="J577" s="138">
        <f>IF(B577="Working",D577-E577-F577-I577-G577-H577,-L577)</f>
        <v/>
      </c>
      <c r="K577" s="137">
        <f>IF(B577="Retired",$N$234+G577+H577,0)</f>
        <v/>
      </c>
      <c r="L577" s="137">
        <f>M577+N577+O577+P577</f>
        <v/>
      </c>
      <c r="M577" s="137">
        <f>IF(B577="Retired",MIN(((Q576)*(1+$C$10)+IF(B577="Working",J577,0)),K577),0)</f>
        <v/>
      </c>
      <c r="N577" s="137">
        <f>IF(B577="Retired",MIN(MAX(K577-M577,0),((R576)*(1+$C$10)+IF(B577="Working",E92,0))),0)</f>
        <v/>
      </c>
      <c r="O577" s="137">
        <f>IF(B577="Retired",MIN(MAX(K577-M577-N577,0),((S576)*(1+$C$10)+IF(B577="Working",I577,0))),0)</f>
        <v/>
      </c>
      <c r="P577" s="137">
        <f>IF(B577="Retired",MIN(MAX(K577-M577-N577-O577,0),((T576)*(1+$C$10)+IF(B577="Working",F92,0))),0)</f>
        <v/>
      </c>
      <c r="Q577" s="138">
        <f>MAX(((Q576)*(1+$C$10)+IF(B577="Working",J577,0))-M577,0)</f>
        <v/>
      </c>
      <c r="R577" s="138">
        <f>MAX(((R576)*(1+$C$10)+IF(B577="Working",E92,0))-N577,0)</f>
        <v/>
      </c>
      <c r="S577" s="138">
        <f>MAX(((S576)*(1+$C$10)+IF(B577="Working",I577,0))-O577,0)</f>
        <v/>
      </c>
      <c r="T577" s="138">
        <f>MAX(((T576)*(1+$C$10)+IF(B577="Working",F92,0))-P577,0)</f>
        <v/>
      </c>
      <c r="U577" s="138">
        <f>Q577+R577+S577+T577</f>
        <v/>
      </c>
      <c r="V577" s="138">
        <f>IF(B577="Working",MAX(-(((Q576)*(1+$C$10)+IF(B577="Working",J577,0))),0),MAX(K577-L577,0))</f>
        <v/>
      </c>
      <c r="W577" s="138">
        <f>IF(OR(A577&gt;=$C$13,B577="Retired"),IF(V577&gt;0,-V577,U577-'Model Inputs'!$B$18),"")</f>
        <v/>
      </c>
      <c r="X577" s="138">
        <f>IF(AND($L$234&gt;0,A577&gt;=$C$13),$L$234*(1+$C$25)^(A577-$C$13),0)</f>
        <v/>
      </c>
      <c r="Y577" s="138">
        <f>IF(OR($L$234&lt;=0,$C$17&lt;=0,A577&lt;$C$13,MIN(MAX((A577-$C$13+1)*12,0),$C$17*12)&gt;=$C$17*12),0,IF($C$16=0,MAX(MAX($L$234*(1-$C$15),0)-(IF($C$17&lt;=0,0,IF($C$16=0,MAX($L$234*(1-$C$15),0)/$C$17,-PMT($C$16/12,$C$17*12,MAX($L$234*(1-$C$15),0))*12))/12)*MIN(MAX((A577-$C$13+1)*12,0),$C$17*12),0),MAX(MAX($L$234*(1-$C$15),0)*(1+$C$16/12)^MIN(MAX((A577-$C$13+1)*12,0),$C$17*12)-(IF($C$17&lt;=0,0,IF($C$16=0,MAX($L$234*(1-$C$15),0)/$C$17,-PMT($C$16/12,$C$17*12,MAX($L$234*(1-$C$15),0))*12))/12)*(((1+$C$16/12)^MIN(MAX((A577-$C$13+1)*12,0),$C$17*12)-1)/($C$16/12)),0)))</f>
        <v/>
      </c>
      <c r="Z577" s="138">
        <f>MAX(X577-Y577,0)</f>
        <v/>
      </c>
      <c r="AA577" s="139">
        <f>U577+Z577</f>
        <v/>
      </c>
      <c r="AB577" s="5" t="n"/>
      <c r="AC577" s="5" t="n"/>
      <c r="AD577" s="5" t="n"/>
      <c r="AE577" s="5" t="n"/>
      <c r="AF577" s="5" t="n"/>
      <c r="AG577" s="5" t="n"/>
    </row>
    <row r="578" outlineLevel="1" s="326">
      <c r="A578" s="140" t="n">
        <v>14</v>
      </c>
      <c r="B578" s="40">
        <f>B93</f>
        <v/>
      </c>
      <c r="C578" s="141">
        <f>D93</f>
        <v/>
      </c>
      <c r="D578" s="141">
        <f>I93</f>
        <v/>
      </c>
      <c r="E578" s="141">
        <f>J93</f>
        <v/>
      </c>
      <c r="F578" s="141">
        <f>K93</f>
        <v/>
      </c>
      <c r="G578" s="138">
        <f>IF(AND($L$234&gt;0,A578=$C$13),$L$234*($C$15+$C$18),0)+IF(AND($L$234&gt;0,A578=$C$13),$C$24,0)</f>
        <v/>
      </c>
      <c r="H578" s="138">
        <f>IF(OR($L$234&lt;=0,A578&lt;$C$13),0,IF(AND($L$234&gt;0,$C$17&gt;0,A578&gt;=$C$13,A578&lt;($C$13+$C$17)),IF($C$17&lt;=0,0,IF($C$16=0,MAX($L$234*(1-$C$15),0)/$C$17,-PMT($C$16/12,$C$17*12,MAX($L$234*(1-$C$15),0))*12)),0)+X578*($C$19+$C$20+$C$21)+$C$22+$C$23)</f>
        <v/>
      </c>
      <c r="I578" s="138">
        <f>IF(B578="Working",MIN(MAX(D578-E578-F578-G578-H578,0),'Tax Assumptions'!$B$20),0)</f>
        <v/>
      </c>
      <c r="J578" s="138">
        <f>IF(B578="Working",D578-E578-F578-I578-G578-H578,-L578)</f>
        <v/>
      </c>
      <c r="K578" s="141">
        <f>IF(B578="Retired",$N$234+G578+H578,0)</f>
        <v/>
      </c>
      <c r="L578" s="141">
        <f>M578+N578+O578+P578</f>
        <v/>
      </c>
      <c r="M578" s="141">
        <f>IF(B578="Retired",MIN(((Q577)*(1+$C$10)+IF(B578="Working",J578,0)),K578),0)</f>
        <v/>
      </c>
      <c r="N578" s="141">
        <f>IF(B578="Retired",MIN(MAX(K578-M578,0),((R577)*(1+$C$10)+IF(B578="Working",E93,0))),0)</f>
        <v/>
      </c>
      <c r="O578" s="141">
        <f>IF(B578="Retired",MIN(MAX(K578-M578-N578,0),((S577)*(1+$C$10)+IF(B578="Working",I578,0))),0)</f>
        <v/>
      </c>
      <c r="P578" s="141">
        <f>IF(B578="Retired",MIN(MAX(K578-M578-N578-O578,0),((T577)*(1+$C$10)+IF(B578="Working",F93,0))),0)</f>
        <v/>
      </c>
      <c r="Q578" s="138">
        <f>MAX(((Q577)*(1+$C$10)+IF(B578="Working",J578,0))-M578,0)</f>
        <v/>
      </c>
      <c r="R578" s="138">
        <f>MAX(((R577)*(1+$C$10)+IF(B578="Working",E93,0))-N578,0)</f>
        <v/>
      </c>
      <c r="S578" s="138">
        <f>MAX(((S577)*(1+$C$10)+IF(B578="Working",I578,0))-O578,0)</f>
        <v/>
      </c>
      <c r="T578" s="138">
        <f>MAX(((T577)*(1+$C$10)+IF(B578="Working",F93,0))-P578,0)</f>
        <v/>
      </c>
      <c r="U578" s="138">
        <f>Q578+R578+S578+T578</f>
        <v/>
      </c>
      <c r="V578" s="138">
        <f>IF(B578="Working",MAX(-(((Q577)*(1+$C$10)+IF(B578="Working",J578,0))),0),MAX(K578-L578,0))</f>
        <v/>
      </c>
      <c r="W578" s="138">
        <f>IF(OR(A578&gt;=$C$13,B578="Retired"),IF(V578&gt;0,-V578,U578-'Model Inputs'!$B$18),"")</f>
        <v/>
      </c>
      <c r="X578" s="138">
        <f>IF(AND($L$234&gt;0,A578&gt;=$C$13),$L$234*(1+$C$25)^(A578-$C$13),0)</f>
        <v/>
      </c>
      <c r="Y578" s="138">
        <f>IF(OR($L$234&lt;=0,$C$17&lt;=0,A578&lt;$C$13,MIN(MAX((A578-$C$13+1)*12,0),$C$17*12)&gt;=$C$17*12),0,IF($C$16=0,MAX(MAX($L$234*(1-$C$15),0)-(IF($C$17&lt;=0,0,IF($C$16=0,MAX($L$234*(1-$C$15),0)/$C$17,-PMT($C$16/12,$C$17*12,MAX($L$234*(1-$C$15),0))*12))/12)*MIN(MAX((A578-$C$13+1)*12,0),$C$17*12),0),MAX(MAX($L$234*(1-$C$15),0)*(1+$C$16/12)^MIN(MAX((A578-$C$13+1)*12,0),$C$17*12)-(IF($C$17&lt;=0,0,IF($C$16=0,MAX($L$234*(1-$C$15),0)/$C$17,-PMT($C$16/12,$C$17*12,MAX($L$234*(1-$C$15),0))*12))/12)*(((1+$C$16/12)^MIN(MAX((A578-$C$13+1)*12,0),$C$17*12)-1)/($C$16/12)),0)))</f>
        <v/>
      </c>
      <c r="Z578" s="138">
        <f>MAX(X578-Y578,0)</f>
        <v/>
      </c>
      <c r="AA578" s="142">
        <f>U578+Z578</f>
        <v/>
      </c>
      <c r="AB578" s="5" t="n"/>
      <c r="AC578" s="5" t="n"/>
      <c r="AD578" s="5" t="n"/>
      <c r="AE578" s="5" t="n"/>
      <c r="AF578" s="5" t="n"/>
      <c r="AG578" s="5" t="n"/>
    </row>
    <row r="579" outlineLevel="1" s="326">
      <c r="A579" s="136" t="n">
        <v>15</v>
      </c>
      <c r="B579" s="72">
        <f>B94</f>
        <v/>
      </c>
      <c r="C579" s="137">
        <f>D94</f>
        <v/>
      </c>
      <c r="D579" s="137">
        <f>I94</f>
        <v/>
      </c>
      <c r="E579" s="137">
        <f>J94</f>
        <v/>
      </c>
      <c r="F579" s="137">
        <f>K94</f>
        <v/>
      </c>
      <c r="G579" s="138">
        <f>IF(AND($L$234&gt;0,A579=$C$13),$L$234*($C$15+$C$18),0)+IF(AND($L$234&gt;0,A579=$C$13),$C$24,0)</f>
        <v/>
      </c>
      <c r="H579" s="138">
        <f>IF(OR($L$234&lt;=0,A579&lt;$C$13),0,IF(AND($L$234&gt;0,$C$17&gt;0,A579&gt;=$C$13,A579&lt;($C$13+$C$17)),IF($C$17&lt;=0,0,IF($C$16=0,MAX($L$234*(1-$C$15),0)/$C$17,-PMT($C$16/12,$C$17*12,MAX($L$234*(1-$C$15),0))*12)),0)+X579*($C$19+$C$20+$C$21)+$C$22+$C$23)</f>
        <v/>
      </c>
      <c r="I579" s="138">
        <f>IF(B579="Working",MIN(MAX(D579-E579-F579-G579-H579,0),'Tax Assumptions'!$B$20),0)</f>
        <v/>
      </c>
      <c r="J579" s="138">
        <f>IF(B579="Working",D579-E579-F579-I579-G579-H579,-L579)</f>
        <v/>
      </c>
      <c r="K579" s="137">
        <f>IF(B579="Retired",$N$234+G579+H579,0)</f>
        <v/>
      </c>
      <c r="L579" s="137">
        <f>M579+N579+O579+P579</f>
        <v/>
      </c>
      <c r="M579" s="137">
        <f>IF(B579="Retired",MIN(((Q578)*(1+$C$10)+IF(B579="Working",J579,0)),K579),0)</f>
        <v/>
      </c>
      <c r="N579" s="137">
        <f>IF(B579="Retired",MIN(MAX(K579-M579,0),((R578)*(1+$C$10)+IF(B579="Working",E94,0))),0)</f>
        <v/>
      </c>
      <c r="O579" s="137">
        <f>IF(B579="Retired",MIN(MAX(K579-M579-N579,0),((S578)*(1+$C$10)+IF(B579="Working",I579,0))),0)</f>
        <v/>
      </c>
      <c r="P579" s="137">
        <f>IF(B579="Retired",MIN(MAX(K579-M579-N579-O579,0),((T578)*(1+$C$10)+IF(B579="Working",F94,0))),0)</f>
        <v/>
      </c>
      <c r="Q579" s="138">
        <f>MAX(((Q578)*(1+$C$10)+IF(B579="Working",J579,0))-M579,0)</f>
        <v/>
      </c>
      <c r="R579" s="138">
        <f>MAX(((R578)*(1+$C$10)+IF(B579="Working",E94,0))-N579,0)</f>
        <v/>
      </c>
      <c r="S579" s="138">
        <f>MAX(((S578)*(1+$C$10)+IF(B579="Working",I579,0))-O579,0)</f>
        <v/>
      </c>
      <c r="T579" s="138">
        <f>MAX(((T578)*(1+$C$10)+IF(B579="Working",F94,0))-P579,0)</f>
        <v/>
      </c>
      <c r="U579" s="138">
        <f>Q579+R579+S579+T579</f>
        <v/>
      </c>
      <c r="V579" s="138">
        <f>IF(B579="Working",MAX(-(((Q578)*(1+$C$10)+IF(B579="Working",J579,0))),0),MAX(K579-L579,0))</f>
        <v/>
      </c>
      <c r="W579" s="138">
        <f>IF(OR(A579&gt;=$C$13,B579="Retired"),IF(V579&gt;0,-V579,U579-'Model Inputs'!$B$18),"")</f>
        <v/>
      </c>
      <c r="X579" s="138">
        <f>IF(AND($L$234&gt;0,A579&gt;=$C$13),$L$234*(1+$C$25)^(A579-$C$13),0)</f>
        <v/>
      </c>
      <c r="Y579" s="138">
        <f>IF(OR($L$234&lt;=0,$C$17&lt;=0,A579&lt;$C$13,MIN(MAX((A579-$C$13+1)*12,0),$C$17*12)&gt;=$C$17*12),0,IF($C$16=0,MAX(MAX($L$234*(1-$C$15),0)-(IF($C$17&lt;=0,0,IF($C$16=0,MAX($L$234*(1-$C$15),0)/$C$17,-PMT($C$16/12,$C$17*12,MAX($L$234*(1-$C$15),0))*12))/12)*MIN(MAX((A579-$C$13+1)*12,0),$C$17*12),0),MAX(MAX($L$234*(1-$C$15),0)*(1+$C$16/12)^MIN(MAX((A579-$C$13+1)*12,0),$C$17*12)-(IF($C$17&lt;=0,0,IF($C$16=0,MAX($L$234*(1-$C$15),0)/$C$17,-PMT($C$16/12,$C$17*12,MAX($L$234*(1-$C$15),0))*12))/12)*(((1+$C$16/12)^MIN(MAX((A579-$C$13+1)*12,0),$C$17*12)-1)/($C$16/12)),0)))</f>
        <v/>
      </c>
      <c r="Z579" s="138">
        <f>MAX(X579-Y579,0)</f>
        <v/>
      </c>
      <c r="AA579" s="139">
        <f>U579+Z579</f>
        <v/>
      </c>
      <c r="AB579" s="5" t="n"/>
      <c r="AC579" s="5" t="n"/>
      <c r="AD579" s="5" t="n"/>
      <c r="AE579" s="5" t="n"/>
      <c r="AF579" s="5" t="n"/>
      <c r="AG579" s="5" t="n"/>
    </row>
    <row r="580" outlineLevel="1" s="326">
      <c r="A580" s="140" t="n">
        <v>16</v>
      </c>
      <c r="B580" s="40">
        <f>B95</f>
        <v/>
      </c>
      <c r="C580" s="141">
        <f>D95</f>
        <v/>
      </c>
      <c r="D580" s="141">
        <f>I95</f>
        <v/>
      </c>
      <c r="E580" s="141">
        <f>J95</f>
        <v/>
      </c>
      <c r="F580" s="141">
        <f>K95</f>
        <v/>
      </c>
      <c r="G580" s="138">
        <f>IF(AND($L$234&gt;0,A580=$C$13),$L$234*($C$15+$C$18),0)+IF(AND($L$234&gt;0,A580=$C$13),$C$24,0)</f>
        <v/>
      </c>
      <c r="H580" s="138">
        <f>IF(OR($L$234&lt;=0,A580&lt;$C$13),0,IF(AND($L$234&gt;0,$C$17&gt;0,A580&gt;=$C$13,A580&lt;($C$13+$C$17)),IF($C$17&lt;=0,0,IF($C$16=0,MAX($L$234*(1-$C$15),0)/$C$17,-PMT($C$16/12,$C$17*12,MAX($L$234*(1-$C$15),0))*12)),0)+X580*($C$19+$C$20+$C$21)+$C$22+$C$23)</f>
        <v/>
      </c>
      <c r="I580" s="138">
        <f>IF(B580="Working",MIN(MAX(D580-E580-F580-G580-H580,0),'Tax Assumptions'!$B$20),0)</f>
        <v/>
      </c>
      <c r="J580" s="138">
        <f>IF(B580="Working",D580-E580-F580-I580-G580-H580,-L580)</f>
        <v/>
      </c>
      <c r="K580" s="141">
        <f>IF(B580="Retired",$N$234+G580+H580,0)</f>
        <v/>
      </c>
      <c r="L580" s="141">
        <f>M580+N580+O580+P580</f>
        <v/>
      </c>
      <c r="M580" s="141">
        <f>IF(B580="Retired",MIN(((Q579)*(1+$C$10)+IF(B580="Working",J580,0)),K580),0)</f>
        <v/>
      </c>
      <c r="N580" s="141">
        <f>IF(B580="Retired",MIN(MAX(K580-M580,0),((R579)*(1+$C$10)+IF(B580="Working",E95,0))),0)</f>
        <v/>
      </c>
      <c r="O580" s="141">
        <f>IF(B580="Retired",MIN(MAX(K580-M580-N580,0),((S579)*(1+$C$10)+IF(B580="Working",I580,0))),0)</f>
        <v/>
      </c>
      <c r="P580" s="141">
        <f>IF(B580="Retired",MIN(MAX(K580-M580-N580-O580,0),((T579)*(1+$C$10)+IF(B580="Working",F95,0))),0)</f>
        <v/>
      </c>
      <c r="Q580" s="138">
        <f>MAX(((Q579)*(1+$C$10)+IF(B580="Working",J580,0))-M580,0)</f>
        <v/>
      </c>
      <c r="R580" s="138">
        <f>MAX(((R579)*(1+$C$10)+IF(B580="Working",E95,0))-N580,0)</f>
        <v/>
      </c>
      <c r="S580" s="138">
        <f>MAX(((S579)*(1+$C$10)+IF(B580="Working",I580,0))-O580,0)</f>
        <v/>
      </c>
      <c r="T580" s="138">
        <f>MAX(((T579)*(1+$C$10)+IF(B580="Working",F95,0))-P580,0)</f>
        <v/>
      </c>
      <c r="U580" s="138">
        <f>Q580+R580+S580+T580</f>
        <v/>
      </c>
      <c r="V580" s="138">
        <f>IF(B580="Working",MAX(-(((Q579)*(1+$C$10)+IF(B580="Working",J580,0))),0),MAX(K580-L580,0))</f>
        <v/>
      </c>
      <c r="W580" s="138">
        <f>IF(OR(A580&gt;=$C$13,B580="Retired"),IF(V580&gt;0,-V580,U580-'Model Inputs'!$B$18),"")</f>
        <v/>
      </c>
      <c r="X580" s="138">
        <f>IF(AND($L$234&gt;0,A580&gt;=$C$13),$L$234*(1+$C$25)^(A580-$C$13),0)</f>
        <v/>
      </c>
      <c r="Y580" s="138">
        <f>IF(OR($L$234&lt;=0,$C$17&lt;=0,A580&lt;$C$13,MIN(MAX((A580-$C$13+1)*12,0),$C$17*12)&gt;=$C$17*12),0,IF($C$16=0,MAX(MAX($L$234*(1-$C$15),0)-(IF($C$17&lt;=0,0,IF($C$16=0,MAX($L$234*(1-$C$15),0)/$C$17,-PMT($C$16/12,$C$17*12,MAX($L$234*(1-$C$15),0))*12))/12)*MIN(MAX((A580-$C$13+1)*12,0),$C$17*12),0),MAX(MAX($L$234*(1-$C$15),0)*(1+$C$16/12)^MIN(MAX((A580-$C$13+1)*12,0),$C$17*12)-(IF($C$17&lt;=0,0,IF($C$16=0,MAX($L$234*(1-$C$15),0)/$C$17,-PMT($C$16/12,$C$17*12,MAX($L$234*(1-$C$15),0))*12))/12)*(((1+$C$16/12)^MIN(MAX((A580-$C$13+1)*12,0),$C$17*12)-1)/($C$16/12)),0)))</f>
        <v/>
      </c>
      <c r="Z580" s="138">
        <f>MAX(X580-Y580,0)</f>
        <v/>
      </c>
      <c r="AA580" s="142">
        <f>U580+Z580</f>
        <v/>
      </c>
      <c r="AB580" s="5" t="n"/>
      <c r="AC580" s="5" t="n"/>
      <c r="AD580" s="5" t="n"/>
      <c r="AE580" s="5" t="n"/>
      <c r="AF580" s="5" t="n"/>
      <c r="AG580" s="5" t="n"/>
    </row>
    <row r="581" outlineLevel="1" s="326">
      <c r="A581" s="136" t="n">
        <v>17</v>
      </c>
      <c r="B581" s="72">
        <f>B96</f>
        <v/>
      </c>
      <c r="C581" s="137">
        <f>D96</f>
        <v/>
      </c>
      <c r="D581" s="137">
        <f>I96</f>
        <v/>
      </c>
      <c r="E581" s="137">
        <f>J96</f>
        <v/>
      </c>
      <c r="F581" s="137">
        <f>K96</f>
        <v/>
      </c>
      <c r="G581" s="138">
        <f>IF(AND($L$234&gt;0,A581=$C$13),$L$234*($C$15+$C$18),0)+IF(AND($L$234&gt;0,A581=$C$13),$C$24,0)</f>
        <v/>
      </c>
      <c r="H581" s="138">
        <f>IF(OR($L$234&lt;=0,A581&lt;$C$13),0,IF(AND($L$234&gt;0,$C$17&gt;0,A581&gt;=$C$13,A581&lt;($C$13+$C$17)),IF($C$17&lt;=0,0,IF($C$16=0,MAX($L$234*(1-$C$15),0)/$C$17,-PMT($C$16/12,$C$17*12,MAX($L$234*(1-$C$15),0))*12)),0)+X581*($C$19+$C$20+$C$21)+$C$22+$C$23)</f>
        <v/>
      </c>
      <c r="I581" s="138">
        <f>IF(B581="Working",MIN(MAX(D581-E581-F581-G581-H581,0),'Tax Assumptions'!$B$20),0)</f>
        <v/>
      </c>
      <c r="J581" s="138">
        <f>IF(B581="Working",D581-E581-F581-I581-G581-H581,-L581)</f>
        <v/>
      </c>
      <c r="K581" s="137">
        <f>IF(B581="Retired",$N$234+G581+H581,0)</f>
        <v/>
      </c>
      <c r="L581" s="137">
        <f>M581+N581+O581+P581</f>
        <v/>
      </c>
      <c r="M581" s="137">
        <f>IF(B581="Retired",MIN(((Q580)*(1+$C$10)+IF(B581="Working",J581,0)),K581),0)</f>
        <v/>
      </c>
      <c r="N581" s="137">
        <f>IF(B581="Retired",MIN(MAX(K581-M581,0),((R580)*(1+$C$10)+IF(B581="Working",E96,0))),0)</f>
        <v/>
      </c>
      <c r="O581" s="137">
        <f>IF(B581="Retired",MIN(MAX(K581-M581-N581,0),((S580)*(1+$C$10)+IF(B581="Working",I581,0))),0)</f>
        <v/>
      </c>
      <c r="P581" s="137">
        <f>IF(B581="Retired",MIN(MAX(K581-M581-N581-O581,0),((T580)*(1+$C$10)+IF(B581="Working",F96,0))),0)</f>
        <v/>
      </c>
      <c r="Q581" s="138">
        <f>MAX(((Q580)*(1+$C$10)+IF(B581="Working",J581,0))-M581,0)</f>
        <v/>
      </c>
      <c r="R581" s="138">
        <f>MAX(((R580)*(1+$C$10)+IF(B581="Working",E96,0))-N581,0)</f>
        <v/>
      </c>
      <c r="S581" s="138">
        <f>MAX(((S580)*(1+$C$10)+IF(B581="Working",I581,0))-O581,0)</f>
        <v/>
      </c>
      <c r="T581" s="138">
        <f>MAX(((T580)*(1+$C$10)+IF(B581="Working",F96,0))-P581,0)</f>
        <v/>
      </c>
      <c r="U581" s="138">
        <f>Q581+R581+S581+T581</f>
        <v/>
      </c>
      <c r="V581" s="138">
        <f>IF(B581="Working",MAX(-(((Q580)*(1+$C$10)+IF(B581="Working",J581,0))),0),MAX(K581-L581,0))</f>
        <v/>
      </c>
      <c r="W581" s="138">
        <f>IF(OR(A581&gt;=$C$13,B581="Retired"),IF(V581&gt;0,-V581,U581-'Model Inputs'!$B$18),"")</f>
        <v/>
      </c>
      <c r="X581" s="138">
        <f>IF(AND($L$234&gt;0,A581&gt;=$C$13),$L$234*(1+$C$25)^(A581-$C$13),0)</f>
        <v/>
      </c>
      <c r="Y581" s="138">
        <f>IF(OR($L$234&lt;=0,$C$17&lt;=0,A581&lt;$C$13,MIN(MAX((A581-$C$13+1)*12,0),$C$17*12)&gt;=$C$17*12),0,IF($C$16=0,MAX(MAX($L$234*(1-$C$15),0)-(IF($C$17&lt;=0,0,IF($C$16=0,MAX($L$234*(1-$C$15),0)/$C$17,-PMT($C$16/12,$C$17*12,MAX($L$234*(1-$C$15),0))*12))/12)*MIN(MAX((A581-$C$13+1)*12,0),$C$17*12),0),MAX(MAX($L$234*(1-$C$15),0)*(1+$C$16/12)^MIN(MAX((A581-$C$13+1)*12,0),$C$17*12)-(IF($C$17&lt;=0,0,IF($C$16=0,MAX($L$234*(1-$C$15),0)/$C$17,-PMT($C$16/12,$C$17*12,MAX($L$234*(1-$C$15),0))*12))/12)*(((1+$C$16/12)^MIN(MAX((A581-$C$13+1)*12,0),$C$17*12)-1)/($C$16/12)),0)))</f>
        <v/>
      </c>
      <c r="Z581" s="138">
        <f>MAX(X581-Y581,0)</f>
        <v/>
      </c>
      <c r="AA581" s="139">
        <f>U581+Z581</f>
        <v/>
      </c>
      <c r="AB581" s="5" t="n"/>
      <c r="AC581" s="5" t="n"/>
      <c r="AD581" s="5" t="n"/>
      <c r="AE581" s="5" t="n"/>
      <c r="AF581" s="5" t="n"/>
      <c r="AG581" s="5" t="n"/>
    </row>
    <row r="582" outlineLevel="1" s="326">
      <c r="A582" s="140" t="n">
        <v>18</v>
      </c>
      <c r="B582" s="40">
        <f>B97</f>
        <v/>
      </c>
      <c r="C582" s="141">
        <f>D97</f>
        <v/>
      </c>
      <c r="D582" s="141">
        <f>I97</f>
        <v/>
      </c>
      <c r="E582" s="141">
        <f>J97</f>
        <v/>
      </c>
      <c r="F582" s="141">
        <f>K97</f>
        <v/>
      </c>
      <c r="G582" s="138">
        <f>IF(AND($L$234&gt;0,A582=$C$13),$L$234*($C$15+$C$18),0)+IF(AND($L$234&gt;0,A582=$C$13),$C$24,0)</f>
        <v/>
      </c>
      <c r="H582" s="138">
        <f>IF(OR($L$234&lt;=0,A582&lt;$C$13),0,IF(AND($L$234&gt;0,$C$17&gt;0,A582&gt;=$C$13,A582&lt;($C$13+$C$17)),IF($C$17&lt;=0,0,IF($C$16=0,MAX($L$234*(1-$C$15),0)/$C$17,-PMT($C$16/12,$C$17*12,MAX($L$234*(1-$C$15),0))*12)),0)+X582*($C$19+$C$20+$C$21)+$C$22+$C$23)</f>
        <v/>
      </c>
      <c r="I582" s="138">
        <f>IF(B582="Working",MIN(MAX(D582-E582-F582-G582-H582,0),'Tax Assumptions'!$B$20),0)</f>
        <v/>
      </c>
      <c r="J582" s="138">
        <f>IF(B582="Working",D582-E582-F582-I582-G582-H582,-L582)</f>
        <v/>
      </c>
      <c r="K582" s="141">
        <f>IF(B582="Retired",$N$234+G582+H582,0)</f>
        <v/>
      </c>
      <c r="L582" s="141">
        <f>M582+N582+O582+P582</f>
        <v/>
      </c>
      <c r="M582" s="141">
        <f>IF(B582="Retired",MIN(((Q581)*(1+$C$10)+IF(B582="Working",J582,0)),K582),0)</f>
        <v/>
      </c>
      <c r="N582" s="141">
        <f>IF(B582="Retired",MIN(MAX(K582-M582,0),((R581)*(1+$C$10)+IF(B582="Working",E97,0))),0)</f>
        <v/>
      </c>
      <c r="O582" s="141">
        <f>IF(B582="Retired",MIN(MAX(K582-M582-N582,0),((S581)*(1+$C$10)+IF(B582="Working",I582,0))),0)</f>
        <v/>
      </c>
      <c r="P582" s="141">
        <f>IF(B582="Retired",MIN(MAX(K582-M582-N582-O582,0),((T581)*(1+$C$10)+IF(B582="Working",F97,0))),0)</f>
        <v/>
      </c>
      <c r="Q582" s="138">
        <f>MAX(((Q581)*(1+$C$10)+IF(B582="Working",J582,0))-M582,0)</f>
        <v/>
      </c>
      <c r="R582" s="138">
        <f>MAX(((R581)*(1+$C$10)+IF(B582="Working",E97,0))-N582,0)</f>
        <v/>
      </c>
      <c r="S582" s="138">
        <f>MAX(((S581)*(1+$C$10)+IF(B582="Working",I582,0))-O582,0)</f>
        <v/>
      </c>
      <c r="T582" s="138">
        <f>MAX(((T581)*(1+$C$10)+IF(B582="Working",F97,0))-P582,0)</f>
        <v/>
      </c>
      <c r="U582" s="138">
        <f>Q582+R582+S582+T582</f>
        <v/>
      </c>
      <c r="V582" s="138">
        <f>IF(B582="Working",MAX(-(((Q581)*(1+$C$10)+IF(B582="Working",J582,0))),0),MAX(K582-L582,0))</f>
        <v/>
      </c>
      <c r="W582" s="138">
        <f>IF(OR(A582&gt;=$C$13,B582="Retired"),IF(V582&gt;0,-V582,U582-'Model Inputs'!$B$18),"")</f>
        <v/>
      </c>
      <c r="X582" s="138">
        <f>IF(AND($L$234&gt;0,A582&gt;=$C$13),$L$234*(1+$C$25)^(A582-$C$13),0)</f>
        <v/>
      </c>
      <c r="Y582" s="138">
        <f>IF(OR($L$234&lt;=0,$C$17&lt;=0,A582&lt;$C$13,MIN(MAX((A582-$C$13+1)*12,0),$C$17*12)&gt;=$C$17*12),0,IF($C$16=0,MAX(MAX($L$234*(1-$C$15),0)-(IF($C$17&lt;=0,0,IF($C$16=0,MAX($L$234*(1-$C$15),0)/$C$17,-PMT($C$16/12,$C$17*12,MAX($L$234*(1-$C$15),0))*12))/12)*MIN(MAX((A582-$C$13+1)*12,0),$C$17*12),0),MAX(MAX($L$234*(1-$C$15),0)*(1+$C$16/12)^MIN(MAX((A582-$C$13+1)*12,0),$C$17*12)-(IF($C$17&lt;=0,0,IF($C$16=0,MAX($L$234*(1-$C$15),0)/$C$17,-PMT($C$16/12,$C$17*12,MAX($L$234*(1-$C$15),0))*12))/12)*(((1+$C$16/12)^MIN(MAX((A582-$C$13+1)*12,0),$C$17*12)-1)/($C$16/12)),0)))</f>
        <v/>
      </c>
      <c r="Z582" s="138">
        <f>MAX(X582-Y582,0)</f>
        <v/>
      </c>
      <c r="AA582" s="142">
        <f>U582+Z582</f>
        <v/>
      </c>
      <c r="AB582" s="5" t="n"/>
      <c r="AC582" s="5" t="n"/>
      <c r="AD582" s="5" t="n"/>
      <c r="AE582" s="5" t="n"/>
      <c r="AF582" s="5" t="n"/>
      <c r="AG582" s="5" t="n"/>
    </row>
    <row r="583" outlineLevel="1" s="326">
      <c r="A583" s="136" t="n">
        <v>19</v>
      </c>
      <c r="B583" s="72">
        <f>B98</f>
        <v/>
      </c>
      <c r="C583" s="137">
        <f>D98</f>
        <v/>
      </c>
      <c r="D583" s="137">
        <f>I98</f>
        <v/>
      </c>
      <c r="E583" s="137">
        <f>J98</f>
        <v/>
      </c>
      <c r="F583" s="137">
        <f>K98</f>
        <v/>
      </c>
      <c r="G583" s="138">
        <f>IF(AND($L$234&gt;0,A583=$C$13),$L$234*($C$15+$C$18),0)+IF(AND($L$234&gt;0,A583=$C$13),$C$24,0)</f>
        <v/>
      </c>
      <c r="H583" s="138">
        <f>IF(OR($L$234&lt;=0,A583&lt;$C$13),0,IF(AND($L$234&gt;0,$C$17&gt;0,A583&gt;=$C$13,A583&lt;($C$13+$C$17)),IF($C$17&lt;=0,0,IF($C$16=0,MAX($L$234*(1-$C$15),0)/$C$17,-PMT($C$16/12,$C$17*12,MAX($L$234*(1-$C$15),0))*12)),0)+X583*($C$19+$C$20+$C$21)+$C$22+$C$23)</f>
        <v/>
      </c>
      <c r="I583" s="138">
        <f>IF(B583="Working",MIN(MAX(D583-E583-F583-G583-H583,0),'Tax Assumptions'!$B$20),0)</f>
        <v/>
      </c>
      <c r="J583" s="138">
        <f>IF(B583="Working",D583-E583-F583-I583-G583-H583,-L583)</f>
        <v/>
      </c>
      <c r="K583" s="137">
        <f>IF(B583="Retired",$N$234+G583+H583,0)</f>
        <v/>
      </c>
      <c r="L583" s="137">
        <f>M583+N583+O583+P583</f>
        <v/>
      </c>
      <c r="M583" s="137">
        <f>IF(B583="Retired",MIN(((Q582)*(1+$C$10)+IF(B583="Working",J583,0)),K583),0)</f>
        <v/>
      </c>
      <c r="N583" s="137">
        <f>IF(B583="Retired",MIN(MAX(K583-M583,0),((R582)*(1+$C$10)+IF(B583="Working",E98,0))),0)</f>
        <v/>
      </c>
      <c r="O583" s="137">
        <f>IF(B583="Retired",MIN(MAX(K583-M583-N583,0),((S582)*(1+$C$10)+IF(B583="Working",I583,0))),0)</f>
        <v/>
      </c>
      <c r="P583" s="137">
        <f>IF(B583="Retired",MIN(MAX(K583-M583-N583-O583,0),((T582)*(1+$C$10)+IF(B583="Working",F98,0))),0)</f>
        <v/>
      </c>
      <c r="Q583" s="138">
        <f>MAX(((Q582)*(1+$C$10)+IF(B583="Working",J583,0))-M583,0)</f>
        <v/>
      </c>
      <c r="R583" s="138">
        <f>MAX(((R582)*(1+$C$10)+IF(B583="Working",E98,0))-N583,0)</f>
        <v/>
      </c>
      <c r="S583" s="138">
        <f>MAX(((S582)*(1+$C$10)+IF(B583="Working",I583,0))-O583,0)</f>
        <v/>
      </c>
      <c r="T583" s="138">
        <f>MAX(((T582)*(1+$C$10)+IF(B583="Working",F98,0))-P583,0)</f>
        <v/>
      </c>
      <c r="U583" s="138">
        <f>Q583+R583+S583+T583</f>
        <v/>
      </c>
      <c r="V583" s="138">
        <f>IF(B583="Working",MAX(-(((Q582)*(1+$C$10)+IF(B583="Working",J583,0))),0),MAX(K583-L583,0))</f>
        <v/>
      </c>
      <c r="W583" s="138">
        <f>IF(OR(A583&gt;=$C$13,B583="Retired"),IF(V583&gt;0,-V583,U583-'Model Inputs'!$B$18),"")</f>
        <v/>
      </c>
      <c r="X583" s="138">
        <f>IF(AND($L$234&gt;0,A583&gt;=$C$13),$L$234*(1+$C$25)^(A583-$C$13),0)</f>
        <v/>
      </c>
      <c r="Y583" s="138">
        <f>IF(OR($L$234&lt;=0,$C$17&lt;=0,A583&lt;$C$13,MIN(MAX((A583-$C$13+1)*12,0),$C$17*12)&gt;=$C$17*12),0,IF($C$16=0,MAX(MAX($L$234*(1-$C$15),0)-(IF($C$17&lt;=0,0,IF($C$16=0,MAX($L$234*(1-$C$15),0)/$C$17,-PMT($C$16/12,$C$17*12,MAX($L$234*(1-$C$15),0))*12))/12)*MIN(MAX((A583-$C$13+1)*12,0),$C$17*12),0),MAX(MAX($L$234*(1-$C$15),0)*(1+$C$16/12)^MIN(MAX((A583-$C$13+1)*12,0),$C$17*12)-(IF($C$17&lt;=0,0,IF($C$16=0,MAX($L$234*(1-$C$15),0)/$C$17,-PMT($C$16/12,$C$17*12,MAX($L$234*(1-$C$15),0))*12))/12)*(((1+$C$16/12)^MIN(MAX((A583-$C$13+1)*12,0),$C$17*12)-1)/($C$16/12)),0)))</f>
        <v/>
      </c>
      <c r="Z583" s="138">
        <f>MAX(X583-Y583,0)</f>
        <v/>
      </c>
      <c r="AA583" s="139">
        <f>U583+Z583</f>
        <v/>
      </c>
      <c r="AB583" s="5" t="n"/>
      <c r="AC583" s="5" t="n"/>
      <c r="AD583" s="5" t="n"/>
      <c r="AE583" s="5" t="n"/>
      <c r="AF583" s="5" t="n"/>
      <c r="AG583" s="5" t="n"/>
    </row>
    <row r="584" outlineLevel="1" s="326">
      <c r="A584" s="140" t="n">
        <v>20</v>
      </c>
      <c r="B584" s="40">
        <f>B99</f>
        <v/>
      </c>
      <c r="C584" s="141">
        <f>D99</f>
        <v/>
      </c>
      <c r="D584" s="141">
        <f>I99</f>
        <v/>
      </c>
      <c r="E584" s="141">
        <f>J99</f>
        <v/>
      </c>
      <c r="F584" s="141">
        <f>K99</f>
        <v/>
      </c>
      <c r="G584" s="138">
        <f>IF(AND($L$234&gt;0,A584=$C$13),$L$234*($C$15+$C$18),0)+IF(AND($L$234&gt;0,A584=$C$13),$C$24,0)</f>
        <v/>
      </c>
      <c r="H584" s="138">
        <f>IF(OR($L$234&lt;=0,A584&lt;$C$13),0,IF(AND($L$234&gt;0,$C$17&gt;0,A584&gt;=$C$13,A584&lt;($C$13+$C$17)),IF($C$17&lt;=0,0,IF($C$16=0,MAX($L$234*(1-$C$15),0)/$C$17,-PMT($C$16/12,$C$17*12,MAX($L$234*(1-$C$15),0))*12)),0)+X584*($C$19+$C$20+$C$21)+$C$22+$C$23)</f>
        <v/>
      </c>
      <c r="I584" s="138">
        <f>IF(B584="Working",MIN(MAX(D584-E584-F584-G584-H584,0),'Tax Assumptions'!$B$20),0)</f>
        <v/>
      </c>
      <c r="J584" s="138">
        <f>IF(B584="Working",D584-E584-F584-I584-G584-H584,-L584)</f>
        <v/>
      </c>
      <c r="K584" s="141">
        <f>IF(B584="Retired",$N$234+G584+H584,0)</f>
        <v/>
      </c>
      <c r="L584" s="141">
        <f>M584+N584+O584+P584</f>
        <v/>
      </c>
      <c r="M584" s="141">
        <f>IF(B584="Retired",MIN(((Q583)*(1+$C$10)+IF(B584="Working",J584,0)),K584),0)</f>
        <v/>
      </c>
      <c r="N584" s="141">
        <f>IF(B584="Retired",MIN(MAX(K584-M584,0),((R583)*(1+$C$10)+IF(B584="Working",E99,0))),0)</f>
        <v/>
      </c>
      <c r="O584" s="141">
        <f>IF(B584="Retired",MIN(MAX(K584-M584-N584,0),((S583)*(1+$C$10)+IF(B584="Working",I584,0))),0)</f>
        <v/>
      </c>
      <c r="P584" s="141">
        <f>IF(B584="Retired",MIN(MAX(K584-M584-N584-O584,0),((T583)*(1+$C$10)+IF(B584="Working",F99,0))),0)</f>
        <v/>
      </c>
      <c r="Q584" s="138">
        <f>MAX(((Q583)*(1+$C$10)+IF(B584="Working",J584,0))-M584,0)</f>
        <v/>
      </c>
      <c r="R584" s="138">
        <f>MAX(((R583)*(1+$C$10)+IF(B584="Working",E99,0))-N584,0)</f>
        <v/>
      </c>
      <c r="S584" s="138">
        <f>MAX(((S583)*(1+$C$10)+IF(B584="Working",I584,0))-O584,0)</f>
        <v/>
      </c>
      <c r="T584" s="138">
        <f>MAX(((T583)*(1+$C$10)+IF(B584="Working",F99,0))-P584,0)</f>
        <v/>
      </c>
      <c r="U584" s="138">
        <f>Q584+R584+S584+T584</f>
        <v/>
      </c>
      <c r="V584" s="138">
        <f>IF(B584="Working",MAX(-(((Q583)*(1+$C$10)+IF(B584="Working",J584,0))),0),MAX(K584-L584,0))</f>
        <v/>
      </c>
      <c r="W584" s="138">
        <f>IF(OR(A584&gt;=$C$13,B584="Retired"),IF(V584&gt;0,-V584,U584-'Model Inputs'!$B$18),"")</f>
        <v/>
      </c>
      <c r="X584" s="138">
        <f>IF(AND($L$234&gt;0,A584&gt;=$C$13),$L$234*(1+$C$25)^(A584-$C$13),0)</f>
        <v/>
      </c>
      <c r="Y584" s="138">
        <f>IF(OR($L$234&lt;=0,$C$17&lt;=0,A584&lt;$C$13,MIN(MAX((A584-$C$13+1)*12,0),$C$17*12)&gt;=$C$17*12),0,IF($C$16=0,MAX(MAX($L$234*(1-$C$15),0)-(IF($C$17&lt;=0,0,IF($C$16=0,MAX($L$234*(1-$C$15),0)/$C$17,-PMT($C$16/12,$C$17*12,MAX($L$234*(1-$C$15),0))*12))/12)*MIN(MAX((A584-$C$13+1)*12,0),$C$17*12),0),MAX(MAX($L$234*(1-$C$15),0)*(1+$C$16/12)^MIN(MAX((A584-$C$13+1)*12,0),$C$17*12)-(IF($C$17&lt;=0,0,IF($C$16=0,MAX($L$234*(1-$C$15),0)/$C$17,-PMT($C$16/12,$C$17*12,MAX($L$234*(1-$C$15),0))*12))/12)*(((1+$C$16/12)^MIN(MAX((A584-$C$13+1)*12,0),$C$17*12)-1)/($C$16/12)),0)))</f>
        <v/>
      </c>
      <c r="Z584" s="138">
        <f>MAX(X584-Y584,0)</f>
        <v/>
      </c>
      <c r="AA584" s="142">
        <f>U584+Z584</f>
        <v/>
      </c>
      <c r="AB584" s="5" t="n"/>
      <c r="AC584" s="5" t="n"/>
      <c r="AD584" s="5" t="n"/>
      <c r="AE584" s="5" t="n"/>
      <c r="AF584" s="5" t="n"/>
      <c r="AG584" s="5" t="n"/>
    </row>
    <row r="585" outlineLevel="1" s="326">
      <c r="A585" s="136" t="n">
        <v>21</v>
      </c>
      <c r="B585" s="72">
        <f>B100</f>
        <v/>
      </c>
      <c r="C585" s="137">
        <f>D100</f>
        <v/>
      </c>
      <c r="D585" s="137">
        <f>I100</f>
        <v/>
      </c>
      <c r="E585" s="137">
        <f>J100</f>
        <v/>
      </c>
      <c r="F585" s="137">
        <f>K100</f>
        <v/>
      </c>
      <c r="G585" s="138">
        <f>IF(AND($L$234&gt;0,A585=$C$13),$L$234*($C$15+$C$18),0)+IF(AND($L$234&gt;0,A585=$C$13),$C$24,0)</f>
        <v/>
      </c>
      <c r="H585" s="138">
        <f>IF(OR($L$234&lt;=0,A585&lt;$C$13),0,IF(AND($L$234&gt;0,$C$17&gt;0,A585&gt;=$C$13,A585&lt;($C$13+$C$17)),IF($C$17&lt;=0,0,IF($C$16=0,MAX($L$234*(1-$C$15),0)/$C$17,-PMT($C$16/12,$C$17*12,MAX($L$234*(1-$C$15),0))*12)),0)+X585*($C$19+$C$20+$C$21)+$C$22+$C$23)</f>
        <v/>
      </c>
      <c r="I585" s="138">
        <f>IF(B585="Working",MIN(MAX(D585-E585-F585-G585-H585,0),'Tax Assumptions'!$B$20),0)</f>
        <v/>
      </c>
      <c r="J585" s="138">
        <f>IF(B585="Working",D585-E585-F585-I585-G585-H585,-L585)</f>
        <v/>
      </c>
      <c r="K585" s="137">
        <f>IF(B585="Retired",$N$234+G585+H585,0)</f>
        <v/>
      </c>
      <c r="L585" s="137">
        <f>M585+N585+O585+P585</f>
        <v/>
      </c>
      <c r="M585" s="137">
        <f>IF(B585="Retired",MIN(((Q584)*(1+$C$10)+IF(B585="Working",J585,0)),K585),0)</f>
        <v/>
      </c>
      <c r="N585" s="137">
        <f>IF(B585="Retired",MIN(MAX(K585-M585,0),((R584)*(1+$C$10)+IF(B585="Working",E100,0))),0)</f>
        <v/>
      </c>
      <c r="O585" s="137">
        <f>IF(B585="Retired",MIN(MAX(K585-M585-N585,0),((S584)*(1+$C$10)+IF(B585="Working",I585,0))),0)</f>
        <v/>
      </c>
      <c r="P585" s="137">
        <f>IF(B585="Retired",MIN(MAX(K585-M585-N585-O585,0),((T584)*(1+$C$10)+IF(B585="Working",F100,0))),0)</f>
        <v/>
      </c>
      <c r="Q585" s="138">
        <f>MAX(((Q584)*(1+$C$10)+IF(B585="Working",J585,0))-M585,0)</f>
        <v/>
      </c>
      <c r="R585" s="138">
        <f>MAX(((R584)*(1+$C$10)+IF(B585="Working",E100,0))-N585,0)</f>
        <v/>
      </c>
      <c r="S585" s="138">
        <f>MAX(((S584)*(1+$C$10)+IF(B585="Working",I585,0))-O585,0)</f>
        <v/>
      </c>
      <c r="T585" s="138">
        <f>MAX(((T584)*(1+$C$10)+IF(B585="Working",F100,0))-P585,0)</f>
        <v/>
      </c>
      <c r="U585" s="138">
        <f>Q585+R585+S585+T585</f>
        <v/>
      </c>
      <c r="V585" s="138">
        <f>IF(B585="Working",MAX(-(((Q584)*(1+$C$10)+IF(B585="Working",J585,0))),0),MAX(K585-L585,0))</f>
        <v/>
      </c>
      <c r="W585" s="138">
        <f>IF(OR(A585&gt;=$C$13,B585="Retired"),IF(V585&gt;0,-V585,U585-'Model Inputs'!$B$18),"")</f>
        <v/>
      </c>
      <c r="X585" s="138">
        <f>IF(AND($L$234&gt;0,A585&gt;=$C$13),$L$234*(1+$C$25)^(A585-$C$13),0)</f>
        <v/>
      </c>
      <c r="Y585" s="138">
        <f>IF(OR($L$234&lt;=0,$C$17&lt;=0,A585&lt;$C$13,MIN(MAX((A585-$C$13+1)*12,0),$C$17*12)&gt;=$C$17*12),0,IF($C$16=0,MAX(MAX($L$234*(1-$C$15),0)-(IF($C$17&lt;=0,0,IF($C$16=0,MAX($L$234*(1-$C$15),0)/$C$17,-PMT($C$16/12,$C$17*12,MAX($L$234*(1-$C$15),0))*12))/12)*MIN(MAX((A585-$C$13+1)*12,0),$C$17*12),0),MAX(MAX($L$234*(1-$C$15),0)*(1+$C$16/12)^MIN(MAX((A585-$C$13+1)*12,0),$C$17*12)-(IF($C$17&lt;=0,0,IF($C$16=0,MAX($L$234*(1-$C$15),0)/$C$17,-PMT($C$16/12,$C$17*12,MAX($L$234*(1-$C$15),0))*12))/12)*(((1+$C$16/12)^MIN(MAX((A585-$C$13+1)*12,0),$C$17*12)-1)/($C$16/12)),0)))</f>
        <v/>
      </c>
      <c r="Z585" s="138">
        <f>MAX(X585-Y585,0)</f>
        <v/>
      </c>
      <c r="AA585" s="139">
        <f>U585+Z585</f>
        <v/>
      </c>
      <c r="AB585" s="5" t="n"/>
      <c r="AC585" s="5" t="n"/>
      <c r="AD585" s="5" t="n"/>
      <c r="AE585" s="5" t="n"/>
      <c r="AF585" s="5" t="n"/>
      <c r="AG585" s="5" t="n"/>
    </row>
    <row r="586" outlineLevel="1" s="326">
      <c r="A586" s="140" t="n">
        <v>22</v>
      </c>
      <c r="B586" s="40">
        <f>B101</f>
        <v/>
      </c>
      <c r="C586" s="141">
        <f>D101</f>
        <v/>
      </c>
      <c r="D586" s="141">
        <f>I101</f>
        <v/>
      </c>
      <c r="E586" s="141">
        <f>J101</f>
        <v/>
      </c>
      <c r="F586" s="141">
        <f>K101</f>
        <v/>
      </c>
      <c r="G586" s="138">
        <f>IF(AND($L$234&gt;0,A586=$C$13),$L$234*($C$15+$C$18),0)+IF(AND($L$234&gt;0,A586=$C$13),$C$24,0)</f>
        <v/>
      </c>
      <c r="H586" s="138">
        <f>IF(OR($L$234&lt;=0,A586&lt;$C$13),0,IF(AND($L$234&gt;0,$C$17&gt;0,A586&gt;=$C$13,A586&lt;($C$13+$C$17)),IF($C$17&lt;=0,0,IF($C$16=0,MAX($L$234*(1-$C$15),0)/$C$17,-PMT($C$16/12,$C$17*12,MAX($L$234*(1-$C$15),0))*12)),0)+X586*($C$19+$C$20+$C$21)+$C$22+$C$23)</f>
        <v/>
      </c>
      <c r="I586" s="138">
        <f>IF(B586="Working",MIN(MAX(D586-E586-F586-G586-H586,0),'Tax Assumptions'!$B$20),0)</f>
        <v/>
      </c>
      <c r="J586" s="138">
        <f>IF(B586="Working",D586-E586-F586-I586-G586-H586,-L586)</f>
        <v/>
      </c>
      <c r="K586" s="141">
        <f>IF(B586="Retired",$N$234+G586+H586,0)</f>
        <v/>
      </c>
      <c r="L586" s="141">
        <f>M586+N586+O586+P586</f>
        <v/>
      </c>
      <c r="M586" s="141">
        <f>IF(B586="Retired",MIN(((Q585)*(1+$C$10)+IF(B586="Working",J586,0)),K586),0)</f>
        <v/>
      </c>
      <c r="N586" s="141">
        <f>IF(B586="Retired",MIN(MAX(K586-M586,0),((R585)*(1+$C$10)+IF(B586="Working",E101,0))),0)</f>
        <v/>
      </c>
      <c r="O586" s="141">
        <f>IF(B586="Retired",MIN(MAX(K586-M586-N586,0),((S585)*(1+$C$10)+IF(B586="Working",I586,0))),0)</f>
        <v/>
      </c>
      <c r="P586" s="141">
        <f>IF(B586="Retired",MIN(MAX(K586-M586-N586-O586,0),((T585)*(1+$C$10)+IF(B586="Working",F101,0))),0)</f>
        <v/>
      </c>
      <c r="Q586" s="138">
        <f>MAX(((Q585)*(1+$C$10)+IF(B586="Working",J586,0))-M586,0)</f>
        <v/>
      </c>
      <c r="R586" s="138">
        <f>MAX(((R585)*(1+$C$10)+IF(B586="Working",E101,0))-N586,0)</f>
        <v/>
      </c>
      <c r="S586" s="138">
        <f>MAX(((S585)*(1+$C$10)+IF(B586="Working",I586,0))-O586,0)</f>
        <v/>
      </c>
      <c r="T586" s="138">
        <f>MAX(((T585)*(1+$C$10)+IF(B586="Working",F101,0))-P586,0)</f>
        <v/>
      </c>
      <c r="U586" s="138">
        <f>Q586+R586+S586+T586</f>
        <v/>
      </c>
      <c r="V586" s="138">
        <f>IF(B586="Working",MAX(-(((Q585)*(1+$C$10)+IF(B586="Working",J586,0))),0),MAX(K586-L586,0))</f>
        <v/>
      </c>
      <c r="W586" s="138">
        <f>IF(OR(A586&gt;=$C$13,B586="Retired"),IF(V586&gt;0,-V586,U586-'Model Inputs'!$B$18),"")</f>
        <v/>
      </c>
      <c r="X586" s="138">
        <f>IF(AND($L$234&gt;0,A586&gt;=$C$13),$L$234*(1+$C$25)^(A586-$C$13),0)</f>
        <v/>
      </c>
      <c r="Y586" s="138">
        <f>IF(OR($L$234&lt;=0,$C$17&lt;=0,A586&lt;$C$13,MIN(MAX((A586-$C$13+1)*12,0),$C$17*12)&gt;=$C$17*12),0,IF($C$16=0,MAX(MAX($L$234*(1-$C$15),0)-(IF($C$17&lt;=0,0,IF($C$16=0,MAX($L$234*(1-$C$15),0)/$C$17,-PMT($C$16/12,$C$17*12,MAX($L$234*(1-$C$15),0))*12))/12)*MIN(MAX((A586-$C$13+1)*12,0),$C$17*12),0),MAX(MAX($L$234*(1-$C$15),0)*(1+$C$16/12)^MIN(MAX((A586-$C$13+1)*12,0),$C$17*12)-(IF($C$17&lt;=0,0,IF($C$16=0,MAX($L$234*(1-$C$15),0)/$C$17,-PMT($C$16/12,$C$17*12,MAX($L$234*(1-$C$15),0))*12))/12)*(((1+$C$16/12)^MIN(MAX((A586-$C$13+1)*12,0),$C$17*12)-1)/($C$16/12)),0)))</f>
        <v/>
      </c>
      <c r="Z586" s="138">
        <f>MAX(X586-Y586,0)</f>
        <v/>
      </c>
      <c r="AA586" s="142">
        <f>U586+Z586</f>
        <v/>
      </c>
      <c r="AB586" s="5" t="n"/>
      <c r="AC586" s="5" t="n"/>
      <c r="AD586" s="5" t="n"/>
      <c r="AE586" s="5" t="n"/>
      <c r="AF586" s="5" t="n"/>
      <c r="AG586" s="5" t="n"/>
    </row>
    <row r="587" outlineLevel="1" s="326">
      <c r="A587" s="136" t="n">
        <v>23</v>
      </c>
      <c r="B587" s="72">
        <f>B102</f>
        <v/>
      </c>
      <c r="C587" s="137">
        <f>D102</f>
        <v/>
      </c>
      <c r="D587" s="137">
        <f>I102</f>
        <v/>
      </c>
      <c r="E587" s="137">
        <f>J102</f>
        <v/>
      </c>
      <c r="F587" s="137">
        <f>K102</f>
        <v/>
      </c>
      <c r="G587" s="138">
        <f>IF(AND($L$234&gt;0,A587=$C$13),$L$234*($C$15+$C$18),0)+IF(AND($L$234&gt;0,A587=$C$13),$C$24,0)</f>
        <v/>
      </c>
      <c r="H587" s="138">
        <f>IF(OR($L$234&lt;=0,A587&lt;$C$13),0,IF(AND($L$234&gt;0,$C$17&gt;0,A587&gt;=$C$13,A587&lt;($C$13+$C$17)),IF($C$17&lt;=0,0,IF($C$16=0,MAX($L$234*(1-$C$15),0)/$C$17,-PMT($C$16/12,$C$17*12,MAX($L$234*(1-$C$15),0))*12)),0)+X587*($C$19+$C$20+$C$21)+$C$22+$C$23)</f>
        <v/>
      </c>
      <c r="I587" s="138">
        <f>IF(B587="Working",MIN(MAX(D587-E587-F587-G587-H587,0),'Tax Assumptions'!$B$20),0)</f>
        <v/>
      </c>
      <c r="J587" s="138">
        <f>IF(B587="Working",D587-E587-F587-I587-G587-H587,-L587)</f>
        <v/>
      </c>
      <c r="K587" s="137">
        <f>IF(B587="Retired",$N$234+G587+H587,0)</f>
        <v/>
      </c>
      <c r="L587" s="137">
        <f>M587+N587+O587+P587</f>
        <v/>
      </c>
      <c r="M587" s="137">
        <f>IF(B587="Retired",MIN(((Q586)*(1+$C$10)+IF(B587="Working",J587,0)),K587),0)</f>
        <v/>
      </c>
      <c r="N587" s="137">
        <f>IF(B587="Retired",MIN(MAX(K587-M587,0),((R586)*(1+$C$10)+IF(B587="Working",E102,0))),0)</f>
        <v/>
      </c>
      <c r="O587" s="137">
        <f>IF(B587="Retired",MIN(MAX(K587-M587-N587,0),((S586)*(1+$C$10)+IF(B587="Working",I587,0))),0)</f>
        <v/>
      </c>
      <c r="P587" s="137">
        <f>IF(B587="Retired",MIN(MAX(K587-M587-N587-O587,0),((T586)*(1+$C$10)+IF(B587="Working",F102,0))),0)</f>
        <v/>
      </c>
      <c r="Q587" s="138">
        <f>MAX(((Q586)*(1+$C$10)+IF(B587="Working",J587,0))-M587,0)</f>
        <v/>
      </c>
      <c r="R587" s="138">
        <f>MAX(((R586)*(1+$C$10)+IF(B587="Working",E102,0))-N587,0)</f>
        <v/>
      </c>
      <c r="S587" s="138">
        <f>MAX(((S586)*(1+$C$10)+IF(B587="Working",I587,0))-O587,0)</f>
        <v/>
      </c>
      <c r="T587" s="138">
        <f>MAX(((T586)*(1+$C$10)+IF(B587="Working",F102,0))-P587,0)</f>
        <v/>
      </c>
      <c r="U587" s="138">
        <f>Q587+R587+S587+T587</f>
        <v/>
      </c>
      <c r="V587" s="138">
        <f>IF(B587="Working",MAX(-(((Q586)*(1+$C$10)+IF(B587="Working",J587,0))),0),MAX(K587-L587,0))</f>
        <v/>
      </c>
      <c r="W587" s="138">
        <f>IF(OR(A587&gt;=$C$13,B587="Retired"),IF(V587&gt;0,-V587,U587-'Model Inputs'!$B$18),"")</f>
        <v/>
      </c>
      <c r="X587" s="138">
        <f>IF(AND($L$234&gt;0,A587&gt;=$C$13),$L$234*(1+$C$25)^(A587-$C$13),0)</f>
        <v/>
      </c>
      <c r="Y587" s="138">
        <f>IF(OR($L$234&lt;=0,$C$17&lt;=0,A587&lt;$C$13,MIN(MAX((A587-$C$13+1)*12,0),$C$17*12)&gt;=$C$17*12),0,IF($C$16=0,MAX(MAX($L$234*(1-$C$15),0)-(IF($C$17&lt;=0,0,IF($C$16=0,MAX($L$234*(1-$C$15),0)/$C$17,-PMT($C$16/12,$C$17*12,MAX($L$234*(1-$C$15),0))*12))/12)*MIN(MAX((A587-$C$13+1)*12,0),$C$17*12),0),MAX(MAX($L$234*(1-$C$15),0)*(1+$C$16/12)^MIN(MAX((A587-$C$13+1)*12,0),$C$17*12)-(IF($C$17&lt;=0,0,IF($C$16=0,MAX($L$234*(1-$C$15),0)/$C$17,-PMT($C$16/12,$C$17*12,MAX($L$234*(1-$C$15),0))*12))/12)*(((1+$C$16/12)^MIN(MAX((A587-$C$13+1)*12,0),$C$17*12)-1)/($C$16/12)),0)))</f>
        <v/>
      </c>
      <c r="Z587" s="138">
        <f>MAX(X587-Y587,0)</f>
        <v/>
      </c>
      <c r="AA587" s="139">
        <f>U587+Z587</f>
        <v/>
      </c>
      <c r="AB587" s="5" t="n"/>
      <c r="AC587" s="5" t="n"/>
      <c r="AD587" s="5" t="n"/>
      <c r="AE587" s="5" t="n"/>
      <c r="AF587" s="5" t="n"/>
      <c r="AG587" s="5" t="n"/>
    </row>
    <row r="588" outlineLevel="1" s="326">
      <c r="A588" s="140" t="n">
        <v>24</v>
      </c>
      <c r="B588" s="40">
        <f>B103</f>
        <v/>
      </c>
      <c r="C588" s="141">
        <f>D103</f>
        <v/>
      </c>
      <c r="D588" s="141">
        <f>I103</f>
        <v/>
      </c>
      <c r="E588" s="141">
        <f>J103</f>
        <v/>
      </c>
      <c r="F588" s="141">
        <f>K103</f>
        <v/>
      </c>
      <c r="G588" s="138">
        <f>IF(AND($L$234&gt;0,A588=$C$13),$L$234*($C$15+$C$18),0)+IF(AND($L$234&gt;0,A588=$C$13),$C$24,0)</f>
        <v/>
      </c>
      <c r="H588" s="138">
        <f>IF(OR($L$234&lt;=0,A588&lt;$C$13),0,IF(AND($L$234&gt;0,$C$17&gt;0,A588&gt;=$C$13,A588&lt;($C$13+$C$17)),IF($C$17&lt;=0,0,IF($C$16=0,MAX($L$234*(1-$C$15),0)/$C$17,-PMT($C$16/12,$C$17*12,MAX($L$234*(1-$C$15),0))*12)),0)+X588*($C$19+$C$20+$C$21)+$C$22+$C$23)</f>
        <v/>
      </c>
      <c r="I588" s="138">
        <f>IF(B588="Working",MIN(MAX(D588-E588-F588-G588-H588,0),'Tax Assumptions'!$B$20),0)</f>
        <v/>
      </c>
      <c r="J588" s="138">
        <f>IF(B588="Working",D588-E588-F588-I588-G588-H588,-L588)</f>
        <v/>
      </c>
      <c r="K588" s="141">
        <f>IF(B588="Retired",$N$234+G588+H588,0)</f>
        <v/>
      </c>
      <c r="L588" s="141">
        <f>M588+N588+O588+P588</f>
        <v/>
      </c>
      <c r="M588" s="141">
        <f>IF(B588="Retired",MIN(((Q587)*(1+$C$10)+IF(B588="Working",J588,0)),K588),0)</f>
        <v/>
      </c>
      <c r="N588" s="141">
        <f>IF(B588="Retired",MIN(MAX(K588-M588,0),((R587)*(1+$C$10)+IF(B588="Working",E103,0))),0)</f>
        <v/>
      </c>
      <c r="O588" s="141">
        <f>IF(B588="Retired",MIN(MAX(K588-M588-N588,0),((S587)*(1+$C$10)+IF(B588="Working",I588,0))),0)</f>
        <v/>
      </c>
      <c r="P588" s="141">
        <f>IF(B588="Retired",MIN(MAX(K588-M588-N588-O588,0),((T587)*(1+$C$10)+IF(B588="Working",F103,0))),0)</f>
        <v/>
      </c>
      <c r="Q588" s="138">
        <f>MAX(((Q587)*(1+$C$10)+IF(B588="Working",J588,0))-M588,0)</f>
        <v/>
      </c>
      <c r="R588" s="138">
        <f>MAX(((R587)*(1+$C$10)+IF(B588="Working",E103,0))-N588,0)</f>
        <v/>
      </c>
      <c r="S588" s="138">
        <f>MAX(((S587)*(1+$C$10)+IF(B588="Working",I588,0))-O588,0)</f>
        <v/>
      </c>
      <c r="T588" s="138">
        <f>MAX(((T587)*(1+$C$10)+IF(B588="Working",F103,0))-P588,0)</f>
        <v/>
      </c>
      <c r="U588" s="138">
        <f>Q588+R588+S588+T588</f>
        <v/>
      </c>
      <c r="V588" s="138">
        <f>IF(B588="Working",MAX(-(((Q587)*(1+$C$10)+IF(B588="Working",J588,0))),0),MAX(K588-L588,0))</f>
        <v/>
      </c>
      <c r="W588" s="138">
        <f>IF(OR(A588&gt;=$C$13,B588="Retired"),IF(V588&gt;0,-V588,U588-'Model Inputs'!$B$18),"")</f>
        <v/>
      </c>
      <c r="X588" s="138">
        <f>IF(AND($L$234&gt;0,A588&gt;=$C$13),$L$234*(1+$C$25)^(A588-$C$13),0)</f>
        <v/>
      </c>
      <c r="Y588" s="138">
        <f>IF(OR($L$234&lt;=0,$C$17&lt;=0,A588&lt;$C$13,MIN(MAX((A588-$C$13+1)*12,0),$C$17*12)&gt;=$C$17*12),0,IF($C$16=0,MAX(MAX($L$234*(1-$C$15),0)-(IF($C$17&lt;=0,0,IF($C$16=0,MAX($L$234*(1-$C$15),0)/$C$17,-PMT($C$16/12,$C$17*12,MAX($L$234*(1-$C$15),0))*12))/12)*MIN(MAX((A588-$C$13+1)*12,0),$C$17*12),0),MAX(MAX($L$234*(1-$C$15),0)*(1+$C$16/12)^MIN(MAX((A588-$C$13+1)*12,0),$C$17*12)-(IF($C$17&lt;=0,0,IF($C$16=0,MAX($L$234*(1-$C$15),0)/$C$17,-PMT($C$16/12,$C$17*12,MAX($L$234*(1-$C$15),0))*12))/12)*(((1+$C$16/12)^MIN(MAX((A588-$C$13+1)*12,0),$C$17*12)-1)/($C$16/12)),0)))</f>
        <v/>
      </c>
      <c r="Z588" s="138">
        <f>MAX(X588-Y588,0)</f>
        <v/>
      </c>
      <c r="AA588" s="142">
        <f>U588+Z588</f>
        <v/>
      </c>
      <c r="AB588" s="5" t="n"/>
      <c r="AC588" s="5" t="n"/>
      <c r="AD588" s="5" t="n"/>
      <c r="AE588" s="5" t="n"/>
      <c r="AF588" s="5" t="n"/>
      <c r="AG588" s="5" t="n"/>
    </row>
    <row r="589" outlineLevel="1" s="326">
      <c r="A589" s="136" t="n">
        <v>25</v>
      </c>
      <c r="B589" s="72">
        <f>B104</f>
        <v/>
      </c>
      <c r="C589" s="137">
        <f>D104</f>
        <v/>
      </c>
      <c r="D589" s="137">
        <f>I104</f>
        <v/>
      </c>
      <c r="E589" s="137">
        <f>J104</f>
        <v/>
      </c>
      <c r="F589" s="137">
        <f>K104</f>
        <v/>
      </c>
      <c r="G589" s="138">
        <f>IF(AND($L$234&gt;0,A589=$C$13),$L$234*($C$15+$C$18),0)+IF(AND($L$234&gt;0,A589=$C$13),$C$24,0)</f>
        <v/>
      </c>
      <c r="H589" s="138">
        <f>IF(OR($L$234&lt;=0,A589&lt;$C$13),0,IF(AND($L$234&gt;0,$C$17&gt;0,A589&gt;=$C$13,A589&lt;($C$13+$C$17)),IF($C$17&lt;=0,0,IF($C$16=0,MAX($L$234*(1-$C$15),0)/$C$17,-PMT($C$16/12,$C$17*12,MAX($L$234*(1-$C$15),0))*12)),0)+X589*($C$19+$C$20+$C$21)+$C$22+$C$23)</f>
        <v/>
      </c>
      <c r="I589" s="138">
        <f>IF(B589="Working",MIN(MAX(D589-E589-F589-G589-H589,0),'Tax Assumptions'!$B$20),0)</f>
        <v/>
      </c>
      <c r="J589" s="138">
        <f>IF(B589="Working",D589-E589-F589-I589-G589-H589,-L589)</f>
        <v/>
      </c>
      <c r="K589" s="137">
        <f>IF(B589="Retired",$N$234+G589+H589,0)</f>
        <v/>
      </c>
      <c r="L589" s="137">
        <f>M589+N589+O589+P589</f>
        <v/>
      </c>
      <c r="M589" s="137">
        <f>IF(B589="Retired",MIN(((Q588)*(1+$C$10)+IF(B589="Working",J589,0)),K589),0)</f>
        <v/>
      </c>
      <c r="N589" s="137">
        <f>IF(B589="Retired",MIN(MAX(K589-M589,0),((R588)*(1+$C$10)+IF(B589="Working",E104,0))),0)</f>
        <v/>
      </c>
      <c r="O589" s="137">
        <f>IF(B589="Retired",MIN(MAX(K589-M589-N589,0),((S588)*(1+$C$10)+IF(B589="Working",I589,0))),0)</f>
        <v/>
      </c>
      <c r="P589" s="137">
        <f>IF(B589="Retired",MIN(MAX(K589-M589-N589-O589,0),((T588)*(1+$C$10)+IF(B589="Working",F104,0))),0)</f>
        <v/>
      </c>
      <c r="Q589" s="138">
        <f>MAX(((Q588)*(1+$C$10)+IF(B589="Working",J589,0))-M589,0)</f>
        <v/>
      </c>
      <c r="R589" s="138">
        <f>MAX(((R588)*(1+$C$10)+IF(B589="Working",E104,0))-N589,0)</f>
        <v/>
      </c>
      <c r="S589" s="138">
        <f>MAX(((S588)*(1+$C$10)+IF(B589="Working",I589,0))-O589,0)</f>
        <v/>
      </c>
      <c r="T589" s="138">
        <f>MAX(((T588)*(1+$C$10)+IF(B589="Working",F104,0))-P589,0)</f>
        <v/>
      </c>
      <c r="U589" s="138">
        <f>Q589+R589+S589+T589</f>
        <v/>
      </c>
      <c r="V589" s="138">
        <f>IF(B589="Working",MAX(-(((Q588)*(1+$C$10)+IF(B589="Working",J589,0))),0),MAX(K589-L589,0))</f>
        <v/>
      </c>
      <c r="W589" s="138">
        <f>IF(OR(A589&gt;=$C$13,B589="Retired"),IF(V589&gt;0,-V589,U589-'Model Inputs'!$B$18),"")</f>
        <v/>
      </c>
      <c r="X589" s="138">
        <f>IF(AND($L$234&gt;0,A589&gt;=$C$13),$L$234*(1+$C$25)^(A589-$C$13),0)</f>
        <v/>
      </c>
      <c r="Y589" s="138">
        <f>IF(OR($L$234&lt;=0,$C$17&lt;=0,A589&lt;$C$13,MIN(MAX((A589-$C$13+1)*12,0),$C$17*12)&gt;=$C$17*12),0,IF($C$16=0,MAX(MAX($L$234*(1-$C$15),0)-(IF($C$17&lt;=0,0,IF($C$16=0,MAX($L$234*(1-$C$15),0)/$C$17,-PMT($C$16/12,$C$17*12,MAX($L$234*(1-$C$15),0))*12))/12)*MIN(MAX((A589-$C$13+1)*12,0),$C$17*12),0),MAX(MAX($L$234*(1-$C$15),0)*(1+$C$16/12)^MIN(MAX((A589-$C$13+1)*12,0),$C$17*12)-(IF($C$17&lt;=0,0,IF($C$16=0,MAX($L$234*(1-$C$15),0)/$C$17,-PMT($C$16/12,$C$17*12,MAX($L$234*(1-$C$15),0))*12))/12)*(((1+$C$16/12)^MIN(MAX((A589-$C$13+1)*12,0),$C$17*12)-1)/($C$16/12)),0)))</f>
        <v/>
      </c>
      <c r="Z589" s="138">
        <f>MAX(X589-Y589,0)</f>
        <v/>
      </c>
      <c r="AA589" s="139">
        <f>U589+Z589</f>
        <v/>
      </c>
      <c r="AB589" s="5" t="n"/>
      <c r="AC589" s="5" t="n"/>
      <c r="AD589" s="5" t="n"/>
      <c r="AE589" s="5" t="n"/>
      <c r="AF589" s="5" t="n"/>
      <c r="AG589" s="5" t="n"/>
    </row>
    <row r="590" outlineLevel="1" s="326">
      <c r="A590" s="140" t="n">
        <v>26</v>
      </c>
      <c r="B590" s="40">
        <f>B105</f>
        <v/>
      </c>
      <c r="C590" s="141">
        <f>D105</f>
        <v/>
      </c>
      <c r="D590" s="141">
        <f>I105</f>
        <v/>
      </c>
      <c r="E590" s="141">
        <f>J105</f>
        <v/>
      </c>
      <c r="F590" s="141">
        <f>K105</f>
        <v/>
      </c>
      <c r="G590" s="138">
        <f>IF(AND($L$234&gt;0,A590=$C$13),$L$234*($C$15+$C$18),0)+IF(AND($L$234&gt;0,A590=$C$13),$C$24,0)</f>
        <v/>
      </c>
      <c r="H590" s="138">
        <f>IF(OR($L$234&lt;=0,A590&lt;$C$13),0,IF(AND($L$234&gt;0,$C$17&gt;0,A590&gt;=$C$13,A590&lt;($C$13+$C$17)),IF($C$17&lt;=0,0,IF($C$16=0,MAX($L$234*(1-$C$15),0)/$C$17,-PMT($C$16/12,$C$17*12,MAX($L$234*(1-$C$15),0))*12)),0)+X590*($C$19+$C$20+$C$21)+$C$22+$C$23)</f>
        <v/>
      </c>
      <c r="I590" s="138">
        <f>IF(B590="Working",MIN(MAX(D590-E590-F590-G590-H590,0),'Tax Assumptions'!$B$20),0)</f>
        <v/>
      </c>
      <c r="J590" s="138">
        <f>IF(B590="Working",D590-E590-F590-I590-G590-H590,-L590)</f>
        <v/>
      </c>
      <c r="K590" s="141">
        <f>IF(B590="Retired",$N$234+G590+H590,0)</f>
        <v/>
      </c>
      <c r="L590" s="141">
        <f>M590+N590+O590+P590</f>
        <v/>
      </c>
      <c r="M590" s="141">
        <f>IF(B590="Retired",MIN(((Q589)*(1+$C$10)+IF(B590="Working",J590,0)),K590),0)</f>
        <v/>
      </c>
      <c r="N590" s="141">
        <f>IF(B590="Retired",MIN(MAX(K590-M590,0),((R589)*(1+$C$10)+IF(B590="Working",E105,0))),0)</f>
        <v/>
      </c>
      <c r="O590" s="141">
        <f>IF(B590="Retired",MIN(MAX(K590-M590-N590,0),((S589)*(1+$C$10)+IF(B590="Working",I590,0))),0)</f>
        <v/>
      </c>
      <c r="P590" s="141">
        <f>IF(B590="Retired",MIN(MAX(K590-M590-N590-O590,0),((T589)*(1+$C$10)+IF(B590="Working",F105,0))),0)</f>
        <v/>
      </c>
      <c r="Q590" s="138">
        <f>MAX(((Q589)*(1+$C$10)+IF(B590="Working",J590,0))-M590,0)</f>
        <v/>
      </c>
      <c r="R590" s="138">
        <f>MAX(((R589)*(1+$C$10)+IF(B590="Working",E105,0))-N590,0)</f>
        <v/>
      </c>
      <c r="S590" s="138">
        <f>MAX(((S589)*(1+$C$10)+IF(B590="Working",I590,0))-O590,0)</f>
        <v/>
      </c>
      <c r="T590" s="138">
        <f>MAX(((T589)*(1+$C$10)+IF(B590="Working",F105,0))-P590,0)</f>
        <v/>
      </c>
      <c r="U590" s="138">
        <f>Q590+R590+S590+T590</f>
        <v/>
      </c>
      <c r="V590" s="138">
        <f>IF(B590="Working",MAX(-(((Q589)*(1+$C$10)+IF(B590="Working",J590,0))),0),MAX(K590-L590,0))</f>
        <v/>
      </c>
      <c r="W590" s="138">
        <f>IF(OR(A590&gt;=$C$13,B590="Retired"),IF(V590&gt;0,-V590,U590-'Model Inputs'!$B$18),"")</f>
        <v/>
      </c>
      <c r="X590" s="138">
        <f>IF(AND($L$234&gt;0,A590&gt;=$C$13),$L$234*(1+$C$25)^(A590-$C$13),0)</f>
        <v/>
      </c>
      <c r="Y590" s="138">
        <f>IF(OR($L$234&lt;=0,$C$17&lt;=0,A590&lt;$C$13,MIN(MAX((A590-$C$13+1)*12,0),$C$17*12)&gt;=$C$17*12),0,IF($C$16=0,MAX(MAX($L$234*(1-$C$15),0)-(IF($C$17&lt;=0,0,IF($C$16=0,MAX($L$234*(1-$C$15),0)/$C$17,-PMT($C$16/12,$C$17*12,MAX($L$234*(1-$C$15),0))*12))/12)*MIN(MAX((A590-$C$13+1)*12,0),$C$17*12),0),MAX(MAX($L$234*(1-$C$15),0)*(1+$C$16/12)^MIN(MAX((A590-$C$13+1)*12,0),$C$17*12)-(IF($C$17&lt;=0,0,IF($C$16=0,MAX($L$234*(1-$C$15),0)/$C$17,-PMT($C$16/12,$C$17*12,MAX($L$234*(1-$C$15),0))*12))/12)*(((1+$C$16/12)^MIN(MAX((A590-$C$13+1)*12,0),$C$17*12)-1)/($C$16/12)),0)))</f>
        <v/>
      </c>
      <c r="Z590" s="138">
        <f>MAX(X590-Y590,0)</f>
        <v/>
      </c>
      <c r="AA590" s="142">
        <f>U590+Z590</f>
        <v/>
      </c>
      <c r="AB590" s="5" t="n"/>
      <c r="AC590" s="5" t="n"/>
      <c r="AD590" s="5" t="n"/>
      <c r="AE590" s="5" t="n"/>
      <c r="AF590" s="5" t="n"/>
      <c r="AG590" s="5" t="n"/>
    </row>
    <row r="591" outlineLevel="1" s="326">
      <c r="A591" s="136" t="n">
        <v>27</v>
      </c>
      <c r="B591" s="72">
        <f>B106</f>
        <v/>
      </c>
      <c r="C591" s="137">
        <f>D106</f>
        <v/>
      </c>
      <c r="D591" s="137">
        <f>I106</f>
        <v/>
      </c>
      <c r="E591" s="137">
        <f>J106</f>
        <v/>
      </c>
      <c r="F591" s="137">
        <f>K106</f>
        <v/>
      </c>
      <c r="G591" s="138">
        <f>IF(AND($L$234&gt;0,A591=$C$13),$L$234*($C$15+$C$18),0)+IF(AND($L$234&gt;0,A591=$C$13),$C$24,0)</f>
        <v/>
      </c>
      <c r="H591" s="138">
        <f>IF(OR($L$234&lt;=0,A591&lt;$C$13),0,IF(AND($L$234&gt;0,$C$17&gt;0,A591&gt;=$C$13,A591&lt;($C$13+$C$17)),IF($C$17&lt;=0,0,IF($C$16=0,MAX($L$234*(1-$C$15),0)/$C$17,-PMT($C$16/12,$C$17*12,MAX($L$234*(1-$C$15),0))*12)),0)+X591*($C$19+$C$20+$C$21)+$C$22+$C$23)</f>
        <v/>
      </c>
      <c r="I591" s="138">
        <f>IF(B591="Working",MIN(MAX(D591-E591-F591-G591-H591,0),'Tax Assumptions'!$B$20),0)</f>
        <v/>
      </c>
      <c r="J591" s="138">
        <f>IF(B591="Working",D591-E591-F591-I591-G591-H591,-L591)</f>
        <v/>
      </c>
      <c r="K591" s="137">
        <f>IF(B591="Retired",$N$234+G591+H591,0)</f>
        <v/>
      </c>
      <c r="L591" s="137">
        <f>M591+N591+O591+P591</f>
        <v/>
      </c>
      <c r="M591" s="137">
        <f>IF(B591="Retired",MIN(((Q590)*(1+$C$10)+IF(B591="Working",J591,0)),K591),0)</f>
        <v/>
      </c>
      <c r="N591" s="137">
        <f>IF(B591="Retired",MIN(MAX(K591-M591,0),((R590)*(1+$C$10)+IF(B591="Working",E106,0))),0)</f>
        <v/>
      </c>
      <c r="O591" s="137">
        <f>IF(B591="Retired",MIN(MAX(K591-M591-N591,0),((S590)*(1+$C$10)+IF(B591="Working",I591,0))),0)</f>
        <v/>
      </c>
      <c r="P591" s="137">
        <f>IF(B591="Retired",MIN(MAX(K591-M591-N591-O591,0),((T590)*(1+$C$10)+IF(B591="Working",F106,0))),0)</f>
        <v/>
      </c>
      <c r="Q591" s="138">
        <f>MAX(((Q590)*(1+$C$10)+IF(B591="Working",J591,0))-M591,0)</f>
        <v/>
      </c>
      <c r="R591" s="138">
        <f>MAX(((R590)*(1+$C$10)+IF(B591="Working",E106,0))-N591,0)</f>
        <v/>
      </c>
      <c r="S591" s="138">
        <f>MAX(((S590)*(1+$C$10)+IF(B591="Working",I591,0))-O591,0)</f>
        <v/>
      </c>
      <c r="T591" s="138">
        <f>MAX(((T590)*(1+$C$10)+IF(B591="Working",F106,0))-P591,0)</f>
        <v/>
      </c>
      <c r="U591" s="138">
        <f>Q591+R591+S591+T591</f>
        <v/>
      </c>
      <c r="V591" s="138">
        <f>IF(B591="Working",MAX(-(((Q590)*(1+$C$10)+IF(B591="Working",J591,0))),0),MAX(K591-L591,0))</f>
        <v/>
      </c>
      <c r="W591" s="138">
        <f>IF(OR(A591&gt;=$C$13,B591="Retired"),IF(V591&gt;0,-V591,U591-'Model Inputs'!$B$18),"")</f>
        <v/>
      </c>
      <c r="X591" s="138">
        <f>IF(AND($L$234&gt;0,A591&gt;=$C$13),$L$234*(1+$C$25)^(A591-$C$13),0)</f>
        <v/>
      </c>
      <c r="Y591" s="138">
        <f>IF(OR($L$234&lt;=0,$C$17&lt;=0,A591&lt;$C$13,MIN(MAX((A591-$C$13+1)*12,0),$C$17*12)&gt;=$C$17*12),0,IF($C$16=0,MAX(MAX($L$234*(1-$C$15),0)-(IF($C$17&lt;=0,0,IF($C$16=0,MAX($L$234*(1-$C$15),0)/$C$17,-PMT($C$16/12,$C$17*12,MAX($L$234*(1-$C$15),0))*12))/12)*MIN(MAX((A591-$C$13+1)*12,0),$C$17*12),0),MAX(MAX($L$234*(1-$C$15),0)*(1+$C$16/12)^MIN(MAX((A591-$C$13+1)*12,0),$C$17*12)-(IF($C$17&lt;=0,0,IF($C$16=0,MAX($L$234*(1-$C$15),0)/$C$17,-PMT($C$16/12,$C$17*12,MAX($L$234*(1-$C$15),0))*12))/12)*(((1+$C$16/12)^MIN(MAX((A591-$C$13+1)*12,0),$C$17*12)-1)/($C$16/12)),0)))</f>
        <v/>
      </c>
      <c r="Z591" s="138">
        <f>MAX(X591-Y591,0)</f>
        <v/>
      </c>
      <c r="AA591" s="139">
        <f>U591+Z591</f>
        <v/>
      </c>
      <c r="AB591" s="5" t="n"/>
      <c r="AC591" s="5" t="n"/>
      <c r="AD591" s="5" t="n"/>
      <c r="AE591" s="5" t="n"/>
      <c r="AF591" s="5" t="n"/>
      <c r="AG591" s="5" t="n"/>
    </row>
    <row r="592" outlineLevel="1" s="326">
      <c r="A592" s="140" t="n">
        <v>28</v>
      </c>
      <c r="B592" s="40">
        <f>B107</f>
        <v/>
      </c>
      <c r="C592" s="141">
        <f>D107</f>
        <v/>
      </c>
      <c r="D592" s="141">
        <f>I107</f>
        <v/>
      </c>
      <c r="E592" s="141">
        <f>J107</f>
        <v/>
      </c>
      <c r="F592" s="141">
        <f>K107</f>
        <v/>
      </c>
      <c r="G592" s="138">
        <f>IF(AND($L$234&gt;0,A592=$C$13),$L$234*($C$15+$C$18),0)+IF(AND($L$234&gt;0,A592=$C$13),$C$24,0)</f>
        <v/>
      </c>
      <c r="H592" s="138">
        <f>IF(OR($L$234&lt;=0,A592&lt;$C$13),0,IF(AND($L$234&gt;0,$C$17&gt;0,A592&gt;=$C$13,A592&lt;($C$13+$C$17)),IF($C$17&lt;=0,0,IF($C$16=0,MAX($L$234*(1-$C$15),0)/$C$17,-PMT($C$16/12,$C$17*12,MAX($L$234*(1-$C$15),0))*12)),0)+X592*($C$19+$C$20+$C$21)+$C$22+$C$23)</f>
        <v/>
      </c>
      <c r="I592" s="138">
        <f>IF(B592="Working",MIN(MAX(D592-E592-F592-G592-H592,0),'Tax Assumptions'!$B$20),0)</f>
        <v/>
      </c>
      <c r="J592" s="138">
        <f>IF(B592="Working",D592-E592-F592-I592-G592-H592,-L592)</f>
        <v/>
      </c>
      <c r="K592" s="141">
        <f>IF(B592="Retired",$N$234+G592+H592,0)</f>
        <v/>
      </c>
      <c r="L592" s="141">
        <f>M592+N592+O592+P592</f>
        <v/>
      </c>
      <c r="M592" s="141">
        <f>IF(B592="Retired",MIN(((Q591)*(1+$C$10)+IF(B592="Working",J592,0)),K592),0)</f>
        <v/>
      </c>
      <c r="N592" s="141">
        <f>IF(B592="Retired",MIN(MAX(K592-M592,0),((R591)*(1+$C$10)+IF(B592="Working",E107,0))),0)</f>
        <v/>
      </c>
      <c r="O592" s="141">
        <f>IF(B592="Retired",MIN(MAX(K592-M592-N592,0),((S591)*(1+$C$10)+IF(B592="Working",I592,0))),0)</f>
        <v/>
      </c>
      <c r="P592" s="141">
        <f>IF(B592="Retired",MIN(MAX(K592-M592-N592-O592,0),((T591)*(1+$C$10)+IF(B592="Working",F107,0))),0)</f>
        <v/>
      </c>
      <c r="Q592" s="138">
        <f>MAX(((Q591)*(1+$C$10)+IF(B592="Working",J592,0))-M592,0)</f>
        <v/>
      </c>
      <c r="R592" s="138">
        <f>MAX(((R591)*(1+$C$10)+IF(B592="Working",E107,0))-N592,0)</f>
        <v/>
      </c>
      <c r="S592" s="138">
        <f>MAX(((S591)*(1+$C$10)+IF(B592="Working",I592,0))-O592,0)</f>
        <v/>
      </c>
      <c r="T592" s="138">
        <f>MAX(((T591)*(1+$C$10)+IF(B592="Working",F107,0))-P592,0)</f>
        <v/>
      </c>
      <c r="U592" s="138">
        <f>Q592+R592+S592+T592</f>
        <v/>
      </c>
      <c r="V592" s="138">
        <f>IF(B592="Working",MAX(-(((Q591)*(1+$C$10)+IF(B592="Working",J592,0))),0),MAX(K592-L592,0))</f>
        <v/>
      </c>
      <c r="W592" s="138">
        <f>IF(OR(A592&gt;=$C$13,B592="Retired"),IF(V592&gt;0,-V592,U592-'Model Inputs'!$B$18),"")</f>
        <v/>
      </c>
      <c r="X592" s="138">
        <f>IF(AND($L$234&gt;0,A592&gt;=$C$13),$L$234*(1+$C$25)^(A592-$C$13),0)</f>
        <v/>
      </c>
      <c r="Y592" s="138">
        <f>IF(OR($L$234&lt;=0,$C$17&lt;=0,A592&lt;$C$13,MIN(MAX((A592-$C$13+1)*12,0),$C$17*12)&gt;=$C$17*12),0,IF($C$16=0,MAX(MAX($L$234*(1-$C$15),0)-(IF($C$17&lt;=0,0,IF($C$16=0,MAX($L$234*(1-$C$15),0)/$C$17,-PMT($C$16/12,$C$17*12,MAX($L$234*(1-$C$15),0))*12))/12)*MIN(MAX((A592-$C$13+1)*12,0),$C$17*12),0),MAX(MAX($L$234*(1-$C$15),0)*(1+$C$16/12)^MIN(MAX((A592-$C$13+1)*12,0),$C$17*12)-(IF($C$17&lt;=0,0,IF($C$16=0,MAX($L$234*(1-$C$15),0)/$C$17,-PMT($C$16/12,$C$17*12,MAX($L$234*(1-$C$15),0))*12))/12)*(((1+$C$16/12)^MIN(MAX((A592-$C$13+1)*12,0),$C$17*12)-1)/($C$16/12)),0)))</f>
        <v/>
      </c>
      <c r="Z592" s="138">
        <f>MAX(X592-Y592,0)</f>
        <v/>
      </c>
      <c r="AA592" s="142">
        <f>U592+Z592</f>
        <v/>
      </c>
      <c r="AB592" s="5" t="n"/>
      <c r="AC592" s="5" t="n"/>
      <c r="AD592" s="5" t="n"/>
      <c r="AE592" s="5" t="n"/>
      <c r="AF592" s="5" t="n"/>
      <c r="AG592" s="5" t="n"/>
    </row>
    <row r="593" outlineLevel="1" s="326">
      <c r="A593" s="136" t="n">
        <v>29</v>
      </c>
      <c r="B593" s="72">
        <f>B108</f>
        <v/>
      </c>
      <c r="C593" s="137">
        <f>D108</f>
        <v/>
      </c>
      <c r="D593" s="137">
        <f>I108</f>
        <v/>
      </c>
      <c r="E593" s="137">
        <f>J108</f>
        <v/>
      </c>
      <c r="F593" s="137">
        <f>K108</f>
        <v/>
      </c>
      <c r="G593" s="138">
        <f>IF(AND($L$234&gt;0,A593=$C$13),$L$234*($C$15+$C$18),0)+IF(AND($L$234&gt;0,A593=$C$13),$C$24,0)</f>
        <v/>
      </c>
      <c r="H593" s="138">
        <f>IF(OR($L$234&lt;=0,A593&lt;$C$13),0,IF(AND($L$234&gt;0,$C$17&gt;0,A593&gt;=$C$13,A593&lt;($C$13+$C$17)),IF($C$17&lt;=0,0,IF($C$16=0,MAX($L$234*(1-$C$15),0)/$C$17,-PMT($C$16/12,$C$17*12,MAX($L$234*(1-$C$15),0))*12)),0)+X593*($C$19+$C$20+$C$21)+$C$22+$C$23)</f>
        <v/>
      </c>
      <c r="I593" s="138">
        <f>IF(B593="Working",MIN(MAX(D593-E593-F593-G593-H593,0),'Tax Assumptions'!$B$20),0)</f>
        <v/>
      </c>
      <c r="J593" s="138">
        <f>IF(B593="Working",D593-E593-F593-I593-G593-H593,-L593)</f>
        <v/>
      </c>
      <c r="K593" s="137">
        <f>IF(B593="Retired",$N$234+G593+H593,0)</f>
        <v/>
      </c>
      <c r="L593" s="137">
        <f>M593+N593+O593+P593</f>
        <v/>
      </c>
      <c r="M593" s="137">
        <f>IF(B593="Retired",MIN(((Q592)*(1+$C$10)+IF(B593="Working",J593,0)),K593),0)</f>
        <v/>
      </c>
      <c r="N593" s="137">
        <f>IF(B593="Retired",MIN(MAX(K593-M593,0),((R592)*(1+$C$10)+IF(B593="Working",E108,0))),0)</f>
        <v/>
      </c>
      <c r="O593" s="137">
        <f>IF(B593="Retired",MIN(MAX(K593-M593-N593,0),((S592)*(1+$C$10)+IF(B593="Working",I593,0))),0)</f>
        <v/>
      </c>
      <c r="P593" s="137">
        <f>IF(B593="Retired",MIN(MAX(K593-M593-N593-O593,0),((T592)*(1+$C$10)+IF(B593="Working",F108,0))),0)</f>
        <v/>
      </c>
      <c r="Q593" s="138">
        <f>MAX(((Q592)*(1+$C$10)+IF(B593="Working",J593,0))-M593,0)</f>
        <v/>
      </c>
      <c r="R593" s="138">
        <f>MAX(((R592)*(1+$C$10)+IF(B593="Working",E108,0))-N593,0)</f>
        <v/>
      </c>
      <c r="S593" s="138">
        <f>MAX(((S592)*(1+$C$10)+IF(B593="Working",I593,0))-O593,0)</f>
        <v/>
      </c>
      <c r="T593" s="138">
        <f>MAX(((T592)*(1+$C$10)+IF(B593="Working",F108,0))-P593,0)</f>
        <v/>
      </c>
      <c r="U593" s="138">
        <f>Q593+R593+S593+T593</f>
        <v/>
      </c>
      <c r="V593" s="138">
        <f>IF(B593="Working",MAX(-(((Q592)*(1+$C$10)+IF(B593="Working",J593,0))),0),MAX(K593-L593,0))</f>
        <v/>
      </c>
      <c r="W593" s="138">
        <f>IF(OR(A593&gt;=$C$13,B593="Retired"),IF(V593&gt;0,-V593,U593-'Model Inputs'!$B$18),"")</f>
        <v/>
      </c>
      <c r="X593" s="138">
        <f>IF(AND($L$234&gt;0,A593&gt;=$C$13),$L$234*(1+$C$25)^(A593-$C$13),0)</f>
        <v/>
      </c>
      <c r="Y593" s="138">
        <f>IF(OR($L$234&lt;=0,$C$17&lt;=0,A593&lt;$C$13,MIN(MAX((A593-$C$13+1)*12,0),$C$17*12)&gt;=$C$17*12),0,IF($C$16=0,MAX(MAX($L$234*(1-$C$15),0)-(IF($C$17&lt;=0,0,IF($C$16=0,MAX($L$234*(1-$C$15),0)/$C$17,-PMT($C$16/12,$C$17*12,MAX($L$234*(1-$C$15),0))*12))/12)*MIN(MAX((A593-$C$13+1)*12,0),$C$17*12),0),MAX(MAX($L$234*(1-$C$15),0)*(1+$C$16/12)^MIN(MAX((A593-$C$13+1)*12,0),$C$17*12)-(IF($C$17&lt;=0,0,IF($C$16=0,MAX($L$234*(1-$C$15),0)/$C$17,-PMT($C$16/12,$C$17*12,MAX($L$234*(1-$C$15),0))*12))/12)*(((1+$C$16/12)^MIN(MAX((A593-$C$13+1)*12,0),$C$17*12)-1)/($C$16/12)),0)))</f>
        <v/>
      </c>
      <c r="Z593" s="138">
        <f>MAX(X593-Y593,0)</f>
        <v/>
      </c>
      <c r="AA593" s="139">
        <f>U593+Z593</f>
        <v/>
      </c>
      <c r="AB593" s="5" t="n"/>
      <c r="AC593" s="5" t="n"/>
      <c r="AD593" s="5" t="n"/>
      <c r="AE593" s="5" t="n"/>
      <c r="AF593" s="5" t="n"/>
      <c r="AG593" s="5" t="n"/>
    </row>
    <row r="594" outlineLevel="1" s="326">
      <c r="A594" s="140" t="n">
        <v>30</v>
      </c>
      <c r="B594" s="40">
        <f>B109</f>
        <v/>
      </c>
      <c r="C594" s="141">
        <f>D109</f>
        <v/>
      </c>
      <c r="D594" s="141">
        <f>I109</f>
        <v/>
      </c>
      <c r="E594" s="141">
        <f>J109</f>
        <v/>
      </c>
      <c r="F594" s="141">
        <f>K109</f>
        <v/>
      </c>
      <c r="G594" s="138">
        <f>IF(AND($L$234&gt;0,A594=$C$13),$L$234*($C$15+$C$18),0)+IF(AND($L$234&gt;0,A594=$C$13),$C$24,0)</f>
        <v/>
      </c>
      <c r="H594" s="138">
        <f>IF(OR($L$234&lt;=0,A594&lt;$C$13),0,IF(AND($L$234&gt;0,$C$17&gt;0,A594&gt;=$C$13,A594&lt;($C$13+$C$17)),IF($C$17&lt;=0,0,IF($C$16=0,MAX($L$234*(1-$C$15),0)/$C$17,-PMT($C$16/12,$C$17*12,MAX($L$234*(1-$C$15),0))*12)),0)+X594*($C$19+$C$20+$C$21)+$C$22+$C$23)</f>
        <v/>
      </c>
      <c r="I594" s="138">
        <f>IF(B594="Working",MIN(MAX(D594-E594-F594-G594-H594,0),'Tax Assumptions'!$B$20),0)</f>
        <v/>
      </c>
      <c r="J594" s="138">
        <f>IF(B594="Working",D594-E594-F594-I594-G594-H594,-L594)</f>
        <v/>
      </c>
      <c r="K594" s="141">
        <f>IF(B594="Retired",$N$234+G594+H594,0)</f>
        <v/>
      </c>
      <c r="L594" s="141">
        <f>M594+N594+O594+P594</f>
        <v/>
      </c>
      <c r="M594" s="141">
        <f>IF(B594="Retired",MIN(((Q593)*(1+$C$10)+IF(B594="Working",J594,0)),K594),0)</f>
        <v/>
      </c>
      <c r="N594" s="141">
        <f>IF(B594="Retired",MIN(MAX(K594-M594,0),((R593)*(1+$C$10)+IF(B594="Working",E109,0))),0)</f>
        <v/>
      </c>
      <c r="O594" s="141">
        <f>IF(B594="Retired",MIN(MAX(K594-M594-N594,0),((S593)*(1+$C$10)+IF(B594="Working",I594,0))),0)</f>
        <v/>
      </c>
      <c r="P594" s="141">
        <f>IF(B594="Retired",MIN(MAX(K594-M594-N594-O594,0),((T593)*(1+$C$10)+IF(B594="Working",F109,0))),0)</f>
        <v/>
      </c>
      <c r="Q594" s="138">
        <f>MAX(((Q593)*(1+$C$10)+IF(B594="Working",J594,0))-M594,0)</f>
        <v/>
      </c>
      <c r="R594" s="138">
        <f>MAX(((R593)*(1+$C$10)+IF(B594="Working",E109,0))-N594,0)</f>
        <v/>
      </c>
      <c r="S594" s="138">
        <f>MAX(((S593)*(1+$C$10)+IF(B594="Working",I594,0))-O594,0)</f>
        <v/>
      </c>
      <c r="T594" s="138">
        <f>MAX(((T593)*(1+$C$10)+IF(B594="Working",F109,0))-P594,0)</f>
        <v/>
      </c>
      <c r="U594" s="138">
        <f>Q594+R594+S594+T594</f>
        <v/>
      </c>
      <c r="V594" s="138">
        <f>IF(B594="Working",MAX(-(((Q593)*(1+$C$10)+IF(B594="Working",J594,0))),0),MAX(K594-L594,0))</f>
        <v/>
      </c>
      <c r="W594" s="138">
        <f>IF(OR(A594&gt;=$C$13,B594="Retired"),IF(V594&gt;0,-V594,U594-'Model Inputs'!$B$18),"")</f>
        <v/>
      </c>
      <c r="X594" s="138">
        <f>IF(AND($L$234&gt;0,A594&gt;=$C$13),$L$234*(1+$C$25)^(A594-$C$13),0)</f>
        <v/>
      </c>
      <c r="Y594" s="138">
        <f>IF(OR($L$234&lt;=0,$C$17&lt;=0,A594&lt;$C$13,MIN(MAX((A594-$C$13+1)*12,0),$C$17*12)&gt;=$C$17*12),0,IF($C$16=0,MAX(MAX($L$234*(1-$C$15),0)-(IF($C$17&lt;=0,0,IF($C$16=0,MAX($L$234*(1-$C$15),0)/$C$17,-PMT($C$16/12,$C$17*12,MAX($L$234*(1-$C$15),0))*12))/12)*MIN(MAX((A594-$C$13+1)*12,0),$C$17*12),0),MAX(MAX($L$234*(1-$C$15),0)*(1+$C$16/12)^MIN(MAX((A594-$C$13+1)*12,0),$C$17*12)-(IF($C$17&lt;=0,0,IF($C$16=0,MAX($L$234*(1-$C$15),0)/$C$17,-PMT($C$16/12,$C$17*12,MAX($L$234*(1-$C$15),0))*12))/12)*(((1+$C$16/12)^MIN(MAX((A594-$C$13+1)*12,0),$C$17*12)-1)/($C$16/12)),0)))</f>
        <v/>
      </c>
      <c r="Z594" s="138">
        <f>MAX(X594-Y594,0)</f>
        <v/>
      </c>
      <c r="AA594" s="142">
        <f>U594+Z594</f>
        <v/>
      </c>
      <c r="AB594" s="5" t="n"/>
      <c r="AC594" s="5" t="n"/>
      <c r="AD594" s="5" t="n"/>
      <c r="AE594" s="5" t="n"/>
      <c r="AF594" s="5" t="n"/>
      <c r="AG594" s="5" t="n"/>
    </row>
    <row r="595" outlineLevel="1" s="326">
      <c r="A595" s="136" t="n">
        <v>31</v>
      </c>
      <c r="B595" s="72">
        <f>B110</f>
        <v/>
      </c>
      <c r="C595" s="137">
        <f>D110</f>
        <v/>
      </c>
      <c r="D595" s="137">
        <f>I110</f>
        <v/>
      </c>
      <c r="E595" s="137">
        <f>J110</f>
        <v/>
      </c>
      <c r="F595" s="137">
        <f>K110</f>
        <v/>
      </c>
      <c r="G595" s="138">
        <f>IF(AND($L$234&gt;0,A595=$C$13),$L$234*($C$15+$C$18),0)+IF(AND($L$234&gt;0,A595=$C$13),$C$24,0)</f>
        <v/>
      </c>
      <c r="H595" s="138">
        <f>IF(OR($L$234&lt;=0,A595&lt;$C$13),0,IF(AND($L$234&gt;0,$C$17&gt;0,A595&gt;=$C$13,A595&lt;($C$13+$C$17)),IF($C$17&lt;=0,0,IF($C$16=0,MAX($L$234*(1-$C$15),0)/$C$17,-PMT($C$16/12,$C$17*12,MAX($L$234*(1-$C$15),0))*12)),0)+X595*($C$19+$C$20+$C$21)+$C$22+$C$23)</f>
        <v/>
      </c>
      <c r="I595" s="138">
        <f>IF(B595="Working",MIN(MAX(D595-E595-F595-G595-H595,0),'Tax Assumptions'!$B$20),0)</f>
        <v/>
      </c>
      <c r="J595" s="138">
        <f>IF(B595="Working",D595-E595-F595-I595-G595-H595,-L595)</f>
        <v/>
      </c>
      <c r="K595" s="137">
        <f>IF(B595="Retired",$N$234+G595+H595,0)</f>
        <v/>
      </c>
      <c r="L595" s="137">
        <f>M595+N595+O595+P595</f>
        <v/>
      </c>
      <c r="M595" s="137">
        <f>IF(B595="Retired",MIN(((Q594)*(1+$C$10)+IF(B595="Working",J595,0)),K595),0)</f>
        <v/>
      </c>
      <c r="N595" s="137">
        <f>IF(B595="Retired",MIN(MAX(K595-M595,0),((R594)*(1+$C$10)+IF(B595="Working",E110,0))),0)</f>
        <v/>
      </c>
      <c r="O595" s="137">
        <f>IF(B595="Retired",MIN(MAX(K595-M595-N595,0),((S594)*(1+$C$10)+IF(B595="Working",I595,0))),0)</f>
        <v/>
      </c>
      <c r="P595" s="137">
        <f>IF(B595="Retired",MIN(MAX(K595-M595-N595-O595,0),((T594)*(1+$C$10)+IF(B595="Working",F110,0))),0)</f>
        <v/>
      </c>
      <c r="Q595" s="138">
        <f>MAX(((Q594)*(1+$C$10)+IF(B595="Working",J595,0))-M595,0)</f>
        <v/>
      </c>
      <c r="R595" s="138">
        <f>MAX(((R594)*(1+$C$10)+IF(B595="Working",E110,0))-N595,0)</f>
        <v/>
      </c>
      <c r="S595" s="138">
        <f>MAX(((S594)*(1+$C$10)+IF(B595="Working",I595,0))-O595,0)</f>
        <v/>
      </c>
      <c r="T595" s="138">
        <f>MAX(((T594)*(1+$C$10)+IF(B595="Working",F110,0))-P595,0)</f>
        <v/>
      </c>
      <c r="U595" s="138">
        <f>Q595+R595+S595+T595</f>
        <v/>
      </c>
      <c r="V595" s="138">
        <f>IF(B595="Working",MAX(-(((Q594)*(1+$C$10)+IF(B595="Working",J595,0))),0),MAX(K595-L595,0))</f>
        <v/>
      </c>
      <c r="W595" s="138">
        <f>IF(OR(A595&gt;=$C$13,B595="Retired"),IF(V595&gt;0,-V595,U595-'Model Inputs'!$B$18),"")</f>
        <v/>
      </c>
      <c r="X595" s="138">
        <f>IF(AND($L$234&gt;0,A595&gt;=$C$13),$L$234*(1+$C$25)^(A595-$C$13),0)</f>
        <v/>
      </c>
      <c r="Y595" s="138">
        <f>IF(OR($L$234&lt;=0,$C$17&lt;=0,A595&lt;$C$13,MIN(MAX((A595-$C$13+1)*12,0),$C$17*12)&gt;=$C$17*12),0,IF($C$16=0,MAX(MAX($L$234*(1-$C$15),0)-(IF($C$17&lt;=0,0,IF($C$16=0,MAX($L$234*(1-$C$15),0)/$C$17,-PMT($C$16/12,$C$17*12,MAX($L$234*(1-$C$15),0))*12))/12)*MIN(MAX((A595-$C$13+1)*12,0),$C$17*12),0),MAX(MAX($L$234*(1-$C$15),0)*(1+$C$16/12)^MIN(MAX((A595-$C$13+1)*12,0),$C$17*12)-(IF($C$17&lt;=0,0,IF($C$16=0,MAX($L$234*(1-$C$15),0)/$C$17,-PMT($C$16/12,$C$17*12,MAX($L$234*(1-$C$15),0))*12))/12)*(((1+$C$16/12)^MIN(MAX((A595-$C$13+1)*12,0),$C$17*12)-1)/($C$16/12)),0)))</f>
        <v/>
      </c>
      <c r="Z595" s="138">
        <f>MAX(X595-Y595,0)</f>
        <v/>
      </c>
      <c r="AA595" s="139">
        <f>U595+Z595</f>
        <v/>
      </c>
      <c r="AB595" s="5" t="n"/>
      <c r="AC595" s="5" t="n"/>
      <c r="AD595" s="5" t="n"/>
      <c r="AE595" s="5" t="n"/>
      <c r="AF595" s="5" t="n"/>
      <c r="AG595" s="5" t="n"/>
    </row>
    <row r="596" outlineLevel="1" s="326">
      <c r="A596" s="140" t="n">
        <v>32</v>
      </c>
      <c r="B596" s="40">
        <f>B111</f>
        <v/>
      </c>
      <c r="C596" s="141">
        <f>D111</f>
        <v/>
      </c>
      <c r="D596" s="141">
        <f>I111</f>
        <v/>
      </c>
      <c r="E596" s="141">
        <f>J111</f>
        <v/>
      </c>
      <c r="F596" s="141">
        <f>K111</f>
        <v/>
      </c>
      <c r="G596" s="138">
        <f>IF(AND($L$234&gt;0,A596=$C$13),$L$234*($C$15+$C$18),0)+IF(AND($L$234&gt;0,A596=$C$13),$C$24,0)</f>
        <v/>
      </c>
      <c r="H596" s="138">
        <f>IF(OR($L$234&lt;=0,A596&lt;$C$13),0,IF(AND($L$234&gt;0,$C$17&gt;0,A596&gt;=$C$13,A596&lt;($C$13+$C$17)),IF($C$17&lt;=0,0,IF($C$16=0,MAX($L$234*(1-$C$15),0)/$C$17,-PMT($C$16/12,$C$17*12,MAX($L$234*(1-$C$15),0))*12)),0)+X596*($C$19+$C$20+$C$21)+$C$22+$C$23)</f>
        <v/>
      </c>
      <c r="I596" s="138">
        <f>IF(B596="Working",MIN(MAX(D596-E596-F596-G596-H596,0),'Tax Assumptions'!$B$20),0)</f>
        <v/>
      </c>
      <c r="J596" s="138">
        <f>IF(B596="Working",D596-E596-F596-I596-G596-H596,-L596)</f>
        <v/>
      </c>
      <c r="K596" s="141">
        <f>IF(B596="Retired",$N$234+G596+H596,0)</f>
        <v/>
      </c>
      <c r="L596" s="141">
        <f>M596+N596+O596+P596</f>
        <v/>
      </c>
      <c r="M596" s="141">
        <f>IF(B596="Retired",MIN(((Q595)*(1+$C$10)+IF(B596="Working",J596,0)),K596),0)</f>
        <v/>
      </c>
      <c r="N596" s="141">
        <f>IF(B596="Retired",MIN(MAX(K596-M596,0),((R595)*(1+$C$10)+IF(B596="Working",E111,0))),0)</f>
        <v/>
      </c>
      <c r="O596" s="141">
        <f>IF(B596="Retired",MIN(MAX(K596-M596-N596,0),((S595)*(1+$C$10)+IF(B596="Working",I596,0))),0)</f>
        <v/>
      </c>
      <c r="P596" s="141">
        <f>IF(B596="Retired",MIN(MAX(K596-M596-N596-O596,0),((T595)*(1+$C$10)+IF(B596="Working",F111,0))),0)</f>
        <v/>
      </c>
      <c r="Q596" s="138">
        <f>MAX(((Q595)*(1+$C$10)+IF(B596="Working",J596,0))-M596,0)</f>
        <v/>
      </c>
      <c r="R596" s="138">
        <f>MAX(((R595)*(1+$C$10)+IF(B596="Working",E111,0))-N596,0)</f>
        <v/>
      </c>
      <c r="S596" s="138">
        <f>MAX(((S595)*(1+$C$10)+IF(B596="Working",I596,0))-O596,0)</f>
        <v/>
      </c>
      <c r="T596" s="138">
        <f>MAX(((T595)*(1+$C$10)+IF(B596="Working",F111,0))-P596,0)</f>
        <v/>
      </c>
      <c r="U596" s="138">
        <f>Q596+R596+S596+T596</f>
        <v/>
      </c>
      <c r="V596" s="138">
        <f>IF(B596="Working",MAX(-(((Q595)*(1+$C$10)+IF(B596="Working",J596,0))),0),MAX(K596-L596,0))</f>
        <v/>
      </c>
      <c r="W596" s="138">
        <f>IF(OR(A596&gt;=$C$13,B596="Retired"),IF(V596&gt;0,-V596,U596-'Model Inputs'!$B$18),"")</f>
        <v/>
      </c>
      <c r="X596" s="138">
        <f>IF(AND($L$234&gt;0,A596&gt;=$C$13),$L$234*(1+$C$25)^(A596-$C$13),0)</f>
        <v/>
      </c>
      <c r="Y596" s="138">
        <f>IF(OR($L$234&lt;=0,$C$17&lt;=0,A596&lt;$C$13,MIN(MAX((A596-$C$13+1)*12,0),$C$17*12)&gt;=$C$17*12),0,IF($C$16=0,MAX(MAX($L$234*(1-$C$15),0)-(IF($C$17&lt;=0,0,IF($C$16=0,MAX($L$234*(1-$C$15),0)/$C$17,-PMT($C$16/12,$C$17*12,MAX($L$234*(1-$C$15),0))*12))/12)*MIN(MAX((A596-$C$13+1)*12,0),$C$17*12),0),MAX(MAX($L$234*(1-$C$15),0)*(1+$C$16/12)^MIN(MAX((A596-$C$13+1)*12,0),$C$17*12)-(IF($C$17&lt;=0,0,IF($C$16=0,MAX($L$234*(1-$C$15),0)/$C$17,-PMT($C$16/12,$C$17*12,MAX($L$234*(1-$C$15),0))*12))/12)*(((1+$C$16/12)^MIN(MAX((A596-$C$13+1)*12,0),$C$17*12)-1)/($C$16/12)),0)))</f>
        <v/>
      </c>
      <c r="Z596" s="138">
        <f>MAX(X596-Y596,0)</f>
        <v/>
      </c>
      <c r="AA596" s="142">
        <f>U596+Z596</f>
        <v/>
      </c>
      <c r="AB596" s="5" t="n"/>
      <c r="AC596" s="5" t="n"/>
      <c r="AD596" s="5" t="n"/>
      <c r="AE596" s="5" t="n"/>
      <c r="AF596" s="5" t="n"/>
      <c r="AG596" s="5" t="n"/>
    </row>
    <row r="597" outlineLevel="1" s="326">
      <c r="A597" s="136" t="n">
        <v>33</v>
      </c>
      <c r="B597" s="72">
        <f>B112</f>
        <v/>
      </c>
      <c r="C597" s="137">
        <f>D112</f>
        <v/>
      </c>
      <c r="D597" s="137">
        <f>I112</f>
        <v/>
      </c>
      <c r="E597" s="137">
        <f>J112</f>
        <v/>
      </c>
      <c r="F597" s="137">
        <f>K112</f>
        <v/>
      </c>
      <c r="G597" s="138">
        <f>IF(AND($L$234&gt;0,A597=$C$13),$L$234*($C$15+$C$18),0)+IF(AND($L$234&gt;0,A597=$C$13),$C$24,0)</f>
        <v/>
      </c>
      <c r="H597" s="138">
        <f>IF(OR($L$234&lt;=0,A597&lt;$C$13),0,IF(AND($L$234&gt;0,$C$17&gt;0,A597&gt;=$C$13,A597&lt;($C$13+$C$17)),IF($C$17&lt;=0,0,IF($C$16=0,MAX($L$234*(1-$C$15),0)/$C$17,-PMT($C$16/12,$C$17*12,MAX($L$234*(1-$C$15),0))*12)),0)+X597*($C$19+$C$20+$C$21)+$C$22+$C$23)</f>
        <v/>
      </c>
      <c r="I597" s="138">
        <f>IF(B597="Working",MIN(MAX(D597-E597-F597-G597-H597,0),'Tax Assumptions'!$B$20),0)</f>
        <v/>
      </c>
      <c r="J597" s="138">
        <f>IF(B597="Working",D597-E597-F597-I597-G597-H597,-L597)</f>
        <v/>
      </c>
      <c r="K597" s="137">
        <f>IF(B597="Retired",$N$234+G597+H597,0)</f>
        <v/>
      </c>
      <c r="L597" s="137">
        <f>M597+N597+O597+P597</f>
        <v/>
      </c>
      <c r="M597" s="137">
        <f>IF(B597="Retired",MIN(((Q596)*(1+$C$10)+IF(B597="Working",J597,0)),K597),0)</f>
        <v/>
      </c>
      <c r="N597" s="137">
        <f>IF(B597="Retired",MIN(MAX(K597-M597,0),((R596)*(1+$C$10)+IF(B597="Working",E112,0))),0)</f>
        <v/>
      </c>
      <c r="O597" s="137">
        <f>IF(B597="Retired",MIN(MAX(K597-M597-N597,0),((S596)*(1+$C$10)+IF(B597="Working",I597,0))),0)</f>
        <v/>
      </c>
      <c r="P597" s="137">
        <f>IF(B597="Retired",MIN(MAX(K597-M597-N597-O597,0),((T596)*(1+$C$10)+IF(B597="Working",F112,0))),0)</f>
        <v/>
      </c>
      <c r="Q597" s="138">
        <f>MAX(((Q596)*(1+$C$10)+IF(B597="Working",J597,0))-M597,0)</f>
        <v/>
      </c>
      <c r="R597" s="138">
        <f>MAX(((R596)*(1+$C$10)+IF(B597="Working",E112,0))-N597,0)</f>
        <v/>
      </c>
      <c r="S597" s="138">
        <f>MAX(((S596)*(1+$C$10)+IF(B597="Working",I597,0))-O597,0)</f>
        <v/>
      </c>
      <c r="T597" s="138">
        <f>MAX(((T596)*(1+$C$10)+IF(B597="Working",F112,0))-P597,0)</f>
        <v/>
      </c>
      <c r="U597" s="138">
        <f>Q597+R597+S597+T597</f>
        <v/>
      </c>
      <c r="V597" s="138">
        <f>IF(B597="Working",MAX(-(((Q596)*(1+$C$10)+IF(B597="Working",J597,0))),0),MAX(K597-L597,0))</f>
        <v/>
      </c>
      <c r="W597" s="138">
        <f>IF(OR(A597&gt;=$C$13,B597="Retired"),IF(V597&gt;0,-V597,U597-'Model Inputs'!$B$18),"")</f>
        <v/>
      </c>
      <c r="X597" s="138">
        <f>IF(AND($L$234&gt;0,A597&gt;=$C$13),$L$234*(1+$C$25)^(A597-$C$13),0)</f>
        <v/>
      </c>
      <c r="Y597" s="138">
        <f>IF(OR($L$234&lt;=0,$C$17&lt;=0,A597&lt;$C$13,MIN(MAX((A597-$C$13+1)*12,0),$C$17*12)&gt;=$C$17*12),0,IF($C$16=0,MAX(MAX($L$234*(1-$C$15),0)-(IF($C$17&lt;=0,0,IF($C$16=0,MAX($L$234*(1-$C$15),0)/$C$17,-PMT($C$16/12,$C$17*12,MAX($L$234*(1-$C$15),0))*12))/12)*MIN(MAX((A597-$C$13+1)*12,0),$C$17*12),0),MAX(MAX($L$234*(1-$C$15),0)*(1+$C$16/12)^MIN(MAX((A597-$C$13+1)*12,0),$C$17*12)-(IF($C$17&lt;=0,0,IF($C$16=0,MAX($L$234*(1-$C$15),0)/$C$17,-PMT($C$16/12,$C$17*12,MAX($L$234*(1-$C$15),0))*12))/12)*(((1+$C$16/12)^MIN(MAX((A597-$C$13+1)*12,0),$C$17*12)-1)/($C$16/12)),0)))</f>
        <v/>
      </c>
      <c r="Z597" s="138">
        <f>MAX(X597-Y597,0)</f>
        <v/>
      </c>
      <c r="AA597" s="139">
        <f>U597+Z597</f>
        <v/>
      </c>
      <c r="AB597" s="5" t="n"/>
      <c r="AC597" s="5" t="n"/>
      <c r="AD597" s="5" t="n"/>
      <c r="AE597" s="5" t="n"/>
      <c r="AF597" s="5" t="n"/>
      <c r="AG597" s="5" t="n"/>
    </row>
    <row r="598" outlineLevel="1" s="326">
      <c r="A598" s="140" t="n">
        <v>34</v>
      </c>
      <c r="B598" s="40">
        <f>B113</f>
        <v/>
      </c>
      <c r="C598" s="141">
        <f>D113</f>
        <v/>
      </c>
      <c r="D598" s="141">
        <f>I113</f>
        <v/>
      </c>
      <c r="E598" s="141">
        <f>J113</f>
        <v/>
      </c>
      <c r="F598" s="141">
        <f>K113</f>
        <v/>
      </c>
      <c r="G598" s="138">
        <f>IF(AND($L$234&gt;0,A598=$C$13),$L$234*($C$15+$C$18),0)+IF(AND($L$234&gt;0,A598=$C$13),$C$24,0)</f>
        <v/>
      </c>
      <c r="H598" s="138">
        <f>IF(OR($L$234&lt;=0,A598&lt;$C$13),0,IF(AND($L$234&gt;0,$C$17&gt;0,A598&gt;=$C$13,A598&lt;($C$13+$C$17)),IF($C$17&lt;=0,0,IF($C$16=0,MAX($L$234*(1-$C$15),0)/$C$17,-PMT($C$16/12,$C$17*12,MAX($L$234*(1-$C$15),0))*12)),0)+X598*($C$19+$C$20+$C$21)+$C$22+$C$23)</f>
        <v/>
      </c>
      <c r="I598" s="138">
        <f>IF(B598="Working",MIN(MAX(D598-E598-F598-G598-H598,0),'Tax Assumptions'!$B$20),0)</f>
        <v/>
      </c>
      <c r="J598" s="138">
        <f>IF(B598="Working",D598-E598-F598-I598-G598-H598,-L598)</f>
        <v/>
      </c>
      <c r="K598" s="141">
        <f>IF(B598="Retired",$N$234+G598+H598,0)</f>
        <v/>
      </c>
      <c r="L598" s="141">
        <f>M598+N598+O598+P598</f>
        <v/>
      </c>
      <c r="M598" s="141">
        <f>IF(B598="Retired",MIN(((Q597)*(1+$C$10)+IF(B598="Working",J598,0)),K598),0)</f>
        <v/>
      </c>
      <c r="N598" s="141">
        <f>IF(B598="Retired",MIN(MAX(K598-M598,0),((R597)*(1+$C$10)+IF(B598="Working",E113,0))),0)</f>
        <v/>
      </c>
      <c r="O598" s="141">
        <f>IF(B598="Retired",MIN(MAX(K598-M598-N598,0),((S597)*(1+$C$10)+IF(B598="Working",I598,0))),0)</f>
        <v/>
      </c>
      <c r="P598" s="141">
        <f>IF(B598="Retired",MIN(MAX(K598-M598-N598-O598,0),((T597)*(1+$C$10)+IF(B598="Working",F113,0))),0)</f>
        <v/>
      </c>
      <c r="Q598" s="138">
        <f>MAX(((Q597)*(1+$C$10)+IF(B598="Working",J598,0))-M598,0)</f>
        <v/>
      </c>
      <c r="R598" s="138">
        <f>MAX(((R597)*(1+$C$10)+IF(B598="Working",E113,0))-N598,0)</f>
        <v/>
      </c>
      <c r="S598" s="138">
        <f>MAX(((S597)*(1+$C$10)+IF(B598="Working",I598,0))-O598,0)</f>
        <v/>
      </c>
      <c r="T598" s="138">
        <f>MAX(((T597)*(1+$C$10)+IF(B598="Working",F113,0))-P598,0)</f>
        <v/>
      </c>
      <c r="U598" s="138">
        <f>Q598+R598+S598+T598</f>
        <v/>
      </c>
      <c r="V598" s="138">
        <f>IF(B598="Working",MAX(-(((Q597)*(1+$C$10)+IF(B598="Working",J598,0))),0),MAX(K598-L598,0))</f>
        <v/>
      </c>
      <c r="W598" s="138">
        <f>IF(OR(A598&gt;=$C$13,B598="Retired"),IF(V598&gt;0,-V598,U598-'Model Inputs'!$B$18),"")</f>
        <v/>
      </c>
      <c r="X598" s="138">
        <f>IF(AND($L$234&gt;0,A598&gt;=$C$13),$L$234*(1+$C$25)^(A598-$C$13),0)</f>
        <v/>
      </c>
      <c r="Y598" s="138">
        <f>IF(OR($L$234&lt;=0,$C$17&lt;=0,A598&lt;$C$13,MIN(MAX((A598-$C$13+1)*12,0),$C$17*12)&gt;=$C$17*12),0,IF($C$16=0,MAX(MAX($L$234*(1-$C$15),0)-(IF($C$17&lt;=0,0,IF($C$16=0,MAX($L$234*(1-$C$15),0)/$C$17,-PMT($C$16/12,$C$17*12,MAX($L$234*(1-$C$15),0))*12))/12)*MIN(MAX((A598-$C$13+1)*12,0),$C$17*12),0),MAX(MAX($L$234*(1-$C$15),0)*(1+$C$16/12)^MIN(MAX((A598-$C$13+1)*12,0),$C$17*12)-(IF($C$17&lt;=0,0,IF($C$16=0,MAX($L$234*(1-$C$15),0)/$C$17,-PMT($C$16/12,$C$17*12,MAX($L$234*(1-$C$15),0))*12))/12)*(((1+$C$16/12)^MIN(MAX((A598-$C$13+1)*12,0),$C$17*12)-1)/($C$16/12)),0)))</f>
        <v/>
      </c>
      <c r="Z598" s="138">
        <f>MAX(X598-Y598,0)</f>
        <v/>
      </c>
      <c r="AA598" s="142">
        <f>U598+Z598</f>
        <v/>
      </c>
      <c r="AB598" s="5" t="n"/>
      <c r="AC598" s="5" t="n"/>
      <c r="AD598" s="5" t="n"/>
      <c r="AE598" s="5" t="n"/>
      <c r="AF598" s="5" t="n"/>
      <c r="AG598" s="5" t="n"/>
    </row>
    <row r="599" outlineLevel="1" s="326">
      <c r="A599" s="136" t="n">
        <v>35</v>
      </c>
      <c r="B599" s="72">
        <f>B114</f>
        <v/>
      </c>
      <c r="C599" s="137">
        <f>D114</f>
        <v/>
      </c>
      <c r="D599" s="137">
        <f>I114</f>
        <v/>
      </c>
      <c r="E599" s="137">
        <f>J114</f>
        <v/>
      </c>
      <c r="F599" s="137">
        <f>K114</f>
        <v/>
      </c>
      <c r="G599" s="138">
        <f>IF(AND($L$234&gt;0,A599=$C$13),$L$234*($C$15+$C$18),0)+IF(AND($L$234&gt;0,A599=$C$13),$C$24,0)</f>
        <v/>
      </c>
      <c r="H599" s="138">
        <f>IF(OR($L$234&lt;=0,A599&lt;$C$13),0,IF(AND($L$234&gt;0,$C$17&gt;0,A599&gt;=$C$13,A599&lt;($C$13+$C$17)),IF($C$17&lt;=0,0,IF($C$16=0,MAX($L$234*(1-$C$15),0)/$C$17,-PMT($C$16/12,$C$17*12,MAX($L$234*(1-$C$15),0))*12)),0)+X599*($C$19+$C$20+$C$21)+$C$22+$C$23)</f>
        <v/>
      </c>
      <c r="I599" s="138">
        <f>IF(B599="Working",MIN(MAX(D599-E599-F599-G599-H599,0),'Tax Assumptions'!$B$20),0)</f>
        <v/>
      </c>
      <c r="J599" s="138">
        <f>IF(B599="Working",D599-E599-F599-I599-G599-H599,-L599)</f>
        <v/>
      </c>
      <c r="K599" s="137">
        <f>IF(B599="Retired",$N$234+G599+H599,0)</f>
        <v/>
      </c>
      <c r="L599" s="137">
        <f>M599+N599+O599+P599</f>
        <v/>
      </c>
      <c r="M599" s="137">
        <f>IF(B599="Retired",MIN(((Q598)*(1+$C$10)+IF(B599="Working",J599,0)),K599),0)</f>
        <v/>
      </c>
      <c r="N599" s="137">
        <f>IF(B599="Retired",MIN(MAX(K599-M599,0),((R598)*(1+$C$10)+IF(B599="Working",E114,0))),0)</f>
        <v/>
      </c>
      <c r="O599" s="137">
        <f>IF(B599="Retired",MIN(MAX(K599-M599-N599,0),((S598)*(1+$C$10)+IF(B599="Working",I599,0))),0)</f>
        <v/>
      </c>
      <c r="P599" s="137">
        <f>IF(B599="Retired",MIN(MAX(K599-M599-N599-O599,0),((T598)*(1+$C$10)+IF(B599="Working",F114,0))),0)</f>
        <v/>
      </c>
      <c r="Q599" s="138">
        <f>MAX(((Q598)*(1+$C$10)+IF(B599="Working",J599,0))-M599,0)</f>
        <v/>
      </c>
      <c r="R599" s="138">
        <f>MAX(((R598)*(1+$C$10)+IF(B599="Working",E114,0))-N599,0)</f>
        <v/>
      </c>
      <c r="S599" s="138">
        <f>MAX(((S598)*(1+$C$10)+IF(B599="Working",I599,0))-O599,0)</f>
        <v/>
      </c>
      <c r="T599" s="138">
        <f>MAX(((T598)*(1+$C$10)+IF(B599="Working",F114,0))-P599,0)</f>
        <v/>
      </c>
      <c r="U599" s="138">
        <f>Q599+R599+S599+T599</f>
        <v/>
      </c>
      <c r="V599" s="138">
        <f>IF(B599="Working",MAX(-(((Q598)*(1+$C$10)+IF(B599="Working",J599,0))),0),MAX(K599-L599,0))</f>
        <v/>
      </c>
      <c r="W599" s="138">
        <f>IF(OR(A599&gt;=$C$13,B599="Retired"),IF(V599&gt;0,-V599,U599-'Model Inputs'!$B$18),"")</f>
        <v/>
      </c>
      <c r="X599" s="138">
        <f>IF(AND($L$234&gt;0,A599&gt;=$C$13),$L$234*(1+$C$25)^(A599-$C$13),0)</f>
        <v/>
      </c>
      <c r="Y599" s="138">
        <f>IF(OR($L$234&lt;=0,$C$17&lt;=0,A599&lt;$C$13,MIN(MAX((A599-$C$13+1)*12,0),$C$17*12)&gt;=$C$17*12),0,IF($C$16=0,MAX(MAX($L$234*(1-$C$15),0)-(IF($C$17&lt;=0,0,IF($C$16=0,MAX($L$234*(1-$C$15),0)/$C$17,-PMT($C$16/12,$C$17*12,MAX($L$234*(1-$C$15),0))*12))/12)*MIN(MAX((A599-$C$13+1)*12,0),$C$17*12),0),MAX(MAX($L$234*(1-$C$15),0)*(1+$C$16/12)^MIN(MAX((A599-$C$13+1)*12,0),$C$17*12)-(IF($C$17&lt;=0,0,IF($C$16=0,MAX($L$234*(1-$C$15),0)/$C$17,-PMT($C$16/12,$C$17*12,MAX($L$234*(1-$C$15),0))*12))/12)*(((1+$C$16/12)^MIN(MAX((A599-$C$13+1)*12,0),$C$17*12)-1)/($C$16/12)),0)))</f>
        <v/>
      </c>
      <c r="Z599" s="138">
        <f>MAX(X599-Y599,0)</f>
        <v/>
      </c>
      <c r="AA599" s="139">
        <f>U599+Z599</f>
        <v/>
      </c>
      <c r="AB599" s="5" t="n"/>
      <c r="AC599" s="5" t="n"/>
      <c r="AD599" s="5" t="n"/>
      <c r="AE599" s="5" t="n"/>
      <c r="AF599" s="5" t="n"/>
      <c r="AG599" s="5" t="n"/>
    </row>
    <row r="600" outlineLevel="1" s="326">
      <c r="A600" s="140" t="n">
        <v>36</v>
      </c>
      <c r="B600" s="40">
        <f>B115</f>
        <v/>
      </c>
      <c r="C600" s="141">
        <f>D115</f>
        <v/>
      </c>
      <c r="D600" s="141">
        <f>I115</f>
        <v/>
      </c>
      <c r="E600" s="141">
        <f>J115</f>
        <v/>
      </c>
      <c r="F600" s="141">
        <f>K115</f>
        <v/>
      </c>
      <c r="G600" s="138">
        <f>IF(AND($L$234&gt;0,A600=$C$13),$L$234*($C$15+$C$18),0)+IF(AND($L$234&gt;0,A600=$C$13),$C$24,0)</f>
        <v/>
      </c>
      <c r="H600" s="138">
        <f>IF(OR($L$234&lt;=0,A600&lt;$C$13),0,IF(AND($L$234&gt;0,$C$17&gt;0,A600&gt;=$C$13,A600&lt;($C$13+$C$17)),IF($C$17&lt;=0,0,IF($C$16=0,MAX($L$234*(1-$C$15),0)/$C$17,-PMT($C$16/12,$C$17*12,MAX($L$234*(1-$C$15),0))*12)),0)+X600*($C$19+$C$20+$C$21)+$C$22+$C$23)</f>
        <v/>
      </c>
      <c r="I600" s="138">
        <f>IF(B600="Working",MIN(MAX(D600-E600-F600-G600-H600,0),'Tax Assumptions'!$B$20),0)</f>
        <v/>
      </c>
      <c r="J600" s="138">
        <f>IF(B600="Working",D600-E600-F600-I600-G600-H600,-L600)</f>
        <v/>
      </c>
      <c r="K600" s="141">
        <f>IF(B600="Retired",$N$234+G600+H600,0)</f>
        <v/>
      </c>
      <c r="L600" s="141">
        <f>M600+N600+O600+P600</f>
        <v/>
      </c>
      <c r="M600" s="141">
        <f>IF(B600="Retired",MIN(((Q599)*(1+$C$10)+IF(B600="Working",J600,0)),K600),0)</f>
        <v/>
      </c>
      <c r="N600" s="141">
        <f>IF(B600="Retired",MIN(MAX(K600-M600,0),((R599)*(1+$C$10)+IF(B600="Working",E115,0))),0)</f>
        <v/>
      </c>
      <c r="O600" s="141">
        <f>IF(B600="Retired",MIN(MAX(K600-M600-N600,0),((S599)*(1+$C$10)+IF(B600="Working",I600,0))),0)</f>
        <v/>
      </c>
      <c r="P600" s="141">
        <f>IF(B600="Retired",MIN(MAX(K600-M600-N600-O600,0),((T599)*(1+$C$10)+IF(B600="Working",F115,0))),0)</f>
        <v/>
      </c>
      <c r="Q600" s="138">
        <f>MAX(((Q599)*(1+$C$10)+IF(B600="Working",J600,0))-M600,0)</f>
        <v/>
      </c>
      <c r="R600" s="138">
        <f>MAX(((R599)*(1+$C$10)+IF(B600="Working",E115,0))-N600,0)</f>
        <v/>
      </c>
      <c r="S600" s="138">
        <f>MAX(((S599)*(1+$C$10)+IF(B600="Working",I600,0))-O600,0)</f>
        <v/>
      </c>
      <c r="T600" s="138">
        <f>MAX(((T599)*(1+$C$10)+IF(B600="Working",F115,0))-P600,0)</f>
        <v/>
      </c>
      <c r="U600" s="138">
        <f>Q600+R600+S600+T600</f>
        <v/>
      </c>
      <c r="V600" s="138">
        <f>IF(B600="Working",MAX(-(((Q599)*(1+$C$10)+IF(B600="Working",J600,0))),0),MAX(K600-L600,0))</f>
        <v/>
      </c>
      <c r="W600" s="138">
        <f>IF(OR(A600&gt;=$C$13,B600="Retired"),IF(V600&gt;0,-V600,U600-'Model Inputs'!$B$18),"")</f>
        <v/>
      </c>
      <c r="X600" s="138">
        <f>IF(AND($L$234&gt;0,A600&gt;=$C$13),$L$234*(1+$C$25)^(A600-$C$13),0)</f>
        <v/>
      </c>
      <c r="Y600" s="138">
        <f>IF(OR($L$234&lt;=0,$C$17&lt;=0,A600&lt;$C$13,MIN(MAX((A600-$C$13+1)*12,0),$C$17*12)&gt;=$C$17*12),0,IF($C$16=0,MAX(MAX($L$234*(1-$C$15),0)-(IF($C$17&lt;=0,0,IF($C$16=0,MAX($L$234*(1-$C$15),0)/$C$17,-PMT($C$16/12,$C$17*12,MAX($L$234*(1-$C$15),0))*12))/12)*MIN(MAX((A600-$C$13+1)*12,0),$C$17*12),0),MAX(MAX($L$234*(1-$C$15),0)*(1+$C$16/12)^MIN(MAX((A600-$C$13+1)*12,0),$C$17*12)-(IF($C$17&lt;=0,0,IF($C$16=0,MAX($L$234*(1-$C$15),0)/$C$17,-PMT($C$16/12,$C$17*12,MAX($L$234*(1-$C$15),0))*12))/12)*(((1+$C$16/12)^MIN(MAX((A600-$C$13+1)*12,0),$C$17*12)-1)/($C$16/12)),0)))</f>
        <v/>
      </c>
      <c r="Z600" s="138">
        <f>MAX(X600-Y600,0)</f>
        <v/>
      </c>
      <c r="AA600" s="142">
        <f>U600+Z600</f>
        <v/>
      </c>
      <c r="AB600" s="5" t="n"/>
      <c r="AC600" s="5" t="n"/>
      <c r="AD600" s="5" t="n"/>
      <c r="AE600" s="5" t="n"/>
      <c r="AF600" s="5" t="n"/>
      <c r="AG600" s="5" t="n"/>
    </row>
    <row r="601" outlineLevel="1" s="326">
      <c r="A601" s="136" t="n">
        <v>37</v>
      </c>
      <c r="B601" s="72">
        <f>B116</f>
        <v/>
      </c>
      <c r="C601" s="137">
        <f>D116</f>
        <v/>
      </c>
      <c r="D601" s="137">
        <f>I116</f>
        <v/>
      </c>
      <c r="E601" s="137">
        <f>J116</f>
        <v/>
      </c>
      <c r="F601" s="137">
        <f>K116</f>
        <v/>
      </c>
      <c r="G601" s="138">
        <f>IF(AND($L$234&gt;0,A601=$C$13),$L$234*($C$15+$C$18),0)+IF(AND($L$234&gt;0,A601=$C$13),$C$24,0)</f>
        <v/>
      </c>
      <c r="H601" s="138">
        <f>IF(OR($L$234&lt;=0,A601&lt;$C$13),0,IF(AND($L$234&gt;0,$C$17&gt;0,A601&gt;=$C$13,A601&lt;($C$13+$C$17)),IF($C$17&lt;=0,0,IF($C$16=0,MAX($L$234*(1-$C$15),0)/$C$17,-PMT($C$16/12,$C$17*12,MAX($L$234*(1-$C$15),0))*12)),0)+X601*($C$19+$C$20+$C$21)+$C$22+$C$23)</f>
        <v/>
      </c>
      <c r="I601" s="138">
        <f>IF(B601="Working",MIN(MAX(D601-E601-F601-G601-H601,0),'Tax Assumptions'!$B$20),0)</f>
        <v/>
      </c>
      <c r="J601" s="138">
        <f>IF(B601="Working",D601-E601-F601-I601-G601-H601,-L601)</f>
        <v/>
      </c>
      <c r="K601" s="137">
        <f>IF(B601="Retired",$N$234+G601+H601,0)</f>
        <v/>
      </c>
      <c r="L601" s="137">
        <f>M601+N601+O601+P601</f>
        <v/>
      </c>
      <c r="M601" s="137">
        <f>IF(B601="Retired",MIN(((Q600)*(1+$C$10)+IF(B601="Working",J601,0)),K601),0)</f>
        <v/>
      </c>
      <c r="N601" s="137">
        <f>IF(B601="Retired",MIN(MAX(K601-M601,0),((R600)*(1+$C$10)+IF(B601="Working",E116,0))),0)</f>
        <v/>
      </c>
      <c r="O601" s="137">
        <f>IF(B601="Retired",MIN(MAX(K601-M601-N601,0),((S600)*(1+$C$10)+IF(B601="Working",I601,0))),0)</f>
        <v/>
      </c>
      <c r="P601" s="137">
        <f>IF(B601="Retired",MIN(MAX(K601-M601-N601-O601,0),((T600)*(1+$C$10)+IF(B601="Working",F116,0))),0)</f>
        <v/>
      </c>
      <c r="Q601" s="138">
        <f>MAX(((Q600)*(1+$C$10)+IF(B601="Working",J601,0))-M601,0)</f>
        <v/>
      </c>
      <c r="R601" s="138">
        <f>MAX(((R600)*(1+$C$10)+IF(B601="Working",E116,0))-N601,0)</f>
        <v/>
      </c>
      <c r="S601" s="138">
        <f>MAX(((S600)*(1+$C$10)+IF(B601="Working",I601,0))-O601,0)</f>
        <v/>
      </c>
      <c r="T601" s="138">
        <f>MAX(((T600)*(1+$C$10)+IF(B601="Working",F116,0))-P601,0)</f>
        <v/>
      </c>
      <c r="U601" s="138">
        <f>Q601+R601+S601+T601</f>
        <v/>
      </c>
      <c r="V601" s="138">
        <f>IF(B601="Working",MAX(-(((Q600)*(1+$C$10)+IF(B601="Working",J601,0))),0),MAX(K601-L601,0))</f>
        <v/>
      </c>
      <c r="W601" s="138">
        <f>IF(OR(A601&gt;=$C$13,B601="Retired"),IF(V601&gt;0,-V601,U601-'Model Inputs'!$B$18),"")</f>
        <v/>
      </c>
      <c r="X601" s="138">
        <f>IF(AND($L$234&gt;0,A601&gt;=$C$13),$L$234*(1+$C$25)^(A601-$C$13),0)</f>
        <v/>
      </c>
      <c r="Y601" s="138">
        <f>IF(OR($L$234&lt;=0,$C$17&lt;=0,A601&lt;$C$13,MIN(MAX((A601-$C$13+1)*12,0),$C$17*12)&gt;=$C$17*12),0,IF($C$16=0,MAX(MAX($L$234*(1-$C$15),0)-(IF($C$17&lt;=0,0,IF($C$16=0,MAX($L$234*(1-$C$15),0)/$C$17,-PMT($C$16/12,$C$17*12,MAX($L$234*(1-$C$15),0))*12))/12)*MIN(MAX((A601-$C$13+1)*12,0),$C$17*12),0),MAX(MAX($L$234*(1-$C$15),0)*(1+$C$16/12)^MIN(MAX((A601-$C$13+1)*12,0),$C$17*12)-(IF($C$17&lt;=0,0,IF($C$16=0,MAX($L$234*(1-$C$15),0)/$C$17,-PMT($C$16/12,$C$17*12,MAX($L$234*(1-$C$15),0))*12))/12)*(((1+$C$16/12)^MIN(MAX((A601-$C$13+1)*12,0),$C$17*12)-1)/($C$16/12)),0)))</f>
        <v/>
      </c>
      <c r="Z601" s="138">
        <f>MAX(X601-Y601,0)</f>
        <v/>
      </c>
      <c r="AA601" s="139">
        <f>U601+Z601</f>
        <v/>
      </c>
      <c r="AB601" s="5" t="n"/>
      <c r="AC601" s="5" t="n"/>
      <c r="AD601" s="5" t="n"/>
      <c r="AE601" s="5" t="n"/>
      <c r="AF601" s="5" t="n"/>
      <c r="AG601" s="5" t="n"/>
    </row>
    <row r="602" outlineLevel="1" s="326">
      <c r="A602" s="140" t="n">
        <v>38</v>
      </c>
      <c r="B602" s="40">
        <f>B117</f>
        <v/>
      </c>
      <c r="C602" s="141">
        <f>D117</f>
        <v/>
      </c>
      <c r="D602" s="141">
        <f>I117</f>
        <v/>
      </c>
      <c r="E602" s="141">
        <f>J117</f>
        <v/>
      </c>
      <c r="F602" s="141">
        <f>K117</f>
        <v/>
      </c>
      <c r="G602" s="138">
        <f>IF(AND($L$234&gt;0,A602=$C$13),$L$234*($C$15+$C$18),0)+IF(AND($L$234&gt;0,A602=$C$13),$C$24,0)</f>
        <v/>
      </c>
      <c r="H602" s="138">
        <f>IF(OR($L$234&lt;=0,A602&lt;$C$13),0,IF(AND($L$234&gt;0,$C$17&gt;0,A602&gt;=$C$13,A602&lt;($C$13+$C$17)),IF($C$17&lt;=0,0,IF($C$16=0,MAX($L$234*(1-$C$15),0)/$C$17,-PMT($C$16/12,$C$17*12,MAX($L$234*(1-$C$15),0))*12)),0)+X602*($C$19+$C$20+$C$21)+$C$22+$C$23)</f>
        <v/>
      </c>
      <c r="I602" s="138">
        <f>IF(B602="Working",MIN(MAX(D602-E602-F602-G602-H602,0),'Tax Assumptions'!$B$20),0)</f>
        <v/>
      </c>
      <c r="J602" s="138">
        <f>IF(B602="Working",D602-E602-F602-I602-G602-H602,-L602)</f>
        <v/>
      </c>
      <c r="K602" s="141">
        <f>IF(B602="Retired",$N$234+G602+H602,0)</f>
        <v/>
      </c>
      <c r="L602" s="141">
        <f>M602+N602+O602+P602</f>
        <v/>
      </c>
      <c r="M602" s="141">
        <f>IF(B602="Retired",MIN(((Q601)*(1+$C$10)+IF(B602="Working",J602,0)),K602),0)</f>
        <v/>
      </c>
      <c r="N602" s="141">
        <f>IF(B602="Retired",MIN(MAX(K602-M602,0),((R601)*(1+$C$10)+IF(B602="Working",E117,0))),0)</f>
        <v/>
      </c>
      <c r="O602" s="141">
        <f>IF(B602="Retired",MIN(MAX(K602-M602-N602,0),((S601)*(1+$C$10)+IF(B602="Working",I602,0))),0)</f>
        <v/>
      </c>
      <c r="P602" s="141">
        <f>IF(B602="Retired",MIN(MAX(K602-M602-N602-O602,0),((T601)*(1+$C$10)+IF(B602="Working",F117,0))),0)</f>
        <v/>
      </c>
      <c r="Q602" s="138">
        <f>MAX(((Q601)*(1+$C$10)+IF(B602="Working",J602,0))-M602,0)</f>
        <v/>
      </c>
      <c r="R602" s="138">
        <f>MAX(((R601)*(1+$C$10)+IF(B602="Working",E117,0))-N602,0)</f>
        <v/>
      </c>
      <c r="S602" s="138">
        <f>MAX(((S601)*(1+$C$10)+IF(B602="Working",I602,0))-O602,0)</f>
        <v/>
      </c>
      <c r="T602" s="138">
        <f>MAX(((T601)*(1+$C$10)+IF(B602="Working",F117,0))-P602,0)</f>
        <v/>
      </c>
      <c r="U602" s="138">
        <f>Q602+R602+S602+T602</f>
        <v/>
      </c>
      <c r="V602" s="138">
        <f>IF(B602="Working",MAX(-(((Q601)*(1+$C$10)+IF(B602="Working",J602,0))),0),MAX(K602-L602,0))</f>
        <v/>
      </c>
      <c r="W602" s="138">
        <f>IF(OR(A602&gt;=$C$13,B602="Retired"),IF(V602&gt;0,-V602,U602-'Model Inputs'!$B$18),"")</f>
        <v/>
      </c>
      <c r="X602" s="138">
        <f>IF(AND($L$234&gt;0,A602&gt;=$C$13),$L$234*(1+$C$25)^(A602-$C$13),0)</f>
        <v/>
      </c>
      <c r="Y602" s="138">
        <f>IF(OR($L$234&lt;=0,$C$17&lt;=0,A602&lt;$C$13,MIN(MAX((A602-$C$13+1)*12,0),$C$17*12)&gt;=$C$17*12),0,IF($C$16=0,MAX(MAX($L$234*(1-$C$15),0)-(IF($C$17&lt;=0,0,IF($C$16=0,MAX($L$234*(1-$C$15),0)/$C$17,-PMT($C$16/12,$C$17*12,MAX($L$234*(1-$C$15),0))*12))/12)*MIN(MAX((A602-$C$13+1)*12,0),$C$17*12),0),MAX(MAX($L$234*(1-$C$15),0)*(1+$C$16/12)^MIN(MAX((A602-$C$13+1)*12,0),$C$17*12)-(IF($C$17&lt;=0,0,IF($C$16=0,MAX($L$234*(1-$C$15),0)/$C$17,-PMT($C$16/12,$C$17*12,MAX($L$234*(1-$C$15),0))*12))/12)*(((1+$C$16/12)^MIN(MAX((A602-$C$13+1)*12,0),$C$17*12)-1)/($C$16/12)),0)))</f>
        <v/>
      </c>
      <c r="Z602" s="138">
        <f>MAX(X602-Y602,0)</f>
        <v/>
      </c>
      <c r="AA602" s="142">
        <f>U602+Z602</f>
        <v/>
      </c>
      <c r="AB602" s="5" t="n"/>
      <c r="AC602" s="5" t="n"/>
      <c r="AD602" s="5" t="n"/>
      <c r="AE602" s="5" t="n"/>
      <c r="AF602" s="5" t="n"/>
      <c r="AG602" s="5" t="n"/>
    </row>
    <row r="603" outlineLevel="1" s="326">
      <c r="A603" s="136" t="n">
        <v>39</v>
      </c>
      <c r="B603" s="72">
        <f>B118</f>
        <v/>
      </c>
      <c r="C603" s="137">
        <f>D118</f>
        <v/>
      </c>
      <c r="D603" s="137">
        <f>I118</f>
        <v/>
      </c>
      <c r="E603" s="137">
        <f>J118</f>
        <v/>
      </c>
      <c r="F603" s="137">
        <f>K118</f>
        <v/>
      </c>
      <c r="G603" s="138">
        <f>IF(AND($L$234&gt;0,A603=$C$13),$L$234*($C$15+$C$18),0)+IF(AND($L$234&gt;0,A603=$C$13),$C$24,0)</f>
        <v/>
      </c>
      <c r="H603" s="138">
        <f>IF(OR($L$234&lt;=0,A603&lt;$C$13),0,IF(AND($L$234&gt;0,$C$17&gt;0,A603&gt;=$C$13,A603&lt;($C$13+$C$17)),IF($C$17&lt;=0,0,IF($C$16=0,MAX($L$234*(1-$C$15),0)/$C$17,-PMT($C$16/12,$C$17*12,MAX($L$234*(1-$C$15),0))*12)),0)+X603*($C$19+$C$20+$C$21)+$C$22+$C$23)</f>
        <v/>
      </c>
      <c r="I603" s="138">
        <f>IF(B603="Working",MIN(MAX(D603-E603-F603-G603-H603,0),'Tax Assumptions'!$B$20),0)</f>
        <v/>
      </c>
      <c r="J603" s="138">
        <f>IF(B603="Working",D603-E603-F603-I603-G603-H603,-L603)</f>
        <v/>
      </c>
      <c r="K603" s="137">
        <f>IF(B603="Retired",$N$234+G603+H603,0)</f>
        <v/>
      </c>
      <c r="L603" s="137">
        <f>M603+N603+O603+P603</f>
        <v/>
      </c>
      <c r="M603" s="137">
        <f>IF(B603="Retired",MIN(((Q602)*(1+$C$10)+IF(B603="Working",J603,0)),K603),0)</f>
        <v/>
      </c>
      <c r="N603" s="137">
        <f>IF(B603="Retired",MIN(MAX(K603-M603,0),((R602)*(1+$C$10)+IF(B603="Working",E118,0))),0)</f>
        <v/>
      </c>
      <c r="O603" s="137">
        <f>IF(B603="Retired",MIN(MAX(K603-M603-N603,0),((S602)*(1+$C$10)+IF(B603="Working",I603,0))),0)</f>
        <v/>
      </c>
      <c r="P603" s="137">
        <f>IF(B603="Retired",MIN(MAX(K603-M603-N603-O603,0),((T602)*(1+$C$10)+IF(B603="Working",F118,0))),0)</f>
        <v/>
      </c>
      <c r="Q603" s="138">
        <f>MAX(((Q602)*(1+$C$10)+IF(B603="Working",J603,0))-M603,0)</f>
        <v/>
      </c>
      <c r="R603" s="138">
        <f>MAX(((R602)*(1+$C$10)+IF(B603="Working",E118,0))-N603,0)</f>
        <v/>
      </c>
      <c r="S603" s="138">
        <f>MAX(((S602)*(1+$C$10)+IF(B603="Working",I603,0))-O603,0)</f>
        <v/>
      </c>
      <c r="T603" s="138">
        <f>MAX(((T602)*(1+$C$10)+IF(B603="Working",F118,0))-P603,0)</f>
        <v/>
      </c>
      <c r="U603" s="138">
        <f>Q603+R603+S603+T603</f>
        <v/>
      </c>
      <c r="V603" s="138">
        <f>IF(B603="Working",MAX(-(((Q602)*(1+$C$10)+IF(B603="Working",J603,0))),0),MAX(K603-L603,0))</f>
        <v/>
      </c>
      <c r="W603" s="138">
        <f>IF(OR(A603&gt;=$C$13,B603="Retired"),IF(V603&gt;0,-V603,U603-'Model Inputs'!$B$18),"")</f>
        <v/>
      </c>
      <c r="X603" s="138">
        <f>IF(AND($L$234&gt;0,A603&gt;=$C$13),$L$234*(1+$C$25)^(A603-$C$13),0)</f>
        <v/>
      </c>
      <c r="Y603" s="138">
        <f>IF(OR($L$234&lt;=0,$C$17&lt;=0,A603&lt;$C$13,MIN(MAX((A603-$C$13+1)*12,0),$C$17*12)&gt;=$C$17*12),0,IF($C$16=0,MAX(MAX($L$234*(1-$C$15),0)-(IF($C$17&lt;=0,0,IF($C$16=0,MAX($L$234*(1-$C$15),0)/$C$17,-PMT($C$16/12,$C$17*12,MAX($L$234*(1-$C$15),0))*12))/12)*MIN(MAX((A603-$C$13+1)*12,0),$C$17*12),0),MAX(MAX($L$234*(1-$C$15),0)*(1+$C$16/12)^MIN(MAX((A603-$C$13+1)*12,0),$C$17*12)-(IF($C$17&lt;=0,0,IF($C$16=0,MAX($L$234*(1-$C$15),0)/$C$17,-PMT($C$16/12,$C$17*12,MAX($L$234*(1-$C$15),0))*12))/12)*(((1+$C$16/12)^MIN(MAX((A603-$C$13+1)*12,0),$C$17*12)-1)/($C$16/12)),0)))</f>
        <v/>
      </c>
      <c r="Z603" s="138">
        <f>MAX(X603-Y603,0)</f>
        <v/>
      </c>
      <c r="AA603" s="139">
        <f>U603+Z603</f>
        <v/>
      </c>
      <c r="AB603" s="5" t="n"/>
      <c r="AC603" s="5" t="n"/>
      <c r="AD603" s="5" t="n"/>
      <c r="AE603" s="5" t="n"/>
      <c r="AF603" s="5" t="n"/>
      <c r="AG603" s="5" t="n"/>
    </row>
    <row r="604" outlineLevel="1" s="326">
      <c r="A604" s="140" t="n">
        <v>40</v>
      </c>
      <c r="B604" s="40">
        <f>B119</f>
        <v/>
      </c>
      <c r="C604" s="141">
        <f>D119</f>
        <v/>
      </c>
      <c r="D604" s="141">
        <f>I119</f>
        <v/>
      </c>
      <c r="E604" s="141">
        <f>J119</f>
        <v/>
      </c>
      <c r="F604" s="141">
        <f>K119</f>
        <v/>
      </c>
      <c r="G604" s="138">
        <f>IF(AND($L$234&gt;0,A604=$C$13),$L$234*($C$15+$C$18),0)+IF(AND($L$234&gt;0,A604=$C$13),$C$24,0)</f>
        <v/>
      </c>
      <c r="H604" s="138">
        <f>IF(OR($L$234&lt;=0,A604&lt;$C$13),0,IF(AND($L$234&gt;0,$C$17&gt;0,A604&gt;=$C$13,A604&lt;($C$13+$C$17)),IF($C$17&lt;=0,0,IF($C$16=0,MAX($L$234*(1-$C$15),0)/$C$17,-PMT($C$16/12,$C$17*12,MAX($L$234*(1-$C$15),0))*12)),0)+X604*($C$19+$C$20+$C$21)+$C$22+$C$23)</f>
        <v/>
      </c>
      <c r="I604" s="138">
        <f>IF(B604="Working",MIN(MAX(D604-E604-F604-G604-H604,0),'Tax Assumptions'!$B$20),0)</f>
        <v/>
      </c>
      <c r="J604" s="138">
        <f>IF(B604="Working",D604-E604-F604-I604-G604-H604,-L604)</f>
        <v/>
      </c>
      <c r="K604" s="141">
        <f>IF(B604="Retired",$N$234+G604+H604,0)</f>
        <v/>
      </c>
      <c r="L604" s="141">
        <f>M604+N604+O604+P604</f>
        <v/>
      </c>
      <c r="M604" s="141">
        <f>IF(B604="Retired",MIN(((Q603)*(1+$C$10)+IF(B604="Working",J604,0)),K604),0)</f>
        <v/>
      </c>
      <c r="N604" s="141">
        <f>IF(B604="Retired",MIN(MAX(K604-M604,0),((R603)*(1+$C$10)+IF(B604="Working",E119,0))),0)</f>
        <v/>
      </c>
      <c r="O604" s="141">
        <f>IF(B604="Retired",MIN(MAX(K604-M604-N604,0),((S603)*(1+$C$10)+IF(B604="Working",I604,0))),0)</f>
        <v/>
      </c>
      <c r="P604" s="141">
        <f>IF(B604="Retired",MIN(MAX(K604-M604-N604-O604,0),((T603)*(1+$C$10)+IF(B604="Working",F119,0))),0)</f>
        <v/>
      </c>
      <c r="Q604" s="138">
        <f>MAX(((Q603)*(1+$C$10)+IF(B604="Working",J604,0))-M604,0)</f>
        <v/>
      </c>
      <c r="R604" s="138">
        <f>MAX(((R603)*(1+$C$10)+IF(B604="Working",E119,0))-N604,0)</f>
        <v/>
      </c>
      <c r="S604" s="138">
        <f>MAX(((S603)*(1+$C$10)+IF(B604="Working",I604,0))-O604,0)</f>
        <v/>
      </c>
      <c r="T604" s="138">
        <f>MAX(((T603)*(1+$C$10)+IF(B604="Working",F119,0))-P604,0)</f>
        <v/>
      </c>
      <c r="U604" s="138">
        <f>Q604+R604+S604+T604</f>
        <v/>
      </c>
      <c r="V604" s="138">
        <f>IF(B604="Working",MAX(-(((Q603)*(1+$C$10)+IF(B604="Working",J604,0))),0),MAX(K604-L604,0))</f>
        <v/>
      </c>
      <c r="W604" s="138">
        <f>IF(OR(A604&gt;=$C$13,B604="Retired"),IF(V604&gt;0,-V604,U604-'Model Inputs'!$B$18),"")</f>
        <v/>
      </c>
      <c r="X604" s="138">
        <f>IF(AND($L$234&gt;0,A604&gt;=$C$13),$L$234*(1+$C$25)^(A604-$C$13),0)</f>
        <v/>
      </c>
      <c r="Y604" s="138">
        <f>IF(OR($L$234&lt;=0,$C$17&lt;=0,A604&lt;$C$13,MIN(MAX((A604-$C$13+1)*12,0),$C$17*12)&gt;=$C$17*12),0,IF($C$16=0,MAX(MAX($L$234*(1-$C$15),0)-(IF($C$17&lt;=0,0,IF($C$16=0,MAX($L$234*(1-$C$15),0)/$C$17,-PMT($C$16/12,$C$17*12,MAX($L$234*(1-$C$15),0))*12))/12)*MIN(MAX((A604-$C$13+1)*12,0),$C$17*12),0),MAX(MAX($L$234*(1-$C$15),0)*(1+$C$16/12)^MIN(MAX((A604-$C$13+1)*12,0),$C$17*12)-(IF($C$17&lt;=0,0,IF($C$16=0,MAX($L$234*(1-$C$15),0)/$C$17,-PMT($C$16/12,$C$17*12,MAX($L$234*(1-$C$15),0))*12))/12)*(((1+$C$16/12)^MIN(MAX((A604-$C$13+1)*12,0),$C$17*12)-1)/($C$16/12)),0)))</f>
        <v/>
      </c>
      <c r="Z604" s="138">
        <f>MAX(X604-Y604,0)</f>
        <v/>
      </c>
      <c r="AA604" s="142">
        <f>U604+Z604</f>
        <v/>
      </c>
      <c r="AB604" s="5" t="n"/>
      <c r="AC604" s="5" t="n"/>
      <c r="AD604" s="5" t="n"/>
      <c r="AE604" s="5" t="n"/>
      <c r="AF604" s="5" t="n"/>
      <c r="AG604" s="5" t="n"/>
    </row>
    <row r="605" outlineLevel="1" s="326">
      <c r="A605" s="143" t="inlineStr">
        <is>
          <t>Case Summary</t>
        </is>
      </c>
      <c r="B605" s="144" t="n"/>
      <c r="C605" s="144" t="n"/>
      <c r="D605" s="144" t="n"/>
      <c r="E605" s="144" t="n"/>
      <c r="F605" s="144" t="n"/>
      <c r="G605" s="145">
        <f>SUM(G565:G604)</f>
        <v/>
      </c>
      <c r="H605" s="145">
        <f>SUM(H565:H604)</f>
        <v/>
      </c>
      <c r="I605" s="145">
        <f>SUM(I565:I604)</f>
        <v/>
      </c>
      <c r="J605" s="145">
        <f>SUM(J565:J604)</f>
        <v/>
      </c>
      <c r="K605" s="145">
        <f>SUM(K565:K604)</f>
        <v/>
      </c>
      <c r="L605" s="145">
        <f>SUM(L565:L604)</f>
        <v/>
      </c>
      <c r="M605" s="145">
        <f>SUM(M565:M604)</f>
        <v/>
      </c>
      <c r="N605" s="145">
        <f>SUM(N565:N604)</f>
        <v/>
      </c>
      <c r="O605" s="145">
        <f>SUM(O565:O604)</f>
        <v/>
      </c>
      <c r="P605" s="145">
        <f>SUM(P565:P604)</f>
        <v/>
      </c>
      <c r="Q605" s="145">
        <f>Q604</f>
        <v/>
      </c>
      <c r="R605" s="145">
        <f>R604</f>
        <v/>
      </c>
      <c r="S605" s="145">
        <f>S604</f>
        <v/>
      </c>
      <c r="T605" s="145">
        <f>T604</f>
        <v/>
      </c>
      <c r="U605" s="145">
        <f>U604</f>
        <v/>
      </c>
      <c r="V605" s="145">
        <f>SUM(V565:V604)</f>
        <v/>
      </c>
      <c r="W605" s="145">
        <f>MIN(W565:W604)</f>
        <v/>
      </c>
      <c r="X605" s="145">
        <f>X604</f>
        <v/>
      </c>
      <c r="Y605" s="145">
        <f>Y604</f>
        <v/>
      </c>
      <c r="Z605" s="145">
        <f>Z604</f>
        <v/>
      </c>
      <c r="AA605" s="146">
        <f>AA604</f>
        <v/>
      </c>
      <c r="AB605" s="5" t="n"/>
      <c r="AC605" s="5" t="n"/>
      <c r="AD605" s="5" t="n"/>
      <c r="AE605" s="5" t="n"/>
      <c r="AF605" s="5" t="n"/>
      <c r="AG605" s="5" t="n"/>
    </row>
    <row r="606" outlineLevel="1" s="32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</row>
    <row r="607" outlineLevel="1" s="326">
      <c r="A607" s="387">
        <f>J235&amp;" | House "&amp;TEXT($L$235,"$#,##0")&amp;" | Spend "&amp;TEXT($N$235,"$#,##0")</f>
        <v/>
      </c>
      <c r="B607" s="345" t="n"/>
      <c r="C607" s="345" t="n"/>
      <c r="D607" s="345" t="n"/>
      <c r="E607" s="345" t="n"/>
      <c r="F607" s="345" t="n"/>
      <c r="G607" s="345" t="n"/>
      <c r="H607" s="345" t="n"/>
      <c r="I607" s="345" t="n"/>
      <c r="J607" s="345" t="n"/>
      <c r="K607" s="345" t="n"/>
      <c r="L607" s="345" t="n"/>
      <c r="M607" s="345" t="n"/>
      <c r="N607" s="345" t="n"/>
      <c r="O607" s="345" t="n"/>
      <c r="P607" s="345" t="n"/>
      <c r="Q607" s="345" t="n"/>
      <c r="R607" s="345" t="n"/>
      <c r="S607" s="345" t="n"/>
      <c r="T607" s="345" t="n"/>
      <c r="U607" s="345" t="n"/>
      <c r="V607" s="345" t="n"/>
      <c r="W607" s="345" t="n"/>
      <c r="X607" s="345" t="n"/>
      <c r="Y607" s="345" t="n"/>
      <c r="Z607" s="345" t="n"/>
      <c r="AA607" s="346" t="n"/>
      <c r="AB607" s="5" t="n"/>
      <c r="AC607" s="5" t="n"/>
      <c r="AD607" s="5" t="n"/>
      <c r="AE607" s="5" t="n"/>
      <c r="AF607" s="5" t="n"/>
      <c r="AG607" s="5" t="n"/>
    </row>
    <row r="608" outlineLevel="1" ht="34" customHeight="1" s="326">
      <c r="A608" s="134" t="inlineStr">
        <is>
          <t>Year</t>
        </is>
      </c>
      <c r="B608" s="83" t="inlineStr">
        <is>
          <t>Phase</t>
        </is>
      </c>
      <c r="C608" s="83" t="inlineStr">
        <is>
          <t>Gross</t>
        </is>
      </c>
      <c r="D608" s="83" t="inlineStr">
        <is>
          <t>Post-Tax Cash</t>
        </is>
      </c>
      <c r="E608" s="83" t="inlineStr">
        <is>
          <t>Rent</t>
        </is>
      </c>
      <c r="F608" s="83" t="inlineStr">
        <is>
          <t>Living</t>
        </is>
      </c>
      <c r="G608" s="83" t="inlineStr">
        <is>
          <t>House Cash</t>
        </is>
      </c>
      <c r="H608" s="83" t="inlineStr">
        <is>
          <t>Housing Carry</t>
        </is>
      </c>
      <c r="I608" s="83" t="inlineStr">
        <is>
          <t>Roth</t>
        </is>
      </c>
      <c r="J608" s="83" t="inlineStr">
        <is>
          <t>Taxable Sav / (Draw)</t>
        </is>
      </c>
      <c r="K608" s="83" t="inlineStr">
        <is>
          <t>Planned Need</t>
        </is>
      </c>
      <c r="L608" s="83" t="inlineStr">
        <is>
          <t>Actual W/D</t>
        </is>
      </c>
      <c r="M608" s="83" t="inlineStr">
        <is>
          <t>Taxable Draw</t>
        </is>
      </c>
      <c r="N608" s="83" t="inlineStr">
        <is>
          <t>401(k) Draw</t>
        </is>
      </c>
      <c r="O608" s="83" t="inlineStr">
        <is>
          <t>Roth Draw</t>
        </is>
      </c>
      <c r="P608" s="83" t="inlineStr">
        <is>
          <t>HSA Draw</t>
        </is>
      </c>
      <c r="Q608" s="83" t="inlineStr">
        <is>
          <t>Taxable Bal</t>
        </is>
      </c>
      <c r="R608" s="83" t="inlineStr">
        <is>
          <t>401(k) Bal</t>
        </is>
      </c>
      <c r="S608" s="83" t="inlineStr">
        <is>
          <t>Roth Bal</t>
        </is>
      </c>
      <c r="T608" s="83" t="inlineStr">
        <is>
          <t>HSA Bal</t>
        </is>
      </c>
      <c r="U608" s="83" t="inlineStr">
        <is>
          <t>Liquid Wealth</t>
        </is>
      </c>
      <c r="V608" s="83" t="inlineStr">
        <is>
          <t>Funding Gap</t>
        </is>
      </c>
      <c r="W608" s="83" t="inlineStr">
        <is>
          <t>Margin vs Reserve</t>
        </is>
      </c>
      <c r="X608" s="83" t="inlineStr">
        <is>
          <t>House Value</t>
        </is>
      </c>
      <c r="Y608" s="83" t="inlineStr">
        <is>
          <t>Mortgage Balance</t>
        </is>
      </c>
      <c r="Z608" s="83" t="inlineStr">
        <is>
          <t>Home Equity</t>
        </is>
      </c>
      <c r="AA608" s="135" t="inlineStr">
        <is>
          <t>Net Worth</t>
        </is>
      </c>
      <c r="AB608" s="5" t="n"/>
      <c r="AC608" s="5" t="n"/>
      <c r="AD608" s="5" t="n"/>
      <c r="AE608" s="5" t="n"/>
      <c r="AF608" s="5" t="n"/>
      <c r="AG608" s="5" t="n"/>
    </row>
    <row r="609" outlineLevel="1" s="326">
      <c r="A609" s="136" t="n">
        <v>1</v>
      </c>
      <c r="B609" s="72">
        <f>B80</f>
        <v/>
      </c>
      <c r="C609" s="137">
        <f>D80</f>
        <v/>
      </c>
      <c r="D609" s="137">
        <f>I80</f>
        <v/>
      </c>
      <c r="E609" s="137">
        <f>J80</f>
        <v/>
      </c>
      <c r="F609" s="137">
        <f>K80</f>
        <v/>
      </c>
      <c r="G609" s="138">
        <f>IF(AND($L$235&gt;0,A609=$C$13),$L$235*($C$15+$C$18),0)+IF(AND($L$235&gt;0,A609=$C$13),$C$24,0)</f>
        <v/>
      </c>
      <c r="H609" s="138">
        <f>IF(OR($L$235&lt;=0,A609&lt;$C$13),0,IF(AND($L$235&gt;0,$C$17&gt;0,A609&gt;=$C$13,A609&lt;($C$13+$C$17)),IF($C$17&lt;=0,0,IF($C$16=0,MAX($L$235*(1-$C$15),0)/$C$17,-PMT($C$16/12,$C$17*12,MAX($L$235*(1-$C$15),0))*12)),0)+X609*($C$19+$C$20+$C$21)+$C$22+$C$23)</f>
        <v/>
      </c>
      <c r="I609" s="138">
        <f>IF(B609="Working",MIN(MAX(D609-E609-F609-G609-H609,0),'Tax Assumptions'!$B$20),0)</f>
        <v/>
      </c>
      <c r="J609" s="138">
        <f>IF(B609="Working",D609-E609-F609-I609-G609-H609,-L609)</f>
        <v/>
      </c>
      <c r="K609" s="137">
        <f>IF(B609="Retired",$N$235+G609+H609,0)</f>
        <v/>
      </c>
      <c r="L609" s="137">
        <f>M609+N609+O609+P609</f>
        <v/>
      </c>
      <c r="M609" s="137">
        <f>IF(B609="Retired",MIN((('Savings Projection'!$B$7)*(1+$C$10)+IF(B609="Working",J609,0)),K609),0)</f>
        <v/>
      </c>
      <c r="N609" s="137">
        <f>IF(B609="Retired",MIN(MAX(K609-M609,0),(('Savings Projection'!$B$8)*(1+$C$10)+IF(B609="Working",E80,0))),0)</f>
        <v/>
      </c>
      <c r="O609" s="137">
        <f>IF(B609="Retired",MIN(MAX(K609-M609-N609,0),(('Savings Projection'!$B$9)*(1+$C$10)+IF(B609="Working",I609,0))),0)</f>
        <v/>
      </c>
      <c r="P609" s="137">
        <f>IF(B609="Retired",MIN(MAX(K609-M609-N609-O609,0),(('Savings Projection'!$B$10)*(1+$C$10)+IF(B609="Working",F80,0))),0)</f>
        <v/>
      </c>
      <c r="Q609" s="138">
        <f>MAX((('Savings Projection'!$B$7)*(1+$C$10)+IF(B609="Working",J609,0))-M609,0)</f>
        <v/>
      </c>
      <c r="R609" s="138">
        <f>MAX((('Savings Projection'!$B$8)*(1+$C$10)+IF(B609="Working",E80,0))-N609,0)</f>
        <v/>
      </c>
      <c r="S609" s="138">
        <f>MAX((('Savings Projection'!$B$9)*(1+$C$10)+IF(B609="Working",I609,0))-O609,0)</f>
        <v/>
      </c>
      <c r="T609" s="138">
        <f>MAX((('Savings Projection'!$B$10)*(1+$C$10)+IF(B609="Working",F80,0))-P609,0)</f>
        <v/>
      </c>
      <c r="U609" s="138">
        <f>Q609+R609+S609+T609</f>
        <v/>
      </c>
      <c r="V609" s="138">
        <f>IF(B609="Working",MAX(-((('Savings Projection'!$B$7)*(1+$C$10)+IF(B609="Working",J609,0))),0),MAX(K609-L609,0))</f>
        <v/>
      </c>
      <c r="W609" s="138">
        <f>IF(OR(A609&gt;=$C$13,B609="Retired"),IF(V609&gt;0,-V609,U609-'Model Inputs'!$B$18),"")</f>
        <v/>
      </c>
      <c r="X609" s="138">
        <f>IF(AND($L$235&gt;0,A609&gt;=$C$13),$L$235*(1+$C$25)^(A609-$C$13),0)</f>
        <v/>
      </c>
      <c r="Y609" s="138">
        <f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/>
      </c>
      <c r="Z609" s="138">
        <f>MAX(X609-Y609,0)</f>
        <v/>
      </c>
      <c r="AA609" s="139">
        <f>U609+Z609</f>
        <v/>
      </c>
      <c r="AB609" s="5" t="n"/>
      <c r="AC609" s="5" t="n"/>
      <c r="AD609" s="5" t="n"/>
      <c r="AE609" s="5" t="n"/>
      <c r="AF609" s="5" t="n"/>
      <c r="AG609" s="5" t="n"/>
    </row>
    <row r="610" outlineLevel="1" s="326">
      <c r="A610" s="140" t="n">
        <v>2</v>
      </c>
      <c r="B610" s="40">
        <f>B81</f>
        <v/>
      </c>
      <c r="C610" s="141">
        <f>D81</f>
        <v/>
      </c>
      <c r="D610" s="141">
        <f>I81</f>
        <v/>
      </c>
      <c r="E610" s="141">
        <f>J81</f>
        <v/>
      </c>
      <c r="F610" s="141">
        <f>K81</f>
        <v/>
      </c>
      <c r="G610" s="138">
        <f>IF(AND($L$235&gt;0,A610=$C$13),$L$235*($C$15+$C$18),0)+IF(AND($L$235&gt;0,A610=$C$13),$C$24,0)</f>
        <v/>
      </c>
      <c r="H610" s="138">
        <f>IF(OR($L$235&lt;=0,A610&lt;$C$13),0,IF(AND($L$235&gt;0,$C$17&gt;0,A610&gt;=$C$13,A610&lt;($C$13+$C$17)),IF($C$17&lt;=0,0,IF($C$16=0,MAX($L$235*(1-$C$15),0)/$C$17,-PMT($C$16/12,$C$17*12,MAX($L$235*(1-$C$15),0))*12)),0)+X610*($C$19+$C$20+$C$21)+$C$22+$C$23)</f>
        <v/>
      </c>
      <c r="I610" s="138">
        <f>IF(B610="Working",MIN(MAX(D610-E610-F610-G610-H610,0),'Tax Assumptions'!$B$20),0)</f>
        <v/>
      </c>
      <c r="J610" s="138">
        <f>IF(B610="Working",D610-E610-F610-I610-G610-H610,-L610)</f>
        <v/>
      </c>
      <c r="K610" s="141">
        <f>IF(B610="Retired",$N$235+G610+H610,0)</f>
        <v/>
      </c>
      <c r="L610" s="141">
        <f>M610+N610+O610+P610</f>
        <v/>
      </c>
      <c r="M610" s="141">
        <f>IF(B610="Retired",MIN(((Q609)*(1+$C$10)+IF(B610="Working",J610,0)),K610),0)</f>
        <v/>
      </c>
      <c r="N610" s="141">
        <f>IF(B610="Retired",MIN(MAX(K610-M610,0),((R609)*(1+$C$10)+IF(B610="Working",E81,0))),0)</f>
        <v/>
      </c>
      <c r="O610" s="141">
        <f>IF(B610="Retired",MIN(MAX(K610-M610-N610,0),((S609)*(1+$C$10)+IF(B610="Working",I610,0))),0)</f>
        <v/>
      </c>
      <c r="P610" s="141">
        <f>IF(B610="Retired",MIN(MAX(K610-M610-N610-O610,0),((T609)*(1+$C$10)+IF(B610="Working",F81,0))),0)</f>
        <v/>
      </c>
      <c r="Q610" s="138">
        <f>MAX(((Q609)*(1+$C$10)+IF(B610="Working",J610,0))-M610,0)</f>
        <v/>
      </c>
      <c r="R610" s="138">
        <f>MAX(((R609)*(1+$C$10)+IF(B610="Working",E81,0))-N610,0)</f>
        <v/>
      </c>
      <c r="S610" s="138">
        <f>MAX(((S609)*(1+$C$10)+IF(B610="Working",I610,0))-O610,0)</f>
        <v/>
      </c>
      <c r="T610" s="138">
        <f>MAX(((T609)*(1+$C$10)+IF(B610="Working",F81,0))-P610,0)</f>
        <v/>
      </c>
      <c r="U610" s="138">
        <f>Q610+R610+S610+T610</f>
        <v/>
      </c>
      <c r="V610" s="138">
        <f>IF(B610="Working",MAX(-(((Q609)*(1+$C$10)+IF(B610="Working",J610,0))),0),MAX(K610-L610,0))</f>
        <v/>
      </c>
      <c r="W610" s="138">
        <f>IF(OR(A610&gt;=$C$13,B610="Retired"),IF(V610&gt;0,-V610,U610-'Model Inputs'!$B$18),"")</f>
        <v/>
      </c>
      <c r="X610" s="138">
        <f>IF(AND($L$235&gt;0,A610&gt;=$C$13),$L$235*(1+$C$25)^(A610-$C$13),0)</f>
        <v/>
      </c>
      <c r="Y610" s="138">
        <f>IF(OR($L$235&lt;=0,$C$17&lt;=0,A610&lt;$C$13,MIN(MAX((A610-$C$13+1)*12,0),$C$17*12)&gt;=$C$17*12),0,IF($C$16=0,MAX(MAX($L$235*(1-$C$15),0)-(IF($C$17&lt;=0,0,IF($C$16=0,MAX($L$235*(1-$C$15),0)/$C$17,-PMT($C$16/12,$C$17*12,MAX($L$235*(1-$C$15),0))*12))/12)*MIN(MAX((A610-$C$13+1)*12,0),$C$17*12),0),MAX(MAX($L$235*(1-$C$15),0)*(1+$C$16/12)^MIN(MAX((A610-$C$13+1)*12,0),$C$17*12)-(IF($C$17&lt;=0,0,IF($C$16=0,MAX($L$235*(1-$C$15),0)/$C$17,-PMT($C$16/12,$C$17*12,MAX($L$235*(1-$C$15),0))*12))/12)*(((1+$C$16/12)^MIN(MAX((A610-$C$13+1)*12,0),$C$17*12)-1)/($C$16/12)),0)))</f>
        <v/>
      </c>
      <c r="Z610" s="138">
        <f>MAX(X610-Y610,0)</f>
        <v/>
      </c>
      <c r="AA610" s="142">
        <f>U610+Z610</f>
        <v/>
      </c>
      <c r="AB610" s="5" t="n"/>
      <c r="AC610" s="5" t="n"/>
      <c r="AD610" s="5" t="n"/>
      <c r="AE610" s="5" t="n"/>
      <c r="AF610" s="5" t="n"/>
      <c r="AG610" s="5" t="n"/>
    </row>
    <row r="611" outlineLevel="1" s="326">
      <c r="A611" s="136" t="n">
        <v>3</v>
      </c>
      <c r="B611" s="72">
        <f>B82</f>
        <v/>
      </c>
      <c r="C611" s="137">
        <f>D82</f>
        <v/>
      </c>
      <c r="D611" s="137">
        <f>I82</f>
        <v/>
      </c>
      <c r="E611" s="137">
        <f>J82</f>
        <v/>
      </c>
      <c r="F611" s="137">
        <f>K82</f>
        <v/>
      </c>
      <c r="G611" s="138">
        <f>IF(AND($L$235&gt;0,A611=$C$13),$L$235*($C$15+$C$18),0)+IF(AND($L$235&gt;0,A611=$C$13),$C$24,0)</f>
        <v/>
      </c>
      <c r="H611" s="138">
        <f>IF(OR($L$235&lt;=0,A611&lt;$C$13),0,IF(AND($L$235&gt;0,$C$17&gt;0,A611&gt;=$C$13,A611&lt;($C$13+$C$17)),IF($C$17&lt;=0,0,IF($C$16=0,MAX($L$235*(1-$C$15),0)/$C$17,-PMT($C$16/12,$C$17*12,MAX($L$235*(1-$C$15),0))*12)),0)+X611*($C$19+$C$20+$C$21)+$C$22+$C$23)</f>
        <v/>
      </c>
      <c r="I611" s="138">
        <f>IF(B611="Working",MIN(MAX(D611-E611-F611-G611-H611,0),'Tax Assumptions'!$B$20),0)</f>
        <v/>
      </c>
      <c r="J611" s="138">
        <f>IF(B611="Working",D611-E611-F611-I611-G611-H611,-L611)</f>
        <v/>
      </c>
      <c r="K611" s="137">
        <f>IF(B611="Retired",$N$235+G611+H611,0)</f>
        <v/>
      </c>
      <c r="L611" s="137">
        <f>M611+N611+O611+P611</f>
        <v/>
      </c>
      <c r="M611" s="137">
        <f>IF(B611="Retired",MIN(((Q610)*(1+$C$10)+IF(B611="Working",J611,0)),K611),0)</f>
        <v/>
      </c>
      <c r="N611" s="137">
        <f>IF(B611="Retired",MIN(MAX(K611-M611,0),((R610)*(1+$C$10)+IF(B611="Working",E82,0))),0)</f>
        <v/>
      </c>
      <c r="O611" s="137">
        <f>IF(B611="Retired",MIN(MAX(K611-M611-N611,0),((S610)*(1+$C$10)+IF(B611="Working",I611,0))),0)</f>
        <v/>
      </c>
      <c r="P611" s="137">
        <f>IF(B611="Retired",MIN(MAX(K611-M611-N611-O611,0),((T610)*(1+$C$10)+IF(B611="Working",F82,0))),0)</f>
        <v/>
      </c>
      <c r="Q611" s="138">
        <f>MAX(((Q610)*(1+$C$10)+IF(B611="Working",J611,0))-M611,0)</f>
        <v/>
      </c>
      <c r="R611" s="138">
        <f>MAX(((R610)*(1+$C$10)+IF(B611="Working",E82,0))-N611,0)</f>
        <v/>
      </c>
      <c r="S611" s="138">
        <f>MAX(((S610)*(1+$C$10)+IF(B611="Working",I611,0))-O611,0)</f>
        <v/>
      </c>
      <c r="T611" s="138">
        <f>MAX(((T610)*(1+$C$10)+IF(B611="Working",F82,0))-P611,0)</f>
        <v/>
      </c>
      <c r="U611" s="138">
        <f>Q611+R611+S611+T611</f>
        <v/>
      </c>
      <c r="V611" s="138">
        <f>IF(B611="Working",MAX(-(((Q610)*(1+$C$10)+IF(B611="Working",J611,0))),0),MAX(K611-L611,0))</f>
        <v/>
      </c>
      <c r="W611" s="138">
        <f>IF(OR(A611&gt;=$C$13,B611="Retired"),IF(V611&gt;0,-V611,U611-'Model Inputs'!$B$18),"")</f>
        <v/>
      </c>
      <c r="X611" s="138">
        <f>IF(AND($L$235&gt;0,A611&gt;=$C$13),$L$235*(1+$C$25)^(A611-$C$13),0)</f>
        <v/>
      </c>
      <c r="Y611" s="138">
        <f>IF(OR($L$235&lt;=0,$C$17&lt;=0,A611&lt;$C$13,MIN(MAX((A611-$C$13+1)*12,0),$C$17*12)&gt;=$C$17*12),0,IF($C$16=0,MAX(MAX($L$235*(1-$C$15),0)-(IF($C$17&lt;=0,0,IF($C$16=0,MAX($L$235*(1-$C$15),0)/$C$17,-PMT($C$16/12,$C$17*12,MAX($L$235*(1-$C$15),0))*12))/12)*MIN(MAX((A611-$C$13+1)*12,0),$C$17*12),0),MAX(MAX($L$235*(1-$C$15),0)*(1+$C$16/12)^MIN(MAX((A611-$C$13+1)*12,0),$C$17*12)-(IF($C$17&lt;=0,0,IF($C$16=0,MAX($L$235*(1-$C$15),0)/$C$17,-PMT($C$16/12,$C$17*12,MAX($L$235*(1-$C$15),0))*12))/12)*(((1+$C$16/12)^MIN(MAX((A611-$C$13+1)*12,0),$C$17*12)-1)/($C$16/12)),0)))</f>
        <v/>
      </c>
      <c r="Z611" s="138">
        <f>MAX(X611-Y611,0)</f>
        <v/>
      </c>
      <c r="AA611" s="139">
        <f>U611+Z611</f>
        <v/>
      </c>
      <c r="AB611" s="5" t="n"/>
      <c r="AC611" s="5" t="n"/>
      <c r="AD611" s="5" t="n"/>
      <c r="AE611" s="5" t="n"/>
      <c r="AF611" s="5" t="n"/>
      <c r="AG611" s="5" t="n"/>
    </row>
    <row r="612" outlineLevel="1" s="326">
      <c r="A612" s="140" t="n">
        <v>4</v>
      </c>
      <c r="B612" s="40">
        <f>B83</f>
        <v/>
      </c>
      <c r="C612" s="141">
        <f>D83</f>
        <v/>
      </c>
      <c r="D612" s="141">
        <f>I83</f>
        <v/>
      </c>
      <c r="E612" s="141">
        <f>J83</f>
        <v/>
      </c>
      <c r="F612" s="141">
        <f>K83</f>
        <v/>
      </c>
      <c r="G612" s="138">
        <f>IF(AND($L$235&gt;0,A612=$C$13),$L$235*($C$15+$C$18),0)+IF(AND($L$235&gt;0,A612=$C$13),$C$24,0)</f>
        <v/>
      </c>
      <c r="H612" s="138">
        <f>IF(OR($L$235&lt;=0,A612&lt;$C$13),0,IF(AND($L$235&gt;0,$C$17&gt;0,A612&gt;=$C$13,A612&lt;($C$13+$C$17)),IF($C$17&lt;=0,0,IF($C$16=0,MAX($L$235*(1-$C$15),0)/$C$17,-PMT($C$16/12,$C$17*12,MAX($L$235*(1-$C$15),0))*12)),0)+X612*($C$19+$C$20+$C$21)+$C$22+$C$23)</f>
        <v/>
      </c>
      <c r="I612" s="138">
        <f>IF(B612="Working",MIN(MAX(D612-E612-F612-G612-H612,0),'Tax Assumptions'!$B$20),0)</f>
        <v/>
      </c>
      <c r="J612" s="138">
        <f>IF(B612="Working",D612-E612-F612-I612-G612-H612,-L612)</f>
        <v/>
      </c>
      <c r="K612" s="141">
        <f>IF(B612="Retired",$N$235+G612+H612,0)</f>
        <v/>
      </c>
      <c r="L612" s="141">
        <f>M612+N612+O612+P612</f>
        <v/>
      </c>
      <c r="M612" s="141">
        <f>IF(B612="Retired",MIN(((Q611)*(1+$C$10)+IF(B612="Working",J612,0)),K612),0)</f>
        <v/>
      </c>
      <c r="N612" s="141">
        <f>IF(B612="Retired",MIN(MAX(K612-M612,0),((R611)*(1+$C$10)+IF(B612="Working",E83,0))),0)</f>
        <v/>
      </c>
      <c r="O612" s="141">
        <f>IF(B612="Retired",MIN(MAX(K612-M612-N612,0),((S611)*(1+$C$10)+IF(B612="Working",I612,0))),0)</f>
        <v/>
      </c>
      <c r="P612" s="141">
        <f>IF(B612="Retired",MIN(MAX(K612-M612-N612-O612,0),((T611)*(1+$C$10)+IF(B612="Working",F83,0))),0)</f>
        <v/>
      </c>
      <c r="Q612" s="138">
        <f>MAX(((Q611)*(1+$C$10)+IF(B612="Working",J612,0))-M612,0)</f>
        <v/>
      </c>
      <c r="R612" s="138">
        <f>MAX(((R611)*(1+$C$10)+IF(B612="Working",E83,0))-N612,0)</f>
        <v/>
      </c>
      <c r="S612" s="138">
        <f>MAX(((S611)*(1+$C$10)+IF(B612="Working",I612,0))-O612,0)</f>
        <v/>
      </c>
      <c r="T612" s="138">
        <f>MAX(((T611)*(1+$C$10)+IF(B612="Working",F83,0))-P612,0)</f>
        <v/>
      </c>
      <c r="U612" s="138">
        <f>Q612+R612+S612+T612</f>
        <v/>
      </c>
      <c r="V612" s="138">
        <f>IF(B612="Working",MAX(-(((Q611)*(1+$C$10)+IF(B612="Working",J612,0))),0),MAX(K612-L612,0))</f>
        <v/>
      </c>
      <c r="W612" s="138">
        <f>IF(OR(A612&gt;=$C$13,B612="Retired"),IF(V612&gt;0,-V612,U612-'Model Inputs'!$B$18),"")</f>
        <v/>
      </c>
      <c r="X612" s="138">
        <f>IF(AND($L$235&gt;0,A612&gt;=$C$13),$L$235*(1+$C$25)^(A612-$C$13),0)</f>
        <v/>
      </c>
      <c r="Y612" s="138">
        <f>IF(OR($L$235&lt;=0,$C$17&lt;=0,A612&lt;$C$13,MIN(MAX((A612-$C$13+1)*12,0),$C$17*12)&gt;=$C$17*12),0,IF($C$16=0,MAX(MAX($L$235*(1-$C$15),0)-(IF($C$17&lt;=0,0,IF($C$16=0,MAX($L$235*(1-$C$15),0)/$C$17,-PMT($C$16/12,$C$17*12,MAX($L$235*(1-$C$15),0))*12))/12)*MIN(MAX((A612-$C$13+1)*12,0),$C$17*12),0),MAX(MAX($L$235*(1-$C$15),0)*(1+$C$16/12)^MIN(MAX((A612-$C$13+1)*12,0),$C$17*12)-(IF($C$17&lt;=0,0,IF($C$16=0,MAX($L$235*(1-$C$15),0)/$C$17,-PMT($C$16/12,$C$17*12,MAX($L$235*(1-$C$15),0))*12))/12)*(((1+$C$16/12)^MIN(MAX((A612-$C$13+1)*12,0),$C$17*12)-1)/($C$16/12)),0)))</f>
        <v/>
      </c>
      <c r="Z612" s="138">
        <f>MAX(X612-Y612,0)</f>
        <v/>
      </c>
      <c r="AA612" s="142">
        <f>U612+Z612</f>
        <v/>
      </c>
      <c r="AB612" s="5" t="n"/>
      <c r="AC612" s="5" t="n"/>
      <c r="AD612" s="5" t="n"/>
      <c r="AE612" s="5" t="n"/>
      <c r="AF612" s="5" t="n"/>
      <c r="AG612" s="5" t="n"/>
    </row>
    <row r="613" outlineLevel="1" s="326">
      <c r="A613" s="136" t="n">
        <v>5</v>
      </c>
      <c r="B613" s="72">
        <f>B84</f>
        <v/>
      </c>
      <c r="C613" s="137">
        <f>D84</f>
        <v/>
      </c>
      <c r="D613" s="137">
        <f>I84</f>
        <v/>
      </c>
      <c r="E613" s="137">
        <f>J84</f>
        <v/>
      </c>
      <c r="F613" s="137">
        <f>K84</f>
        <v/>
      </c>
      <c r="G613" s="138">
        <f>IF(AND($L$235&gt;0,A613=$C$13),$L$235*($C$15+$C$18),0)+IF(AND($L$235&gt;0,A613=$C$13),$C$24,0)</f>
        <v/>
      </c>
      <c r="H613" s="138">
        <f>IF(OR($L$235&lt;=0,A613&lt;$C$13),0,IF(AND($L$235&gt;0,$C$17&gt;0,A613&gt;=$C$13,A613&lt;($C$13+$C$17)),IF($C$17&lt;=0,0,IF($C$16=0,MAX($L$235*(1-$C$15),0)/$C$17,-PMT($C$16/12,$C$17*12,MAX($L$235*(1-$C$15),0))*12)),0)+X613*($C$19+$C$20+$C$21)+$C$22+$C$23)</f>
        <v/>
      </c>
      <c r="I613" s="138">
        <f>IF(B613="Working",MIN(MAX(D613-E613-F613-G613-H613,0),'Tax Assumptions'!$B$20),0)</f>
        <v/>
      </c>
      <c r="J613" s="138">
        <f>IF(B613="Working",D613-E613-F613-I613-G613-H613,-L613)</f>
        <v/>
      </c>
      <c r="K613" s="137">
        <f>IF(B613="Retired",$N$235+G613+H613,0)</f>
        <v/>
      </c>
      <c r="L613" s="137">
        <f>M613+N613+O613+P613</f>
        <v/>
      </c>
      <c r="M613" s="137">
        <f>IF(B613="Retired",MIN(((Q612)*(1+$C$10)+IF(B613="Working",J613,0)),K613),0)</f>
        <v/>
      </c>
      <c r="N613" s="137">
        <f>IF(B613="Retired",MIN(MAX(K613-M613,0),((R612)*(1+$C$10)+IF(B613="Working",E84,0))),0)</f>
        <v/>
      </c>
      <c r="O613" s="137">
        <f>IF(B613="Retired",MIN(MAX(K613-M613-N613,0),((S612)*(1+$C$10)+IF(B613="Working",I613,0))),0)</f>
        <v/>
      </c>
      <c r="P613" s="137">
        <f>IF(B613="Retired",MIN(MAX(K613-M613-N613-O613,0),((T612)*(1+$C$10)+IF(B613="Working",F84,0))),0)</f>
        <v/>
      </c>
      <c r="Q613" s="138">
        <f>MAX(((Q612)*(1+$C$10)+IF(B613="Working",J613,0))-M613,0)</f>
        <v/>
      </c>
      <c r="R613" s="138">
        <f>MAX(((R612)*(1+$C$10)+IF(B613="Working",E84,0))-N613,0)</f>
        <v/>
      </c>
      <c r="S613" s="138">
        <f>MAX(((S612)*(1+$C$10)+IF(B613="Working",I613,0))-O613,0)</f>
        <v/>
      </c>
      <c r="T613" s="138">
        <f>MAX(((T612)*(1+$C$10)+IF(B613="Working",F84,0))-P613,0)</f>
        <v/>
      </c>
      <c r="U613" s="138">
        <f>Q613+R613+S613+T613</f>
        <v/>
      </c>
      <c r="V613" s="138">
        <f>IF(B613="Working",MAX(-(((Q612)*(1+$C$10)+IF(B613="Working",J613,0))),0),MAX(K613-L613,0))</f>
        <v/>
      </c>
      <c r="W613" s="138">
        <f>IF(OR(A613&gt;=$C$13,B613="Retired"),IF(V613&gt;0,-V613,U613-'Model Inputs'!$B$18),"")</f>
        <v/>
      </c>
      <c r="X613" s="138">
        <f>IF(AND($L$235&gt;0,A613&gt;=$C$13),$L$235*(1+$C$25)^(A613-$C$13),0)</f>
        <v/>
      </c>
      <c r="Y613" s="138">
        <f>IF(OR($L$235&lt;=0,$C$17&lt;=0,A613&lt;$C$13,MIN(MAX((A613-$C$13+1)*12,0),$C$17*12)&gt;=$C$17*12),0,IF($C$16=0,MAX(MAX($L$235*(1-$C$15),0)-(IF($C$17&lt;=0,0,IF($C$16=0,MAX($L$235*(1-$C$15),0)/$C$17,-PMT($C$16/12,$C$17*12,MAX($L$235*(1-$C$15),0))*12))/12)*MIN(MAX((A613-$C$13+1)*12,0),$C$17*12),0),MAX(MAX($L$235*(1-$C$15),0)*(1+$C$16/12)^MIN(MAX((A613-$C$13+1)*12,0),$C$17*12)-(IF($C$17&lt;=0,0,IF($C$16=0,MAX($L$235*(1-$C$15),0)/$C$17,-PMT($C$16/12,$C$17*12,MAX($L$235*(1-$C$15),0))*12))/12)*(((1+$C$16/12)^MIN(MAX((A613-$C$13+1)*12,0),$C$17*12)-1)/($C$16/12)),0)))</f>
        <v/>
      </c>
      <c r="Z613" s="138">
        <f>MAX(X613-Y613,0)</f>
        <v/>
      </c>
      <c r="AA613" s="139">
        <f>U613+Z613</f>
        <v/>
      </c>
      <c r="AB613" s="5" t="n"/>
      <c r="AC613" s="5" t="n"/>
      <c r="AD613" s="5" t="n"/>
      <c r="AE613" s="5" t="n"/>
      <c r="AF613" s="5" t="n"/>
      <c r="AG613" s="5" t="n"/>
    </row>
    <row r="614" outlineLevel="1" s="326">
      <c r="A614" s="140" t="n">
        <v>6</v>
      </c>
      <c r="B614" s="40">
        <f>B85</f>
        <v/>
      </c>
      <c r="C614" s="141">
        <f>D85</f>
        <v/>
      </c>
      <c r="D614" s="141">
        <f>I85</f>
        <v/>
      </c>
      <c r="E614" s="141">
        <f>J85</f>
        <v/>
      </c>
      <c r="F614" s="141">
        <f>K85</f>
        <v/>
      </c>
      <c r="G614" s="138">
        <f>IF(AND($L$235&gt;0,A614=$C$13),$L$235*($C$15+$C$18),0)+IF(AND($L$235&gt;0,A614=$C$13),$C$24,0)</f>
        <v/>
      </c>
      <c r="H614" s="138">
        <f>IF(OR($L$235&lt;=0,A614&lt;$C$13),0,IF(AND($L$235&gt;0,$C$17&gt;0,A614&gt;=$C$13,A614&lt;($C$13+$C$17)),IF($C$17&lt;=0,0,IF($C$16=0,MAX($L$235*(1-$C$15),0)/$C$17,-PMT($C$16/12,$C$17*12,MAX($L$235*(1-$C$15),0))*12)),0)+X614*($C$19+$C$20+$C$21)+$C$22+$C$23)</f>
        <v/>
      </c>
      <c r="I614" s="138">
        <f>IF(B614="Working",MIN(MAX(D614-E614-F614-G614-H614,0),'Tax Assumptions'!$B$20),0)</f>
        <v/>
      </c>
      <c r="J614" s="138">
        <f>IF(B614="Working",D614-E614-F614-I614-G614-H614,-L614)</f>
        <v/>
      </c>
      <c r="K614" s="141">
        <f>IF(B614="Retired",$N$235+G614+H614,0)</f>
        <v/>
      </c>
      <c r="L614" s="141">
        <f>M614+N614+O614+P614</f>
        <v/>
      </c>
      <c r="M614" s="141">
        <f>IF(B614="Retired",MIN(((Q613)*(1+$C$10)+IF(B614="Working",J614,0)),K614),0)</f>
        <v/>
      </c>
      <c r="N614" s="141">
        <f>IF(B614="Retired",MIN(MAX(K614-M614,0),((R613)*(1+$C$10)+IF(B614="Working",E85,0))),0)</f>
        <v/>
      </c>
      <c r="O614" s="141">
        <f>IF(B614="Retired",MIN(MAX(K614-M614-N614,0),((S613)*(1+$C$10)+IF(B614="Working",I614,0))),0)</f>
        <v/>
      </c>
      <c r="P614" s="141">
        <f>IF(B614="Retired",MIN(MAX(K614-M614-N614-O614,0),((T613)*(1+$C$10)+IF(B614="Working",F85,0))),0)</f>
        <v/>
      </c>
      <c r="Q614" s="138">
        <f>MAX(((Q613)*(1+$C$10)+IF(B614="Working",J614,0))-M614,0)</f>
        <v/>
      </c>
      <c r="R614" s="138">
        <f>MAX(((R613)*(1+$C$10)+IF(B614="Working",E85,0))-N614,0)</f>
        <v/>
      </c>
      <c r="S614" s="138">
        <f>MAX(((S613)*(1+$C$10)+IF(B614="Working",I614,0))-O614,0)</f>
        <v/>
      </c>
      <c r="T614" s="138">
        <f>MAX(((T613)*(1+$C$10)+IF(B614="Working",F85,0))-P614,0)</f>
        <v/>
      </c>
      <c r="U614" s="138">
        <f>Q614+R614+S614+T614</f>
        <v/>
      </c>
      <c r="V614" s="138">
        <f>IF(B614="Working",MAX(-(((Q613)*(1+$C$10)+IF(B614="Working",J614,0))),0),MAX(K614-L614,0))</f>
        <v/>
      </c>
      <c r="W614" s="138">
        <f>IF(OR(A614&gt;=$C$13,B614="Retired"),IF(V614&gt;0,-V614,U614-'Model Inputs'!$B$18),"")</f>
        <v/>
      </c>
      <c r="X614" s="138">
        <f>IF(AND($L$235&gt;0,A614&gt;=$C$13),$L$235*(1+$C$25)^(A614-$C$13),0)</f>
        <v/>
      </c>
      <c r="Y614" s="138">
        <f>IF(OR($L$235&lt;=0,$C$17&lt;=0,A614&lt;$C$13,MIN(MAX((A614-$C$13+1)*12,0),$C$17*12)&gt;=$C$17*12),0,IF($C$16=0,MAX(MAX($L$235*(1-$C$15),0)-(IF($C$17&lt;=0,0,IF($C$16=0,MAX($L$235*(1-$C$15),0)/$C$17,-PMT($C$16/12,$C$17*12,MAX($L$235*(1-$C$15),0))*12))/12)*MIN(MAX((A614-$C$13+1)*12,0),$C$17*12),0),MAX(MAX($L$235*(1-$C$15),0)*(1+$C$16/12)^MIN(MAX((A614-$C$13+1)*12,0),$C$17*12)-(IF($C$17&lt;=0,0,IF($C$16=0,MAX($L$235*(1-$C$15),0)/$C$17,-PMT($C$16/12,$C$17*12,MAX($L$235*(1-$C$15),0))*12))/12)*(((1+$C$16/12)^MIN(MAX((A614-$C$13+1)*12,0),$C$17*12)-1)/($C$16/12)),0)))</f>
        <v/>
      </c>
      <c r="Z614" s="138">
        <f>MAX(X614-Y614,0)</f>
        <v/>
      </c>
      <c r="AA614" s="142">
        <f>U614+Z614</f>
        <v/>
      </c>
      <c r="AB614" s="5" t="n"/>
      <c r="AC614" s="5" t="n"/>
      <c r="AD614" s="5" t="n"/>
      <c r="AE614" s="5" t="n"/>
      <c r="AF614" s="5" t="n"/>
      <c r="AG614" s="5" t="n"/>
    </row>
    <row r="615" outlineLevel="1" s="326">
      <c r="A615" s="136" t="n">
        <v>7</v>
      </c>
      <c r="B615" s="72">
        <f>B86</f>
        <v/>
      </c>
      <c r="C615" s="137">
        <f>D86</f>
        <v/>
      </c>
      <c r="D615" s="137">
        <f>I86</f>
        <v/>
      </c>
      <c r="E615" s="137">
        <f>J86</f>
        <v/>
      </c>
      <c r="F615" s="137">
        <f>K86</f>
        <v/>
      </c>
      <c r="G615" s="138">
        <f>IF(AND($L$235&gt;0,A615=$C$13),$L$235*($C$15+$C$18),0)+IF(AND($L$235&gt;0,A615=$C$13),$C$24,0)</f>
        <v/>
      </c>
      <c r="H615" s="138">
        <f>IF(OR($L$235&lt;=0,A615&lt;$C$13),0,IF(AND($L$235&gt;0,$C$17&gt;0,A615&gt;=$C$13,A615&lt;($C$13+$C$17)),IF($C$17&lt;=0,0,IF($C$16=0,MAX($L$235*(1-$C$15),0)/$C$17,-PMT($C$16/12,$C$17*12,MAX($L$235*(1-$C$15),0))*12)),0)+X615*($C$19+$C$20+$C$21)+$C$22+$C$23)</f>
        <v/>
      </c>
      <c r="I615" s="138">
        <f>IF(B615="Working",MIN(MAX(D615-E615-F615-G615-H615,0),'Tax Assumptions'!$B$20),0)</f>
        <v/>
      </c>
      <c r="J615" s="138">
        <f>IF(B615="Working",D615-E615-F615-I615-G615-H615,-L615)</f>
        <v/>
      </c>
      <c r="K615" s="137">
        <f>IF(B615="Retired",$N$235+G615+H615,0)</f>
        <v/>
      </c>
      <c r="L615" s="137">
        <f>M615+N615+O615+P615</f>
        <v/>
      </c>
      <c r="M615" s="137">
        <f>IF(B615="Retired",MIN(((Q614)*(1+$C$10)+IF(B615="Working",J615,0)),K615),0)</f>
        <v/>
      </c>
      <c r="N615" s="137">
        <f>IF(B615="Retired",MIN(MAX(K615-M615,0),((R614)*(1+$C$10)+IF(B615="Working",E86,0))),0)</f>
        <v/>
      </c>
      <c r="O615" s="137">
        <f>IF(B615="Retired",MIN(MAX(K615-M615-N615,0),((S614)*(1+$C$10)+IF(B615="Working",I615,0))),0)</f>
        <v/>
      </c>
      <c r="P615" s="137">
        <f>IF(B615="Retired",MIN(MAX(K615-M615-N615-O615,0),((T614)*(1+$C$10)+IF(B615="Working",F86,0))),0)</f>
        <v/>
      </c>
      <c r="Q615" s="138">
        <f>MAX(((Q614)*(1+$C$10)+IF(B615="Working",J615,0))-M615,0)</f>
        <v/>
      </c>
      <c r="R615" s="138">
        <f>MAX(((R614)*(1+$C$10)+IF(B615="Working",E86,0))-N615,0)</f>
        <v/>
      </c>
      <c r="S615" s="138">
        <f>MAX(((S614)*(1+$C$10)+IF(B615="Working",I615,0))-O615,0)</f>
        <v/>
      </c>
      <c r="T615" s="138">
        <f>MAX(((T614)*(1+$C$10)+IF(B615="Working",F86,0))-P615,0)</f>
        <v/>
      </c>
      <c r="U615" s="138">
        <f>Q615+R615+S615+T615</f>
        <v/>
      </c>
      <c r="V615" s="138">
        <f>IF(B615="Working",MAX(-(((Q614)*(1+$C$10)+IF(B615="Working",J615,0))),0),MAX(K615-L615,0))</f>
        <v/>
      </c>
      <c r="W615" s="138">
        <f>IF(OR(A615&gt;=$C$13,B615="Retired"),IF(V615&gt;0,-V615,U615-'Model Inputs'!$B$18),"")</f>
        <v/>
      </c>
      <c r="X615" s="138">
        <f>IF(AND($L$235&gt;0,A615&gt;=$C$13),$L$235*(1+$C$25)^(A615-$C$13),0)</f>
        <v/>
      </c>
      <c r="Y615" s="138">
        <f>IF(OR($L$235&lt;=0,$C$17&lt;=0,A615&lt;$C$13,MIN(MAX((A615-$C$13+1)*12,0),$C$17*12)&gt;=$C$17*12),0,IF($C$16=0,MAX(MAX($L$235*(1-$C$15),0)-(IF($C$17&lt;=0,0,IF($C$16=0,MAX($L$235*(1-$C$15),0)/$C$17,-PMT($C$16/12,$C$17*12,MAX($L$235*(1-$C$15),0))*12))/12)*MIN(MAX((A615-$C$13+1)*12,0),$C$17*12),0),MAX(MAX($L$235*(1-$C$15),0)*(1+$C$16/12)^MIN(MAX((A615-$C$13+1)*12,0),$C$17*12)-(IF($C$17&lt;=0,0,IF($C$16=0,MAX($L$235*(1-$C$15),0)/$C$17,-PMT($C$16/12,$C$17*12,MAX($L$235*(1-$C$15),0))*12))/12)*(((1+$C$16/12)^MIN(MAX((A615-$C$13+1)*12,0),$C$17*12)-1)/($C$16/12)),0)))</f>
        <v/>
      </c>
      <c r="Z615" s="138">
        <f>MAX(X615-Y615,0)</f>
        <v/>
      </c>
      <c r="AA615" s="139">
        <f>U615+Z615</f>
        <v/>
      </c>
      <c r="AB615" s="5" t="n"/>
      <c r="AC615" s="5" t="n"/>
      <c r="AD615" s="5" t="n"/>
      <c r="AE615" s="5" t="n"/>
      <c r="AF615" s="5" t="n"/>
      <c r="AG615" s="5" t="n"/>
    </row>
    <row r="616" outlineLevel="1" s="326">
      <c r="A616" s="140" t="n">
        <v>8</v>
      </c>
      <c r="B616" s="40">
        <f>B87</f>
        <v/>
      </c>
      <c r="C616" s="141">
        <f>D87</f>
        <v/>
      </c>
      <c r="D616" s="141">
        <f>I87</f>
        <v/>
      </c>
      <c r="E616" s="141">
        <f>J87</f>
        <v/>
      </c>
      <c r="F616" s="141">
        <f>K87</f>
        <v/>
      </c>
      <c r="G616" s="138">
        <f>IF(AND($L$235&gt;0,A616=$C$13),$L$235*($C$15+$C$18),0)+IF(AND($L$235&gt;0,A616=$C$13),$C$24,0)</f>
        <v/>
      </c>
      <c r="H616" s="138">
        <f>IF(OR($L$235&lt;=0,A616&lt;$C$13),0,IF(AND($L$235&gt;0,$C$17&gt;0,A616&gt;=$C$13,A616&lt;($C$13+$C$17)),IF($C$17&lt;=0,0,IF($C$16=0,MAX($L$235*(1-$C$15),0)/$C$17,-PMT($C$16/12,$C$17*12,MAX($L$235*(1-$C$15),0))*12)),0)+X616*($C$19+$C$20+$C$21)+$C$22+$C$23)</f>
        <v/>
      </c>
      <c r="I616" s="138">
        <f>IF(B616="Working",MIN(MAX(D616-E616-F616-G616-H616,0),'Tax Assumptions'!$B$20),0)</f>
        <v/>
      </c>
      <c r="J616" s="138">
        <f>IF(B616="Working",D616-E616-F616-I616-G616-H616,-L616)</f>
        <v/>
      </c>
      <c r="K616" s="141">
        <f>IF(B616="Retired",$N$235+G616+H616,0)</f>
        <v/>
      </c>
      <c r="L616" s="141">
        <f>M616+N616+O616+P616</f>
        <v/>
      </c>
      <c r="M616" s="141">
        <f>IF(B616="Retired",MIN(((Q615)*(1+$C$10)+IF(B616="Working",J616,0)),K616),0)</f>
        <v/>
      </c>
      <c r="N616" s="141">
        <f>IF(B616="Retired",MIN(MAX(K616-M616,0),((R615)*(1+$C$10)+IF(B616="Working",E87,0))),0)</f>
        <v/>
      </c>
      <c r="O616" s="141">
        <f>IF(B616="Retired",MIN(MAX(K616-M616-N616,0),((S615)*(1+$C$10)+IF(B616="Working",I616,0))),0)</f>
        <v/>
      </c>
      <c r="P616" s="141">
        <f>IF(B616="Retired",MIN(MAX(K616-M616-N616-O616,0),((T615)*(1+$C$10)+IF(B616="Working",F87,0))),0)</f>
        <v/>
      </c>
      <c r="Q616" s="138">
        <f>MAX(((Q615)*(1+$C$10)+IF(B616="Working",J616,0))-M616,0)</f>
        <v/>
      </c>
      <c r="R616" s="138">
        <f>MAX(((R615)*(1+$C$10)+IF(B616="Working",E87,0))-N616,0)</f>
        <v/>
      </c>
      <c r="S616" s="138">
        <f>MAX(((S615)*(1+$C$10)+IF(B616="Working",I616,0))-O616,0)</f>
        <v/>
      </c>
      <c r="T616" s="138">
        <f>MAX(((T615)*(1+$C$10)+IF(B616="Working",F87,0))-P616,0)</f>
        <v/>
      </c>
      <c r="U616" s="138">
        <f>Q616+R616+S616+T616</f>
        <v/>
      </c>
      <c r="V616" s="138">
        <f>IF(B616="Working",MAX(-(((Q615)*(1+$C$10)+IF(B616="Working",J616,0))),0),MAX(K616-L616,0))</f>
        <v/>
      </c>
      <c r="W616" s="138">
        <f>IF(OR(A616&gt;=$C$13,B616="Retired"),IF(V616&gt;0,-V616,U616-'Model Inputs'!$B$18),"")</f>
        <v/>
      </c>
      <c r="X616" s="138">
        <f>IF(AND($L$235&gt;0,A616&gt;=$C$13),$L$235*(1+$C$25)^(A616-$C$13),0)</f>
        <v/>
      </c>
      <c r="Y616" s="138">
        <f>IF(OR($L$235&lt;=0,$C$17&lt;=0,A616&lt;$C$13,MIN(MAX((A616-$C$13+1)*12,0),$C$17*12)&gt;=$C$17*12),0,IF($C$16=0,MAX(MAX($L$235*(1-$C$15),0)-(IF($C$17&lt;=0,0,IF($C$16=0,MAX($L$235*(1-$C$15),0)/$C$17,-PMT($C$16/12,$C$17*12,MAX($L$235*(1-$C$15),0))*12))/12)*MIN(MAX((A616-$C$13+1)*12,0),$C$17*12),0),MAX(MAX($L$235*(1-$C$15),0)*(1+$C$16/12)^MIN(MAX((A616-$C$13+1)*12,0),$C$17*12)-(IF($C$17&lt;=0,0,IF($C$16=0,MAX($L$235*(1-$C$15),0)/$C$17,-PMT($C$16/12,$C$17*12,MAX($L$235*(1-$C$15),0))*12))/12)*(((1+$C$16/12)^MIN(MAX((A616-$C$13+1)*12,0),$C$17*12)-1)/($C$16/12)),0)))</f>
        <v/>
      </c>
      <c r="Z616" s="138">
        <f>MAX(X616-Y616,0)</f>
        <v/>
      </c>
      <c r="AA616" s="142">
        <f>U616+Z616</f>
        <v/>
      </c>
      <c r="AB616" s="5" t="n"/>
      <c r="AC616" s="5" t="n"/>
      <c r="AD616" s="5" t="n"/>
      <c r="AE616" s="5" t="n"/>
      <c r="AF616" s="5" t="n"/>
      <c r="AG616" s="5" t="n"/>
    </row>
    <row r="617" outlineLevel="1" s="326">
      <c r="A617" s="136" t="n">
        <v>9</v>
      </c>
      <c r="B617" s="72">
        <f>B88</f>
        <v/>
      </c>
      <c r="C617" s="137">
        <f>D88</f>
        <v/>
      </c>
      <c r="D617" s="137">
        <f>I88</f>
        <v/>
      </c>
      <c r="E617" s="137">
        <f>J88</f>
        <v/>
      </c>
      <c r="F617" s="137">
        <f>K88</f>
        <v/>
      </c>
      <c r="G617" s="138">
        <f>IF(AND($L$235&gt;0,A617=$C$13),$L$235*($C$15+$C$18),0)+IF(AND($L$235&gt;0,A617=$C$13),$C$24,0)</f>
        <v/>
      </c>
      <c r="H617" s="138">
        <f>IF(OR($L$235&lt;=0,A617&lt;$C$13),0,IF(AND($L$235&gt;0,$C$17&gt;0,A617&gt;=$C$13,A617&lt;($C$13+$C$17)),IF($C$17&lt;=0,0,IF($C$16=0,MAX($L$235*(1-$C$15),0)/$C$17,-PMT($C$16/12,$C$17*12,MAX($L$235*(1-$C$15),0))*12)),0)+X617*($C$19+$C$20+$C$21)+$C$22+$C$23)</f>
        <v/>
      </c>
      <c r="I617" s="138">
        <f>IF(B617="Working",MIN(MAX(D617-E617-F617-G617-H617,0),'Tax Assumptions'!$B$20),0)</f>
        <v/>
      </c>
      <c r="J617" s="138">
        <f>IF(B617="Working",D617-E617-F617-I617-G617-H617,-L617)</f>
        <v/>
      </c>
      <c r="K617" s="137">
        <f>IF(B617="Retired",$N$235+G617+H617,0)</f>
        <v/>
      </c>
      <c r="L617" s="137">
        <f>M617+N617+O617+P617</f>
        <v/>
      </c>
      <c r="M617" s="137">
        <f>IF(B617="Retired",MIN(((Q616)*(1+$C$10)+IF(B617="Working",J617,0)),K617),0)</f>
        <v/>
      </c>
      <c r="N617" s="137">
        <f>IF(B617="Retired",MIN(MAX(K617-M617,0),((R616)*(1+$C$10)+IF(B617="Working",E88,0))),0)</f>
        <v/>
      </c>
      <c r="O617" s="137">
        <f>IF(B617="Retired",MIN(MAX(K617-M617-N617,0),((S616)*(1+$C$10)+IF(B617="Working",I617,0))),0)</f>
        <v/>
      </c>
      <c r="P617" s="137">
        <f>IF(B617="Retired",MIN(MAX(K617-M617-N617-O617,0),((T616)*(1+$C$10)+IF(B617="Working",F88,0))),0)</f>
        <v/>
      </c>
      <c r="Q617" s="138">
        <f>MAX(((Q616)*(1+$C$10)+IF(B617="Working",J617,0))-M617,0)</f>
        <v/>
      </c>
      <c r="R617" s="138">
        <f>MAX(((R616)*(1+$C$10)+IF(B617="Working",E88,0))-N617,0)</f>
        <v/>
      </c>
      <c r="S617" s="138">
        <f>MAX(((S616)*(1+$C$10)+IF(B617="Working",I617,0))-O617,0)</f>
        <v/>
      </c>
      <c r="T617" s="138">
        <f>MAX(((T616)*(1+$C$10)+IF(B617="Working",F88,0))-P617,0)</f>
        <v/>
      </c>
      <c r="U617" s="138">
        <f>Q617+R617+S617+T617</f>
        <v/>
      </c>
      <c r="V617" s="138">
        <f>IF(B617="Working",MAX(-(((Q616)*(1+$C$10)+IF(B617="Working",J617,0))),0),MAX(K617-L617,0))</f>
        <v/>
      </c>
      <c r="W617" s="138">
        <f>IF(OR(A617&gt;=$C$13,B617="Retired"),IF(V617&gt;0,-V617,U617-'Model Inputs'!$B$18),"")</f>
        <v/>
      </c>
      <c r="X617" s="138">
        <f>IF(AND($L$235&gt;0,A617&gt;=$C$13),$L$235*(1+$C$25)^(A617-$C$13),0)</f>
        <v/>
      </c>
      <c r="Y617" s="138">
        <f>IF(OR($L$235&lt;=0,$C$17&lt;=0,A617&lt;$C$13,MIN(MAX((A617-$C$13+1)*12,0),$C$17*12)&gt;=$C$17*12),0,IF($C$16=0,MAX(MAX($L$235*(1-$C$15),0)-(IF($C$17&lt;=0,0,IF($C$16=0,MAX($L$235*(1-$C$15),0)/$C$17,-PMT($C$16/12,$C$17*12,MAX($L$235*(1-$C$15),0))*12))/12)*MIN(MAX((A617-$C$13+1)*12,0),$C$17*12),0),MAX(MAX($L$235*(1-$C$15),0)*(1+$C$16/12)^MIN(MAX((A617-$C$13+1)*12,0),$C$17*12)-(IF($C$17&lt;=0,0,IF($C$16=0,MAX($L$235*(1-$C$15),0)/$C$17,-PMT($C$16/12,$C$17*12,MAX($L$235*(1-$C$15),0))*12))/12)*(((1+$C$16/12)^MIN(MAX((A617-$C$13+1)*12,0),$C$17*12)-1)/($C$16/12)),0)))</f>
        <v/>
      </c>
      <c r="Z617" s="138">
        <f>MAX(X617-Y617,0)</f>
        <v/>
      </c>
      <c r="AA617" s="139">
        <f>U617+Z617</f>
        <v/>
      </c>
      <c r="AB617" s="5" t="n"/>
      <c r="AC617" s="5" t="n"/>
      <c r="AD617" s="5" t="n"/>
      <c r="AE617" s="5" t="n"/>
      <c r="AF617" s="5" t="n"/>
      <c r="AG617" s="5" t="n"/>
    </row>
    <row r="618" outlineLevel="1" s="326">
      <c r="A618" s="140" t="n">
        <v>10</v>
      </c>
      <c r="B618" s="40">
        <f>B89</f>
        <v/>
      </c>
      <c r="C618" s="141">
        <f>D89</f>
        <v/>
      </c>
      <c r="D618" s="141">
        <f>I89</f>
        <v/>
      </c>
      <c r="E618" s="141">
        <f>J89</f>
        <v/>
      </c>
      <c r="F618" s="141">
        <f>K89</f>
        <v/>
      </c>
      <c r="G618" s="138">
        <f>IF(AND($L$235&gt;0,A618=$C$13),$L$235*($C$15+$C$18),0)+IF(AND($L$235&gt;0,A618=$C$13),$C$24,0)</f>
        <v/>
      </c>
      <c r="H618" s="138">
        <f>IF(OR($L$235&lt;=0,A618&lt;$C$13),0,IF(AND($L$235&gt;0,$C$17&gt;0,A618&gt;=$C$13,A618&lt;($C$13+$C$17)),IF($C$17&lt;=0,0,IF($C$16=0,MAX($L$235*(1-$C$15),0)/$C$17,-PMT($C$16/12,$C$17*12,MAX($L$235*(1-$C$15),0))*12)),0)+X618*($C$19+$C$20+$C$21)+$C$22+$C$23)</f>
        <v/>
      </c>
      <c r="I618" s="138">
        <f>IF(B618="Working",MIN(MAX(D618-E618-F618-G618-H618,0),'Tax Assumptions'!$B$20),0)</f>
        <v/>
      </c>
      <c r="J618" s="138">
        <f>IF(B618="Working",D618-E618-F618-I618-G618-H618,-L618)</f>
        <v/>
      </c>
      <c r="K618" s="141">
        <f>IF(B618="Retired",$N$235+G618+H618,0)</f>
        <v/>
      </c>
      <c r="L618" s="141">
        <f>M618+N618+O618+P618</f>
        <v/>
      </c>
      <c r="M618" s="141">
        <f>IF(B618="Retired",MIN(((Q617)*(1+$C$10)+IF(B618="Working",J618,0)),K618),0)</f>
        <v/>
      </c>
      <c r="N618" s="141">
        <f>IF(B618="Retired",MIN(MAX(K618-M618,0),((R617)*(1+$C$10)+IF(B618="Working",E89,0))),0)</f>
        <v/>
      </c>
      <c r="O618" s="141">
        <f>IF(B618="Retired",MIN(MAX(K618-M618-N618,0),((S617)*(1+$C$10)+IF(B618="Working",I618,0))),0)</f>
        <v/>
      </c>
      <c r="P618" s="141">
        <f>IF(B618="Retired",MIN(MAX(K618-M618-N618-O618,0),((T617)*(1+$C$10)+IF(B618="Working",F89,0))),0)</f>
        <v/>
      </c>
      <c r="Q618" s="138">
        <f>MAX(((Q617)*(1+$C$10)+IF(B618="Working",J618,0))-M618,0)</f>
        <v/>
      </c>
      <c r="R618" s="138">
        <f>MAX(((R617)*(1+$C$10)+IF(B618="Working",E89,0))-N618,0)</f>
        <v/>
      </c>
      <c r="S618" s="138">
        <f>MAX(((S617)*(1+$C$10)+IF(B618="Working",I618,0))-O618,0)</f>
        <v/>
      </c>
      <c r="T618" s="138">
        <f>MAX(((T617)*(1+$C$10)+IF(B618="Working",F89,0))-P618,0)</f>
        <v/>
      </c>
      <c r="U618" s="138">
        <f>Q618+R618+S618+T618</f>
        <v/>
      </c>
      <c r="V618" s="138">
        <f>IF(B618="Working",MAX(-(((Q617)*(1+$C$10)+IF(B618="Working",J618,0))),0),MAX(K618-L618,0))</f>
        <v/>
      </c>
      <c r="W618" s="138">
        <f>IF(OR(A618&gt;=$C$13,B618="Retired"),IF(V618&gt;0,-V618,U618-'Model Inputs'!$B$18),"")</f>
        <v/>
      </c>
      <c r="X618" s="138">
        <f>IF(AND($L$235&gt;0,A618&gt;=$C$13),$L$235*(1+$C$25)^(A618-$C$13),0)</f>
        <v/>
      </c>
      <c r="Y618" s="138">
        <f>IF(OR($L$235&lt;=0,$C$17&lt;=0,A618&lt;$C$13,MIN(MAX((A618-$C$13+1)*12,0),$C$17*12)&gt;=$C$17*12),0,IF($C$16=0,MAX(MAX($L$235*(1-$C$15),0)-(IF($C$17&lt;=0,0,IF($C$16=0,MAX($L$235*(1-$C$15),0)/$C$17,-PMT($C$16/12,$C$17*12,MAX($L$235*(1-$C$15),0))*12))/12)*MIN(MAX((A618-$C$13+1)*12,0),$C$17*12),0),MAX(MAX($L$235*(1-$C$15),0)*(1+$C$16/12)^MIN(MAX((A618-$C$13+1)*12,0),$C$17*12)-(IF($C$17&lt;=0,0,IF($C$16=0,MAX($L$235*(1-$C$15),0)/$C$17,-PMT($C$16/12,$C$17*12,MAX($L$235*(1-$C$15),0))*12))/12)*(((1+$C$16/12)^MIN(MAX((A618-$C$13+1)*12,0),$C$17*12)-1)/($C$16/12)),0)))</f>
        <v/>
      </c>
      <c r="Z618" s="138">
        <f>MAX(X618-Y618,0)</f>
        <v/>
      </c>
      <c r="AA618" s="142">
        <f>U618+Z618</f>
        <v/>
      </c>
      <c r="AB618" s="5" t="n"/>
      <c r="AC618" s="5" t="n"/>
      <c r="AD618" s="5" t="n"/>
      <c r="AE618" s="5" t="n"/>
      <c r="AF618" s="5" t="n"/>
      <c r="AG618" s="5" t="n"/>
    </row>
    <row r="619" outlineLevel="1" s="326">
      <c r="A619" s="136" t="n">
        <v>11</v>
      </c>
      <c r="B619" s="72">
        <f>B90</f>
        <v/>
      </c>
      <c r="C619" s="137">
        <f>D90</f>
        <v/>
      </c>
      <c r="D619" s="137">
        <f>I90</f>
        <v/>
      </c>
      <c r="E619" s="137">
        <f>J90</f>
        <v/>
      </c>
      <c r="F619" s="137">
        <f>K90</f>
        <v/>
      </c>
      <c r="G619" s="138">
        <f>IF(AND($L$235&gt;0,A619=$C$13),$L$235*($C$15+$C$18),0)+IF(AND($L$235&gt;0,A619=$C$13),$C$24,0)</f>
        <v/>
      </c>
      <c r="H619" s="138">
        <f>IF(OR($L$235&lt;=0,A619&lt;$C$13),0,IF(AND($L$235&gt;0,$C$17&gt;0,A619&gt;=$C$13,A619&lt;($C$13+$C$17)),IF($C$17&lt;=0,0,IF($C$16=0,MAX($L$235*(1-$C$15),0)/$C$17,-PMT($C$16/12,$C$17*12,MAX($L$235*(1-$C$15),0))*12)),0)+X619*($C$19+$C$20+$C$21)+$C$22+$C$23)</f>
        <v/>
      </c>
      <c r="I619" s="138">
        <f>IF(B619="Working",MIN(MAX(D619-E619-F619-G619-H619,0),'Tax Assumptions'!$B$20),0)</f>
        <v/>
      </c>
      <c r="J619" s="138">
        <f>IF(B619="Working",D619-E619-F619-I619-G619-H619,-L619)</f>
        <v/>
      </c>
      <c r="K619" s="137">
        <f>IF(B619="Retired",$N$235+G619+H619,0)</f>
        <v/>
      </c>
      <c r="L619" s="137">
        <f>M619+N619+O619+P619</f>
        <v/>
      </c>
      <c r="M619" s="137">
        <f>IF(B619="Retired",MIN(((Q618)*(1+$C$10)+IF(B619="Working",J619,0)),K619),0)</f>
        <v/>
      </c>
      <c r="N619" s="137">
        <f>IF(B619="Retired",MIN(MAX(K619-M619,0),((R618)*(1+$C$10)+IF(B619="Working",E90,0))),0)</f>
        <v/>
      </c>
      <c r="O619" s="137">
        <f>IF(B619="Retired",MIN(MAX(K619-M619-N619,0),((S618)*(1+$C$10)+IF(B619="Working",I619,0))),0)</f>
        <v/>
      </c>
      <c r="P619" s="137">
        <f>IF(B619="Retired",MIN(MAX(K619-M619-N619-O619,0),((T618)*(1+$C$10)+IF(B619="Working",F90,0))),0)</f>
        <v/>
      </c>
      <c r="Q619" s="138">
        <f>MAX(((Q618)*(1+$C$10)+IF(B619="Working",J619,0))-M619,0)</f>
        <v/>
      </c>
      <c r="R619" s="138">
        <f>MAX(((R618)*(1+$C$10)+IF(B619="Working",E90,0))-N619,0)</f>
        <v/>
      </c>
      <c r="S619" s="138">
        <f>MAX(((S618)*(1+$C$10)+IF(B619="Working",I619,0))-O619,0)</f>
        <v/>
      </c>
      <c r="T619" s="138">
        <f>MAX(((T618)*(1+$C$10)+IF(B619="Working",F90,0))-P619,0)</f>
        <v/>
      </c>
      <c r="U619" s="138">
        <f>Q619+R619+S619+T619</f>
        <v/>
      </c>
      <c r="V619" s="138">
        <f>IF(B619="Working",MAX(-(((Q618)*(1+$C$10)+IF(B619="Working",J619,0))),0),MAX(K619-L619,0))</f>
        <v/>
      </c>
      <c r="W619" s="138">
        <f>IF(OR(A619&gt;=$C$13,B619="Retired"),IF(V619&gt;0,-V619,U619-'Model Inputs'!$B$18),"")</f>
        <v/>
      </c>
      <c r="X619" s="138">
        <f>IF(AND($L$235&gt;0,A619&gt;=$C$13),$L$235*(1+$C$25)^(A619-$C$13),0)</f>
        <v/>
      </c>
      <c r="Y619" s="138">
        <f>IF(OR($L$235&lt;=0,$C$17&lt;=0,A619&lt;$C$13,MIN(MAX((A619-$C$13+1)*12,0),$C$17*12)&gt;=$C$17*12),0,IF($C$16=0,MAX(MAX($L$235*(1-$C$15),0)-(IF($C$17&lt;=0,0,IF($C$16=0,MAX($L$235*(1-$C$15),0)/$C$17,-PMT($C$16/12,$C$17*12,MAX($L$235*(1-$C$15),0))*12))/12)*MIN(MAX((A619-$C$13+1)*12,0),$C$17*12),0),MAX(MAX($L$235*(1-$C$15),0)*(1+$C$16/12)^MIN(MAX((A619-$C$13+1)*12,0),$C$17*12)-(IF($C$17&lt;=0,0,IF($C$16=0,MAX($L$235*(1-$C$15),0)/$C$17,-PMT($C$16/12,$C$17*12,MAX($L$235*(1-$C$15),0))*12))/12)*(((1+$C$16/12)^MIN(MAX((A619-$C$13+1)*12,0),$C$17*12)-1)/($C$16/12)),0)))</f>
        <v/>
      </c>
      <c r="Z619" s="138">
        <f>MAX(X619-Y619,0)</f>
        <v/>
      </c>
      <c r="AA619" s="139">
        <f>U619+Z619</f>
        <v/>
      </c>
      <c r="AB619" s="5" t="n"/>
      <c r="AC619" s="5" t="n"/>
      <c r="AD619" s="5" t="n"/>
      <c r="AE619" s="5" t="n"/>
      <c r="AF619" s="5" t="n"/>
      <c r="AG619" s="5" t="n"/>
    </row>
    <row r="620" outlineLevel="1" s="326">
      <c r="A620" s="140" t="n">
        <v>12</v>
      </c>
      <c r="B620" s="40">
        <f>B91</f>
        <v/>
      </c>
      <c r="C620" s="141">
        <f>D91</f>
        <v/>
      </c>
      <c r="D620" s="141">
        <f>I91</f>
        <v/>
      </c>
      <c r="E620" s="141">
        <f>J91</f>
        <v/>
      </c>
      <c r="F620" s="141">
        <f>K91</f>
        <v/>
      </c>
      <c r="G620" s="138">
        <f>IF(AND($L$235&gt;0,A620=$C$13),$L$235*($C$15+$C$18),0)+IF(AND($L$235&gt;0,A620=$C$13),$C$24,0)</f>
        <v/>
      </c>
      <c r="H620" s="138">
        <f>IF(OR($L$235&lt;=0,A620&lt;$C$13),0,IF(AND($L$235&gt;0,$C$17&gt;0,A620&gt;=$C$13,A620&lt;($C$13+$C$17)),IF($C$17&lt;=0,0,IF($C$16=0,MAX($L$235*(1-$C$15),0)/$C$17,-PMT($C$16/12,$C$17*12,MAX($L$235*(1-$C$15),0))*12)),0)+X620*($C$19+$C$20+$C$21)+$C$22+$C$23)</f>
        <v/>
      </c>
      <c r="I620" s="138">
        <f>IF(B620="Working",MIN(MAX(D620-E620-F620-G620-H620,0),'Tax Assumptions'!$B$20),0)</f>
        <v/>
      </c>
      <c r="J620" s="138">
        <f>IF(B620="Working",D620-E620-F620-I620-G620-H620,-L620)</f>
        <v/>
      </c>
      <c r="K620" s="141">
        <f>IF(B620="Retired",$N$235+G620+H620,0)</f>
        <v/>
      </c>
      <c r="L620" s="141">
        <f>M620+N620+O620+P620</f>
        <v/>
      </c>
      <c r="M620" s="141">
        <f>IF(B620="Retired",MIN(((Q619)*(1+$C$10)+IF(B620="Working",J620,0)),K620),0)</f>
        <v/>
      </c>
      <c r="N620" s="141">
        <f>IF(B620="Retired",MIN(MAX(K620-M620,0),((R619)*(1+$C$10)+IF(B620="Working",E91,0))),0)</f>
        <v/>
      </c>
      <c r="O620" s="141">
        <f>IF(B620="Retired",MIN(MAX(K620-M620-N620,0),((S619)*(1+$C$10)+IF(B620="Working",I620,0))),0)</f>
        <v/>
      </c>
      <c r="P620" s="141">
        <f>IF(B620="Retired",MIN(MAX(K620-M620-N620-O620,0),((T619)*(1+$C$10)+IF(B620="Working",F91,0))),0)</f>
        <v/>
      </c>
      <c r="Q620" s="138">
        <f>MAX(((Q619)*(1+$C$10)+IF(B620="Working",J620,0))-M620,0)</f>
        <v/>
      </c>
      <c r="R620" s="138">
        <f>MAX(((R619)*(1+$C$10)+IF(B620="Working",E91,0))-N620,0)</f>
        <v/>
      </c>
      <c r="S620" s="138">
        <f>MAX(((S619)*(1+$C$10)+IF(B620="Working",I620,0))-O620,0)</f>
        <v/>
      </c>
      <c r="T620" s="138">
        <f>MAX(((T619)*(1+$C$10)+IF(B620="Working",F91,0))-P620,0)</f>
        <v/>
      </c>
      <c r="U620" s="138">
        <f>Q620+R620+S620+T620</f>
        <v/>
      </c>
      <c r="V620" s="138">
        <f>IF(B620="Working",MAX(-(((Q619)*(1+$C$10)+IF(B620="Working",J620,0))),0),MAX(K620-L620,0))</f>
        <v/>
      </c>
      <c r="W620" s="138">
        <f>IF(OR(A620&gt;=$C$13,B620="Retired"),IF(V620&gt;0,-V620,U620-'Model Inputs'!$B$18),"")</f>
        <v/>
      </c>
      <c r="X620" s="138">
        <f>IF(AND($L$235&gt;0,A620&gt;=$C$13),$L$235*(1+$C$25)^(A620-$C$13),0)</f>
        <v/>
      </c>
      <c r="Y620" s="138">
        <f>IF(OR($L$235&lt;=0,$C$17&lt;=0,A620&lt;$C$13,MIN(MAX((A620-$C$13+1)*12,0),$C$17*12)&gt;=$C$17*12),0,IF($C$16=0,MAX(MAX($L$235*(1-$C$15),0)-(IF($C$17&lt;=0,0,IF($C$16=0,MAX($L$235*(1-$C$15),0)/$C$17,-PMT($C$16/12,$C$17*12,MAX($L$235*(1-$C$15),0))*12))/12)*MIN(MAX((A620-$C$13+1)*12,0),$C$17*12),0),MAX(MAX($L$235*(1-$C$15),0)*(1+$C$16/12)^MIN(MAX((A620-$C$13+1)*12,0),$C$17*12)-(IF($C$17&lt;=0,0,IF($C$16=0,MAX($L$235*(1-$C$15),0)/$C$17,-PMT($C$16/12,$C$17*12,MAX($L$235*(1-$C$15),0))*12))/12)*(((1+$C$16/12)^MIN(MAX((A620-$C$13+1)*12,0),$C$17*12)-1)/($C$16/12)),0)))</f>
        <v/>
      </c>
      <c r="Z620" s="138">
        <f>MAX(X620-Y620,0)</f>
        <v/>
      </c>
      <c r="AA620" s="142">
        <f>U620+Z620</f>
        <v/>
      </c>
      <c r="AB620" s="5" t="n"/>
      <c r="AC620" s="5" t="n"/>
      <c r="AD620" s="5" t="n"/>
      <c r="AE620" s="5" t="n"/>
      <c r="AF620" s="5" t="n"/>
      <c r="AG620" s="5" t="n"/>
    </row>
    <row r="621" outlineLevel="1" s="326">
      <c r="A621" s="136" t="n">
        <v>13</v>
      </c>
      <c r="B621" s="72">
        <f>B92</f>
        <v/>
      </c>
      <c r="C621" s="137">
        <f>D92</f>
        <v/>
      </c>
      <c r="D621" s="137">
        <f>I92</f>
        <v/>
      </c>
      <c r="E621" s="137">
        <f>J92</f>
        <v/>
      </c>
      <c r="F621" s="137">
        <f>K92</f>
        <v/>
      </c>
      <c r="G621" s="138">
        <f>IF(AND($L$235&gt;0,A621=$C$13),$L$235*($C$15+$C$18),0)+IF(AND($L$235&gt;0,A621=$C$13),$C$24,0)</f>
        <v/>
      </c>
      <c r="H621" s="138">
        <f>IF(OR($L$235&lt;=0,A621&lt;$C$13),0,IF(AND($L$235&gt;0,$C$17&gt;0,A621&gt;=$C$13,A621&lt;($C$13+$C$17)),IF($C$17&lt;=0,0,IF($C$16=0,MAX($L$235*(1-$C$15),0)/$C$17,-PMT($C$16/12,$C$17*12,MAX($L$235*(1-$C$15),0))*12)),0)+X621*($C$19+$C$20+$C$21)+$C$22+$C$23)</f>
        <v/>
      </c>
      <c r="I621" s="138">
        <f>IF(B621="Working",MIN(MAX(D621-E621-F621-G621-H621,0),'Tax Assumptions'!$B$20),0)</f>
        <v/>
      </c>
      <c r="J621" s="138">
        <f>IF(B621="Working",D621-E621-F621-I621-G621-H621,-L621)</f>
        <v/>
      </c>
      <c r="K621" s="137">
        <f>IF(B621="Retired",$N$235+G621+H621,0)</f>
        <v/>
      </c>
      <c r="L621" s="137">
        <f>M621+N621+O621+P621</f>
        <v/>
      </c>
      <c r="M621" s="137">
        <f>IF(B621="Retired",MIN(((Q620)*(1+$C$10)+IF(B621="Working",J621,0)),K621),0)</f>
        <v/>
      </c>
      <c r="N621" s="137">
        <f>IF(B621="Retired",MIN(MAX(K621-M621,0),((R620)*(1+$C$10)+IF(B621="Working",E92,0))),0)</f>
        <v/>
      </c>
      <c r="O621" s="137">
        <f>IF(B621="Retired",MIN(MAX(K621-M621-N621,0),((S620)*(1+$C$10)+IF(B621="Working",I621,0))),0)</f>
        <v/>
      </c>
      <c r="P621" s="137">
        <f>IF(B621="Retired",MIN(MAX(K621-M621-N621-O621,0),((T620)*(1+$C$10)+IF(B621="Working",F92,0))),0)</f>
        <v/>
      </c>
      <c r="Q621" s="138">
        <f>MAX(((Q620)*(1+$C$10)+IF(B621="Working",J621,0))-M621,0)</f>
        <v/>
      </c>
      <c r="R621" s="138">
        <f>MAX(((R620)*(1+$C$10)+IF(B621="Working",E92,0))-N621,0)</f>
        <v/>
      </c>
      <c r="S621" s="138">
        <f>MAX(((S620)*(1+$C$10)+IF(B621="Working",I621,0))-O621,0)</f>
        <v/>
      </c>
      <c r="T621" s="138">
        <f>MAX(((T620)*(1+$C$10)+IF(B621="Working",F92,0))-P621,0)</f>
        <v/>
      </c>
      <c r="U621" s="138">
        <f>Q621+R621+S621+T621</f>
        <v/>
      </c>
      <c r="V621" s="138">
        <f>IF(B621="Working",MAX(-(((Q620)*(1+$C$10)+IF(B621="Working",J621,0))),0),MAX(K621-L621,0))</f>
        <v/>
      </c>
      <c r="W621" s="138">
        <f>IF(OR(A621&gt;=$C$13,B621="Retired"),IF(V621&gt;0,-V621,U621-'Model Inputs'!$B$18),"")</f>
        <v/>
      </c>
      <c r="X621" s="138">
        <f>IF(AND($L$235&gt;0,A621&gt;=$C$13),$L$235*(1+$C$25)^(A621-$C$13),0)</f>
        <v/>
      </c>
      <c r="Y621" s="138">
        <f>IF(OR($L$235&lt;=0,$C$17&lt;=0,A621&lt;$C$13,MIN(MAX((A621-$C$13+1)*12,0),$C$17*12)&gt;=$C$17*12),0,IF($C$16=0,MAX(MAX($L$235*(1-$C$15),0)-(IF($C$17&lt;=0,0,IF($C$16=0,MAX($L$235*(1-$C$15),0)/$C$17,-PMT($C$16/12,$C$17*12,MAX($L$235*(1-$C$15),0))*12))/12)*MIN(MAX((A621-$C$13+1)*12,0),$C$17*12),0),MAX(MAX($L$235*(1-$C$15),0)*(1+$C$16/12)^MIN(MAX((A621-$C$13+1)*12,0),$C$17*12)-(IF($C$17&lt;=0,0,IF($C$16=0,MAX($L$235*(1-$C$15),0)/$C$17,-PMT($C$16/12,$C$17*12,MAX($L$235*(1-$C$15),0))*12))/12)*(((1+$C$16/12)^MIN(MAX((A621-$C$13+1)*12,0),$C$17*12)-1)/($C$16/12)),0)))</f>
        <v/>
      </c>
      <c r="Z621" s="138">
        <f>MAX(X621-Y621,0)</f>
        <v/>
      </c>
      <c r="AA621" s="139">
        <f>U621+Z621</f>
        <v/>
      </c>
      <c r="AB621" s="5" t="n"/>
      <c r="AC621" s="5" t="n"/>
      <c r="AD621" s="5" t="n"/>
      <c r="AE621" s="5" t="n"/>
      <c r="AF621" s="5" t="n"/>
      <c r="AG621" s="5" t="n"/>
    </row>
    <row r="622" outlineLevel="1" s="326">
      <c r="A622" s="140" t="n">
        <v>14</v>
      </c>
      <c r="B622" s="40">
        <f>B93</f>
        <v/>
      </c>
      <c r="C622" s="141">
        <f>D93</f>
        <v/>
      </c>
      <c r="D622" s="141">
        <f>I93</f>
        <v/>
      </c>
      <c r="E622" s="141">
        <f>J93</f>
        <v/>
      </c>
      <c r="F622" s="141">
        <f>K93</f>
        <v/>
      </c>
      <c r="G622" s="138">
        <f>IF(AND($L$235&gt;0,A622=$C$13),$L$235*($C$15+$C$18),0)+IF(AND($L$235&gt;0,A622=$C$13),$C$24,0)</f>
        <v/>
      </c>
      <c r="H622" s="138">
        <f>IF(OR($L$235&lt;=0,A622&lt;$C$13),0,IF(AND($L$235&gt;0,$C$17&gt;0,A622&gt;=$C$13,A622&lt;($C$13+$C$17)),IF($C$17&lt;=0,0,IF($C$16=0,MAX($L$235*(1-$C$15),0)/$C$17,-PMT($C$16/12,$C$17*12,MAX($L$235*(1-$C$15),0))*12)),0)+X622*($C$19+$C$20+$C$21)+$C$22+$C$23)</f>
        <v/>
      </c>
      <c r="I622" s="138">
        <f>IF(B622="Working",MIN(MAX(D622-E622-F622-G622-H622,0),'Tax Assumptions'!$B$20),0)</f>
        <v/>
      </c>
      <c r="J622" s="138">
        <f>IF(B622="Working",D622-E622-F622-I622-G622-H622,-L622)</f>
        <v/>
      </c>
      <c r="K622" s="141">
        <f>IF(B622="Retired",$N$235+G622+H622,0)</f>
        <v/>
      </c>
      <c r="L622" s="141">
        <f>M622+N622+O622+P622</f>
        <v/>
      </c>
      <c r="M622" s="141">
        <f>IF(B622="Retired",MIN(((Q621)*(1+$C$10)+IF(B622="Working",J622,0)),K622),0)</f>
        <v/>
      </c>
      <c r="N622" s="141">
        <f>IF(B622="Retired",MIN(MAX(K622-M622,0),((R621)*(1+$C$10)+IF(B622="Working",E93,0))),0)</f>
        <v/>
      </c>
      <c r="O622" s="141">
        <f>IF(B622="Retired",MIN(MAX(K622-M622-N622,0),((S621)*(1+$C$10)+IF(B622="Working",I622,0))),0)</f>
        <v/>
      </c>
      <c r="P622" s="141">
        <f>IF(B622="Retired",MIN(MAX(K622-M622-N622-O622,0),((T621)*(1+$C$10)+IF(B622="Working",F93,0))),0)</f>
        <v/>
      </c>
      <c r="Q622" s="138">
        <f>MAX(((Q621)*(1+$C$10)+IF(B622="Working",J622,0))-M622,0)</f>
        <v/>
      </c>
      <c r="R622" s="138">
        <f>MAX(((R621)*(1+$C$10)+IF(B622="Working",E93,0))-N622,0)</f>
        <v/>
      </c>
      <c r="S622" s="138">
        <f>MAX(((S621)*(1+$C$10)+IF(B622="Working",I622,0))-O622,0)</f>
        <v/>
      </c>
      <c r="T622" s="138">
        <f>MAX(((T621)*(1+$C$10)+IF(B622="Working",F93,0))-P622,0)</f>
        <v/>
      </c>
      <c r="U622" s="138">
        <f>Q622+R622+S622+T622</f>
        <v/>
      </c>
      <c r="V622" s="138">
        <f>IF(B622="Working",MAX(-(((Q621)*(1+$C$10)+IF(B622="Working",J622,0))),0),MAX(K622-L622,0))</f>
        <v/>
      </c>
      <c r="W622" s="138">
        <f>IF(OR(A622&gt;=$C$13,B622="Retired"),IF(V622&gt;0,-V622,U622-'Model Inputs'!$B$18),"")</f>
        <v/>
      </c>
      <c r="X622" s="138">
        <f>IF(AND($L$235&gt;0,A622&gt;=$C$13),$L$235*(1+$C$25)^(A622-$C$13),0)</f>
        <v/>
      </c>
      <c r="Y622" s="138">
        <f>IF(OR($L$235&lt;=0,$C$17&lt;=0,A622&lt;$C$13,MIN(MAX((A622-$C$13+1)*12,0),$C$17*12)&gt;=$C$17*12),0,IF($C$16=0,MAX(MAX($L$235*(1-$C$15),0)-(IF($C$17&lt;=0,0,IF($C$16=0,MAX($L$235*(1-$C$15),0)/$C$17,-PMT($C$16/12,$C$17*12,MAX($L$235*(1-$C$15),0))*12))/12)*MIN(MAX((A622-$C$13+1)*12,0),$C$17*12),0),MAX(MAX($L$235*(1-$C$15),0)*(1+$C$16/12)^MIN(MAX((A622-$C$13+1)*12,0),$C$17*12)-(IF($C$17&lt;=0,0,IF($C$16=0,MAX($L$235*(1-$C$15),0)/$C$17,-PMT($C$16/12,$C$17*12,MAX($L$235*(1-$C$15),0))*12))/12)*(((1+$C$16/12)^MIN(MAX((A622-$C$13+1)*12,0),$C$17*12)-1)/($C$16/12)),0)))</f>
        <v/>
      </c>
      <c r="Z622" s="138">
        <f>MAX(X622-Y622,0)</f>
        <v/>
      </c>
      <c r="AA622" s="142">
        <f>U622+Z622</f>
        <v/>
      </c>
      <c r="AB622" s="5" t="n"/>
      <c r="AC622" s="5" t="n"/>
      <c r="AD622" s="5" t="n"/>
      <c r="AE622" s="5" t="n"/>
      <c r="AF622" s="5" t="n"/>
      <c r="AG622" s="5" t="n"/>
    </row>
    <row r="623" outlineLevel="1" s="326">
      <c r="A623" s="136" t="n">
        <v>15</v>
      </c>
      <c r="B623" s="72">
        <f>B94</f>
        <v/>
      </c>
      <c r="C623" s="137">
        <f>D94</f>
        <v/>
      </c>
      <c r="D623" s="137">
        <f>I94</f>
        <v/>
      </c>
      <c r="E623" s="137">
        <f>J94</f>
        <v/>
      </c>
      <c r="F623" s="137">
        <f>K94</f>
        <v/>
      </c>
      <c r="G623" s="138">
        <f>IF(AND($L$235&gt;0,A623=$C$13),$L$235*($C$15+$C$18),0)+IF(AND($L$235&gt;0,A623=$C$13),$C$24,0)</f>
        <v/>
      </c>
      <c r="H623" s="138">
        <f>IF(OR($L$235&lt;=0,A623&lt;$C$13),0,IF(AND($L$235&gt;0,$C$17&gt;0,A623&gt;=$C$13,A623&lt;($C$13+$C$17)),IF($C$17&lt;=0,0,IF($C$16=0,MAX($L$235*(1-$C$15),0)/$C$17,-PMT($C$16/12,$C$17*12,MAX($L$235*(1-$C$15),0))*12)),0)+X623*($C$19+$C$20+$C$21)+$C$22+$C$23)</f>
        <v/>
      </c>
      <c r="I623" s="138">
        <f>IF(B623="Working",MIN(MAX(D623-E623-F623-G623-H623,0),'Tax Assumptions'!$B$20),0)</f>
        <v/>
      </c>
      <c r="J623" s="138">
        <f>IF(B623="Working",D623-E623-F623-I623-G623-H623,-L623)</f>
        <v/>
      </c>
      <c r="K623" s="137">
        <f>IF(B623="Retired",$N$235+G623+H623,0)</f>
        <v/>
      </c>
      <c r="L623" s="137">
        <f>M623+N623+O623+P623</f>
        <v/>
      </c>
      <c r="M623" s="137">
        <f>IF(B623="Retired",MIN(((Q622)*(1+$C$10)+IF(B623="Working",J623,0)),K623),0)</f>
        <v/>
      </c>
      <c r="N623" s="137">
        <f>IF(B623="Retired",MIN(MAX(K623-M623,0),((R622)*(1+$C$10)+IF(B623="Working",E94,0))),0)</f>
        <v/>
      </c>
      <c r="O623" s="137">
        <f>IF(B623="Retired",MIN(MAX(K623-M623-N623,0),((S622)*(1+$C$10)+IF(B623="Working",I623,0))),0)</f>
        <v/>
      </c>
      <c r="P623" s="137">
        <f>IF(B623="Retired",MIN(MAX(K623-M623-N623-O623,0),((T622)*(1+$C$10)+IF(B623="Working",F94,0))),0)</f>
        <v/>
      </c>
      <c r="Q623" s="138">
        <f>MAX(((Q622)*(1+$C$10)+IF(B623="Working",J623,0))-M623,0)</f>
        <v/>
      </c>
      <c r="R623" s="138">
        <f>MAX(((R622)*(1+$C$10)+IF(B623="Working",E94,0))-N623,0)</f>
        <v/>
      </c>
      <c r="S623" s="138">
        <f>MAX(((S622)*(1+$C$10)+IF(B623="Working",I623,0))-O623,0)</f>
        <v/>
      </c>
      <c r="T623" s="138">
        <f>MAX(((T622)*(1+$C$10)+IF(B623="Working",F94,0))-P623,0)</f>
        <v/>
      </c>
      <c r="U623" s="138">
        <f>Q623+R623+S623+T623</f>
        <v/>
      </c>
      <c r="V623" s="138">
        <f>IF(B623="Working",MAX(-(((Q622)*(1+$C$10)+IF(B623="Working",J623,0))),0),MAX(K623-L623,0))</f>
        <v/>
      </c>
      <c r="W623" s="138">
        <f>IF(OR(A623&gt;=$C$13,B623="Retired"),IF(V623&gt;0,-V623,U623-'Model Inputs'!$B$18),"")</f>
        <v/>
      </c>
      <c r="X623" s="138">
        <f>IF(AND($L$235&gt;0,A623&gt;=$C$13),$L$235*(1+$C$25)^(A623-$C$13),0)</f>
        <v/>
      </c>
      <c r="Y623" s="138">
        <f>IF(OR($L$235&lt;=0,$C$17&lt;=0,A623&lt;$C$13,MIN(MAX((A623-$C$13+1)*12,0),$C$17*12)&gt;=$C$17*12),0,IF($C$16=0,MAX(MAX($L$235*(1-$C$15),0)-(IF($C$17&lt;=0,0,IF($C$16=0,MAX($L$235*(1-$C$15),0)/$C$17,-PMT($C$16/12,$C$17*12,MAX($L$235*(1-$C$15),0))*12))/12)*MIN(MAX((A623-$C$13+1)*12,0),$C$17*12),0),MAX(MAX($L$235*(1-$C$15),0)*(1+$C$16/12)^MIN(MAX((A623-$C$13+1)*12,0),$C$17*12)-(IF($C$17&lt;=0,0,IF($C$16=0,MAX($L$235*(1-$C$15),0)/$C$17,-PMT($C$16/12,$C$17*12,MAX($L$235*(1-$C$15),0))*12))/12)*(((1+$C$16/12)^MIN(MAX((A623-$C$13+1)*12,0),$C$17*12)-1)/($C$16/12)),0)))</f>
        <v/>
      </c>
      <c r="Z623" s="138">
        <f>MAX(X623-Y623,0)</f>
        <v/>
      </c>
      <c r="AA623" s="139">
        <f>U623+Z623</f>
        <v/>
      </c>
      <c r="AB623" s="5" t="n"/>
      <c r="AC623" s="5" t="n"/>
      <c r="AD623" s="5" t="n"/>
      <c r="AE623" s="5" t="n"/>
      <c r="AF623" s="5" t="n"/>
      <c r="AG623" s="5" t="n"/>
    </row>
    <row r="624" outlineLevel="1" s="326">
      <c r="A624" s="140" t="n">
        <v>16</v>
      </c>
      <c r="B624" s="40">
        <f>B95</f>
        <v/>
      </c>
      <c r="C624" s="141">
        <f>D95</f>
        <v/>
      </c>
      <c r="D624" s="141">
        <f>I95</f>
        <v/>
      </c>
      <c r="E624" s="141">
        <f>J95</f>
        <v/>
      </c>
      <c r="F624" s="141">
        <f>K95</f>
        <v/>
      </c>
      <c r="G624" s="138">
        <f>IF(AND($L$235&gt;0,A624=$C$13),$L$235*($C$15+$C$18),0)+IF(AND($L$235&gt;0,A624=$C$13),$C$24,0)</f>
        <v/>
      </c>
      <c r="H624" s="138">
        <f>IF(OR($L$235&lt;=0,A624&lt;$C$13),0,IF(AND($L$235&gt;0,$C$17&gt;0,A624&gt;=$C$13,A624&lt;($C$13+$C$17)),IF($C$17&lt;=0,0,IF($C$16=0,MAX($L$235*(1-$C$15),0)/$C$17,-PMT($C$16/12,$C$17*12,MAX($L$235*(1-$C$15),0))*12)),0)+X624*($C$19+$C$20+$C$21)+$C$22+$C$23)</f>
        <v/>
      </c>
      <c r="I624" s="138">
        <f>IF(B624="Working",MIN(MAX(D624-E624-F624-G624-H624,0),'Tax Assumptions'!$B$20),0)</f>
        <v/>
      </c>
      <c r="J624" s="138">
        <f>IF(B624="Working",D624-E624-F624-I624-G624-H624,-L624)</f>
        <v/>
      </c>
      <c r="K624" s="141">
        <f>IF(B624="Retired",$N$235+G624+H624,0)</f>
        <v/>
      </c>
      <c r="L624" s="141">
        <f>M624+N624+O624+P624</f>
        <v/>
      </c>
      <c r="M624" s="141">
        <f>IF(B624="Retired",MIN(((Q623)*(1+$C$10)+IF(B624="Working",J624,0)),K624),0)</f>
        <v/>
      </c>
      <c r="N624" s="141">
        <f>IF(B624="Retired",MIN(MAX(K624-M624,0),((R623)*(1+$C$10)+IF(B624="Working",E95,0))),0)</f>
        <v/>
      </c>
      <c r="O624" s="141">
        <f>IF(B624="Retired",MIN(MAX(K624-M624-N624,0),((S623)*(1+$C$10)+IF(B624="Working",I624,0))),0)</f>
        <v/>
      </c>
      <c r="P624" s="141">
        <f>IF(B624="Retired",MIN(MAX(K624-M624-N624-O624,0),((T623)*(1+$C$10)+IF(B624="Working",F95,0))),0)</f>
        <v/>
      </c>
      <c r="Q624" s="138">
        <f>MAX(((Q623)*(1+$C$10)+IF(B624="Working",J624,0))-M624,0)</f>
        <v/>
      </c>
      <c r="R624" s="138">
        <f>MAX(((R623)*(1+$C$10)+IF(B624="Working",E95,0))-N624,0)</f>
        <v/>
      </c>
      <c r="S624" s="138">
        <f>MAX(((S623)*(1+$C$10)+IF(B624="Working",I624,0))-O624,0)</f>
        <v/>
      </c>
      <c r="T624" s="138">
        <f>MAX(((T623)*(1+$C$10)+IF(B624="Working",F95,0))-P624,0)</f>
        <v/>
      </c>
      <c r="U624" s="138">
        <f>Q624+R624+S624+T624</f>
        <v/>
      </c>
      <c r="V624" s="138">
        <f>IF(B624="Working",MAX(-(((Q623)*(1+$C$10)+IF(B624="Working",J624,0))),0),MAX(K624-L624,0))</f>
        <v/>
      </c>
      <c r="W624" s="138">
        <f>IF(OR(A624&gt;=$C$13,B624="Retired"),IF(V624&gt;0,-V624,U624-'Model Inputs'!$B$18),"")</f>
        <v/>
      </c>
      <c r="X624" s="138">
        <f>IF(AND($L$235&gt;0,A624&gt;=$C$13),$L$235*(1+$C$25)^(A624-$C$13),0)</f>
        <v/>
      </c>
      <c r="Y624" s="138">
        <f>IF(OR($L$235&lt;=0,$C$17&lt;=0,A624&lt;$C$13,MIN(MAX((A624-$C$13+1)*12,0),$C$17*12)&gt;=$C$17*12),0,IF($C$16=0,MAX(MAX($L$235*(1-$C$15),0)-(IF($C$17&lt;=0,0,IF($C$16=0,MAX($L$235*(1-$C$15),0)/$C$17,-PMT($C$16/12,$C$17*12,MAX($L$235*(1-$C$15),0))*12))/12)*MIN(MAX((A624-$C$13+1)*12,0),$C$17*12),0),MAX(MAX($L$235*(1-$C$15),0)*(1+$C$16/12)^MIN(MAX((A624-$C$13+1)*12,0),$C$17*12)-(IF($C$17&lt;=0,0,IF($C$16=0,MAX($L$235*(1-$C$15),0)/$C$17,-PMT($C$16/12,$C$17*12,MAX($L$235*(1-$C$15),0))*12))/12)*(((1+$C$16/12)^MIN(MAX((A624-$C$13+1)*12,0),$C$17*12)-1)/($C$16/12)),0)))</f>
        <v/>
      </c>
      <c r="Z624" s="138">
        <f>MAX(X624-Y624,0)</f>
        <v/>
      </c>
      <c r="AA624" s="142">
        <f>U624+Z624</f>
        <v/>
      </c>
      <c r="AB624" s="5" t="n"/>
      <c r="AC624" s="5" t="n"/>
      <c r="AD624" s="5" t="n"/>
      <c r="AE624" s="5" t="n"/>
      <c r="AF624" s="5" t="n"/>
      <c r="AG624" s="5" t="n"/>
    </row>
    <row r="625" outlineLevel="1" s="326">
      <c r="A625" s="136" t="n">
        <v>17</v>
      </c>
      <c r="B625" s="72">
        <f>B96</f>
        <v/>
      </c>
      <c r="C625" s="137">
        <f>D96</f>
        <v/>
      </c>
      <c r="D625" s="137">
        <f>I96</f>
        <v/>
      </c>
      <c r="E625" s="137">
        <f>J96</f>
        <v/>
      </c>
      <c r="F625" s="137">
        <f>K96</f>
        <v/>
      </c>
      <c r="G625" s="138">
        <f>IF(AND($L$235&gt;0,A625=$C$13),$L$235*($C$15+$C$18),0)+IF(AND($L$235&gt;0,A625=$C$13),$C$24,0)</f>
        <v/>
      </c>
      <c r="H625" s="138">
        <f>IF(OR($L$235&lt;=0,A625&lt;$C$13),0,IF(AND($L$235&gt;0,$C$17&gt;0,A625&gt;=$C$13,A625&lt;($C$13+$C$17)),IF($C$17&lt;=0,0,IF($C$16=0,MAX($L$235*(1-$C$15),0)/$C$17,-PMT($C$16/12,$C$17*12,MAX($L$235*(1-$C$15),0))*12)),0)+X625*($C$19+$C$20+$C$21)+$C$22+$C$23)</f>
        <v/>
      </c>
      <c r="I625" s="138">
        <f>IF(B625="Working",MIN(MAX(D625-E625-F625-G625-H625,0),'Tax Assumptions'!$B$20),0)</f>
        <v/>
      </c>
      <c r="J625" s="138">
        <f>IF(B625="Working",D625-E625-F625-I625-G625-H625,-L625)</f>
        <v/>
      </c>
      <c r="K625" s="137">
        <f>IF(B625="Retired",$N$235+G625+H625,0)</f>
        <v/>
      </c>
      <c r="L625" s="137">
        <f>M625+N625+O625+P625</f>
        <v/>
      </c>
      <c r="M625" s="137">
        <f>IF(B625="Retired",MIN(((Q624)*(1+$C$10)+IF(B625="Working",J625,0)),K625),0)</f>
        <v/>
      </c>
      <c r="N625" s="137">
        <f>IF(B625="Retired",MIN(MAX(K625-M625,0),((R624)*(1+$C$10)+IF(B625="Working",E96,0))),0)</f>
        <v/>
      </c>
      <c r="O625" s="137">
        <f>IF(B625="Retired",MIN(MAX(K625-M625-N625,0),((S624)*(1+$C$10)+IF(B625="Working",I625,0))),0)</f>
        <v/>
      </c>
      <c r="P625" s="137">
        <f>IF(B625="Retired",MIN(MAX(K625-M625-N625-O625,0),((T624)*(1+$C$10)+IF(B625="Working",F96,0))),0)</f>
        <v/>
      </c>
      <c r="Q625" s="138">
        <f>MAX(((Q624)*(1+$C$10)+IF(B625="Working",J625,0))-M625,0)</f>
        <v/>
      </c>
      <c r="R625" s="138">
        <f>MAX(((R624)*(1+$C$10)+IF(B625="Working",E96,0))-N625,0)</f>
        <v/>
      </c>
      <c r="S625" s="138">
        <f>MAX(((S624)*(1+$C$10)+IF(B625="Working",I625,0))-O625,0)</f>
        <v/>
      </c>
      <c r="T625" s="138">
        <f>MAX(((T624)*(1+$C$10)+IF(B625="Working",F96,0))-P625,0)</f>
        <v/>
      </c>
      <c r="U625" s="138">
        <f>Q625+R625+S625+T625</f>
        <v/>
      </c>
      <c r="V625" s="138">
        <f>IF(B625="Working",MAX(-(((Q624)*(1+$C$10)+IF(B625="Working",J625,0))),0),MAX(K625-L625,0))</f>
        <v/>
      </c>
      <c r="W625" s="138">
        <f>IF(OR(A625&gt;=$C$13,B625="Retired"),IF(V625&gt;0,-V625,U625-'Model Inputs'!$B$18),"")</f>
        <v/>
      </c>
      <c r="X625" s="138">
        <f>IF(AND($L$235&gt;0,A625&gt;=$C$13),$L$235*(1+$C$25)^(A625-$C$13),0)</f>
        <v/>
      </c>
      <c r="Y625" s="138">
        <f>IF(OR($L$235&lt;=0,$C$17&lt;=0,A625&lt;$C$13,MIN(MAX((A625-$C$13+1)*12,0),$C$17*12)&gt;=$C$17*12),0,IF($C$16=0,MAX(MAX($L$235*(1-$C$15),0)-(IF($C$17&lt;=0,0,IF($C$16=0,MAX($L$235*(1-$C$15),0)/$C$17,-PMT($C$16/12,$C$17*12,MAX($L$235*(1-$C$15),0))*12))/12)*MIN(MAX((A625-$C$13+1)*12,0),$C$17*12),0),MAX(MAX($L$235*(1-$C$15),0)*(1+$C$16/12)^MIN(MAX((A625-$C$13+1)*12,0),$C$17*12)-(IF($C$17&lt;=0,0,IF($C$16=0,MAX($L$235*(1-$C$15),0)/$C$17,-PMT($C$16/12,$C$17*12,MAX($L$235*(1-$C$15),0))*12))/12)*(((1+$C$16/12)^MIN(MAX((A625-$C$13+1)*12,0),$C$17*12)-1)/($C$16/12)),0)))</f>
        <v/>
      </c>
      <c r="Z625" s="138">
        <f>MAX(X625-Y625,0)</f>
        <v/>
      </c>
      <c r="AA625" s="139">
        <f>U625+Z625</f>
        <v/>
      </c>
      <c r="AB625" s="5" t="n"/>
      <c r="AC625" s="5" t="n"/>
      <c r="AD625" s="5" t="n"/>
      <c r="AE625" s="5" t="n"/>
      <c r="AF625" s="5" t="n"/>
      <c r="AG625" s="5" t="n"/>
    </row>
    <row r="626" outlineLevel="1" s="326">
      <c r="A626" s="140" t="n">
        <v>18</v>
      </c>
      <c r="B626" s="40">
        <f>B97</f>
        <v/>
      </c>
      <c r="C626" s="141">
        <f>D97</f>
        <v/>
      </c>
      <c r="D626" s="141">
        <f>I97</f>
        <v/>
      </c>
      <c r="E626" s="141">
        <f>J97</f>
        <v/>
      </c>
      <c r="F626" s="141">
        <f>K97</f>
        <v/>
      </c>
      <c r="G626" s="138">
        <f>IF(AND($L$235&gt;0,A626=$C$13),$L$235*($C$15+$C$18),0)+IF(AND($L$235&gt;0,A626=$C$13),$C$24,0)</f>
        <v/>
      </c>
      <c r="H626" s="138">
        <f>IF(OR($L$235&lt;=0,A626&lt;$C$13),0,IF(AND($L$235&gt;0,$C$17&gt;0,A626&gt;=$C$13,A626&lt;($C$13+$C$17)),IF($C$17&lt;=0,0,IF($C$16=0,MAX($L$235*(1-$C$15),0)/$C$17,-PMT($C$16/12,$C$17*12,MAX($L$235*(1-$C$15),0))*12)),0)+X626*($C$19+$C$20+$C$21)+$C$22+$C$23)</f>
        <v/>
      </c>
      <c r="I626" s="138">
        <f>IF(B626="Working",MIN(MAX(D626-E626-F626-G626-H626,0),'Tax Assumptions'!$B$20),0)</f>
        <v/>
      </c>
      <c r="J626" s="138">
        <f>IF(B626="Working",D626-E626-F626-I626-G626-H626,-L626)</f>
        <v/>
      </c>
      <c r="K626" s="141">
        <f>IF(B626="Retired",$N$235+G626+H626,0)</f>
        <v/>
      </c>
      <c r="L626" s="141">
        <f>M626+N626+O626+P626</f>
        <v/>
      </c>
      <c r="M626" s="141">
        <f>IF(B626="Retired",MIN(((Q625)*(1+$C$10)+IF(B626="Working",J626,0)),K626),0)</f>
        <v/>
      </c>
      <c r="N626" s="141">
        <f>IF(B626="Retired",MIN(MAX(K626-M626,0),((R625)*(1+$C$10)+IF(B626="Working",E97,0))),0)</f>
        <v/>
      </c>
      <c r="O626" s="141">
        <f>IF(B626="Retired",MIN(MAX(K626-M626-N626,0),((S625)*(1+$C$10)+IF(B626="Working",I626,0))),0)</f>
        <v/>
      </c>
      <c r="P626" s="141">
        <f>IF(B626="Retired",MIN(MAX(K626-M626-N626-O626,0),((T625)*(1+$C$10)+IF(B626="Working",F97,0))),0)</f>
        <v/>
      </c>
      <c r="Q626" s="138">
        <f>MAX(((Q625)*(1+$C$10)+IF(B626="Working",J626,0))-M626,0)</f>
        <v/>
      </c>
      <c r="R626" s="138">
        <f>MAX(((R625)*(1+$C$10)+IF(B626="Working",E97,0))-N626,0)</f>
        <v/>
      </c>
      <c r="S626" s="138">
        <f>MAX(((S625)*(1+$C$10)+IF(B626="Working",I626,0))-O626,0)</f>
        <v/>
      </c>
      <c r="T626" s="138">
        <f>MAX(((T625)*(1+$C$10)+IF(B626="Working",F97,0))-P626,0)</f>
        <v/>
      </c>
      <c r="U626" s="138">
        <f>Q626+R626+S626+T626</f>
        <v/>
      </c>
      <c r="V626" s="138">
        <f>IF(B626="Working",MAX(-(((Q625)*(1+$C$10)+IF(B626="Working",J626,0))),0),MAX(K626-L626,0))</f>
        <v/>
      </c>
      <c r="W626" s="138">
        <f>IF(OR(A626&gt;=$C$13,B626="Retired"),IF(V626&gt;0,-V626,U626-'Model Inputs'!$B$18),"")</f>
        <v/>
      </c>
      <c r="X626" s="138">
        <f>IF(AND($L$235&gt;0,A626&gt;=$C$13),$L$235*(1+$C$25)^(A626-$C$13),0)</f>
        <v/>
      </c>
      <c r="Y626" s="138">
        <f>IF(OR($L$235&lt;=0,$C$17&lt;=0,A626&lt;$C$13,MIN(MAX((A626-$C$13+1)*12,0),$C$17*12)&gt;=$C$17*12),0,IF($C$16=0,MAX(MAX($L$235*(1-$C$15),0)-(IF($C$17&lt;=0,0,IF($C$16=0,MAX($L$235*(1-$C$15),0)/$C$17,-PMT($C$16/12,$C$17*12,MAX($L$235*(1-$C$15),0))*12))/12)*MIN(MAX((A626-$C$13+1)*12,0),$C$17*12),0),MAX(MAX($L$235*(1-$C$15),0)*(1+$C$16/12)^MIN(MAX((A626-$C$13+1)*12,0),$C$17*12)-(IF($C$17&lt;=0,0,IF($C$16=0,MAX($L$235*(1-$C$15),0)/$C$17,-PMT($C$16/12,$C$17*12,MAX($L$235*(1-$C$15),0))*12))/12)*(((1+$C$16/12)^MIN(MAX((A626-$C$13+1)*12,0),$C$17*12)-1)/($C$16/12)),0)))</f>
        <v/>
      </c>
      <c r="Z626" s="138">
        <f>MAX(X626-Y626,0)</f>
        <v/>
      </c>
      <c r="AA626" s="142">
        <f>U626+Z626</f>
        <v/>
      </c>
      <c r="AB626" s="5" t="n"/>
      <c r="AC626" s="5" t="n"/>
      <c r="AD626" s="5" t="n"/>
      <c r="AE626" s="5" t="n"/>
      <c r="AF626" s="5" t="n"/>
      <c r="AG626" s="5" t="n"/>
    </row>
    <row r="627" outlineLevel="1" s="326">
      <c r="A627" s="136" t="n">
        <v>19</v>
      </c>
      <c r="B627" s="72">
        <f>B98</f>
        <v/>
      </c>
      <c r="C627" s="137">
        <f>D98</f>
        <v/>
      </c>
      <c r="D627" s="137">
        <f>I98</f>
        <v/>
      </c>
      <c r="E627" s="137">
        <f>J98</f>
        <v/>
      </c>
      <c r="F627" s="137">
        <f>K98</f>
        <v/>
      </c>
      <c r="G627" s="138">
        <f>IF(AND($L$235&gt;0,A627=$C$13),$L$235*($C$15+$C$18),0)+IF(AND($L$235&gt;0,A627=$C$13),$C$24,0)</f>
        <v/>
      </c>
      <c r="H627" s="138">
        <f>IF(OR($L$235&lt;=0,A627&lt;$C$13),0,IF(AND($L$235&gt;0,$C$17&gt;0,A627&gt;=$C$13,A627&lt;($C$13+$C$17)),IF($C$17&lt;=0,0,IF($C$16=0,MAX($L$235*(1-$C$15),0)/$C$17,-PMT($C$16/12,$C$17*12,MAX($L$235*(1-$C$15),0))*12)),0)+X627*($C$19+$C$20+$C$21)+$C$22+$C$23)</f>
        <v/>
      </c>
      <c r="I627" s="138">
        <f>IF(B627="Working",MIN(MAX(D627-E627-F627-G627-H627,0),'Tax Assumptions'!$B$20),0)</f>
        <v/>
      </c>
      <c r="J627" s="138">
        <f>IF(B627="Working",D627-E627-F627-I627-G627-H627,-L627)</f>
        <v/>
      </c>
      <c r="K627" s="137">
        <f>IF(B627="Retired",$N$235+G627+H627,0)</f>
        <v/>
      </c>
      <c r="L627" s="137">
        <f>M627+N627+O627+P627</f>
        <v/>
      </c>
      <c r="M627" s="137">
        <f>IF(B627="Retired",MIN(((Q626)*(1+$C$10)+IF(B627="Working",J627,0)),K627),0)</f>
        <v/>
      </c>
      <c r="N627" s="137">
        <f>IF(B627="Retired",MIN(MAX(K627-M627,0),((R626)*(1+$C$10)+IF(B627="Working",E98,0))),0)</f>
        <v/>
      </c>
      <c r="O627" s="137">
        <f>IF(B627="Retired",MIN(MAX(K627-M627-N627,0),((S626)*(1+$C$10)+IF(B627="Working",I627,0))),0)</f>
        <v/>
      </c>
      <c r="P627" s="137">
        <f>IF(B627="Retired",MIN(MAX(K627-M627-N627-O627,0),((T626)*(1+$C$10)+IF(B627="Working",F98,0))),0)</f>
        <v/>
      </c>
      <c r="Q627" s="138">
        <f>MAX(((Q626)*(1+$C$10)+IF(B627="Working",J627,0))-M627,0)</f>
        <v/>
      </c>
      <c r="R627" s="138">
        <f>MAX(((R626)*(1+$C$10)+IF(B627="Working",E98,0))-N627,0)</f>
        <v/>
      </c>
      <c r="S627" s="138">
        <f>MAX(((S626)*(1+$C$10)+IF(B627="Working",I627,0))-O627,0)</f>
        <v/>
      </c>
      <c r="T627" s="138">
        <f>MAX(((T626)*(1+$C$10)+IF(B627="Working",F98,0))-P627,0)</f>
        <v/>
      </c>
      <c r="U627" s="138">
        <f>Q627+R627+S627+T627</f>
        <v/>
      </c>
      <c r="V627" s="138">
        <f>IF(B627="Working",MAX(-(((Q626)*(1+$C$10)+IF(B627="Working",J627,0))),0),MAX(K627-L627,0))</f>
        <v/>
      </c>
      <c r="W627" s="138">
        <f>IF(OR(A627&gt;=$C$13,B627="Retired"),IF(V627&gt;0,-V627,U627-'Model Inputs'!$B$18),"")</f>
        <v/>
      </c>
      <c r="X627" s="138">
        <f>IF(AND($L$235&gt;0,A627&gt;=$C$13),$L$235*(1+$C$25)^(A627-$C$13),0)</f>
        <v/>
      </c>
      <c r="Y627" s="138">
        <f>IF(OR($L$235&lt;=0,$C$17&lt;=0,A627&lt;$C$13,MIN(MAX((A627-$C$13+1)*12,0),$C$17*12)&gt;=$C$17*12),0,IF($C$16=0,MAX(MAX($L$235*(1-$C$15),0)-(IF($C$17&lt;=0,0,IF($C$16=0,MAX($L$235*(1-$C$15),0)/$C$17,-PMT($C$16/12,$C$17*12,MAX($L$235*(1-$C$15),0))*12))/12)*MIN(MAX((A627-$C$13+1)*12,0),$C$17*12),0),MAX(MAX($L$235*(1-$C$15),0)*(1+$C$16/12)^MIN(MAX((A627-$C$13+1)*12,0),$C$17*12)-(IF($C$17&lt;=0,0,IF($C$16=0,MAX($L$235*(1-$C$15),0)/$C$17,-PMT($C$16/12,$C$17*12,MAX($L$235*(1-$C$15),0))*12))/12)*(((1+$C$16/12)^MIN(MAX((A627-$C$13+1)*12,0),$C$17*12)-1)/($C$16/12)),0)))</f>
        <v/>
      </c>
      <c r="Z627" s="138">
        <f>MAX(X627-Y627,0)</f>
        <v/>
      </c>
      <c r="AA627" s="139">
        <f>U627+Z627</f>
        <v/>
      </c>
      <c r="AB627" s="5" t="n"/>
      <c r="AC627" s="5" t="n"/>
      <c r="AD627" s="5" t="n"/>
      <c r="AE627" s="5" t="n"/>
      <c r="AF627" s="5" t="n"/>
      <c r="AG627" s="5" t="n"/>
    </row>
    <row r="628" outlineLevel="1" s="326">
      <c r="A628" s="140" t="n">
        <v>20</v>
      </c>
      <c r="B628" s="40">
        <f>B99</f>
        <v/>
      </c>
      <c r="C628" s="141">
        <f>D99</f>
        <v/>
      </c>
      <c r="D628" s="141">
        <f>I99</f>
        <v/>
      </c>
      <c r="E628" s="141">
        <f>J99</f>
        <v/>
      </c>
      <c r="F628" s="141">
        <f>K99</f>
        <v/>
      </c>
      <c r="G628" s="138">
        <f>IF(AND($L$235&gt;0,A628=$C$13),$L$235*($C$15+$C$18),0)+IF(AND($L$235&gt;0,A628=$C$13),$C$24,0)</f>
        <v/>
      </c>
      <c r="H628" s="138">
        <f>IF(OR($L$235&lt;=0,A628&lt;$C$13),0,IF(AND($L$235&gt;0,$C$17&gt;0,A628&gt;=$C$13,A628&lt;($C$13+$C$17)),IF($C$17&lt;=0,0,IF($C$16=0,MAX($L$235*(1-$C$15),0)/$C$17,-PMT($C$16/12,$C$17*12,MAX($L$235*(1-$C$15),0))*12)),0)+X628*($C$19+$C$20+$C$21)+$C$22+$C$23)</f>
        <v/>
      </c>
      <c r="I628" s="138">
        <f>IF(B628="Working",MIN(MAX(D628-E628-F628-G628-H628,0),'Tax Assumptions'!$B$20),0)</f>
        <v/>
      </c>
      <c r="J628" s="138">
        <f>IF(B628="Working",D628-E628-F628-I628-G628-H628,-L628)</f>
        <v/>
      </c>
      <c r="K628" s="141">
        <f>IF(B628="Retired",$N$235+G628+H628,0)</f>
        <v/>
      </c>
      <c r="L628" s="141">
        <f>M628+N628+O628+P628</f>
        <v/>
      </c>
      <c r="M628" s="141">
        <f>IF(B628="Retired",MIN(((Q627)*(1+$C$10)+IF(B628="Working",J628,0)),K628),0)</f>
        <v/>
      </c>
      <c r="N628" s="141">
        <f>IF(B628="Retired",MIN(MAX(K628-M628,0),((R627)*(1+$C$10)+IF(B628="Working",E99,0))),0)</f>
        <v/>
      </c>
      <c r="O628" s="141">
        <f>IF(B628="Retired",MIN(MAX(K628-M628-N628,0),((S627)*(1+$C$10)+IF(B628="Working",I628,0))),0)</f>
        <v/>
      </c>
      <c r="P628" s="141">
        <f>IF(B628="Retired",MIN(MAX(K628-M628-N628-O628,0),((T627)*(1+$C$10)+IF(B628="Working",F99,0))),0)</f>
        <v/>
      </c>
      <c r="Q628" s="138">
        <f>MAX(((Q627)*(1+$C$10)+IF(B628="Working",J628,0))-M628,0)</f>
        <v/>
      </c>
      <c r="R628" s="138">
        <f>MAX(((R627)*(1+$C$10)+IF(B628="Working",E99,0))-N628,0)</f>
        <v/>
      </c>
      <c r="S628" s="138">
        <f>MAX(((S627)*(1+$C$10)+IF(B628="Working",I628,0))-O628,0)</f>
        <v/>
      </c>
      <c r="T628" s="138">
        <f>MAX(((T627)*(1+$C$10)+IF(B628="Working",F99,0))-P628,0)</f>
        <v/>
      </c>
      <c r="U628" s="138">
        <f>Q628+R628+S628+T628</f>
        <v/>
      </c>
      <c r="V628" s="138">
        <f>IF(B628="Working",MAX(-(((Q627)*(1+$C$10)+IF(B628="Working",J628,0))),0),MAX(K628-L628,0))</f>
        <v/>
      </c>
      <c r="W628" s="138">
        <f>IF(OR(A628&gt;=$C$13,B628="Retired"),IF(V628&gt;0,-V628,U628-'Model Inputs'!$B$18),"")</f>
        <v/>
      </c>
      <c r="X628" s="138">
        <f>IF(AND($L$235&gt;0,A628&gt;=$C$13),$L$235*(1+$C$25)^(A628-$C$13),0)</f>
        <v/>
      </c>
      <c r="Y628" s="138">
        <f>IF(OR($L$235&lt;=0,$C$17&lt;=0,A628&lt;$C$13,MIN(MAX((A628-$C$13+1)*12,0),$C$17*12)&gt;=$C$17*12),0,IF($C$16=0,MAX(MAX($L$235*(1-$C$15),0)-(IF($C$17&lt;=0,0,IF($C$16=0,MAX($L$235*(1-$C$15),0)/$C$17,-PMT($C$16/12,$C$17*12,MAX($L$235*(1-$C$15),0))*12))/12)*MIN(MAX((A628-$C$13+1)*12,0),$C$17*12),0),MAX(MAX($L$235*(1-$C$15),0)*(1+$C$16/12)^MIN(MAX((A628-$C$13+1)*12,0),$C$17*12)-(IF($C$17&lt;=0,0,IF($C$16=0,MAX($L$235*(1-$C$15),0)/$C$17,-PMT($C$16/12,$C$17*12,MAX($L$235*(1-$C$15),0))*12))/12)*(((1+$C$16/12)^MIN(MAX((A628-$C$13+1)*12,0),$C$17*12)-1)/($C$16/12)),0)))</f>
        <v/>
      </c>
      <c r="Z628" s="138">
        <f>MAX(X628-Y628,0)</f>
        <v/>
      </c>
      <c r="AA628" s="142">
        <f>U628+Z628</f>
        <v/>
      </c>
      <c r="AB628" s="5" t="n"/>
      <c r="AC628" s="5" t="n"/>
      <c r="AD628" s="5" t="n"/>
      <c r="AE628" s="5" t="n"/>
      <c r="AF628" s="5" t="n"/>
      <c r="AG628" s="5" t="n"/>
    </row>
    <row r="629" outlineLevel="1" s="326">
      <c r="A629" s="136" t="n">
        <v>21</v>
      </c>
      <c r="B629" s="72">
        <f>B100</f>
        <v/>
      </c>
      <c r="C629" s="137">
        <f>D100</f>
        <v/>
      </c>
      <c r="D629" s="137">
        <f>I100</f>
        <v/>
      </c>
      <c r="E629" s="137">
        <f>J100</f>
        <v/>
      </c>
      <c r="F629" s="137">
        <f>K100</f>
        <v/>
      </c>
      <c r="G629" s="138">
        <f>IF(AND($L$235&gt;0,A629=$C$13),$L$235*($C$15+$C$18),0)+IF(AND($L$235&gt;0,A629=$C$13),$C$24,0)</f>
        <v/>
      </c>
      <c r="H629" s="138">
        <f>IF(OR($L$235&lt;=0,A629&lt;$C$13),0,IF(AND($L$235&gt;0,$C$17&gt;0,A629&gt;=$C$13,A629&lt;($C$13+$C$17)),IF($C$17&lt;=0,0,IF($C$16=0,MAX($L$235*(1-$C$15),0)/$C$17,-PMT($C$16/12,$C$17*12,MAX($L$235*(1-$C$15),0))*12)),0)+X629*($C$19+$C$20+$C$21)+$C$22+$C$23)</f>
        <v/>
      </c>
      <c r="I629" s="138">
        <f>IF(B629="Working",MIN(MAX(D629-E629-F629-G629-H629,0),'Tax Assumptions'!$B$20),0)</f>
        <v/>
      </c>
      <c r="J629" s="138">
        <f>IF(B629="Working",D629-E629-F629-I629-G629-H629,-L629)</f>
        <v/>
      </c>
      <c r="K629" s="137">
        <f>IF(B629="Retired",$N$235+G629+H629,0)</f>
        <v/>
      </c>
      <c r="L629" s="137">
        <f>M629+N629+O629+P629</f>
        <v/>
      </c>
      <c r="M629" s="137">
        <f>IF(B629="Retired",MIN(((Q628)*(1+$C$10)+IF(B629="Working",J629,0)),K629),0)</f>
        <v/>
      </c>
      <c r="N629" s="137">
        <f>IF(B629="Retired",MIN(MAX(K629-M629,0),((R628)*(1+$C$10)+IF(B629="Working",E100,0))),0)</f>
        <v/>
      </c>
      <c r="O629" s="137">
        <f>IF(B629="Retired",MIN(MAX(K629-M629-N629,0),((S628)*(1+$C$10)+IF(B629="Working",I629,0))),0)</f>
        <v/>
      </c>
      <c r="P629" s="137">
        <f>IF(B629="Retired",MIN(MAX(K629-M629-N629-O629,0),((T628)*(1+$C$10)+IF(B629="Working",F100,0))),0)</f>
        <v/>
      </c>
      <c r="Q629" s="138">
        <f>MAX(((Q628)*(1+$C$10)+IF(B629="Working",J629,0))-M629,0)</f>
        <v/>
      </c>
      <c r="R629" s="138">
        <f>MAX(((R628)*(1+$C$10)+IF(B629="Working",E100,0))-N629,0)</f>
        <v/>
      </c>
      <c r="S629" s="138">
        <f>MAX(((S628)*(1+$C$10)+IF(B629="Working",I629,0))-O629,0)</f>
        <v/>
      </c>
      <c r="T629" s="138">
        <f>MAX(((T628)*(1+$C$10)+IF(B629="Working",F100,0))-P629,0)</f>
        <v/>
      </c>
      <c r="U629" s="138">
        <f>Q629+R629+S629+T629</f>
        <v/>
      </c>
      <c r="V629" s="138">
        <f>IF(B629="Working",MAX(-(((Q628)*(1+$C$10)+IF(B629="Working",J629,0))),0),MAX(K629-L629,0))</f>
        <v/>
      </c>
      <c r="W629" s="138">
        <f>IF(OR(A629&gt;=$C$13,B629="Retired"),IF(V629&gt;0,-V629,U629-'Model Inputs'!$B$18),"")</f>
        <v/>
      </c>
      <c r="X629" s="138">
        <f>IF(AND($L$235&gt;0,A629&gt;=$C$13),$L$235*(1+$C$25)^(A629-$C$13),0)</f>
        <v/>
      </c>
      <c r="Y629" s="138">
        <f>IF(OR($L$235&lt;=0,$C$17&lt;=0,A629&lt;$C$13,MIN(MAX((A629-$C$13+1)*12,0),$C$17*12)&gt;=$C$17*12),0,IF($C$16=0,MAX(MAX($L$235*(1-$C$15),0)-(IF($C$17&lt;=0,0,IF($C$16=0,MAX($L$235*(1-$C$15),0)/$C$17,-PMT($C$16/12,$C$17*12,MAX($L$235*(1-$C$15),0))*12))/12)*MIN(MAX((A629-$C$13+1)*12,0),$C$17*12),0),MAX(MAX($L$235*(1-$C$15),0)*(1+$C$16/12)^MIN(MAX((A629-$C$13+1)*12,0),$C$17*12)-(IF($C$17&lt;=0,0,IF($C$16=0,MAX($L$235*(1-$C$15),0)/$C$17,-PMT($C$16/12,$C$17*12,MAX($L$235*(1-$C$15),0))*12))/12)*(((1+$C$16/12)^MIN(MAX((A629-$C$13+1)*12,0),$C$17*12)-1)/($C$16/12)),0)))</f>
        <v/>
      </c>
      <c r="Z629" s="138">
        <f>MAX(X629-Y629,0)</f>
        <v/>
      </c>
      <c r="AA629" s="139">
        <f>U629+Z629</f>
        <v/>
      </c>
      <c r="AB629" s="5" t="n"/>
      <c r="AC629" s="5" t="n"/>
      <c r="AD629" s="5" t="n"/>
      <c r="AE629" s="5" t="n"/>
      <c r="AF629" s="5" t="n"/>
      <c r="AG629" s="5" t="n"/>
    </row>
    <row r="630" outlineLevel="1" s="326">
      <c r="A630" s="140" t="n">
        <v>22</v>
      </c>
      <c r="B630" s="40">
        <f>B101</f>
        <v/>
      </c>
      <c r="C630" s="141">
        <f>D101</f>
        <v/>
      </c>
      <c r="D630" s="141">
        <f>I101</f>
        <v/>
      </c>
      <c r="E630" s="141">
        <f>J101</f>
        <v/>
      </c>
      <c r="F630" s="141">
        <f>K101</f>
        <v/>
      </c>
      <c r="G630" s="138">
        <f>IF(AND($L$235&gt;0,A630=$C$13),$L$235*($C$15+$C$18),0)+IF(AND($L$235&gt;0,A630=$C$13),$C$24,0)</f>
        <v/>
      </c>
      <c r="H630" s="138">
        <f>IF(OR($L$235&lt;=0,A630&lt;$C$13),0,IF(AND($L$235&gt;0,$C$17&gt;0,A630&gt;=$C$13,A630&lt;($C$13+$C$17)),IF($C$17&lt;=0,0,IF($C$16=0,MAX($L$235*(1-$C$15),0)/$C$17,-PMT($C$16/12,$C$17*12,MAX($L$235*(1-$C$15),0))*12)),0)+X630*($C$19+$C$20+$C$21)+$C$22+$C$23)</f>
        <v/>
      </c>
      <c r="I630" s="138">
        <f>IF(B630="Working",MIN(MAX(D630-E630-F630-G630-H630,0),'Tax Assumptions'!$B$20),0)</f>
        <v/>
      </c>
      <c r="J630" s="138">
        <f>IF(B630="Working",D630-E630-F630-I630-G630-H630,-L630)</f>
        <v/>
      </c>
      <c r="K630" s="141">
        <f>IF(B630="Retired",$N$235+G630+H630,0)</f>
        <v/>
      </c>
      <c r="L630" s="141">
        <f>M630+N630+O630+P630</f>
        <v/>
      </c>
      <c r="M630" s="141">
        <f>IF(B630="Retired",MIN(((Q629)*(1+$C$10)+IF(B630="Working",J630,0)),K630),0)</f>
        <v/>
      </c>
      <c r="N630" s="141">
        <f>IF(B630="Retired",MIN(MAX(K630-M630,0),((R629)*(1+$C$10)+IF(B630="Working",E101,0))),0)</f>
        <v/>
      </c>
      <c r="O630" s="141">
        <f>IF(B630="Retired",MIN(MAX(K630-M630-N630,0),((S629)*(1+$C$10)+IF(B630="Working",I630,0))),0)</f>
        <v/>
      </c>
      <c r="P630" s="141">
        <f>IF(B630="Retired",MIN(MAX(K630-M630-N630-O630,0),((T629)*(1+$C$10)+IF(B630="Working",F101,0))),0)</f>
        <v/>
      </c>
      <c r="Q630" s="138">
        <f>MAX(((Q629)*(1+$C$10)+IF(B630="Working",J630,0))-M630,0)</f>
        <v/>
      </c>
      <c r="R630" s="138">
        <f>MAX(((R629)*(1+$C$10)+IF(B630="Working",E101,0))-N630,0)</f>
        <v/>
      </c>
      <c r="S630" s="138">
        <f>MAX(((S629)*(1+$C$10)+IF(B630="Working",I630,0))-O630,0)</f>
        <v/>
      </c>
      <c r="T630" s="138">
        <f>MAX(((T629)*(1+$C$10)+IF(B630="Working",F101,0))-P630,0)</f>
        <v/>
      </c>
      <c r="U630" s="138">
        <f>Q630+R630+S630+T630</f>
        <v/>
      </c>
      <c r="V630" s="138">
        <f>IF(B630="Working",MAX(-(((Q629)*(1+$C$10)+IF(B630="Working",J630,0))),0),MAX(K630-L630,0))</f>
        <v/>
      </c>
      <c r="W630" s="138">
        <f>IF(OR(A630&gt;=$C$13,B630="Retired"),IF(V630&gt;0,-V630,U630-'Model Inputs'!$B$18),"")</f>
        <v/>
      </c>
      <c r="X630" s="138">
        <f>IF(AND($L$235&gt;0,A630&gt;=$C$13),$L$235*(1+$C$25)^(A630-$C$13),0)</f>
        <v/>
      </c>
      <c r="Y630" s="138">
        <f>IF(OR($L$235&lt;=0,$C$17&lt;=0,A630&lt;$C$13,MIN(MAX((A630-$C$13+1)*12,0),$C$17*12)&gt;=$C$17*12),0,IF($C$16=0,MAX(MAX($L$235*(1-$C$15),0)-(IF($C$17&lt;=0,0,IF($C$16=0,MAX($L$235*(1-$C$15),0)/$C$17,-PMT($C$16/12,$C$17*12,MAX($L$235*(1-$C$15),0))*12))/12)*MIN(MAX((A630-$C$13+1)*12,0),$C$17*12),0),MAX(MAX($L$235*(1-$C$15),0)*(1+$C$16/12)^MIN(MAX((A630-$C$13+1)*12,0),$C$17*12)-(IF($C$17&lt;=0,0,IF($C$16=0,MAX($L$235*(1-$C$15),0)/$C$17,-PMT($C$16/12,$C$17*12,MAX($L$235*(1-$C$15),0))*12))/12)*(((1+$C$16/12)^MIN(MAX((A630-$C$13+1)*12,0),$C$17*12)-1)/($C$16/12)),0)))</f>
        <v/>
      </c>
      <c r="Z630" s="138">
        <f>MAX(X630-Y630,0)</f>
        <v/>
      </c>
      <c r="AA630" s="142">
        <f>U630+Z630</f>
        <v/>
      </c>
      <c r="AB630" s="5" t="n"/>
      <c r="AC630" s="5" t="n"/>
      <c r="AD630" s="5" t="n"/>
      <c r="AE630" s="5" t="n"/>
      <c r="AF630" s="5" t="n"/>
      <c r="AG630" s="5" t="n"/>
    </row>
    <row r="631" outlineLevel="1" s="326">
      <c r="A631" s="136" t="n">
        <v>23</v>
      </c>
      <c r="B631" s="72">
        <f>B102</f>
        <v/>
      </c>
      <c r="C631" s="137">
        <f>D102</f>
        <v/>
      </c>
      <c r="D631" s="137">
        <f>I102</f>
        <v/>
      </c>
      <c r="E631" s="137">
        <f>J102</f>
        <v/>
      </c>
      <c r="F631" s="137">
        <f>K102</f>
        <v/>
      </c>
      <c r="G631" s="138">
        <f>IF(AND($L$235&gt;0,A631=$C$13),$L$235*($C$15+$C$18),0)+IF(AND($L$235&gt;0,A631=$C$13),$C$24,0)</f>
        <v/>
      </c>
      <c r="H631" s="138">
        <f>IF(OR($L$235&lt;=0,A631&lt;$C$13),0,IF(AND($L$235&gt;0,$C$17&gt;0,A631&gt;=$C$13,A631&lt;($C$13+$C$17)),IF($C$17&lt;=0,0,IF($C$16=0,MAX($L$235*(1-$C$15),0)/$C$17,-PMT($C$16/12,$C$17*12,MAX($L$235*(1-$C$15),0))*12)),0)+X631*($C$19+$C$20+$C$21)+$C$22+$C$23)</f>
        <v/>
      </c>
      <c r="I631" s="138">
        <f>IF(B631="Working",MIN(MAX(D631-E631-F631-G631-H631,0),'Tax Assumptions'!$B$20),0)</f>
        <v/>
      </c>
      <c r="J631" s="138">
        <f>IF(B631="Working",D631-E631-F631-I631-G631-H631,-L631)</f>
        <v/>
      </c>
      <c r="K631" s="137">
        <f>IF(B631="Retired",$N$235+G631+H631,0)</f>
        <v/>
      </c>
      <c r="L631" s="137">
        <f>M631+N631+O631+P631</f>
        <v/>
      </c>
      <c r="M631" s="137">
        <f>IF(B631="Retired",MIN(((Q630)*(1+$C$10)+IF(B631="Working",J631,0)),K631),0)</f>
        <v/>
      </c>
      <c r="N631" s="137">
        <f>IF(B631="Retired",MIN(MAX(K631-M631,0),((R630)*(1+$C$10)+IF(B631="Working",E102,0))),0)</f>
        <v/>
      </c>
      <c r="O631" s="137">
        <f>IF(B631="Retired",MIN(MAX(K631-M631-N631,0),((S630)*(1+$C$10)+IF(B631="Working",I631,0))),0)</f>
        <v/>
      </c>
      <c r="P631" s="137">
        <f>IF(B631="Retired",MIN(MAX(K631-M631-N631-O631,0),((T630)*(1+$C$10)+IF(B631="Working",F102,0))),0)</f>
        <v/>
      </c>
      <c r="Q631" s="138">
        <f>MAX(((Q630)*(1+$C$10)+IF(B631="Working",J631,0))-M631,0)</f>
        <v/>
      </c>
      <c r="R631" s="138">
        <f>MAX(((R630)*(1+$C$10)+IF(B631="Working",E102,0))-N631,0)</f>
        <v/>
      </c>
      <c r="S631" s="138">
        <f>MAX(((S630)*(1+$C$10)+IF(B631="Working",I631,0))-O631,0)</f>
        <v/>
      </c>
      <c r="T631" s="138">
        <f>MAX(((T630)*(1+$C$10)+IF(B631="Working",F102,0))-P631,0)</f>
        <v/>
      </c>
      <c r="U631" s="138">
        <f>Q631+R631+S631+T631</f>
        <v/>
      </c>
      <c r="V631" s="138">
        <f>IF(B631="Working",MAX(-(((Q630)*(1+$C$10)+IF(B631="Working",J631,0))),0),MAX(K631-L631,0))</f>
        <v/>
      </c>
      <c r="W631" s="138">
        <f>IF(OR(A631&gt;=$C$13,B631="Retired"),IF(V631&gt;0,-V631,U631-'Model Inputs'!$B$18),"")</f>
        <v/>
      </c>
      <c r="X631" s="138">
        <f>IF(AND($L$235&gt;0,A631&gt;=$C$13),$L$235*(1+$C$25)^(A631-$C$13),0)</f>
        <v/>
      </c>
      <c r="Y631" s="138">
        <f>IF(OR($L$235&lt;=0,$C$17&lt;=0,A631&lt;$C$13,MIN(MAX((A631-$C$13+1)*12,0),$C$17*12)&gt;=$C$17*12),0,IF($C$16=0,MAX(MAX($L$235*(1-$C$15),0)-(IF($C$17&lt;=0,0,IF($C$16=0,MAX($L$235*(1-$C$15),0)/$C$17,-PMT($C$16/12,$C$17*12,MAX($L$235*(1-$C$15),0))*12))/12)*MIN(MAX((A631-$C$13+1)*12,0),$C$17*12),0),MAX(MAX($L$235*(1-$C$15),0)*(1+$C$16/12)^MIN(MAX((A631-$C$13+1)*12,0),$C$17*12)-(IF($C$17&lt;=0,0,IF($C$16=0,MAX($L$235*(1-$C$15),0)/$C$17,-PMT($C$16/12,$C$17*12,MAX($L$235*(1-$C$15),0))*12))/12)*(((1+$C$16/12)^MIN(MAX((A631-$C$13+1)*12,0),$C$17*12)-1)/($C$16/12)),0)))</f>
        <v/>
      </c>
      <c r="Z631" s="138">
        <f>MAX(X631-Y631,0)</f>
        <v/>
      </c>
      <c r="AA631" s="139">
        <f>U631+Z631</f>
        <v/>
      </c>
      <c r="AB631" s="5" t="n"/>
      <c r="AC631" s="5" t="n"/>
      <c r="AD631" s="5" t="n"/>
      <c r="AE631" s="5" t="n"/>
      <c r="AF631" s="5" t="n"/>
      <c r="AG631" s="5" t="n"/>
    </row>
    <row r="632" outlineLevel="1" s="326">
      <c r="A632" s="140" t="n">
        <v>24</v>
      </c>
      <c r="B632" s="40">
        <f>B103</f>
        <v/>
      </c>
      <c r="C632" s="141">
        <f>D103</f>
        <v/>
      </c>
      <c r="D632" s="141">
        <f>I103</f>
        <v/>
      </c>
      <c r="E632" s="141">
        <f>J103</f>
        <v/>
      </c>
      <c r="F632" s="141">
        <f>K103</f>
        <v/>
      </c>
      <c r="G632" s="138">
        <f>IF(AND($L$235&gt;0,A632=$C$13),$L$235*($C$15+$C$18),0)+IF(AND($L$235&gt;0,A632=$C$13),$C$24,0)</f>
        <v/>
      </c>
      <c r="H632" s="138">
        <f>IF(OR($L$235&lt;=0,A632&lt;$C$13),0,IF(AND($L$235&gt;0,$C$17&gt;0,A632&gt;=$C$13,A632&lt;($C$13+$C$17)),IF($C$17&lt;=0,0,IF($C$16=0,MAX($L$235*(1-$C$15),0)/$C$17,-PMT($C$16/12,$C$17*12,MAX($L$235*(1-$C$15),0))*12)),0)+X632*($C$19+$C$20+$C$21)+$C$22+$C$23)</f>
        <v/>
      </c>
      <c r="I632" s="138">
        <f>IF(B632="Working",MIN(MAX(D632-E632-F632-G632-H632,0),'Tax Assumptions'!$B$20),0)</f>
        <v/>
      </c>
      <c r="J632" s="138">
        <f>IF(B632="Working",D632-E632-F632-I632-G632-H632,-L632)</f>
        <v/>
      </c>
      <c r="K632" s="141">
        <f>IF(B632="Retired",$N$235+G632+H632,0)</f>
        <v/>
      </c>
      <c r="L632" s="141">
        <f>M632+N632+O632+P632</f>
        <v/>
      </c>
      <c r="M632" s="141">
        <f>IF(B632="Retired",MIN(((Q631)*(1+$C$10)+IF(B632="Working",J632,0)),K632),0)</f>
        <v/>
      </c>
      <c r="N632" s="141">
        <f>IF(B632="Retired",MIN(MAX(K632-M632,0),((R631)*(1+$C$10)+IF(B632="Working",E103,0))),0)</f>
        <v/>
      </c>
      <c r="O632" s="141">
        <f>IF(B632="Retired",MIN(MAX(K632-M632-N632,0),((S631)*(1+$C$10)+IF(B632="Working",I632,0))),0)</f>
        <v/>
      </c>
      <c r="P632" s="141">
        <f>IF(B632="Retired",MIN(MAX(K632-M632-N632-O632,0),((T631)*(1+$C$10)+IF(B632="Working",F103,0))),0)</f>
        <v/>
      </c>
      <c r="Q632" s="138">
        <f>MAX(((Q631)*(1+$C$10)+IF(B632="Working",J632,0))-M632,0)</f>
        <v/>
      </c>
      <c r="R632" s="138">
        <f>MAX(((R631)*(1+$C$10)+IF(B632="Working",E103,0))-N632,0)</f>
        <v/>
      </c>
      <c r="S632" s="138">
        <f>MAX(((S631)*(1+$C$10)+IF(B632="Working",I632,0))-O632,0)</f>
        <v/>
      </c>
      <c r="T632" s="138">
        <f>MAX(((T631)*(1+$C$10)+IF(B632="Working",F103,0))-P632,0)</f>
        <v/>
      </c>
      <c r="U632" s="138">
        <f>Q632+R632+S632+T632</f>
        <v/>
      </c>
      <c r="V632" s="138">
        <f>IF(B632="Working",MAX(-(((Q631)*(1+$C$10)+IF(B632="Working",J632,0))),0),MAX(K632-L632,0))</f>
        <v/>
      </c>
      <c r="W632" s="138">
        <f>IF(OR(A632&gt;=$C$13,B632="Retired"),IF(V632&gt;0,-V632,U632-'Model Inputs'!$B$18),"")</f>
        <v/>
      </c>
      <c r="X632" s="138">
        <f>IF(AND($L$235&gt;0,A632&gt;=$C$13),$L$235*(1+$C$25)^(A632-$C$13),0)</f>
        <v/>
      </c>
      <c r="Y632" s="138">
        <f>IF(OR($L$235&lt;=0,$C$17&lt;=0,A632&lt;$C$13,MIN(MAX((A632-$C$13+1)*12,0),$C$17*12)&gt;=$C$17*12),0,IF($C$16=0,MAX(MAX($L$235*(1-$C$15),0)-(IF($C$17&lt;=0,0,IF($C$16=0,MAX($L$235*(1-$C$15),0)/$C$17,-PMT($C$16/12,$C$17*12,MAX($L$235*(1-$C$15),0))*12))/12)*MIN(MAX((A632-$C$13+1)*12,0),$C$17*12),0),MAX(MAX($L$235*(1-$C$15),0)*(1+$C$16/12)^MIN(MAX((A632-$C$13+1)*12,0),$C$17*12)-(IF($C$17&lt;=0,0,IF($C$16=0,MAX($L$235*(1-$C$15),0)/$C$17,-PMT($C$16/12,$C$17*12,MAX($L$235*(1-$C$15),0))*12))/12)*(((1+$C$16/12)^MIN(MAX((A632-$C$13+1)*12,0),$C$17*12)-1)/($C$16/12)),0)))</f>
        <v/>
      </c>
      <c r="Z632" s="138">
        <f>MAX(X632-Y632,0)</f>
        <v/>
      </c>
      <c r="AA632" s="142">
        <f>U632+Z632</f>
        <v/>
      </c>
      <c r="AB632" s="5" t="n"/>
      <c r="AC632" s="5" t="n"/>
      <c r="AD632" s="5" t="n"/>
      <c r="AE632" s="5" t="n"/>
      <c r="AF632" s="5" t="n"/>
      <c r="AG632" s="5" t="n"/>
    </row>
    <row r="633" outlineLevel="1" s="326">
      <c r="A633" s="136" t="n">
        <v>25</v>
      </c>
      <c r="B633" s="72">
        <f>B104</f>
        <v/>
      </c>
      <c r="C633" s="137">
        <f>D104</f>
        <v/>
      </c>
      <c r="D633" s="137">
        <f>I104</f>
        <v/>
      </c>
      <c r="E633" s="137">
        <f>J104</f>
        <v/>
      </c>
      <c r="F633" s="137">
        <f>K104</f>
        <v/>
      </c>
      <c r="G633" s="138">
        <f>IF(AND($L$235&gt;0,A633=$C$13),$L$235*($C$15+$C$18),0)+IF(AND($L$235&gt;0,A633=$C$13),$C$24,0)</f>
        <v/>
      </c>
      <c r="H633" s="138">
        <f>IF(OR($L$235&lt;=0,A633&lt;$C$13),0,IF(AND($L$235&gt;0,$C$17&gt;0,A633&gt;=$C$13,A633&lt;($C$13+$C$17)),IF($C$17&lt;=0,0,IF($C$16=0,MAX($L$235*(1-$C$15),0)/$C$17,-PMT($C$16/12,$C$17*12,MAX($L$235*(1-$C$15),0))*12)),0)+X633*($C$19+$C$20+$C$21)+$C$22+$C$23)</f>
        <v/>
      </c>
      <c r="I633" s="138">
        <f>IF(B633="Working",MIN(MAX(D633-E633-F633-G633-H633,0),'Tax Assumptions'!$B$20),0)</f>
        <v/>
      </c>
      <c r="J633" s="138">
        <f>IF(B633="Working",D633-E633-F633-I633-G633-H633,-L633)</f>
        <v/>
      </c>
      <c r="K633" s="137">
        <f>IF(B633="Retired",$N$235+G633+H633,0)</f>
        <v/>
      </c>
      <c r="L633" s="137">
        <f>M633+N633+O633+P633</f>
        <v/>
      </c>
      <c r="M633" s="137">
        <f>IF(B633="Retired",MIN(((Q632)*(1+$C$10)+IF(B633="Working",J633,0)),K633),0)</f>
        <v/>
      </c>
      <c r="N633" s="137">
        <f>IF(B633="Retired",MIN(MAX(K633-M633,0),((R632)*(1+$C$10)+IF(B633="Working",E104,0))),0)</f>
        <v/>
      </c>
      <c r="O633" s="137">
        <f>IF(B633="Retired",MIN(MAX(K633-M633-N633,0),((S632)*(1+$C$10)+IF(B633="Working",I633,0))),0)</f>
        <v/>
      </c>
      <c r="P633" s="137">
        <f>IF(B633="Retired",MIN(MAX(K633-M633-N633-O633,0),((T632)*(1+$C$10)+IF(B633="Working",F104,0))),0)</f>
        <v/>
      </c>
      <c r="Q633" s="138">
        <f>MAX(((Q632)*(1+$C$10)+IF(B633="Working",J633,0))-M633,0)</f>
        <v/>
      </c>
      <c r="R633" s="138">
        <f>MAX(((R632)*(1+$C$10)+IF(B633="Working",E104,0))-N633,0)</f>
        <v/>
      </c>
      <c r="S633" s="138">
        <f>MAX(((S632)*(1+$C$10)+IF(B633="Working",I633,0))-O633,0)</f>
        <v/>
      </c>
      <c r="T633" s="138">
        <f>MAX(((T632)*(1+$C$10)+IF(B633="Working",F104,0))-P633,0)</f>
        <v/>
      </c>
      <c r="U633" s="138">
        <f>Q633+R633+S633+T633</f>
        <v/>
      </c>
      <c r="V633" s="138">
        <f>IF(B633="Working",MAX(-(((Q632)*(1+$C$10)+IF(B633="Working",J633,0))),0),MAX(K633-L633,0))</f>
        <v/>
      </c>
      <c r="W633" s="138">
        <f>IF(OR(A633&gt;=$C$13,B633="Retired"),IF(V633&gt;0,-V633,U633-'Model Inputs'!$B$18),"")</f>
        <v/>
      </c>
      <c r="X633" s="138">
        <f>IF(AND($L$235&gt;0,A633&gt;=$C$13),$L$235*(1+$C$25)^(A633-$C$13),0)</f>
        <v/>
      </c>
      <c r="Y633" s="138">
        <f>IF(OR($L$235&lt;=0,$C$17&lt;=0,A633&lt;$C$13,MIN(MAX((A633-$C$13+1)*12,0),$C$17*12)&gt;=$C$17*12),0,IF($C$16=0,MAX(MAX($L$235*(1-$C$15),0)-(IF($C$17&lt;=0,0,IF($C$16=0,MAX($L$235*(1-$C$15),0)/$C$17,-PMT($C$16/12,$C$17*12,MAX($L$235*(1-$C$15),0))*12))/12)*MIN(MAX((A633-$C$13+1)*12,0),$C$17*12),0),MAX(MAX($L$235*(1-$C$15),0)*(1+$C$16/12)^MIN(MAX((A633-$C$13+1)*12,0),$C$17*12)-(IF($C$17&lt;=0,0,IF($C$16=0,MAX($L$235*(1-$C$15),0)/$C$17,-PMT($C$16/12,$C$17*12,MAX($L$235*(1-$C$15),0))*12))/12)*(((1+$C$16/12)^MIN(MAX((A633-$C$13+1)*12,0),$C$17*12)-1)/($C$16/12)),0)))</f>
        <v/>
      </c>
      <c r="Z633" s="138">
        <f>MAX(X633-Y633,0)</f>
        <v/>
      </c>
      <c r="AA633" s="139">
        <f>U633+Z633</f>
        <v/>
      </c>
      <c r="AB633" s="5" t="n"/>
      <c r="AC633" s="5" t="n"/>
      <c r="AD633" s="5" t="n"/>
      <c r="AE633" s="5" t="n"/>
      <c r="AF633" s="5" t="n"/>
      <c r="AG633" s="5" t="n"/>
    </row>
    <row r="634" outlineLevel="1" s="326">
      <c r="A634" s="140" t="n">
        <v>26</v>
      </c>
      <c r="B634" s="40">
        <f>B105</f>
        <v/>
      </c>
      <c r="C634" s="141">
        <f>D105</f>
        <v/>
      </c>
      <c r="D634" s="141">
        <f>I105</f>
        <v/>
      </c>
      <c r="E634" s="141">
        <f>J105</f>
        <v/>
      </c>
      <c r="F634" s="141">
        <f>K105</f>
        <v/>
      </c>
      <c r="G634" s="138">
        <f>IF(AND($L$235&gt;0,A634=$C$13),$L$235*($C$15+$C$18),0)+IF(AND($L$235&gt;0,A634=$C$13),$C$24,0)</f>
        <v/>
      </c>
      <c r="H634" s="138">
        <f>IF(OR($L$235&lt;=0,A634&lt;$C$13),0,IF(AND($L$235&gt;0,$C$17&gt;0,A634&gt;=$C$13,A634&lt;($C$13+$C$17)),IF($C$17&lt;=0,0,IF($C$16=0,MAX($L$235*(1-$C$15),0)/$C$17,-PMT($C$16/12,$C$17*12,MAX($L$235*(1-$C$15),0))*12)),0)+X634*($C$19+$C$20+$C$21)+$C$22+$C$23)</f>
        <v/>
      </c>
      <c r="I634" s="138">
        <f>IF(B634="Working",MIN(MAX(D634-E634-F634-G634-H634,0),'Tax Assumptions'!$B$20),0)</f>
        <v/>
      </c>
      <c r="J634" s="138">
        <f>IF(B634="Working",D634-E634-F634-I634-G634-H634,-L634)</f>
        <v/>
      </c>
      <c r="K634" s="141">
        <f>IF(B634="Retired",$N$235+G634+H634,0)</f>
        <v/>
      </c>
      <c r="L634" s="141">
        <f>M634+N634+O634+P634</f>
        <v/>
      </c>
      <c r="M634" s="141">
        <f>IF(B634="Retired",MIN(((Q633)*(1+$C$10)+IF(B634="Working",J634,0)),K634),0)</f>
        <v/>
      </c>
      <c r="N634" s="141">
        <f>IF(B634="Retired",MIN(MAX(K634-M634,0),((R633)*(1+$C$10)+IF(B634="Working",E105,0))),0)</f>
        <v/>
      </c>
      <c r="O634" s="141">
        <f>IF(B634="Retired",MIN(MAX(K634-M634-N634,0),((S633)*(1+$C$10)+IF(B634="Working",I634,0))),0)</f>
        <v/>
      </c>
      <c r="P634" s="141">
        <f>IF(B634="Retired",MIN(MAX(K634-M634-N634-O634,0),((T633)*(1+$C$10)+IF(B634="Working",F105,0))),0)</f>
        <v/>
      </c>
      <c r="Q634" s="138">
        <f>MAX(((Q633)*(1+$C$10)+IF(B634="Working",J634,0))-M634,0)</f>
        <v/>
      </c>
      <c r="R634" s="138">
        <f>MAX(((R633)*(1+$C$10)+IF(B634="Working",E105,0))-N634,0)</f>
        <v/>
      </c>
      <c r="S634" s="138">
        <f>MAX(((S633)*(1+$C$10)+IF(B634="Working",I634,0))-O634,0)</f>
        <v/>
      </c>
      <c r="T634" s="138">
        <f>MAX(((T633)*(1+$C$10)+IF(B634="Working",F105,0))-P634,0)</f>
        <v/>
      </c>
      <c r="U634" s="138">
        <f>Q634+R634+S634+T634</f>
        <v/>
      </c>
      <c r="V634" s="138">
        <f>IF(B634="Working",MAX(-(((Q633)*(1+$C$10)+IF(B634="Working",J634,0))),0),MAX(K634-L634,0))</f>
        <v/>
      </c>
      <c r="W634" s="138">
        <f>IF(OR(A634&gt;=$C$13,B634="Retired"),IF(V634&gt;0,-V634,U634-'Model Inputs'!$B$18),"")</f>
        <v/>
      </c>
      <c r="X634" s="138">
        <f>IF(AND($L$235&gt;0,A634&gt;=$C$13),$L$235*(1+$C$25)^(A634-$C$13),0)</f>
        <v/>
      </c>
      <c r="Y634" s="138">
        <f>IF(OR($L$235&lt;=0,$C$17&lt;=0,A634&lt;$C$13,MIN(MAX((A634-$C$13+1)*12,0),$C$17*12)&gt;=$C$17*12),0,IF($C$16=0,MAX(MAX($L$235*(1-$C$15),0)-(IF($C$17&lt;=0,0,IF($C$16=0,MAX($L$235*(1-$C$15),0)/$C$17,-PMT($C$16/12,$C$17*12,MAX($L$235*(1-$C$15),0))*12))/12)*MIN(MAX((A634-$C$13+1)*12,0),$C$17*12),0),MAX(MAX($L$235*(1-$C$15),0)*(1+$C$16/12)^MIN(MAX((A634-$C$13+1)*12,0),$C$17*12)-(IF($C$17&lt;=0,0,IF($C$16=0,MAX($L$235*(1-$C$15),0)/$C$17,-PMT($C$16/12,$C$17*12,MAX($L$235*(1-$C$15),0))*12))/12)*(((1+$C$16/12)^MIN(MAX((A634-$C$13+1)*12,0),$C$17*12)-1)/($C$16/12)),0)))</f>
        <v/>
      </c>
      <c r="Z634" s="138">
        <f>MAX(X634-Y634,0)</f>
        <v/>
      </c>
      <c r="AA634" s="142">
        <f>U634+Z634</f>
        <v/>
      </c>
      <c r="AB634" s="5" t="n"/>
      <c r="AC634" s="5" t="n"/>
      <c r="AD634" s="5" t="n"/>
      <c r="AE634" s="5" t="n"/>
      <c r="AF634" s="5" t="n"/>
      <c r="AG634" s="5" t="n"/>
    </row>
    <row r="635" outlineLevel="1" s="326">
      <c r="A635" s="136" t="n">
        <v>27</v>
      </c>
      <c r="B635" s="72">
        <f>B106</f>
        <v/>
      </c>
      <c r="C635" s="137">
        <f>D106</f>
        <v/>
      </c>
      <c r="D635" s="137">
        <f>I106</f>
        <v/>
      </c>
      <c r="E635" s="137">
        <f>J106</f>
        <v/>
      </c>
      <c r="F635" s="137">
        <f>K106</f>
        <v/>
      </c>
      <c r="G635" s="138">
        <f>IF(AND($L$235&gt;0,A635=$C$13),$L$235*($C$15+$C$18),0)+IF(AND($L$235&gt;0,A635=$C$13),$C$24,0)</f>
        <v/>
      </c>
      <c r="H635" s="138">
        <f>IF(OR($L$235&lt;=0,A635&lt;$C$13),0,IF(AND($L$235&gt;0,$C$17&gt;0,A635&gt;=$C$13,A635&lt;($C$13+$C$17)),IF($C$17&lt;=0,0,IF($C$16=0,MAX($L$235*(1-$C$15),0)/$C$17,-PMT($C$16/12,$C$17*12,MAX($L$235*(1-$C$15),0))*12)),0)+X635*($C$19+$C$20+$C$21)+$C$22+$C$23)</f>
        <v/>
      </c>
      <c r="I635" s="138">
        <f>IF(B635="Working",MIN(MAX(D635-E635-F635-G635-H635,0),'Tax Assumptions'!$B$20),0)</f>
        <v/>
      </c>
      <c r="J635" s="138">
        <f>IF(B635="Working",D635-E635-F635-I635-G635-H635,-L635)</f>
        <v/>
      </c>
      <c r="K635" s="137">
        <f>IF(B635="Retired",$N$235+G635+H635,0)</f>
        <v/>
      </c>
      <c r="L635" s="137">
        <f>M635+N635+O635+P635</f>
        <v/>
      </c>
      <c r="M635" s="137">
        <f>IF(B635="Retired",MIN(((Q634)*(1+$C$10)+IF(B635="Working",J635,0)),K635),0)</f>
        <v/>
      </c>
      <c r="N635" s="137">
        <f>IF(B635="Retired",MIN(MAX(K635-M635,0),((R634)*(1+$C$10)+IF(B635="Working",E106,0))),0)</f>
        <v/>
      </c>
      <c r="O635" s="137">
        <f>IF(B635="Retired",MIN(MAX(K635-M635-N635,0),((S634)*(1+$C$10)+IF(B635="Working",I635,0))),0)</f>
        <v/>
      </c>
      <c r="P635" s="137">
        <f>IF(B635="Retired",MIN(MAX(K635-M635-N635-O635,0),((T634)*(1+$C$10)+IF(B635="Working",F106,0))),0)</f>
        <v/>
      </c>
      <c r="Q635" s="138">
        <f>MAX(((Q634)*(1+$C$10)+IF(B635="Working",J635,0))-M635,0)</f>
        <v/>
      </c>
      <c r="R635" s="138">
        <f>MAX(((R634)*(1+$C$10)+IF(B635="Working",E106,0))-N635,0)</f>
        <v/>
      </c>
      <c r="S635" s="138">
        <f>MAX(((S634)*(1+$C$10)+IF(B635="Working",I635,0))-O635,0)</f>
        <v/>
      </c>
      <c r="T635" s="138">
        <f>MAX(((T634)*(1+$C$10)+IF(B635="Working",F106,0))-P635,0)</f>
        <v/>
      </c>
      <c r="U635" s="138">
        <f>Q635+R635+S635+T635</f>
        <v/>
      </c>
      <c r="V635" s="138">
        <f>IF(B635="Working",MAX(-(((Q634)*(1+$C$10)+IF(B635="Working",J635,0))),0),MAX(K635-L635,0))</f>
        <v/>
      </c>
      <c r="W635" s="138">
        <f>IF(OR(A635&gt;=$C$13,B635="Retired"),IF(V635&gt;0,-V635,U635-'Model Inputs'!$B$18),"")</f>
        <v/>
      </c>
      <c r="X635" s="138">
        <f>IF(AND($L$235&gt;0,A635&gt;=$C$13),$L$235*(1+$C$25)^(A635-$C$13),0)</f>
        <v/>
      </c>
      <c r="Y635" s="138">
        <f>IF(OR($L$235&lt;=0,$C$17&lt;=0,A635&lt;$C$13,MIN(MAX((A635-$C$13+1)*12,0),$C$17*12)&gt;=$C$17*12),0,IF($C$16=0,MAX(MAX($L$235*(1-$C$15),0)-(IF($C$17&lt;=0,0,IF($C$16=0,MAX($L$235*(1-$C$15),0)/$C$17,-PMT($C$16/12,$C$17*12,MAX($L$235*(1-$C$15),0))*12))/12)*MIN(MAX((A635-$C$13+1)*12,0),$C$17*12),0),MAX(MAX($L$235*(1-$C$15),0)*(1+$C$16/12)^MIN(MAX((A635-$C$13+1)*12,0),$C$17*12)-(IF($C$17&lt;=0,0,IF($C$16=0,MAX($L$235*(1-$C$15),0)/$C$17,-PMT($C$16/12,$C$17*12,MAX($L$235*(1-$C$15),0))*12))/12)*(((1+$C$16/12)^MIN(MAX((A635-$C$13+1)*12,0),$C$17*12)-1)/($C$16/12)),0)))</f>
        <v/>
      </c>
      <c r="Z635" s="138">
        <f>MAX(X635-Y635,0)</f>
        <v/>
      </c>
      <c r="AA635" s="139">
        <f>U635+Z635</f>
        <v/>
      </c>
      <c r="AB635" s="5" t="n"/>
      <c r="AC635" s="5" t="n"/>
      <c r="AD635" s="5" t="n"/>
      <c r="AE635" s="5" t="n"/>
      <c r="AF635" s="5" t="n"/>
      <c r="AG635" s="5" t="n"/>
    </row>
    <row r="636" outlineLevel="1" s="326">
      <c r="A636" s="140" t="n">
        <v>28</v>
      </c>
      <c r="B636" s="40">
        <f>B107</f>
        <v/>
      </c>
      <c r="C636" s="141">
        <f>D107</f>
        <v/>
      </c>
      <c r="D636" s="141">
        <f>I107</f>
        <v/>
      </c>
      <c r="E636" s="141">
        <f>J107</f>
        <v/>
      </c>
      <c r="F636" s="141">
        <f>K107</f>
        <v/>
      </c>
      <c r="G636" s="138">
        <f>IF(AND($L$235&gt;0,A636=$C$13),$L$235*($C$15+$C$18),0)+IF(AND($L$235&gt;0,A636=$C$13),$C$24,0)</f>
        <v/>
      </c>
      <c r="H636" s="138">
        <f>IF(OR($L$235&lt;=0,A636&lt;$C$13),0,IF(AND($L$235&gt;0,$C$17&gt;0,A636&gt;=$C$13,A636&lt;($C$13+$C$17)),IF($C$17&lt;=0,0,IF($C$16=0,MAX($L$235*(1-$C$15),0)/$C$17,-PMT($C$16/12,$C$17*12,MAX($L$235*(1-$C$15),0))*12)),0)+X636*($C$19+$C$20+$C$21)+$C$22+$C$23)</f>
        <v/>
      </c>
      <c r="I636" s="138">
        <f>IF(B636="Working",MIN(MAX(D636-E636-F636-G636-H636,0),'Tax Assumptions'!$B$20),0)</f>
        <v/>
      </c>
      <c r="J636" s="138">
        <f>IF(B636="Working",D636-E636-F636-I636-G636-H636,-L636)</f>
        <v/>
      </c>
      <c r="K636" s="141">
        <f>IF(B636="Retired",$N$235+G636+H636,0)</f>
        <v/>
      </c>
      <c r="L636" s="141">
        <f>M636+N636+O636+P636</f>
        <v/>
      </c>
      <c r="M636" s="141">
        <f>IF(B636="Retired",MIN(((Q635)*(1+$C$10)+IF(B636="Working",J636,0)),K636),0)</f>
        <v/>
      </c>
      <c r="N636" s="141">
        <f>IF(B636="Retired",MIN(MAX(K636-M636,0),((R635)*(1+$C$10)+IF(B636="Working",E107,0))),0)</f>
        <v/>
      </c>
      <c r="O636" s="141">
        <f>IF(B636="Retired",MIN(MAX(K636-M636-N636,0),((S635)*(1+$C$10)+IF(B636="Working",I636,0))),0)</f>
        <v/>
      </c>
      <c r="P636" s="141">
        <f>IF(B636="Retired",MIN(MAX(K636-M636-N636-O636,0),((T635)*(1+$C$10)+IF(B636="Working",F107,0))),0)</f>
        <v/>
      </c>
      <c r="Q636" s="138">
        <f>MAX(((Q635)*(1+$C$10)+IF(B636="Working",J636,0))-M636,0)</f>
        <v/>
      </c>
      <c r="R636" s="138">
        <f>MAX(((R635)*(1+$C$10)+IF(B636="Working",E107,0))-N636,0)</f>
        <v/>
      </c>
      <c r="S636" s="138">
        <f>MAX(((S635)*(1+$C$10)+IF(B636="Working",I636,0))-O636,0)</f>
        <v/>
      </c>
      <c r="T636" s="138">
        <f>MAX(((T635)*(1+$C$10)+IF(B636="Working",F107,0))-P636,0)</f>
        <v/>
      </c>
      <c r="U636" s="138">
        <f>Q636+R636+S636+T636</f>
        <v/>
      </c>
      <c r="V636" s="138">
        <f>IF(B636="Working",MAX(-(((Q635)*(1+$C$10)+IF(B636="Working",J636,0))),0),MAX(K636-L636,0))</f>
        <v/>
      </c>
      <c r="W636" s="138">
        <f>IF(OR(A636&gt;=$C$13,B636="Retired"),IF(V636&gt;0,-V636,U636-'Model Inputs'!$B$18),"")</f>
        <v/>
      </c>
      <c r="X636" s="138">
        <f>IF(AND($L$235&gt;0,A636&gt;=$C$13),$L$235*(1+$C$25)^(A636-$C$13),0)</f>
        <v/>
      </c>
      <c r="Y636" s="138">
        <f>IF(OR($L$235&lt;=0,$C$17&lt;=0,A636&lt;$C$13,MIN(MAX((A636-$C$13+1)*12,0),$C$17*12)&gt;=$C$17*12),0,IF($C$16=0,MAX(MAX($L$235*(1-$C$15),0)-(IF($C$17&lt;=0,0,IF($C$16=0,MAX($L$235*(1-$C$15),0)/$C$17,-PMT($C$16/12,$C$17*12,MAX($L$235*(1-$C$15),0))*12))/12)*MIN(MAX((A636-$C$13+1)*12,0),$C$17*12),0),MAX(MAX($L$235*(1-$C$15),0)*(1+$C$16/12)^MIN(MAX((A636-$C$13+1)*12,0),$C$17*12)-(IF($C$17&lt;=0,0,IF($C$16=0,MAX($L$235*(1-$C$15),0)/$C$17,-PMT($C$16/12,$C$17*12,MAX($L$235*(1-$C$15),0))*12))/12)*(((1+$C$16/12)^MIN(MAX((A636-$C$13+1)*12,0),$C$17*12)-1)/($C$16/12)),0)))</f>
        <v/>
      </c>
      <c r="Z636" s="138">
        <f>MAX(X636-Y636,0)</f>
        <v/>
      </c>
      <c r="AA636" s="142">
        <f>U636+Z636</f>
        <v/>
      </c>
      <c r="AB636" s="5" t="n"/>
      <c r="AC636" s="5" t="n"/>
      <c r="AD636" s="5" t="n"/>
      <c r="AE636" s="5" t="n"/>
      <c r="AF636" s="5" t="n"/>
      <c r="AG636" s="5" t="n"/>
    </row>
    <row r="637" outlineLevel="1" s="326">
      <c r="A637" s="136" t="n">
        <v>29</v>
      </c>
      <c r="B637" s="72">
        <f>B108</f>
        <v/>
      </c>
      <c r="C637" s="137">
        <f>D108</f>
        <v/>
      </c>
      <c r="D637" s="137">
        <f>I108</f>
        <v/>
      </c>
      <c r="E637" s="137">
        <f>J108</f>
        <v/>
      </c>
      <c r="F637" s="137">
        <f>K108</f>
        <v/>
      </c>
      <c r="G637" s="138">
        <f>IF(AND($L$235&gt;0,A637=$C$13),$L$235*($C$15+$C$18),0)+IF(AND($L$235&gt;0,A637=$C$13),$C$24,0)</f>
        <v/>
      </c>
      <c r="H637" s="138">
        <f>IF(OR($L$235&lt;=0,A637&lt;$C$13),0,IF(AND($L$235&gt;0,$C$17&gt;0,A637&gt;=$C$13,A637&lt;($C$13+$C$17)),IF($C$17&lt;=0,0,IF($C$16=0,MAX($L$235*(1-$C$15),0)/$C$17,-PMT($C$16/12,$C$17*12,MAX($L$235*(1-$C$15),0))*12)),0)+X637*($C$19+$C$20+$C$21)+$C$22+$C$23)</f>
        <v/>
      </c>
      <c r="I637" s="138">
        <f>IF(B637="Working",MIN(MAX(D637-E637-F637-G637-H637,0),'Tax Assumptions'!$B$20),0)</f>
        <v/>
      </c>
      <c r="J637" s="138">
        <f>IF(B637="Working",D637-E637-F637-I637-G637-H637,-L637)</f>
        <v/>
      </c>
      <c r="K637" s="137">
        <f>IF(B637="Retired",$N$235+G637+H637,0)</f>
        <v/>
      </c>
      <c r="L637" s="137">
        <f>M637+N637+O637+P637</f>
        <v/>
      </c>
      <c r="M637" s="137">
        <f>IF(B637="Retired",MIN(((Q636)*(1+$C$10)+IF(B637="Working",J637,0)),K637),0)</f>
        <v/>
      </c>
      <c r="N637" s="137">
        <f>IF(B637="Retired",MIN(MAX(K637-M637,0),((R636)*(1+$C$10)+IF(B637="Working",E108,0))),0)</f>
        <v/>
      </c>
      <c r="O637" s="137">
        <f>IF(B637="Retired",MIN(MAX(K637-M637-N637,0),((S636)*(1+$C$10)+IF(B637="Working",I637,0))),0)</f>
        <v/>
      </c>
      <c r="P637" s="137">
        <f>IF(B637="Retired",MIN(MAX(K637-M637-N637-O637,0),((T636)*(1+$C$10)+IF(B637="Working",F108,0))),0)</f>
        <v/>
      </c>
      <c r="Q637" s="138">
        <f>MAX(((Q636)*(1+$C$10)+IF(B637="Working",J637,0))-M637,0)</f>
        <v/>
      </c>
      <c r="R637" s="138">
        <f>MAX(((R636)*(1+$C$10)+IF(B637="Working",E108,0))-N637,0)</f>
        <v/>
      </c>
      <c r="S637" s="138">
        <f>MAX(((S636)*(1+$C$10)+IF(B637="Working",I637,0))-O637,0)</f>
        <v/>
      </c>
      <c r="T637" s="138">
        <f>MAX(((T636)*(1+$C$10)+IF(B637="Working",F108,0))-P637,0)</f>
        <v/>
      </c>
      <c r="U637" s="138">
        <f>Q637+R637+S637+T637</f>
        <v/>
      </c>
      <c r="V637" s="138">
        <f>IF(B637="Working",MAX(-(((Q636)*(1+$C$10)+IF(B637="Working",J637,0))),0),MAX(K637-L637,0))</f>
        <v/>
      </c>
      <c r="W637" s="138">
        <f>IF(OR(A637&gt;=$C$13,B637="Retired"),IF(V637&gt;0,-V637,U637-'Model Inputs'!$B$18),"")</f>
        <v/>
      </c>
      <c r="X637" s="138">
        <f>IF(AND($L$235&gt;0,A637&gt;=$C$13),$L$235*(1+$C$25)^(A637-$C$13),0)</f>
        <v/>
      </c>
      <c r="Y637" s="138">
        <f>IF(OR($L$235&lt;=0,$C$17&lt;=0,A637&lt;$C$13,MIN(MAX((A637-$C$13+1)*12,0),$C$17*12)&gt;=$C$17*12),0,IF($C$16=0,MAX(MAX($L$235*(1-$C$15),0)-(IF($C$17&lt;=0,0,IF($C$16=0,MAX($L$235*(1-$C$15),0)/$C$17,-PMT($C$16/12,$C$17*12,MAX($L$235*(1-$C$15),0))*12))/12)*MIN(MAX((A637-$C$13+1)*12,0),$C$17*12),0),MAX(MAX($L$235*(1-$C$15),0)*(1+$C$16/12)^MIN(MAX((A637-$C$13+1)*12,0),$C$17*12)-(IF($C$17&lt;=0,0,IF($C$16=0,MAX($L$235*(1-$C$15),0)/$C$17,-PMT($C$16/12,$C$17*12,MAX($L$235*(1-$C$15),0))*12))/12)*(((1+$C$16/12)^MIN(MAX((A637-$C$13+1)*12,0),$C$17*12)-1)/($C$16/12)),0)))</f>
        <v/>
      </c>
      <c r="Z637" s="138">
        <f>MAX(X637-Y637,0)</f>
        <v/>
      </c>
      <c r="AA637" s="139">
        <f>U637+Z637</f>
        <v/>
      </c>
      <c r="AB637" s="5" t="n"/>
      <c r="AC637" s="5" t="n"/>
      <c r="AD637" s="5" t="n"/>
      <c r="AE637" s="5" t="n"/>
      <c r="AF637" s="5" t="n"/>
      <c r="AG637" s="5" t="n"/>
    </row>
    <row r="638" outlineLevel="1" s="326">
      <c r="A638" s="140" t="n">
        <v>30</v>
      </c>
      <c r="B638" s="40">
        <f>B109</f>
        <v/>
      </c>
      <c r="C638" s="141">
        <f>D109</f>
        <v/>
      </c>
      <c r="D638" s="141">
        <f>I109</f>
        <v/>
      </c>
      <c r="E638" s="141">
        <f>J109</f>
        <v/>
      </c>
      <c r="F638" s="141">
        <f>K109</f>
        <v/>
      </c>
      <c r="G638" s="138">
        <f>IF(AND($L$235&gt;0,A638=$C$13),$L$235*($C$15+$C$18),0)+IF(AND($L$235&gt;0,A638=$C$13),$C$24,0)</f>
        <v/>
      </c>
      <c r="H638" s="138">
        <f>IF(OR($L$235&lt;=0,A638&lt;$C$13),0,IF(AND($L$235&gt;0,$C$17&gt;0,A638&gt;=$C$13,A638&lt;($C$13+$C$17)),IF($C$17&lt;=0,0,IF($C$16=0,MAX($L$235*(1-$C$15),0)/$C$17,-PMT($C$16/12,$C$17*12,MAX($L$235*(1-$C$15),0))*12)),0)+X638*($C$19+$C$20+$C$21)+$C$22+$C$23)</f>
        <v/>
      </c>
      <c r="I638" s="138">
        <f>IF(B638="Working",MIN(MAX(D638-E638-F638-G638-H638,0),'Tax Assumptions'!$B$20),0)</f>
        <v/>
      </c>
      <c r="J638" s="138">
        <f>IF(B638="Working",D638-E638-F638-I638-G638-H638,-L638)</f>
        <v/>
      </c>
      <c r="K638" s="141">
        <f>IF(B638="Retired",$N$235+G638+H638,0)</f>
        <v/>
      </c>
      <c r="L638" s="141">
        <f>M638+N638+O638+P638</f>
        <v/>
      </c>
      <c r="M638" s="141">
        <f>IF(B638="Retired",MIN(((Q637)*(1+$C$10)+IF(B638="Working",J638,0)),K638),0)</f>
        <v/>
      </c>
      <c r="N638" s="141">
        <f>IF(B638="Retired",MIN(MAX(K638-M638,0),((R637)*(1+$C$10)+IF(B638="Working",E109,0))),0)</f>
        <v/>
      </c>
      <c r="O638" s="141">
        <f>IF(B638="Retired",MIN(MAX(K638-M638-N638,0),((S637)*(1+$C$10)+IF(B638="Working",I638,0))),0)</f>
        <v/>
      </c>
      <c r="P638" s="141">
        <f>IF(B638="Retired",MIN(MAX(K638-M638-N638-O638,0),((T637)*(1+$C$10)+IF(B638="Working",F109,0))),0)</f>
        <v/>
      </c>
      <c r="Q638" s="138">
        <f>MAX(((Q637)*(1+$C$10)+IF(B638="Working",J638,0))-M638,0)</f>
        <v/>
      </c>
      <c r="R638" s="138">
        <f>MAX(((R637)*(1+$C$10)+IF(B638="Working",E109,0))-N638,0)</f>
        <v/>
      </c>
      <c r="S638" s="138">
        <f>MAX(((S637)*(1+$C$10)+IF(B638="Working",I638,0))-O638,0)</f>
        <v/>
      </c>
      <c r="T638" s="138">
        <f>MAX(((T637)*(1+$C$10)+IF(B638="Working",F109,0))-P638,0)</f>
        <v/>
      </c>
      <c r="U638" s="138">
        <f>Q638+R638+S638+T638</f>
        <v/>
      </c>
      <c r="V638" s="138">
        <f>IF(B638="Working",MAX(-(((Q637)*(1+$C$10)+IF(B638="Working",J638,0))),0),MAX(K638-L638,0))</f>
        <v/>
      </c>
      <c r="W638" s="138">
        <f>IF(OR(A638&gt;=$C$13,B638="Retired"),IF(V638&gt;0,-V638,U638-'Model Inputs'!$B$18),"")</f>
        <v/>
      </c>
      <c r="X638" s="138">
        <f>IF(AND($L$235&gt;0,A638&gt;=$C$13),$L$235*(1+$C$25)^(A638-$C$13),0)</f>
        <v/>
      </c>
      <c r="Y638" s="138">
        <f>IF(OR($L$235&lt;=0,$C$17&lt;=0,A638&lt;$C$13,MIN(MAX((A638-$C$13+1)*12,0),$C$17*12)&gt;=$C$17*12),0,IF($C$16=0,MAX(MAX($L$235*(1-$C$15),0)-(IF($C$17&lt;=0,0,IF($C$16=0,MAX($L$235*(1-$C$15),0)/$C$17,-PMT($C$16/12,$C$17*12,MAX($L$235*(1-$C$15),0))*12))/12)*MIN(MAX((A638-$C$13+1)*12,0),$C$17*12),0),MAX(MAX($L$235*(1-$C$15),0)*(1+$C$16/12)^MIN(MAX((A638-$C$13+1)*12,0),$C$17*12)-(IF($C$17&lt;=0,0,IF($C$16=0,MAX($L$235*(1-$C$15),0)/$C$17,-PMT($C$16/12,$C$17*12,MAX($L$235*(1-$C$15),0))*12))/12)*(((1+$C$16/12)^MIN(MAX((A638-$C$13+1)*12,0),$C$17*12)-1)/($C$16/12)),0)))</f>
        <v/>
      </c>
      <c r="Z638" s="138">
        <f>MAX(X638-Y638,0)</f>
        <v/>
      </c>
      <c r="AA638" s="142">
        <f>U638+Z638</f>
        <v/>
      </c>
      <c r="AB638" s="5" t="n"/>
      <c r="AC638" s="5" t="n"/>
      <c r="AD638" s="5" t="n"/>
      <c r="AE638" s="5" t="n"/>
      <c r="AF638" s="5" t="n"/>
      <c r="AG638" s="5" t="n"/>
    </row>
    <row r="639" outlineLevel="1" s="326">
      <c r="A639" s="136" t="n">
        <v>31</v>
      </c>
      <c r="B639" s="72">
        <f>B110</f>
        <v/>
      </c>
      <c r="C639" s="137">
        <f>D110</f>
        <v/>
      </c>
      <c r="D639" s="137">
        <f>I110</f>
        <v/>
      </c>
      <c r="E639" s="137">
        <f>J110</f>
        <v/>
      </c>
      <c r="F639" s="137">
        <f>K110</f>
        <v/>
      </c>
      <c r="G639" s="138">
        <f>IF(AND($L$235&gt;0,A639=$C$13),$L$235*($C$15+$C$18),0)+IF(AND($L$235&gt;0,A639=$C$13),$C$24,0)</f>
        <v/>
      </c>
      <c r="H639" s="138">
        <f>IF(OR($L$235&lt;=0,A639&lt;$C$13),0,IF(AND($L$235&gt;0,$C$17&gt;0,A639&gt;=$C$13,A639&lt;($C$13+$C$17)),IF($C$17&lt;=0,0,IF($C$16=0,MAX($L$235*(1-$C$15),0)/$C$17,-PMT($C$16/12,$C$17*12,MAX($L$235*(1-$C$15),0))*12)),0)+X639*($C$19+$C$20+$C$21)+$C$22+$C$23)</f>
        <v/>
      </c>
      <c r="I639" s="138">
        <f>IF(B639="Working",MIN(MAX(D639-E639-F639-G639-H639,0),'Tax Assumptions'!$B$20),0)</f>
        <v/>
      </c>
      <c r="J639" s="138">
        <f>IF(B639="Working",D639-E639-F639-I639-G639-H639,-L639)</f>
        <v/>
      </c>
      <c r="K639" s="137">
        <f>IF(B639="Retired",$N$235+G639+H639,0)</f>
        <v/>
      </c>
      <c r="L639" s="137">
        <f>M639+N639+O639+P639</f>
        <v/>
      </c>
      <c r="M639" s="137">
        <f>IF(B639="Retired",MIN(((Q638)*(1+$C$10)+IF(B639="Working",J639,0)),K639),0)</f>
        <v/>
      </c>
      <c r="N639" s="137">
        <f>IF(B639="Retired",MIN(MAX(K639-M639,0),((R638)*(1+$C$10)+IF(B639="Working",E110,0))),0)</f>
        <v/>
      </c>
      <c r="O639" s="137">
        <f>IF(B639="Retired",MIN(MAX(K639-M639-N639,0),((S638)*(1+$C$10)+IF(B639="Working",I639,0))),0)</f>
        <v/>
      </c>
      <c r="P639" s="137">
        <f>IF(B639="Retired",MIN(MAX(K639-M639-N639-O639,0),((T638)*(1+$C$10)+IF(B639="Working",F110,0))),0)</f>
        <v/>
      </c>
      <c r="Q639" s="138">
        <f>MAX(((Q638)*(1+$C$10)+IF(B639="Working",J639,0))-M639,0)</f>
        <v/>
      </c>
      <c r="R639" s="138">
        <f>MAX(((R638)*(1+$C$10)+IF(B639="Working",E110,0))-N639,0)</f>
        <v/>
      </c>
      <c r="S639" s="138">
        <f>MAX(((S638)*(1+$C$10)+IF(B639="Working",I639,0))-O639,0)</f>
        <v/>
      </c>
      <c r="T639" s="138">
        <f>MAX(((T638)*(1+$C$10)+IF(B639="Working",F110,0))-P639,0)</f>
        <v/>
      </c>
      <c r="U639" s="138">
        <f>Q639+R639+S639+T639</f>
        <v/>
      </c>
      <c r="V639" s="138">
        <f>IF(B639="Working",MAX(-(((Q638)*(1+$C$10)+IF(B639="Working",J639,0))),0),MAX(K639-L639,0))</f>
        <v/>
      </c>
      <c r="W639" s="138">
        <f>IF(OR(A639&gt;=$C$13,B639="Retired"),IF(V639&gt;0,-V639,U639-'Model Inputs'!$B$18),"")</f>
        <v/>
      </c>
      <c r="X639" s="138">
        <f>IF(AND($L$235&gt;0,A639&gt;=$C$13),$L$235*(1+$C$25)^(A639-$C$13),0)</f>
        <v/>
      </c>
      <c r="Y639" s="138">
        <f>IF(OR($L$235&lt;=0,$C$17&lt;=0,A639&lt;$C$13,MIN(MAX((A639-$C$13+1)*12,0),$C$17*12)&gt;=$C$17*12),0,IF($C$16=0,MAX(MAX($L$235*(1-$C$15),0)-(IF($C$17&lt;=0,0,IF($C$16=0,MAX($L$235*(1-$C$15),0)/$C$17,-PMT($C$16/12,$C$17*12,MAX($L$235*(1-$C$15),0))*12))/12)*MIN(MAX((A639-$C$13+1)*12,0),$C$17*12),0),MAX(MAX($L$235*(1-$C$15),0)*(1+$C$16/12)^MIN(MAX((A639-$C$13+1)*12,0),$C$17*12)-(IF($C$17&lt;=0,0,IF($C$16=0,MAX($L$235*(1-$C$15),0)/$C$17,-PMT($C$16/12,$C$17*12,MAX($L$235*(1-$C$15),0))*12))/12)*(((1+$C$16/12)^MIN(MAX((A639-$C$13+1)*12,0),$C$17*12)-1)/($C$16/12)),0)))</f>
        <v/>
      </c>
      <c r="Z639" s="138">
        <f>MAX(X639-Y639,0)</f>
        <v/>
      </c>
      <c r="AA639" s="139">
        <f>U639+Z639</f>
        <v/>
      </c>
      <c r="AB639" s="5" t="n"/>
      <c r="AC639" s="5" t="n"/>
      <c r="AD639" s="5" t="n"/>
      <c r="AE639" s="5" t="n"/>
      <c r="AF639" s="5" t="n"/>
      <c r="AG639" s="5" t="n"/>
    </row>
    <row r="640" outlineLevel="1" s="326">
      <c r="A640" s="140" t="n">
        <v>32</v>
      </c>
      <c r="B640" s="40">
        <f>B111</f>
        <v/>
      </c>
      <c r="C640" s="141">
        <f>D111</f>
        <v/>
      </c>
      <c r="D640" s="141">
        <f>I111</f>
        <v/>
      </c>
      <c r="E640" s="141">
        <f>J111</f>
        <v/>
      </c>
      <c r="F640" s="141">
        <f>K111</f>
        <v/>
      </c>
      <c r="G640" s="138">
        <f>IF(AND($L$235&gt;0,A640=$C$13),$L$235*($C$15+$C$18),0)+IF(AND($L$235&gt;0,A640=$C$13),$C$24,0)</f>
        <v/>
      </c>
      <c r="H640" s="138">
        <f>IF(OR($L$235&lt;=0,A640&lt;$C$13),0,IF(AND($L$235&gt;0,$C$17&gt;0,A640&gt;=$C$13,A640&lt;($C$13+$C$17)),IF($C$17&lt;=0,0,IF($C$16=0,MAX($L$235*(1-$C$15),0)/$C$17,-PMT($C$16/12,$C$17*12,MAX($L$235*(1-$C$15),0))*12)),0)+X640*($C$19+$C$20+$C$21)+$C$22+$C$23)</f>
        <v/>
      </c>
      <c r="I640" s="138">
        <f>IF(B640="Working",MIN(MAX(D640-E640-F640-G640-H640,0),'Tax Assumptions'!$B$20),0)</f>
        <v/>
      </c>
      <c r="J640" s="138">
        <f>IF(B640="Working",D640-E640-F640-I640-G640-H640,-L640)</f>
        <v/>
      </c>
      <c r="K640" s="141">
        <f>IF(B640="Retired",$N$235+G640+H640,0)</f>
        <v/>
      </c>
      <c r="L640" s="141">
        <f>M640+N640+O640+P640</f>
        <v/>
      </c>
      <c r="M640" s="141">
        <f>IF(B640="Retired",MIN(((Q639)*(1+$C$10)+IF(B640="Working",J640,0)),K640),0)</f>
        <v/>
      </c>
      <c r="N640" s="141">
        <f>IF(B640="Retired",MIN(MAX(K640-M640,0),((R639)*(1+$C$10)+IF(B640="Working",E111,0))),0)</f>
        <v/>
      </c>
      <c r="O640" s="141">
        <f>IF(B640="Retired",MIN(MAX(K640-M640-N640,0),((S639)*(1+$C$10)+IF(B640="Working",I640,0))),0)</f>
        <v/>
      </c>
      <c r="P640" s="141">
        <f>IF(B640="Retired",MIN(MAX(K640-M640-N640-O640,0),((T639)*(1+$C$10)+IF(B640="Working",F111,0))),0)</f>
        <v/>
      </c>
      <c r="Q640" s="138">
        <f>MAX(((Q639)*(1+$C$10)+IF(B640="Working",J640,0))-M640,0)</f>
        <v/>
      </c>
      <c r="R640" s="138">
        <f>MAX(((R639)*(1+$C$10)+IF(B640="Working",E111,0))-N640,0)</f>
        <v/>
      </c>
      <c r="S640" s="138">
        <f>MAX(((S639)*(1+$C$10)+IF(B640="Working",I640,0))-O640,0)</f>
        <v/>
      </c>
      <c r="T640" s="138">
        <f>MAX(((T639)*(1+$C$10)+IF(B640="Working",F111,0))-P640,0)</f>
        <v/>
      </c>
      <c r="U640" s="138">
        <f>Q640+R640+S640+T640</f>
        <v/>
      </c>
      <c r="V640" s="138">
        <f>IF(B640="Working",MAX(-(((Q639)*(1+$C$10)+IF(B640="Working",J640,0))),0),MAX(K640-L640,0))</f>
        <v/>
      </c>
      <c r="W640" s="138">
        <f>IF(OR(A640&gt;=$C$13,B640="Retired"),IF(V640&gt;0,-V640,U640-'Model Inputs'!$B$18),"")</f>
        <v/>
      </c>
      <c r="X640" s="138">
        <f>IF(AND($L$235&gt;0,A640&gt;=$C$13),$L$235*(1+$C$25)^(A640-$C$13),0)</f>
        <v/>
      </c>
      <c r="Y640" s="138">
        <f>IF(OR($L$235&lt;=0,$C$17&lt;=0,A640&lt;$C$13,MIN(MAX((A640-$C$13+1)*12,0),$C$17*12)&gt;=$C$17*12),0,IF($C$16=0,MAX(MAX($L$235*(1-$C$15),0)-(IF($C$17&lt;=0,0,IF($C$16=0,MAX($L$235*(1-$C$15),0)/$C$17,-PMT($C$16/12,$C$17*12,MAX($L$235*(1-$C$15),0))*12))/12)*MIN(MAX((A640-$C$13+1)*12,0),$C$17*12),0),MAX(MAX($L$235*(1-$C$15),0)*(1+$C$16/12)^MIN(MAX((A640-$C$13+1)*12,0),$C$17*12)-(IF($C$17&lt;=0,0,IF($C$16=0,MAX($L$235*(1-$C$15),0)/$C$17,-PMT($C$16/12,$C$17*12,MAX($L$235*(1-$C$15),0))*12))/12)*(((1+$C$16/12)^MIN(MAX((A640-$C$13+1)*12,0),$C$17*12)-1)/($C$16/12)),0)))</f>
        <v/>
      </c>
      <c r="Z640" s="138">
        <f>MAX(X640-Y640,0)</f>
        <v/>
      </c>
      <c r="AA640" s="142">
        <f>U640+Z640</f>
        <v/>
      </c>
      <c r="AB640" s="5" t="n"/>
      <c r="AC640" s="5" t="n"/>
      <c r="AD640" s="5" t="n"/>
      <c r="AE640" s="5" t="n"/>
      <c r="AF640" s="5" t="n"/>
      <c r="AG640" s="5" t="n"/>
    </row>
    <row r="641" outlineLevel="1" s="326">
      <c r="A641" s="136" t="n">
        <v>33</v>
      </c>
      <c r="B641" s="72">
        <f>B112</f>
        <v/>
      </c>
      <c r="C641" s="137">
        <f>D112</f>
        <v/>
      </c>
      <c r="D641" s="137">
        <f>I112</f>
        <v/>
      </c>
      <c r="E641" s="137">
        <f>J112</f>
        <v/>
      </c>
      <c r="F641" s="137">
        <f>K112</f>
        <v/>
      </c>
      <c r="G641" s="138">
        <f>IF(AND($L$235&gt;0,A641=$C$13),$L$235*($C$15+$C$18),0)+IF(AND($L$235&gt;0,A641=$C$13),$C$24,0)</f>
        <v/>
      </c>
      <c r="H641" s="138">
        <f>IF(OR($L$235&lt;=0,A641&lt;$C$13),0,IF(AND($L$235&gt;0,$C$17&gt;0,A641&gt;=$C$13,A641&lt;($C$13+$C$17)),IF($C$17&lt;=0,0,IF($C$16=0,MAX($L$235*(1-$C$15),0)/$C$17,-PMT($C$16/12,$C$17*12,MAX($L$235*(1-$C$15),0))*12)),0)+X641*($C$19+$C$20+$C$21)+$C$22+$C$23)</f>
        <v/>
      </c>
      <c r="I641" s="138">
        <f>IF(B641="Working",MIN(MAX(D641-E641-F641-G641-H641,0),'Tax Assumptions'!$B$20),0)</f>
        <v/>
      </c>
      <c r="J641" s="138">
        <f>IF(B641="Working",D641-E641-F641-I641-G641-H641,-L641)</f>
        <v/>
      </c>
      <c r="K641" s="137">
        <f>IF(B641="Retired",$N$235+G641+H641,0)</f>
        <v/>
      </c>
      <c r="L641" s="137">
        <f>M641+N641+O641+P641</f>
        <v/>
      </c>
      <c r="M641" s="137">
        <f>IF(B641="Retired",MIN(((Q640)*(1+$C$10)+IF(B641="Working",J641,0)),K641),0)</f>
        <v/>
      </c>
      <c r="N641" s="137">
        <f>IF(B641="Retired",MIN(MAX(K641-M641,0),((R640)*(1+$C$10)+IF(B641="Working",E112,0))),0)</f>
        <v/>
      </c>
      <c r="O641" s="137">
        <f>IF(B641="Retired",MIN(MAX(K641-M641-N641,0),((S640)*(1+$C$10)+IF(B641="Working",I641,0))),0)</f>
        <v/>
      </c>
      <c r="P641" s="137">
        <f>IF(B641="Retired",MIN(MAX(K641-M641-N641-O641,0),((T640)*(1+$C$10)+IF(B641="Working",F112,0))),0)</f>
        <v/>
      </c>
      <c r="Q641" s="138">
        <f>MAX(((Q640)*(1+$C$10)+IF(B641="Working",J641,0))-M641,0)</f>
        <v/>
      </c>
      <c r="R641" s="138">
        <f>MAX(((R640)*(1+$C$10)+IF(B641="Working",E112,0))-N641,0)</f>
        <v/>
      </c>
      <c r="S641" s="138">
        <f>MAX(((S640)*(1+$C$10)+IF(B641="Working",I641,0))-O641,0)</f>
        <v/>
      </c>
      <c r="T641" s="138">
        <f>MAX(((T640)*(1+$C$10)+IF(B641="Working",F112,0))-P641,0)</f>
        <v/>
      </c>
      <c r="U641" s="138">
        <f>Q641+R641+S641+T641</f>
        <v/>
      </c>
      <c r="V641" s="138">
        <f>IF(B641="Working",MAX(-(((Q640)*(1+$C$10)+IF(B641="Working",J641,0))),0),MAX(K641-L641,0))</f>
        <v/>
      </c>
      <c r="W641" s="138">
        <f>IF(OR(A641&gt;=$C$13,B641="Retired"),IF(V641&gt;0,-V641,U641-'Model Inputs'!$B$18),"")</f>
        <v/>
      </c>
      <c r="X641" s="138">
        <f>IF(AND($L$235&gt;0,A641&gt;=$C$13),$L$235*(1+$C$25)^(A641-$C$13),0)</f>
        <v/>
      </c>
      <c r="Y641" s="138">
        <f>IF(OR($L$235&lt;=0,$C$17&lt;=0,A641&lt;$C$13,MIN(MAX((A641-$C$13+1)*12,0),$C$17*12)&gt;=$C$17*12),0,IF($C$16=0,MAX(MAX($L$235*(1-$C$15),0)-(IF($C$17&lt;=0,0,IF($C$16=0,MAX($L$235*(1-$C$15),0)/$C$17,-PMT($C$16/12,$C$17*12,MAX($L$235*(1-$C$15),0))*12))/12)*MIN(MAX((A641-$C$13+1)*12,0),$C$17*12),0),MAX(MAX($L$235*(1-$C$15),0)*(1+$C$16/12)^MIN(MAX((A641-$C$13+1)*12,0),$C$17*12)-(IF($C$17&lt;=0,0,IF($C$16=0,MAX($L$235*(1-$C$15),0)/$C$17,-PMT($C$16/12,$C$17*12,MAX($L$235*(1-$C$15),0))*12))/12)*(((1+$C$16/12)^MIN(MAX((A641-$C$13+1)*12,0),$C$17*12)-1)/($C$16/12)),0)))</f>
        <v/>
      </c>
      <c r="Z641" s="138">
        <f>MAX(X641-Y641,0)</f>
        <v/>
      </c>
      <c r="AA641" s="139">
        <f>U641+Z641</f>
        <v/>
      </c>
      <c r="AB641" s="5" t="n"/>
      <c r="AC641" s="5" t="n"/>
      <c r="AD641" s="5" t="n"/>
      <c r="AE641" s="5" t="n"/>
      <c r="AF641" s="5" t="n"/>
      <c r="AG641" s="5" t="n"/>
    </row>
    <row r="642" outlineLevel="1" s="326">
      <c r="A642" s="140" t="n">
        <v>34</v>
      </c>
      <c r="B642" s="40">
        <f>B113</f>
        <v/>
      </c>
      <c r="C642" s="141">
        <f>D113</f>
        <v/>
      </c>
      <c r="D642" s="141">
        <f>I113</f>
        <v/>
      </c>
      <c r="E642" s="141">
        <f>J113</f>
        <v/>
      </c>
      <c r="F642" s="141">
        <f>K113</f>
        <v/>
      </c>
      <c r="G642" s="138">
        <f>IF(AND($L$235&gt;0,A642=$C$13),$L$235*($C$15+$C$18),0)+IF(AND($L$235&gt;0,A642=$C$13),$C$24,0)</f>
        <v/>
      </c>
      <c r="H642" s="138">
        <f>IF(OR($L$235&lt;=0,A642&lt;$C$13),0,IF(AND($L$235&gt;0,$C$17&gt;0,A642&gt;=$C$13,A642&lt;($C$13+$C$17)),IF($C$17&lt;=0,0,IF($C$16=0,MAX($L$235*(1-$C$15),0)/$C$17,-PMT($C$16/12,$C$17*12,MAX($L$235*(1-$C$15),0))*12)),0)+X642*($C$19+$C$20+$C$21)+$C$22+$C$23)</f>
        <v/>
      </c>
      <c r="I642" s="138">
        <f>IF(B642="Working",MIN(MAX(D642-E642-F642-G642-H642,0),'Tax Assumptions'!$B$20),0)</f>
        <v/>
      </c>
      <c r="J642" s="138">
        <f>IF(B642="Working",D642-E642-F642-I642-G642-H642,-L642)</f>
        <v/>
      </c>
      <c r="K642" s="141">
        <f>IF(B642="Retired",$N$235+G642+H642,0)</f>
        <v/>
      </c>
      <c r="L642" s="141">
        <f>M642+N642+O642+P642</f>
        <v/>
      </c>
      <c r="M642" s="141">
        <f>IF(B642="Retired",MIN(((Q641)*(1+$C$10)+IF(B642="Working",J642,0)),K642),0)</f>
        <v/>
      </c>
      <c r="N642" s="141">
        <f>IF(B642="Retired",MIN(MAX(K642-M642,0),((R641)*(1+$C$10)+IF(B642="Working",E113,0))),0)</f>
        <v/>
      </c>
      <c r="O642" s="141">
        <f>IF(B642="Retired",MIN(MAX(K642-M642-N642,0),((S641)*(1+$C$10)+IF(B642="Working",I642,0))),0)</f>
        <v/>
      </c>
      <c r="P642" s="141">
        <f>IF(B642="Retired",MIN(MAX(K642-M642-N642-O642,0),((T641)*(1+$C$10)+IF(B642="Working",F113,0))),0)</f>
        <v/>
      </c>
      <c r="Q642" s="138">
        <f>MAX(((Q641)*(1+$C$10)+IF(B642="Working",J642,0))-M642,0)</f>
        <v/>
      </c>
      <c r="R642" s="138">
        <f>MAX(((R641)*(1+$C$10)+IF(B642="Working",E113,0))-N642,0)</f>
        <v/>
      </c>
      <c r="S642" s="138">
        <f>MAX(((S641)*(1+$C$10)+IF(B642="Working",I642,0))-O642,0)</f>
        <v/>
      </c>
      <c r="T642" s="138">
        <f>MAX(((T641)*(1+$C$10)+IF(B642="Working",F113,0))-P642,0)</f>
        <v/>
      </c>
      <c r="U642" s="138">
        <f>Q642+R642+S642+T642</f>
        <v/>
      </c>
      <c r="V642" s="138">
        <f>IF(B642="Working",MAX(-(((Q641)*(1+$C$10)+IF(B642="Working",J642,0))),0),MAX(K642-L642,0))</f>
        <v/>
      </c>
      <c r="W642" s="138">
        <f>IF(OR(A642&gt;=$C$13,B642="Retired"),IF(V642&gt;0,-V642,U642-'Model Inputs'!$B$18),"")</f>
        <v/>
      </c>
      <c r="X642" s="138">
        <f>IF(AND($L$235&gt;0,A642&gt;=$C$13),$L$235*(1+$C$25)^(A642-$C$13),0)</f>
        <v/>
      </c>
      <c r="Y642" s="138">
        <f>IF(OR($L$235&lt;=0,$C$17&lt;=0,A642&lt;$C$13,MIN(MAX((A642-$C$13+1)*12,0),$C$17*12)&gt;=$C$17*12),0,IF($C$16=0,MAX(MAX($L$235*(1-$C$15),0)-(IF($C$17&lt;=0,0,IF($C$16=0,MAX($L$235*(1-$C$15),0)/$C$17,-PMT($C$16/12,$C$17*12,MAX($L$235*(1-$C$15),0))*12))/12)*MIN(MAX((A642-$C$13+1)*12,0),$C$17*12),0),MAX(MAX($L$235*(1-$C$15),0)*(1+$C$16/12)^MIN(MAX((A642-$C$13+1)*12,0),$C$17*12)-(IF($C$17&lt;=0,0,IF($C$16=0,MAX($L$235*(1-$C$15),0)/$C$17,-PMT($C$16/12,$C$17*12,MAX($L$235*(1-$C$15),0))*12))/12)*(((1+$C$16/12)^MIN(MAX((A642-$C$13+1)*12,0),$C$17*12)-1)/($C$16/12)),0)))</f>
        <v/>
      </c>
      <c r="Z642" s="138">
        <f>MAX(X642-Y642,0)</f>
        <v/>
      </c>
      <c r="AA642" s="142">
        <f>U642+Z642</f>
        <v/>
      </c>
      <c r="AB642" s="5" t="n"/>
      <c r="AC642" s="5" t="n"/>
      <c r="AD642" s="5" t="n"/>
      <c r="AE642" s="5" t="n"/>
      <c r="AF642" s="5" t="n"/>
      <c r="AG642" s="5" t="n"/>
    </row>
    <row r="643" outlineLevel="1" s="326">
      <c r="A643" s="136" t="n">
        <v>35</v>
      </c>
      <c r="B643" s="72">
        <f>B114</f>
        <v/>
      </c>
      <c r="C643" s="137">
        <f>D114</f>
        <v/>
      </c>
      <c r="D643" s="137">
        <f>I114</f>
        <v/>
      </c>
      <c r="E643" s="137">
        <f>J114</f>
        <v/>
      </c>
      <c r="F643" s="137">
        <f>K114</f>
        <v/>
      </c>
      <c r="G643" s="138">
        <f>IF(AND($L$235&gt;0,A643=$C$13),$L$235*($C$15+$C$18),0)+IF(AND($L$235&gt;0,A643=$C$13),$C$24,0)</f>
        <v/>
      </c>
      <c r="H643" s="138">
        <f>IF(OR($L$235&lt;=0,A643&lt;$C$13),0,IF(AND($L$235&gt;0,$C$17&gt;0,A643&gt;=$C$13,A643&lt;($C$13+$C$17)),IF($C$17&lt;=0,0,IF($C$16=0,MAX($L$235*(1-$C$15),0)/$C$17,-PMT($C$16/12,$C$17*12,MAX($L$235*(1-$C$15),0))*12)),0)+X643*($C$19+$C$20+$C$21)+$C$22+$C$23)</f>
        <v/>
      </c>
      <c r="I643" s="138">
        <f>IF(B643="Working",MIN(MAX(D643-E643-F643-G643-H643,0),'Tax Assumptions'!$B$20),0)</f>
        <v/>
      </c>
      <c r="J643" s="138">
        <f>IF(B643="Working",D643-E643-F643-I643-G643-H643,-L643)</f>
        <v/>
      </c>
      <c r="K643" s="137">
        <f>IF(B643="Retired",$N$235+G643+H643,0)</f>
        <v/>
      </c>
      <c r="L643" s="137">
        <f>M643+N643+O643+P643</f>
        <v/>
      </c>
      <c r="M643" s="137">
        <f>IF(B643="Retired",MIN(((Q642)*(1+$C$10)+IF(B643="Working",J643,0)),K643),0)</f>
        <v/>
      </c>
      <c r="N643" s="137">
        <f>IF(B643="Retired",MIN(MAX(K643-M643,0),((R642)*(1+$C$10)+IF(B643="Working",E114,0))),0)</f>
        <v/>
      </c>
      <c r="O643" s="137">
        <f>IF(B643="Retired",MIN(MAX(K643-M643-N643,0),((S642)*(1+$C$10)+IF(B643="Working",I643,0))),0)</f>
        <v/>
      </c>
      <c r="P643" s="137">
        <f>IF(B643="Retired",MIN(MAX(K643-M643-N643-O643,0),((T642)*(1+$C$10)+IF(B643="Working",F114,0))),0)</f>
        <v/>
      </c>
      <c r="Q643" s="138">
        <f>MAX(((Q642)*(1+$C$10)+IF(B643="Working",J643,0))-M643,0)</f>
        <v/>
      </c>
      <c r="R643" s="138">
        <f>MAX(((R642)*(1+$C$10)+IF(B643="Working",E114,0))-N643,0)</f>
        <v/>
      </c>
      <c r="S643" s="138">
        <f>MAX(((S642)*(1+$C$10)+IF(B643="Working",I643,0))-O643,0)</f>
        <v/>
      </c>
      <c r="T643" s="138">
        <f>MAX(((T642)*(1+$C$10)+IF(B643="Working",F114,0))-P643,0)</f>
        <v/>
      </c>
      <c r="U643" s="138">
        <f>Q643+R643+S643+T643</f>
        <v/>
      </c>
      <c r="V643" s="138">
        <f>IF(B643="Working",MAX(-(((Q642)*(1+$C$10)+IF(B643="Working",J643,0))),0),MAX(K643-L643,0))</f>
        <v/>
      </c>
      <c r="W643" s="138">
        <f>IF(OR(A643&gt;=$C$13,B643="Retired"),IF(V643&gt;0,-V643,U643-'Model Inputs'!$B$18),"")</f>
        <v/>
      </c>
      <c r="X643" s="138">
        <f>IF(AND($L$235&gt;0,A643&gt;=$C$13),$L$235*(1+$C$25)^(A643-$C$13),0)</f>
        <v/>
      </c>
      <c r="Y643" s="138">
        <f>IF(OR($L$235&lt;=0,$C$17&lt;=0,A643&lt;$C$13,MIN(MAX((A643-$C$13+1)*12,0),$C$17*12)&gt;=$C$17*12),0,IF($C$16=0,MAX(MAX($L$235*(1-$C$15),0)-(IF($C$17&lt;=0,0,IF($C$16=0,MAX($L$235*(1-$C$15),0)/$C$17,-PMT($C$16/12,$C$17*12,MAX($L$235*(1-$C$15),0))*12))/12)*MIN(MAX((A643-$C$13+1)*12,0),$C$17*12),0),MAX(MAX($L$235*(1-$C$15),0)*(1+$C$16/12)^MIN(MAX((A643-$C$13+1)*12,0),$C$17*12)-(IF($C$17&lt;=0,0,IF($C$16=0,MAX($L$235*(1-$C$15),0)/$C$17,-PMT($C$16/12,$C$17*12,MAX($L$235*(1-$C$15),0))*12))/12)*(((1+$C$16/12)^MIN(MAX((A643-$C$13+1)*12,0),$C$17*12)-1)/($C$16/12)),0)))</f>
        <v/>
      </c>
      <c r="Z643" s="138">
        <f>MAX(X643-Y643,0)</f>
        <v/>
      </c>
      <c r="AA643" s="139">
        <f>U643+Z643</f>
        <v/>
      </c>
      <c r="AB643" s="5" t="n"/>
      <c r="AC643" s="5" t="n"/>
      <c r="AD643" s="5" t="n"/>
      <c r="AE643" s="5" t="n"/>
      <c r="AF643" s="5" t="n"/>
      <c r="AG643" s="5" t="n"/>
    </row>
    <row r="644" outlineLevel="1" s="326">
      <c r="A644" s="140" t="n">
        <v>36</v>
      </c>
      <c r="B644" s="40">
        <f>B115</f>
        <v/>
      </c>
      <c r="C644" s="141">
        <f>D115</f>
        <v/>
      </c>
      <c r="D644" s="141">
        <f>I115</f>
        <v/>
      </c>
      <c r="E644" s="141">
        <f>J115</f>
        <v/>
      </c>
      <c r="F644" s="141">
        <f>K115</f>
        <v/>
      </c>
      <c r="G644" s="138">
        <f>IF(AND($L$235&gt;0,A644=$C$13),$L$235*($C$15+$C$18),0)+IF(AND($L$235&gt;0,A644=$C$13),$C$24,0)</f>
        <v/>
      </c>
      <c r="H644" s="138">
        <f>IF(OR($L$235&lt;=0,A644&lt;$C$13),0,IF(AND($L$235&gt;0,$C$17&gt;0,A644&gt;=$C$13,A644&lt;($C$13+$C$17)),IF($C$17&lt;=0,0,IF($C$16=0,MAX($L$235*(1-$C$15),0)/$C$17,-PMT($C$16/12,$C$17*12,MAX($L$235*(1-$C$15),0))*12)),0)+X644*($C$19+$C$20+$C$21)+$C$22+$C$23)</f>
        <v/>
      </c>
      <c r="I644" s="138">
        <f>IF(B644="Working",MIN(MAX(D644-E644-F644-G644-H644,0),'Tax Assumptions'!$B$20),0)</f>
        <v/>
      </c>
      <c r="J644" s="138">
        <f>IF(B644="Working",D644-E644-F644-I644-G644-H644,-L644)</f>
        <v/>
      </c>
      <c r="K644" s="141">
        <f>IF(B644="Retired",$N$235+G644+H644,0)</f>
        <v/>
      </c>
      <c r="L644" s="141">
        <f>M644+N644+O644+P644</f>
        <v/>
      </c>
      <c r="M644" s="141">
        <f>IF(B644="Retired",MIN(((Q643)*(1+$C$10)+IF(B644="Working",J644,0)),K644),0)</f>
        <v/>
      </c>
      <c r="N644" s="141">
        <f>IF(B644="Retired",MIN(MAX(K644-M644,0),((R643)*(1+$C$10)+IF(B644="Working",E115,0))),0)</f>
        <v/>
      </c>
      <c r="O644" s="141">
        <f>IF(B644="Retired",MIN(MAX(K644-M644-N644,0),((S643)*(1+$C$10)+IF(B644="Working",I644,0))),0)</f>
        <v/>
      </c>
      <c r="P644" s="141">
        <f>IF(B644="Retired",MIN(MAX(K644-M644-N644-O644,0),((T643)*(1+$C$10)+IF(B644="Working",F115,0))),0)</f>
        <v/>
      </c>
      <c r="Q644" s="138">
        <f>MAX(((Q643)*(1+$C$10)+IF(B644="Working",J644,0))-M644,0)</f>
        <v/>
      </c>
      <c r="R644" s="138">
        <f>MAX(((R643)*(1+$C$10)+IF(B644="Working",E115,0))-N644,0)</f>
        <v/>
      </c>
      <c r="S644" s="138">
        <f>MAX(((S643)*(1+$C$10)+IF(B644="Working",I644,0))-O644,0)</f>
        <v/>
      </c>
      <c r="T644" s="138">
        <f>MAX(((T643)*(1+$C$10)+IF(B644="Working",F115,0))-P644,0)</f>
        <v/>
      </c>
      <c r="U644" s="138">
        <f>Q644+R644+S644+T644</f>
        <v/>
      </c>
      <c r="V644" s="138">
        <f>IF(B644="Working",MAX(-(((Q643)*(1+$C$10)+IF(B644="Working",J644,0))),0),MAX(K644-L644,0))</f>
        <v/>
      </c>
      <c r="W644" s="138">
        <f>IF(OR(A644&gt;=$C$13,B644="Retired"),IF(V644&gt;0,-V644,U644-'Model Inputs'!$B$18),"")</f>
        <v/>
      </c>
      <c r="X644" s="138">
        <f>IF(AND($L$235&gt;0,A644&gt;=$C$13),$L$235*(1+$C$25)^(A644-$C$13),0)</f>
        <v/>
      </c>
      <c r="Y644" s="138">
        <f>IF(OR($L$235&lt;=0,$C$17&lt;=0,A644&lt;$C$13,MIN(MAX((A644-$C$13+1)*12,0),$C$17*12)&gt;=$C$17*12),0,IF($C$16=0,MAX(MAX($L$235*(1-$C$15),0)-(IF($C$17&lt;=0,0,IF($C$16=0,MAX($L$235*(1-$C$15),0)/$C$17,-PMT($C$16/12,$C$17*12,MAX($L$235*(1-$C$15),0))*12))/12)*MIN(MAX((A644-$C$13+1)*12,0),$C$17*12),0),MAX(MAX($L$235*(1-$C$15),0)*(1+$C$16/12)^MIN(MAX((A644-$C$13+1)*12,0),$C$17*12)-(IF($C$17&lt;=0,0,IF($C$16=0,MAX($L$235*(1-$C$15),0)/$C$17,-PMT($C$16/12,$C$17*12,MAX($L$235*(1-$C$15),0))*12))/12)*(((1+$C$16/12)^MIN(MAX((A644-$C$13+1)*12,0),$C$17*12)-1)/($C$16/12)),0)))</f>
        <v/>
      </c>
      <c r="Z644" s="138">
        <f>MAX(X644-Y644,0)</f>
        <v/>
      </c>
      <c r="AA644" s="142">
        <f>U644+Z644</f>
        <v/>
      </c>
      <c r="AB644" s="5" t="n"/>
      <c r="AC644" s="5" t="n"/>
      <c r="AD644" s="5" t="n"/>
      <c r="AE644" s="5" t="n"/>
      <c r="AF644" s="5" t="n"/>
      <c r="AG644" s="5" t="n"/>
    </row>
    <row r="645" outlineLevel="1" s="326">
      <c r="A645" s="136" t="n">
        <v>37</v>
      </c>
      <c r="B645" s="72">
        <f>B116</f>
        <v/>
      </c>
      <c r="C645" s="137">
        <f>D116</f>
        <v/>
      </c>
      <c r="D645" s="137">
        <f>I116</f>
        <v/>
      </c>
      <c r="E645" s="137">
        <f>J116</f>
        <v/>
      </c>
      <c r="F645" s="137">
        <f>K116</f>
        <v/>
      </c>
      <c r="G645" s="138">
        <f>IF(AND($L$235&gt;0,A645=$C$13),$L$235*($C$15+$C$18),0)+IF(AND($L$235&gt;0,A645=$C$13),$C$24,0)</f>
        <v/>
      </c>
      <c r="H645" s="138">
        <f>IF(OR($L$235&lt;=0,A645&lt;$C$13),0,IF(AND($L$235&gt;0,$C$17&gt;0,A645&gt;=$C$13,A645&lt;($C$13+$C$17)),IF($C$17&lt;=0,0,IF($C$16=0,MAX($L$235*(1-$C$15),0)/$C$17,-PMT($C$16/12,$C$17*12,MAX($L$235*(1-$C$15),0))*12)),0)+X645*($C$19+$C$20+$C$21)+$C$22+$C$23)</f>
        <v/>
      </c>
      <c r="I645" s="138">
        <f>IF(B645="Working",MIN(MAX(D645-E645-F645-G645-H645,0),'Tax Assumptions'!$B$20),0)</f>
        <v/>
      </c>
      <c r="J645" s="138">
        <f>IF(B645="Working",D645-E645-F645-I645-G645-H645,-L645)</f>
        <v/>
      </c>
      <c r="K645" s="137">
        <f>IF(B645="Retired",$N$235+G645+H645,0)</f>
        <v/>
      </c>
      <c r="L645" s="137">
        <f>M645+N645+O645+P645</f>
        <v/>
      </c>
      <c r="M645" s="137">
        <f>IF(B645="Retired",MIN(((Q644)*(1+$C$10)+IF(B645="Working",J645,0)),K645),0)</f>
        <v/>
      </c>
      <c r="N645" s="137">
        <f>IF(B645="Retired",MIN(MAX(K645-M645,0),((R644)*(1+$C$10)+IF(B645="Working",E116,0))),0)</f>
        <v/>
      </c>
      <c r="O645" s="137">
        <f>IF(B645="Retired",MIN(MAX(K645-M645-N645,0),((S644)*(1+$C$10)+IF(B645="Working",I645,0))),0)</f>
        <v/>
      </c>
      <c r="P645" s="137">
        <f>IF(B645="Retired",MIN(MAX(K645-M645-N645-O645,0),((T644)*(1+$C$10)+IF(B645="Working",F116,0))),0)</f>
        <v/>
      </c>
      <c r="Q645" s="138">
        <f>MAX(((Q644)*(1+$C$10)+IF(B645="Working",J645,0))-M645,0)</f>
        <v/>
      </c>
      <c r="R645" s="138">
        <f>MAX(((R644)*(1+$C$10)+IF(B645="Working",E116,0))-N645,0)</f>
        <v/>
      </c>
      <c r="S645" s="138">
        <f>MAX(((S644)*(1+$C$10)+IF(B645="Working",I645,0))-O645,0)</f>
        <v/>
      </c>
      <c r="T645" s="138">
        <f>MAX(((T644)*(1+$C$10)+IF(B645="Working",F116,0))-P645,0)</f>
        <v/>
      </c>
      <c r="U645" s="138">
        <f>Q645+R645+S645+T645</f>
        <v/>
      </c>
      <c r="V645" s="138">
        <f>IF(B645="Working",MAX(-(((Q644)*(1+$C$10)+IF(B645="Working",J645,0))),0),MAX(K645-L645,0))</f>
        <v/>
      </c>
      <c r="W645" s="138">
        <f>IF(OR(A645&gt;=$C$13,B645="Retired"),IF(V645&gt;0,-V645,U645-'Model Inputs'!$B$18),"")</f>
        <v/>
      </c>
      <c r="X645" s="138">
        <f>IF(AND($L$235&gt;0,A645&gt;=$C$13),$L$235*(1+$C$25)^(A645-$C$13),0)</f>
        <v/>
      </c>
      <c r="Y645" s="138">
        <f>IF(OR($L$235&lt;=0,$C$17&lt;=0,A645&lt;$C$13,MIN(MAX((A645-$C$13+1)*12,0),$C$17*12)&gt;=$C$17*12),0,IF($C$16=0,MAX(MAX($L$235*(1-$C$15),0)-(IF($C$17&lt;=0,0,IF($C$16=0,MAX($L$235*(1-$C$15),0)/$C$17,-PMT($C$16/12,$C$17*12,MAX($L$235*(1-$C$15),0))*12))/12)*MIN(MAX((A645-$C$13+1)*12,0),$C$17*12),0),MAX(MAX($L$235*(1-$C$15),0)*(1+$C$16/12)^MIN(MAX((A645-$C$13+1)*12,0),$C$17*12)-(IF($C$17&lt;=0,0,IF($C$16=0,MAX($L$235*(1-$C$15),0)/$C$17,-PMT($C$16/12,$C$17*12,MAX($L$235*(1-$C$15),0))*12))/12)*(((1+$C$16/12)^MIN(MAX((A645-$C$13+1)*12,0),$C$17*12)-1)/($C$16/12)),0)))</f>
        <v/>
      </c>
      <c r="Z645" s="138">
        <f>MAX(X645-Y645,0)</f>
        <v/>
      </c>
      <c r="AA645" s="139">
        <f>U645+Z645</f>
        <v/>
      </c>
      <c r="AB645" s="5" t="n"/>
      <c r="AC645" s="5" t="n"/>
      <c r="AD645" s="5" t="n"/>
      <c r="AE645" s="5" t="n"/>
      <c r="AF645" s="5" t="n"/>
      <c r="AG645" s="5" t="n"/>
    </row>
    <row r="646" outlineLevel="1" s="326">
      <c r="A646" s="140" t="n">
        <v>38</v>
      </c>
      <c r="B646" s="40">
        <f>B117</f>
        <v/>
      </c>
      <c r="C646" s="141">
        <f>D117</f>
        <v/>
      </c>
      <c r="D646" s="141">
        <f>I117</f>
        <v/>
      </c>
      <c r="E646" s="141">
        <f>J117</f>
        <v/>
      </c>
      <c r="F646" s="141">
        <f>K117</f>
        <v/>
      </c>
      <c r="G646" s="138">
        <f>IF(AND($L$235&gt;0,A646=$C$13),$L$235*($C$15+$C$18),0)+IF(AND($L$235&gt;0,A646=$C$13),$C$24,0)</f>
        <v/>
      </c>
      <c r="H646" s="138">
        <f>IF(OR($L$235&lt;=0,A646&lt;$C$13),0,IF(AND($L$235&gt;0,$C$17&gt;0,A646&gt;=$C$13,A646&lt;($C$13+$C$17)),IF($C$17&lt;=0,0,IF($C$16=0,MAX($L$235*(1-$C$15),0)/$C$17,-PMT($C$16/12,$C$17*12,MAX($L$235*(1-$C$15),0))*12)),0)+X646*($C$19+$C$20+$C$21)+$C$22+$C$23)</f>
        <v/>
      </c>
      <c r="I646" s="138">
        <f>IF(B646="Working",MIN(MAX(D646-E646-F646-G646-H646,0),'Tax Assumptions'!$B$20),0)</f>
        <v/>
      </c>
      <c r="J646" s="138">
        <f>IF(B646="Working",D646-E646-F646-I646-G646-H646,-L646)</f>
        <v/>
      </c>
      <c r="K646" s="141">
        <f>IF(B646="Retired",$N$235+G646+H646,0)</f>
        <v/>
      </c>
      <c r="L646" s="141">
        <f>M646+N646+O646+P646</f>
        <v/>
      </c>
      <c r="M646" s="141">
        <f>IF(B646="Retired",MIN(((Q645)*(1+$C$10)+IF(B646="Working",J646,0)),K646),0)</f>
        <v/>
      </c>
      <c r="N646" s="141">
        <f>IF(B646="Retired",MIN(MAX(K646-M646,0),((R645)*(1+$C$10)+IF(B646="Working",E117,0))),0)</f>
        <v/>
      </c>
      <c r="O646" s="141">
        <f>IF(B646="Retired",MIN(MAX(K646-M646-N646,0),((S645)*(1+$C$10)+IF(B646="Working",I646,0))),0)</f>
        <v/>
      </c>
      <c r="P646" s="141">
        <f>IF(B646="Retired",MIN(MAX(K646-M646-N646-O646,0),((T645)*(1+$C$10)+IF(B646="Working",F117,0))),0)</f>
        <v/>
      </c>
      <c r="Q646" s="138">
        <f>MAX(((Q645)*(1+$C$10)+IF(B646="Working",J646,0))-M646,0)</f>
        <v/>
      </c>
      <c r="R646" s="138">
        <f>MAX(((R645)*(1+$C$10)+IF(B646="Working",E117,0))-N646,0)</f>
        <v/>
      </c>
      <c r="S646" s="138">
        <f>MAX(((S645)*(1+$C$10)+IF(B646="Working",I646,0))-O646,0)</f>
        <v/>
      </c>
      <c r="T646" s="138">
        <f>MAX(((T645)*(1+$C$10)+IF(B646="Working",F117,0))-P646,0)</f>
        <v/>
      </c>
      <c r="U646" s="138">
        <f>Q646+R646+S646+T646</f>
        <v/>
      </c>
      <c r="V646" s="138">
        <f>IF(B646="Working",MAX(-(((Q645)*(1+$C$10)+IF(B646="Working",J646,0))),0),MAX(K646-L646,0))</f>
        <v/>
      </c>
      <c r="W646" s="138">
        <f>IF(OR(A646&gt;=$C$13,B646="Retired"),IF(V646&gt;0,-V646,U646-'Model Inputs'!$B$18),"")</f>
        <v/>
      </c>
      <c r="X646" s="138">
        <f>IF(AND($L$235&gt;0,A646&gt;=$C$13),$L$235*(1+$C$25)^(A646-$C$13),0)</f>
        <v/>
      </c>
      <c r="Y646" s="138">
        <f>IF(OR($L$235&lt;=0,$C$17&lt;=0,A646&lt;$C$13,MIN(MAX((A646-$C$13+1)*12,0),$C$17*12)&gt;=$C$17*12),0,IF($C$16=0,MAX(MAX($L$235*(1-$C$15),0)-(IF($C$17&lt;=0,0,IF($C$16=0,MAX($L$235*(1-$C$15),0)/$C$17,-PMT($C$16/12,$C$17*12,MAX($L$235*(1-$C$15),0))*12))/12)*MIN(MAX((A646-$C$13+1)*12,0),$C$17*12),0),MAX(MAX($L$235*(1-$C$15),0)*(1+$C$16/12)^MIN(MAX((A646-$C$13+1)*12,0),$C$17*12)-(IF($C$17&lt;=0,0,IF($C$16=0,MAX($L$235*(1-$C$15),0)/$C$17,-PMT($C$16/12,$C$17*12,MAX($L$235*(1-$C$15),0))*12))/12)*(((1+$C$16/12)^MIN(MAX((A646-$C$13+1)*12,0),$C$17*12)-1)/($C$16/12)),0)))</f>
        <v/>
      </c>
      <c r="Z646" s="138">
        <f>MAX(X646-Y646,0)</f>
        <v/>
      </c>
      <c r="AA646" s="142">
        <f>U646+Z646</f>
        <v/>
      </c>
      <c r="AB646" s="5" t="n"/>
      <c r="AC646" s="5" t="n"/>
      <c r="AD646" s="5" t="n"/>
      <c r="AE646" s="5" t="n"/>
      <c r="AF646" s="5" t="n"/>
      <c r="AG646" s="5" t="n"/>
    </row>
    <row r="647" outlineLevel="1" s="326">
      <c r="A647" s="136" t="n">
        <v>39</v>
      </c>
      <c r="B647" s="72">
        <f>B118</f>
        <v/>
      </c>
      <c r="C647" s="137">
        <f>D118</f>
        <v/>
      </c>
      <c r="D647" s="137">
        <f>I118</f>
        <v/>
      </c>
      <c r="E647" s="137">
        <f>J118</f>
        <v/>
      </c>
      <c r="F647" s="137">
        <f>K118</f>
        <v/>
      </c>
      <c r="G647" s="138">
        <f>IF(AND($L$235&gt;0,A647=$C$13),$L$235*($C$15+$C$18),0)+IF(AND($L$235&gt;0,A647=$C$13),$C$24,0)</f>
        <v/>
      </c>
      <c r="H647" s="138">
        <f>IF(OR($L$235&lt;=0,A647&lt;$C$13),0,IF(AND($L$235&gt;0,$C$17&gt;0,A647&gt;=$C$13,A647&lt;($C$13+$C$17)),IF($C$17&lt;=0,0,IF($C$16=0,MAX($L$235*(1-$C$15),0)/$C$17,-PMT($C$16/12,$C$17*12,MAX($L$235*(1-$C$15),0))*12)),0)+X647*($C$19+$C$20+$C$21)+$C$22+$C$23)</f>
        <v/>
      </c>
      <c r="I647" s="138">
        <f>IF(B647="Working",MIN(MAX(D647-E647-F647-G647-H647,0),'Tax Assumptions'!$B$20),0)</f>
        <v/>
      </c>
      <c r="J647" s="138">
        <f>IF(B647="Working",D647-E647-F647-I647-G647-H647,-L647)</f>
        <v/>
      </c>
      <c r="K647" s="137">
        <f>IF(B647="Retired",$N$235+G647+H647,0)</f>
        <v/>
      </c>
      <c r="L647" s="137">
        <f>M647+N647+O647+P647</f>
        <v/>
      </c>
      <c r="M647" s="137">
        <f>IF(B647="Retired",MIN(((Q646)*(1+$C$10)+IF(B647="Working",J647,0)),K647),0)</f>
        <v/>
      </c>
      <c r="N647" s="137">
        <f>IF(B647="Retired",MIN(MAX(K647-M647,0),((R646)*(1+$C$10)+IF(B647="Working",E118,0))),0)</f>
        <v/>
      </c>
      <c r="O647" s="137">
        <f>IF(B647="Retired",MIN(MAX(K647-M647-N647,0),((S646)*(1+$C$10)+IF(B647="Working",I647,0))),0)</f>
        <v/>
      </c>
      <c r="P647" s="137">
        <f>IF(B647="Retired",MIN(MAX(K647-M647-N647-O647,0),((T646)*(1+$C$10)+IF(B647="Working",F118,0))),0)</f>
        <v/>
      </c>
      <c r="Q647" s="138">
        <f>MAX(((Q646)*(1+$C$10)+IF(B647="Working",J647,0))-M647,0)</f>
        <v/>
      </c>
      <c r="R647" s="138">
        <f>MAX(((R646)*(1+$C$10)+IF(B647="Working",E118,0))-N647,0)</f>
        <v/>
      </c>
      <c r="S647" s="138">
        <f>MAX(((S646)*(1+$C$10)+IF(B647="Working",I647,0))-O647,0)</f>
        <v/>
      </c>
      <c r="T647" s="138">
        <f>MAX(((T646)*(1+$C$10)+IF(B647="Working",F118,0))-P647,0)</f>
        <v/>
      </c>
      <c r="U647" s="138">
        <f>Q647+R647+S647+T647</f>
        <v/>
      </c>
      <c r="V647" s="138">
        <f>IF(B647="Working",MAX(-(((Q646)*(1+$C$10)+IF(B647="Working",J647,0))),0),MAX(K647-L647,0))</f>
        <v/>
      </c>
      <c r="W647" s="138">
        <f>IF(OR(A647&gt;=$C$13,B647="Retired"),IF(V647&gt;0,-V647,U647-'Model Inputs'!$B$18),"")</f>
        <v/>
      </c>
      <c r="X647" s="138">
        <f>IF(AND($L$235&gt;0,A647&gt;=$C$13),$L$235*(1+$C$25)^(A647-$C$13),0)</f>
        <v/>
      </c>
      <c r="Y647" s="138">
        <f>IF(OR($L$235&lt;=0,$C$17&lt;=0,A647&lt;$C$13,MIN(MAX((A647-$C$13+1)*12,0),$C$17*12)&gt;=$C$17*12),0,IF($C$16=0,MAX(MAX($L$235*(1-$C$15),0)-(IF($C$17&lt;=0,0,IF($C$16=0,MAX($L$235*(1-$C$15),0)/$C$17,-PMT($C$16/12,$C$17*12,MAX($L$235*(1-$C$15),0))*12))/12)*MIN(MAX((A647-$C$13+1)*12,0),$C$17*12),0),MAX(MAX($L$235*(1-$C$15),0)*(1+$C$16/12)^MIN(MAX((A647-$C$13+1)*12,0),$C$17*12)-(IF($C$17&lt;=0,0,IF($C$16=0,MAX($L$235*(1-$C$15),0)/$C$17,-PMT($C$16/12,$C$17*12,MAX($L$235*(1-$C$15),0))*12))/12)*(((1+$C$16/12)^MIN(MAX((A647-$C$13+1)*12,0),$C$17*12)-1)/($C$16/12)),0)))</f>
        <v/>
      </c>
      <c r="Z647" s="138">
        <f>MAX(X647-Y647,0)</f>
        <v/>
      </c>
      <c r="AA647" s="139">
        <f>U647+Z647</f>
        <v/>
      </c>
      <c r="AB647" s="5" t="n"/>
      <c r="AC647" s="5" t="n"/>
      <c r="AD647" s="5" t="n"/>
      <c r="AE647" s="5" t="n"/>
      <c r="AF647" s="5" t="n"/>
      <c r="AG647" s="5" t="n"/>
    </row>
    <row r="648" outlineLevel="1" s="326">
      <c r="A648" s="140" t="n">
        <v>40</v>
      </c>
      <c r="B648" s="40">
        <f>B119</f>
        <v/>
      </c>
      <c r="C648" s="141">
        <f>D119</f>
        <v/>
      </c>
      <c r="D648" s="141">
        <f>I119</f>
        <v/>
      </c>
      <c r="E648" s="141">
        <f>J119</f>
        <v/>
      </c>
      <c r="F648" s="141">
        <f>K119</f>
        <v/>
      </c>
      <c r="G648" s="138">
        <f>IF(AND($L$235&gt;0,A648=$C$13),$L$235*($C$15+$C$18),0)+IF(AND($L$235&gt;0,A648=$C$13),$C$24,0)</f>
        <v/>
      </c>
      <c r="H648" s="138">
        <f>IF(OR($L$235&lt;=0,A648&lt;$C$13),0,IF(AND($L$235&gt;0,$C$17&gt;0,A648&gt;=$C$13,A648&lt;($C$13+$C$17)),IF($C$17&lt;=0,0,IF($C$16=0,MAX($L$235*(1-$C$15),0)/$C$17,-PMT($C$16/12,$C$17*12,MAX($L$235*(1-$C$15),0))*12)),0)+X648*($C$19+$C$20+$C$21)+$C$22+$C$23)</f>
        <v/>
      </c>
      <c r="I648" s="138">
        <f>IF(B648="Working",MIN(MAX(D648-E648-F648-G648-H648,0),'Tax Assumptions'!$B$20),0)</f>
        <v/>
      </c>
      <c r="J648" s="138">
        <f>IF(B648="Working",D648-E648-F648-I648-G648-H648,-L648)</f>
        <v/>
      </c>
      <c r="K648" s="141">
        <f>IF(B648="Retired",$N$235+G648+H648,0)</f>
        <v/>
      </c>
      <c r="L648" s="141">
        <f>M648+N648+O648+P648</f>
        <v/>
      </c>
      <c r="M648" s="141">
        <f>IF(B648="Retired",MIN(((Q647)*(1+$C$10)+IF(B648="Working",J648,0)),K648),0)</f>
        <v/>
      </c>
      <c r="N648" s="141">
        <f>IF(B648="Retired",MIN(MAX(K648-M648,0),((R647)*(1+$C$10)+IF(B648="Working",E119,0))),0)</f>
        <v/>
      </c>
      <c r="O648" s="141">
        <f>IF(B648="Retired",MIN(MAX(K648-M648-N648,0),((S647)*(1+$C$10)+IF(B648="Working",I648,0))),0)</f>
        <v/>
      </c>
      <c r="P648" s="141">
        <f>IF(B648="Retired",MIN(MAX(K648-M648-N648-O648,0),((T647)*(1+$C$10)+IF(B648="Working",F119,0))),0)</f>
        <v/>
      </c>
      <c r="Q648" s="138">
        <f>MAX(((Q647)*(1+$C$10)+IF(B648="Working",J648,0))-M648,0)</f>
        <v/>
      </c>
      <c r="R648" s="138">
        <f>MAX(((R647)*(1+$C$10)+IF(B648="Working",E119,0))-N648,0)</f>
        <v/>
      </c>
      <c r="S648" s="138">
        <f>MAX(((S647)*(1+$C$10)+IF(B648="Working",I648,0))-O648,0)</f>
        <v/>
      </c>
      <c r="T648" s="138">
        <f>MAX(((T647)*(1+$C$10)+IF(B648="Working",F119,0))-P648,0)</f>
        <v/>
      </c>
      <c r="U648" s="138">
        <f>Q648+R648+S648+T648</f>
        <v/>
      </c>
      <c r="V648" s="138">
        <f>IF(B648="Working",MAX(-(((Q647)*(1+$C$10)+IF(B648="Working",J648,0))),0),MAX(K648-L648,0))</f>
        <v/>
      </c>
      <c r="W648" s="138">
        <f>IF(OR(A648&gt;=$C$13,B648="Retired"),IF(V648&gt;0,-V648,U648-'Model Inputs'!$B$18),"")</f>
        <v/>
      </c>
      <c r="X648" s="138">
        <f>IF(AND($L$235&gt;0,A648&gt;=$C$13),$L$235*(1+$C$25)^(A648-$C$13),0)</f>
        <v/>
      </c>
      <c r="Y648" s="138">
        <f>IF(OR($L$235&lt;=0,$C$17&lt;=0,A648&lt;$C$13,MIN(MAX((A648-$C$13+1)*12,0),$C$17*12)&gt;=$C$17*12),0,IF($C$16=0,MAX(MAX($L$235*(1-$C$15),0)-(IF($C$17&lt;=0,0,IF($C$16=0,MAX($L$235*(1-$C$15),0)/$C$17,-PMT($C$16/12,$C$17*12,MAX($L$235*(1-$C$15),0))*12))/12)*MIN(MAX((A648-$C$13+1)*12,0),$C$17*12),0),MAX(MAX($L$235*(1-$C$15),0)*(1+$C$16/12)^MIN(MAX((A648-$C$13+1)*12,0),$C$17*12)-(IF($C$17&lt;=0,0,IF($C$16=0,MAX($L$235*(1-$C$15),0)/$C$17,-PMT($C$16/12,$C$17*12,MAX($L$235*(1-$C$15),0))*12))/12)*(((1+$C$16/12)^MIN(MAX((A648-$C$13+1)*12,0),$C$17*12)-1)/($C$16/12)),0)))</f>
        <v/>
      </c>
      <c r="Z648" s="138">
        <f>MAX(X648-Y648,0)</f>
        <v/>
      </c>
      <c r="AA648" s="142">
        <f>U648+Z648</f>
        <v/>
      </c>
      <c r="AB648" s="5" t="n"/>
      <c r="AC648" s="5" t="n"/>
      <c r="AD648" s="5" t="n"/>
      <c r="AE648" s="5" t="n"/>
      <c r="AF648" s="5" t="n"/>
      <c r="AG648" s="5" t="n"/>
    </row>
    <row r="649" outlineLevel="1" s="326">
      <c r="A649" s="143" t="inlineStr">
        <is>
          <t>Case Summary</t>
        </is>
      </c>
      <c r="B649" s="144" t="n"/>
      <c r="C649" s="144" t="n"/>
      <c r="D649" s="144" t="n"/>
      <c r="E649" s="144" t="n"/>
      <c r="F649" s="144" t="n"/>
      <c r="G649" s="145">
        <f>SUM(G609:G648)</f>
        <v/>
      </c>
      <c r="H649" s="145">
        <f>SUM(H609:H648)</f>
        <v/>
      </c>
      <c r="I649" s="145">
        <f>SUM(I609:I648)</f>
        <v/>
      </c>
      <c r="J649" s="145">
        <f>SUM(J609:J648)</f>
        <v/>
      </c>
      <c r="K649" s="145">
        <f>SUM(K609:K648)</f>
        <v/>
      </c>
      <c r="L649" s="145">
        <f>SUM(L609:L648)</f>
        <v/>
      </c>
      <c r="M649" s="145">
        <f>SUM(M609:M648)</f>
        <v/>
      </c>
      <c r="N649" s="145">
        <f>SUM(N609:N648)</f>
        <v/>
      </c>
      <c r="O649" s="145">
        <f>SUM(O609:O648)</f>
        <v/>
      </c>
      <c r="P649" s="145">
        <f>SUM(P609:P648)</f>
        <v/>
      </c>
      <c r="Q649" s="145">
        <f>Q648</f>
        <v/>
      </c>
      <c r="R649" s="145">
        <f>R648</f>
        <v/>
      </c>
      <c r="S649" s="145">
        <f>S648</f>
        <v/>
      </c>
      <c r="T649" s="145">
        <f>T648</f>
        <v/>
      </c>
      <c r="U649" s="145">
        <f>U648</f>
        <v/>
      </c>
      <c r="V649" s="145">
        <f>SUM(V609:V648)</f>
        <v/>
      </c>
      <c r="W649" s="145">
        <f>MIN(W609:W648)</f>
        <v/>
      </c>
      <c r="X649" s="145">
        <f>X648</f>
        <v/>
      </c>
      <c r="Y649" s="145">
        <f>Y648</f>
        <v/>
      </c>
      <c r="Z649" s="145">
        <f>Z648</f>
        <v/>
      </c>
      <c r="AA649" s="146">
        <f>AA648</f>
        <v/>
      </c>
      <c r="AB649" s="5" t="n"/>
      <c r="AC649" s="5" t="n"/>
      <c r="AD649" s="5" t="n"/>
      <c r="AE649" s="5" t="n"/>
      <c r="AF649" s="5" t="n"/>
      <c r="AG649" s="5" t="n"/>
    </row>
    <row r="650" outlineLevel="1" s="326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</row>
    <row r="651" outlineLevel="1" s="326">
      <c r="A651" s="387">
        <f>J236&amp;" | House "&amp;TEXT($L$236,"$#,##0")&amp;" | Spend "&amp;TEXT($N$236,"$#,##0")</f>
        <v/>
      </c>
      <c r="B651" s="345" t="n"/>
      <c r="C651" s="345" t="n"/>
      <c r="D651" s="345" t="n"/>
      <c r="E651" s="345" t="n"/>
      <c r="F651" s="345" t="n"/>
      <c r="G651" s="345" t="n"/>
      <c r="H651" s="345" t="n"/>
      <c r="I651" s="345" t="n"/>
      <c r="J651" s="345" t="n"/>
      <c r="K651" s="345" t="n"/>
      <c r="L651" s="345" t="n"/>
      <c r="M651" s="345" t="n"/>
      <c r="N651" s="345" t="n"/>
      <c r="O651" s="345" t="n"/>
      <c r="P651" s="345" t="n"/>
      <c r="Q651" s="345" t="n"/>
      <c r="R651" s="345" t="n"/>
      <c r="S651" s="345" t="n"/>
      <c r="T651" s="345" t="n"/>
      <c r="U651" s="345" t="n"/>
      <c r="V651" s="345" t="n"/>
      <c r="W651" s="345" t="n"/>
      <c r="X651" s="345" t="n"/>
      <c r="Y651" s="345" t="n"/>
      <c r="Z651" s="345" t="n"/>
      <c r="AA651" s="346" t="n"/>
      <c r="AB651" s="5" t="n"/>
      <c r="AC651" s="5" t="n"/>
      <c r="AD651" s="5" t="n"/>
      <c r="AE651" s="5" t="n"/>
      <c r="AF651" s="5" t="n"/>
      <c r="AG651" s="5" t="n"/>
    </row>
    <row r="652" outlineLevel="1" ht="34" customHeight="1" s="326">
      <c r="A652" s="134" t="inlineStr">
        <is>
          <t>Year</t>
        </is>
      </c>
      <c r="B652" s="83" t="inlineStr">
        <is>
          <t>Phase</t>
        </is>
      </c>
      <c r="C652" s="83" t="inlineStr">
        <is>
          <t>Gross</t>
        </is>
      </c>
      <c r="D652" s="83" t="inlineStr">
        <is>
          <t>Post-Tax Cash</t>
        </is>
      </c>
      <c r="E652" s="83" t="inlineStr">
        <is>
          <t>Rent</t>
        </is>
      </c>
      <c r="F652" s="83" t="inlineStr">
        <is>
          <t>Living</t>
        </is>
      </c>
      <c r="G652" s="83" t="inlineStr">
        <is>
          <t>House Cash</t>
        </is>
      </c>
      <c r="H652" s="83" t="inlineStr">
        <is>
          <t>Housing Carry</t>
        </is>
      </c>
      <c r="I652" s="83" t="inlineStr">
        <is>
          <t>Roth</t>
        </is>
      </c>
      <c r="J652" s="83" t="inlineStr">
        <is>
          <t>Taxable Sav / (Draw)</t>
        </is>
      </c>
      <c r="K652" s="83" t="inlineStr">
        <is>
          <t>Planned Need</t>
        </is>
      </c>
      <c r="L652" s="83" t="inlineStr">
        <is>
          <t>Actual W/D</t>
        </is>
      </c>
      <c r="M652" s="83" t="inlineStr">
        <is>
          <t>Taxable Draw</t>
        </is>
      </c>
      <c r="N652" s="83" t="inlineStr">
        <is>
          <t>401(k) Draw</t>
        </is>
      </c>
      <c r="O652" s="83" t="inlineStr">
        <is>
          <t>Roth Draw</t>
        </is>
      </c>
      <c r="P652" s="83" t="inlineStr">
        <is>
          <t>HSA Draw</t>
        </is>
      </c>
      <c r="Q652" s="83" t="inlineStr">
        <is>
          <t>Taxable Bal</t>
        </is>
      </c>
      <c r="R652" s="83" t="inlineStr">
        <is>
          <t>401(k) Bal</t>
        </is>
      </c>
      <c r="S652" s="83" t="inlineStr">
        <is>
          <t>Roth Bal</t>
        </is>
      </c>
      <c r="T652" s="83" t="inlineStr">
        <is>
          <t>HSA Bal</t>
        </is>
      </c>
      <c r="U652" s="83" t="inlineStr">
        <is>
          <t>Liquid Wealth</t>
        </is>
      </c>
      <c r="V652" s="83" t="inlineStr">
        <is>
          <t>Funding Gap</t>
        </is>
      </c>
      <c r="W652" s="83" t="inlineStr">
        <is>
          <t>Margin vs Reserve</t>
        </is>
      </c>
      <c r="X652" s="83" t="inlineStr">
        <is>
          <t>House Value</t>
        </is>
      </c>
      <c r="Y652" s="83" t="inlineStr">
        <is>
          <t>Mortgage Balance</t>
        </is>
      </c>
      <c r="Z652" s="83" t="inlineStr">
        <is>
          <t>Home Equity</t>
        </is>
      </c>
      <c r="AA652" s="135" t="inlineStr">
        <is>
          <t>Net Worth</t>
        </is>
      </c>
      <c r="AB652" s="5" t="n"/>
      <c r="AC652" s="5" t="n"/>
      <c r="AD652" s="5" t="n"/>
      <c r="AE652" s="5" t="n"/>
      <c r="AF652" s="5" t="n"/>
      <c r="AG652" s="5" t="n"/>
    </row>
    <row r="653" outlineLevel="1" s="326">
      <c r="A653" s="136" t="n">
        <v>1</v>
      </c>
      <c r="B653" s="72">
        <f>B80</f>
        <v/>
      </c>
      <c r="C653" s="137">
        <f>D80</f>
        <v/>
      </c>
      <c r="D653" s="137">
        <f>I80</f>
        <v/>
      </c>
      <c r="E653" s="137">
        <f>J80</f>
        <v/>
      </c>
      <c r="F653" s="137">
        <f>K80</f>
        <v/>
      </c>
      <c r="G653" s="138">
        <f>IF(AND($L$236&gt;0,A653=$C$13),$L$236*($C$15+$C$18),0)+IF(AND($L$236&gt;0,A653=$C$13),$C$24,0)</f>
        <v/>
      </c>
      <c r="H653" s="138">
        <f>IF(OR($L$236&lt;=0,A653&lt;$C$13),0,IF(AND($L$236&gt;0,$C$17&gt;0,A653&gt;=$C$13,A653&lt;($C$13+$C$17)),IF($C$17&lt;=0,0,IF($C$16=0,MAX($L$236*(1-$C$15),0)/$C$17,-PMT($C$16/12,$C$17*12,MAX($L$236*(1-$C$15),0))*12)),0)+X653*($C$19+$C$20+$C$21)+$C$22+$C$23)</f>
        <v/>
      </c>
      <c r="I653" s="138">
        <f>IF(B653="Working",MIN(MAX(D653-E653-F653-G653-H653,0),'Tax Assumptions'!$B$20),0)</f>
        <v/>
      </c>
      <c r="J653" s="138">
        <f>IF(B653="Working",D653-E653-F653-I653-G653-H653,-L653)</f>
        <v/>
      </c>
      <c r="K653" s="137">
        <f>IF(B653="Retired",$N$236+G653+H653,0)</f>
        <v/>
      </c>
      <c r="L653" s="137">
        <f>M653+N653+O653+P653</f>
        <v/>
      </c>
      <c r="M653" s="137">
        <f>IF(B653="Retired",MIN((('Savings Projection'!$B$7)*(1+$C$10)+IF(B653="Working",J653,0)),K653),0)</f>
        <v/>
      </c>
      <c r="N653" s="137">
        <f>IF(B653="Retired",MIN(MAX(K653-M653,0),(('Savings Projection'!$B$8)*(1+$C$10)+IF(B653="Working",E80,0))),0)</f>
        <v/>
      </c>
      <c r="O653" s="137">
        <f>IF(B653="Retired",MIN(MAX(K653-M653-N653,0),(('Savings Projection'!$B$9)*(1+$C$10)+IF(B653="Working",I653,0))),0)</f>
        <v/>
      </c>
      <c r="P653" s="137">
        <f>IF(B653="Retired",MIN(MAX(K653-M653-N653-O653,0),(('Savings Projection'!$B$10)*(1+$C$10)+IF(B653="Working",F80,0))),0)</f>
        <v/>
      </c>
      <c r="Q653" s="138">
        <f>MAX((('Savings Projection'!$B$7)*(1+$C$10)+IF(B653="Working",J653,0))-M653,0)</f>
        <v/>
      </c>
      <c r="R653" s="138">
        <f>MAX((('Savings Projection'!$B$8)*(1+$C$10)+IF(B653="Working",E80,0))-N653,0)</f>
        <v/>
      </c>
      <c r="S653" s="138">
        <f>MAX((('Savings Projection'!$B$9)*(1+$C$10)+IF(B653="Working",I653,0))-O653,0)</f>
        <v/>
      </c>
      <c r="T653" s="138">
        <f>MAX((('Savings Projection'!$B$10)*(1+$C$10)+IF(B653="Working",F80,0))-P653,0)</f>
        <v/>
      </c>
      <c r="U653" s="138">
        <f>Q653+R653+S653+T653</f>
        <v/>
      </c>
      <c r="V653" s="138">
        <f>IF(B653="Working",MAX(-((('Savings Projection'!$B$7)*(1+$C$10)+IF(B653="Working",J653,0))),0),MAX(K653-L653,0))</f>
        <v/>
      </c>
      <c r="W653" s="138">
        <f>IF(OR(A653&gt;=$C$13,B653="Retired"),IF(V653&gt;0,-V653,U653-'Model Inputs'!$B$18),"")</f>
        <v/>
      </c>
      <c r="X653" s="138">
        <f>IF(AND($L$236&gt;0,A653&gt;=$C$13),$L$236*(1+$C$25)^(A653-$C$13),0)</f>
        <v/>
      </c>
      <c r="Y653" s="138">
        <f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/>
      </c>
      <c r="Z653" s="138">
        <f>MAX(X653-Y653,0)</f>
        <v/>
      </c>
      <c r="AA653" s="139">
        <f>U653+Z653</f>
        <v/>
      </c>
      <c r="AB653" s="5" t="n"/>
      <c r="AC653" s="5" t="n"/>
      <c r="AD653" s="5" t="n"/>
      <c r="AE653" s="5" t="n"/>
      <c r="AF653" s="5" t="n"/>
      <c r="AG653" s="5" t="n"/>
    </row>
    <row r="654" outlineLevel="1" s="326">
      <c r="A654" s="140" t="n">
        <v>2</v>
      </c>
      <c r="B654" s="40">
        <f>B81</f>
        <v/>
      </c>
      <c r="C654" s="141">
        <f>D81</f>
        <v/>
      </c>
      <c r="D654" s="141">
        <f>I81</f>
        <v/>
      </c>
      <c r="E654" s="141">
        <f>J81</f>
        <v/>
      </c>
      <c r="F654" s="141">
        <f>K81</f>
        <v/>
      </c>
      <c r="G654" s="138">
        <f>IF(AND($L$236&gt;0,A654=$C$13),$L$236*($C$15+$C$18),0)+IF(AND($L$236&gt;0,A654=$C$13),$C$24,0)</f>
        <v/>
      </c>
      <c r="H654" s="138">
        <f>IF(OR($L$236&lt;=0,A654&lt;$C$13),0,IF(AND($L$236&gt;0,$C$17&gt;0,A654&gt;=$C$13,A654&lt;($C$13+$C$17)),IF($C$17&lt;=0,0,IF($C$16=0,MAX($L$236*(1-$C$15),0)/$C$17,-PMT($C$16/12,$C$17*12,MAX($L$236*(1-$C$15),0))*12)),0)+X654*($C$19+$C$20+$C$21)+$C$22+$C$23)</f>
        <v/>
      </c>
      <c r="I654" s="138">
        <f>IF(B654="Working",MIN(MAX(D654-E654-F654-G654-H654,0),'Tax Assumptions'!$B$20),0)</f>
        <v/>
      </c>
      <c r="J654" s="138">
        <f>IF(B654="Working",D654-E654-F654-I654-G654-H654,-L654)</f>
        <v/>
      </c>
      <c r="K654" s="141">
        <f>IF(B654="Retired",$N$236+G654+H654,0)</f>
        <v/>
      </c>
      <c r="L654" s="141">
        <f>M654+N654+O654+P654</f>
        <v/>
      </c>
      <c r="M654" s="141">
        <f>IF(B654="Retired",MIN(((Q653)*(1+$C$10)+IF(B654="Working",J654,0)),K654),0)</f>
        <v/>
      </c>
      <c r="N654" s="141">
        <f>IF(B654="Retired",MIN(MAX(K654-M654,0),((R653)*(1+$C$10)+IF(B654="Working",E81,0))),0)</f>
        <v/>
      </c>
      <c r="O654" s="141">
        <f>IF(B654="Retired",MIN(MAX(K654-M654-N654,0),((S653)*(1+$C$10)+IF(B654="Working",I654,0))),0)</f>
        <v/>
      </c>
      <c r="P654" s="141">
        <f>IF(B654="Retired",MIN(MAX(K654-M654-N654-O654,0),((T653)*(1+$C$10)+IF(B654="Working",F81,0))),0)</f>
        <v/>
      </c>
      <c r="Q654" s="138">
        <f>MAX(((Q653)*(1+$C$10)+IF(B654="Working",J654,0))-M654,0)</f>
        <v/>
      </c>
      <c r="R654" s="138">
        <f>MAX(((R653)*(1+$C$10)+IF(B654="Working",E81,0))-N654,0)</f>
        <v/>
      </c>
      <c r="S654" s="138">
        <f>MAX(((S653)*(1+$C$10)+IF(B654="Working",I654,0))-O654,0)</f>
        <v/>
      </c>
      <c r="T654" s="138">
        <f>MAX(((T653)*(1+$C$10)+IF(B654="Working",F81,0))-P654,0)</f>
        <v/>
      </c>
      <c r="U654" s="138">
        <f>Q654+R654+S654+T654</f>
        <v/>
      </c>
      <c r="V654" s="138">
        <f>IF(B654="Working",MAX(-(((Q653)*(1+$C$10)+IF(B654="Working",J654,0))),0),MAX(K654-L654,0))</f>
        <v/>
      </c>
      <c r="W654" s="138">
        <f>IF(OR(A654&gt;=$C$13,B654="Retired"),IF(V654&gt;0,-V654,U654-'Model Inputs'!$B$18),"")</f>
        <v/>
      </c>
      <c r="X654" s="138">
        <f>IF(AND($L$236&gt;0,A654&gt;=$C$13),$L$236*(1+$C$25)^(A654-$C$13),0)</f>
        <v/>
      </c>
      <c r="Y654" s="138">
        <f>IF(OR($L$236&lt;=0,$C$17&lt;=0,A654&lt;$C$13,MIN(MAX((A654-$C$13+1)*12,0),$C$17*12)&gt;=$C$17*12),0,IF($C$16=0,MAX(MAX($L$236*(1-$C$15),0)-(IF($C$17&lt;=0,0,IF($C$16=0,MAX($L$236*(1-$C$15),0)/$C$17,-PMT($C$16/12,$C$17*12,MAX($L$236*(1-$C$15),0))*12))/12)*MIN(MAX((A654-$C$13+1)*12,0),$C$17*12),0),MAX(MAX($L$236*(1-$C$15),0)*(1+$C$16/12)^MIN(MAX((A654-$C$13+1)*12,0),$C$17*12)-(IF($C$17&lt;=0,0,IF($C$16=0,MAX($L$236*(1-$C$15),0)/$C$17,-PMT($C$16/12,$C$17*12,MAX($L$236*(1-$C$15),0))*12))/12)*(((1+$C$16/12)^MIN(MAX((A654-$C$13+1)*12,0),$C$17*12)-1)/($C$16/12)),0)))</f>
        <v/>
      </c>
      <c r="Z654" s="138">
        <f>MAX(X654-Y654,0)</f>
        <v/>
      </c>
      <c r="AA654" s="142">
        <f>U654+Z654</f>
        <v/>
      </c>
      <c r="AB654" s="5" t="n"/>
      <c r="AC654" s="5" t="n"/>
      <c r="AD654" s="5" t="n"/>
      <c r="AE654" s="5" t="n"/>
      <c r="AF654" s="5" t="n"/>
      <c r="AG654" s="5" t="n"/>
    </row>
    <row r="655" outlineLevel="1" s="326">
      <c r="A655" s="136" t="n">
        <v>3</v>
      </c>
      <c r="B655" s="72">
        <f>B82</f>
        <v/>
      </c>
      <c r="C655" s="137">
        <f>D82</f>
        <v/>
      </c>
      <c r="D655" s="137">
        <f>I82</f>
        <v/>
      </c>
      <c r="E655" s="137">
        <f>J82</f>
        <v/>
      </c>
      <c r="F655" s="137">
        <f>K82</f>
        <v/>
      </c>
      <c r="G655" s="138">
        <f>IF(AND($L$236&gt;0,A655=$C$13),$L$236*($C$15+$C$18),0)+IF(AND($L$236&gt;0,A655=$C$13),$C$24,0)</f>
        <v/>
      </c>
      <c r="H655" s="138">
        <f>IF(OR($L$236&lt;=0,A655&lt;$C$13),0,IF(AND($L$236&gt;0,$C$17&gt;0,A655&gt;=$C$13,A655&lt;($C$13+$C$17)),IF($C$17&lt;=0,0,IF($C$16=0,MAX($L$236*(1-$C$15),0)/$C$17,-PMT($C$16/12,$C$17*12,MAX($L$236*(1-$C$15),0))*12)),0)+X655*($C$19+$C$20+$C$21)+$C$22+$C$23)</f>
        <v/>
      </c>
      <c r="I655" s="138">
        <f>IF(B655="Working",MIN(MAX(D655-E655-F655-G655-H655,0),'Tax Assumptions'!$B$20),0)</f>
        <v/>
      </c>
      <c r="J655" s="138">
        <f>IF(B655="Working",D655-E655-F655-I655-G655-H655,-L655)</f>
        <v/>
      </c>
      <c r="K655" s="137">
        <f>IF(B655="Retired",$N$236+G655+H655,0)</f>
        <v/>
      </c>
      <c r="L655" s="137">
        <f>M655+N655+O655+P655</f>
        <v/>
      </c>
      <c r="M655" s="137">
        <f>IF(B655="Retired",MIN(((Q654)*(1+$C$10)+IF(B655="Working",J655,0)),K655),0)</f>
        <v/>
      </c>
      <c r="N655" s="137">
        <f>IF(B655="Retired",MIN(MAX(K655-M655,0),((R654)*(1+$C$10)+IF(B655="Working",E82,0))),0)</f>
        <v/>
      </c>
      <c r="O655" s="137">
        <f>IF(B655="Retired",MIN(MAX(K655-M655-N655,0),((S654)*(1+$C$10)+IF(B655="Working",I655,0))),0)</f>
        <v/>
      </c>
      <c r="P655" s="137">
        <f>IF(B655="Retired",MIN(MAX(K655-M655-N655-O655,0),((T654)*(1+$C$10)+IF(B655="Working",F82,0))),0)</f>
        <v/>
      </c>
      <c r="Q655" s="138">
        <f>MAX(((Q654)*(1+$C$10)+IF(B655="Working",J655,0))-M655,0)</f>
        <v/>
      </c>
      <c r="R655" s="138">
        <f>MAX(((R654)*(1+$C$10)+IF(B655="Working",E82,0))-N655,0)</f>
        <v/>
      </c>
      <c r="S655" s="138">
        <f>MAX(((S654)*(1+$C$10)+IF(B655="Working",I655,0))-O655,0)</f>
        <v/>
      </c>
      <c r="T655" s="138">
        <f>MAX(((T654)*(1+$C$10)+IF(B655="Working",F82,0))-P655,0)</f>
        <v/>
      </c>
      <c r="U655" s="138">
        <f>Q655+R655+S655+T655</f>
        <v/>
      </c>
      <c r="V655" s="138">
        <f>IF(B655="Working",MAX(-(((Q654)*(1+$C$10)+IF(B655="Working",J655,0))),0),MAX(K655-L655,0))</f>
        <v/>
      </c>
      <c r="W655" s="138">
        <f>IF(OR(A655&gt;=$C$13,B655="Retired"),IF(V655&gt;0,-V655,U655-'Model Inputs'!$B$18),"")</f>
        <v/>
      </c>
      <c r="X655" s="138">
        <f>IF(AND($L$236&gt;0,A655&gt;=$C$13),$L$236*(1+$C$25)^(A655-$C$13),0)</f>
        <v/>
      </c>
      <c r="Y655" s="138">
        <f>IF(OR($L$236&lt;=0,$C$17&lt;=0,A655&lt;$C$13,MIN(MAX((A655-$C$13+1)*12,0),$C$17*12)&gt;=$C$17*12),0,IF($C$16=0,MAX(MAX($L$236*(1-$C$15),0)-(IF($C$17&lt;=0,0,IF($C$16=0,MAX($L$236*(1-$C$15),0)/$C$17,-PMT($C$16/12,$C$17*12,MAX($L$236*(1-$C$15),0))*12))/12)*MIN(MAX((A655-$C$13+1)*12,0),$C$17*12),0),MAX(MAX($L$236*(1-$C$15),0)*(1+$C$16/12)^MIN(MAX((A655-$C$13+1)*12,0),$C$17*12)-(IF($C$17&lt;=0,0,IF($C$16=0,MAX($L$236*(1-$C$15),0)/$C$17,-PMT($C$16/12,$C$17*12,MAX($L$236*(1-$C$15),0))*12))/12)*(((1+$C$16/12)^MIN(MAX((A655-$C$13+1)*12,0),$C$17*12)-1)/($C$16/12)),0)))</f>
        <v/>
      </c>
      <c r="Z655" s="138">
        <f>MAX(X655-Y655,0)</f>
        <v/>
      </c>
      <c r="AA655" s="139">
        <f>U655+Z655</f>
        <v/>
      </c>
      <c r="AB655" s="5" t="n"/>
      <c r="AC655" s="5" t="n"/>
      <c r="AD655" s="5" t="n"/>
      <c r="AE655" s="5" t="n"/>
      <c r="AF655" s="5" t="n"/>
      <c r="AG655" s="5" t="n"/>
    </row>
    <row r="656" outlineLevel="1" s="326">
      <c r="A656" s="140" t="n">
        <v>4</v>
      </c>
      <c r="B656" s="40">
        <f>B83</f>
        <v/>
      </c>
      <c r="C656" s="141">
        <f>D83</f>
        <v/>
      </c>
      <c r="D656" s="141">
        <f>I83</f>
        <v/>
      </c>
      <c r="E656" s="141">
        <f>J83</f>
        <v/>
      </c>
      <c r="F656" s="141">
        <f>K83</f>
        <v/>
      </c>
      <c r="G656" s="138">
        <f>IF(AND($L$236&gt;0,A656=$C$13),$L$236*($C$15+$C$18),0)+IF(AND($L$236&gt;0,A656=$C$13),$C$24,0)</f>
        <v/>
      </c>
      <c r="H656" s="138">
        <f>IF(OR($L$236&lt;=0,A656&lt;$C$13),0,IF(AND($L$236&gt;0,$C$17&gt;0,A656&gt;=$C$13,A656&lt;($C$13+$C$17)),IF($C$17&lt;=0,0,IF($C$16=0,MAX($L$236*(1-$C$15),0)/$C$17,-PMT($C$16/12,$C$17*12,MAX($L$236*(1-$C$15),0))*12)),0)+X656*($C$19+$C$20+$C$21)+$C$22+$C$23)</f>
        <v/>
      </c>
      <c r="I656" s="138">
        <f>IF(B656="Working",MIN(MAX(D656-E656-F656-G656-H656,0),'Tax Assumptions'!$B$20),0)</f>
        <v/>
      </c>
      <c r="J656" s="138">
        <f>IF(B656="Working",D656-E656-F656-I656-G656-H656,-L656)</f>
        <v/>
      </c>
      <c r="K656" s="141">
        <f>IF(B656="Retired",$N$236+G656+H656,0)</f>
        <v/>
      </c>
      <c r="L656" s="141">
        <f>M656+N656+O656+P656</f>
        <v/>
      </c>
      <c r="M656" s="141">
        <f>IF(B656="Retired",MIN(((Q655)*(1+$C$10)+IF(B656="Working",J656,0)),K656),0)</f>
        <v/>
      </c>
      <c r="N656" s="141">
        <f>IF(B656="Retired",MIN(MAX(K656-M656,0),((R655)*(1+$C$10)+IF(B656="Working",E83,0))),0)</f>
        <v/>
      </c>
      <c r="O656" s="141">
        <f>IF(B656="Retired",MIN(MAX(K656-M656-N656,0),((S655)*(1+$C$10)+IF(B656="Working",I656,0))),0)</f>
        <v/>
      </c>
      <c r="P656" s="141">
        <f>IF(B656="Retired",MIN(MAX(K656-M656-N656-O656,0),((T655)*(1+$C$10)+IF(B656="Working",F83,0))),0)</f>
        <v/>
      </c>
      <c r="Q656" s="138">
        <f>MAX(((Q655)*(1+$C$10)+IF(B656="Working",J656,0))-M656,0)</f>
        <v/>
      </c>
      <c r="R656" s="138">
        <f>MAX(((R655)*(1+$C$10)+IF(B656="Working",E83,0))-N656,0)</f>
        <v/>
      </c>
      <c r="S656" s="138">
        <f>MAX(((S655)*(1+$C$10)+IF(B656="Working",I656,0))-O656,0)</f>
        <v/>
      </c>
      <c r="T656" s="138">
        <f>MAX(((T655)*(1+$C$10)+IF(B656="Working",F83,0))-P656,0)</f>
        <v/>
      </c>
      <c r="U656" s="138">
        <f>Q656+R656+S656+T656</f>
        <v/>
      </c>
      <c r="V656" s="138">
        <f>IF(B656="Working",MAX(-(((Q655)*(1+$C$10)+IF(B656="Working",J656,0))),0),MAX(K656-L656,0))</f>
        <v/>
      </c>
      <c r="W656" s="138">
        <f>IF(OR(A656&gt;=$C$13,B656="Retired"),IF(V656&gt;0,-V656,U656-'Model Inputs'!$B$18),"")</f>
        <v/>
      </c>
      <c r="X656" s="138">
        <f>IF(AND($L$236&gt;0,A656&gt;=$C$13),$L$236*(1+$C$25)^(A656-$C$13),0)</f>
        <v/>
      </c>
      <c r="Y656" s="138">
        <f>IF(OR($L$236&lt;=0,$C$17&lt;=0,A656&lt;$C$13,MIN(MAX((A656-$C$13+1)*12,0),$C$17*12)&gt;=$C$17*12),0,IF($C$16=0,MAX(MAX($L$236*(1-$C$15),0)-(IF($C$17&lt;=0,0,IF($C$16=0,MAX($L$236*(1-$C$15),0)/$C$17,-PMT($C$16/12,$C$17*12,MAX($L$236*(1-$C$15),0))*12))/12)*MIN(MAX((A656-$C$13+1)*12,0),$C$17*12),0),MAX(MAX($L$236*(1-$C$15),0)*(1+$C$16/12)^MIN(MAX((A656-$C$13+1)*12,0),$C$17*12)-(IF($C$17&lt;=0,0,IF($C$16=0,MAX($L$236*(1-$C$15),0)/$C$17,-PMT($C$16/12,$C$17*12,MAX($L$236*(1-$C$15),0))*12))/12)*(((1+$C$16/12)^MIN(MAX((A656-$C$13+1)*12,0),$C$17*12)-1)/($C$16/12)),0)))</f>
        <v/>
      </c>
      <c r="Z656" s="138">
        <f>MAX(X656-Y656,0)</f>
        <v/>
      </c>
      <c r="AA656" s="142">
        <f>U656+Z656</f>
        <v/>
      </c>
      <c r="AB656" s="5" t="n"/>
      <c r="AC656" s="5" t="n"/>
      <c r="AD656" s="5" t="n"/>
      <c r="AE656" s="5" t="n"/>
      <c r="AF656" s="5" t="n"/>
      <c r="AG656" s="5" t="n"/>
    </row>
    <row r="657" outlineLevel="1" s="326">
      <c r="A657" s="136" t="n">
        <v>5</v>
      </c>
      <c r="B657" s="72">
        <f>B84</f>
        <v/>
      </c>
      <c r="C657" s="137">
        <f>D84</f>
        <v/>
      </c>
      <c r="D657" s="137">
        <f>I84</f>
        <v/>
      </c>
      <c r="E657" s="137">
        <f>J84</f>
        <v/>
      </c>
      <c r="F657" s="137">
        <f>K84</f>
        <v/>
      </c>
      <c r="G657" s="138">
        <f>IF(AND($L$236&gt;0,A657=$C$13),$L$236*($C$15+$C$18),0)+IF(AND($L$236&gt;0,A657=$C$13),$C$24,0)</f>
        <v/>
      </c>
      <c r="H657" s="138">
        <f>IF(OR($L$236&lt;=0,A657&lt;$C$13),0,IF(AND($L$236&gt;0,$C$17&gt;0,A657&gt;=$C$13,A657&lt;($C$13+$C$17)),IF($C$17&lt;=0,0,IF($C$16=0,MAX($L$236*(1-$C$15),0)/$C$17,-PMT($C$16/12,$C$17*12,MAX($L$236*(1-$C$15),0))*12)),0)+X657*($C$19+$C$20+$C$21)+$C$22+$C$23)</f>
        <v/>
      </c>
      <c r="I657" s="138">
        <f>IF(B657="Working",MIN(MAX(D657-E657-F657-G657-H657,0),'Tax Assumptions'!$B$20),0)</f>
        <v/>
      </c>
      <c r="J657" s="138">
        <f>IF(B657="Working",D657-E657-F657-I657-G657-H657,-L657)</f>
        <v/>
      </c>
      <c r="K657" s="137">
        <f>IF(B657="Retired",$N$236+G657+H657,0)</f>
        <v/>
      </c>
      <c r="L657" s="137">
        <f>M657+N657+O657+P657</f>
        <v/>
      </c>
      <c r="M657" s="137">
        <f>IF(B657="Retired",MIN(((Q656)*(1+$C$10)+IF(B657="Working",J657,0)),K657),0)</f>
        <v/>
      </c>
      <c r="N657" s="137">
        <f>IF(B657="Retired",MIN(MAX(K657-M657,0),((R656)*(1+$C$10)+IF(B657="Working",E84,0))),0)</f>
        <v/>
      </c>
      <c r="O657" s="137">
        <f>IF(B657="Retired",MIN(MAX(K657-M657-N657,0),((S656)*(1+$C$10)+IF(B657="Working",I657,0))),0)</f>
        <v/>
      </c>
      <c r="P657" s="137">
        <f>IF(B657="Retired",MIN(MAX(K657-M657-N657-O657,0),((T656)*(1+$C$10)+IF(B657="Working",F84,0))),0)</f>
        <v/>
      </c>
      <c r="Q657" s="138">
        <f>MAX(((Q656)*(1+$C$10)+IF(B657="Working",J657,0))-M657,0)</f>
        <v/>
      </c>
      <c r="R657" s="138">
        <f>MAX(((R656)*(1+$C$10)+IF(B657="Working",E84,0))-N657,0)</f>
        <v/>
      </c>
      <c r="S657" s="138">
        <f>MAX(((S656)*(1+$C$10)+IF(B657="Working",I657,0))-O657,0)</f>
        <v/>
      </c>
      <c r="T657" s="138">
        <f>MAX(((T656)*(1+$C$10)+IF(B657="Working",F84,0))-P657,0)</f>
        <v/>
      </c>
      <c r="U657" s="138">
        <f>Q657+R657+S657+T657</f>
        <v/>
      </c>
      <c r="V657" s="138">
        <f>IF(B657="Working",MAX(-(((Q656)*(1+$C$10)+IF(B657="Working",J657,0))),0),MAX(K657-L657,0))</f>
        <v/>
      </c>
      <c r="W657" s="138">
        <f>IF(OR(A657&gt;=$C$13,B657="Retired"),IF(V657&gt;0,-V657,U657-'Model Inputs'!$B$18),"")</f>
        <v/>
      </c>
      <c r="X657" s="138">
        <f>IF(AND($L$236&gt;0,A657&gt;=$C$13),$L$236*(1+$C$25)^(A657-$C$13),0)</f>
        <v/>
      </c>
      <c r="Y657" s="138">
        <f>IF(OR($L$236&lt;=0,$C$17&lt;=0,A657&lt;$C$13,MIN(MAX((A657-$C$13+1)*12,0),$C$17*12)&gt;=$C$17*12),0,IF($C$16=0,MAX(MAX($L$236*(1-$C$15),0)-(IF($C$17&lt;=0,0,IF($C$16=0,MAX($L$236*(1-$C$15),0)/$C$17,-PMT($C$16/12,$C$17*12,MAX($L$236*(1-$C$15),0))*12))/12)*MIN(MAX((A657-$C$13+1)*12,0),$C$17*12),0),MAX(MAX($L$236*(1-$C$15),0)*(1+$C$16/12)^MIN(MAX((A657-$C$13+1)*12,0),$C$17*12)-(IF($C$17&lt;=0,0,IF($C$16=0,MAX($L$236*(1-$C$15),0)/$C$17,-PMT($C$16/12,$C$17*12,MAX($L$236*(1-$C$15),0))*12))/12)*(((1+$C$16/12)^MIN(MAX((A657-$C$13+1)*12,0),$C$17*12)-1)/($C$16/12)),0)))</f>
        <v/>
      </c>
      <c r="Z657" s="138">
        <f>MAX(X657-Y657,0)</f>
        <v/>
      </c>
      <c r="AA657" s="139">
        <f>U657+Z657</f>
        <v/>
      </c>
      <c r="AB657" s="5" t="n"/>
      <c r="AC657" s="5" t="n"/>
      <c r="AD657" s="5" t="n"/>
      <c r="AE657" s="5" t="n"/>
      <c r="AF657" s="5" t="n"/>
      <c r="AG657" s="5" t="n"/>
    </row>
    <row r="658" outlineLevel="1" s="326">
      <c r="A658" s="140" t="n">
        <v>6</v>
      </c>
      <c r="B658" s="40">
        <f>B85</f>
        <v/>
      </c>
      <c r="C658" s="141">
        <f>D85</f>
        <v/>
      </c>
      <c r="D658" s="141">
        <f>I85</f>
        <v/>
      </c>
      <c r="E658" s="141">
        <f>J85</f>
        <v/>
      </c>
      <c r="F658" s="141">
        <f>K85</f>
        <v/>
      </c>
      <c r="G658" s="138">
        <f>IF(AND($L$236&gt;0,A658=$C$13),$L$236*($C$15+$C$18),0)+IF(AND($L$236&gt;0,A658=$C$13),$C$24,0)</f>
        <v/>
      </c>
      <c r="H658" s="138">
        <f>IF(OR($L$236&lt;=0,A658&lt;$C$13),0,IF(AND($L$236&gt;0,$C$17&gt;0,A658&gt;=$C$13,A658&lt;($C$13+$C$17)),IF($C$17&lt;=0,0,IF($C$16=0,MAX($L$236*(1-$C$15),0)/$C$17,-PMT($C$16/12,$C$17*12,MAX($L$236*(1-$C$15),0))*12)),0)+X658*($C$19+$C$20+$C$21)+$C$22+$C$23)</f>
        <v/>
      </c>
      <c r="I658" s="138">
        <f>IF(B658="Working",MIN(MAX(D658-E658-F658-G658-H658,0),'Tax Assumptions'!$B$20),0)</f>
        <v/>
      </c>
      <c r="J658" s="138">
        <f>IF(B658="Working",D658-E658-F658-I658-G658-H658,-L658)</f>
        <v/>
      </c>
      <c r="K658" s="141">
        <f>IF(B658="Retired",$N$236+G658+H658,0)</f>
        <v/>
      </c>
      <c r="L658" s="141">
        <f>M658+N658+O658+P658</f>
        <v/>
      </c>
      <c r="M658" s="141">
        <f>IF(B658="Retired",MIN(((Q657)*(1+$C$10)+IF(B658="Working",J658,0)),K658),0)</f>
        <v/>
      </c>
      <c r="N658" s="141">
        <f>IF(B658="Retired",MIN(MAX(K658-M658,0),((R657)*(1+$C$10)+IF(B658="Working",E85,0))),0)</f>
        <v/>
      </c>
      <c r="O658" s="141">
        <f>IF(B658="Retired",MIN(MAX(K658-M658-N658,0),((S657)*(1+$C$10)+IF(B658="Working",I658,0))),0)</f>
        <v/>
      </c>
      <c r="P658" s="141">
        <f>IF(B658="Retired",MIN(MAX(K658-M658-N658-O658,0),((T657)*(1+$C$10)+IF(B658="Working",F85,0))),0)</f>
        <v/>
      </c>
      <c r="Q658" s="138">
        <f>MAX(((Q657)*(1+$C$10)+IF(B658="Working",J658,0))-M658,0)</f>
        <v/>
      </c>
      <c r="R658" s="138">
        <f>MAX(((R657)*(1+$C$10)+IF(B658="Working",E85,0))-N658,0)</f>
        <v/>
      </c>
      <c r="S658" s="138">
        <f>MAX(((S657)*(1+$C$10)+IF(B658="Working",I658,0))-O658,0)</f>
        <v/>
      </c>
      <c r="T658" s="138">
        <f>MAX(((T657)*(1+$C$10)+IF(B658="Working",F85,0))-P658,0)</f>
        <v/>
      </c>
      <c r="U658" s="138">
        <f>Q658+R658+S658+T658</f>
        <v/>
      </c>
      <c r="V658" s="138">
        <f>IF(B658="Working",MAX(-(((Q657)*(1+$C$10)+IF(B658="Working",J658,0))),0),MAX(K658-L658,0))</f>
        <v/>
      </c>
      <c r="W658" s="138">
        <f>IF(OR(A658&gt;=$C$13,B658="Retired"),IF(V658&gt;0,-V658,U658-'Model Inputs'!$B$18),"")</f>
        <v/>
      </c>
      <c r="X658" s="138">
        <f>IF(AND($L$236&gt;0,A658&gt;=$C$13),$L$236*(1+$C$25)^(A658-$C$13),0)</f>
        <v/>
      </c>
      <c r="Y658" s="138">
        <f>IF(OR($L$236&lt;=0,$C$17&lt;=0,A658&lt;$C$13,MIN(MAX((A658-$C$13+1)*12,0),$C$17*12)&gt;=$C$17*12),0,IF($C$16=0,MAX(MAX($L$236*(1-$C$15),0)-(IF($C$17&lt;=0,0,IF($C$16=0,MAX($L$236*(1-$C$15),0)/$C$17,-PMT($C$16/12,$C$17*12,MAX($L$236*(1-$C$15),0))*12))/12)*MIN(MAX((A658-$C$13+1)*12,0),$C$17*12),0),MAX(MAX($L$236*(1-$C$15),0)*(1+$C$16/12)^MIN(MAX((A658-$C$13+1)*12,0),$C$17*12)-(IF($C$17&lt;=0,0,IF($C$16=0,MAX($L$236*(1-$C$15),0)/$C$17,-PMT($C$16/12,$C$17*12,MAX($L$236*(1-$C$15),0))*12))/12)*(((1+$C$16/12)^MIN(MAX((A658-$C$13+1)*12,0),$C$17*12)-1)/($C$16/12)),0)))</f>
        <v/>
      </c>
      <c r="Z658" s="138">
        <f>MAX(X658-Y658,0)</f>
        <v/>
      </c>
      <c r="AA658" s="142">
        <f>U658+Z658</f>
        <v/>
      </c>
      <c r="AB658" s="5" t="n"/>
      <c r="AC658" s="5" t="n"/>
      <c r="AD658" s="5" t="n"/>
      <c r="AE658" s="5" t="n"/>
      <c r="AF658" s="5" t="n"/>
      <c r="AG658" s="5" t="n"/>
    </row>
    <row r="659" outlineLevel="1" s="326">
      <c r="A659" s="136" t="n">
        <v>7</v>
      </c>
      <c r="B659" s="72">
        <f>B86</f>
        <v/>
      </c>
      <c r="C659" s="137">
        <f>D86</f>
        <v/>
      </c>
      <c r="D659" s="137">
        <f>I86</f>
        <v/>
      </c>
      <c r="E659" s="137">
        <f>J86</f>
        <v/>
      </c>
      <c r="F659" s="137">
        <f>K86</f>
        <v/>
      </c>
      <c r="G659" s="138">
        <f>IF(AND($L$236&gt;0,A659=$C$13),$L$236*($C$15+$C$18),0)+IF(AND($L$236&gt;0,A659=$C$13),$C$24,0)</f>
        <v/>
      </c>
      <c r="H659" s="138">
        <f>IF(OR($L$236&lt;=0,A659&lt;$C$13),0,IF(AND($L$236&gt;0,$C$17&gt;0,A659&gt;=$C$13,A659&lt;($C$13+$C$17)),IF($C$17&lt;=0,0,IF($C$16=0,MAX($L$236*(1-$C$15),0)/$C$17,-PMT($C$16/12,$C$17*12,MAX($L$236*(1-$C$15),0))*12)),0)+X659*($C$19+$C$20+$C$21)+$C$22+$C$23)</f>
        <v/>
      </c>
      <c r="I659" s="138">
        <f>IF(B659="Working",MIN(MAX(D659-E659-F659-G659-H659,0),'Tax Assumptions'!$B$20),0)</f>
        <v/>
      </c>
      <c r="J659" s="138">
        <f>IF(B659="Working",D659-E659-F659-I659-G659-H659,-L659)</f>
        <v/>
      </c>
      <c r="K659" s="137">
        <f>IF(B659="Retired",$N$236+G659+H659,0)</f>
        <v/>
      </c>
      <c r="L659" s="137">
        <f>M659+N659+O659+P659</f>
        <v/>
      </c>
      <c r="M659" s="137">
        <f>IF(B659="Retired",MIN(((Q658)*(1+$C$10)+IF(B659="Working",J659,0)),K659),0)</f>
        <v/>
      </c>
      <c r="N659" s="137">
        <f>IF(B659="Retired",MIN(MAX(K659-M659,0),((R658)*(1+$C$10)+IF(B659="Working",E86,0))),0)</f>
        <v/>
      </c>
      <c r="O659" s="137">
        <f>IF(B659="Retired",MIN(MAX(K659-M659-N659,0),((S658)*(1+$C$10)+IF(B659="Working",I659,0))),0)</f>
        <v/>
      </c>
      <c r="P659" s="137">
        <f>IF(B659="Retired",MIN(MAX(K659-M659-N659-O659,0),((T658)*(1+$C$10)+IF(B659="Working",F86,0))),0)</f>
        <v/>
      </c>
      <c r="Q659" s="138">
        <f>MAX(((Q658)*(1+$C$10)+IF(B659="Working",J659,0))-M659,0)</f>
        <v/>
      </c>
      <c r="R659" s="138">
        <f>MAX(((R658)*(1+$C$10)+IF(B659="Working",E86,0))-N659,0)</f>
        <v/>
      </c>
      <c r="S659" s="138">
        <f>MAX(((S658)*(1+$C$10)+IF(B659="Working",I659,0))-O659,0)</f>
        <v/>
      </c>
      <c r="T659" s="138">
        <f>MAX(((T658)*(1+$C$10)+IF(B659="Working",F86,0))-P659,0)</f>
        <v/>
      </c>
      <c r="U659" s="138">
        <f>Q659+R659+S659+T659</f>
        <v/>
      </c>
      <c r="V659" s="138">
        <f>IF(B659="Working",MAX(-(((Q658)*(1+$C$10)+IF(B659="Working",J659,0))),0),MAX(K659-L659,0))</f>
        <v/>
      </c>
      <c r="W659" s="138">
        <f>IF(OR(A659&gt;=$C$13,B659="Retired"),IF(V659&gt;0,-V659,U659-'Model Inputs'!$B$18),"")</f>
        <v/>
      </c>
      <c r="X659" s="138">
        <f>IF(AND($L$236&gt;0,A659&gt;=$C$13),$L$236*(1+$C$25)^(A659-$C$13),0)</f>
        <v/>
      </c>
      <c r="Y659" s="138">
        <f>IF(OR($L$236&lt;=0,$C$17&lt;=0,A659&lt;$C$13,MIN(MAX((A659-$C$13+1)*12,0),$C$17*12)&gt;=$C$17*12),0,IF($C$16=0,MAX(MAX($L$236*(1-$C$15),0)-(IF($C$17&lt;=0,0,IF($C$16=0,MAX($L$236*(1-$C$15),0)/$C$17,-PMT($C$16/12,$C$17*12,MAX($L$236*(1-$C$15),0))*12))/12)*MIN(MAX((A659-$C$13+1)*12,0),$C$17*12),0),MAX(MAX($L$236*(1-$C$15),0)*(1+$C$16/12)^MIN(MAX((A659-$C$13+1)*12,0),$C$17*12)-(IF($C$17&lt;=0,0,IF($C$16=0,MAX($L$236*(1-$C$15),0)/$C$17,-PMT($C$16/12,$C$17*12,MAX($L$236*(1-$C$15),0))*12))/12)*(((1+$C$16/12)^MIN(MAX((A659-$C$13+1)*12,0),$C$17*12)-1)/($C$16/12)),0)))</f>
        <v/>
      </c>
      <c r="Z659" s="138">
        <f>MAX(X659-Y659,0)</f>
        <v/>
      </c>
      <c r="AA659" s="139">
        <f>U659+Z659</f>
        <v/>
      </c>
      <c r="AB659" s="5" t="n"/>
      <c r="AC659" s="5" t="n"/>
      <c r="AD659" s="5" t="n"/>
      <c r="AE659" s="5" t="n"/>
      <c r="AF659" s="5" t="n"/>
      <c r="AG659" s="5" t="n"/>
    </row>
    <row r="660" outlineLevel="1" s="326">
      <c r="A660" s="140" t="n">
        <v>8</v>
      </c>
      <c r="B660" s="40">
        <f>B87</f>
        <v/>
      </c>
      <c r="C660" s="141">
        <f>D87</f>
        <v/>
      </c>
      <c r="D660" s="141">
        <f>I87</f>
        <v/>
      </c>
      <c r="E660" s="141">
        <f>J87</f>
        <v/>
      </c>
      <c r="F660" s="141">
        <f>K87</f>
        <v/>
      </c>
      <c r="G660" s="138">
        <f>IF(AND($L$236&gt;0,A660=$C$13),$L$236*($C$15+$C$18),0)+IF(AND($L$236&gt;0,A660=$C$13),$C$24,0)</f>
        <v/>
      </c>
      <c r="H660" s="138">
        <f>IF(OR($L$236&lt;=0,A660&lt;$C$13),0,IF(AND($L$236&gt;0,$C$17&gt;0,A660&gt;=$C$13,A660&lt;($C$13+$C$17)),IF($C$17&lt;=0,0,IF($C$16=0,MAX($L$236*(1-$C$15),0)/$C$17,-PMT($C$16/12,$C$17*12,MAX($L$236*(1-$C$15),0))*12)),0)+X660*($C$19+$C$20+$C$21)+$C$22+$C$23)</f>
        <v/>
      </c>
      <c r="I660" s="138">
        <f>IF(B660="Working",MIN(MAX(D660-E660-F660-G660-H660,0),'Tax Assumptions'!$B$20),0)</f>
        <v/>
      </c>
      <c r="J660" s="138">
        <f>IF(B660="Working",D660-E660-F660-I660-G660-H660,-L660)</f>
        <v/>
      </c>
      <c r="K660" s="141">
        <f>IF(B660="Retired",$N$236+G660+H660,0)</f>
        <v/>
      </c>
      <c r="L660" s="141">
        <f>M660+N660+O660+P660</f>
        <v/>
      </c>
      <c r="M660" s="141">
        <f>IF(B660="Retired",MIN(((Q659)*(1+$C$10)+IF(B660="Working",J660,0)),K660),0)</f>
        <v/>
      </c>
      <c r="N660" s="141">
        <f>IF(B660="Retired",MIN(MAX(K660-M660,0),((R659)*(1+$C$10)+IF(B660="Working",E87,0))),0)</f>
        <v/>
      </c>
      <c r="O660" s="141">
        <f>IF(B660="Retired",MIN(MAX(K660-M660-N660,0),((S659)*(1+$C$10)+IF(B660="Working",I660,0))),0)</f>
        <v/>
      </c>
      <c r="P660" s="141">
        <f>IF(B660="Retired",MIN(MAX(K660-M660-N660-O660,0),((T659)*(1+$C$10)+IF(B660="Working",F87,0))),0)</f>
        <v/>
      </c>
      <c r="Q660" s="138">
        <f>MAX(((Q659)*(1+$C$10)+IF(B660="Working",J660,0))-M660,0)</f>
        <v/>
      </c>
      <c r="R660" s="138">
        <f>MAX(((R659)*(1+$C$10)+IF(B660="Working",E87,0))-N660,0)</f>
        <v/>
      </c>
      <c r="S660" s="138">
        <f>MAX(((S659)*(1+$C$10)+IF(B660="Working",I660,0))-O660,0)</f>
        <v/>
      </c>
      <c r="T660" s="138">
        <f>MAX(((T659)*(1+$C$10)+IF(B660="Working",F87,0))-P660,0)</f>
        <v/>
      </c>
      <c r="U660" s="138">
        <f>Q660+R660+S660+T660</f>
        <v/>
      </c>
      <c r="V660" s="138">
        <f>IF(B660="Working",MAX(-(((Q659)*(1+$C$10)+IF(B660="Working",J660,0))),0),MAX(K660-L660,0))</f>
        <v/>
      </c>
      <c r="W660" s="138">
        <f>IF(OR(A660&gt;=$C$13,B660="Retired"),IF(V660&gt;0,-V660,U660-'Model Inputs'!$B$18),"")</f>
        <v/>
      </c>
      <c r="X660" s="138">
        <f>IF(AND($L$236&gt;0,A660&gt;=$C$13),$L$236*(1+$C$25)^(A660-$C$13),0)</f>
        <v/>
      </c>
      <c r="Y660" s="138">
        <f>IF(OR($L$236&lt;=0,$C$17&lt;=0,A660&lt;$C$13,MIN(MAX((A660-$C$13+1)*12,0),$C$17*12)&gt;=$C$17*12),0,IF($C$16=0,MAX(MAX($L$236*(1-$C$15),0)-(IF($C$17&lt;=0,0,IF($C$16=0,MAX($L$236*(1-$C$15),0)/$C$17,-PMT($C$16/12,$C$17*12,MAX($L$236*(1-$C$15),0))*12))/12)*MIN(MAX((A660-$C$13+1)*12,0),$C$17*12),0),MAX(MAX($L$236*(1-$C$15),0)*(1+$C$16/12)^MIN(MAX((A660-$C$13+1)*12,0),$C$17*12)-(IF($C$17&lt;=0,0,IF($C$16=0,MAX($L$236*(1-$C$15),0)/$C$17,-PMT($C$16/12,$C$17*12,MAX($L$236*(1-$C$15),0))*12))/12)*(((1+$C$16/12)^MIN(MAX((A660-$C$13+1)*12,0),$C$17*12)-1)/($C$16/12)),0)))</f>
        <v/>
      </c>
      <c r="Z660" s="138">
        <f>MAX(X660-Y660,0)</f>
        <v/>
      </c>
      <c r="AA660" s="142">
        <f>U660+Z660</f>
        <v/>
      </c>
      <c r="AB660" s="5" t="n"/>
      <c r="AC660" s="5" t="n"/>
      <c r="AD660" s="5" t="n"/>
      <c r="AE660" s="5" t="n"/>
      <c r="AF660" s="5" t="n"/>
      <c r="AG660" s="5" t="n"/>
    </row>
    <row r="661" outlineLevel="1" s="326">
      <c r="A661" s="136" t="n">
        <v>9</v>
      </c>
      <c r="B661" s="72">
        <f>B88</f>
        <v/>
      </c>
      <c r="C661" s="137">
        <f>D88</f>
        <v/>
      </c>
      <c r="D661" s="137">
        <f>I88</f>
        <v/>
      </c>
      <c r="E661" s="137">
        <f>J88</f>
        <v/>
      </c>
      <c r="F661" s="137">
        <f>K88</f>
        <v/>
      </c>
      <c r="G661" s="138">
        <f>IF(AND($L$236&gt;0,A661=$C$13),$L$236*($C$15+$C$18),0)+IF(AND($L$236&gt;0,A661=$C$13),$C$24,0)</f>
        <v/>
      </c>
      <c r="H661" s="138">
        <f>IF(OR($L$236&lt;=0,A661&lt;$C$13),0,IF(AND($L$236&gt;0,$C$17&gt;0,A661&gt;=$C$13,A661&lt;($C$13+$C$17)),IF($C$17&lt;=0,0,IF($C$16=0,MAX($L$236*(1-$C$15),0)/$C$17,-PMT($C$16/12,$C$17*12,MAX($L$236*(1-$C$15),0))*12)),0)+X661*($C$19+$C$20+$C$21)+$C$22+$C$23)</f>
        <v/>
      </c>
      <c r="I661" s="138">
        <f>IF(B661="Working",MIN(MAX(D661-E661-F661-G661-H661,0),'Tax Assumptions'!$B$20),0)</f>
        <v/>
      </c>
      <c r="J661" s="138">
        <f>IF(B661="Working",D661-E661-F661-I661-G661-H661,-L661)</f>
        <v/>
      </c>
      <c r="K661" s="137">
        <f>IF(B661="Retired",$N$236+G661+H661,0)</f>
        <v/>
      </c>
      <c r="L661" s="137">
        <f>M661+N661+O661+P661</f>
        <v/>
      </c>
      <c r="M661" s="137">
        <f>IF(B661="Retired",MIN(((Q660)*(1+$C$10)+IF(B661="Working",J661,0)),K661),0)</f>
        <v/>
      </c>
      <c r="N661" s="137">
        <f>IF(B661="Retired",MIN(MAX(K661-M661,0),((R660)*(1+$C$10)+IF(B661="Working",E88,0))),0)</f>
        <v/>
      </c>
      <c r="O661" s="137">
        <f>IF(B661="Retired",MIN(MAX(K661-M661-N661,0),((S660)*(1+$C$10)+IF(B661="Working",I661,0))),0)</f>
        <v/>
      </c>
      <c r="P661" s="137">
        <f>IF(B661="Retired",MIN(MAX(K661-M661-N661-O661,0),((T660)*(1+$C$10)+IF(B661="Working",F88,0))),0)</f>
        <v/>
      </c>
      <c r="Q661" s="138">
        <f>MAX(((Q660)*(1+$C$10)+IF(B661="Working",J661,0))-M661,0)</f>
        <v/>
      </c>
      <c r="R661" s="138">
        <f>MAX(((R660)*(1+$C$10)+IF(B661="Working",E88,0))-N661,0)</f>
        <v/>
      </c>
      <c r="S661" s="138">
        <f>MAX(((S660)*(1+$C$10)+IF(B661="Working",I661,0))-O661,0)</f>
        <v/>
      </c>
      <c r="T661" s="138">
        <f>MAX(((T660)*(1+$C$10)+IF(B661="Working",F88,0))-P661,0)</f>
        <v/>
      </c>
      <c r="U661" s="138">
        <f>Q661+R661+S661+T661</f>
        <v/>
      </c>
      <c r="V661" s="138">
        <f>IF(B661="Working",MAX(-(((Q660)*(1+$C$10)+IF(B661="Working",J661,0))),0),MAX(K661-L661,0))</f>
        <v/>
      </c>
      <c r="W661" s="138">
        <f>IF(OR(A661&gt;=$C$13,B661="Retired"),IF(V661&gt;0,-V661,U661-'Model Inputs'!$B$18),"")</f>
        <v/>
      </c>
      <c r="X661" s="138">
        <f>IF(AND($L$236&gt;0,A661&gt;=$C$13),$L$236*(1+$C$25)^(A661-$C$13),0)</f>
        <v/>
      </c>
      <c r="Y661" s="138">
        <f>IF(OR($L$236&lt;=0,$C$17&lt;=0,A661&lt;$C$13,MIN(MAX((A661-$C$13+1)*12,0),$C$17*12)&gt;=$C$17*12),0,IF($C$16=0,MAX(MAX($L$236*(1-$C$15),0)-(IF($C$17&lt;=0,0,IF($C$16=0,MAX($L$236*(1-$C$15),0)/$C$17,-PMT($C$16/12,$C$17*12,MAX($L$236*(1-$C$15),0))*12))/12)*MIN(MAX((A661-$C$13+1)*12,0),$C$17*12),0),MAX(MAX($L$236*(1-$C$15),0)*(1+$C$16/12)^MIN(MAX((A661-$C$13+1)*12,0),$C$17*12)-(IF($C$17&lt;=0,0,IF($C$16=0,MAX($L$236*(1-$C$15),0)/$C$17,-PMT($C$16/12,$C$17*12,MAX($L$236*(1-$C$15),0))*12))/12)*(((1+$C$16/12)^MIN(MAX((A661-$C$13+1)*12,0),$C$17*12)-1)/($C$16/12)),0)))</f>
        <v/>
      </c>
      <c r="Z661" s="138">
        <f>MAX(X661-Y661,0)</f>
        <v/>
      </c>
      <c r="AA661" s="139">
        <f>U661+Z661</f>
        <v/>
      </c>
      <c r="AB661" s="5" t="n"/>
      <c r="AC661" s="5" t="n"/>
      <c r="AD661" s="5" t="n"/>
      <c r="AE661" s="5" t="n"/>
      <c r="AF661" s="5" t="n"/>
      <c r="AG661" s="5" t="n"/>
    </row>
    <row r="662" outlineLevel="1" s="326">
      <c r="A662" s="140" t="n">
        <v>10</v>
      </c>
      <c r="B662" s="40">
        <f>B89</f>
        <v/>
      </c>
      <c r="C662" s="141">
        <f>D89</f>
        <v/>
      </c>
      <c r="D662" s="141">
        <f>I89</f>
        <v/>
      </c>
      <c r="E662" s="141">
        <f>J89</f>
        <v/>
      </c>
      <c r="F662" s="141">
        <f>K89</f>
        <v/>
      </c>
      <c r="G662" s="138">
        <f>IF(AND($L$236&gt;0,A662=$C$13),$L$236*($C$15+$C$18),0)+IF(AND($L$236&gt;0,A662=$C$13),$C$24,0)</f>
        <v/>
      </c>
      <c r="H662" s="138">
        <f>IF(OR($L$236&lt;=0,A662&lt;$C$13),0,IF(AND($L$236&gt;0,$C$17&gt;0,A662&gt;=$C$13,A662&lt;($C$13+$C$17)),IF($C$17&lt;=0,0,IF($C$16=0,MAX($L$236*(1-$C$15),0)/$C$17,-PMT($C$16/12,$C$17*12,MAX($L$236*(1-$C$15),0))*12)),0)+X662*($C$19+$C$20+$C$21)+$C$22+$C$23)</f>
        <v/>
      </c>
      <c r="I662" s="138">
        <f>IF(B662="Working",MIN(MAX(D662-E662-F662-G662-H662,0),'Tax Assumptions'!$B$20),0)</f>
        <v/>
      </c>
      <c r="J662" s="138">
        <f>IF(B662="Working",D662-E662-F662-I662-G662-H662,-L662)</f>
        <v/>
      </c>
      <c r="K662" s="141">
        <f>IF(B662="Retired",$N$236+G662+H662,0)</f>
        <v/>
      </c>
      <c r="L662" s="141">
        <f>M662+N662+O662+P662</f>
        <v/>
      </c>
      <c r="M662" s="141">
        <f>IF(B662="Retired",MIN(((Q661)*(1+$C$10)+IF(B662="Working",J662,0)),K662),0)</f>
        <v/>
      </c>
      <c r="N662" s="141">
        <f>IF(B662="Retired",MIN(MAX(K662-M662,0),((R661)*(1+$C$10)+IF(B662="Working",E89,0))),0)</f>
        <v/>
      </c>
      <c r="O662" s="141">
        <f>IF(B662="Retired",MIN(MAX(K662-M662-N662,0),((S661)*(1+$C$10)+IF(B662="Working",I662,0))),0)</f>
        <v/>
      </c>
      <c r="P662" s="141">
        <f>IF(B662="Retired",MIN(MAX(K662-M662-N662-O662,0),((T661)*(1+$C$10)+IF(B662="Working",F89,0))),0)</f>
        <v/>
      </c>
      <c r="Q662" s="138">
        <f>MAX(((Q661)*(1+$C$10)+IF(B662="Working",J662,0))-M662,0)</f>
        <v/>
      </c>
      <c r="R662" s="138">
        <f>MAX(((R661)*(1+$C$10)+IF(B662="Working",E89,0))-N662,0)</f>
        <v/>
      </c>
      <c r="S662" s="138">
        <f>MAX(((S661)*(1+$C$10)+IF(B662="Working",I662,0))-O662,0)</f>
        <v/>
      </c>
      <c r="T662" s="138">
        <f>MAX(((T661)*(1+$C$10)+IF(B662="Working",F89,0))-P662,0)</f>
        <v/>
      </c>
      <c r="U662" s="138">
        <f>Q662+R662+S662+T662</f>
        <v/>
      </c>
      <c r="V662" s="138">
        <f>IF(B662="Working",MAX(-(((Q661)*(1+$C$10)+IF(B662="Working",J662,0))),0),MAX(K662-L662,0))</f>
        <v/>
      </c>
      <c r="W662" s="138">
        <f>IF(OR(A662&gt;=$C$13,B662="Retired"),IF(V662&gt;0,-V662,U662-'Model Inputs'!$B$18),"")</f>
        <v/>
      </c>
      <c r="X662" s="138">
        <f>IF(AND($L$236&gt;0,A662&gt;=$C$13),$L$236*(1+$C$25)^(A662-$C$13),0)</f>
        <v/>
      </c>
      <c r="Y662" s="138">
        <f>IF(OR($L$236&lt;=0,$C$17&lt;=0,A662&lt;$C$13,MIN(MAX((A662-$C$13+1)*12,0),$C$17*12)&gt;=$C$17*12),0,IF($C$16=0,MAX(MAX($L$236*(1-$C$15),0)-(IF($C$17&lt;=0,0,IF($C$16=0,MAX($L$236*(1-$C$15),0)/$C$17,-PMT($C$16/12,$C$17*12,MAX($L$236*(1-$C$15),0))*12))/12)*MIN(MAX((A662-$C$13+1)*12,0),$C$17*12),0),MAX(MAX($L$236*(1-$C$15),0)*(1+$C$16/12)^MIN(MAX((A662-$C$13+1)*12,0),$C$17*12)-(IF($C$17&lt;=0,0,IF($C$16=0,MAX($L$236*(1-$C$15),0)/$C$17,-PMT($C$16/12,$C$17*12,MAX($L$236*(1-$C$15),0))*12))/12)*(((1+$C$16/12)^MIN(MAX((A662-$C$13+1)*12,0),$C$17*12)-1)/($C$16/12)),0)))</f>
        <v/>
      </c>
      <c r="Z662" s="138">
        <f>MAX(X662-Y662,0)</f>
        <v/>
      </c>
      <c r="AA662" s="142">
        <f>U662+Z662</f>
        <v/>
      </c>
      <c r="AB662" s="5" t="n"/>
      <c r="AC662" s="5" t="n"/>
      <c r="AD662" s="5" t="n"/>
      <c r="AE662" s="5" t="n"/>
      <c r="AF662" s="5" t="n"/>
      <c r="AG662" s="5" t="n"/>
    </row>
    <row r="663" outlineLevel="1" s="326">
      <c r="A663" s="136" t="n">
        <v>11</v>
      </c>
      <c r="B663" s="72">
        <f>B90</f>
        <v/>
      </c>
      <c r="C663" s="137">
        <f>D90</f>
        <v/>
      </c>
      <c r="D663" s="137">
        <f>I90</f>
        <v/>
      </c>
      <c r="E663" s="137">
        <f>J90</f>
        <v/>
      </c>
      <c r="F663" s="137">
        <f>K90</f>
        <v/>
      </c>
      <c r="G663" s="138">
        <f>IF(AND($L$236&gt;0,A663=$C$13),$L$236*($C$15+$C$18),0)+IF(AND($L$236&gt;0,A663=$C$13),$C$24,0)</f>
        <v/>
      </c>
      <c r="H663" s="138">
        <f>IF(OR($L$236&lt;=0,A663&lt;$C$13),0,IF(AND($L$236&gt;0,$C$17&gt;0,A663&gt;=$C$13,A663&lt;($C$13+$C$17)),IF($C$17&lt;=0,0,IF($C$16=0,MAX($L$236*(1-$C$15),0)/$C$17,-PMT($C$16/12,$C$17*12,MAX($L$236*(1-$C$15),0))*12)),0)+X663*($C$19+$C$20+$C$21)+$C$22+$C$23)</f>
        <v/>
      </c>
      <c r="I663" s="138">
        <f>IF(B663="Working",MIN(MAX(D663-E663-F663-G663-H663,0),'Tax Assumptions'!$B$20),0)</f>
        <v/>
      </c>
      <c r="J663" s="138">
        <f>IF(B663="Working",D663-E663-F663-I663-G663-H663,-L663)</f>
        <v/>
      </c>
      <c r="K663" s="137">
        <f>IF(B663="Retired",$N$236+G663+H663,0)</f>
        <v/>
      </c>
      <c r="L663" s="137">
        <f>M663+N663+O663+P663</f>
        <v/>
      </c>
      <c r="M663" s="137">
        <f>IF(B663="Retired",MIN(((Q662)*(1+$C$10)+IF(B663="Working",J663,0)),K663),0)</f>
        <v/>
      </c>
      <c r="N663" s="137">
        <f>IF(B663="Retired",MIN(MAX(K663-M663,0),((R662)*(1+$C$10)+IF(B663="Working",E90,0))),0)</f>
        <v/>
      </c>
      <c r="O663" s="137">
        <f>IF(B663="Retired",MIN(MAX(K663-M663-N663,0),((S662)*(1+$C$10)+IF(B663="Working",I663,0))),0)</f>
        <v/>
      </c>
      <c r="P663" s="137">
        <f>IF(B663="Retired",MIN(MAX(K663-M663-N663-O663,0),((T662)*(1+$C$10)+IF(B663="Working",F90,0))),0)</f>
        <v/>
      </c>
      <c r="Q663" s="138">
        <f>MAX(((Q662)*(1+$C$10)+IF(B663="Working",J663,0))-M663,0)</f>
        <v/>
      </c>
      <c r="R663" s="138">
        <f>MAX(((R662)*(1+$C$10)+IF(B663="Working",E90,0))-N663,0)</f>
        <v/>
      </c>
      <c r="S663" s="138">
        <f>MAX(((S662)*(1+$C$10)+IF(B663="Working",I663,0))-O663,0)</f>
        <v/>
      </c>
      <c r="T663" s="138">
        <f>MAX(((T662)*(1+$C$10)+IF(B663="Working",F90,0))-P663,0)</f>
        <v/>
      </c>
      <c r="U663" s="138">
        <f>Q663+R663+S663+T663</f>
        <v/>
      </c>
      <c r="V663" s="138">
        <f>IF(B663="Working",MAX(-(((Q662)*(1+$C$10)+IF(B663="Working",J663,0))),0),MAX(K663-L663,0))</f>
        <v/>
      </c>
      <c r="W663" s="138">
        <f>IF(OR(A663&gt;=$C$13,B663="Retired"),IF(V663&gt;0,-V663,U663-'Model Inputs'!$B$18),"")</f>
        <v/>
      </c>
      <c r="X663" s="138">
        <f>IF(AND($L$236&gt;0,A663&gt;=$C$13),$L$236*(1+$C$25)^(A663-$C$13),0)</f>
        <v/>
      </c>
      <c r="Y663" s="138">
        <f>IF(OR($L$236&lt;=0,$C$17&lt;=0,A663&lt;$C$13,MIN(MAX((A663-$C$13+1)*12,0),$C$17*12)&gt;=$C$17*12),0,IF($C$16=0,MAX(MAX($L$236*(1-$C$15),0)-(IF($C$17&lt;=0,0,IF($C$16=0,MAX($L$236*(1-$C$15),0)/$C$17,-PMT($C$16/12,$C$17*12,MAX($L$236*(1-$C$15),0))*12))/12)*MIN(MAX((A663-$C$13+1)*12,0),$C$17*12),0),MAX(MAX($L$236*(1-$C$15),0)*(1+$C$16/12)^MIN(MAX((A663-$C$13+1)*12,0),$C$17*12)-(IF($C$17&lt;=0,0,IF($C$16=0,MAX($L$236*(1-$C$15),0)/$C$17,-PMT($C$16/12,$C$17*12,MAX($L$236*(1-$C$15),0))*12))/12)*(((1+$C$16/12)^MIN(MAX((A663-$C$13+1)*12,0),$C$17*12)-1)/($C$16/12)),0)))</f>
        <v/>
      </c>
      <c r="Z663" s="138">
        <f>MAX(X663-Y663,0)</f>
        <v/>
      </c>
      <c r="AA663" s="139">
        <f>U663+Z663</f>
        <v/>
      </c>
      <c r="AB663" s="5" t="n"/>
      <c r="AC663" s="5" t="n"/>
      <c r="AD663" s="5" t="n"/>
      <c r="AE663" s="5" t="n"/>
      <c r="AF663" s="5" t="n"/>
      <c r="AG663" s="5" t="n"/>
    </row>
    <row r="664" outlineLevel="1" s="326">
      <c r="A664" s="140" t="n">
        <v>12</v>
      </c>
      <c r="B664" s="40">
        <f>B91</f>
        <v/>
      </c>
      <c r="C664" s="141">
        <f>D91</f>
        <v/>
      </c>
      <c r="D664" s="141">
        <f>I91</f>
        <v/>
      </c>
      <c r="E664" s="141">
        <f>J91</f>
        <v/>
      </c>
      <c r="F664" s="141">
        <f>K91</f>
        <v/>
      </c>
      <c r="G664" s="138">
        <f>IF(AND($L$236&gt;0,A664=$C$13),$L$236*($C$15+$C$18),0)+IF(AND($L$236&gt;0,A664=$C$13),$C$24,0)</f>
        <v/>
      </c>
      <c r="H664" s="138">
        <f>IF(OR($L$236&lt;=0,A664&lt;$C$13),0,IF(AND($L$236&gt;0,$C$17&gt;0,A664&gt;=$C$13,A664&lt;($C$13+$C$17)),IF($C$17&lt;=0,0,IF($C$16=0,MAX($L$236*(1-$C$15),0)/$C$17,-PMT($C$16/12,$C$17*12,MAX($L$236*(1-$C$15),0))*12)),0)+X664*($C$19+$C$20+$C$21)+$C$22+$C$23)</f>
        <v/>
      </c>
      <c r="I664" s="138">
        <f>IF(B664="Working",MIN(MAX(D664-E664-F664-G664-H664,0),'Tax Assumptions'!$B$20),0)</f>
        <v/>
      </c>
      <c r="J664" s="138">
        <f>IF(B664="Working",D664-E664-F664-I664-G664-H664,-L664)</f>
        <v/>
      </c>
      <c r="K664" s="141">
        <f>IF(B664="Retired",$N$236+G664+H664,0)</f>
        <v/>
      </c>
      <c r="L664" s="141">
        <f>M664+N664+O664+P664</f>
        <v/>
      </c>
      <c r="M664" s="141">
        <f>IF(B664="Retired",MIN(((Q663)*(1+$C$10)+IF(B664="Working",J664,0)),K664),0)</f>
        <v/>
      </c>
      <c r="N664" s="141">
        <f>IF(B664="Retired",MIN(MAX(K664-M664,0),((R663)*(1+$C$10)+IF(B664="Working",E91,0))),0)</f>
        <v/>
      </c>
      <c r="O664" s="141">
        <f>IF(B664="Retired",MIN(MAX(K664-M664-N664,0),((S663)*(1+$C$10)+IF(B664="Working",I664,0))),0)</f>
        <v/>
      </c>
      <c r="P664" s="141">
        <f>IF(B664="Retired",MIN(MAX(K664-M664-N664-O664,0),((T663)*(1+$C$10)+IF(B664="Working",F91,0))),0)</f>
        <v/>
      </c>
      <c r="Q664" s="138">
        <f>MAX(((Q663)*(1+$C$10)+IF(B664="Working",J664,0))-M664,0)</f>
        <v/>
      </c>
      <c r="R664" s="138">
        <f>MAX(((R663)*(1+$C$10)+IF(B664="Working",E91,0))-N664,0)</f>
        <v/>
      </c>
      <c r="S664" s="138">
        <f>MAX(((S663)*(1+$C$10)+IF(B664="Working",I664,0))-O664,0)</f>
        <v/>
      </c>
      <c r="T664" s="138">
        <f>MAX(((T663)*(1+$C$10)+IF(B664="Working",F91,0))-P664,0)</f>
        <v/>
      </c>
      <c r="U664" s="138">
        <f>Q664+R664+S664+T664</f>
        <v/>
      </c>
      <c r="V664" s="138">
        <f>IF(B664="Working",MAX(-(((Q663)*(1+$C$10)+IF(B664="Working",J664,0))),0),MAX(K664-L664,0))</f>
        <v/>
      </c>
      <c r="W664" s="138">
        <f>IF(OR(A664&gt;=$C$13,B664="Retired"),IF(V664&gt;0,-V664,U664-'Model Inputs'!$B$18),"")</f>
        <v/>
      </c>
      <c r="X664" s="138">
        <f>IF(AND($L$236&gt;0,A664&gt;=$C$13),$L$236*(1+$C$25)^(A664-$C$13),0)</f>
        <v/>
      </c>
      <c r="Y664" s="138">
        <f>IF(OR($L$236&lt;=0,$C$17&lt;=0,A664&lt;$C$13,MIN(MAX((A664-$C$13+1)*12,0),$C$17*12)&gt;=$C$17*12),0,IF($C$16=0,MAX(MAX($L$236*(1-$C$15),0)-(IF($C$17&lt;=0,0,IF($C$16=0,MAX($L$236*(1-$C$15),0)/$C$17,-PMT($C$16/12,$C$17*12,MAX($L$236*(1-$C$15),0))*12))/12)*MIN(MAX((A664-$C$13+1)*12,0),$C$17*12),0),MAX(MAX($L$236*(1-$C$15),0)*(1+$C$16/12)^MIN(MAX((A664-$C$13+1)*12,0),$C$17*12)-(IF($C$17&lt;=0,0,IF($C$16=0,MAX($L$236*(1-$C$15),0)/$C$17,-PMT($C$16/12,$C$17*12,MAX($L$236*(1-$C$15),0))*12))/12)*(((1+$C$16/12)^MIN(MAX((A664-$C$13+1)*12,0),$C$17*12)-1)/($C$16/12)),0)))</f>
        <v/>
      </c>
      <c r="Z664" s="138">
        <f>MAX(X664-Y664,0)</f>
        <v/>
      </c>
      <c r="AA664" s="142">
        <f>U664+Z664</f>
        <v/>
      </c>
      <c r="AB664" s="5" t="n"/>
      <c r="AC664" s="5" t="n"/>
      <c r="AD664" s="5" t="n"/>
      <c r="AE664" s="5" t="n"/>
      <c r="AF664" s="5" t="n"/>
      <c r="AG664" s="5" t="n"/>
    </row>
    <row r="665" outlineLevel="1" s="326">
      <c r="A665" s="136" t="n">
        <v>13</v>
      </c>
      <c r="B665" s="72">
        <f>B92</f>
        <v/>
      </c>
      <c r="C665" s="137">
        <f>D92</f>
        <v/>
      </c>
      <c r="D665" s="137">
        <f>I92</f>
        <v/>
      </c>
      <c r="E665" s="137">
        <f>J92</f>
        <v/>
      </c>
      <c r="F665" s="137">
        <f>K92</f>
        <v/>
      </c>
      <c r="G665" s="138">
        <f>IF(AND($L$236&gt;0,A665=$C$13),$L$236*($C$15+$C$18),0)+IF(AND($L$236&gt;0,A665=$C$13),$C$24,0)</f>
        <v/>
      </c>
      <c r="H665" s="138">
        <f>IF(OR($L$236&lt;=0,A665&lt;$C$13),0,IF(AND($L$236&gt;0,$C$17&gt;0,A665&gt;=$C$13,A665&lt;($C$13+$C$17)),IF($C$17&lt;=0,0,IF($C$16=0,MAX($L$236*(1-$C$15),0)/$C$17,-PMT($C$16/12,$C$17*12,MAX($L$236*(1-$C$15),0))*12)),0)+X665*($C$19+$C$20+$C$21)+$C$22+$C$23)</f>
        <v/>
      </c>
      <c r="I665" s="138">
        <f>IF(B665="Working",MIN(MAX(D665-E665-F665-G665-H665,0),'Tax Assumptions'!$B$20),0)</f>
        <v/>
      </c>
      <c r="J665" s="138">
        <f>IF(B665="Working",D665-E665-F665-I665-G665-H665,-L665)</f>
        <v/>
      </c>
      <c r="K665" s="137">
        <f>IF(B665="Retired",$N$236+G665+H665,0)</f>
        <v/>
      </c>
      <c r="L665" s="137">
        <f>M665+N665+O665+P665</f>
        <v/>
      </c>
      <c r="M665" s="137">
        <f>IF(B665="Retired",MIN(((Q664)*(1+$C$10)+IF(B665="Working",J665,0)),K665),0)</f>
        <v/>
      </c>
      <c r="N665" s="137">
        <f>IF(B665="Retired",MIN(MAX(K665-M665,0),((R664)*(1+$C$10)+IF(B665="Working",E92,0))),0)</f>
        <v/>
      </c>
      <c r="O665" s="137">
        <f>IF(B665="Retired",MIN(MAX(K665-M665-N665,0),((S664)*(1+$C$10)+IF(B665="Working",I665,0))),0)</f>
        <v/>
      </c>
      <c r="P665" s="137">
        <f>IF(B665="Retired",MIN(MAX(K665-M665-N665-O665,0),((T664)*(1+$C$10)+IF(B665="Working",F92,0))),0)</f>
        <v/>
      </c>
      <c r="Q665" s="138">
        <f>MAX(((Q664)*(1+$C$10)+IF(B665="Working",J665,0))-M665,0)</f>
        <v/>
      </c>
      <c r="R665" s="138">
        <f>MAX(((R664)*(1+$C$10)+IF(B665="Working",E92,0))-N665,0)</f>
        <v/>
      </c>
      <c r="S665" s="138">
        <f>MAX(((S664)*(1+$C$10)+IF(B665="Working",I665,0))-O665,0)</f>
        <v/>
      </c>
      <c r="T665" s="138">
        <f>MAX(((T664)*(1+$C$10)+IF(B665="Working",F92,0))-P665,0)</f>
        <v/>
      </c>
      <c r="U665" s="138">
        <f>Q665+R665+S665+T665</f>
        <v/>
      </c>
      <c r="V665" s="138">
        <f>IF(B665="Working",MAX(-(((Q664)*(1+$C$10)+IF(B665="Working",J665,0))),0),MAX(K665-L665,0))</f>
        <v/>
      </c>
      <c r="W665" s="138">
        <f>IF(OR(A665&gt;=$C$13,B665="Retired"),IF(V665&gt;0,-V665,U665-'Model Inputs'!$B$18),"")</f>
        <v/>
      </c>
      <c r="X665" s="138">
        <f>IF(AND($L$236&gt;0,A665&gt;=$C$13),$L$236*(1+$C$25)^(A665-$C$13),0)</f>
        <v/>
      </c>
      <c r="Y665" s="138">
        <f>IF(OR($L$236&lt;=0,$C$17&lt;=0,A665&lt;$C$13,MIN(MAX((A665-$C$13+1)*12,0),$C$17*12)&gt;=$C$17*12),0,IF($C$16=0,MAX(MAX($L$236*(1-$C$15),0)-(IF($C$17&lt;=0,0,IF($C$16=0,MAX($L$236*(1-$C$15),0)/$C$17,-PMT($C$16/12,$C$17*12,MAX($L$236*(1-$C$15),0))*12))/12)*MIN(MAX((A665-$C$13+1)*12,0),$C$17*12),0),MAX(MAX($L$236*(1-$C$15),0)*(1+$C$16/12)^MIN(MAX((A665-$C$13+1)*12,0),$C$17*12)-(IF($C$17&lt;=0,0,IF($C$16=0,MAX($L$236*(1-$C$15),0)/$C$17,-PMT($C$16/12,$C$17*12,MAX($L$236*(1-$C$15),0))*12))/12)*(((1+$C$16/12)^MIN(MAX((A665-$C$13+1)*12,0),$C$17*12)-1)/($C$16/12)),0)))</f>
        <v/>
      </c>
      <c r="Z665" s="138">
        <f>MAX(X665-Y665,0)</f>
        <v/>
      </c>
      <c r="AA665" s="139">
        <f>U665+Z665</f>
        <v/>
      </c>
      <c r="AB665" s="5" t="n"/>
      <c r="AC665" s="5" t="n"/>
      <c r="AD665" s="5" t="n"/>
      <c r="AE665" s="5" t="n"/>
      <c r="AF665" s="5" t="n"/>
      <c r="AG665" s="5" t="n"/>
    </row>
    <row r="666" outlineLevel="1" s="326">
      <c r="A666" s="140" t="n">
        <v>14</v>
      </c>
      <c r="B666" s="40">
        <f>B93</f>
        <v/>
      </c>
      <c r="C666" s="141">
        <f>D93</f>
        <v/>
      </c>
      <c r="D666" s="141">
        <f>I93</f>
        <v/>
      </c>
      <c r="E666" s="141">
        <f>J93</f>
        <v/>
      </c>
      <c r="F666" s="141">
        <f>K93</f>
        <v/>
      </c>
      <c r="G666" s="138">
        <f>IF(AND($L$236&gt;0,A666=$C$13),$L$236*($C$15+$C$18),0)+IF(AND($L$236&gt;0,A666=$C$13),$C$24,0)</f>
        <v/>
      </c>
      <c r="H666" s="138">
        <f>IF(OR($L$236&lt;=0,A666&lt;$C$13),0,IF(AND($L$236&gt;0,$C$17&gt;0,A666&gt;=$C$13,A666&lt;($C$13+$C$17)),IF($C$17&lt;=0,0,IF($C$16=0,MAX($L$236*(1-$C$15),0)/$C$17,-PMT($C$16/12,$C$17*12,MAX($L$236*(1-$C$15),0))*12)),0)+X666*($C$19+$C$20+$C$21)+$C$22+$C$23)</f>
        <v/>
      </c>
      <c r="I666" s="138">
        <f>IF(B666="Working",MIN(MAX(D666-E666-F666-G666-H666,0),'Tax Assumptions'!$B$20),0)</f>
        <v/>
      </c>
      <c r="J666" s="138">
        <f>IF(B666="Working",D666-E666-F666-I666-G666-H666,-L666)</f>
        <v/>
      </c>
      <c r="K666" s="141">
        <f>IF(B666="Retired",$N$236+G666+H666,0)</f>
        <v/>
      </c>
      <c r="L666" s="141">
        <f>M666+N666+O666+P666</f>
        <v/>
      </c>
      <c r="M666" s="141">
        <f>IF(B666="Retired",MIN(((Q665)*(1+$C$10)+IF(B666="Working",J666,0)),K666),0)</f>
        <v/>
      </c>
      <c r="N666" s="141">
        <f>IF(B666="Retired",MIN(MAX(K666-M666,0),((R665)*(1+$C$10)+IF(B666="Working",E93,0))),0)</f>
        <v/>
      </c>
      <c r="O666" s="141">
        <f>IF(B666="Retired",MIN(MAX(K666-M666-N666,0),((S665)*(1+$C$10)+IF(B666="Working",I666,0))),0)</f>
        <v/>
      </c>
      <c r="P666" s="141">
        <f>IF(B666="Retired",MIN(MAX(K666-M666-N666-O666,0),((T665)*(1+$C$10)+IF(B666="Working",F93,0))),0)</f>
        <v/>
      </c>
      <c r="Q666" s="138">
        <f>MAX(((Q665)*(1+$C$10)+IF(B666="Working",J666,0))-M666,0)</f>
        <v/>
      </c>
      <c r="R666" s="138">
        <f>MAX(((R665)*(1+$C$10)+IF(B666="Working",E93,0))-N666,0)</f>
        <v/>
      </c>
      <c r="S666" s="138">
        <f>MAX(((S665)*(1+$C$10)+IF(B666="Working",I666,0))-O666,0)</f>
        <v/>
      </c>
      <c r="T666" s="138">
        <f>MAX(((T665)*(1+$C$10)+IF(B666="Working",F93,0))-P666,0)</f>
        <v/>
      </c>
      <c r="U666" s="138">
        <f>Q666+R666+S666+T666</f>
        <v/>
      </c>
      <c r="V666" s="138">
        <f>IF(B666="Working",MAX(-(((Q665)*(1+$C$10)+IF(B666="Working",J666,0))),0),MAX(K666-L666,0))</f>
        <v/>
      </c>
      <c r="W666" s="138">
        <f>IF(OR(A666&gt;=$C$13,B666="Retired"),IF(V666&gt;0,-V666,U666-'Model Inputs'!$B$18),"")</f>
        <v/>
      </c>
      <c r="X666" s="138">
        <f>IF(AND($L$236&gt;0,A666&gt;=$C$13),$L$236*(1+$C$25)^(A666-$C$13),0)</f>
        <v/>
      </c>
      <c r="Y666" s="138">
        <f>IF(OR($L$236&lt;=0,$C$17&lt;=0,A666&lt;$C$13,MIN(MAX((A666-$C$13+1)*12,0),$C$17*12)&gt;=$C$17*12),0,IF($C$16=0,MAX(MAX($L$236*(1-$C$15),0)-(IF($C$17&lt;=0,0,IF($C$16=0,MAX($L$236*(1-$C$15),0)/$C$17,-PMT($C$16/12,$C$17*12,MAX($L$236*(1-$C$15),0))*12))/12)*MIN(MAX((A666-$C$13+1)*12,0),$C$17*12),0),MAX(MAX($L$236*(1-$C$15),0)*(1+$C$16/12)^MIN(MAX((A666-$C$13+1)*12,0),$C$17*12)-(IF($C$17&lt;=0,0,IF($C$16=0,MAX($L$236*(1-$C$15),0)/$C$17,-PMT($C$16/12,$C$17*12,MAX($L$236*(1-$C$15),0))*12))/12)*(((1+$C$16/12)^MIN(MAX((A666-$C$13+1)*12,0),$C$17*12)-1)/($C$16/12)),0)))</f>
        <v/>
      </c>
      <c r="Z666" s="138">
        <f>MAX(X666-Y666,0)</f>
        <v/>
      </c>
      <c r="AA666" s="142">
        <f>U666+Z666</f>
        <v/>
      </c>
      <c r="AB666" s="5" t="n"/>
      <c r="AC666" s="5" t="n"/>
      <c r="AD666" s="5" t="n"/>
      <c r="AE666" s="5" t="n"/>
      <c r="AF666" s="5" t="n"/>
      <c r="AG666" s="5" t="n"/>
    </row>
    <row r="667" outlineLevel="1" s="326">
      <c r="A667" s="136" t="n">
        <v>15</v>
      </c>
      <c r="B667" s="72">
        <f>B94</f>
        <v/>
      </c>
      <c r="C667" s="137">
        <f>D94</f>
        <v/>
      </c>
      <c r="D667" s="137">
        <f>I94</f>
        <v/>
      </c>
      <c r="E667" s="137">
        <f>J94</f>
        <v/>
      </c>
      <c r="F667" s="137">
        <f>K94</f>
        <v/>
      </c>
      <c r="G667" s="138">
        <f>IF(AND($L$236&gt;0,A667=$C$13),$L$236*($C$15+$C$18),0)+IF(AND($L$236&gt;0,A667=$C$13),$C$24,0)</f>
        <v/>
      </c>
      <c r="H667" s="138">
        <f>IF(OR($L$236&lt;=0,A667&lt;$C$13),0,IF(AND($L$236&gt;0,$C$17&gt;0,A667&gt;=$C$13,A667&lt;($C$13+$C$17)),IF($C$17&lt;=0,0,IF($C$16=0,MAX($L$236*(1-$C$15),0)/$C$17,-PMT($C$16/12,$C$17*12,MAX($L$236*(1-$C$15),0))*12)),0)+X667*($C$19+$C$20+$C$21)+$C$22+$C$23)</f>
        <v/>
      </c>
      <c r="I667" s="138">
        <f>IF(B667="Working",MIN(MAX(D667-E667-F667-G667-H667,0),'Tax Assumptions'!$B$20),0)</f>
        <v/>
      </c>
      <c r="J667" s="138">
        <f>IF(B667="Working",D667-E667-F667-I667-G667-H667,-L667)</f>
        <v/>
      </c>
      <c r="K667" s="137">
        <f>IF(B667="Retired",$N$236+G667+H667,0)</f>
        <v/>
      </c>
      <c r="L667" s="137">
        <f>M667+N667+O667+P667</f>
        <v/>
      </c>
      <c r="M667" s="137">
        <f>IF(B667="Retired",MIN(((Q666)*(1+$C$10)+IF(B667="Working",J667,0)),K667),0)</f>
        <v/>
      </c>
      <c r="N667" s="137">
        <f>IF(B667="Retired",MIN(MAX(K667-M667,0),((R666)*(1+$C$10)+IF(B667="Working",E94,0))),0)</f>
        <v/>
      </c>
      <c r="O667" s="137">
        <f>IF(B667="Retired",MIN(MAX(K667-M667-N667,0),((S666)*(1+$C$10)+IF(B667="Working",I667,0))),0)</f>
        <v/>
      </c>
      <c r="P667" s="137">
        <f>IF(B667="Retired",MIN(MAX(K667-M667-N667-O667,0),((T666)*(1+$C$10)+IF(B667="Working",F94,0))),0)</f>
        <v/>
      </c>
      <c r="Q667" s="138">
        <f>MAX(((Q666)*(1+$C$10)+IF(B667="Working",J667,0))-M667,0)</f>
        <v/>
      </c>
      <c r="R667" s="138">
        <f>MAX(((R666)*(1+$C$10)+IF(B667="Working",E94,0))-N667,0)</f>
        <v/>
      </c>
      <c r="S667" s="138">
        <f>MAX(((S666)*(1+$C$10)+IF(B667="Working",I667,0))-O667,0)</f>
        <v/>
      </c>
      <c r="T667" s="138">
        <f>MAX(((T666)*(1+$C$10)+IF(B667="Working",F94,0))-P667,0)</f>
        <v/>
      </c>
      <c r="U667" s="138">
        <f>Q667+R667+S667+T667</f>
        <v/>
      </c>
      <c r="V667" s="138">
        <f>IF(B667="Working",MAX(-(((Q666)*(1+$C$10)+IF(B667="Working",J667,0))),0),MAX(K667-L667,0))</f>
        <v/>
      </c>
      <c r="W667" s="138">
        <f>IF(OR(A667&gt;=$C$13,B667="Retired"),IF(V667&gt;0,-V667,U667-'Model Inputs'!$B$18),"")</f>
        <v/>
      </c>
      <c r="X667" s="138">
        <f>IF(AND($L$236&gt;0,A667&gt;=$C$13),$L$236*(1+$C$25)^(A667-$C$13),0)</f>
        <v/>
      </c>
      <c r="Y667" s="138">
        <f>IF(OR($L$236&lt;=0,$C$17&lt;=0,A667&lt;$C$13,MIN(MAX((A667-$C$13+1)*12,0),$C$17*12)&gt;=$C$17*12),0,IF($C$16=0,MAX(MAX($L$236*(1-$C$15),0)-(IF($C$17&lt;=0,0,IF($C$16=0,MAX($L$236*(1-$C$15),0)/$C$17,-PMT($C$16/12,$C$17*12,MAX($L$236*(1-$C$15),0))*12))/12)*MIN(MAX((A667-$C$13+1)*12,0),$C$17*12),0),MAX(MAX($L$236*(1-$C$15),0)*(1+$C$16/12)^MIN(MAX((A667-$C$13+1)*12,0),$C$17*12)-(IF($C$17&lt;=0,0,IF($C$16=0,MAX($L$236*(1-$C$15),0)/$C$17,-PMT($C$16/12,$C$17*12,MAX($L$236*(1-$C$15),0))*12))/12)*(((1+$C$16/12)^MIN(MAX((A667-$C$13+1)*12,0),$C$17*12)-1)/($C$16/12)),0)))</f>
        <v/>
      </c>
      <c r="Z667" s="138">
        <f>MAX(X667-Y667,0)</f>
        <v/>
      </c>
      <c r="AA667" s="139">
        <f>U667+Z667</f>
        <v/>
      </c>
      <c r="AB667" s="5" t="n"/>
      <c r="AC667" s="5" t="n"/>
      <c r="AD667" s="5" t="n"/>
      <c r="AE667" s="5" t="n"/>
      <c r="AF667" s="5" t="n"/>
      <c r="AG667" s="5" t="n"/>
    </row>
    <row r="668" outlineLevel="1" s="326">
      <c r="A668" s="140" t="n">
        <v>16</v>
      </c>
      <c r="B668" s="40">
        <f>B95</f>
        <v/>
      </c>
      <c r="C668" s="141">
        <f>D95</f>
        <v/>
      </c>
      <c r="D668" s="141">
        <f>I95</f>
        <v/>
      </c>
      <c r="E668" s="141">
        <f>J95</f>
        <v/>
      </c>
      <c r="F668" s="141">
        <f>K95</f>
        <v/>
      </c>
      <c r="G668" s="138">
        <f>IF(AND($L$236&gt;0,A668=$C$13),$L$236*($C$15+$C$18),0)+IF(AND($L$236&gt;0,A668=$C$13),$C$24,0)</f>
        <v/>
      </c>
      <c r="H668" s="138">
        <f>IF(OR($L$236&lt;=0,A668&lt;$C$13),0,IF(AND($L$236&gt;0,$C$17&gt;0,A668&gt;=$C$13,A668&lt;($C$13+$C$17)),IF($C$17&lt;=0,0,IF($C$16=0,MAX($L$236*(1-$C$15),0)/$C$17,-PMT($C$16/12,$C$17*12,MAX($L$236*(1-$C$15),0))*12)),0)+X668*($C$19+$C$20+$C$21)+$C$22+$C$23)</f>
        <v/>
      </c>
      <c r="I668" s="138">
        <f>IF(B668="Working",MIN(MAX(D668-E668-F668-G668-H668,0),'Tax Assumptions'!$B$20),0)</f>
        <v/>
      </c>
      <c r="J668" s="138">
        <f>IF(B668="Working",D668-E668-F668-I668-G668-H668,-L668)</f>
        <v/>
      </c>
      <c r="K668" s="141">
        <f>IF(B668="Retired",$N$236+G668+H668,0)</f>
        <v/>
      </c>
      <c r="L668" s="141">
        <f>M668+N668+O668+P668</f>
        <v/>
      </c>
      <c r="M668" s="141">
        <f>IF(B668="Retired",MIN(((Q667)*(1+$C$10)+IF(B668="Working",J668,0)),K668),0)</f>
        <v/>
      </c>
      <c r="N668" s="141">
        <f>IF(B668="Retired",MIN(MAX(K668-M668,0),((R667)*(1+$C$10)+IF(B668="Working",E95,0))),0)</f>
        <v/>
      </c>
      <c r="O668" s="141">
        <f>IF(B668="Retired",MIN(MAX(K668-M668-N668,0),((S667)*(1+$C$10)+IF(B668="Working",I668,0))),0)</f>
        <v/>
      </c>
      <c r="P668" s="141">
        <f>IF(B668="Retired",MIN(MAX(K668-M668-N668-O668,0),((T667)*(1+$C$10)+IF(B668="Working",F95,0))),0)</f>
        <v/>
      </c>
      <c r="Q668" s="138">
        <f>MAX(((Q667)*(1+$C$10)+IF(B668="Working",J668,0))-M668,0)</f>
        <v/>
      </c>
      <c r="R668" s="138">
        <f>MAX(((R667)*(1+$C$10)+IF(B668="Working",E95,0))-N668,0)</f>
        <v/>
      </c>
      <c r="S668" s="138">
        <f>MAX(((S667)*(1+$C$10)+IF(B668="Working",I668,0))-O668,0)</f>
        <v/>
      </c>
      <c r="T668" s="138">
        <f>MAX(((T667)*(1+$C$10)+IF(B668="Working",F95,0))-P668,0)</f>
        <v/>
      </c>
      <c r="U668" s="138">
        <f>Q668+R668+S668+T668</f>
        <v/>
      </c>
      <c r="V668" s="138">
        <f>IF(B668="Working",MAX(-(((Q667)*(1+$C$10)+IF(B668="Working",J668,0))),0),MAX(K668-L668,0))</f>
        <v/>
      </c>
      <c r="W668" s="138">
        <f>IF(OR(A668&gt;=$C$13,B668="Retired"),IF(V668&gt;0,-V668,U668-'Model Inputs'!$B$18),"")</f>
        <v/>
      </c>
      <c r="X668" s="138">
        <f>IF(AND($L$236&gt;0,A668&gt;=$C$13),$L$236*(1+$C$25)^(A668-$C$13),0)</f>
        <v/>
      </c>
      <c r="Y668" s="138">
        <f>IF(OR($L$236&lt;=0,$C$17&lt;=0,A668&lt;$C$13,MIN(MAX((A668-$C$13+1)*12,0),$C$17*12)&gt;=$C$17*12),0,IF($C$16=0,MAX(MAX($L$236*(1-$C$15),0)-(IF($C$17&lt;=0,0,IF($C$16=0,MAX($L$236*(1-$C$15),0)/$C$17,-PMT($C$16/12,$C$17*12,MAX($L$236*(1-$C$15),0))*12))/12)*MIN(MAX((A668-$C$13+1)*12,0),$C$17*12),0),MAX(MAX($L$236*(1-$C$15),0)*(1+$C$16/12)^MIN(MAX((A668-$C$13+1)*12,0),$C$17*12)-(IF($C$17&lt;=0,0,IF($C$16=0,MAX($L$236*(1-$C$15),0)/$C$17,-PMT($C$16/12,$C$17*12,MAX($L$236*(1-$C$15),0))*12))/12)*(((1+$C$16/12)^MIN(MAX((A668-$C$13+1)*12,0),$C$17*12)-1)/($C$16/12)),0)))</f>
        <v/>
      </c>
      <c r="Z668" s="138">
        <f>MAX(X668-Y668,0)</f>
        <v/>
      </c>
      <c r="AA668" s="142">
        <f>U668+Z668</f>
        <v/>
      </c>
      <c r="AB668" s="5" t="n"/>
      <c r="AC668" s="5" t="n"/>
      <c r="AD668" s="5" t="n"/>
      <c r="AE668" s="5" t="n"/>
      <c r="AF668" s="5" t="n"/>
      <c r="AG668" s="5" t="n"/>
    </row>
    <row r="669" outlineLevel="1" s="326">
      <c r="A669" s="136" t="n">
        <v>17</v>
      </c>
      <c r="B669" s="72">
        <f>B96</f>
        <v/>
      </c>
      <c r="C669" s="137">
        <f>D96</f>
        <v/>
      </c>
      <c r="D669" s="137">
        <f>I96</f>
        <v/>
      </c>
      <c r="E669" s="137">
        <f>J96</f>
        <v/>
      </c>
      <c r="F669" s="137">
        <f>K96</f>
        <v/>
      </c>
      <c r="G669" s="138">
        <f>IF(AND($L$236&gt;0,A669=$C$13),$L$236*($C$15+$C$18),0)+IF(AND($L$236&gt;0,A669=$C$13),$C$24,0)</f>
        <v/>
      </c>
      <c r="H669" s="138">
        <f>IF(OR($L$236&lt;=0,A669&lt;$C$13),0,IF(AND($L$236&gt;0,$C$17&gt;0,A669&gt;=$C$13,A669&lt;($C$13+$C$17)),IF($C$17&lt;=0,0,IF($C$16=0,MAX($L$236*(1-$C$15),0)/$C$17,-PMT($C$16/12,$C$17*12,MAX($L$236*(1-$C$15),0))*12)),0)+X669*($C$19+$C$20+$C$21)+$C$22+$C$23)</f>
        <v/>
      </c>
      <c r="I669" s="138">
        <f>IF(B669="Working",MIN(MAX(D669-E669-F669-G669-H669,0),'Tax Assumptions'!$B$20),0)</f>
        <v/>
      </c>
      <c r="J669" s="138">
        <f>IF(B669="Working",D669-E669-F669-I669-G669-H669,-L669)</f>
        <v/>
      </c>
      <c r="K669" s="137">
        <f>IF(B669="Retired",$N$236+G669+H669,0)</f>
        <v/>
      </c>
      <c r="L669" s="137">
        <f>M669+N669+O669+P669</f>
        <v/>
      </c>
      <c r="M669" s="137">
        <f>IF(B669="Retired",MIN(((Q668)*(1+$C$10)+IF(B669="Working",J669,0)),K669),0)</f>
        <v/>
      </c>
      <c r="N669" s="137">
        <f>IF(B669="Retired",MIN(MAX(K669-M669,0),((R668)*(1+$C$10)+IF(B669="Working",E96,0))),0)</f>
        <v/>
      </c>
      <c r="O669" s="137">
        <f>IF(B669="Retired",MIN(MAX(K669-M669-N669,0),((S668)*(1+$C$10)+IF(B669="Working",I669,0))),0)</f>
        <v/>
      </c>
      <c r="P669" s="137">
        <f>IF(B669="Retired",MIN(MAX(K669-M669-N669-O669,0),((T668)*(1+$C$10)+IF(B669="Working",F96,0))),0)</f>
        <v/>
      </c>
      <c r="Q669" s="138">
        <f>MAX(((Q668)*(1+$C$10)+IF(B669="Working",J669,0))-M669,0)</f>
        <v/>
      </c>
      <c r="R669" s="138">
        <f>MAX(((R668)*(1+$C$10)+IF(B669="Working",E96,0))-N669,0)</f>
        <v/>
      </c>
      <c r="S669" s="138">
        <f>MAX(((S668)*(1+$C$10)+IF(B669="Working",I669,0))-O669,0)</f>
        <v/>
      </c>
      <c r="T669" s="138">
        <f>MAX(((T668)*(1+$C$10)+IF(B669="Working",F96,0))-P669,0)</f>
        <v/>
      </c>
      <c r="U669" s="138">
        <f>Q669+R669+S669+T669</f>
        <v/>
      </c>
      <c r="V669" s="138">
        <f>IF(B669="Working",MAX(-(((Q668)*(1+$C$10)+IF(B669="Working",J669,0))),0),MAX(K669-L669,0))</f>
        <v/>
      </c>
      <c r="W669" s="138">
        <f>IF(OR(A669&gt;=$C$13,B669="Retired"),IF(V669&gt;0,-V669,U669-'Model Inputs'!$B$18),"")</f>
        <v/>
      </c>
      <c r="X669" s="138">
        <f>IF(AND($L$236&gt;0,A669&gt;=$C$13),$L$236*(1+$C$25)^(A669-$C$13),0)</f>
        <v/>
      </c>
      <c r="Y669" s="138">
        <f>IF(OR($L$236&lt;=0,$C$17&lt;=0,A669&lt;$C$13,MIN(MAX((A669-$C$13+1)*12,0),$C$17*12)&gt;=$C$17*12),0,IF($C$16=0,MAX(MAX($L$236*(1-$C$15),0)-(IF($C$17&lt;=0,0,IF($C$16=0,MAX($L$236*(1-$C$15),0)/$C$17,-PMT($C$16/12,$C$17*12,MAX($L$236*(1-$C$15),0))*12))/12)*MIN(MAX((A669-$C$13+1)*12,0),$C$17*12),0),MAX(MAX($L$236*(1-$C$15),0)*(1+$C$16/12)^MIN(MAX((A669-$C$13+1)*12,0),$C$17*12)-(IF($C$17&lt;=0,0,IF($C$16=0,MAX($L$236*(1-$C$15),0)/$C$17,-PMT($C$16/12,$C$17*12,MAX($L$236*(1-$C$15),0))*12))/12)*(((1+$C$16/12)^MIN(MAX((A669-$C$13+1)*12,0),$C$17*12)-1)/($C$16/12)),0)))</f>
        <v/>
      </c>
      <c r="Z669" s="138">
        <f>MAX(X669-Y669,0)</f>
        <v/>
      </c>
      <c r="AA669" s="139">
        <f>U669+Z669</f>
        <v/>
      </c>
      <c r="AB669" s="5" t="n"/>
      <c r="AC669" s="5" t="n"/>
      <c r="AD669" s="5" t="n"/>
      <c r="AE669" s="5" t="n"/>
      <c r="AF669" s="5" t="n"/>
      <c r="AG669" s="5" t="n"/>
    </row>
    <row r="670" outlineLevel="1" s="326">
      <c r="A670" s="140" t="n">
        <v>18</v>
      </c>
      <c r="B670" s="40">
        <f>B97</f>
        <v/>
      </c>
      <c r="C670" s="141">
        <f>D97</f>
        <v/>
      </c>
      <c r="D670" s="141">
        <f>I97</f>
        <v/>
      </c>
      <c r="E670" s="141">
        <f>J97</f>
        <v/>
      </c>
      <c r="F670" s="141">
        <f>K97</f>
        <v/>
      </c>
      <c r="G670" s="138">
        <f>IF(AND($L$236&gt;0,A670=$C$13),$L$236*($C$15+$C$18),0)+IF(AND($L$236&gt;0,A670=$C$13),$C$24,0)</f>
        <v/>
      </c>
      <c r="H670" s="138">
        <f>IF(OR($L$236&lt;=0,A670&lt;$C$13),0,IF(AND($L$236&gt;0,$C$17&gt;0,A670&gt;=$C$13,A670&lt;($C$13+$C$17)),IF($C$17&lt;=0,0,IF($C$16=0,MAX($L$236*(1-$C$15),0)/$C$17,-PMT($C$16/12,$C$17*12,MAX($L$236*(1-$C$15),0))*12)),0)+X670*($C$19+$C$20+$C$21)+$C$22+$C$23)</f>
        <v/>
      </c>
      <c r="I670" s="138">
        <f>IF(B670="Working",MIN(MAX(D670-E670-F670-G670-H670,0),'Tax Assumptions'!$B$20),0)</f>
        <v/>
      </c>
      <c r="J670" s="138">
        <f>IF(B670="Working",D670-E670-F670-I670-G670-H670,-L670)</f>
        <v/>
      </c>
      <c r="K670" s="141">
        <f>IF(B670="Retired",$N$236+G670+H670,0)</f>
        <v/>
      </c>
      <c r="L670" s="141">
        <f>M670+N670+O670+P670</f>
        <v/>
      </c>
      <c r="M670" s="141">
        <f>IF(B670="Retired",MIN(((Q669)*(1+$C$10)+IF(B670="Working",J670,0)),K670),0)</f>
        <v/>
      </c>
      <c r="N670" s="141">
        <f>IF(B670="Retired",MIN(MAX(K670-M670,0),((R669)*(1+$C$10)+IF(B670="Working",E97,0))),0)</f>
        <v/>
      </c>
      <c r="O670" s="141">
        <f>IF(B670="Retired",MIN(MAX(K670-M670-N670,0),((S669)*(1+$C$10)+IF(B670="Working",I670,0))),0)</f>
        <v/>
      </c>
      <c r="P670" s="141">
        <f>IF(B670="Retired",MIN(MAX(K670-M670-N670-O670,0),((T669)*(1+$C$10)+IF(B670="Working",F97,0))),0)</f>
        <v/>
      </c>
      <c r="Q670" s="138">
        <f>MAX(((Q669)*(1+$C$10)+IF(B670="Working",J670,0))-M670,0)</f>
        <v/>
      </c>
      <c r="R670" s="138">
        <f>MAX(((R669)*(1+$C$10)+IF(B670="Working",E97,0))-N670,0)</f>
        <v/>
      </c>
      <c r="S670" s="138">
        <f>MAX(((S669)*(1+$C$10)+IF(B670="Working",I670,0))-O670,0)</f>
        <v/>
      </c>
      <c r="T670" s="138">
        <f>MAX(((T669)*(1+$C$10)+IF(B670="Working",F97,0))-P670,0)</f>
        <v/>
      </c>
      <c r="U670" s="138">
        <f>Q670+R670+S670+T670</f>
        <v/>
      </c>
      <c r="V670" s="138">
        <f>IF(B670="Working",MAX(-(((Q669)*(1+$C$10)+IF(B670="Working",J670,0))),0),MAX(K670-L670,0))</f>
        <v/>
      </c>
      <c r="W670" s="138">
        <f>IF(OR(A670&gt;=$C$13,B670="Retired"),IF(V670&gt;0,-V670,U670-'Model Inputs'!$B$18),"")</f>
        <v/>
      </c>
      <c r="X670" s="138">
        <f>IF(AND($L$236&gt;0,A670&gt;=$C$13),$L$236*(1+$C$25)^(A670-$C$13),0)</f>
        <v/>
      </c>
      <c r="Y670" s="138">
        <f>IF(OR($L$236&lt;=0,$C$17&lt;=0,A670&lt;$C$13,MIN(MAX((A670-$C$13+1)*12,0),$C$17*12)&gt;=$C$17*12),0,IF($C$16=0,MAX(MAX($L$236*(1-$C$15),0)-(IF($C$17&lt;=0,0,IF($C$16=0,MAX($L$236*(1-$C$15),0)/$C$17,-PMT($C$16/12,$C$17*12,MAX($L$236*(1-$C$15),0))*12))/12)*MIN(MAX((A670-$C$13+1)*12,0),$C$17*12),0),MAX(MAX($L$236*(1-$C$15),0)*(1+$C$16/12)^MIN(MAX((A670-$C$13+1)*12,0),$C$17*12)-(IF($C$17&lt;=0,0,IF($C$16=0,MAX($L$236*(1-$C$15),0)/$C$17,-PMT($C$16/12,$C$17*12,MAX($L$236*(1-$C$15),0))*12))/12)*(((1+$C$16/12)^MIN(MAX((A670-$C$13+1)*12,0),$C$17*12)-1)/($C$16/12)),0)))</f>
        <v/>
      </c>
      <c r="Z670" s="138">
        <f>MAX(X670-Y670,0)</f>
        <v/>
      </c>
      <c r="AA670" s="142">
        <f>U670+Z670</f>
        <v/>
      </c>
      <c r="AB670" s="5" t="n"/>
      <c r="AC670" s="5" t="n"/>
      <c r="AD670" s="5" t="n"/>
      <c r="AE670" s="5" t="n"/>
      <c r="AF670" s="5" t="n"/>
      <c r="AG670" s="5" t="n"/>
    </row>
    <row r="671" outlineLevel="1" s="326">
      <c r="A671" s="136" t="n">
        <v>19</v>
      </c>
      <c r="B671" s="72">
        <f>B98</f>
        <v/>
      </c>
      <c r="C671" s="137">
        <f>D98</f>
        <v/>
      </c>
      <c r="D671" s="137">
        <f>I98</f>
        <v/>
      </c>
      <c r="E671" s="137">
        <f>J98</f>
        <v/>
      </c>
      <c r="F671" s="137">
        <f>K98</f>
        <v/>
      </c>
      <c r="G671" s="138">
        <f>IF(AND($L$236&gt;0,A671=$C$13),$L$236*($C$15+$C$18),0)+IF(AND($L$236&gt;0,A671=$C$13),$C$24,0)</f>
        <v/>
      </c>
      <c r="H671" s="138">
        <f>IF(OR($L$236&lt;=0,A671&lt;$C$13),0,IF(AND($L$236&gt;0,$C$17&gt;0,A671&gt;=$C$13,A671&lt;($C$13+$C$17)),IF($C$17&lt;=0,0,IF($C$16=0,MAX($L$236*(1-$C$15),0)/$C$17,-PMT($C$16/12,$C$17*12,MAX($L$236*(1-$C$15),0))*12)),0)+X671*($C$19+$C$20+$C$21)+$C$22+$C$23)</f>
        <v/>
      </c>
      <c r="I671" s="138">
        <f>IF(B671="Working",MIN(MAX(D671-E671-F671-G671-H671,0),'Tax Assumptions'!$B$20),0)</f>
        <v/>
      </c>
      <c r="J671" s="138">
        <f>IF(B671="Working",D671-E671-F671-I671-G671-H671,-L671)</f>
        <v/>
      </c>
      <c r="K671" s="137">
        <f>IF(B671="Retired",$N$236+G671+H671,0)</f>
        <v/>
      </c>
      <c r="L671" s="137">
        <f>M671+N671+O671+P671</f>
        <v/>
      </c>
      <c r="M671" s="137">
        <f>IF(B671="Retired",MIN(((Q670)*(1+$C$10)+IF(B671="Working",J671,0)),K671),0)</f>
        <v/>
      </c>
      <c r="N671" s="137">
        <f>IF(B671="Retired",MIN(MAX(K671-M671,0),((R670)*(1+$C$10)+IF(B671="Working",E98,0))),0)</f>
        <v/>
      </c>
      <c r="O671" s="137">
        <f>IF(B671="Retired",MIN(MAX(K671-M671-N671,0),((S670)*(1+$C$10)+IF(B671="Working",I671,0))),0)</f>
        <v/>
      </c>
      <c r="P671" s="137">
        <f>IF(B671="Retired",MIN(MAX(K671-M671-N671-O671,0),((T670)*(1+$C$10)+IF(B671="Working",F98,0))),0)</f>
        <v/>
      </c>
      <c r="Q671" s="138">
        <f>MAX(((Q670)*(1+$C$10)+IF(B671="Working",J671,0))-M671,0)</f>
        <v/>
      </c>
      <c r="R671" s="138">
        <f>MAX(((R670)*(1+$C$10)+IF(B671="Working",E98,0))-N671,0)</f>
        <v/>
      </c>
      <c r="S671" s="138">
        <f>MAX(((S670)*(1+$C$10)+IF(B671="Working",I671,0))-O671,0)</f>
        <v/>
      </c>
      <c r="T671" s="138">
        <f>MAX(((T670)*(1+$C$10)+IF(B671="Working",F98,0))-P671,0)</f>
        <v/>
      </c>
      <c r="U671" s="138">
        <f>Q671+R671+S671+T671</f>
        <v/>
      </c>
      <c r="V671" s="138">
        <f>IF(B671="Working",MAX(-(((Q670)*(1+$C$10)+IF(B671="Working",J671,0))),0),MAX(K671-L671,0))</f>
        <v/>
      </c>
      <c r="W671" s="138">
        <f>IF(OR(A671&gt;=$C$13,B671="Retired"),IF(V671&gt;0,-V671,U671-'Model Inputs'!$B$18),"")</f>
        <v/>
      </c>
      <c r="X671" s="138">
        <f>IF(AND($L$236&gt;0,A671&gt;=$C$13),$L$236*(1+$C$25)^(A671-$C$13),0)</f>
        <v/>
      </c>
      <c r="Y671" s="138">
        <f>IF(OR($L$236&lt;=0,$C$17&lt;=0,A671&lt;$C$13,MIN(MAX((A671-$C$13+1)*12,0),$C$17*12)&gt;=$C$17*12),0,IF($C$16=0,MAX(MAX($L$236*(1-$C$15),0)-(IF($C$17&lt;=0,0,IF($C$16=0,MAX($L$236*(1-$C$15),0)/$C$17,-PMT($C$16/12,$C$17*12,MAX($L$236*(1-$C$15),0))*12))/12)*MIN(MAX((A671-$C$13+1)*12,0),$C$17*12),0),MAX(MAX($L$236*(1-$C$15),0)*(1+$C$16/12)^MIN(MAX((A671-$C$13+1)*12,0),$C$17*12)-(IF($C$17&lt;=0,0,IF($C$16=0,MAX($L$236*(1-$C$15),0)/$C$17,-PMT($C$16/12,$C$17*12,MAX($L$236*(1-$C$15),0))*12))/12)*(((1+$C$16/12)^MIN(MAX((A671-$C$13+1)*12,0),$C$17*12)-1)/($C$16/12)),0)))</f>
        <v/>
      </c>
      <c r="Z671" s="138">
        <f>MAX(X671-Y671,0)</f>
        <v/>
      </c>
      <c r="AA671" s="139">
        <f>U671+Z671</f>
        <v/>
      </c>
      <c r="AB671" s="5" t="n"/>
      <c r="AC671" s="5" t="n"/>
      <c r="AD671" s="5" t="n"/>
      <c r="AE671" s="5" t="n"/>
      <c r="AF671" s="5" t="n"/>
      <c r="AG671" s="5" t="n"/>
    </row>
    <row r="672" outlineLevel="1" s="326">
      <c r="A672" s="140" t="n">
        <v>20</v>
      </c>
      <c r="B672" s="40">
        <f>B99</f>
        <v/>
      </c>
      <c r="C672" s="141">
        <f>D99</f>
        <v/>
      </c>
      <c r="D672" s="141">
        <f>I99</f>
        <v/>
      </c>
      <c r="E672" s="141">
        <f>J99</f>
        <v/>
      </c>
      <c r="F672" s="141">
        <f>K99</f>
        <v/>
      </c>
      <c r="G672" s="138">
        <f>IF(AND($L$236&gt;0,A672=$C$13),$L$236*($C$15+$C$18),0)+IF(AND($L$236&gt;0,A672=$C$13),$C$24,0)</f>
        <v/>
      </c>
      <c r="H672" s="138">
        <f>IF(OR($L$236&lt;=0,A672&lt;$C$13),0,IF(AND($L$236&gt;0,$C$17&gt;0,A672&gt;=$C$13,A672&lt;($C$13+$C$17)),IF($C$17&lt;=0,0,IF($C$16=0,MAX($L$236*(1-$C$15),0)/$C$17,-PMT($C$16/12,$C$17*12,MAX($L$236*(1-$C$15),0))*12)),0)+X672*($C$19+$C$20+$C$21)+$C$22+$C$23)</f>
        <v/>
      </c>
      <c r="I672" s="138">
        <f>IF(B672="Working",MIN(MAX(D672-E672-F672-G672-H672,0),'Tax Assumptions'!$B$20),0)</f>
        <v/>
      </c>
      <c r="J672" s="138">
        <f>IF(B672="Working",D672-E672-F672-I672-G672-H672,-L672)</f>
        <v/>
      </c>
      <c r="K672" s="141">
        <f>IF(B672="Retired",$N$236+G672+H672,0)</f>
        <v/>
      </c>
      <c r="L672" s="141">
        <f>M672+N672+O672+P672</f>
        <v/>
      </c>
      <c r="M672" s="141">
        <f>IF(B672="Retired",MIN(((Q671)*(1+$C$10)+IF(B672="Working",J672,0)),K672),0)</f>
        <v/>
      </c>
      <c r="N672" s="141">
        <f>IF(B672="Retired",MIN(MAX(K672-M672,0),((R671)*(1+$C$10)+IF(B672="Working",E99,0))),0)</f>
        <v/>
      </c>
      <c r="O672" s="141">
        <f>IF(B672="Retired",MIN(MAX(K672-M672-N672,0),((S671)*(1+$C$10)+IF(B672="Working",I672,0))),0)</f>
        <v/>
      </c>
      <c r="P672" s="141">
        <f>IF(B672="Retired",MIN(MAX(K672-M672-N672-O672,0),((T671)*(1+$C$10)+IF(B672="Working",F99,0))),0)</f>
        <v/>
      </c>
      <c r="Q672" s="138">
        <f>MAX(((Q671)*(1+$C$10)+IF(B672="Working",J672,0))-M672,0)</f>
        <v/>
      </c>
      <c r="R672" s="138">
        <f>MAX(((R671)*(1+$C$10)+IF(B672="Working",E99,0))-N672,0)</f>
        <v/>
      </c>
      <c r="S672" s="138">
        <f>MAX(((S671)*(1+$C$10)+IF(B672="Working",I672,0))-O672,0)</f>
        <v/>
      </c>
      <c r="T672" s="138">
        <f>MAX(((T671)*(1+$C$10)+IF(B672="Working",F99,0))-P672,0)</f>
        <v/>
      </c>
      <c r="U672" s="138">
        <f>Q672+R672+S672+T672</f>
        <v/>
      </c>
      <c r="V672" s="138">
        <f>IF(B672="Working",MAX(-(((Q671)*(1+$C$10)+IF(B672="Working",J672,0))),0),MAX(K672-L672,0))</f>
        <v/>
      </c>
      <c r="W672" s="138">
        <f>IF(OR(A672&gt;=$C$13,B672="Retired"),IF(V672&gt;0,-V672,U672-'Model Inputs'!$B$18),"")</f>
        <v/>
      </c>
      <c r="X672" s="138">
        <f>IF(AND($L$236&gt;0,A672&gt;=$C$13),$L$236*(1+$C$25)^(A672-$C$13),0)</f>
        <v/>
      </c>
      <c r="Y672" s="138">
        <f>IF(OR($L$236&lt;=0,$C$17&lt;=0,A672&lt;$C$13,MIN(MAX((A672-$C$13+1)*12,0),$C$17*12)&gt;=$C$17*12),0,IF($C$16=0,MAX(MAX($L$236*(1-$C$15),0)-(IF($C$17&lt;=0,0,IF($C$16=0,MAX($L$236*(1-$C$15),0)/$C$17,-PMT($C$16/12,$C$17*12,MAX($L$236*(1-$C$15),0))*12))/12)*MIN(MAX((A672-$C$13+1)*12,0),$C$17*12),0),MAX(MAX($L$236*(1-$C$15),0)*(1+$C$16/12)^MIN(MAX((A672-$C$13+1)*12,0),$C$17*12)-(IF($C$17&lt;=0,0,IF($C$16=0,MAX($L$236*(1-$C$15),0)/$C$17,-PMT($C$16/12,$C$17*12,MAX($L$236*(1-$C$15),0))*12))/12)*(((1+$C$16/12)^MIN(MAX((A672-$C$13+1)*12,0),$C$17*12)-1)/($C$16/12)),0)))</f>
        <v/>
      </c>
      <c r="Z672" s="138">
        <f>MAX(X672-Y672,0)</f>
        <v/>
      </c>
      <c r="AA672" s="142">
        <f>U672+Z672</f>
        <v/>
      </c>
      <c r="AB672" s="5" t="n"/>
      <c r="AC672" s="5" t="n"/>
      <c r="AD672" s="5" t="n"/>
      <c r="AE672" s="5" t="n"/>
      <c r="AF672" s="5" t="n"/>
      <c r="AG672" s="5" t="n"/>
    </row>
    <row r="673" outlineLevel="1" s="326">
      <c r="A673" s="136" t="n">
        <v>21</v>
      </c>
      <c r="B673" s="72">
        <f>B100</f>
        <v/>
      </c>
      <c r="C673" s="137">
        <f>D100</f>
        <v/>
      </c>
      <c r="D673" s="137">
        <f>I100</f>
        <v/>
      </c>
      <c r="E673" s="137">
        <f>J100</f>
        <v/>
      </c>
      <c r="F673" s="137">
        <f>K100</f>
        <v/>
      </c>
      <c r="G673" s="138">
        <f>IF(AND($L$236&gt;0,A673=$C$13),$L$236*($C$15+$C$18),0)+IF(AND($L$236&gt;0,A673=$C$13),$C$24,0)</f>
        <v/>
      </c>
      <c r="H673" s="138">
        <f>IF(OR($L$236&lt;=0,A673&lt;$C$13),0,IF(AND($L$236&gt;0,$C$17&gt;0,A673&gt;=$C$13,A673&lt;($C$13+$C$17)),IF($C$17&lt;=0,0,IF($C$16=0,MAX($L$236*(1-$C$15),0)/$C$17,-PMT($C$16/12,$C$17*12,MAX($L$236*(1-$C$15),0))*12)),0)+X673*($C$19+$C$20+$C$21)+$C$22+$C$23)</f>
        <v/>
      </c>
      <c r="I673" s="138">
        <f>IF(B673="Working",MIN(MAX(D673-E673-F673-G673-H673,0),'Tax Assumptions'!$B$20),0)</f>
        <v/>
      </c>
      <c r="J673" s="138">
        <f>IF(B673="Working",D673-E673-F673-I673-G673-H673,-L673)</f>
        <v/>
      </c>
      <c r="K673" s="137">
        <f>IF(B673="Retired",$N$236+G673+H673,0)</f>
        <v/>
      </c>
      <c r="L673" s="137">
        <f>M673+N673+O673+P673</f>
        <v/>
      </c>
      <c r="M673" s="137">
        <f>IF(B673="Retired",MIN(((Q672)*(1+$C$10)+IF(B673="Working",J673,0)),K673),0)</f>
        <v/>
      </c>
      <c r="N673" s="137">
        <f>IF(B673="Retired",MIN(MAX(K673-M673,0),((R672)*(1+$C$10)+IF(B673="Working",E100,0))),0)</f>
        <v/>
      </c>
      <c r="O673" s="137">
        <f>IF(B673="Retired",MIN(MAX(K673-M673-N673,0),((S672)*(1+$C$10)+IF(B673="Working",I673,0))),0)</f>
        <v/>
      </c>
      <c r="P673" s="137">
        <f>IF(B673="Retired",MIN(MAX(K673-M673-N673-O673,0),((T672)*(1+$C$10)+IF(B673="Working",F100,0))),0)</f>
        <v/>
      </c>
      <c r="Q673" s="138">
        <f>MAX(((Q672)*(1+$C$10)+IF(B673="Working",J673,0))-M673,0)</f>
        <v/>
      </c>
      <c r="R673" s="138">
        <f>MAX(((R672)*(1+$C$10)+IF(B673="Working",E100,0))-N673,0)</f>
        <v/>
      </c>
      <c r="S673" s="138">
        <f>MAX(((S672)*(1+$C$10)+IF(B673="Working",I673,0))-O673,0)</f>
        <v/>
      </c>
      <c r="T673" s="138">
        <f>MAX(((T672)*(1+$C$10)+IF(B673="Working",F100,0))-P673,0)</f>
        <v/>
      </c>
      <c r="U673" s="138">
        <f>Q673+R673+S673+T673</f>
        <v/>
      </c>
      <c r="V673" s="138">
        <f>IF(B673="Working",MAX(-(((Q672)*(1+$C$10)+IF(B673="Working",J673,0))),0),MAX(K673-L673,0))</f>
        <v/>
      </c>
      <c r="W673" s="138">
        <f>IF(OR(A673&gt;=$C$13,B673="Retired"),IF(V673&gt;0,-V673,U673-'Model Inputs'!$B$18),"")</f>
        <v/>
      </c>
      <c r="X673" s="138">
        <f>IF(AND($L$236&gt;0,A673&gt;=$C$13),$L$236*(1+$C$25)^(A673-$C$13),0)</f>
        <v/>
      </c>
      <c r="Y673" s="138">
        <f>IF(OR($L$236&lt;=0,$C$17&lt;=0,A673&lt;$C$13,MIN(MAX((A673-$C$13+1)*12,0),$C$17*12)&gt;=$C$17*12),0,IF($C$16=0,MAX(MAX($L$236*(1-$C$15),0)-(IF($C$17&lt;=0,0,IF($C$16=0,MAX($L$236*(1-$C$15),0)/$C$17,-PMT($C$16/12,$C$17*12,MAX($L$236*(1-$C$15),0))*12))/12)*MIN(MAX((A673-$C$13+1)*12,0),$C$17*12),0),MAX(MAX($L$236*(1-$C$15),0)*(1+$C$16/12)^MIN(MAX((A673-$C$13+1)*12,0),$C$17*12)-(IF($C$17&lt;=0,0,IF($C$16=0,MAX($L$236*(1-$C$15),0)/$C$17,-PMT($C$16/12,$C$17*12,MAX($L$236*(1-$C$15),0))*12))/12)*(((1+$C$16/12)^MIN(MAX((A673-$C$13+1)*12,0),$C$17*12)-1)/($C$16/12)),0)))</f>
        <v/>
      </c>
      <c r="Z673" s="138">
        <f>MAX(X673-Y673,0)</f>
        <v/>
      </c>
      <c r="AA673" s="139">
        <f>U673+Z673</f>
        <v/>
      </c>
      <c r="AB673" s="5" t="n"/>
      <c r="AC673" s="5" t="n"/>
      <c r="AD673" s="5" t="n"/>
      <c r="AE673" s="5" t="n"/>
      <c r="AF673" s="5" t="n"/>
      <c r="AG673" s="5" t="n"/>
    </row>
    <row r="674" outlineLevel="1" s="326">
      <c r="A674" s="140" t="n">
        <v>22</v>
      </c>
      <c r="B674" s="40">
        <f>B101</f>
        <v/>
      </c>
      <c r="C674" s="141">
        <f>D101</f>
        <v/>
      </c>
      <c r="D674" s="141">
        <f>I101</f>
        <v/>
      </c>
      <c r="E674" s="141">
        <f>J101</f>
        <v/>
      </c>
      <c r="F674" s="141">
        <f>K101</f>
        <v/>
      </c>
      <c r="G674" s="138">
        <f>IF(AND($L$236&gt;0,A674=$C$13),$L$236*($C$15+$C$18),0)+IF(AND($L$236&gt;0,A674=$C$13),$C$24,0)</f>
        <v/>
      </c>
      <c r="H674" s="138">
        <f>IF(OR($L$236&lt;=0,A674&lt;$C$13),0,IF(AND($L$236&gt;0,$C$17&gt;0,A674&gt;=$C$13,A674&lt;($C$13+$C$17)),IF($C$17&lt;=0,0,IF($C$16=0,MAX($L$236*(1-$C$15),0)/$C$17,-PMT($C$16/12,$C$17*12,MAX($L$236*(1-$C$15),0))*12)),0)+X674*($C$19+$C$20+$C$21)+$C$22+$C$23)</f>
        <v/>
      </c>
      <c r="I674" s="138">
        <f>IF(B674="Working",MIN(MAX(D674-E674-F674-G674-H674,0),'Tax Assumptions'!$B$20),0)</f>
        <v/>
      </c>
      <c r="J674" s="138">
        <f>IF(B674="Working",D674-E674-F674-I674-G674-H674,-L674)</f>
        <v/>
      </c>
      <c r="K674" s="141">
        <f>IF(B674="Retired",$N$236+G674+H674,0)</f>
        <v/>
      </c>
      <c r="L674" s="141">
        <f>M674+N674+O674+P674</f>
        <v/>
      </c>
      <c r="M674" s="141">
        <f>IF(B674="Retired",MIN(((Q673)*(1+$C$10)+IF(B674="Working",J674,0)),K674),0)</f>
        <v/>
      </c>
      <c r="N674" s="141">
        <f>IF(B674="Retired",MIN(MAX(K674-M674,0),((R673)*(1+$C$10)+IF(B674="Working",E101,0))),0)</f>
        <v/>
      </c>
      <c r="O674" s="141">
        <f>IF(B674="Retired",MIN(MAX(K674-M674-N674,0),((S673)*(1+$C$10)+IF(B674="Working",I674,0))),0)</f>
        <v/>
      </c>
      <c r="P674" s="141">
        <f>IF(B674="Retired",MIN(MAX(K674-M674-N674-O674,0),((T673)*(1+$C$10)+IF(B674="Working",F101,0))),0)</f>
        <v/>
      </c>
      <c r="Q674" s="138">
        <f>MAX(((Q673)*(1+$C$10)+IF(B674="Working",J674,0))-M674,0)</f>
        <v/>
      </c>
      <c r="R674" s="138">
        <f>MAX(((R673)*(1+$C$10)+IF(B674="Working",E101,0))-N674,0)</f>
        <v/>
      </c>
      <c r="S674" s="138">
        <f>MAX(((S673)*(1+$C$10)+IF(B674="Working",I674,0))-O674,0)</f>
        <v/>
      </c>
      <c r="T674" s="138">
        <f>MAX(((T673)*(1+$C$10)+IF(B674="Working",F101,0))-P674,0)</f>
        <v/>
      </c>
      <c r="U674" s="138">
        <f>Q674+R674+S674+T674</f>
        <v/>
      </c>
      <c r="V674" s="138">
        <f>IF(B674="Working",MAX(-(((Q673)*(1+$C$10)+IF(B674="Working",J674,0))),0),MAX(K674-L674,0))</f>
        <v/>
      </c>
      <c r="W674" s="138">
        <f>IF(OR(A674&gt;=$C$13,B674="Retired"),IF(V674&gt;0,-V674,U674-'Model Inputs'!$B$18),"")</f>
        <v/>
      </c>
      <c r="X674" s="138">
        <f>IF(AND($L$236&gt;0,A674&gt;=$C$13),$L$236*(1+$C$25)^(A674-$C$13),0)</f>
        <v/>
      </c>
      <c r="Y674" s="138">
        <f>IF(OR($L$236&lt;=0,$C$17&lt;=0,A674&lt;$C$13,MIN(MAX((A674-$C$13+1)*12,0),$C$17*12)&gt;=$C$17*12),0,IF($C$16=0,MAX(MAX($L$236*(1-$C$15),0)-(IF($C$17&lt;=0,0,IF($C$16=0,MAX($L$236*(1-$C$15),0)/$C$17,-PMT($C$16/12,$C$17*12,MAX($L$236*(1-$C$15),0))*12))/12)*MIN(MAX((A674-$C$13+1)*12,0),$C$17*12),0),MAX(MAX($L$236*(1-$C$15),0)*(1+$C$16/12)^MIN(MAX((A674-$C$13+1)*12,0),$C$17*12)-(IF($C$17&lt;=0,0,IF($C$16=0,MAX($L$236*(1-$C$15),0)/$C$17,-PMT($C$16/12,$C$17*12,MAX($L$236*(1-$C$15),0))*12))/12)*(((1+$C$16/12)^MIN(MAX((A674-$C$13+1)*12,0),$C$17*12)-1)/($C$16/12)),0)))</f>
        <v/>
      </c>
      <c r="Z674" s="138">
        <f>MAX(X674-Y674,0)</f>
        <v/>
      </c>
      <c r="AA674" s="142">
        <f>U674+Z674</f>
        <v/>
      </c>
      <c r="AB674" s="5" t="n"/>
      <c r="AC674" s="5" t="n"/>
      <c r="AD674" s="5" t="n"/>
      <c r="AE674" s="5" t="n"/>
      <c r="AF674" s="5" t="n"/>
      <c r="AG674" s="5" t="n"/>
    </row>
    <row r="675" outlineLevel="1" s="326">
      <c r="A675" s="136" t="n">
        <v>23</v>
      </c>
      <c r="B675" s="72">
        <f>B102</f>
        <v/>
      </c>
      <c r="C675" s="137">
        <f>D102</f>
        <v/>
      </c>
      <c r="D675" s="137">
        <f>I102</f>
        <v/>
      </c>
      <c r="E675" s="137">
        <f>J102</f>
        <v/>
      </c>
      <c r="F675" s="137">
        <f>K102</f>
        <v/>
      </c>
      <c r="G675" s="138">
        <f>IF(AND($L$236&gt;0,A675=$C$13),$L$236*($C$15+$C$18),0)+IF(AND($L$236&gt;0,A675=$C$13),$C$24,0)</f>
        <v/>
      </c>
      <c r="H675" s="138">
        <f>IF(OR($L$236&lt;=0,A675&lt;$C$13),0,IF(AND($L$236&gt;0,$C$17&gt;0,A675&gt;=$C$13,A675&lt;($C$13+$C$17)),IF($C$17&lt;=0,0,IF($C$16=0,MAX($L$236*(1-$C$15),0)/$C$17,-PMT($C$16/12,$C$17*12,MAX($L$236*(1-$C$15),0))*12)),0)+X675*($C$19+$C$20+$C$21)+$C$22+$C$23)</f>
        <v/>
      </c>
      <c r="I675" s="138">
        <f>IF(B675="Working",MIN(MAX(D675-E675-F675-G675-H675,0),'Tax Assumptions'!$B$20),0)</f>
        <v/>
      </c>
      <c r="J675" s="138">
        <f>IF(B675="Working",D675-E675-F675-I675-G675-H675,-L675)</f>
        <v/>
      </c>
      <c r="K675" s="137">
        <f>IF(B675="Retired",$N$236+G675+H675,0)</f>
        <v/>
      </c>
      <c r="L675" s="137">
        <f>M675+N675+O675+P675</f>
        <v/>
      </c>
      <c r="M675" s="137">
        <f>IF(B675="Retired",MIN(((Q674)*(1+$C$10)+IF(B675="Working",J675,0)),K675),0)</f>
        <v/>
      </c>
      <c r="N675" s="137">
        <f>IF(B675="Retired",MIN(MAX(K675-M675,0),((R674)*(1+$C$10)+IF(B675="Working",E102,0))),0)</f>
        <v/>
      </c>
      <c r="O675" s="137">
        <f>IF(B675="Retired",MIN(MAX(K675-M675-N675,0),((S674)*(1+$C$10)+IF(B675="Working",I675,0))),0)</f>
        <v/>
      </c>
      <c r="P675" s="137">
        <f>IF(B675="Retired",MIN(MAX(K675-M675-N675-O675,0),((T674)*(1+$C$10)+IF(B675="Working",F102,0))),0)</f>
        <v/>
      </c>
      <c r="Q675" s="138">
        <f>MAX(((Q674)*(1+$C$10)+IF(B675="Working",J675,0))-M675,0)</f>
        <v/>
      </c>
      <c r="R675" s="138">
        <f>MAX(((R674)*(1+$C$10)+IF(B675="Working",E102,0))-N675,0)</f>
        <v/>
      </c>
      <c r="S675" s="138">
        <f>MAX(((S674)*(1+$C$10)+IF(B675="Working",I675,0))-O675,0)</f>
        <v/>
      </c>
      <c r="T675" s="138">
        <f>MAX(((T674)*(1+$C$10)+IF(B675="Working",F102,0))-P675,0)</f>
        <v/>
      </c>
      <c r="U675" s="138">
        <f>Q675+R675+S675+T675</f>
        <v/>
      </c>
      <c r="V675" s="138">
        <f>IF(B675="Working",MAX(-(((Q674)*(1+$C$10)+IF(B675="Working",J675,0))),0),MAX(K675-L675,0))</f>
        <v/>
      </c>
      <c r="W675" s="138">
        <f>IF(OR(A675&gt;=$C$13,B675="Retired"),IF(V675&gt;0,-V675,U675-'Model Inputs'!$B$18),"")</f>
        <v/>
      </c>
      <c r="X675" s="138">
        <f>IF(AND($L$236&gt;0,A675&gt;=$C$13),$L$236*(1+$C$25)^(A675-$C$13),0)</f>
        <v/>
      </c>
      <c r="Y675" s="138">
        <f>IF(OR($L$236&lt;=0,$C$17&lt;=0,A675&lt;$C$13,MIN(MAX((A675-$C$13+1)*12,0),$C$17*12)&gt;=$C$17*12),0,IF($C$16=0,MAX(MAX($L$236*(1-$C$15),0)-(IF($C$17&lt;=0,0,IF($C$16=0,MAX($L$236*(1-$C$15),0)/$C$17,-PMT($C$16/12,$C$17*12,MAX($L$236*(1-$C$15),0))*12))/12)*MIN(MAX((A675-$C$13+1)*12,0),$C$17*12),0),MAX(MAX($L$236*(1-$C$15),0)*(1+$C$16/12)^MIN(MAX((A675-$C$13+1)*12,0),$C$17*12)-(IF($C$17&lt;=0,0,IF($C$16=0,MAX($L$236*(1-$C$15),0)/$C$17,-PMT($C$16/12,$C$17*12,MAX($L$236*(1-$C$15),0))*12))/12)*(((1+$C$16/12)^MIN(MAX((A675-$C$13+1)*12,0),$C$17*12)-1)/($C$16/12)),0)))</f>
        <v/>
      </c>
      <c r="Z675" s="138">
        <f>MAX(X675-Y675,0)</f>
        <v/>
      </c>
      <c r="AA675" s="139">
        <f>U675+Z675</f>
        <v/>
      </c>
      <c r="AB675" s="5" t="n"/>
      <c r="AC675" s="5" t="n"/>
      <c r="AD675" s="5" t="n"/>
      <c r="AE675" s="5" t="n"/>
      <c r="AF675" s="5" t="n"/>
      <c r="AG675" s="5" t="n"/>
    </row>
    <row r="676" outlineLevel="1" s="326">
      <c r="A676" s="140" t="n">
        <v>24</v>
      </c>
      <c r="B676" s="40">
        <f>B103</f>
        <v/>
      </c>
      <c r="C676" s="141">
        <f>D103</f>
        <v/>
      </c>
      <c r="D676" s="141">
        <f>I103</f>
        <v/>
      </c>
      <c r="E676" s="141">
        <f>J103</f>
        <v/>
      </c>
      <c r="F676" s="141">
        <f>K103</f>
        <v/>
      </c>
      <c r="G676" s="138">
        <f>IF(AND($L$236&gt;0,A676=$C$13),$L$236*($C$15+$C$18),0)+IF(AND($L$236&gt;0,A676=$C$13),$C$24,0)</f>
        <v/>
      </c>
      <c r="H676" s="138">
        <f>IF(OR($L$236&lt;=0,A676&lt;$C$13),0,IF(AND($L$236&gt;0,$C$17&gt;0,A676&gt;=$C$13,A676&lt;($C$13+$C$17)),IF($C$17&lt;=0,0,IF($C$16=0,MAX($L$236*(1-$C$15),0)/$C$17,-PMT($C$16/12,$C$17*12,MAX($L$236*(1-$C$15),0))*12)),0)+X676*($C$19+$C$20+$C$21)+$C$22+$C$23)</f>
        <v/>
      </c>
      <c r="I676" s="138">
        <f>IF(B676="Working",MIN(MAX(D676-E676-F676-G676-H676,0),'Tax Assumptions'!$B$20),0)</f>
        <v/>
      </c>
      <c r="J676" s="138">
        <f>IF(B676="Working",D676-E676-F676-I676-G676-H676,-L676)</f>
        <v/>
      </c>
      <c r="K676" s="141">
        <f>IF(B676="Retired",$N$236+G676+H676,0)</f>
        <v/>
      </c>
      <c r="L676" s="141">
        <f>M676+N676+O676+P676</f>
        <v/>
      </c>
      <c r="M676" s="141">
        <f>IF(B676="Retired",MIN(((Q675)*(1+$C$10)+IF(B676="Working",J676,0)),K676),0)</f>
        <v/>
      </c>
      <c r="N676" s="141">
        <f>IF(B676="Retired",MIN(MAX(K676-M676,0),((R675)*(1+$C$10)+IF(B676="Working",E103,0))),0)</f>
        <v/>
      </c>
      <c r="O676" s="141">
        <f>IF(B676="Retired",MIN(MAX(K676-M676-N676,0),((S675)*(1+$C$10)+IF(B676="Working",I676,0))),0)</f>
        <v/>
      </c>
      <c r="P676" s="141">
        <f>IF(B676="Retired",MIN(MAX(K676-M676-N676-O676,0),((T675)*(1+$C$10)+IF(B676="Working",F103,0))),0)</f>
        <v/>
      </c>
      <c r="Q676" s="138">
        <f>MAX(((Q675)*(1+$C$10)+IF(B676="Working",J676,0))-M676,0)</f>
        <v/>
      </c>
      <c r="R676" s="138">
        <f>MAX(((R675)*(1+$C$10)+IF(B676="Working",E103,0))-N676,0)</f>
        <v/>
      </c>
      <c r="S676" s="138">
        <f>MAX(((S675)*(1+$C$10)+IF(B676="Working",I676,0))-O676,0)</f>
        <v/>
      </c>
      <c r="T676" s="138">
        <f>MAX(((T675)*(1+$C$10)+IF(B676="Working",F103,0))-P676,0)</f>
        <v/>
      </c>
      <c r="U676" s="138">
        <f>Q676+R676+S676+T676</f>
        <v/>
      </c>
      <c r="V676" s="138">
        <f>IF(B676="Working",MAX(-(((Q675)*(1+$C$10)+IF(B676="Working",J676,0))),0),MAX(K676-L676,0))</f>
        <v/>
      </c>
      <c r="W676" s="138">
        <f>IF(OR(A676&gt;=$C$13,B676="Retired"),IF(V676&gt;0,-V676,U676-'Model Inputs'!$B$18),"")</f>
        <v/>
      </c>
      <c r="X676" s="138">
        <f>IF(AND($L$236&gt;0,A676&gt;=$C$13),$L$236*(1+$C$25)^(A676-$C$13),0)</f>
        <v/>
      </c>
      <c r="Y676" s="138">
        <f>IF(OR($L$236&lt;=0,$C$17&lt;=0,A676&lt;$C$13,MIN(MAX((A676-$C$13+1)*12,0),$C$17*12)&gt;=$C$17*12),0,IF($C$16=0,MAX(MAX($L$236*(1-$C$15),0)-(IF($C$17&lt;=0,0,IF($C$16=0,MAX($L$236*(1-$C$15),0)/$C$17,-PMT($C$16/12,$C$17*12,MAX($L$236*(1-$C$15),0))*12))/12)*MIN(MAX((A676-$C$13+1)*12,0),$C$17*12),0),MAX(MAX($L$236*(1-$C$15),0)*(1+$C$16/12)^MIN(MAX((A676-$C$13+1)*12,0),$C$17*12)-(IF($C$17&lt;=0,0,IF($C$16=0,MAX($L$236*(1-$C$15),0)/$C$17,-PMT($C$16/12,$C$17*12,MAX($L$236*(1-$C$15),0))*12))/12)*(((1+$C$16/12)^MIN(MAX((A676-$C$13+1)*12,0),$C$17*12)-1)/($C$16/12)),0)))</f>
        <v/>
      </c>
      <c r="Z676" s="138">
        <f>MAX(X676-Y676,0)</f>
        <v/>
      </c>
      <c r="AA676" s="142">
        <f>U676+Z676</f>
        <v/>
      </c>
      <c r="AB676" s="5" t="n"/>
      <c r="AC676" s="5" t="n"/>
      <c r="AD676" s="5" t="n"/>
      <c r="AE676" s="5" t="n"/>
      <c r="AF676" s="5" t="n"/>
      <c r="AG676" s="5" t="n"/>
    </row>
    <row r="677" outlineLevel="1" s="326">
      <c r="A677" s="136" t="n">
        <v>25</v>
      </c>
      <c r="B677" s="72">
        <f>B104</f>
        <v/>
      </c>
      <c r="C677" s="137">
        <f>D104</f>
        <v/>
      </c>
      <c r="D677" s="137">
        <f>I104</f>
        <v/>
      </c>
      <c r="E677" s="137">
        <f>J104</f>
        <v/>
      </c>
      <c r="F677" s="137">
        <f>K104</f>
        <v/>
      </c>
      <c r="G677" s="138">
        <f>IF(AND($L$236&gt;0,A677=$C$13),$L$236*($C$15+$C$18),0)+IF(AND($L$236&gt;0,A677=$C$13),$C$24,0)</f>
        <v/>
      </c>
      <c r="H677" s="138">
        <f>IF(OR($L$236&lt;=0,A677&lt;$C$13),0,IF(AND($L$236&gt;0,$C$17&gt;0,A677&gt;=$C$13,A677&lt;($C$13+$C$17)),IF($C$17&lt;=0,0,IF($C$16=0,MAX($L$236*(1-$C$15),0)/$C$17,-PMT($C$16/12,$C$17*12,MAX($L$236*(1-$C$15),0))*12)),0)+X677*($C$19+$C$20+$C$21)+$C$22+$C$23)</f>
        <v/>
      </c>
      <c r="I677" s="138">
        <f>IF(B677="Working",MIN(MAX(D677-E677-F677-G677-H677,0),'Tax Assumptions'!$B$20),0)</f>
        <v/>
      </c>
      <c r="J677" s="138">
        <f>IF(B677="Working",D677-E677-F677-I677-G677-H677,-L677)</f>
        <v/>
      </c>
      <c r="K677" s="137">
        <f>IF(B677="Retired",$N$236+G677+H677,0)</f>
        <v/>
      </c>
      <c r="L677" s="137">
        <f>M677+N677+O677+P677</f>
        <v/>
      </c>
      <c r="M677" s="137">
        <f>IF(B677="Retired",MIN(((Q676)*(1+$C$10)+IF(B677="Working",J677,0)),K677),0)</f>
        <v/>
      </c>
      <c r="N677" s="137">
        <f>IF(B677="Retired",MIN(MAX(K677-M677,0),((R676)*(1+$C$10)+IF(B677="Working",E104,0))),0)</f>
        <v/>
      </c>
      <c r="O677" s="137">
        <f>IF(B677="Retired",MIN(MAX(K677-M677-N677,0),((S676)*(1+$C$10)+IF(B677="Working",I677,0))),0)</f>
        <v/>
      </c>
      <c r="P677" s="137">
        <f>IF(B677="Retired",MIN(MAX(K677-M677-N677-O677,0),((T676)*(1+$C$10)+IF(B677="Working",F104,0))),0)</f>
        <v/>
      </c>
      <c r="Q677" s="138">
        <f>MAX(((Q676)*(1+$C$10)+IF(B677="Working",J677,0))-M677,0)</f>
        <v/>
      </c>
      <c r="R677" s="138">
        <f>MAX(((R676)*(1+$C$10)+IF(B677="Working",E104,0))-N677,0)</f>
        <v/>
      </c>
      <c r="S677" s="138">
        <f>MAX(((S676)*(1+$C$10)+IF(B677="Working",I677,0))-O677,0)</f>
        <v/>
      </c>
      <c r="T677" s="138">
        <f>MAX(((T676)*(1+$C$10)+IF(B677="Working",F104,0))-P677,0)</f>
        <v/>
      </c>
      <c r="U677" s="138">
        <f>Q677+R677+S677+T677</f>
        <v/>
      </c>
      <c r="V677" s="138">
        <f>IF(B677="Working",MAX(-(((Q676)*(1+$C$10)+IF(B677="Working",J677,0))),0),MAX(K677-L677,0))</f>
        <v/>
      </c>
      <c r="W677" s="138">
        <f>IF(OR(A677&gt;=$C$13,B677="Retired"),IF(V677&gt;0,-V677,U677-'Model Inputs'!$B$18),"")</f>
        <v/>
      </c>
      <c r="X677" s="138">
        <f>IF(AND($L$236&gt;0,A677&gt;=$C$13),$L$236*(1+$C$25)^(A677-$C$13),0)</f>
        <v/>
      </c>
      <c r="Y677" s="138">
        <f>IF(OR($L$236&lt;=0,$C$17&lt;=0,A677&lt;$C$13,MIN(MAX((A677-$C$13+1)*12,0),$C$17*12)&gt;=$C$17*12),0,IF($C$16=0,MAX(MAX($L$236*(1-$C$15),0)-(IF($C$17&lt;=0,0,IF($C$16=0,MAX($L$236*(1-$C$15),0)/$C$17,-PMT($C$16/12,$C$17*12,MAX($L$236*(1-$C$15),0))*12))/12)*MIN(MAX((A677-$C$13+1)*12,0),$C$17*12),0),MAX(MAX($L$236*(1-$C$15),0)*(1+$C$16/12)^MIN(MAX((A677-$C$13+1)*12,0),$C$17*12)-(IF($C$17&lt;=0,0,IF($C$16=0,MAX($L$236*(1-$C$15),0)/$C$17,-PMT($C$16/12,$C$17*12,MAX($L$236*(1-$C$15),0))*12))/12)*(((1+$C$16/12)^MIN(MAX((A677-$C$13+1)*12,0),$C$17*12)-1)/($C$16/12)),0)))</f>
        <v/>
      </c>
      <c r="Z677" s="138">
        <f>MAX(X677-Y677,0)</f>
        <v/>
      </c>
      <c r="AA677" s="139">
        <f>U677+Z677</f>
        <v/>
      </c>
      <c r="AB677" s="5" t="n"/>
      <c r="AC677" s="5" t="n"/>
      <c r="AD677" s="5" t="n"/>
      <c r="AE677" s="5" t="n"/>
      <c r="AF677" s="5" t="n"/>
      <c r="AG677" s="5" t="n"/>
    </row>
    <row r="678" outlineLevel="1" s="326">
      <c r="A678" s="140" t="n">
        <v>26</v>
      </c>
      <c r="B678" s="40">
        <f>B105</f>
        <v/>
      </c>
      <c r="C678" s="141">
        <f>D105</f>
        <v/>
      </c>
      <c r="D678" s="141">
        <f>I105</f>
        <v/>
      </c>
      <c r="E678" s="141">
        <f>J105</f>
        <v/>
      </c>
      <c r="F678" s="141">
        <f>K105</f>
        <v/>
      </c>
      <c r="G678" s="138">
        <f>IF(AND($L$236&gt;0,A678=$C$13),$L$236*($C$15+$C$18),0)+IF(AND($L$236&gt;0,A678=$C$13),$C$24,0)</f>
        <v/>
      </c>
      <c r="H678" s="138">
        <f>IF(OR($L$236&lt;=0,A678&lt;$C$13),0,IF(AND($L$236&gt;0,$C$17&gt;0,A678&gt;=$C$13,A678&lt;($C$13+$C$17)),IF($C$17&lt;=0,0,IF($C$16=0,MAX($L$236*(1-$C$15),0)/$C$17,-PMT($C$16/12,$C$17*12,MAX($L$236*(1-$C$15),0))*12)),0)+X678*($C$19+$C$20+$C$21)+$C$22+$C$23)</f>
        <v/>
      </c>
      <c r="I678" s="138">
        <f>IF(B678="Working",MIN(MAX(D678-E678-F678-G678-H678,0),'Tax Assumptions'!$B$20),0)</f>
        <v/>
      </c>
      <c r="J678" s="138">
        <f>IF(B678="Working",D678-E678-F678-I678-G678-H678,-L678)</f>
        <v/>
      </c>
      <c r="K678" s="141">
        <f>IF(B678="Retired",$N$236+G678+H678,0)</f>
        <v/>
      </c>
      <c r="L678" s="141">
        <f>M678+N678+O678+P678</f>
        <v/>
      </c>
      <c r="M678" s="141">
        <f>IF(B678="Retired",MIN(((Q677)*(1+$C$10)+IF(B678="Working",J678,0)),K678),0)</f>
        <v/>
      </c>
      <c r="N678" s="141">
        <f>IF(B678="Retired",MIN(MAX(K678-M678,0),((R677)*(1+$C$10)+IF(B678="Working",E105,0))),0)</f>
        <v/>
      </c>
      <c r="O678" s="141">
        <f>IF(B678="Retired",MIN(MAX(K678-M678-N678,0),((S677)*(1+$C$10)+IF(B678="Working",I678,0))),0)</f>
        <v/>
      </c>
      <c r="P678" s="141">
        <f>IF(B678="Retired",MIN(MAX(K678-M678-N678-O678,0),((T677)*(1+$C$10)+IF(B678="Working",F105,0))),0)</f>
        <v/>
      </c>
      <c r="Q678" s="138">
        <f>MAX(((Q677)*(1+$C$10)+IF(B678="Working",J678,0))-M678,0)</f>
        <v/>
      </c>
      <c r="R678" s="138">
        <f>MAX(((R677)*(1+$C$10)+IF(B678="Working",E105,0))-N678,0)</f>
        <v/>
      </c>
      <c r="S678" s="138">
        <f>MAX(((S677)*(1+$C$10)+IF(B678="Working",I678,0))-O678,0)</f>
        <v/>
      </c>
      <c r="T678" s="138">
        <f>MAX(((T677)*(1+$C$10)+IF(B678="Working",F105,0))-P678,0)</f>
        <v/>
      </c>
      <c r="U678" s="138">
        <f>Q678+R678+S678+T678</f>
        <v/>
      </c>
      <c r="V678" s="138">
        <f>IF(B678="Working",MAX(-(((Q677)*(1+$C$10)+IF(B678="Working",J678,0))),0),MAX(K678-L678,0))</f>
        <v/>
      </c>
      <c r="W678" s="138">
        <f>IF(OR(A678&gt;=$C$13,B678="Retired"),IF(V678&gt;0,-V678,U678-'Model Inputs'!$B$18),"")</f>
        <v/>
      </c>
      <c r="X678" s="138">
        <f>IF(AND($L$236&gt;0,A678&gt;=$C$13),$L$236*(1+$C$25)^(A678-$C$13),0)</f>
        <v/>
      </c>
      <c r="Y678" s="138">
        <f>IF(OR($L$236&lt;=0,$C$17&lt;=0,A678&lt;$C$13,MIN(MAX((A678-$C$13+1)*12,0),$C$17*12)&gt;=$C$17*12),0,IF($C$16=0,MAX(MAX($L$236*(1-$C$15),0)-(IF($C$17&lt;=0,0,IF($C$16=0,MAX($L$236*(1-$C$15),0)/$C$17,-PMT($C$16/12,$C$17*12,MAX($L$236*(1-$C$15),0))*12))/12)*MIN(MAX((A678-$C$13+1)*12,0),$C$17*12),0),MAX(MAX($L$236*(1-$C$15),0)*(1+$C$16/12)^MIN(MAX((A678-$C$13+1)*12,0),$C$17*12)-(IF($C$17&lt;=0,0,IF($C$16=0,MAX($L$236*(1-$C$15),0)/$C$17,-PMT($C$16/12,$C$17*12,MAX($L$236*(1-$C$15),0))*12))/12)*(((1+$C$16/12)^MIN(MAX((A678-$C$13+1)*12,0),$C$17*12)-1)/($C$16/12)),0)))</f>
        <v/>
      </c>
      <c r="Z678" s="138">
        <f>MAX(X678-Y678,0)</f>
        <v/>
      </c>
      <c r="AA678" s="142">
        <f>U678+Z678</f>
        <v/>
      </c>
      <c r="AB678" s="5" t="n"/>
      <c r="AC678" s="5" t="n"/>
      <c r="AD678" s="5" t="n"/>
      <c r="AE678" s="5" t="n"/>
      <c r="AF678" s="5" t="n"/>
      <c r="AG678" s="5" t="n"/>
    </row>
    <row r="679" outlineLevel="1" s="326">
      <c r="A679" s="136" t="n">
        <v>27</v>
      </c>
      <c r="B679" s="72">
        <f>B106</f>
        <v/>
      </c>
      <c r="C679" s="137">
        <f>D106</f>
        <v/>
      </c>
      <c r="D679" s="137">
        <f>I106</f>
        <v/>
      </c>
      <c r="E679" s="137">
        <f>J106</f>
        <v/>
      </c>
      <c r="F679" s="137">
        <f>K106</f>
        <v/>
      </c>
      <c r="G679" s="138">
        <f>IF(AND($L$236&gt;0,A679=$C$13),$L$236*($C$15+$C$18),0)+IF(AND($L$236&gt;0,A679=$C$13),$C$24,0)</f>
        <v/>
      </c>
      <c r="H679" s="138">
        <f>IF(OR($L$236&lt;=0,A679&lt;$C$13),0,IF(AND($L$236&gt;0,$C$17&gt;0,A679&gt;=$C$13,A679&lt;($C$13+$C$17)),IF($C$17&lt;=0,0,IF($C$16=0,MAX($L$236*(1-$C$15),0)/$C$17,-PMT($C$16/12,$C$17*12,MAX($L$236*(1-$C$15),0))*12)),0)+X679*($C$19+$C$20+$C$21)+$C$22+$C$23)</f>
        <v/>
      </c>
      <c r="I679" s="138">
        <f>IF(B679="Working",MIN(MAX(D679-E679-F679-G679-H679,0),'Tax Assumptions'!$B$20),0)</f>
        <v/>
      </c>
      <c r="J679" s="138">
        <f>IF(B679="Working",D679-E679-F679-I679-G679-H679,-L679)</f>
        <v/>
      </c>
      <c r="K679" s="137">
        <f>IF(B679="Retired",$N$236+G679+H679,0)</f>
        <v/>
      </c>
      <c r="L679" s="137">
        <f>M679+N679+O679+P679</f>
        <v/>
      </c>
      <c r="M679" s="137">
        <f>IF(B679="Retired",MIN(((Q678)*(1+$C$10)+IF(B679="Working",J679,0)),K679),0)</f>
        <v/>
      </c>
      <c r="N679" s="137">
        <f>IF(B679="Retired",MIN(MAX(K679-M679,0),((R678)*(1+$C$10)+IF(B679="Working",E106,0))),0)</f>
        <v/>
      </c>
      <c r="O679" s="137">
        <f>IF(B679="Retired",MIN(MAX(K679-M679-N679,0),((S678)*(1+$C$10)+IF(B679="Working",I679,0))),0)</f>
        <v/>
      </c>
      <c r="P679" s="137">
        <f>IF(B679="Retired",MIN(MAX(K679-M679-N679-O679,0),((T678)*(1+$C$10)+IF(B679="Working",F106,0))),0)</f>
        <v/>
      </c>
      <c r="Q679" s="138">
        <f>MAX(((Q678)*(1+$C$10)+IF(B679="Working",J679,0))-M679,0)</f>
        <v/>
      </c>
      <c r="R679" s="138">
        <f>MAX(((R678)*(1+$C$10)+IF(B679="Working",E106,0))-N679,0)</f>
        <v/>
      </c>
      <c r="S679" s="138">
        <f>MAX(((S678)*(1+$C$10)+IF(B679="Working",I679,0))-O679,0)</f>
        <v/>
      </c>
      <c r="T679" s="138">
        <f>MAX(((T678)*(1+$C$10)+IF(B679="Working",F106,0))-P679,0)</f>
        <v/>
      </c>
      <c r="U679" s="138">
        <f>Q679+R679+S679+T679</f>
        <v/>
      </c>
      <c r="V679" s="138">
        <f>IF(B679="Working",MAX(-(((Q678)*(1+$C$10)+IF(B679="Working",J679,0))),0),MAX(K679-L679,0))</f>
        <v/>
      </c>
      <c r="W679" s="138">
        <f>IF(OR(A679&gt;=$C$13,B679="Retired"),IF(V679&gt;0,-V679,U679-'Model Inputs'!$B$18),"")</f>
        <v/>
      </c>
      <c r="X679" s="138">
        <f>IF(AND($L$236&gt;0,A679&gt;=$C$13),$L$236*(1+$C$25)^(A679-$C$13),0)</f>
        <v/>
      </c>
      <c r="Y679" s="138">
        <f>IF(OR($L$236&lt;=0,$C$17&lt;=0,A679&lt;$C$13,MIN(MAX((A679-$C$13+1)*12,0),$C$17*12)&gt;=$C$17*12),0,IF($C$16=0,MAX(MAX($L$236*(1-$C$15),0)-(IF($C$17&lt;=0,0,IF($C$16=0,MAX($L$236*(1-$C$15),0)/$C$17,-PMT($C$16/12,$C$17*12,MAX($L$236*(1-$C$15),0))*12))/12)*MIN(MAX((A679-$C$13+1)*12,0),$C$17*12),0),MAX(MAX($L$236*(1-$C$15),0)*(1+$C$16/12)^MIN(MAX((A679-$C$13+1)*12,0),$C$17*12)-(IF($C$17&lt;=0,0,IF($C$16=0,MAX($L$236*(1-$C$15),0)/$C$17,-PMT($C$16/12,$C$17*12,MAX($L$236*(1-$C$15),0))*12))/12)*(((1+$C$16/12)^MIN(MAX((A679-$C$13+1)*12,0),$C$17*12)-1)/($C$16/12)),0)))</f>
        <v/>
      </c>
      <c r="Z679" s="138">
        <f>MAX(X679-Y679,0)</f>
        <v/>
      </c>
      <c r="AA679" s="139">
        <f>U679+Z679</f>
        <v/>
      </c>
      <c r="AB679" s="5" t="n"/>
      <c r="AC679" s="5" t="n"/>
      <c r="AD679" s="5" t="n"/>
      <c r="AE679" s="5" t="n"/>
      <c r="AF679" s="5" t="n"/>
      <c r="AG679" s="5" t="n"/>
    </row>
    <row r="680" outlineLevel="1" s="326">
      <c r="A680" s="140" t="n">
        <v>28</v>
      </c>
      <c r="B680" s="40">
        <f>B107</f>
        <v/>
      </c>
      <c r="C680" s="141">
        <f>D107</f>
        <v/>
      </c>
      <c r="D680" s="141">
        <f>I107</f>
        <v/>
      </c>
      <c r="E680" s="141">
        <f>J107</f>
        <v/>
      </c>
      <c r="F680" s="141">
        <f>K107</f>
        <v/>
      </c>
      <c r="G680" s="138">
        <f>IF(AND($L$236&gt;0,A680=$C$13),$L$236*($C$15+$C$18),0)+IF(AND($L$236&gt;0,A680=$C$13),$C$24,0)</f>
        <v/>
      </c>
      <c r="H680" s="138">
        <f>IF(OR($L$236&lt;=0,A680&lt;$C$13),0,IF(AND($L$236&gt;0,$C$17&gt;0,A680&gt;=$C$13,A680&lt;($C$13+$C$17)),IF($C$17&lt;=0,0,IF($C$16=0,MAX($L$236*(1-$C$15),0)/$C$17,-PMT($C$16/12,$C$17*12,MAX($L$236*(1-$C$15),0))*12)),0)+X680*($C$19+$C$20+$C$21)+$C$22+$C$23)</f>
        <v/>
      </c>
      <c r="I680" s="138">
        <f>IF(B680="Working",MIN(MAX(D680-E680-F680-G680-H680,0),'Tax Assumptions'!$B$20),0)</f>
        <v/>
      </c>
      <c r="J680" s="138">
        <f>IF(B680="Working",D680-E680-F680-I680-G680-H680,-L680)</f>
        <v/>
      </c>
      <c r="K680" s="141">
        <f>IF(B680="Retired",$N$236+G680+H680,0)</f>
        <v/>
      </c>
      <c r="L680" s="141">
        <f>M680+N680+O680+P680</f>
        <v/>
      </c>
      <c r="M680" s="141">
        <f>IF(B680="Retired",MIN(((Q679)*(1+$C$10)+IF(B680="Working",J680,0)),K680),0)</f>
        <v/>
      </c>
      <c r="N680" s="141">
        <f>IF(B680="Retired",MIN(MAX(K680-M680,0),((R679)*(1+$C$10)+IF(B680="Working",E107,0))),0)</f>
        <v/>
      </c>
      <c r="O680" s="141">
        <f>IF(B680="Retired",MIN(MAX(K680-M680-N680,0),((S679)*(1+$C$10)+IF(B680="Working",I680,0))),0)</f>
        <v/>
      </c>
      <c r="P680" s="141">
        <f>IF(B680="Retired",MIN(MAX(K680-M680-N680-O680,0),((T679)*(1+$C$10)+IF(B680="Working",F107,0))),0)</f>
        <v/>
      </c>
      <c r="Q680" s="138">
        <f>MAX(((Q679)*(1+$C$10)+IF(B680="Working",J680,0))-M680,0)</f>
        <v/>
      </c>
      <c r="R680" s="138">
        <f>MAX(((R679)*(1+$C$10)+IF(B680="Working",E107,0))-N680,0)</f>
        <v/>
      </c>
      <c r="S680" s="138">
        <f>MAX(((S679)*(1+$C$10)+IF(B680="Working",I680,0))-O680,0)</f>
        <v/>
      </c>
      <c r="T680" s="138">
        <f>MAX(((T679)*(1+$C$10)+IF(B680="Working",F107,0))-P680,0)</f>
        <v/>
      </c>
      <c r="U680" s="138">
        <f>Q680+R680+S680+T680</f>
        <v/>
      </c>
      <c r="V680" s="138">
        <f>IF(B680="Working",MAX(-(((Q679)*(1+$C$10)+IF(B680="Working",J680,0))),0),MAX(K680-L680,0))</f>
        <v/>
      </c>
      <c r="W680" s="138">
        <f>IF(OR(A680&gt;=$C$13,B680="Retired"),IF(V680&gt;0,-V680,U680-'Model Inputs'!$B$18),"")</f>
        <v/>
      </c>
      <c r="X680" s="138">
        <f>IF(AND($L$236&gt;0,A680&gt;=$C$13),$L$236*(1+$C$25)^(A680-$C$13),0)</f>
        <v/>
      </c>
      <c r="Y680" s="138">
        <f>IF(OR($L$236&lt;=0,$C$17&lt;=0,A680&lt;$C$13,MIN(MAX((A680-$C$13+1)*12,0),$C$17*12)&gt;=$C$17*12),0,IF($C$16=0,MAX(MAX($L$236*(1-$C$15),0)-(IF($C$17&lt;=0,0,IF($C$16=0,MAX($L$236*(1-$C$15),0)/$C$17,-PMT($C$16/12,$C$17*12,MAX($L$236*(1-$C$15),0))*12))/12)*MIN(MAX((A680-$C$13+1)*12,0),$C$17*12),0),MAX(MAX($L$236*(1-$C$15),0)*(1+$C$16/12)^MIN(MAX((A680-$C$13+1)*12,0),$C$17*12)-(IF($C$17&lt;=0,0,IF($C$16=0,MAX($L$236*(1-$C$15),0)/$C$17,-PMT($C$16/12,$C$17*12,MAX($L$236*(1-$C$15),0))*12))/12)*(((1+$C$16/12)^MIN(MAX((A680-$C$13+1)*12,0),$C$17*12)-1)/($C$16/12)),0)))</f>
        <v/>
      </c>
      <c r="Z680" s="138">
        <f>MAX(X680-Y680,0)</f>
        <v/>
      </c>
      <c r="AA680" s="142">
        <f>U680+Z680</f>
        <v/>
      </c>
      <c r="AB680" s="5" t="n"/>
      <c r="AC680" s="5" t="n"/>
      <c r="AD680" s="5" t="n"/>
      <c r="AE680" s="5" t="n"/>
      <c r="AF680" s="5" t="n"/>
      <c r="AG680" s="5" t="n"/>
    </row>
    <row r="681" outlineLevel="1" s="326">
      <c r="A681" s="136" t="n">
        <v>29</v>
      </c>
      <c r="B681" s="72">
        <f>B108</f>
        <v/>
      </c>
      <c r="C681" s="137">
        <f>D108</f>
        <v/>
      </c>
      <c r="D681" s="137">
        <f>I108</f>
        <v/>
      </c>
      <c r="E681" s="137">
        <f>J108</f>
        <v/>
      </c>
      <c r="F681" s="137">
        <f>K108</f>
        <v/>
      </c>
      <c r="G681" s="138">
        <f>IF(AND($L$236&gt;0,A681=$C$13),$L$236*($C$15+$C$18),0)+IF(AND($L$236&gt;0,A681=$C$13),$C$24,0)</f>
        <v/>
      </c>
      <c r="H681" s="138">
        <f>IF(OR($L$236&lt;=0,A681&lt;$C$13),0,IF(AND($L$236&gt;0,$C$17&gt;0,A681&gt;=$C$13,A681&lt;($C$13+$C$17)),IF($C$17&lt;=0,0,IF($C$16=0,MAX($L$236*(1-$C$15),0)/$C$17,-PMT($C$16/12,$C$17*12,MAX($L$236*(1-$C$15),0))*12)),0)+X681*($C$19+$C$20+$C$21)+$C$22+$C$23)</f>
        <v/>
      </c>
      <c r="I681" s="138">
        <f>IF(B681="Working",MIN(MAX(D681-E681-F681-G681-H681,0),'Tax Assumptions'!$B$20),0)</f>
        <v/>
      </c>
      <c r="J681" s="138">
        <f>IF(B681="Working",D681-E681-F681-I681-G681-H681,-L681)</f>
        <v/>
      </c>
      <c r="K681" s="137">
        <f>IF(B681="Retired",$N$236+G681+H681,0)</f>
        <v/>
      </c>
      <c r="L681" s="137">
        <f>M681+N681+O681+P681</f>
        <v/>
      </c>
      <c r="M681" s="137">
        <f>IF(B681="Retired",MIN(((Q680)*(1+$C$10)+IF(B681="Working",J681,0)),K681),0)</f>
        <v/>
      </c>
      <c r="N681" s="137">
        <f>IF(B681="Retired",MIN(MAX(K681-M681,0),((R680)*(1+$C$10)+IF(B681="Working",E108,0))),0)</f>
        <v/>
      </c>
      <c r="O681" s="137">
        <f>IF(B681="Retired",MIN(MAX(K681-M681-N681,0),((S680)*(1+$C$10)+IF(B681="Working",I681,0))),0)</f>
        <v/>
      </c>
      <c r="P681" s="137">
        <f>IF(B681="Retired",MIN(MAX(K681-M681-N681-O681,0),((T680)*(1+$C$10)+IF(B681="Working",F108,0))),0)</f>
        <v/>
      </c>
      <c r="Q681" s="138">
        <f>MAX(((Q680)*(1+$C$10)+IF(B681="Working",J681,0))-M681,0)</f>
        <v/>
      </c>
      <c r="R681" s="138">
        <f>MAX(((R680)*(1+$C$10)+IF(B681="Working",E108,0))-N681,0)</f>
        <v/>
      </c>
      <c r="S681" s="138">
        <f>MAX(((S680)*(1+$C$10)+IF(B681="Working",I681,0))-O681,0)</f>
        <v/>
      </c>
      <c r="T681" s="138">
        <f>MAX(((T680)*(1+$C$10)+IF(B681="Working",F108,0))-P681,0)</f>
        <v/>
      </c>
      <c r="U681" s="138">
        <f>Q681+R681+S681+T681</f>
        <v/>
      </c>
      <c r="V681" s="138">
        <f>IF(B681="Working",MAX(-(((Q680)*(1+$C$10)+IF(B681="Working",J681,0))),0),MAX(K681-L681,0))</f>
        <v/>
      </c>
      <c r="W681" s="138">
        <f>IF(OR(A681&gt;=$C$13,B681="Retired"),IF(V681&gt;0,-V681,U681-'Model Inputs'!$B$18),"")</f>
        <v/>
      </c>
      <c r="X681" s="138">
        <f>IF(AND($L$236&gt;0,A681&gt;=$C$13),$L$236*(1+$C$25)^(A681-$C$13),0)</f>
        <v/>
      </c>
      <c r="Y681" s="138">
        <f>IF(OR($L$236&lt;=0,$C$17&lt;=0,A681&lt;$C$13,MIN(MAX((A681-$C$13+1)*12,0),$C$17*12)&gt;=$C$17*12),0,IF($C$16=0,MAX(MAX($L$236*(1-$C$15),0)-(IF($C$17&lt;=0,0,IF($C$16=0,MAX($L$236*(1-$C$15),0)/$C$17,-PMT($C$16/12,$C$17*12,MAX($L$236*(1-$C$15),0))*12))/12)*MIN(MAX((A681-$C$13+1)*12,0),$C$17*12),0),MAX(MAX($L$236*(1-$C$15),0)*(1+$C$16/12)^MIN(MAX((A681-$C$13+1)*12,0),$C$17*12)-(IF($C$17&lt;=0,0,IF($C$16=0,MAX($L$236*(1-$C$15),0)/$C$17,-PMT($C$16/12,$C$17*12,MAX($L$236*(1-$C$15),0))*12))/12)*(((1+$C$16/12)^MIN(MAX((A681-$C$13+1)*12,0),$C$17*12)-1)/($C$16/12)),0)))</f>
        <v/>
      </c>
      <c r="Z681" s="138">
        <f>MAX(X681-Y681,0)</f>
        <v/>
      </c>
      <c r="AA681" s="139">
        <f>U681+Z681</f>
        <v/>
      </c>
      <c r="AB681" s="5" t="n"/>
      <c r="AC681" s="5" t="n"/>
      <c r="AD681" s="5" t="n"/>
      <c r="AE681" s="5" t="n"/>
      <c r="AF681" s="5" t="n"/>
      <c r="AG681" s="5" t="n"/>
    </row>
    <row r="682" outlineLevel="1" s="326">
      <c r="A682" s="140" t="n">
        <v>30</v>
      </c>
      <c r="B682" s="40">
        <f>B109</f>
        <v/>
      </c>
      <c r="C682" s="141">
        <f>D109</f>
        <v/>
      </c>
      <c r="D682" s="141">
        <f>I109</f>
        <v/>
      </c>
      <c r="E682" s="141">
        <f>J109</f>
        <v/>
      </c>
      <c r="F682" s="141">
        <f>K109</f>
        <v/>
      </c>
      <c r="G682" s="138">
        <f>IF(AND($L$236&gt;0,A682=$C$13),$L$236*($C$15+$C$18),0)+IF(AND($L$236&gt;0,A682=$C$13),$C$24,0)</f>
        <v/>
      </c>
      <c r="H682" s="138">
        <f>IF(OR($L$236&lt;=0,A682&lt;$C$13),0,IF(AND($L$236&gt;0,$C$17&gt;0,A682&gt;=$C$13,A682&lt;($C$13+$C$17)),IF($C$17&lt;=0,0,IF($C$16=0,MAX($L$236*(1-$C$15),0)/$C$17,-PMT($C$16/12,$C$17*12,MAX($L$236*(1-$C$15),0))*12)),0)+X682*($C$19+$C$20+$C$21)+$C$22+$C$23)</f>
        <v/>
      </c>
      <c r="I682" s="138">
        <f>IF(B682="Working",MIN(MAX(D682-E682-F682-G682-H682,0),'Tax Assumptions'!$B$20),0)</f>
        <v/>
      </c>
      <c r="J682" s="138">
        <f>IF(B682="Working",D682-E682-F682-I682-G682-H682,-L682)</f>
        <v/>
      </c>
      <c r="K682" s="141">
        <f>IF(B682="Retired",$N$236+G682+H682,0)</f>
        <v/>
      </c>
      <c r="L682" s="141">
        <f>M682+N682+O682+P682</f>
        <v/>
      </c>
      <c r="M682" s="141">
        <f>IF(B682="Retired",MIN(((Q681)*(1+$C$10)+IF(B682="Working",J682,0)),K682),0)</f>
        <v/>
      </c>
      <c r="N682" s="141">
        <f>IF(B682="Retired",MIN(MAX(K682-M682,0),((R681)*(1+$C$10)+IF(B682="Working",E109,0))),0)</f>
        <v/>
      </c>
      <c r="O682" s="141">
        <f>IF(B682="Retired",MIN(MAX(K682-M682-N682,0),((S681)*(1+$C$10)+IF(B682="Working",I682,0))),0)</f>
        <v/>
      </c>
      <c r="P682" s="141">
        <f>IF(B682="Retired",MIN(MAX(K682-M682-N682-O682,0),((T681)*(1+$C$10)+IF(B682="Working",F109,0))),0)</f>
        <v/>
      </c>
      <c r="Q682" s="138">
        <f>MAX(((Q681)*(1+$C$10)+IF(B682="Working",J682,0))-M682,0)</f>
        <v/>
      </c>
      <c r="R682" s="138">
        <f>MAX(((R681)*(1+$C$10)+IF(B682="Working",E109,0))-N682,0)</f>
        <v/>
      </c>
      <c r="S682" s="138">
        <f>MAX(((S681)*(1+$C$10)+IF(B682="Working",I682,0))-O682,0)</f>
        <v/>
      </c>
      <c r="T682" s="138">
        <f>MAX(((T681)*(1+$C$10)+IF(B682="Working",F109,0))-P682,0)</f>
        <v/>
      </c>
      <c r="U682" s="138">
        <f>Q682+R682+S682+T682</f>
        <v/>
      </c>
      <c r="V682" s="138">
        <f>IF(B682="Working",MAX(-(((Q681)*(1+$C$10)+IF(B682="Working",J682,0))),0),MAX(K682-L682,0))</f>
        <v/>
      </c>
      <c r="W682" s="138">
        <f>IF(OR(A682&gt;=$C$13,B682="Retired"),IF(V682&gt;0,-V682,U682-'Model Inputs'!$B$18),"")</f>
        <v/>
      </c>
      <c r="X682" s="138">
        <f>IF(AND($L$236&gt;0,A682&gt;=$C$13),$L$236*(1+$C$25)^(A682-$C$13),0)</f>
        <v/>
      </c>
      <c r="Y682" s="138">
        <f>IF(OR($L$236&lt;=0,$C$17&lt;=0,A682&lt;$C$13,MIN(MAX((A682-$C$13+1)*12,0),$C$17*12)&gt;=$C$17*12),0,IF($C$16=0,MAX(MAX($L$236*(1-$C$15),0)-(IF($C$17&lt;=0,0,IF($C$16=0,MAX($L$236*(1-$C$15),0)/$C$17,-PMT($C$16/12,$C$17*12,MAX($L$236*(1-$C$15),0))*12))/12)*MIN(MAX((A682-$C$13+1)*12,0),$C$17*12),0),MAX(MAX($L$236*(1-$C$15),0)*(1+$C$16/12)^MIN(MAX((A682-$C$13+1)*12,0),$C$17*12)-(IF($C$17&lt;=0,0,IF($C$16=0,MAX($L$236*(1-$C$15),0)/$C$17,-PMT($C$16/12,$C$17*12,MAX($L$236*(1-$C$15),0))*12))/12)*(((1+$C$16/12)^MIN(MAX((A682-$C$13+1)*12,0),$C$17*12)-1)/($C$16/12)),0)))</f>
        <v/>
      </c>
      <c r="Z682" s="138">
        <f>MAX(X682-Y682,0)</f>
        <v/>
      </c>
      <c r="AA682" s="142">
        <f>U682+Z682</f>
        <v/>
      </c>
      <c r="AB682" s="5" t="n"/>
      <c r="AC682" s="5" t="n"/>
      <c r="AD682" s="5" t="n"/>
      <c r="AE682" s="5" t="n"/>
      <c r="AF682" s="5" t="n"/>
      <c r="AG682" s="5" t="n"/>
    </row>
    <row r="683" outlineLevel="1" s="326">
      <c r="A683" s="136" t="n">
        <v>31</v>
      </c>
      <c r="B683" s="72">
        <f>B110</f>
        <v/>
      </c>
      <c r="C683" s="137">
        <f>D110</f>
        <v/>
      </c>
      <c r="D683" s="137">
        <f>I110</f>
        <v/>
      </c>
      <c r="E683" s="137">
        <f>J110</f>
        <v/>
      </c>
      <c r="F683" s="137">
        <f>K110</f>
        <v/>
      </c>
      <c r="G683" s="138">
        <f>IF(AND($L$236&gt;0,A683=$C$13),$L$236*($C$15+$C$18),0)+IF(AND($L$236&gt;0,A683=$C$13),$C$24,0)</f>
        <v/>
      </c>
      <c r="H683" s="138">
        <f>IF(OR($L$236&lt;=0,A683&lt;$C$13),0,IF(AND($L$236&gt;0,$C$17&gt;0,A683&gt;=$C$13,A683&lt;($C$13+$C$17)),IF($C$17&lt;=0,0,IF($C$16=0,MAX($L$236*(1-$C$15),0)/$C$17,-PMT($C$16/12,$C$17*12,MAX($L$236*(1-$C$15),0))*12)),0)+X683*($C$19+$C$20+$C$21)+$C$22+$C$23)</f>
        <v/>
      </c>
      <c r="I683" s="138">
        <f>IF(B683="Working",MIN(MAX(D683-E683-F683-G683-H683,0),'Tax Assumptions'!$B$20),0)</f>
        <v/>
      </c>
      <c r="J683" s="138">
        <f>IF(B683="Working",D683-E683-F683-I683-G683-H683,-L683)</f>
        <v/>
      </c>
      <c r="K683" s="137">
        <f>IF(B683="Retired",$N$236+G683+H683,0)</f>
        <v/>
      </c>
      <c r="L683" s="137">
        <f>M683+N683+O683+P683</f>
        <v/>
      </c>
      <c r="M683" s="137">
        <f>IF(B683="Retired",MIN(((Q682)*(1+$C$10)+IF(B683="Working",J683,0)),K683),0)</f>
        <v/>
      </c>
      <c r="N683" s="137">
        <f>IF(B683="Retired",MIN(MAX(K683-M683,0),((R682)*(1+$C$10)+IF(B683="Working",E110,0))),0)</f>
        <v/>
      </c>
      <c r="O683" s="137">
        <f>IF(B683="Retired",MIN(MAX(K683-M683-N683,0),((S682)*(1+$C$10)+IF(B683="Working",I683,0))),0)</f>
        <v/>
      </c>
      <c r="P683" s="137">
        <f>IF(B683="Retired",MIN(MAX(K683-M683-N683-O683,0),((T682)*(1+$C$10)+IF(B683="Working",F110,0))),0)</f>
        <v/>
      </c>
      <c r="Q683" s="138">
        <f>MAX(((Q682)*(1+$C$10)+IF(B683="Working",J683,0))-M683,0)</f>
        <v/>
      </c>
      <c r="R683" s="138">
        <f>MAX(((R682)*(1+$C$10)+IF(B683="Working",E110,0))-N683,0)</f>
        <v/>
      </c>
      <c r="S683" s="138">
        <f>MAX(((S682)*(1+$C$10)+IF(B683="Working",I683,0))-O683,0)</f>
        <v/>
      </c>
      <c r="T683" s="138">
        <f>MAX(((T682)*(1+$C$10)+IF(B683="Working",F110,0))-P683,0)</f>
        <v/>
      </c>
      <c r="U683" s="138">
        <f>Q683+R683+S683+T683</f>
        <v/>
      </c>
      <c r="V683" s="138">
        <f>IF(B683="Working",MAX(-(((Q682)*(1+$C$10)+IF(B683="Working",J683,0))),0),MAX(K683-L683,0))</f>
        <v/>
      </c>
      <c r="W683" s="138">
        <f>IF(OR(A683&gt;=$C$13,B683="Retired"),IF(V683&gt;0,-V683,U683-'Model Inputs'!$B$18),"")</f>
        <v/>
      </c>
      <c r="X683" s="138">
        <f>IF(AND($L$236&gt;0,A683&gt;=$C$13),$L$236*(1+$C$25)^(A683-$C$13),0)</f>
        <v/>
      </c>
      <c r="Y683" s="138">
        <f>IF(OR($L$236&lt;=0,$C$17&lt;=0,A683&lt;$C$13,MIN(MAX((A683-$C$13+1)*12,0),$C$17*12)&gt;=$C$17*12),0,IF($C$16=0,MAX(MAX($L$236*(1-$C$15),0)-(IF($C$17&lt;=0,0,IF($C$16=0,MAX($L$236*(1-$C$15),0)/$C$17,-PMT($C$16/12,$C$17*12,MAX($L$236*(1-$C$15),0))*12))/12)*MIN(MAX((A683-$C$13+1)*12,0),$C$17*12),0),MAX(MAX($L$236*(1-$C$15),0)*(1+$C$16/12)^MIN(MAX((A683-$C$13+1)*12,0),$C$17*12)-(IF($C$17&lt;=0,0,IF($C$16=0,MAX($L$236*(1-$C$15),0)/$C$17,-PMT($C$16/12,$C$17*12,MAX($L$236*(1-$C$15),0))*12))/12)*(((1+$C$16/12)^MIN(MAX((A683-$C$13+1)*12,0),$C$17*12)-1)/($C$16/12)),0)))</f>
        <v/>
      </c>
      <c r="Z683" s="138">
        <f>MAX(X683-Y683,0)</f>
        <v/>
      </c>
      <c r="AA683" s="139">
        <f>U683+Z683</f>
        <v/>
      </c>
      <c r="AB683" s="5" t="n"/>
      <c r="AC683" s="5" t="n"/>
      <c r="AD683" s="5" t="n"/>
      <c r="AE683" s="5" t="n"/>
      <c r="AF683" s="5" t="n"/>
      <c r="AG683" s="5" t="n"/>
    </row>
    <row r="684" outlineLevel="1" s="326">
      <c r="A684" s="140" t="n">
        <v>32</v>
      </c>
      <c r="B684" s="40">
        <f>B111</f>
        <v/>
      </c>
      <c r="C684" s="141">
        <f>D111</f>
        <v/>
      </c>
      <c r="D684" s="141">
        <f>I111</f>
        <v/>
      </c>
      <c r="E684" s="141">
        <f>J111</f>
        <v/>
      </c>
      <c r="F684" s="141">
        <f>K111</f>
        <v/>
      </c>
      <c r="G684" s="138">
        <f>IF(AND($L$236&gt;0,A684=$C$13),$L$236*($C$15+$C$18),0)+IF(AND($L$236&gt;0,A684=$C$13),$C$24,0)</f>
        <v/>
      </c>
      <c r="H684" s="138">
        <f>IF(OR($L$236&lt;=0,A684&lt;$C$13),0,IF(AND($L$236&gt;0,$C$17&gt;0,A684&gt;=$C$13,A684&lt;($C$13+$C$17)),IF($C$17&lt;=0,0,IF($C$16=0,MAX($L$236*(1-$C$15),0)/$C$17,-PMT($C$16/12,$C$17*12,MAX($L$236*(1-$C$15),0))*12)),0)+X684*($C$19+$C$20+$C$21)+$C$22+$C$23)</f>
        <v/>
      </c>
      <c r="I684" s="138">
        <f>IF(B684="Working",MIN(MAX(D684-E684-F684-G684-H684,0),'Tax Assumptions'!$B$20),0)</f>
        <v/>
      </c>
      <c r="J684" s="138">
        <f>IF(B684="Working",D684-E684-F684-I684-G684-H684,-L684)</f>
        <v/>
      </c>
      <c r="K684" s="141">
        <f>IF(B684="Retired",$N$236+G684+H684,0)</f>
        <v/>
      </c>
      <c r="L684" s="141">
        <f>M684+N684+O684+P684</f>
        <v/>
      </c>
      <c r="M684" s="141">
        <f>IF(B684="Retired",MIN(((Q683)*(1+$C$10)+IF(B684="Working",J684,0)),K684),0)</f>
        <v/>
      </c>
      <c r="N684" s="141">
        <f>IF(B684="Retired",MIN(MAX(K684-M684,0),((R683)*(1+$C$10)+IF(B684="Working",E111,0))),0)</f>
        <v/>
      </c>
      <c r="O684" s="141">
        <f>IF(B684="Retired",MIN(MAX(K684-M684-N684,0),((S683)*(1+$C$10)+IF(B684="Working",I684,0))),0)</f>
        <v/>
      </c>
      <c r="P684" s="141">
        <f>IF(B684="Retired",MIN(MAX(K684-M684-N684-O684,0),((T683)*(1+$C$10)+IF(B684="Working",F111,0))),0)</f>
        <v/>
      </c>
      <c r="Q684" s="138">
        <f>MAX(((Q683)*(1+$C$10)+IF(B684="Working",J684,0))-M684,0)</f>
        <v/>
      </c>
      <c r="R684" s="138">
        <f>MAX(((R683)*(1+$C$10)+IF(B684="Working",E111,0))-N684,0)</f>
        <v/>
      </c>
      <c r="S684" s="138">
        <f>MAX(((S683)*(1+$C$10)+IF(B684="Working",I684,0))-O684,0)</f>
        <v/>
      </c>
      <c r="T684" s="138">
        <f>MAX(((T683)*(1+$C$10)+IF(B684="Working",F111,0))-P684,0)</f>
        <v/>
      </c>
      <c r="U684" s="138">
        <f>Q684+R684+S684+T684</f>
        <v/>
      </c>
      <c r="V684" s="138">
        <f>IF(B684="Working",MAX(-(((Q683)*(1+$C$10)+IF(B684="Working",J684,0))),0),MAX(K684-L684,0))</f>
        <v/>
      </c>
      <c r="W684" s="138">
        <f>IF(OR(A684&gt;=$C$13,B684="Retired"),IF(V684&gt;0,-V684,U684-'Model Inputs'!$B$18),"")</f>
        <v/>
      </c>
      <c r="X684" s="138">
        <f>IF(AND($L$236&gt;0,A684&gt;=$C$13),$L$236*(1+$C$25)^(A684-$C$13),0)</f>
        <v/>
      </c>
      <c r="Y684" s="138">
        <f>IF(OR($L$236&lt;=0,$C$17&lt;=0,A684&lt;$C$13,MIN(MAX((A684-$C$13+1)*12,0),$C$17*12)&gt;=$C$17*12),0,IF($C$16=0,MAX(MAX($L$236*(1-$C$15),0)-(IF($C$17&lt;=0,0,IF($C$16=0,MAX($L$236*(1-$C$15),0)/$C$17,-PMT($C$16/12,$C$17*12,MAX($L$236*(1-$C$15),0))*12))/12)*MIN(MAX((A684-$C$13+1)*12,0),$C$17*12),0),MAX(MAX($L$236*(1-$C$15),0)*(1+$C$16/12)^MIN(MAX((A684-$C$13+1)*12,0),$C$17*12)-(IF($C$17&lt;=0,0,IF($C$16=0,MAX($L$236*(1-$C$15),0)/$C$17,-PMT($C$16/12,$C$17*12,MAX($L$236*(1-$C$15),0))*12))/12)*(((1+$C$16/12)^MIN(MAX((A684-$C$13+1)*12,0),$C$17*12)-1)/($C$16/12)),0)))</f>
        <v/>
      </c>
      <c r="Z684" s="138">
        <f>MAX(X684-Y684,0)</f>
        <v/>
      </c>
      <c r="AA684" s="142">
        <f>U684+Z684</f>
        <v/>
      </c>
      <c r="AB684" s="5" t="n"/>
      <c r="AC684" s="5" t="n"/>
      <c r="AD684" s="5" t="n"/>
      <c r="AE684" s="5" t="n"/>
      <c r="AF684" s="5" t="n"/>
      <c r="AG684" s="5" t="n"/>
    </row>
    <row r="685" outlineLevel="1" s="326">
      <c r="A685" s="136" t="n">
        <v>33</v>
      </c>
      <c r="B685" s="72">
        <f>B112</f>
        <v/>
      </c>
      <c r="C685" s="137">
        <f>D112</f>
        <v/>
      </c>
      <c r="D685" s="137">
        <f>I112</f>
        <v/>
      </c>
      <c r="E685" s="137">
        <f>J112</f>
        <v/>
      </c>
      <c r="F685" s="137">
        <f>K112</f>
        <v/>
      </c>
      <c r="G685" s="138">
        <f>IF(AND($L$236&gt;0,A685=$C$13),$L$236*($C$15+$C$18),0)+IF(AND($L$236&gt;0,A685=$C$13),$C$24,0)</f>
        <v/>
      </c>
      <c r="H685" s="138">
        <f>IF(OR($L$236&lt;=0,A685&lt;$C$13),0,IF(AND($L$236&gt;0,$C$17&gt;0,A685&gt;=$C$13,A685&lt;($C$13+$C$17)),IF($C$17&lt;=0,0,IF($C$16=0,MAX($L$236*(1-$C$15),0)/$C$17,-PMT($C$16/12,$C$17*12,MAX($L$236*(1-$C$15),0))*12)),0)+X685*($C$19+$C$20+$C$21)+$C$22+$C$23)</f>
        <v/>
      </c>
      <c r="I685" s="138">
        <f>IF(B685="Working",MIN(MAX(D685-E685-F685-G685-H685,0),'Tax Assumptions'!$B$20),0)</f>
        <v/>
      </c>
      <c r="J685" s="138">
        <f>IF(B685="Working",D685-E685-F685-I685-G685-H685,-L685)</f>
        <v/>
      </c>
      <c r="K685" s="137">
        <f>IF(B685="Retired",$N$236+G685+H685,0)</f>
        <v/>
      </c>
      <c r="L685" s="137">
        <f>M685+N685+O685+P685</f>
        <v/>
      </c>
      <c r="M685" s="137">
        <f>IF(B685="Retired",MIN(((Q684)*(1+$C$10)+IF(B685="Working",J685,0)),K685),0)</f>
        <v/>
      </c>
      <c r="N685" s="137">
        <f>IF(B685="Retired",MIN(MAX(K685-M685,0),((R684)*(1+$C$10)+IF(B685="Working",E112,0))),0)</f>
        <v/>
      </c>
      <c r="O685" s="137">
        <f>IF(B685="Retired",MIN(MAX(K685-M685-N685,0),((S684)*(1+$C$10)+IF(B685="Working",I685,0))),0)</f>
        <v/>
      </c>
      <c r="P685" s="137">
        <f>IF(B685="Retired",MIN(MAX(K685-M685-N685-O685,0),((T684)*(1+$C$10)+IF(B685="Working",F112,0))),0)</f>
        <v/>
      </c>
      <c r="Q685" s="138">
        <f>MAX(((Q684)*(1+$C$10)+IF(B685="Working",J685,0))-M685,0)</f>
        <v/>
      </c>
      <c r="R685" s="138">
        <f>MAX(((R684)*(1+$C$10)+IF(B685="Working",E112,0))-N685,0)</f>
        <v/>
      </c>
      <c r="S685" s="138">
        <f>MAX(((S684)*(1+$C$10)+IF(B685="Working",I685,0))-O685,0)</f>
        <v/>
      </c>
      <c r="T685" s="138">
        <f>MAX(((T684)*(1+$C$10)+IF(B685="Working",F112,0))-P685,0)</f>
        <v/>
      </c>
      <c r="U685" s="138">
        <f>Q685+R685+S685+T685</f>
        <v/>
      </c>
      <c r="V685" s="138">
        <f>IF(B685="Working",MAX(-(((Q684)*(1+$C$10)+IF(B685="Working",J685,0))),0),MAX(K685-L685,0))</f>
        <v/>
      </c>
      <c r="W685" s="138">
        <f>IF(OR(A685&gt;=$C$13,B685="Retired"),IF(V685&gt;0,-V685,U685-'Model Inputs'!$B$18),"")</f>
        <v/>
      </c>
      <c r="X685" s="138">
        <f>IF(AND($L$236&gt;0,A685&gt;=$C$13),$L$236*(1+$C$25)^(A685-$C$13),0)</f>
        <v/>
      </c>
      <c r="Y685" s="138">
        <f>IF(OR($L$236&lt;=0,$C$17&lt;=0,A685&lt;$C$13,MIN(MAX((A685-$C$13+1)*12,0),$C$17*12)&gt;=$C$17*12),0,IF($C$16=0,MAX(MAX($L$236*(1-$C$15),0)-(IF($C$17&lt;=0,0,IF($C$16=0,MAX($L$236*(1-$C$15),0)/$C$17,-PMT($C$16/12,$C$17*12,MAX($L$236*(1-$C$15),0))*12))/12)*MIN(MAX((A685-$C$13+1)*12,0),$C$17*12),0),MAX(MAX($L$236*(1-$C$15),0)*(1+$C$16/12)^MIN(MAX((A685-$C$13+1)*12,0),$C$17*12)-(IF($C$17&lt;=0,0,IF($C$16=0,MAX($L$236*(1-$C$15),0)/$C$17,-PMT($C$16/12,$C$17*12,MAX($L$236*(1-$C$15),0))*12))/12)*(((1+$C$16/12)^MIN(MAX((A685-$C$13+1)*12,0),$C$17*12)-1)/($C$16/12)),0)))</f>
        <v/>
      </c>
      <c r="Z685" s="138">
        <f>MAX(X685-Y685,0)</f>
        <v/>
      </c>
      <c r="AA685" s="139">
        <f>U685+Z685</f>
        <v/>
      </c>
      <c r="AB685" s="5" t="n"/>
      <c r="AC685" s="5" t="n"/>
      <c r="AD685" s="5" t="n"/>
      <c r="AE685" s="5" t="n"/>
      <c r="AF685" s="5" t="n"/>
      <c r="AG685" s="5" t="n"/>
    </row>
    <row r="686" outlineLevel="1" s="326">
      <c r="A686" s="140" t="n">
        <v>34</v>
      </c>
      <c r="B686" s="40">
        <f>B113</f>
        <v/>
      </c>
      <c r="C686" s="141">
        <f>D113</f>
        <v/>
      </c>
      <c r="D686" s="141">
        <f>I113</f>
        <v/>
      </c>
      <c r="E686" s="141">
        <f>J113</f>
        <v/>
      </c>
      <c r="F686" s="141">
        <f>K113</f>
        <v/>
      </c>
      <c r="G686" s="138">
        <f>IF(AND($L$236&gt;0,A686=$C$13),$L$236*($C$15+$C$18),0)+IF(AND($L$236&gt;0,A686=$C$13),$C$24,0)</f>
        <v/>
      </c>
      <c r="H686" s="138">
        <f>IF(OR($L$236&lt;=0,A686&lt;$C$13),0,IF(AND($L$236&gt;0,$C$17&gt;0,A686&gt;=$C$13,A686&lt;($C$13+$C$17)),IF($C$17&lt;=0,0,IF($C$16=0,MAX($L$236*(1-$C$15),0)/$C$17,-PMT($C$16/12,$C$17*12,MAX($L$236*(1-$C$15),0))*12)),0)+X686*($C$19+$C$20+$C$21)+$C$22+$C$23)</f>
        <v/>
      </c>
      <c r="I686" s="138">
        <f>IF(B686="Working",MIN(MAX(D686-E686-F686-G686-H686,0),'Tax Assumptions'!$B$20),0)</f>
        <v/>
      </c>
      <c r="J686" s="138">
        <f>IF(B686="Working",D686-E686-F686-I686-G686-H686,-L686)</f>
        <v/>
      </c>
      <c r="K686" s="141">
        <f>IF(B686="Retired",$N$236+G686+H686,0)</f>
        <v/>
      </c>
      <c r="L686" s="141">
        <f>M686+N686+O686+P686</f>
        <v/>
      </c>
      <c r="M686" s="141">
        <f>IF(B686="Retired",MIN(((Q685)*(1+$C$10)+IF(B686="Working",J686,0)),K686),0)</f>
        <v/>
      </c>
      <c r="N686" s="141">
        <f>IF(B686="Retired",MIN(MAX(K686-M686,0),((R685)*(1+$C$10)+IF(B686="Working",E113,0))),0)</f>
        <v/>
      </c>
      <c r="O686" s="141">
        <f>IF(B686="Retired",MIN(MAX(K686-M686-N686,0),((S685)*(1+$C$10)+IF(B686="Working",I686,0))),0)</f>
        <v/>
      </c>
      <c r="P686" s="141">
        <f>IF(B686="Retired",MIN(MAX(K686-M686-N686-O686,0),((T685)*(1+$C$10)+IF(B686="Working",F113,0))),0)</f>
        <v/>
      </c>
      <c r="Q686" s="138">
        <f>MAX(((Q685)*(1+$C$10)+IF(B686="Working",J686,0))-M686,0)</f>
        <v/>
      </c>
      <c r="R686" s="138">
        <f>MAX(((R685)*(1+$C$10)+IF(B686="Working",E113,0))-N686,0)</f>
        <v/>
      </c>
      <c r="S686" s="138">
        <f>MAX(((S685)*(1+$C$10)+IF(B686="Working",I686,0))-O686,0)</f>
        <v/>
      </c>
      <c r="T686" s="138">
        <f>MAX(((T685)*(1+$C$10)+IF(B686="Working",F113,0))-P686,0)</f>
        <v/>
      </c>
      <c r="U686" s="138">
        <f>Q686+R686+S686+T686</f>
        <v/>
      </c>
      <c r="V686" s="138">
        <f>IF(B686="Working",MAX(-(((Q685)*(1+$C$10)+IF(B686="Working",J686,0))),0),MAX(K686-L686,0))</f>
        <v/>
      </c>
      <c r="W686" s="138">
        <f>IF(OR(A686&gt;=$C$13,B686="Retired"),IF(V686&gt;0,-V686,U686-'Model Inputs'!$B$18),"")</f>
        <v/>
      </c>
      <c r="X686" s="138">
        <f>IF(AND($L$236&gt;0,A686&gt;=$C$13),$L$236*(1+$C$25)^(A686-$C$13),0)</f>
        <v/>
      </c>
      <c r="Y686" s="138">
        <f>IF(OR($L$236&lt;=0,$C$17&lt;=0,A686&lt;$C$13,MIN(MAX((A686-$C$13+1)*12,0),$C$17*12)&gt;=$C$17*12),0,IF($C$16=0,MAX(MAX($L$236*(1-$C$15),0)-(IF($C$17&lt;=0,0,IF($C$16=0,MAX($L$236*(1-$C$15),0)/$C$17,-PMT($C$16/12,$C$17*12,MAX($L$236*(1-$C$15),0))*12))/12)*MIN(MAX((A686-$C$13+1)*12,0),$C$17*12),0),MAX(MAX($L$236*(1-$C$15),0)*(1+$C$16/12)^MIN(MAX((A686-$C$13+1)*12,0),$C$17*12)-(IF($C$17&lt;=0,0,IF($C$16=0,MAX($L$236*(1-$C$15),0)/$C$17,-PMT($C$16/12,$C$17*12,MAX($L$236*(1-$C$15),0))*12))/12)*(((1+$C$16/12)^MIN(MAX((A686-$C$13+1)*12,0),$C$17*12)-1)/($C$16/12)),0)))</f>
        <v/>
      </c>
      <c r="Z686" s="138">
        <f>MAX(X686-Y686,0)</f>
        <v/>
      </c>
      <c r="AA686" s="142">
        <f>U686+Z686</f>
        <v/>
      </c>
      <c r="AB686" s="5" t="n"/>
      <c r="AC686" s="5" t="n"/>
      <c r="AD686" s="5" t="n"/>
      <c r="AE686" s="5" t="n"/>
      <c r="AF686" s="5" t="n"/>
      <c r="AG686" s="5" t="n"/>
    </row>
    <row r="687" outlineLevel="1" s="326">
      <c r="A687" s="136" t="n">
        <v>35</v>
      </c>
      <c r="B687" s="72">
        <f>B114</f>
        <v/>
      </c>
      <c r="C687" s="137">
        <f>D114</f>
        <v/>
      </c>
      <c r="D687" s="137">
        <f>I114</f>
        <v/>
      </c>
      <c r="E687" s="137">
        <f>J114</f>
        <v/>
      </c>
      <c r="F687" s="137">
        <f>K114</f>
        <v/>
      </c>
      <c r="G687" s="138">
        <f>IF(AND($L$236&gt;0,A687=$C$13),$L$236*($C$15+$C$18),0)+IF(AND($L$236&gt;0,A687=$C$13),$C$24,0)</f>
        <v/>
      </c>
      <c r="H687" s="138">
        <f>IF(OR($L$236&lt;=0,A687&lt;$C$13),0,IF(AND($L$236&gt;0,$C$17&gt;0,A687&gt;=$C$13,A687&lt;($C$13+$C$17)),IF($C$17&lt;=0,0,IF($C$16=0,MAX($L$236*(1-$C$15),0)/$C$17,-PMT($C$16/12,$C$17*12,MAX($L$236*(1-$C$15),0))*12)),0)+X687*($C$19+$C$20+$C$21)+$C$22+$C$23)</f>
        <v/>
      </c>
      <c r="I687" s="138">
        <f>IF(B687="Working",MIN(MAX(D687-E687-F687-G687-H687,0),'Tax Assumptions'!$B$20),0)</f>
        <v/>
      </c>
      <c r="J687" s="138">
        <f>IF(B687="Working",D687-E687-F687-I687-G687-H687,-L687)</f>
        <v/>
      </c>
      <c r="K687" s="137">
        <f>IF(B687="Retired",$N$236+G687+H687,0)</f>
        <v/>
      </c>
      <c r="L687" s="137">
        <f>M687+N687+O687+P687</f>
        <v/>
      </c>
      <c r="M687" s="137">
        <f>IF(B687="Retired",MIN(((Q686)*(1+$C$10)+IF(B687="Working",J687,0)),K687),0)</f>
        <v/>
      </c>
      <c r="N687" s="137">
        <f>IF(B687="Retired",MIN(MAX(K687-M687,0),((R686)*(1+$C$10)+IF(B687="Working",E114,0))),0)</f>
        <v/>
      </c>
      <c r="O687" s="137">
        <f>IF(B687="Retired",MIN(MAX(K687-M687-N687,0),((S686)*(1+$C$10)+IF(B687="Working",I687,0))),0)</f>
        <v/>
      </c>
      <c r="P687" s="137">
        <f>IF(B687="Retired",MIN(MAX(K687-M687-N687-O687,0),((T686)*(1+$C$10)+IF(B687="Working",F114,0))),0)</f>
        <v/>
      </c>
      <c r="Q687" s="138">
        <f>MAX(((Q686)*(1+$C$10)+IF(B687="Working",J687,0))-M687,0)</f>
        <v/>
      </c>
      <c r="R687" s="138">
        <f>MAX(((R686)*(1+$C$10)+IF(B687="Working",E114,0))-N687,0)</f>
        <v/>
      </c>
      <c r="S687" s="138">
        <f>MAX(((S686)*(1+$C$10)+IF(B687="Working",I687,0))-O687,0)</f>
        <v/>
      </c>
      <c r="T687" s="138">
        <f>MAX(((T686)*(1+$C$10)+IF(B687="Working",F114,0))-P687,0)</f>
        <v/>
      </c>
      <c r="U687" s="138">
        <f>Q687+R687+S687+T687</f>
        <v/>
      </c>
      <c r="V687" s="138">
        <f>IF(B687="Working",MAX(-(((Q686)*(1+$C$10)+IF(B687="Working",J687,0))),0),MAX(K687-L687,0))</f>
        <v/>
      </c>
      <c r="W687" s="138">
        <f>IF(OR(A687&gt;=$C$13,B687="Retired"),IF(V687&gt;0,-V687,U687-'Model Inputs'!$B$18),"")</f>
        <v/>
      </c>
      <c r="X687" s="138">
        <f>IF(AND($L$236&gt;0,A687&gt;=$C$13),$L$236*(1+$C$25)^(A687-$C$13),0)</f>
        <v/>
      </c>
      <c r="Y687" s="138">
        <f>IF(OR($L$236&lt;=0,$C$17&lt;=0,A687&lt;$C$13,MIN(MAX((A687-$C$13+1)*12,0),$C$17*12)&gt;=$C$17*12),0,IF($C$16=0,MAX(MAX($L$236*(1-$C$15),0)-(IF($C$17&lt;=0,0,IF($C$16=0,MAX($L$236*(1-$C$15),0)/$C$17,-PMT($C$16/12,$C$17*12,MAX($L$236*(1-$C$15),0))*12))/12)*MIN(MAX((A687-$C$13+1)*12,0),$C$17*12),0),MAX(MAX($L$236*(1-$C$15),0)*(1+$C$16/12)^MIN(MAX((A687-$C$13+1)*12,0),$C$17*12)-(IF($C$17&lt;=0,0,IF($C$16=0,MAX($L$236*(1-$C$15),0)/$C$17,-PMT($C$16/12,$C$17*12,MAX($L$236*(1-$C$15),0))*12))/12)*(((1+$C$16/12)^MIN(MAX((A687-$C$13+1)*12,0),$C$17*12)-1)/($C$16/12)),0)))</f>
        <v/>
      </c>
      <c r="Z687" s="138">
        <f>MAX(X687-Y687,0)</f>
        <v/>
      </c>
      <c r="AA687" s="139">
        <f>U687+Z687</f>
        <v/>
      </c>
      <c r="AB687" s="5" t="n"/>
      <c r="AC687" s="5" t="n"/>
      <c r="AD687" s="5" t="n"/>
      <c r="AE687" s="5" t="n"/>
      <c r="AF687" s="5" t="n"/>
      <c r="AG687" s="5" t="n"/>
    </row>
    <row r="688" outlineLevel="1" s="326">
      <c r="A688" s="140" t="n">
        <v>36</v>
      </c>
      <c r="B688" s="40">
        <f>B115</f>
        <v/>
      </c>
      <c r="C688" s="141">
        <f>D115</f>
        <v/>
      </c>
      <c r="D688" s="141">
        <f>I115</f>
        <v/>
      </c>
      <c r="E688" s="141">
        <f>J115</f>
        <v/>
      </c>
      <c r="F688" s="141">
        <f>K115</f>
        <v/>
      </c>
      <c r="G688" s="138">
        <f>IF(AND($L$236&gt;0,A688=$C$13),$L$236*($C$15+$C$18),0)+IF(AND($L$236&gt;0,A688=$C$13),$C$24,0)</f>
        <v/>
      </c>
      <c r="H688" s="138">
        <f>IF(OR($L$236&lt;=0,A688&lt;$C$13),0,IF(AND($L$236&gt;0,$C$17&gt;0,A688&gt;=$C$13,A688&lt;($C$13+$C$17)),IF($C$17&lt;=0,0,IF($C$16=0,MAX($L$236*(1-$C$15),0)/$C$17,-PMT($C$16/12,$C$17*12,MAX($L$236*(1-$C$15),0))*12)),0)+X688*($C$19+$C$20+$C$21)+$C$22+$C$23)</f>
        <v/>
      </c>
      <c r="I688" s="138">
        <f>IF(B688="Working",MIN(MAX(D688-E688-F688-G688-H688,0),'Tax Assumptions'!$B$20),0)</f>
        <v/>
      </c>
      <c r="J688" s="138">
        <f>IF(B688="Working",D688-E688-F688-I688-G688-H688,-L688)</f>
        <v/>
      </c>
      <c r="K688" s="141">
        <f>IF(B688="Retired",$N$236+G688+H688,0)</f>
        <v/>
      </c>
      <c r="L688" s="141">
        <f>M688+N688+O688+P688</f>
        <v/>
      </c>
      <c r="M688" s="141">
        <f>IF(B688="Retired",MIN(((Q687)*(1+$C$10)+IF(B688="Working",J688,0)),K688),0)</f>
        <v/>
      </c>
      <c r="N688" s="141">
        <f>IF(B688="Retired",MIN(MAX(K688-M688,0),((R687)*(1+$C$10)+IF(B688="Working",E115,0))),0)</f>
        <v/>
      </c>
      <c r="O688" s="141">
        <f>IF(B688="Retired",MIN(MAX(K688-M688-N688,0),((S687)*(1+$C$10)+IF(B688="Working",I688,0))),0)</f>
        <v/>
      </c>
      <c r="P688" s="141">
        <f>IF(B688="Retired",MIN(MAX(K688-M688-N688-O688,0),((T687)*(1+$C$10)+IF(B688="Working",F115,0))),0)</f>
        <v/>
      </c>
      <c r="Q688" s="138">
        <f>MAX(((Q687)*(1+$C$10)+IF(B688="Working",J688,0))-M688,0)</f>
        <v/>
      </c>
      <c r="R688" s="138">
        <f>MAX(((R687)*(1+$C$10)+IF(B688="Working",E115,0))-N688,0)</f>
        <v/>
      </c>
      <c r="S688" s="138">
        <f>MAX(((S687)*(1+$C$10)+IF(B688="Working",I688,0))-O688,0)</f>
        <v/>
      </c>
      <c r="T688" s="138">
        <f>MAX(((T687)*(1+$C$10)+IF(B688="Working",F115,0))-P688,0)</f>
        <v/>
      </c>
      <c r="U688" s="138">
        <f>Q688+R688+S688+T688</f>
        <v/>
      </c>
      <c r="V688" s="138">
        <f>IF(B688="Working",MAX(-(((Q687)*(1+$C$10)+IF(B688="Working",J688,0))),0),MAX(K688-L688,0))</f>
        <v/>
      </c>
      <c r="W688" s="138">
        <f>IF(OR(A688&gt;=$C$13,B688="Retired"),IF(V688&gt;0,-V688,U688-'Model Inputs'!$B$18),"")</f>
        <v/>
      </c>
      <c r="X688" s="138">
        <f>IF(AND($L$236&gt;0,A688&gt;=$C$13),$L$236*(1+$C$25)^(A688-$C$13),0)</f>
        <v/>
      </c>
      <c r="Y688" s="138">
        <f>IF(OR($L$236&lt;=0,$C$17&lt;=0,A688&lt;$C$13,MIN(MAX((A688-$C$13+1)*12,0),$C$17*12)&gt;=$C$17*12),0,IF($C$16=0,MAX(MAX($L$236*(1-$C$15),0)-(IF($C$17&lt;=0,0,IF($C$16=0,MAX($L$236*(1-$C$15),0)/$C$17,-PMT($C$16/12,$C$17*12,MAX($L$236*(1-$C$15),0))*12))/12)*MIN(MAX((A688-$C$13+1)*12,0),$C$17*12),0),MAX(MAX($L$236*(1-$C$15),0)*(1+$C$16/12)^MIN(MAX((A688-$C$13+1)*12,0),$C$17*12)-(IF($C$17&lt;=0,0,IF($C$16=0,MAX($L$236*(1-$C$15),0)/$C$17,-PMT($C$16/12,$C$17*12,MAX($L$236*(1-$C$15),0))*12))/12)*(((1+$C$16/12)^MIN(MAX((A688-$C$13+1)*12,0),$C$17*12)-1)/($C$16/12)),0)))</f>
        <v/>
      </c>
      <c r="Z688" s="138">
        <f>MAX(X688-Y688,0)</f>
        <v/>
      </c>
      <c r="AA688" s="142">
        <f>U688+Z688</f>
        <v/>
      </c>
      <c r="AB688" s="5" t="n"/>
      <c r="AC688" s="5" t="n"/>
      <c r="AD688" s="5" t="n"/>
      <c r="AE688" s="5" t="n"/>
      <c r="AF688" s="5" t="n"/>
      <c r="AG688" s="5" t="n"/>
    </row>
    <row r="689" outlineLevel="1" s="326">
      <c r="A689" s="136" t="n">
        <v>37</v>
      </c>
      <c r="B689" s="72">
        <f>B116</f>
        <v/>
      </c>
      <c r="C689" s="137">
        <f>D116</f>
        <v/>
      </c>
      <c r="D689" s="137">
        <f>I116</f>
        <v/>
      </c>
      <c r="E689" s="137">
        <f>J116</f>
        <v/>
      </c>
      <c r="F689" s="137">
        <f>K116</f>
        <v/>
      </c>
      <c r="G689" s="138">
        <f>IF(AND($L$236&gt;0,A689=$C$13),$L$236*($C$15+$C$18),0)+IF(AND($L$236&gt;0,A689=$C$13),$C$24,0)</f>
        <v/>
      </c>
      <c r="H689" s="138">
        <f>IF(OR($L$236&lt;=0,A689&lt;$C$13),0,IF(AND($L$236&gt;0,$C$17&gt;0,A689&gt;=$C$13,A689&lt;($C$13+$C$17)),IF($C$17&lt;=0,0,IF($C$16=0,MAX($L$236*(1-$C$15),0)/$C$17,-PMT($C$16/12,$C$17*12,MAX($L$236*(1-$C$15),0))*12)),0)+X689*($C$19+$C$20+$C$21)+$C$22+$C$23)</f>
        <v/>
      </c>
      <c r="I689" s="138">
        <f>IF(B689="Working",MIN(MAX(D689-E689-F689-G689-H689,0),'Tax Assumptions'!$B$20),0)</f>
        <v/>
      </c>
      <c r="J689" s="138">
        <f>IF(B689="Working",D689-E689-F689-I689-G689-H689,-L689)</f>
        <v/>
      </c>
      <c r="K689" s="137">
        <f>IF(B689="Retired",$N$236+G689+H689,0)</f>
        <v/>
      </c>
      <c r="L689" s="137">
        <f>M689+N689+O689+P689</f>
        <v/>
      </c>
      <c r="M689" s="137">
        <f>IF(B689="Retired",MIN(((Q688)*(1+$C$10)+IF(B689="Working",J689,0)),K689),0)</f>
        <v/>
      </c>
      <c r="N689" s="137">
        <f>IF(B689="Retired",MIN(MAX(K689-M689,0),((R688)*(1+$C$10)+IF(B689="Working",E116,0))),0)</f>
        <v/>
      </c>
      <c r="O689" s="137">
        <f>IF(B689="Retired",MIN(MAX(K689-M689-N689,0),((S688)*(1+$C$10)+IF(B689="Working",I689,0))),0)</f>
        <v/>
      </c>
      <c r="P689" s="137">
        <f>IF(B689="Retired",MIN(MAX(K689-M689-N689-O689,0),((T688)*(1+$C$10)+IF(B689="Working",F116,0))),0)</f>
        <v/>
      </c>
      <c r="Q689" s="138">
        <f>MAX(((Q688)*(1+$C$10)+IF(B689="Working",J689,0))-M689,0)</f>
        <v/>
      </c>
      <c r="R689" s="138">
        <f>MAX(((R688)*(1+$C$10)+IF(B689="Working",E116,0))-N689,0)</f>
        <v/>
      </c>
      <c r="S689" s="138">
        <f>MAX(((S688)*(1+$C$10)+IF(B689="Working",I689,0))-O689,0)</f>
        <v/>
      </c>
      <c r="T689" s="138">
        <f>MAX(((T688)*(1+$C$10)+IF(B689="Working",F116,0))-P689,0)</f>
        <v/>
      </c>
      <c r="U689" s="138">
        <f>Q689+R689+S689+T689</f>
        <v/>
      </c>
      <c r="V689" s="138">
        <f>IF(B689="Working",MAX(-(((Q688)*(1+$C$10)+IF(B689="Working",J689,0))),0),MAX(K689-L689,0))</f>
        <v/>
      </c>
      <c r="W689" s="138">
        <f>IF(OR(A689&gt;=$C$13,B689="Retired"),IF(V689&gt;0,-V689,U689-'Model Inputs'!$B$18),"")</f>
        <v/>
      </c>
      <c r="X689" s="138">
        <f>IF(AND($L$236&gt;0,A689&gt;=$C$13),$L$236*(1+$C$25)^(A689-$C$13),0)</f>
        <v/>
      </c>
      <c r="Y689" s="138">
        <f>IF(OR($L$236&lt;=0,$C$17&lt;=0,A689&lt;$C$13,MIN(MAX((A689-$C$13+1)*12,0),$C$17*12)&gt;=$C$17*12),0,IF($C$16=0,MAX(MAX($L$236*(1-$C$15),0)-(IF($C$17&lt;=0,0,IF($C$16=0,MAX($L$236*(1-$C$15),0)/$C$17,-PMT($C$16/12,$C$17*12,MAX($L$236*(1-$C$15),0))*12))/12)*MIN(MAX((A689-$C$13+1)*12,0),$C$17*12),0),MAX(MAX($L$236*(1-$C$15),0)*(1+$C$16/12)^MIN(MAX((A689-$C$13+1)*12,0),$C$17*12)-(IF($C$17&lt;=0,0,IF($C$16=0,MAX($L$236*(1-$C$15),0)/$C$17,-PMT($C$16/12,$C$17*12,MAX($L$236*(1-$C$15),0))*12))/12)*(((1+$C$16/12)^MIN(MAX((A689-$C$13+1)*12,0),$C$17*12)-1)/($C$16/12)),0)))</f>
        <v/>
      </c>
      <c r="Z689" s="138">
        <f>MAX(X689-Y689,0)</f>
        <v/>
      </c>
      <c r="AA689" s="139">
        <f>U689+Z689</f>
        <v/>
      </c>
      <c r="AB689" s="5" t="n"/>
      <c r="AC689" s="5" t="n"/>
      <c r="AD689" s="5" t="n"/>
      <c r="AE689" s="5" t="n"/>
      <c r="AF689" s="5" t="n"/>
      <c r="AG689" s="5" t="n"/>
    </row>
    <row r="690" outlineLevel="1" s="326">
      <c r="A690" s="140" t="n">
        <v>38</v>
      </c>
      <c r="B690" s="40">
        <f>B117</f>
        <v/>
      </c>
      <c r="C690" s="141">
        <f>D117</f>
        <v/>
      </c>
      <c r="D690" s="141">
        <f>I117</f>
        <v/>
      </c>
      <c r="E690" s="141">
        <f>J117</f>
        <v/>
      </c>
      <c r="F690" s="141">
        <f>K117</f>
        <v/>
      </c>
      <c r="G690" s="138">
        <f>IF(AND($L$236&gt;0,A690=$C$13),$L$236*($C$15+$C$18),0)+IF(AND($L$236&gt;0,A690=$C$13),$C$24,0)</f>
        <v/>
      </c>
      <c r="H690" s="138">
        <f>IF(OR($L$236&lt;=0,A690&lt;$C$13),0,IF(AND($L$236&gt;0,$C$17&gt;0,A690&gt;=$C$13,A690&lt;($C$13+$C$17)),IF($C$17&lt;=0,0,IF($C$16=0,MAX($L$236*(1-$C$15),0)/$C$17,-PMT($C$16/12,$C$17*12,MAX($L$236*(1-$C$15),0))*12)),0)+X690*($C$19+$C$20+$C$21)+$C$22+$C$23)</f>
        <v/>
      </c>
      <c r="I690" s="138">
        <f>IF(B690="Working",MIN(MAX(D690-E690-F690-G690-H690,0),'Tax Assumptions'!$B$20),0)</f>
        <v/>
      </c>
      <c r="J690" s="138">
        <f>IF(B690="Working",D690-E690-F690-I690-G690-H690,-L690)</f>
        <v/>
      </c>
      <c r="K690" s="141">
        <f>IF(B690="Retired",$N$236+G690+H690,0)</f>
        <v/>
      </c>
      <c r="L690" s="141">
        <f>M690+N690+O690+P690</f>
        <v/>
      </c>
      <c r="M690" s="141">
        <f>IF(B690="Retired",MIN(((Q689)*(1+$C$10)+IF(B690="Working",J690,0)),K690),0)</f>
        <v/>
      </c>
      <c r="N690" s="141">
        <f>IF(B690="Retired",MIN(MAX(K690-M690,0),((R689)*(1+$C$10)+IF(B690="Working",E117,0))),0)</f>
        <v/>
      </c>
      <c r="O690" s="141">
        <f>IF(B690="Retired",MIN(MAX(K690-M690-N690,0),((S689)*(1+$C$10)+IF(B690="Working",I690,0))),0)</f>
        <v/>
      </c>
      <c r="P690" s="141">
        <f>IF(B690="Retired",MIN(MAX(K690-M690-N690-O690,0),((T689)*(1+$C$10)+IF(B690="Working",F117,0))),0)</f>
        <v/>
      </c>
      <c r="Q690" s="138">
        <f>MAX(((Q689)*(1+$C$10)+IF(B690="Working",J690,0))-M690,0)</f>
        <v/>
      </c>
      <c r="R690" s="138">
        <f>MAX(((R689)*(1+$C$10)+IF(B690="Working",E117,0))-N690,0)</f>
        <v/>
      </c>
      <c r="S690" s="138">
        <f>MAX(((S689)*(1+$C$10)+IF(B690="Working",I690,0))-O690,0)</f>
        <v/>
      </c>
      <c r="T690" s="138">
        <f>MAX(((T689)*(1+$C$10)+IF(B690="Working",F117,0))-P690,0)</f>
        <v/>
      </c>
      <c r="U690" s="138">
        <f>Q690+R690+S690+T690</f>
        <v/>
      </c>
      <c r="V690" s="138">
        <f>IF(B690="Working",MAX(-(((Q689)*(1+$C$10)+IF(B690="Working",J690,0))),0),MAX(K690-L690,0))</f>
        <v/>
      </c>
      <c r="W690" s="138">
        <f>IF(OR(A690&gt;=$C$13,B690="Retired"),IF(V690&gt;0,-V690,U690-'Model Inputs'!$B$18),"")</f>
        <v/>
      </c>
      <c r="X690" s="138">
        <f>IF(AND($L$236&gt;0,A690&gt;=$C$13),$L$236*(1+$C$25)^(A690-$C$13),0)</f>
        <v/>
      </c>
      <c r="Y690" s="138">
        <f>IF(OR($L$236&lt;=0,$C$17&lt;=0,A690&lt;$C$13,MIN(MAX((A690-$C$13+1)*12,0),$C$17*12)&gt;=$C$17*12),0,IF($C$16=0,MAX(MAX($L$236*(1-$C$15),0)-(IF($C$17&lt;=0,0,IF($C$16=0,MAX($L$236*(1-$C$15),0)/$C$17,-PMT($C$16/12,$C$17*12,MAX($L$236*(1-$C$15),0))*12))/12)*MIN(MAX((A690-$C$13+1)*12,0),$C$17*12),0),MAX(MAX($L$236*(1-$C$15),0)*(1+$C$16/12)^MIN(MAX((A690-$C$13+1)*12,0),$C$17*12)-(IF($C$17&lt;=0,0,IF($C$16=0,MAX($L$236*(1-$C$15),0)/$C$17,-PMT($C$16/12,$C$17*12,MAX($L$236*(1-$C$15),0))*12))/12)*(((1+$C$16/12)^MIN(MAX((A690-$C$13+1)*12,0),$C$17*12)-1)/($C$16/12)),0)))</f>
        <v/>
      </c>
      <c r="Z690" s="138">
        <f>MAX(X690-Y690,0)</f>
        <v/>
      </c>
      <c r="AA690" s="142">
        <f>U690+Z690</f>
        <v/>
      </c>
      <c r="AB690" s="5" t="n"/>
      <c r="AC690" s="5" t="n"/>
      <c r="AD690" s="5" t="n"/>
      <c r="AE690" s="5" t="n"/>
      <c r="AF690" s="5" t="n"/>
      <c r="AG690" s="5" t="n"/>
    </row>
    <row r="691" outlineLevel="1" s="326">
      <c r="A691" s="136" t="n">
        <v>39</v>
      </c>
      <c r="B691" s="72">
        <f>B118</f>
        <v/>
      </c>
      <c r="C691" s="137">
        <f>D118</f>
        <v/>
      </c>
      <c r="D691" s="137">
        <f>I118</f>
        <v/>
      </c>
      <c r="E691" s="137">
        <f>J118</f>
        <v/>
      </c>
      <c r="F691" s="137">
        <f>K118</f>
        <v/>
      </c>
      <c r="G691" s="138">
        <f>IF(AND($L$236&gt;0,A691=$C$13),$L$236*($C$15+$C$18),0)+IF(AND($L$236&gt;0,A691=$C$13),$C$24,0)</f>
        <v/>
      </c>
      <c r="H691" s="138">
        <f>IF(OR($L$236&lt;=0,A691&lt;$C$13),0,IF(AND($L$236&gt;0,$C$17&gt;0,A691&gt;=$C$13,A691&lt;($C$13+$C$17)),IF($C$17&lt;=0,0,IF($C$16=0,MAX($L$236*(1-$C$15),0)/$C$17,-PMT($C$16/12,$C$17*12,MAX($L$236*(1-$C$15),0))*12)),0)+X691*($C$19+$C$20+$C$21)+$C$22+$C$23)</f>
        <v/>
      </c>
      <c r="I691" s="138">
        <f>IF(B691="Working",MIN(MAX(D691-E691-F691-G691-H691,0),'Tax Assumptions'!$B$20),0)</f>
        <v/>
      </c>
      <c r="J691" s="138">
        <f>IF(B691="Working",D691-E691-F691-I691-G691-H691,-L691)</f>
        <v/>
      </c>
      <c r="K691" s="137">
        <f>IF(B691="Retired",$N$236+G691+H691,0)</f>
        <v/>
      </c>
      <c r="L691" s="137">
        <f>M691+N691+O691+P691</f>
        <v/>
      </c>
      <c r="M691" s="137">
        <f>IF(B691="Retired",MIN(((Q690)*(1+$C$10)+IF(B691="Working",J691,0)),K691),0)</f>
        <v/>
      </c>
      <c r="N691" s="137">
        <f>IF(B691="Retired",MIN(MAX(K691-M691,0),((R690)*(1+$C$10)+IF(B691="Working",E118,0))),0)</f>
        <v/>
      </c>
      <c r="O691" s="137">
        <f>IF(B691="Retired",MIN(MAX(K691-M691-N691,0),((S690)*(1+$C$10)+IF(B691="Working",I691,0))),0)</f>
        <v/>
      </c>
      <c r="P691" s="137">
        <f>IF(B691="Retired",MIN(MAX(K691-M691-N691-O691,0),((T690)*(1+$C$10)+IF(B691="Working",F118,0))),0)</f>
        <v/>
      </c>
      <c r="Q691" s="138">
        <f>MAX(((Q690)*(1+$C$10)+IF(B691="Working",J691,0))-M691,0)</f>
        <v/>
      </c>
      <c r="R691" s="138">
        <f>MAX(((R690)*(1+$C$10)+IF(B691="Working",E118,0))-N691,0)</f>
        <v/>
      </c>
      <c r="S691" s="138">
        <f>MAX(((S690)*(1+$C$10)+IF(B691="Working",I691,0))-O691,0)</f>
        <v/>
      </c>
      <c r="T691" s="138">
        <f>MAX(((T690)*(1+$C$10)+IF(B691="Working",F118,0))-P691,0)</f>
        <v/>
      </c>
      <c r="U691" s="138">
        <f>Q691+R691+S691+T691</f>
        <v/>
      </c>
      <c r="V691" s="138">
        <f>IF(B691="Working",MAX(-(((Q690)*(1+$C$10)+IF(B691="Working",J691,0))),0),MAX(K691-L691,0))</f>
        <v/>
      </c>
      <c r="W691" s="138">
        <f>IF(OR(A691&gt;=$C$13,B691="Retired"),IF(V691&gt;0,-V691,U691-'Model Inputs'!$B$18),"")</f>
        <v/>
      </c>
      <c r="X691" s="138">
        <f>IF(AND($L$236&gt;0,A691&gt;=$C$13),$L$236*(1+$C$25)^(A691-$C$13),0)</f>
        <v/>
      </c>
      <c r="Y691" s="138">
        <f>IF(OR($L$236&lt;=0,$C$17&lt;=0,A691&lt;$C$13,MIN(MAX((A691-$C$13+1)*12,0),$C$17*12)&gt;=$C$17*12),0,IF($C$16=0,MAX(MAX($L$236*(1-$C$15),0)-(IF($C$17&lt;=0,0,IF($C$16=0,MAX($L$236*(1-$C$15),0)/$C$17,-PMT($C$16/12,$C$17*12,MAX($L$236*(1-$C$15),0))*12))/12)*MIN(MAX((A691-$C$13+1)*12,0),$C$17*12),0),MAX(MAX($L$236*(1-$C$15),0)*(1+$C$16/12)^MIN(MAX((A691-$C$13+1)*12,0),$C$17*12)-(IF($C$17&lt;=0,0,IF($C$16=0,MAX($L$236*(1-$C$15),0)/$C$17,-PMT($C$16/12,$C$17*12,MAX($L$236*(1-$C$15),0))*12))/12)*(((1+$C$16/12)^MIN(MAX((A691-$C$13+1)*12,0),$C$17*12)-1)/($C$16/12)),0)))</f>
        <v/>
      </c>
      <c r="Z691" s="138">
        <f>MAX(X691-Y691,0)</f>
        <v/>
      </c>
      <c r="AA691" s="139">
        <f>U691+Z691</f>
        <v/>
      </c>
      <c r="AB691" s="5" t="n"/>
      <c r="AC691" s="5" t="n"/>
      <c r="AD691" s="5" t="n"/>
      <c r="AE691" s="5" t="n"/>
      <c r="AF691" s="5" t="n"/>
      <c r="AG691" s="5" t="n"/>
    </row>
    <row r="692" outlineLevel="1" s="326">
      <c r="A692" s="140" t="n">
        <v>40</v>
      </c>
      <c r="B692" s="40">
        <f>B119</f>
        <v/>
      </c>
      <c r="C692" s="141">
        <f>D119</f>
        <v/>
      </c>
      <c r="D692" s="141">
        <f>I119</f>
        <v/>
      </c>
      <c r="E692" s="141">
        <f>J119</f>
        <v/>
      </c>
      <c r="F692" s="141">
        <f>K119</f>
        <v/>
      </c>
      <c r="G692" s="138">
        <f>IF(AND($L$236&gt;0,A692=$C$13),$L$236*($C$15+$C$18),0)+IF(AND($L$236&gt;0,A692=$C$13),$C$24,0)</f>
        <v/>
      </c>
      <c r="H692" s="138">
        <f>IF(OR($L$236&lt;=0,A692&lt;$C$13),0,IF(AND($L$236&gt;0,$C$17&gt;0,A692&gt;=$C$13,A692&lt;($C$13+$C$17)),IF($C$17&lt;=0,0,IF($C$16=0,MAX($L$236*(1-$C$15),0)/$C$17,-PMT($C$16/12,$C$17*12,MAX($L$236*(1-$C$15),0))*12)),0)+X692*($C$19+$C$20+$C$21)+$C$22+$C$23)</f>
        <v/>
      </c>
      <c r="I692" s="138">
        <f>IF(B692="Working",MIN(MAX(D692-E692-F692-G692-H692,0),'Tax Assumptions'!$B$20),0)</f>
        <v/>
      </c>
      <c r="J692" s="138">
        <f>IF(B692="Working",D692-E692-F692-I692-G692-H692,-L692)</f>
        <v/>
      </c>
      <c r="K692" s="141">
        <f>IF(B692="Retired",$N$236+G692+H692,0)</f>
        <v/>
      </c>
      <c r="L692" s="141">
        <f>M692+N692+O692+P692</f>
        <v/>
      </c>
      <c r="M692" s="141">
        <f>IF(B692="Retired",MIN(((Q691)*(1+$C$10)+IF(B692="Working",J692,0)),K692),0)</f>
        <v/>
      </c>
      <c r="N692" s="141">
        <f>IF(B692="Retired",MIN(MAX(K692-M692,0),((R691)*(1+$C$10)+IF(B692="Working",E119,0))),0)</f>
        <v/>
      </c>
      <c r="O692" s="141">
        <f>IF(B692="Retired",MIN(MAX(K692-M692-N692,0),((S691)*(1+$C$10)+IF(B692="Working",I692,0))),0)</f>
        <v/>
      </c>
      <c r="P692" s="141">
        <f>IF(B692="Retired",MIN(MAX(K692-M692-N692-O692,0),((T691)*(1+$C$10)+IF(B692="Working",F119,0))),0)</f>
        <v/>
      </c>
      <c r="Q692" s="138">
        <f>MAX(((Q691)*(1+$C$10)+IF(B692="Working",J692,0))-M692,0)</f>
        <v/>
      </c>
      <c r="R692" s="138">
        <f>MAX(((R691)*(1+$C$10)+IF(B692="Working",E119,0))-N692,0)</f>
        <v/>
      </c>
      <c r="S692" s="138">
        <f>MAX(((S691)*(1+$C$10)+IF(B692="Working",I692,0))-O692,0)</f>
        <v/>
      </c>
      <c r="T692" s="138">
        <f>MAX(((T691)*(1+$C$10)+IF(B692="Working",F119,0))-P692,0)</f>
        <v/>
      </c>
      <c r="U692" s="138">
        <f>Q692+R692+S692+T692</f>
        <v/>
      </c>
      <c r="V692" s="138">
        <f>IF(B692="Working",MAX(-(((Q691)*(1+$C$10)+IF(B692="Working",J692,0))),0),MAX(K692-L692,0))</f>
        <v/>
      </c>
      <c r="W692" s="138">
        <f>IF(OR(A692&gt;=$C$13,B692="Retired"),IF(V692&gt;0,-V692,U692-'Model Inputs'!$B$18),"")</f>
        <v/>
      </c>
      <c r="X692" s="138">
        <f>IF(AND($L$236&gt;0,A692&gt;=$C$13),$L$236*(1+$C$25)^(A692-$C$13),0)</f>
        <v/>
      </c>
      <c r="Y692" s="138">
        <f>IF(OR($L$236&lt;=0,$C$17&lt;=0,A692&lt;$C$13,MIN(MAX((A692-$C$13+1)*12,0),$C$17*12)&gt;=$C$17*12),0,IF($C$16=0,MAX(MAX($L$236*(1-$C$15),0)-(IF($C$17&lt;=0,0,IF($C$16=0,MAX($L$236*(1-$C$15),0)/$C$17,-PMT($C$16/12,$C$17*12,MAX($L$236*(1-$C$15),0))*12))/12)*MIN(MAX((A692-$C$13+1)*12,0),$C$17*12),0),MAX(MAX($L$236*(1-$C$15),0)*(1+$C$16/12)^MIN(MAX((A692-$C$13+1)*12,0),$C$17*12)-(IF($C$17&lt;=0,0,IF($C$16=0,MAX($L$236*(1-$C$15),0)/$C$17,-PMT($C$16/12,$C$17*12,MAX($L$236*(1-$C$15),0))*12))/12)*(((1+$C$16/12)^MIN(MAX((A692-$C$13+1)*12,0),$C$17*12)-1)/($C$16/12)),0)))</f>
        <v/>
      </c>
      <c r="Z692" s="138">
        <f>MAX(X692-Y692,0)</f>
        <v/>
      </c>
      <c r="AA692" s="142">
        <f>U692+Z692</f>
        <v/>
      </c>
      <c r="AB692" s="5" t="n"/>
      <c r="AC692" s="5" t="n"/>
      <c r="AD692" s="5" t="n"/>
      <c r="AE692" s="5" t="n"/>
      <c r="AF692" s="5" t="n"/>
      <c r="AG692" s="5" t="n"/>
    </row>
    <row r="693" outlineLevel="1" s="326">
      <c r="A693" s="143" t="inlineStr">
        <is>
          <t>Case Summary</t>
        </is>
      </c>
      <c r="B693" s="144" t="n"/>
      <c r="C693" s="144" t="n"/>
      <c r="D693" s="144" t="n"/>
      <c r="E693" s="144" t="n"/>
      <c r="F693" s="144" t="n"/>
      <c r="G693" s="145">
        <f>SUM(G653:G692)</f>
        <v/>
      </c>
      <c r="H693" s="145">
        <f>SUM(H653:H692)</f>
        <v/>
      </c>
      <c r="I693" s="145">
        <f>SUM(I653:I692)</f>
        <v/>
      </c>
      <c r="J693" s="145">
        <f>SUM(J653:J692)</f>
        <v/>
      </c>
      <c r="K693" s="145">
        <f>SUM(K653:K692)</f>
        <v/>
      </c>
      <c r="L693" s="145">
        <f>SUM(L653:L692)</f>
        <v/>
      </c>
      <c r="M693" s="145">
        <f>SUM(M653:M692)</f>
        <v/>
      </c>
      <c r="N693" s="145">
        <f>SUM(N653:N692)</f>
        <v/>
      </c>
      <c r="O693" s="145">
        <f>SUM(O653:O692)</f>
        <v/>
      </c>
      <c r="P693" s="145">
        <f>SUM(P653:P692)</f>
        <v/>
      </c>
      <c r="Q693" s="145">
        <f>Q692</f>
        <v/>
      </c>
      <c r="R693" s="145">
        <f>R692</f>
        <v/>
      </c>
      <c r="S693" s="145">
        <f>S692</f>
        <v/>
      </c>
      <c r="T693" s="145">
        <f>T692</f>
        <v/>
      </c>
      <c r="U693" s="145">
        <f>U692</f>
        <v/>
      </c>
      <c r="V693" s="145">
        <f>SUM(V653:V692)</f>
        <v/>
      </c>
      <c r="W693" s="145">
        <f>MIN(W653:W692)</f>
        <v/>
      </c>
      <c r="X693" s="145">
        <f>X692</f>
        <v/>
      </c>
      <c r="Y693" s="145">
        <f>Y692</f>
        <v/>
      </c>
      <c r="Z693" s="145">
        <f>Z692</f>
        <v/>
      </c>
      <c r="AA693" s="146">
        <f>AA692</f>
        <v/>
      </c>
      <c r="AB693" s="5" t="n"/>
      <c r="AC693" s="5" t="n"/>
      <c r="AD693" s="5" t="n"/>
      <c r="AE693" s="5" t="n"/>
      <c r="AF693" s="5" t="n"/>
      <c r="AG693" s="5" t="n"/>
    </row>
    <row r="694" outlineLevel="1" s="326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</row>
    <row r="695" outlineLevel="1" s="326">
      <c r="A695" s="387">
        <f>J237&amp;" | House "&amp;TEXT($L$237,"$#,##0")&amp;" | Spend "&amp;TEXT($N$237,"$#,##0")</f>
        <v/>
      </c>
      <c r="B695" s="345" t="n"/>
      <c r="C695" s="345" t="n"/>
      <c r="D695" s="345" t="n"/>
      <c r="E695" s="345" t="n"/>
      <c r="F695" s="345" t="n"/>
      <c r="G695" s="345" t="n"/>
      <c r="H695" s="345" t="n"/>
      <c r="I695" s="345" t="n"/>
      <c r="J695" s="345" t="n"/>
      <c r="K695" s="345" t="n"/>
      <c r="L695" s="345" t="n"/>
      <c r="M695" s="345" t="n"/>
      <c r="N695" s="345" t="n"/>
      <c r="O695" s="345" t="n"/>
      <c r="P695" s="345" t="n"/>
      <c r="Q695" s="345" t="n"/>
      <c r="R695" s="345" t="n"/>
      <c r="S695" s="345" t="n"/>
      <c r="T695" s="345" t="n"/>
      <c r="U695" s="345" t="n"/>
      <c r="V695" s="345" t="n"/>
      <c r="W695" s="345" t="n"/>
      <c r="X695" s="345" t="n"/>
      <c r="Y695" s="345" t="n"/>
      <c r="Z695" s="345" t="n"/>
      <c r="AA695" s="346" t="n"/>
      <c r="AB695" s="5" t="n"/>
      <c r="AC695" s="5" t="n"/>
      <c r="AD695" s="5" t="n"/>
      <c r="AE695" s="5" t="n"/>
      <c r="AF695" s="5" t="n"/>
      <c r="AG695" s="5" t="n"/>
    </row>
    <row r="696" outlineLevel="1" ht="34" customHeight="1" s="326">
      <c r="A696" s="134" t="inlineStr">
        <is>
          <t>Year</t>
        </is>
      </c>
      <c r="B696" s="83" t="inlineStr">
        <is>
          <t>Phase</t>
        </is>
      </c>
      <c r="C696" s="83" t="inlineStr">
        <is>
          <t>Gross</t>
        </is>
      </c>
      <c r="D696" s="83" t="inlineStr">
        <is>
          <t>Post-Tax Cash</t>
        </is>
      </c>
      <c r="E696" s="83" t="inlineStr">
        <is>
          <t>Rent</t>
        </is>
      </c>
      <c r="F696" s="83" t="inlineStr">
        <is>
          <t>Living</t>
        </is>
      </c>
      <c r="G696" s="83" t="inlineStr">
        <is>
          <t>House Cash</t>
        </is>
      </c>
      <c r="H696" s="83" t="inlineStr">
        <is>
          <t>Housing Carry</t>
        </is>
      </c>
      <c r="I696" s="83" t="inlineStr">
        <is>
          <t>Roth</t>
        </is>
      </c>
      <c r="J696" s="83" t="inlineStr">
        <is>
          <t>Taxable Sav / (Draw)</t>
        </is>
      </c>
      <c r="K696" s="83" t="inlineStr">
        <is>
          <t>Planned Need</t>
        </is>
      </c>
      <c r="L696" s="83" t="inlineStr">
        <is>
          <t>Actual W/D</t>
        </is>
      </c>
      <c r="M696" s="83" t="inlineStr">
        <is>
          <t>Taxable Draw</t>
        </is>
      </c>
      <c r="N696" s="83" t="inlineStr">
        <is>
          <t>401(k) Draw</t>
        </is>
      </c>
      <c r="O696" s="83" t="inlineStr">
        <is>
          <t>Roth Draw</t>
        </is>
      </c>
      <c r="P696" s="83" t="inlineStr">
        <is>
          <t>HSA Draw</t>
        </is>
      </c>
      <c r="Q696" s="83" t="inlineStr">
        <is>
          <t>Taxable Bal</t>
        </is>
      </c>
      <c r="R696" s="83" t="inlineStr">
        <is>
          <t>401(k) Bal</t>
        </is>
      </c>
      <c r="S696" s="83" t="inlineStr">
        <is>
          <t>Roth Bal</t>
        </is>
      </c>
      <c r="T696" s="83" t="inlineStr">
        <is>
          <t>HSA Bal</t>
        </is>
      </c>
      <c r="U696" s="83" t="inlineStr">
        <is>
          <t>Liquid Wealth</t>
        </is>
      </c>
      <c r="V696" s="83" t="inlineStr">
        <is>
          <t>Funding Gap</t>
        </is>
      </c>
      <c r="W696" s="83" t="inlineStr">
        <is>
          <t>Margin vs Reserve</t>
        </is>
      </c>
      <c r="X696" s="83" t="inlineStr">
        <is>
          <t>House Value</t>
        </is>
      </c>
      <c r="Y696" s="83" t="inlineStr">
        <is>
          <t>Mortgage Balance</t>
        </is>
      </c>
      <c r="Z696" s="83" t="inlineStr">
        <is>
          <t>Home Equity</t>
        </is>
      </c>
      <c r="AA696" s="135" t="inlineStr">
        <is>
          <t>Net Worth</t>
        </is>
      </c>
      <c r="AB696" s="5" t="n"/>
      <c r="AC696" s="5" t="n"/>
      <c r="AD696" s="5" t="n"/>
      <c r="AE696" s="5" t="n"/>
      <c r="AF696" s="5" t="n"/>
      <c r="AG696" s="5" t="n"/>
    </row>
    <row r="697" outlineLevel="1" s="326">
      <c r="A697" s="136" t="n">
        <v>1</v>
      </c>
      <c r="B697" s="72">
        <f>B80</f>
        <v/>
      </c>
      <c r="C697" s="137">
        <f>D80</f>
        <v/>
      </c>
      <c r="D697" s="137">
        <f>I80</f>
        <v/>
      </c>
      <c r="E697" s="137">
        <f>J80</f>
        <v/>
      </c>
      <c r="F697" s="137">
        <f>K80</f>
        <v/>
      </c>
      <c r="G697" s="138">
        <f>IF(AND($L$237&gt;0,A697=$C$13),$L$237*($C$15+$C$18),0)+IF(AND($L$237&gt;0,A697=$C$13),$C$24,0)</f>
        <v/>
      </c>
      <c r="H697" s="138">
        <f>IF(OR($L$237&lt;=0,A697&lt;$C$13),0,IF(AND($L$237&gt;0,$C$17&gt;0,A697&gt;=$C$13,A697&lt;($C$13+$C$17)),IF($C$17&lt;=0,0,IF($C$16=0,MAX($L$237*(1-$C$15),0)/$C$17,-PMT($C$16/12,$C$17*12,MAX($L$237*(1-$C$15),0))*12)),0)+X697*($C$19+$C$20+$C$21)+$C$22+$C$23)</f>
        <v/>
      </c>
      <c r="I697" s="138">
        <f>IF(B697="Working",MIN(MAX(D697-E697-F697-G697-H697,0),'Tax Assumptions'!$B$20),0)</f>
        <v/>
      </c>
      <c r="J697" s="138">
        <f>IF(B697="Working",D697-E697-F697-I697-G697-H697,-L697)</f>
        <v/>
      </c>
      <c r="K697" s="137">
        <f>IF(B697="Retired",$N$237+G697+H697,0)</f>
        <v/>
      </c>
      <c r="L697" s="137">
        <f>M697+N697+O697+P697</f>
        <v/>
      </c>
      <c r="M697" s="137">
        <f>IF(B697="Retired",MIN((('Savings Projection'!$B$7)*(1+$C$10)+IF(B697="Working",J697,0)),K697),0)</f>
        <v/>
      </c>
      <c r="N697" s="137">
        <f>IF(B697="Retired",MIN(MAX(K697-M697,0),(('Savings Projection'!$B$8)*(1+$C$10)+IF(B697="Working",E80,0))),0)</f>
        <v/>
      </c>
      <c r="O697" s="137">
        <f>IF(B697="Retired",MIN(MAX(K697-M697-N697,0),(('Savings Projection'!$B$9)*(1+$C$10)+IF(B697="Working",I697,0))),0)</f>
        <v/>
      </c>
      <c r="P697" s="137">
        <f>IF(B697="Retired",MIN(MAX(K697-M697-N697-O697,0),(('Savings Projection'!$B$10)*(1+$C$10)+IF(B697="Working",F80,0))),0)</f>
        <v/>
      </c>
      <c r="Q697" s="138">
        <f>MAX((('Savings Projection'!$B$7)*(1+$C$10)+IF(B697="Working",J697,0))-M697,0)</f>
        <v/>
      </c>
      <c r="R697" s="138">
        <f>MAX((('Savings Projection'!$B$8)*(1+$C$10)+IF(B697="Working",E80,0))-N697,0)</f>
        <v/>
      </c>
      <c r="S697" s="138">
        <f>MAX((('Savings Projection'!$B$9)*(1+$C$10)+IF(B697="Working",I697,0))-O697,0)</f>
        <v/>
      </c>
      <c r="T697" s="138">
        <f>MAX((('Savings Projection'!$B$10)*(1+$C$10)+IF(B697="Working",F80,0))-P697,0)</f>
        <v/>
      </c>
      <c r="U697" s="138">
        <f>Q697+R697+S697+T697</f>
        <v/>
      </c>
      <c r="V697" s="138">
        <f>IF(B697="Working",MAX(-((('Savings Projection'!$B$7)*(1+$C$10)+IF(B697="Working",J697,0))),0),MAX(K697-L697,0))</f>
        <v/>
      </c>
      <c r="W697" s="138">
        <f>IF(OR(A697&gt;=$C$13,B697="Retired"),IF(V697&gt;0,-V697,U697-'Model Inputs'!$B$18),"")</f>
        <v/>
      </c>
      <c r="X697" s="138">
        <f>IF(AND($L$237&gt;0,A697&gt;=$C$13),$L$237*(1+$C$25)^(A697-$C$13),0)</f>
        <v/>
      </c>
      <c r="Y697" s="138">
        <f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/>
      </c>
      <c r="Z697" s="138">
        <f>MAX(X697-Y697,0)</f>
        <v/>
      </c>
      <c r="AA697" s="139">
        <f>U697+Z697</f>
        <v/>
      </c>
      <c r="AB697" s="5" t="n"/>
      <c r="AC697" s="5" t="n"/>
      <c r="AD697" s="5" t="n"/>
      <c r="AE697" s="5" t="n"/>
      <c r="AF697" s="5" t="n"/>
      <c r="AG697" s="5" t="n"/>
    </row>
    <row r="698" outlineLevel="1" s="326">
      <c r="A698" s="140" t="n">
        <v>2</v>
      </c>
      <c r="B698" s="40">
        <f>B81</f>
        <v/>
      </c>
      <c r="C698" s="141">
        <f>D81</f>
        <v/>
      </c>
      <c r="D698" s="141">
        <f>I81</f>
        <v/>
      </c>
      <c r="E698" s="141">
        <f>J81</f>
        <v/>
      </c>
      <c r="F698" s="141">
        <f>K81</f>
        <v/>
      </c>
      <c r="G698" s="138">
        <f>IF(AND($L$237&gt;0,A698=$C$13),$L$237*($C$15+$C$18),0)+IF(AND($L$237&gt;0,A698=$C$13),$C$24,0)</f>
        <v/>
      </c>
      <c r="H698" s="138">
        <f>IF(OR($L$237&lt;=0,A698&lt;$C$13),0,IF(AND($L$237&gt;0,$C$17&gt;0,A698&gt;=$C$13,A698&lt;($C$13+$C$17)),IF($C$17&lt;=0,0,IF($C$16=0,MAX($L$237*(1-$C$15),0)/$C$17,-PMT($C$16/12,$C$17*12,MAX($L$237*(1-$C$15),0))*12)),0)+X698*($C$19+$C$20+$C$21)+$C$22+$C$23)</f>
        <v/>
      </c>
      <c r="I698" s="138">
        <f>IF(B698="Working",MIN(MAX(D698-E698-F698-G698-H698,0),'Tax Assumptions'!$B$20),0)</f>
        <v/>
      </c>
      <c r="J698" s="138">
        <f>IF(B698="Working",D698-E698-F698-I698-G698-H698,-L698)</f>
        <v/>
      </c>
      <c r="K698" s="141">
        <f>IF(B698="Retired",$N$237+G698+H698,0)</f>
        <v/>
      </c>
      <c r="L698" s="141">
        <f>M698+N698+O698+P698</f>
        <v/>
      </c>
      <c r="M698" s="141">
        <f>IF(B698="Retired",MIN(((Q697)*(1+$C$10)+IF(B698="Working",J698,0)),K698),0)</f>
        <v/>
      </c>
      <c r="N698" s="141">
        <f>IF(B698="Retired",MIN(MAX(K698-M698,0),((R697)*(1+$C$10)+IF(B698="Working",E81,0))),0)</f>
        <v/>
      </c>
      <c r="O698" s="141">
        <f>IF(B698="Retired",MIN(MAX(K698-M698-N698,0),((S697)*(1+$C$10)+IF(B698="Working",I698,0))),0)</f>
        <v/>
      </c>
      <c r="P698" s="141">
        <f>IF(B698="Retired",MIN(MAX(K698-M698-N698-O698,0),((T697)*(1+$C$10)+IF(B698="Working",F81,0))),0)</f>
        <v/>
      </c>
      <c r="Q698" s="138">
        <f>MAX(((Q697)*(1+$C$10)+IF(B698="Working",J698,0))-M698,0)</f>
        <v/>
      </c>
      <c r="R698" s="138">
        <f>MAX(((R697)*(1+$C$10)+IF(B698="Working",E81,0))-N698,0)</f>
        <v/>
      </c>
      <c r="S698" s="138">
        <f>MAX(((S697)*(1+$C$10)+IF(B698="Working",I698,0))-O698,0)</f>
        <v/>
      </c>
      <c r="T698" s="138">
        <f>MAX(((T697)*(1+$C$10)+IF(B698="Working",F81,0))-P698,0)</f>
        <v/>
      </c>
      <c r="U698" s="138">
        <f>Q698+R698+S698+T698</f>
        <v/>
      </c>
      <c r="V698" s="138">
        <f>IF(B698="Working",MAX(-(((Q697)*(1+$C$10)+IF(B698="Working",J698,0))),0),MAX(K698-L698,0))</f>
        <v/>
      </c>
      <c r="W698" s="138">
        <f>IF(OR(A698&gt;=$C$13,B698="Retired"),IF(V698&gt;0,-V698,U698-'Model Inputs'!$B$18),"")</f>
        <v/>
      </c>
      <c r="X698" s="138">
        <f>IF(AND($L$237&gt;0,A698&gt;=$C$13),$L$237*(1+$C$25)^(A698-$C$13),0)</f>
        <v/>
      </c>
      <c r="Y698" s="138">
        <f>IF(OR($L$237&lt;=0,$C$17&lt;=0,A698&lt;$C$13,MIN(MAX((A698-$C$13+1)*12,0),$C$17*12)&gt;=$C$17*12),0,IF($C$16=0,MAX(MAX($L$237*(1-$C$15),0)-(IF($C$17&lt;=0,0,IF($C$16=0,MAX($L$237*(1-$C$15),0)/$C$17,-PMT($C$16/12,$C$17*12,MAX($L$237*(1-$C$15),0))*12))/12)*MIN(MAX((A698-$C$13+1)*12,0),$C$17*12),0),MAX(MAX($L$237*(1-$C$15),0)*(1+$C$16/12)^MIN(MAX((A698-$C$13+1)*12,0),$C$17*12)-(IF($C$17&lt;=0,0,IF($C$16=0,MAX($L$237*(1-$C$15),0)/$C$17,-PMT($C$16/12,$C$17*12,MAX($L$237*(1-$C$15),0))*12))/12)*(((1+$C$16/12)^MIN(MAX((A698-$C$13+1)*12,0),$C$17*12)-1)/($C$16/12)),0)))</f>
        <v/>
      </c>
      <c r="Z698" s="138">
        <f>MAX(X698-Y698,0)</f>
        <v/>
      </c>
      <c r="AA698" s="142">
        <f>U698+Z698</f>
        <v/>
      </c>
      <c r="AB698" s="5" t="n"/>
      <c r="AC698" s="5" t="n"/>
      <c r="AD698" s="5" t="n"/>
      <c r="AE698" s="5" t="n"/>
      <c r="AF698" s="5" t="n"/>
      <c r="AG698" s="5" t="n"/>
    </row>
    <row r="699" outlineLevel="1" s="326">
      <c r="A699" s="136" t="n">
        <v>3</v>
      </c>
      <c r="B699" s="72">
        <f>B82</f>
        <v/>
      </c>
      <c r="C699" s="137">
        <f>D82</f>
        <v/>
      </c>
      <c r="D699" s="137">
        <f>I82</f>
        <v/>
      </c>
      <c r="E699" s="137">
        <f>J82</f>
        <v/>
      </c>
      <c r="F699" s="137">
        <f>K82</f>
        <v/>
      </c>
      <c r="G699" s="138">
        <f>IF(AND($L$237&gt;0,A699=$C$13),$L$237*($C$15+$C$18),0)+IF(AND($L$237&gt;0,A699=$C$13),$C$24,0)</f>
        <v/>
      </c>
      <c r="H699" s="138">
        <f>IF(OR($L$237&lt;=0,A699&lt;$C$13),0,IF(AND($L$237&gt;0,$C$17&gt;0,A699&gt;=$C$13,A699&lt;($C$13+$C$17)),IF($C$17&lt;=0,0,IF($C$16=0,MAX($L$237*(1-$C$15),0)/$C$17,-PMT($C$16/12,$C$17*12,MAX($L$237*(1-$C$15),0))*12)),0)+X699*($C$19+$C$20+$C$21)+$C$22+$C$23)</f>
        <v/>
      </c>
      <c r="I699" s="138">
        <f>IF(B699="Working",MIN(MAX(D699-E699-F699-G699-H699,0),'Tax Assumptions'!$B$20),0)</f>
        <v/>
      </c>
      <c r="J699" s="138">
        <f>IF(B699="Working",D699-E699-F699-I699-G699-H699,-L699)</f>
        <v/>
      </c>
      <c r="K699" s="137">
        <f>IF(B699="Retired",$N$237+G699+H699,0)</f>
        <v/>
      </c>
      <c r="L699" s="137">
        <f>M699+N699+O699+P699</f>
        <v/>
      </c>
      <c r="M699" s="137">
        <f>IF(B699="Retired",MIN(((Q698)*(1+$C$10)+IF(B699="Working",J699,0)),K699),0)</f>
        <v/>
      </c>
      <c r="N699" s="137">
        <f>IF(B699="Retired",MIN(MAX(K699-M699,0),((R698)*(1+$C$10)+IF(B699="Working",E82,0))),0)</f>
        <v/>
      </c>
      <c r="O699" s="137">
        <f>IF(B699="Retired",MIN(MAX(K699-M699-N699,0),((S698)*(1+$C$10)+IF(B699="Working",I699,0))),0)</f>
        <v/>
      </c>
      <c r="P699" s="137">
        <f>IF(B699="Retired",MIN(MAX(K699-M699-N699-O699,0),((T698)*(1+$C$10)+IF(B699="Working",F82,0))),0)</f>
        <v/>
      </c>
      <c r="Q699" s="138">
        <f>MAX(((Q698)*(1+$C$10)+IF(B699="Working",J699,0))-M699,0)</f>
        <v/>
      </c>
      <c r="R699" s="138">
        <f>MAX(((R698)*(1+$C$10)+IF(B699="Working",E82,0))-N699,0)</f>
        <v/>
      </c>
      <c r="S699" s="138">
        <f>MAX(((S698)*(1+$C$10)+IF(B699="Working",I699,0))-O699,0)</f>
        <v/>
      </c>
      <c r="T699" s="138">
        <f>MAX(((T698)*(1+$C$10)+IF(B699="Working",F82,0))-P699,0)</f>
        <v/>
      </c>
      <c r="U699" s="138">
        <f>Q699+R699+S699+T699</f>
        <v/>
      </c>
      <c r="V699" s="138">
        <f>IF(B699="Working",MAX(-(((Q698)*(1+$C$10)+IF(B699="Working",J699,0))),0),MAX(K699-L699,0))</f>
        <v/>
      </c>
      <c r="W699" s="138">
        <f>IF(OR(A699&gt;=$C$13,B699="Retired"),IF(V699&gt;0,-V699,U699-'Model Inputs'!$B$18),"")</f>
        <v/>
      </c>
      <c r="X699" s="138">
        <f>IF(AND($L$237&gt;0,A699&gt;=$C$13),$L$237*(1+$C$25)^(A699-$C$13),0)</f>
        <v/>
      </c>
      <c r="Y699" s="138">
        <f>IF(OR($L$237&lt;=0,$C$17&lt;=0,A699&lt;$C$13,MIN(MAX((A699-$C$13+1)*12,0),$C$17*12)&gt;=$C$17*12),0,IF($C$16=0,MAX(MAX($L$237*(1-$C$15),0)-(IF($C$17&lt;=0,0,IF($C$16=0,MAX($L$237*(1-$C$15),0)/$C$17,-PMT($C$16/12,$C$17*12,MAX($L$237*(1-$C$15),0))*12))/12)*MIN(MAX((A699-$C$13+1)*12,0),$C$17*12),0),MAX(MAX($L$237*(1-$C$15),0)*(1+$C$16/12)^MIN(MAX((A699-$C$13+1)*12,0),$C$17*12)-(IF($C$17&lt;=0,0,IF($C$16=0,MAX($L$237*(1-$C$15),0)/$C$17,-PMT($C$16/12,$C$17*12,MAX($L$237*(1-$C$15),0))*12))/12)*(((1+$C$16/12)^MIN(MAX((A699-$C$13+1)*12,0),$C$17*12)-1)/($C$16/12)),0)))</f>
        <v/>
      </c>
      <c r="Z699" s="138">
        <f>MAX(X699-Y699,0)</f>
        <v/>
      </c>
      <c r="AA699" s="139">
        <f>U699+Z699</f>
        <v/>
      </c>
      <c r="AB699" s="5" t="n"/>
      <c r="AC699" s="5" t="n"/>
      <c r="AD699" s="5" t="n"/>
      <c r="AE699" s="5" t="n"/>
      <c r="AF699" s="5" t="n"/>
      <c r="AG699" s="5" t="n"/>
    </row>
    <row r="700" outlineLevel="1" s="326">
      <c r="A700" s="140" t="n">
        <v>4</v>
      </c>
      <c r="B700" s="40">
        <f>B83</f>
        <v/>
      </c>
      <c r="C700" s="141">
        <f>D83</f>
        <v/>
      </c>
      <c r="D700" s="141">
        <f>I83</f>
        <v/>
      </c>
      <c r="E700" s="141">
        <f>J83</f>
        <v/>
      </c>
      <c r="F700" s="141">
        <f>K83</f>
        <v/>
      </c>
      <c r="G700" s="138">
        <f>IF(AND($L$237&gt;0,A700=$C$13),$L$237*($C$15+$C$18),0)+IF(AND($L$237&gt;0,A700=$C$13),$C$24,0)</f>
        <v/>
      </c>
      <c r="H700" s="138">
        <f>IF(OR($L$237&lt;=0,A700&lt;$C$13),0,IF(AND($L$237&gt;0,$C$17&gt;0,A700&gt;=$C$13,A700&lt;($C$13+$C$17)),IF($C$17&lt;=0,0,IF($C$16=0,MAX($L$237*(1-$C$15),0)/$C$17,-PMT($C$16/12,$C$17*12,MAX($L$237*(1-$C$15),0))*12)),0)+X700*($C$19+$C$20+$C$21)+$C$22+$C$23)</f>
        <v/>
      </c>
      <c r="I700" s="138">
        <f>IF(B700="Working",MIN(MAX(D700-E700-F700-G700-H700,0),'Tax Assumptions'!$B$20),0)</f>
        <v/>
      </c>
      <c r="J700" s="138">
        <f>IF(B700="Working",D700-E700-F700-I700-G700-H700,-L700)</f>
        <v/>
      </c>
      <c r="K700" s="141">
        <f>IF(B700="Retired",$N$237+G700+H700,0)</f>
        <v/>
      </c>
      <c r="L700" s="141">
        <f>M700+N700+O700+P700</f>
        <v/>
      </c>
      <c r="M700" s="141">
        <f>IF(B700="Retired",MIN(((Q699)*(1+$C$10)+IF(B700="Working",J700,0)),K700),0)</f>
        <v/>
      </c>
      <c r="N700" s="141">
        <f>IF(B700="Retired",MIN(MAX(K700-M700,0),((R699)*(1+$C$10)+IF(B700="Working",E83,0))),0)</f>
        <v/>
      </c>
      <c r="O700" s="141">
        <f>IF(B700="Retired",MIN(MAX(K700-M700-N700,0),((S699)*(1+$C$10)+IF(B700="Working",I700,0))),0)</f>
        <v/>
      </c>
      <c r="P700" s="141">
        <f>IF(B700="Retired",MIN(MAX(K700-M700-N700-O700,0),((T699)*(1+$C$10)+IF(B700="Working",F83,0))),0)</f>
        <v/>
      </c>
      <c r="Q700" s="138">
        <f>MAX(((Q699)*(1+$C$10)+IF(B700="Working",J700,0))-M700,0)</f>
        <v/>
      </c>
      <c r="R700" s="138">
        <f>MAX(((R699)*(1+$C$10)+IF(B700="Working",E83,0))-N700,0)</f>
        <v/>
      </c>
      <c r="S700" s="138">
        <f>MAX(((S699)*(1+$C$10)+IF(B700="Working",I700,0))-O700,0)</f>
        <v/>
      </c>
      <c r="T700" s="138">
        <f>MAX(((T699)*(1+$C$10)+IF(B700="Working",F83,0))-P700,0)</f>
        <v/>
      </c>
      <c r="U700" s="138">
        <f>Q700+R700+S700+T700</f>
        <v/>
      </c>
      <c r="V700" s="138">
        <f>IF(B700="Working",MAX(-(((Q699)*(1+$C$10)+IF(B700="Working",J700,0))),0),MAX(K700-L700,0))</f>
        <v/>
      </c>
      <c r="W700" s="138">
        <f>IF(OR(A700&gt;=$C$13,B700="Retired"),IF(V700&gt;0,-V700,U700-'Model Inputs'!$B$18),"")</f>
        <v/>
      </c>
      <c r="X700" s="138">
        <f>IF(AND($L$237&gt;0,A700&gt;=$C$13),$L$237*(1+$C$25)^(A700-$C$13),0)</f>
        <v/>
      </c>
      <c r="Y700" s="138">
        <f>IF(OR($L$237&lt;=0,$C$17&lt;=0,A700&lt;$C$13,MIN(MAX((A700-$C$13+1)*12,0),$C$17*12)&gt;=$C$17*12),0,IF($C$16=0,MAX(MAX($L$237*(1-$C$15),0)-(IF($C$17&lt;=0,0,IF($C$16=0,MAX($L$237*(1-$C$15),0)/$C$17,-PMT($C$16/12,$C$17*12,MAX($L$237*(1-$C$15),0))*12))/12)*MIN(MAX((A700-$C$13+1)*12,0),$C$17*12),0),MAX(MAX($L$237*(1-$C$15),0)*(1+$C$16/12)^MIN(MAX((A700-$C$13+1)*12,0),$C$17*12)-(IF($C$17&lt;=0,0,IF($C$16=0,MAX($L$237*(1-$C$15),0)/$C$17,-PMT($C$16/12,$C$17*12,MAX($L$237*(1-$C$15),0))*12))/12)*(((1+$C$16/12)^MIN(MAX((A700-$C$13+1)*12,0),$C$17*12)-1)/($C$16/12)),0)))</f>
        <v/>
      </c>
      <c r="Z700" s="138">
        <f>MAX(X700-Y700,0)</f>
        <v/>
      </c>
      <c r="AA700" s="142">
        <f>U700+Z700</f>
        <v/>
      </c>
      <c r="AB700" s="5" t="n"/>
      <c r="AC700" s="5" t="n"/>
      <c r="AD700" s="5" t="n"/>
      <c r="AE700" s="5" t="n"/>
      <c r="AF700" s="5" t="n"/>
      <c r="AG700" s="5" t="n"/>
    </row>
    <row r="701" outlineLevel="1" s="326">
      <c r="A701" s="136" t="n">
        <v>5</v>
      </c>
      <c r="B701" s="72">
        <f>B84</f>
        <v/>
      </c>
      <c r="C701" s="137">
        <f>D84</f>
        <v/>
      </c>
      <c r="D701" s="137">
        <f>I84</f>
        <v/>
      </c>
      <c r="E701" s="137">
        <f>J84</f>
        <v/>
      </c>
      <c r="F701" s="137">
        <f>K84</f>
        <v/>
      </c>
      <c r="G701" s="138">
        <f>IF(AND($L$237&gt;0,A701=$C$13),$L$237*($C$15+$C$18),0)+IF(AND($L$237&gt;0,A701=$C$13),$C$24,0)</f>
        <v/>
      </c>
      <c r="H701" s="138">
        <f>IF(OR($L$237&lt;=0,A701&lt;$C$13),0,IF(AND($L$237&gt;0,$C$17&gt;0,A701&gt;=$C$13,A701&lt;($C$13+$C$17)),IF($C$17&lt;=0,0,IF($C$16=0,MAX($L$237*(1-$C$15),0)/$C$17,-PMT($C$16/12,$C$17*12,MAX($L$237*(1-$C$15),0))*12)),0)+X701*($C$19+$C$20+$C$21)+$C$22+$C$23)</f>
        <v/>
      </c>
      <c r="I701" s="138">
        <f>IF(B701="Working",MIN(MAX(D701-E701-F701-G701-H701,0),'Tax Assumptions'!$B$20),0)</f>
        <v/>
      </c>
      <c r="J701" s="138">
        <f>IF(B701="Working",D701-E701-F701-I701-G701-H701,-L701)</f>
        <v/>
      </c>
      <c r="K701" s="137">
        <f>IF(B701="Retired",$N$237+G701+H701,0)</f>
        <v/>
      </c>
      <c r="L701" s="137">
        <f>M701+N701+O701+P701</f>
        <v/>
      </c>
      <c r="M701" s="137">
        <f>IF(B701="Retired",MIN(((Q700)*(1+$C$10)+IF(B701="Working",J701,0)),K701),0)</f>
        <v/>
      </c>
      <c r="N701" s="137">
        <f>IF(B701="Retired",MIN(MAX(K701-M701,0),((R700)*(1+$C$10)+IF(B701="Working",E84,0))),0)</f>
        <v/>
      </c>
      <c r="O701" s="137">
        <f>IF(B701="Retired",MIN(MAX(K701-M701-N701,0),((S700)*(1+$C$10)+IF(B701="Working",I701,0))),0)</f>
        <v/>
      </c>
      <c r="P701" s="137">
        <f>IF(B701="Retired",MIN(MAX(K701-M701-N701-O701,0),((T700)*(1+$C$10)+IF(B701="Working",F84,0))),0)</f>
        <v/>
      </c>
      <c r="Q701" s="138">
        <f>MAX(((Q700)*(1+$C$10)+IF(B701="Working",J701,0))-M701,0)</f>
        <v/>
      </c>
      <c r="R701" s="138">
        <f>MAX(((R700)*(1+$C$10)+IF(B701="Working",E84,0))-N701,0)</f>
        <v/>
      </c>
      <c r="S701" s="138">
        <f>MAX(((S700)*(1+$C$10)+IF(B701="Working",I701,0))-O701,0)</f>
        <v/>
      </c>
      <c r="T701" s="138">
        <f>MAX(((T700)*(1+$C$10)+IF(B701="Working",F84,0))-P701,0)</f>
        <v/>
      </c>
      <c r="U701" s="138">
        <f>Q701+R701+S701+T701</f>
        <v/>
      </c>
      <c r="V701" s="138">
        <f>IF(B701="Working",MAX(-(((Q700)*(1+$C$10)+IF(B701="Working",J701,0))),0),MAX(K701-L701,0))</f>
        <v/>
      </c>
      <c r="W701" s="138">
        <f>IF(OR(A701&gt;=$C$13,B701="Retired"),IF(V701&gt;0,-V701,U701-'Model Inputs'!$B$18),"")</f>
        <v/>
      </c>
      <c r="X701" s="138">
        <f>IF(AND($L$237&gt;0,A701&gt;=$C$13),$L$237*(1+$C$25)^(A701-$C$13),0)</f>
        <v/>
      </c>
      <c r="Y701" s="138">
        <f>IF(OR($L$237&lt;=0,$C$17&lt;=0,A701&lt;$C$13,MIN(MAX((A701-$C$13+1)*12,0),$C$17*12)&gt;=$C$17*12),0,IF($C$16=0,MAX(MAX($L$237*(1-$C$15),0)-(IF($C$17&lt;=0,0,IF($C$16=0,MAX($L$237*(1-$C$15),0)/$C$17,-PMT($C$16/12,$C$17*12,MAX($L$237*(1-$C$15),0))*12))/12)*MIN(MAX((A701-$C$13+1)*12,0),$C$17*12),0),MAX(MAX($L$237*(1-$C$15),0)*(1+$C$16/12)^MIN(MAX((A701-$C$13+1)*12,0),$C$17*12)-(IF($C$17&lt;=0,0,IF($C$16=0,MAX($L$237*(1-$C$15),0)/$C$17,-PMT($C$16/12,$C$17*12,MAX($L$237*(1-$C$15),0))*12))/12)*(((1+$C$16/12)^MIN(MAX((A701-$C$13+1)*12,0),$C$17*12)-1)/($C$16/12)),0)))</f>
        <v/>
      </c>
      <c r="Z701" s="138">
        <f>MAX(X701-Y701,0)</f>
        <v/>
      </c>
      <c r="AA701" s="139">
        <f>U701+Z701</f>
        <v/>
      </c>
      <c r="AB701" s="5" t="n"/>
      <c r="AC701" s="5" t="n"/>
      <c r="AD701" s="5" t="n"/>
      <c r="AE701" s="5" t="n"/>
      <c r="AF701" s="5" t="n"/>
      <c r="AG701" s="5" t="n"/>
    </row>
    <row r="702" outlineLevel="1" s="326">
      <c r="A702" s="140" t="n">
        <v>6</v>
      </c>
      <c r="B702" s="40">
        <f>B85</f>
        <v/>
      </c>
      <c r="C702" s="141">
        <f>D85</f>
        <v/>
      </c>
      <c r="D702" s="141">
        <f>I85</f>
        <v/>
      </c>
      <c r="E702" s="141">
        <f>J85</f>
        <v/>
      </c>
      <c r="F702" s="141">
        <f>K85</f>
        <v/>
      </c>
      <c r="G702" s="138">
        <f>IF(AND($L$237&gt;0,A702=$C$13),$L$237*($C$15+$C$18),0)+IF(AND($L$237&gt;0,A702=$C$13),$C$24,0)</f>
        <v/>
      </c>
      <c r="H702" s="138">
        <f>IF(OR($L$237&lt;=0,A702&lt;$C$13),0,IF(AND($L$237&gt;0,$C$17&gt;0,A702&gt;=$C$13,A702&lt;($C$13+$C$17)),IF($C$17&lt;=0,0,IF($C$16=0,MAX($L$237*(1-$C$15),0)/$C$17,-PMT($C$16/12,$C$17*12,MAX($L$237*(1-$C$15),0))*12)),0)+X702*($C$19+$C$20+$C$21)+$C$22+$C$23)</f>
        <v/>
      </c>
      <c r="I702" s="138">
        <f>IF(B702="Working",MIN(MAX(D702-E702-F702-G702-H702,0),'Tax Assumptions'!$B$20),0)</f>
        <v/>
      </c>
      <c r="J702" s="138">
        <f>IF(B702="Working",D702-E702-F702-I702-G702-H702,-L702)</f>
        <v/>
      </c>
      <c r="K702" s="141">
        <f>IF(B702="Retired",$N$237+G702+H702,0)</f>
        <v/>
      </c>
      <c r="L702" s="141">
        <f>M702+N702+O702+P702</f>
        <v/>
      </c>
      <c r="M702" s="141">
        <f>IF(B702="Retired",MIN(((Q701)*(1+$C$10)+IF(B702="Working",J702,0)),K702),0)</f>
        <v/>
      </c>
      <c r="N702" s="141">
        <f>IF(B702="Retired",MIN(MAX(K702-M702,0),((R701)*(1+$C$10)+IF(B702="Working",E85,0))),0)</f>
        <v/>
      </c>
      <c r="O702" s="141">
        <f>IF(B702="Retired",MIN(MAX(K702-M702-N702,0),((S701)*(1+$C$10)+IF(B702="Working",I702,0))),0)</f>
        <v/>
      </c>
      <c r="P702" s="141">
        <f>IF(B702="Retired",MIN(MAX(K702-M702-N702-O702,0),((T701)*(1+$C$10)+IF(B702="Working",F85,0))),0)</f>
        <v/>
      </c>
      <c r="Q702" s="138">
        <f>MAX(((Q701)*(1+$C$10)+IF(B702="Working",J702,0))-M702,0)</f>
        <v/>
      </c>
      <c r="R702" s="138">
        <f>MAX(((R701)*(1+$C$10)+IF(B702="Working",E85,0))-N702,0)</f>
        <v/>
      </c>
      <c r="S702" s="138">
        <f>MAX(((S701)*(1+$C$10)+IF(B702="Working",I702,0))-O702,0)</f>
        <v/>
      </c>
      <c r="T702" s="138">
        <f>MAX(((T701)*(1+$C$10)+IF(B702="Working",F85,0))-P702,0)</f>
        <v/>
      </c>
      <c r="U702" s="138">
        <f>Q702+R702+S702+T702</f>
        <v/>
      </c>
      <c r="V702" s="138">
        <f>IF(B702="Working",MAX(-(((Q701)*(1+$C$10)+IF(B702="Working",J702,0))),0),MAX(K702-L702,0))</f>
        <v/>
      </c>
      <c r="W702" s="138">
        <f>IF(OR(A702&gt;=$C$13,B702="Retired"),IF(V702&gt;0,-V702,U702-'Model Inputs'!$B$18),"")</f>
        <v/>
      </c>
      <c r="X702" s="138">
        <f>IF(AND($L$237&gt;0,A702&gt;=$C$13),$L$237*(1+$C$25)^(A702-$C$13),0)</f>
        <v/>
      </c>
      <c r="Y702" s="138">
        <f>IF(OR($L$237&lt;=0,$C$17&lt;=0,A702&lt;$C$13,MIN(MAX((A702-$C$13+1)*12,0),$C$17*12)&gt;=$C$17*12),0,IF($C$16=0,MAX(MAX($L$237*(1-$C$15),0)-(IF($C$17&lt;=0,0,IF($C$16=0,MAX($L$237*(1-$C$15),0)/$C$17,-PMT($C$16/12,$C$17*12,MAX($L$237*(1-$C$15),0))*12))/12)*MIN(MAX((A702-$C$13+1)*12,0),$C$17*12),0),MAX(MAX($L$237*(1-$C$15),0)*(1+$C$16/12)^MIN(MAX((A702-$C$13+1)*12,0),$C$17*12)-(IF($C$17&lt;=0,0,IF($C$16=0,MAX($L$237*(1-$C$15),0)/$C$17,-PMT($C$16/12,$C$17*12,MAX($L$237*(1-$C$15),0))*12))/12)*(((1+$C$16/12)^MIN(MAX((A702-$C$13+1)*12,0),$C$17*12)-1)/($C$16/12)),0)))</f>
        <v/>
      </c>
      <c r="Z702" s="138">
        <f>MAX(X702-Y702,0)</f>
        <v/>
      </c>
      <c r="AA702" s="142">
        <f>U702+Z702</f>
        <v/>
      </c>
      <c r="AB702" s="5" t="n"/>
      <c r="AC702" s="5" t="n"/>
      <c r="AD702" s="5" t="n"/>
      <c r="AE702" s="5" t="n"/>
      <c r="AF702" s="5" t="n"/>
      <c r="AG702" s="5" t="n"/>
    </row>
    <row r="703" outlineLevel="1" s="326">
      <c r="A703" s="136" t="n">
        <v>7</v>
      </c>
      <c r="B703" s="72">
        <f>B86</f>
        <v/>
      </c>
      <c r="C703" s="137">
        <f>D86</f>
        <v/>
      </c>
      <c r="D703" s="137">
        <f>I86</f>
        <v/>
      </c>
      <c r="E703" s="137">
        <f>J86</f>
        <v/>
      </c>
      <c r="F703" s="137">
        <f>K86</f>
        <v/>
      </c>
      <c r="G703" s="138">
        <f>IF(AND($L$237&gt;0,A703=$C$13),$L$237*($C$15+$C$18),0)+IF(AND($L$237&gt;0,A703=$C$13),$C$24,0)</f>
        <v/>
      </c>
      <c r="H703" s="138">
        <f>IF(OR($L$237&lt;=0,A703&lt;$C$13),0,IF(AND($L$237&gt;0,$C$17&gt;0,A703&gt;=$C$13,A703&lt;($C$13+$C$17)),IF($C$17&lt;=0,0,IF($C$16=0,MAX($L$237*(1-$C$15),0)/$C$17,-PMT($C$16/12,$C$17*12,MAX($L$237*(1-$C$15),0))*12)),0)+X703*($C$19+$C$20+$C$21)+$C$22+$C$23)</f>
        <v/>
      </c>
      <c r="I703" s="138">
        <f>IF(B703="Working",MIN(MAX(D703-E703-F703-G703-H703,0),'Tax Assumptions'!$B$20),0)</f>
        <v/>
      </c>
      <c r="J703" s="138">
        <f>IF(B703="Working",D703-E703-F703-I703-G703-H703,-L703)</f>
        <v/>
      </c>
      <c r="K703" s="137">
        <f>IF(B703="Retired",$N$237+G703+H703,0)</f>
        <v/>
      </c>
      <c r="L703" s="137">
        <f>M703+N703+O703+P703</f>
        <v/>
      </c>
      <c r="M703" s="137">
        <f>IF(B703="Retired",MIN(((Q702)*(1+$C$10)+IF(B703="Working",J703,0)),K703),0)</f>
        <v/>
      </c>
      <c r="N703" s="137">
        <f>IF(B703="Retired",MIN(MAX(K703-M703,0),((R702)*(1+$C$10)+IF(B703="Working",E86,0))),0)</f>
        <v/>
      </c>
      <c r="O703" s="137">
        <f>IF(B703="Retired",MIN(MAX(K703-M703-N703,0),((S702)*(1+$C$10)+IF(B703="Working",I703,0))),0)</f>
        <v/>
      </c>
      <c r="P703" s="137">
        <f>IF(B703="Retired",MIN(MAX(K703-M703-N703-O703,0),((T702)*(1+$C$10)+IF(B703="Working",F86,0))),0)</f>
        <v/>
      </c>
      <c r="Q703" s="138">
        <f>MAX(((Q702)*(1+$C$10)+IF(B703="Working",J703,0))-M703,0)</f>
        <v/>
      </c>
      <c r="R703" s="138">
        <f>MAX(((R702)*(1+$C$10)+IF(B703="Working",E86,0))-N703,0)</f>
        <v/>
      </c>
      <c r="S703" s="138">
        <f>MAX(((S702)*(1+$C$10)+IF(B703="Working",I703,0))-O703,0)</f>
        <v/>
      </c>
      <c r="T703" s="138">
        <f>MAX(((T702)*(1+$C$10)+IF(B703="Working",F86,0))-P703,0)</f>
        <v/>
      </c>
      <c r="U703" s="138">
        <f>Q703+R703+S703+T703</f>
        <v/>
      </c>
      <c r="V703" s="138">
        <f>IF(B703="Working",MAX(-(((Q702)*(1+$C$10)+IF(B703="Working",J703,0))),0),MAX(K703-L703,0))</f>
        <v/>
      </c>
      <c r="W703" s="138">
        <f>IF(OR(A703&gt;=$C$13,B703="Retired"),IF(V703&gt;0,-V703,U703-'Model Inputs'!$B$18),"")</f>
        <v/>
      </c>
      <c r="X703" s="138">
        <f>IF(AND($L$237&gt;0,A703&gt;=$C$13),$L$237*(1+$C$25)^(A703-$C$13),0)</f>
        <v/>
      </c>
      <c r="Y703" s="138">
        <f>IF(OR($L$237&lt;=0,$C$17&lt;=0,A703&lt;$C$13,MIN(MAX((A703-$C$13+1)*12,0),$C$17*12)&gt;=$C$17*12),0,IF($C$16=0,MAX(MAX($L$237*(1-$C$15),0)-(IF($C$17&lt;=0,0,IF($C$16=0,MAX($L$237*(1-$C$15),0)/$C$17,-PMT($C$16/12,$C$17*12,MAX($L$237*(1-$C$15),0))*12))/12)*MIN(MAX((A703-$C$13+1)*12,0),$C$17*12),0),MAX(MAX($L$237*(1-$C$15),0)*(1+$C$16/12)^MIN(MAX((A703-$C$13+1)*12,0),$C$17*12)-(IF($C$17&lt;=0,0,IF($C$16=0,MAX($L$237*(1-$C$15),0)/$C$17,-PMT($C$16/12,$C$17*12,MAX($L$237*(1-$C$15),0))*12))/12)*(((1+$C$16/12)^MIN(MAX((A703-$C$13+1)*12,0),$C$17*12)-1)/($C$16/12)),0)))</f>
        <v/>
      </c>
      <c r="Z703" s="138">
        <f>MAX(X703-Y703,0)</f>
        <v/>
      </c>
      <c r="AA703" s="139">
        <f>U703+Z703</f>
        <v/>
      </c>
      <c r="AB703" s="5" t="n"/>
      <c r="AC703" s="5" t="n"/>
      <c r="AD703" s="5" t="n"/>
      <c r="AE703" s="5" t="n"/>
      <c r="AF703" s="5" t="n"/>
      <c r="AG703" s="5" t="n"/>
    </row>
    <row r="704" outlineLevel="1" s="326">
      <c r="A704" s="140" t="n">
        <v>8</v>
      </c>
      <c r="B704" s="40">
        <f>B87</f>
        <v/>
      </c>
      <c r="C704" s="141">
        <f>D87</f>
        <v/>
      </c>
      <c r="D704" s="141">
        <f>I87</f>
        <v/>
      </c>
      <c r="E704" s="141">
        <f>J87</f>
        <v/>
      </c>
      <c r="F704" s="141">
        <f>K87</f>
        <v/>
      </c>
      <c r="G704" s="138">
        <f>IF(AND($L$237&gt;0,A704=$C$13),$L$237*($C$15+$C$18),0)+IF(AND($L$237&gt;0,A704=$C$13),$C$24,0)</f>
        <v/>
      </c>
      <c r="H704" s="138">
        <f>IF(OR($L$237&lt;=0,A704&lt;$C$13),0,IF(AND($L$237&gt;0,$C$17&gt;0,A704&gt;=$C$13,A704&lt;($C$13+$C$17)),IF($C$17&lt;=0,0,IF($C$16=0,MAX($L$237*(1-$C$15),0)/$C$17,-PMT($C$16/12,$C$17*12,MAX($L$237*(1-$C$15),0))*12)),0)+X704*($C$19+$C$20+$C$21)+$C$22+$C$23)</f>
        <v/>
      </c>
      <c r="I704" s="138">
        <f>IF(B704="Working",MIN(MAX(D704-E704-F704-G704-H704,0),'Tax Assumptions'!$B$20),0)</f>
        <v/>
      </c>
      <c r="J704" s="138">
        <f>IF(B704="Working",D704-E704-F704-I704-G704-H704,-L704)</f>
        <v/>
      </c>
      <c r="K704" s="141">
        <f>IF(B704="Retired",$N$237+G704+H704,0)</f>
        <v/>
      </c>
      <c r="L704" s="141">
        <f>M704+N704+O704+P704</f>
        <v/>
      </c>
      <c r="M704" s="141">
        <f>IF(B704="Retired",MIN(((Q703)*(1+$C$10)+IF(B704="Working",J704,0)),K704),0)</f>
        <v/>
      </c>
      <c r="N704" s="141">
        <f>IF(B704="Retired",MIN(MAX(K704-M704,0),((R703)*(1+$C$10)+IF(B704="Working",E87,0))),0)</f>
        <v/>
      </c>
      <c r="O704" s="141">
        <f>IF(B704="Retired",MIN(MAX(K704-M704-N704,0),((S703)*(1+$C$10)+IF(B704="Working",I704,0))),0)</f>
        <v/>
      </c>
      <c r="P704" s="141">
        <f>IF(B704="Retired",MIN(MAX(K704-M704-N704-O704,0),((T703)*(1+$C$10)+IF(B704="Working",F87,0))),0)</f>
        <v/>
      </c>
      <c r="Q704" s="138">
        <f>MAX(((Q703)*(1+$C$10)+IF(B704="Working",J704,0))-M704,0)</f>
        <v/>
      </c>
      <c r="R704" s="138">
        <f>MAX(((R703)*(1+$C$10)+IF(B704="Working",E87,0))-N704,0)</f>
        <v/>
      </c>
      <c r="S704" s="138">
        <f>MAX(((S703)*(1+$C$10)+IF(B704="Working",I704,0))-O704,0)</f>
        <v/>
      </c>
      <c r="T704" s="138">
        <f>MAX(((T703)*(1+$C$10)+IF(B704="Working",F87,0))-P704,0)</f>
        <v/>
      </c>
      <c r="U704" s="138">
        <f>Q704+R704+S704+T704</f>
        <v/>
      </c>
      <c r="V704" s="138">
        <f>IF(B704="Working",MAX(-(((Q703)*(1+$C$10)+IF(B704="Working",J704,0))),0),MAX(K704-L704,0))</f>
        <v/>
      </c>
      <c r="W704" s="138">
        <f>IF(OR(A704&gt;=$C$13,B704="Retired"),IF(V704&gt;0,-V704,U704-'Model Inputs'!$B$18),"")</f>
        <v/>
      </c>
      <c r="X704" s="138">
        <f>IF(AND($L$237&gt;0,A704&gt;=$C$13),$L$237*(1+$C$25)^(A704-$C$13),0)</f>
        <v/>
      </c>
      <c r="Y704" s="138">
        <f>IF(OR($L$237&lt;=0,$C$17&lt;=0,A704&lt;$C$13,MIN(MAX((A704-$C$13+1)*12,0),$C$17*12)&gt;=$C$17*12),0,IF($C$16=0,MAX(MAX($L$237*(1-$C$15),0)-(IF($C$17&lt;=0,0,IF($C$16=0,MAX($L$237*(1-$C$15),0)/$C$17,-PMT($C$16/12,$C$17*12,MAX($L$237*(1-$C$15),0))*12))/12)*MIN(MAX((A704-$C$13+1)*12,0),$C$17*12),0),MAX(MAX($L$237*(1-$C$15),0)*(1+$C$16/12)^MIN(MAX((A704-$C$13+1)*12,0),$C$17*12)-(IF($C$17&lt;=0,0,IF($C$16=0,MAX($L$237*(1-$C$15),0)/$C$17,-PMT($C$16/12,$C$17*12,MAX($L$237*(1-$C$15),0))*12))/12)*(((1+$C$16/12)^MIN(MAX((A704-$C$13+1)*12,0),$C$17*12)-1)/($C$16/12)),0)))</f>
        <v/>
      </c>
      <c r="Z704" s="138">
        <f>MAX(X704-Y704,0)</f>
        <v/>
      </c>
      <c r="AA704" s="142">
        <f>U704+Z704</f>
        <v/>
      </c>
      <c r="AB704" s="5" t="n"/>
      <c r="AC704" s="5" t="n"/>
      <c r="AD704" s="5" t="n"/>
      <c r="AE704" s="5" t="n"/>
      <c r="AF704" s="5" t="n"/>
      <c r="AG704" s="5" t="n"/>
    </row>
    <row r="705" outlineLevel="1" s="326">
      <c r="A705" s="136" t="n">
        <v>9</v>
      </c>
      <c r="B705" s="72">
        <f>B88</f>
        <v/>
      </c>
      <c r="C705" s="137">
        <f>D88</f>
        <v/>
      </c>
      <c r="D705" s="137">
        <f>I88</f>
        <v/>
      </c>
      <c r="E705" s="137">
        <f>J88</f>
        <v/>
      </c>
      <c r="F705" s="137">
        <f>K88</f>
        <v/>
      </c>
      <c r="G705" s="138">
        <f>IF(AND($L$237&gt;0,A705=$C$13),$L$237*($C$15+$C$18),0)+IF(AND($L$237&gt;0,A705=$C$13),$C$24,0)</f>
        <v/>
      </c>
      <c r="H705" s="138">
        <f>IF(OR($L$237&lt;=0,A705&lt;$C$13),0,IF(AND($L$237&gt;0,$C$17&gt;0,A705&gt;=$C$13,A705&lt;($C$13+$C$17)),IF($C$17&lt;=0,0,IF($C$16=0,MAX($L$237*(1-$C$15),0)/$C$17,-PMT($C$16/12,$C$17*12,MAX($L$237*(1-$C$15),0))*12)),0)+X705*($C$19+$C$20+$C$21)+$C$22+$C$23)</f>
        <v/>
      </c>
      <c r="I705" s="138">
        <f>IF(B705="Working",MIN(MAX(D705-E705-F705-G705-H705,0),'Tax Assumptions'!$B$20),0)</f>
        <v/>
      </c>
      <c r="J705" s="138">
        <f>IF(B705="Working",D705-E705-F705-I705-G705-H705,-L705)</f>
        <v/>
      </c>
      <c r="K705" s="137">
        <f>IF(B705="Retired",$N$237+G705+H705,0)</f>
        <v/>
      </c>
      <c r="L705" s="137">
        <f>M705+N705+O705+P705</f>
        <v/>
      </c>
      <c r="M705" s="137">
        <f>IF(B705="Retired",MIN(((Q704)*(1+$C$10)+IF(B705="Working",J705,0)),K705),0)</f>
        <v/>
      </c>
      <c r="N705" s="137">
        <f>IF(B705="Retired",MIN(MAX(K705-M705,0),((R704)*(1+$C$10)+IF(B705="Working",E88,0))),0)</f>
        <v/>
      </c>
      <c r="O705" s="137">
        <f>IF(B705="Retired",MIN(MAX(K705-M705-N705,0),((S704)*(1+$C$10)+IF(B705="Working",I705,0))),0)</f>
        <v/>
      </c>
      <c r="P705" s="137">
        <f>IF(B705="Retired",MIN(MAX(K705-M705-N705-O705,0),((T704)*(1+$C$10)+IF(B705="Working",F88,0))),0)</f>
        <v/>
      </c>
      <c r="Q705" s="138">
        <f>MAX(((Q704)*(1+$C$10)+IF(B705="Working",J705,0))-M705,0)</f>
        <v/>
      </c>
      <c r="R705" s="138">
        <f>MAX(((R704)*(1+$C$10)+IF(B705="Working",E88,0))-N705,0)</f>
        <v/>
      </c>
      <c r="S705" s="138">
        <f>MAX(((S704)*(1+$C$10)+IF(B705="Working",I705,0))-O705,0)</f>
        <v/>
      </c>
      <c r="T705" s="138">
        <f>MAX(((T704)*(1+$C$10)+IF(B705="Working",F88,0))-P705,0)</f>
        <v/>
      </c>
      <c r="U705" s="138">
        <f>Q705+R705+S705+T705</f>
        <v/>
      </c>
      <c r="V705" s="138">
        <f>IF(B705="Working",MAX(-(((Q704)*(1+$C$10)+IF(B705="Working",J705,0))),0),MAX(K705-L705,0))</f>
        <v/>
      </c>
      <c r="W705" s="138">
        <f>IF(OR(A705&gt;=$C$13,B705="Retired"),IF(V705&gt;0,-V705,U705-'Model Inputs'!$B$18),"")</f>
        <v/>
      </c>
      <c r="X705" s="138">
        <f>IF(AND($L$237&gt;0,A705&gt;=$C$13),$L$237*(1+$C$25)^(A705-$C$13),0)</f>
        <v/>
      </c>
      <c r="Y705" s="138">
        <f>IF(OR($L$237&lt;=0,$C$17&lt;=0,A705&lt;$C$13,MIN(MAX((A705-$C$13+1)*12,0),$C$17*12)&gt;=$C$17*12),0,IF($C$16=0,MAX(MAX($L$237*(1-$C$15),0)-(IF($C$17&lt;=0,0,IF($C$16=0,MAX($L$237*(1-$C$15),0)/$C$17,-PMT($C$16/12,$C$17*12,MAX($L$237*(1-$C$15),0))*12))/12)*MIN(MAX((A705-$C$13+1)*12,0),$C$17*12),0),MAX(MAX($L$237*(1-$C$15),0)*(1+$C$16/12)^MIN(MAX((A705-$C$13+1)*12,0),$C$17*12)-(IF($C$17&lt;=0,0,IF($C$16=0,MAX($L$237*(1-$C$15),0)/$C$17,-PMT($C$16/12,$C$17*12,MAX($L$237*(1-$C$15),0))*12))/12)*(((1+$C$16/12)^MIN(MAX((A705-$C$13+1)*12,0),$C$17*12)-1)/($C$16/12)),0)))</f>
        <v/>
      </c>
      <c r="Z705" s="138">
        <f>MAX(X705-Y705,0)</f>
        <v/>
      </c>
      <c r="AA705" s="139">
        <f>U705+Z705</f>
        <v/>
      </c>
      <c r="AB705" s="5" t="n"/>
      <c r="AC705" s="5" t="n"/>
      <c r="AD705" s="5" t="n"/>
      <c r="AE705" s="5" t="n"/>
      <c r="AF705" s="5" t="n"/>
      <c r="AG705" s="5" t="n"/>
    </row>
    <row r="706" outlineLevel="1" s="326">
      <c r="A706" s="140" t="n">
        <v>10</v>
      </c>
      <c r="B706" s="40">
        <f>B89</f>
        <v/>
      </c>
      <c r="C706" s="141">
        <f>D89</f>
        <v/>
      </c>
      <c r="D706" s="141">
        <f>I89</f>
        <v/>
      </c>
      <c r="E706" s="141">
        <f>J89</f>
        <v/>
      </c>
      <c r="F706" s="141">
        <f>K89</f>
        <v/>
      </c>
      <c r="G706" s="138">
        <f>IF(AND($L$237&gt;0,A706=$C$13),$L$237*($C$15+$C$18),0)+IF(AND($L$237&gt;0,A706=$C$13),$C$24,0)</f>
        <v/>
      </c>
      <c r="H706" s="138">
        <f>IF(OR($L$237&lt;=0,A706&lt;$C$13),0,IF(AND($L$237&gt;0,$C$17&gt;0,A706&gt;=$C$13,A706&lt;($C$13+$C$17)),IF($C$17&lt;=0,0,IF($C$16=0,MAX($L$237*(1-$C$15),0)/$C$17,-PMT($C$16/12,$C$17*12,MAX($L$237*(1-$C$15),0))*12)),0)+X706*($C$19+$C$20+$C$21)+$C$22+$C$23)</f>
        <v/>
      </c>
      <c r="I706" s="138">
        <f>IF(B706="Working",MIN(MAX(D706-E706-F706-G706-H706,0),'Tax Assumptions'!$B$20),0)</f>
        <v/>
      </c>
      <c r="J706" s="138">
        <f>IF(B706="Working",D706-E706-F706-I706-G706-H706,-L706)</f>
        <v/>
      </c>
      <c r="K706" s="141">
        <f>IF(B706="Retired",$N$237+G706+H706,0)</f>
        <v/>
      </c>
      <c r="L706" s="141">
        <f>M706+N706+O706+P706</f>
        <v/>
      </c>
      <c r="M706" s="141">
        <f>IF(B706="Retired",MIN(((Q705)*(1+$C$10)+IF(B706="Working",J706,0)),K706),0)</f>
        <v/>
      </c>
      <c r="N706" s="141">
        <f>IF(B706="Retired",MIN(MAX(K706-M706,0),((R705)*(1+$C$10)+IF(B706="Working",E89,0))),0)</f>
        <v/>
      </c>
      <c r="O706" s="141">
        <f>IF(B706="Retired",MIN(MAX(K706-M706-N706,0),((S705)*(1+$C$10)+IF(B706="Working",I706,0))),0)</f>
        <v/>
      </c>
      <c r="P706" s="141">
        <f>IF(B706="Retired",MIN(MAX(K706-M706-N706-O706,0),((T705)*(1+$C$10)+IF(B706="Working",F89,0))),0)</f>
        <v/>
      </c>
      <c r="Q706" s="138">
        <f>MAX(((Q705)*(1+$C$10)+IF(B706="Working",J706,0))-M706,0)</f>
        <v/>
      </c>
      <c r="R706" s="138">
        <f>MAX(((R705)*(1+$C$10)+IF(B706="Working",E89,0))-N706,0)</f>
        <v/>
      </c>
      <c r="S706" s="138">
        <f>MAX(((S705)*(1+$C$10)+IF(B706="Working",I706,0))-O706,0)</f>
        <v/>
      </c>
      <c r="T706" s="138">
        <f>MAX(((T705)*(1+$C$10)+IF(B706="Working",F89,0))-P706,0)</f>
        <v/>
      </c>
      <c r="U706" s="138">
        <f>Q706+R706+S706+T706</f>
        <v/>
      </c>
      <c r="V706" s="138">
        <f>IF(B706="Working",MAX(-(((Q705)*(1+$C$10)+IF(B706="Working",J706,0))),0),MAX(K706-L706,0))</f>
        <v/>
      </c>
      <c r="W706" s="138">
        <f>IF(OR(A706&gt;=$C$13,B706="Retired"),IF(V706&gt;0,-V706,U706-'Model Inputs'!$B$18),"")</f>
        <v/>
      </c>
      <c r="X706" s="138">
        <f>IF(AND($L$237&gt;0,A706&gt;=$C$13),$L$237*(1+$C$25)^(A706-$C$13),0)</f>
        <v/>
      </c>
      <c r="Y706" s="138">
        <f>IF(OR($L$237&lt;=0,$C$17&lt;=0,A706&lt;$C$13,MIN(MAX((A706-$C$13+1)*12,0),$C$17*12)&gt;=$C$17*12),0,IF($C$16=0,MAX(MAX($L$237*(1-$C$15),0)-(IF($C$17&lt;=0,0,IF($C$16=0,MAX($L$237*(1-$C$15),0)/$C$17,-PMT($C$16/12,$C$17*12,MAX($L$237*(1-$C$15),0))*12))/12)*MIN(MAX((A706-$C$13+1)*12,0),$C$17*12),0),MAX(MAX($L$237*(1-$C$15),0)*(1+$C$16/12)^MIN(MAX((A706-$C$13+1)*12,0),$C$17*12)-(IF($C$17&lt;=0,0,IF($C$16=0,MAX($L$237*(1-$C$15),0)/$C$17,-PMT($C$16/12,$C$17*12,MAX($L$237*(1-$C$15),0))*12))/12)*(((1+$C$16/12)^MIN(MAX((A706-$C$13+1)*12,0),$C$17*12)-1)/($C$16/12)),0)))</f>
        <v/>
      </c>
      <c r="Z706" s="138">
        <f>MAX(X706-Y706,0)</f>
        <v/>
      </c>
      <c r="AA706" s="142">
        <f>U706+Z706</f>
        <v/>
      </c>
      <c r="AB706" s="5" t="n"/>
      <c r="AC706" s="5" t="n"/>
      <c r="AD706" s="5" t="n"/>
      <c r="AE706" s="5" t="n"/>
      <c r="AF706" s="5" t="n"/>
      <c r="AG706" s="5" t="n"/>
    </row>
    <row r="707" outlineLevel="1" s="326">
      <c r="A707" s="136" t="n">
        <v>11</v>
      </c>
      <c r="B707" s="72">
        <f>B90</f>
        <v/>
      </c>
      <c r="C707" s="137">
        <f>D90</f>
        <v/>
      </c>
      <c r="D707" s="137">
        <f>I90</f>
        <v/>
      </c>
      <c r="E707" s="137">
        <f>J90</f>
        <v/>
      </c>
      <c r="F707" s="137">
        <f>K90</f>
        <v/>
      </c>
      <c r="G707" s="138">
        <f>IF(AND($L$237&gt;0,A707=$C$13),$L$237*($C$15+$C$18),0)+IF(AND($L$237&gt;0,A707=$C$13),$C$24,0)</f>
        <v/>
      </c>
      <c r="H707" s="138">
        <f>IF(OR($L$237&lt;=0,A707&lt;$C$13),0,IF(AND($L$237&gt;0,$C$17&gt;0,A707&gt;=$C$13,A707&lt;($C$13+$C$17)),IF($C$17&lt;=0,0,IF($C$16=0,MAX($L$237*(1-$C$15),0)/$C$17,-PMT($C$16/12,$C$17*12,MAX($L$237*(1-$C$15),0))*12)),0)+X707*($C$19+$C$20+$C$21)+$C$22+$C$23)</f>
        <v/>
      </c>
      <c r="I707" s="138">
        <f>IF(B707="Working",MIN(MAX(D707-E707-F707-G707-H707,0),'Tax Assumptions'!$B$20),0)</f>
        <v/>
      </c>
      <c r="J707" s="138">
        <f>IF(B707="Working",D707-E707-F707-I707-G707-H707,-L707)</f>
        <v/>
      </c>
      <c r="K707" s="137">
        <f>IF(B707="Retired",$N$237+G707+H707,0)</f>
        <v/>
      </c>
      <c r="L707" s="137">
        <f>M707+N707+O707+P707</f>
        <v/>
      </c>
      <c r="M707" s="137">
        <f>IF(B707="Retired",MIN(((Q706)*(1+$C$10)+IF(B707="Working",J707,0)),K707),0)</f>
        <v/>
      </c>
      <c r="N707" s="137">
        <f>IF(B707="Retired",MIN(MAX(K707-M707,0),((R706)*(1+$C$10)+IF(B707="Working",E90,0))),0)</f>
        <v/>
      </c>
      <c r="O707" s="137">
        <f>IF(B707="Retired",MIN(MAX(K707-M707-N707,0),((S706)*(1+$C$10)+IF(B707="Working",I707,0))),0)</f>
        <v/>
      </c>
      <c r="P707" s="137">
        <f>IF(B707="Retired",MIN(MAX(K707-M707-N707-O707,0),((T706)*(1+$C$10)+IF(B707="Working",F90,0))),0)</f>
        <v/>
      </c>
      <c r="Q707" s="138">
        <f>MAX(((Q706)*(1+$C$10)+IF(B707="Working",J707,0))-M707,0)</f>
        <v/>
      </c>
      <c r="R707" s="138">
        <f>MAX(((R706)*(1+$C$10)+IF(B707="Working",E90,0))-N707,0)</f>
        <v/>
      </c>
      <c r="S707" s="138">
        <f>MAX(((S706)*(1+$C$10)+IF(B707="Working",I707,0))-O707,0)</f>
        <v/>
      </c>
      <c r="T707" s="138">
        <f>MAX(((T706)*(1+$C$10)+IF(B707="Working",F90,0))-P707,0)</f>
        <v/>
      </c>
      <c r="U707" s="138">
        <f>Q707+R707+S707+T707</f>
        <v/>
      </c>
      <c r="V707" s="138">
        <f>IF(B707="Working",MAX(-(((Q706)*(1+$C$10)+IF(B707="Working",J707,0))),0),MAX(K707-L707,0))</f>
        <v/>
      </c>
      <c r="W707" s="138">
        <f>IF(OR(A707&gt;=$C$13,B707="Retired"),IF(V707&gt;0,-V707,U707-'Model Inputs'!$B$18),"")</f>
        <v/>
      </c>
      <c r="X707" s="138">
        <f>IF(AND($L$237&gt;0,A707&gt;=$C$13),$L$237*(1+$C$25)^(A707-$C$13),0)</f>
        <v/>
      </c>
      <c r="Y707" s="138">
        <f>IF(OR($L$237&lt;=0,$C$17&lt;=0,A707&lt;$C$13,MIN(MAX((A707-$C$13+1)*12,0),$C$17*12)&gt;=$C$17*12),0,IF($C$16=0,MAX(MAX($L$237*(1-$C$15),0)-(IF($C$17&lt;=0,0,IF($C$16=0,MAX($L$237*(1-$C$15),0)/$C$17,-PMT($C$16/12,$C$17*12,MAX($L$237*(1-$C$15),0))*12))/12)*MIN(MAX((A707-$C$13+1)*12,0),$C$17*12),0),MAX(MAX($L$237*(1-$C$15),0)*(1+$C$16/12)^MIN(MAX((A707-$C$13+1)*12,0),$C$17*12)-(IF($C$17&lt;=0,0,IF($C$16=0,MAX($L$237*(1-$C$15),0)/$C$17,-PMT($C$16/12,$C$17*12,MAX($L$237*(1-$C$15),0))*12))/12)*(((1+$C$16/12)^MIN(MAX((A707-$C$13+1)*12,0),$C$17*12)-1)/($C$16/12)),0)))</f>
        <v/>
      </c>
      <c r="Z707" s="138">
        <f>MAX(X707-Y707,0)</f>
        <v/>
      </c>
      <c r="AA707" s="139">
        <f>U707+Z707</f>
        <v/>
      </c>
      <c r="AB707" s="5" t="n"/>
      <c r="AC707" s="5" t="n"/>
      <c r="AD707" s="5" t="n"/>
      <c r="AE707" s="5" t="n"/>
      <c r="AF707" s="5" t="n"/>
      <c r="AG707" s="5" t="n"/>
    </row>
    <row r="708" outlineLevel="1" s="326">
      <c r="A708" s="140" t="n">
        <v>12</v>
      </c>
      <c r="B708" s="40">
        <f>B91</f>
        <v/>
      </c>
      <c r="C708" s="141">
        <f>D91</f>
        <v/>
      </c>
      <c r="D708" s="141">
        <f>I91</f>
        <v/>
      </c>
      <c r="E708" s="141">
        <f>J91</f>
        <v/>
      </c>
      <c r="F708" s="141">
        <f>K91</f>
        <v/>
      </c>
      <c r="G708" s="138">
        <f>IF(AND($L$237&gt;0,A708=$C$13),$L$237*($C$15+$C$18),0)+IF(AND($L$237&gt;0,A708=$C$13),$C$24,0)</f>
        <v/>
      </c>
      <c r="H708" s="138">
        <f>IF(OR($L$237&lt;=0,A708&lt;$C$13),0,IF(AND($L$237&gt;0,$C$17&gt;0,A708&gt;=$C$13,A708&lt;($C$13+$C$17)),IF($C$17&lt;=0,0,IF($C$16=0,MAX($L$237*(1-$C$15),0)/$C$17,-PMT($C$16/12,$C$17*12,MAX($L$237*(1-$C$15),0))*12)),0)+X708*($C$19+$C$20+$C$21)+$C$22+$C$23)</f>
        <v/>
      </c>
      <c r="I708" s="138">
        <f>IF(B708="Working",MIN(MAX(D708-E708-F708-G708-H708,0),'Tax Assumptions'!$B$20),0)</f>
        <v/>
      </c>
      <c r="J708" s="138">
        <f>IF(B708="Working",D708-E708-F708-I708-G708-H708,-L708)</f>
        <v/>
      </c>
      <c r="K708" s="141">
        <f>IF(B708="Retired",$N$237+G708+H708,0)</f>
        <v/>
      </c>
      <c r="L708" s="141">
        <f>M708+N708+O708+P708</f>
        <v/>
      </c>
      <c r="M708" s="141">
        <f>IF(B708="Retired",MIN(((Q707)*(1+$C$10)+IF(B708="Working",J708,0)),K708),0)</f>
        <v/>
      </c>
      <c r="N708" s="141">
        <f>IF(B708="Retired",MIN(MAX(K708-M708,0),((R707)*(1+$C$10)+IF(B708="Working",E91,0))),0)</f>
        <v/>
      </c>
      <c r="O708" s="141">
        <f>IF(B708="Retired",MIN(MAX(K708-M708-N708,0),((S707)*(1+$C$10)+IF(B708="Working",I708,0))),0)</f>
        <v/>
      </c>
      <c r="P708" s="141">
        <f>IF(B708="Retired",MIN(MAX(K708-M708-N708-O708,0),((T707)*(1+$C$10)+IF(B708="Working",F91,0))),0)</f>
        <v/>
      </c>
      <c r="Q708" s="138">
        <f>MAX(((Q707)*(1+$C$10)+IF(B708="Working",J708,0))-M708,0)</f>
        <v/>
      </c>
      <c r="R708" s="138">
        <f>MAX(((R707)*(1+$C$10)+IF(B708="Working",E91,0))-N708,0)</f>
        <v/>
      </c>
      <c r="S708" s="138">
        <f>MAX(((S707)*(1+$C$10)+IF(B708="Working",I708,0))-O708,0)</f>
        <v/>
      </c>
      <c r="T708" s="138">
        <f>MAX(((T707)*(1+$C$10)+IF(B708="Working",F91,0))-P708,0)</f>
        <v/>
      </c>
      <c r="U708" s="138">
        <f>Q708+R708+S708+T708</f>
        <v/>
      </c>
      <c r="V708" s="138">
        <f>IF(B708="Working",MAX(-(((Q707)*(1+$C$10)+IF(B708="Working",J708,0))),0),MAX(K708-L708,0))</f>
        <v/>
      </c>
      <c r="W708" s="138">
        <f>IF(OR(A708&gt;=$C$13,B708="Retired"),IF(V708&gt;0,-V708,U708-'Model Inputs'!$B$18),"")</f>
        <v/>
      </c>
      <c r="X708" s="138">
        <f>IF(AND($L$237&gt;0,A708&gt;=$C$13),$L$237*(1+$C$25)^(A708-$C$13),0)</f>
        <v/>
      </c>
      <c r="Y708" s="138">
        <f>IF(OR($L$237&lt;=0,$C$17&lt;=0,A708&lt;$C$13,MIN(MAX((A708-$C$13+1)*12,0),$C$17*12)&gt;=$C$17*12),0,IF($C$16=0,MAX(MAX($L$237*(1-$C$15),0)-(IF($C$17&lt;=0,0,IF($C$16=0,MAX($L$237*(1-$C$15),0)/$C$17,-PMT($C$16/12,$C$17*12,MAX($L$237*(1-$C$15),0))*12))/12)*MIN(MAX((A708-$C$13+1)*12,0),$C$17*12),0),MAX(MAX($L$237*(1-$C$15),0)*(1+$C$16/12)^MIN(MAX((A708-$C$13+1)*12,0),$C$17*12)-(IF($C$17&lt;=0,0,IF($C$16=0,MAX($L$237*(1-$C$15),0)/$C$17,-PMT($C$16/12,$C$17*12,MAX($L$237*(1-$C$15),0))*12))/12)*(((1+$C$16/12)^MIN(MAX((A708-$C$13+1)*12,0),$C$17*12)-1)/($C$16/12)),0)))</f>
        <v/>
      </c>
      <c r="Z708" s="138">
        <f>MAX(X708-Y708,0)</f>
        <v/>
      </c>
      <c r="AA708" s="142">
        <f>U708+Z708</f>
        <v/>
      </c>
      <c r="AB708" s="5" t="n"/>
      <c r="AC708" s="5" t="n"/>
      <c r="AD708" s="5" t="n"/>
      <c r="AE708" s="5" t="n"/>
      <c r="AF708" s="5" t="n"/>
      <c r="AG708" s="5" t="n"/>
    </row>
    <row r="709" outlineLevel="1" s="326">
      <c r="A709" s="136" t="n">
        <v>13</v>
      </c>
      <c r="B709" s="72">
        <f>B92</f>
        <v/>
      </c>
      <c r="C709" s="137">
        <f>D92</f>
        <v/>
      </c>
      <c r="D709" s="137">
        <f>I92</f>
        <v/>
      </c>
      <c r="E709" s="137">
        <f>J92</f>
        <v/>
      </c>
      <c r="F709" s="137">
        <f>K92</f>
        <v/>
      </c>
      <c r="G709" s="138">
        <f>IF(AND($L$237&gt;0,A709=$C$13),$L$237*($C$15+$C$18),0)+IF(AND($L$237&gt;0,A709=$C$13),$C$24,0)</f>
        <v/>
      </c>
      <c r="H709" s="138">
        <f>IF(OR($L$237&lt;=0,A709&lt;$C$13),0,IF(AND($L$237&gt;0,$C$17&gt;0,A709&gt;=$C$13,A709&lt;($C$13+$C$17)),IF($C$17&lt;=0,0,IF($C$16=0,MAX($L$237*(1-$C$15),0)/$C$17,-PMT($C$16/12,$C$17*12,MAX($L$237*(1-$C$15),0))*12)),0)+X709*($C$19+$C$20+$C$21)+$C$22+$C$23)</f>
        <v/>
      </c>
      <c r="I709" s="138">
        <f>IF(B709="Working",MIN(MAX(D709-E709-F709-G709-H709,0),'Tax Assumptions'!$B$20),0)</f>
        <v/>
      </c>
      <c r="J709" s="138">
        <f>IF(B709="Working",D709-E709-F709-I709-G709-H709,-L709)</f>
        <v/>
      </c>
      <c r="K709" s="137">
        <f>IF(B709="Retired",$N$237+G709+H709,0)</f>
        <v/>
      </c>
      <c r="L709" s="137">
        <f>M709+N709+O709+P709</f>
        <v/>
      </c>
      <c r="M709" s="137">
        <f>IF(B709="Retired",MIN(((Q708)*(1+$C$10)+IF(B709="Working",J709,0)),K709),0)</f>
        <v/>
      </c>
      <c r="N709" s="137">
        <f>IF(B709="Retired",MIN(MAX(K709-M709,0),((R708)*(1+$C$10)+IF(B709="Working",E92,0))),0)</f>
        <v/>
      </c>
      <c r="O709" s="137">
        <f>IF(B709="Retired",MIN(MAX(K709-M709-N709,0),((S708)*(1+$C$10)+IF(B709="Working",I709,0))),0)</f>
        <v/>
      </c>
      <c r="P709" s="137">
        <f>IF(B709="Retired",MIN(MAX(K709-M709-N709-O709,0),((T708)*(1+$C$10)+IF(B709="Working",F92,0))),0)</f>
        <v/>
      </c>
      <c r="Q709" s="138">
        <f>MAX(((Q708)*(1+$C$10)+IF(B709="Working",J709,0))-M709,0)</f>
        <v/>
      </c>
      <c r="R709" s="138">
        <f>MAX(((R708)*(1+$C$10)+IF(B709="Working",E92,0))-N709,0)</f>
        <v/>
      </c>
      <c r="S709" s="138">
        <f>MAX(((S708)*(1+$C$10)+IF(B709="Working",I709,0))-O709,0)</f>
        <v/>
      </c>
      <c r="T709" s="138">
        <f>MAX(((T708)*(1+$C$10)+IF(B709="Working",F92,0))-P709,0)</f>
        <v/>
      </c>
      <c r="U709" s="138">
        <f>Q709+R709+S709+T709</f>
        <v/>
      </c>
      <c r="V709" s="138">
        <f>IF(B709="Working",MAX(-(((Q708)*(1+$C$10)+IF(B709="Working",J709,0))),0),MAX(K709-L709,0))</f>
        <v/>
      </c>
      <c r="W709" s="138">
        <f>IF(OR(A709&gt;=$C$13,B709="Retired"),IF(V709&gt;0,-V709,U709-'Model Inputs'!$B$18),"")</f>
        <v/>
      </c>
      <c r="X709" s="138">
        <f>IF(AND($L$237&gt;0,A709&gt;=$C$13),$L$237*(1+$C$25)^(A709-$C$13),0)</f>
        <v/>
      </c>
      <c r="Y709" s="138">
        <f>IF(OR($L$237&lt;=0,$C$17&lt;=0,A709&lt;$C$13,MIN(MAX((A709-$C$13+1)*12,0),$C$17*12)&gt;=$C$17*12),0,IF($C$16=0,MAX(MAX($L$237*(1-$C$15),0)-(IF($C$17&lt;=0,0,IF($C$16=0,MAX($L$237*(1-$C$15),0)/$C$17,-PMT($C$16/12,$C$17*12,MAX($L$237*(1-$C$15),0))*12))/12)*MIN(MAX((A709-$C$13+1)*12,0),$C$17*12),0),MAX(MAX($L$237*(1-$C$15),0)*(1+$C$16/12)^MIN(MAX((A709-$C$13+1)*12,0),$C$17*12)-(IF($C$17&lt;=0,0,IF($C$16=0,MAX($L$237*(1-$C$15),0)/$C$17,-PMT($C$16/12,$C$17*12,MAX($L$237*(1-$C$15),0))*12))/12)*(((1+$C$16/12)^MIN(MAX((A709-$C$13+1)*12,0),$C$17*12)-1)/($C$16/12)),0)))</f>
        <v/>
      </c>
      <c r="Z709" s="138">
        <f>MAX(X709-Y709,0)</f>
        <v/>
      </c>
      <c r="AA709" s="139">
        <f>U709+Z709</f>
        <v/>
      </c>
      <c r="AB709" s="5" t="n"/>
      <c r="AC709" s="5" t="n"/>
      <c r="AD709" s="5" t="n"/>
      <c r="AE709" s="5" t="n"/>
      <c r="AF709" s="5" t="n"/>
      <c r="AG709" s="5" t="n"/>
    </row>
    <row r="710" outlineLevel="1" s="326">
      <c r="A710" s="140" t="n">
        <v>14</v>
      </c>
      <c r="B710" s="40">
        <f>B93</f>
        <v/>
      </c>
      <c r="C710" s="141">
        <f>D93</f>
        <v/>
      </c>
      <c r="D710" s="141">
        <f>I93</f>
        <v/>
      </c>
      <c r="E710" s="141">
        <f>J93</f>
        <v/>
      </c>
      <c r="F710" s="141">
        <f>K93</f>
        <v/>
      </c>
      <c r="G710" s="138">
        <f>IF(AND($L$237&gt;0,A710=$C$13),$L$237*($C$15+$C$18),0)+IF(AND($L$237&gt;0,A710=$C$13),$C$24,0)</f>
        <v/>
      </c>
      <c r="H710" s="138">
        <f>IF(OR($L$237&lt;=0,A710&lt;$C$13),0,IF(AND($L$237&gt;0,$C$17&gt;0,A710&gt;=$C$13,A710&lt;($C$13+$C$17)),IF($C$17&lt;=0,0,IF($C$16=0,MAX($L$237*(1-$C$15),0)/$C$17,-PMT($C$16/12,$C$17*12,MAX($L$237*(1-$C$15),0))*12)),0)+X710*($C$19+$C$20+$C$21)+$C$22+$C$23)</f>
        <v/>
      </c>
      <c r="I710" s="138">
        <f>IF(B710="Working",MIN(MAX(D710-E710-F710-G710-H710,0),'Tax Assumptions'!$B$20),0)</f>
        <v/>
      </c>
      <c r="J710" s="138">
        <f>IF(B710="Working",D710-E710-F710-I710-G710-H710,-L710)</f>
        <v/>
      </c>
      <c r="K710" s="141">
        <f>IF(B710="Retired",$N$237+G710+H710,0)</f>
        <v/>
      </c>
      <c r="L710" s="141">
        <f>M710+N710+O710+P710</f>
        <v/>
      </c>
      <c r="M710" s="141">
        <f>IF(B710="Retired",MIN(((Q709)*(1+$C$10)+IF(B710="Working",J710,0)),K710),0)</f>
        <v/>
      </c>
      <c r="N710" s="141">
        <f>IF(B710="Retired",MIN(MAX(K710-M710,0),((R709)*(1+$C$10)+IF(B710="Working",E93,0))),0)</f>
        <v/>
      </c>
      <c r="O710" s="141">
        <f>IF(B710="Retired",MIN(MAX(K710-M710-N710,0),((S709)*(1+$C$10)+IF(B710="Working",I710,0))),0)</f>
        <v/>
      </c>
      <c r="P710" s="141">
        <f>IF(B710="Retired",MIN(MAX(K710-M710-N710-O710,0),((T709)*(1+$C$10)+IF(B710="Working",F93,0))),0)</f>
        <v/>
      </c>
      <c r="Q710" s="138">
        <f>MAX(((Q709)*(1+$C$10)+IF(B710="Working",J710,0))-M710,0)</f>
        <v/>
      </c>
      <c r="R710" s="138">
        <f>MAX(((R709)*(1+$C$10)+IF(B710="Working",E93,0))-N710,0)</f>
        <v/>
      </c>
      <c r="S710" s="138">
        <f>MAX(((S709)*(1+$C$10)+IF(B710="Working",I710,0))-O710,0)</f>
        <v/>
      </c>
      <c r="T710" s="138">
        <f>MAX(((T709)*(1+$C$10)+IF(B710="Working",F93,0))-P710,0)</f>
        <v/>
      </c>
      <c r="U710" s="138">
        <f>Q710+R710+S710+T710</f>
        <v/>
      </c>
      <c r="V710" s="138">
        <f>IF(B710="Working",MAX(-(((Q709)*(1+$C$10)+IF(B710="Working",J710,0))),0),MAX(K710-L710,0))</f>
        <v/>
      </c>
      <c r="W710" s="138">
        <f>IF(OR(A710&gt;=$C$13,B710="Retired"),IF(V710&gt;0,-V710,U710-'Model Inputs'!$B$18),"")</f>
        <v/>
      </c>
      <c r="X710" s="138">
        <f>IF(AND($L$237&gt;0,A710&gt;=$C$13),$L$237*(1+$C$25)^(A710-$C$13),0)</f>
        <v/>
      </c>
      <c r="Y710" s="138">
        <f>IF(OR($L$237&lt;=0,$C$17&lt;=0,A710&lt;$C$13,MIN(MAX((A710-$C$13+1)*12,0),$C$17*12)&gt;=$C$17*12),0,IF($C$16=0,MAX(MAX($L$237*(1-$C$15),0)-(IF($C$17&lt;=0,0,IF($C$16=0,MAX($L$237*(1-$C$15),0)/$C$17,-PMT($C$16/12,$C$17*12,MAX($L$237*(1-$C$15),0))*12))/12)*MIN(MAX((A710-$C$13+1)*12,0),$C$17*12),0),MAX(MAX($L$237*(1-$C$15),0)*(1+$C$16/12)^MIN(MAX((A710-$C$13+1)*12,0),$C$17*12)-(IF($C$17&lt;=0,0,IF($C$16=0,MAX($L$237*(1-$C$15),0)/$C$17,-PMT($C$16/12,$C$17*12,MAX($L$237*(1-$C$15),0))*12))/12)*(((1+$C$16/12)^MIN(MAX((A710-$C$13+1)*12,0),$C$17*12)-1)/($C$16/12)),0)))</f>
        <v/>
      </c>
      <c r="Z710" s="138">
        <f>MAX(X710-Y710,0)</f>
        <v/>
      </c>
      <c r="AA710" s="142">
        <f>U710+Z710</f>
        <v/>
      </c>
      <c r="AB710" s="5" t="n"/>
      <c r="AC710" s="5" t="n"/>
      <c r="AD710" s="5" t="n"/>
      <c r="AE710" s="5" t="n"/>
      <c r="AF710" s="5" t="n"/>
      <c r="AG710" s="5" t="n"/>
    </row>
    <row r="711" outlineLevel="1" s="326">
      <c r="A711" s="136" t="n">
        <v>15</v>
      </c>
      <c r="B711" s="72">
        <f>B94</f>
        <v/>
      </c>
      <c r="C711" s="137">
        <f>D94</f>
        <v/>
      </c>
      <c r="D711" s="137">
        <f>I94</f>
        <v/>
      </c>
      <c r="E711" s="137">
        <f>J94</f>
        <v/>
      </c>
      <c r="F711" s="137">
        <f>K94</f>
        <v/>
      </c>
      <c r="G711" s="138">
        <f>IF(AND($L$237&gt;0,A711=$C$13),$L$237*($C$15+$C$18),0)+IF(AND($L$237&gt;0,A711=$C$13),$C$24,0)</f>
        <v/>
      </c>
      <c r="H711" s="138">
        <f>IF(OR($L$237&lt;=0,A711&lt;$C$13),0,IF(AND($L$237&gt;0,$C$17&gt;0,A711&gt;=$C$13,A711&lt;($C$13+$C$17)),IF($C$17&lt;=0,0,IF($C$16=0,MAX($L$237*(1-$C$15),0)/$C$17,-PMT($C$16/12,$C$17*12,MAX($L$237*(1-$C$15),0))*12)),0)+X711*($C$19+$C$20+$C$21)+$C$22+$C$23)</f>
        <v/>
      </c>
      <c r="I711" s="138">
        <f>IF(B711="Working",MIN(MAX(D711-E711-F711-G711-H711,0),'Tax Assumptions'!$B$20),0)</f>
        <v/>
      </c>
      <c r="J711" s="138">
        <f>IF(B711="Working",D711-E711-F711-I711-G711-H711,-L711)</f>
        <v/>
      </c>
      <c r="K711" s="137">
        <f>IF(B711="Retired",$N$237+G711+H711,0)</f>
        <v/>
      </c>
      <c r="L711" s="137">
        <f>M711+N711+O711+P711</f>
        <v/>
      </c>
      <c r="M711" s="137">
        <f>IF(B711="Retired",MIN(((Q710)*(1+$C$10)+IF(B711="Working",J711,0)),K711),0)</f>
        <v/>
      </c>
      <c r="N711" s="137">
        <f>IF(B711="Retired",MIN(MAX(K711-M711,0),((R710)*(1+$C$10)+IF(B711="Working",E94,0))),0)</f>
        <v/>
      </c>
      <c r="O711" s="137">
        <f>IF(B711="Retired",MIN(MAX(K711-M711-N711,0),((S710)*(1+$C$10)+IF(B711="Working",I711,0))),0)</f>
        <v/>
      </c>
      <c r="P711" s="137">
        <f>IF(B711="Retired",MIN(MAX(K711-M711-N711-O711,0),((T710)*(1+$C$10)+IF(B711="Working",F94,0))),0)</f>
        <v/>
      </c>
      <c r="Q711" s="138">
        <f>MAX(((Q710)*(1+$C$10)+IF(B711="Working",J711,0))-M711,0)</f>
        <v/>
      </c>
      <c r="R711" s="138">
        <f>MAX(((R710)*(1+$C$10)+IF(B711="Working",E94,0))-N711,0)</f>
        <v/>
      </c>
      <c r="S711" s="138">
        <f>MAX(((S710)*(1+$C$10)+IF(B711="Working",I711,0))-O711,0)</f>
        <v/>
      </c>
      <c r="T711" s="138">
        <f>MAX(((T710)*(1+$C$10)+IF(B711="Working",F94,0))-P711,0)</f>
        <v/>
      </c>
      <c r="U711" s="138">
        <f>Q711+R711+S711+T711</f>
        <v/>
      </c>
      <c r="V711" s="138">
        <f>IF(B711="Working",MAX(-(((Q710)*(1+$C$10)+IF(B711="Working",J711,0))),0),MAX(K711-L711,0))</f>
        <v/>
      </c>
      <c r="W711" s="138">
        <f>IF(OR(A711&gt;=$C$13,B711="Retired"),IF(V711&gt;0,-V711,U711-'Model Inputs'!$B$18),"")</f>
        <v/>
      </c>
      <c r="X711" s="138">
        <f>IF(AND($L$237&gt;0,A711&gt;=$C$13),$L$237*(1+$C$25)^(A711-$C$13),0)</f>
        <v/>
      </c>
      <c r="Y711" s="138">
        <f>IF(OR($L$237&lt;=0,$C$17&lt;=0,A711&lt;$C$13,MIN(MAX((A711-$C$13+1)*12,0),$C$17*12)&gt;=$C$17*12),0,IF($C$16=0,MAX(MAX($L$237*(1-$C$15),0)-(IF($C$17&lt;=0,0,IF($C$16=0,MAX($L$237*(1-$C$15),0)/$C$17,-PMT($C$16/12,$C$17*12,MAX($L$237*(1-$C$15),0))*12))/12)*MIN(MAX((A711-$C$13+1)*12,0),$C$17*12),0),MAX(MAX($L$237*(1-$C$15),0)*(1+$C$16/12)^MIN(MAX((A711-$C$13+1)*12,0),$C$17*12)-(IF($C$17&lt;=0,0,IF($C$16=0,MAX($L$237*(1-$C$15),0)/$C$17,-PMT($C$16/12,$C$17*12,MAX($L$237*(1-$C$15),0))*12))/12)*(((1+$C$16/12)^MIN(MAX((A711-$C$13+1)*12,0),$C$17*12)-1)/($C$16/12)),0)))</f>
        <v/>
      </c>
      <c r="Z711" s="138">
        <f>MAX(X711-Y711,0)</f>
        <v/>
      </c>
      <c r="AA711" s="139">
        <f>U711+Z711</f>
        <v/>
      </c>
      <c r="AB711" s="5" t="n"/>
      <c r="AC711" s="5" t="n"/>
      <c r="AD711" s="5" t="n"/>
      <c r="AE711" s="5" t="n"/>
      <c r="AF711" s="5" t="n"/>
      <c r="AG711" s="5" t="n"/>
    </row>
    <row r="712" outlineLevel="1" s="326">
      <c r="A712" s="140" t="n">
        <v>16</v>
      </c>
      <c r="B712" s="40">
        <f>B95</f>
        <v/>
      </c>
      <c r="C712" s="141">
        <f>D95</f>
        <v/>
      </c>
      <c r="D712" s="141">
        <f>I95</f>
        <v/>
      </c>
      <c r="E712" s="141">
        <f>J95</f>
        <v/>
      </c>
      <c r="F712" s="141">
        <f>K95</f>
        <v/>
      </c>
      <c r="G712" s="138">
        <f>IF(AND($L$237&gt;0,A712=$C$13),$L$237*($C$15+$C$18),0)+IF(AND($L$237&gt;0,A712=$C$13),$C$24,0)</f>
        <v/>
      </c>
      <c r="H712" s="138">
        <f>IF(OR($L$237&lt;=0,A712&lt;$C$13),0,IF(AND($L$237&gt;0,$C$17&gt;0,A712&gt;=$C$13,A712&lt;($C$13+$C$17)),IF($C$17&lt;=0,0,IF($C$16=0,MAX($L$237*(1-$C$15),0)/$C$17,-PMT($C$16/12,$C$17*12,MAX($L$237*(1-$C$15),0))*12)),0)+X712*($C$19+$C$20+$C$21)+$C$22+$C$23)</f>
        <v/>
      </c>
      <c r="I712" s="138">
        <f>IF(B712="Working",MIN(MAX(D712-E712-F712-G712-H712,0),'Tax Assumptions'!$B$20),0)</f>
        <v/>
      </c>
      <c r="J712" s="138">
        <f>IF(B712="Working",D712-E712-F712-I712-G712-H712,-L712)</f>
        <v/>
      </c>
      <c r="K712" s="141">
        <f>IF(B712="Retired",$N$237+G712+H712,0)</f>
        <v/>
      </c>
      <c r="L712" s="141">
        <f>M712+N712+O712+P712</f>
        <v/>
      </c>
      <c r="M712" s="141">
        <f>IF(B712="Retired",MIN(((Q711)*(1+$C$10)+IF(B712="Working",J712,0)),K712),0)</f>
        <v/>
      </c>
      <c r="N712" s="141">
        <f>IF(B712="Retired",MIN(MAX(K712-M712,0),((R711)*(1+$C$10)+IF(B712="Working",E95,0))),0)</f>
        <v/>
      </c>
      <c r="O712" s="141">
        <f>IF(B712="Retired",MIN(MAX(K712-M712-N712,0),((S711)*(1+$C$10)+IF(B712="Working",I712,0))),0)</f>
        <v/>
      </c>
      <c r="P712" s="141">
        <f>IF(B712="Retired",MIN(MAX(K712-M712-N712-O712,0),((T711)*(1+$C$10)+IF(B712="Working",F95,0))),0)</f>
        <v/>
      </c>
      <c r="Q712" s="138">
        <f>MAX(((Q711)*(1+$C$10)+IF(B712="Working",J712,0))-M712,0)</f>
        <v/>
      </c>
      <c r="R712" s="138">
        <f>MAX(((R711)*(1+$C$10)+IF(B712="Working",E95,0))-N712,0)</f>
        <v/>
      </c>
      <c r="S712" s="138">
        <f>MAX(((S711)*(1+$C$10)+IF(B712="Working",I712,0))-O712,0)</f>
        <v/>
      </c>
      <c r="T712" s="138">
        <f>MAX(((T711)*(1+$C$10)+IF(B712="Working",F95,0))-P712,0)</f>
        <v/>
      </c>
      <c r="U712" s="138">
        <f>Q712+R712+S712+T712</f>
        <v/>
      </c>
      <c r="V712" s="138">
        <f>IF(B712="Working",MAX(-(((Q711)*(1+$C$10)+IF(B712="Working",J712,0))),0),MAX(K712-L712,0))</f>
        <v/>
      </c>
      <c r="W712" s="138">
        <f>IF(OR(A712&gt;=$C$13,B712="Retired"),IF(V712&gt;0,-V712,U712-'Model Inputs'!$B$18),"")</f>
        <v/>
      </c>
      <c r="X712" s="138">
        <f>IF(AND($L$237&gt;0,A712&gt;=$C$13),$L$237*(1+$C$25)^(A712-$C$13),0)</f>
        <v/>
      </c>
      <c r="Y712" s="138">
        <f>IF(OR($L$237&lt;=0,$C$17&lt;=0,A712&lt;$C$13,MIN(MAX((A712-$C$13+1)*12,0),$C$17*12)&gt;=$C$17*12),0,IF($C$16=0,MAX(MAX($L$237*(1-$C$15),0)-(IF($C$17&lt;=0,0,IF($C$16=0,MAX($L$237*(1-$C$15),0)/$C$17,-PMT($C$16/12,$C$17*12,MAX($L$237*(1-$C$15),0))*12))/12)*MIN(MAX((A712-$C$13+1)*12,0),$C$17*12),0),MAX(MAX($L$237*(1-$C$15),0)*(1+$C$16/12)^MIN(MAX((A712-$C$13+1)*12,0),$C$17*12)-(IF($C$17&lt;=0,0,IF($C$16=0,MAX($L$237*(1-$C$15),0)/$C$17,-PMT($C$16/12,$C$17*12,MAX($L$237*(1-$C$15),0))*12))/12)*(((1+$C$16/12)^MIN(MAX((A712-$C$13+1)*12,0),$C$17*12)-1)/($C$16/12)),0)))</f>
        <v/>
      </c>
      <c r="Z712" s="138">
        <f>MAX(X712-Y712,0)</f>
        <v/>
      </c>
      <c r="AA712" s="142">
        <f>U712+Z712</f>
        <v/>
      </c>
      <c r="AB712" s="5" t="n"/>
      <c r="AC712" s="5" t="n"/>
      <c r="AD712" s="5" t="n"/>
      <c r="AE712" s="5" t="n"/>
      <c r="AF712" s="5" t="n"/>
      <c r="AG712" s="5" t="n"/>
    </row>
    <row r="713" outlineLevel="1" s="326">
      <c r="A713" s="136" t="n">
        <v>17</v>
      </c>
      <c r="B713" s="72">
        <f>B96</f>
        <v/>
      </c>
      <c r="C713" s="137">
        <f>D96</f>
        <v/>
      </c>
      <c r="D713" s="137">
        <f>I96</f>
        <v/>
      </c>
      <c r="E713" s="137">
        <f>J96</f>
        <v/>
      </c>
      <c r="F713" s="137">
        <f>K96</f>
        <v/>
      </c>
      <c r="G713" s="138">
        <f>IF(AND($L$237&gt;0,A713=$C$13),$L$237*($C$15+$C$18),0)+IF(AND($L$237&gt;0,A713=$C$13),$C$24,0)</f>
        <v/>
      </c>
      <c r="H713" s="138">
        <f>IF(OR($L$237&lt;=0,A713&lt;$C$13),0,IF(AND($L$237&gt;0,$C$17&gt;0,A713&gt;=$C$13,A713&lt;($C$13+$C$17)),IF($C$17&lt;=0,0,IF($C$16=0,MAX($L$237*(1-$C$15),0)/$C$17,-PMT($C$16/12,$C$17*12,MAX($L$237*(1-$C$15),0))*12)),0)+X713*($C$19+$C$20+$C$21)+$C$22+$C$23)</f>
        <v/>
      </c>
      <c r="I713" s="138">
        <f>IF(B713="Working",MIN(MAX(D713-E713-F713-G713-H713,0),'Tax Assumptions'!$B$20),0)</f>
        <v/>
      </c>
      <c r="J713" s="138">
        <f>IF(B713="Working",D713-E713-F713-I713-G713-H713,-L713)</f>
        <v/>
      </c>
      <c r="K713" s="137">
        <f>IF(B713="Retired",$N$237+G713+H713,0)</f>
        <v/>
      </c>
      <c r="L713" s="137">
        <f>M713+N713+O713+P713</f>
        <v/>
      </c>
      <c r="M713" s="137">
        <f>IF(B713="Retired",MIN(((Q712)*(1+$C$10)+IF(B713="Working",J713,0)),K713),0)</f>
        <v/>
      </c>
      <c r="N713" s="137">
        <f>IF(B713="Retired",MIN(MAX(K713-M713,0),((R712)*(1+$C$10)+IF(B713="Working",E96,0))),0)</f>
        <v/>
      </c>
      <c r="O713" s="137">
        <f>IF(B713="Retired",MIN(MAX(K713-M713-N713,0),((S712)*(1+$C$10)+IF(B713="Working",I713,0))),0)</f>
        <v/>
      </c>
      <c r="P713" s="137">
        <f>IF(B713="Retired",MIN(MAX(K713-M713-N713-O713,0),((T712)*(1+$C$10)+IF(B713="Working",F96,0))),0)</f>
        <v/>
      </c>
      <c r="Q713" s="138">
        <f>MAX(((Q712)*(1+$C$10)+IF(B713="Working",J713,0))-M713,0)</f>
        <v/>
      </c>
      <c r="R713" s="138">
        <f>MAX(((R712)*(1+$C$10)+IF(B713="Working",E96,0))-N713,0)</f>
        <v/>
      </c>
      <c r="S713" s="138">
        <f>MAX(((S712)*(1+$C$10)+IF(B713="Working",I713,0))-O713,0)</f>
        <v/>
      </c>
      <c r="T713" s="138">
        <f>MAX(((T712)*(1+$C$10)+IF(B713="Working",F96,0))-P713,0)</f>
        <v/>
      </c>
      <c r="U713" s="138">
        <f>Q713+R713+S713+T713</f>
        <v/>
      </c>
      <c r="V713" s="138">
        <f>IF(B713="Working",MAX(-(((Q712)*(1+$C$10)+IF(B713="Working",J713,0))),0),MAX(K713-L713,0))</f>
        <v/>
      </c>
      <c r="W713" s="138">
        <f>IF(OR(A713&gt;=$C$13,B713="Retired"),IF(V713&gt;0,-V713,U713-'Model Inputs'!$B$18),"")</f>
        <v/>
      </c>
      <c r="X713" s="138">
        <f>IF(AND($L$237&gt;0,A713&gt;=$C$13),$L$237*(1+$C$25)^(A713-$C$13),0)</f>
        <v/>
      </c>
      <c r="Y713" s="138">
        <f>IF(OR($L$237&lt;=0,$C$17&lt;=0,A713&lt;$C$13,MIN(MAX((A713-$C$13+1)*12,0),$C$17*12)&gt;=$C$17*12),0,IF($C$16=0,MAX(MAX($L$237*(1-$C$15),0)-(IF($C$17&lt;=0,0,IF($C$16=0,MAX($L$237*(1-$C$15),0)/$C$17,-PMT($C$16/12,$C$17*12,MAX($L$237*(1-$C$15),0))*12))/12)*MIN(MAX((A713-$C$13+1)*12,0),$C$17*12),0),MAX(MAX($L$237*(1-$C$15),0)*(1+$C$16/12)^MIN(MAX((A713-$C$13+1)*12,0),$C$17*12)-(IF($C$17&lt;=0,0,IF($C$16=0,MAX($L$237*(1-$C$15),0)/$C$17,-PMT($C$16/12,$C$17*12,MAX($L$237*(1-$C$15),0))*12))/12)*(((1+$C$16/12)^MIN(MAX((A713-$C$13+1)*12,0),$C$17*12)-1)/($C$16/12)),0)))</f>
        <v/>
      </c>
      <c r="Z713" s="138">
        <f>MAX(X713-Y713,0)</f>
        <v/>
      </c>
      <c r="AA713" s="139">
        <f>U713+Z713</f>
        <v/>
      </c>
      <c r="AB713" s="5" t="n"/>
      <c r="AC713" s="5" t="n"/>
      <c r="AD713" s="5" t="n"/>
      <c r="AE713" s="5" t="n"/>
      <c r="AF713" s="5" t="n"/>
      <c r="AG713" s="5" t="n"/>
    </row>
    <row r="714" outlineLevel="1" s="326">
      <c r="A714" s="140" t="n">
        <v>18</v>
      </c>
      <c r="B714" s="40">
        <f>B97</f>
        <v/>
      </c>
      <c r="C714" s="141">
        <f>D97</f>
        <v/>
      </c>
      <c r="D714" s="141">
        <f>I97</f>
        <v/>
      </c>
      <c r="E714" s="141">
        <f>J97</f>
        <v/>
      </c>
      <c r="F714" s="141">
        <f>K97</f>
        <v/>
      </c>
      <c r="G714" s="138">
        <f>IF(AND($L$237&gt;0,A714=$C$13),$L$237*($C$15+$C$18),0)+IF(AND($L$237&gt;0,A714=$C$13),$C$24,0)</f>
        <v/>
      </c>
      <c r="H714" s="138">
        <f>IF(OR($L$237&lt;=0,A714&lt;$C$13),0,IF(AND($L$237&gt;0,$C$17&gt;0,A714&gt;=$C$13,A714&lt;($C$13+$C$17)),IF($C$17&lt;=0,0,IF($C$16=0,MAX($L$237*(1-$C$15),0)/$C$17,-PMT($C$16/12,$C$17*12,MAX($L$237*(1-$C$15),0))*12)),0)+X714*($C$19+$C$20+$C$21)+$C$22+$C$23)</f>
        <v/>
      </c>
      <c r="I714" s="138">
        <f>IF(B714="Working",MIN(MAX(D714-E714-F714-G714-H714,0),'Tax Assumptions'!$B$20),0)</f>
        <v/>
      </c>
      <c r="J714" s="138">
        <f>IF(B714="Working",D714-E714-F714-I714-G714-H714,-L714)</f>
        <v/>
      </c>
      <c r="K714" s="141">
        <f>IF(B714="Retired",$N$237+G714+H714,0)</f>
        <v/>
      </c>
      <c r="L714" s="141">
        <f>M714+N714+O714+P714</f>
        <v/>
      </c>
      <c r="M714" s="141">
        <f>IF(B714="Retired",MIN(((Q713)*(1+$C$10)+IF(B714="Working",J714,0)),K714),0)</f>
        <v/>
      </c>
      <c r="N714" s="141">
        <f>IF(B714="Retired",MIN(MAX(K714-M714,0),((R713)*(1+$C$10)+IF(B714="Working",E97,0))),0)</f>
        <v/>
      </c>
      <c r="O714" s="141">
        <f>IF(B714="Retired",MIN(MAX(K714-M714-N714,0),((S713)*(1+$C$10)+IF(B714="Working",I714,0))),0)</f>
        <v/>
      </c>
      <c r="P714" s="141">
        <f>IF(B714="Retired",MIN(MAX(K714-M714-N714-O714,0),((T713)*(1+$C$10)+IF(B714="Working",F97,0))),0)</f>
        <v/>
      </c>
      <c r="Q714" s="138">
        <f>MAX(((Q713)*(1+$C$10)+IF(B714="Working",J714,0))-M714,0)</f>
        <v/>
      </c>
      <c r="R714" s="138">
        <f>MAX(((R713)*(1+$C$10)+IF(B714="Working",E97,0))-N714,0)</f>
        <v/>
      </c>
      <c r="S714" s="138">
        <f>MAX(((S713)*(1+$C$10)+IF(B714="Working",I714,0))-O714,0)</f>
        <v/>
      </c>
      <c r="T714" s="138">
        <f>MAX(((T713)*(1+$C$10)+IF(B714="Working",F97,0))-P714,0)</f>
        <v/>
      </c>
      <c r="U714" s="138">
        <f>Q714+R714+S714+T714</f>
        <v/>
      </c>
      <c r="V714" s="138">
        <f>IF(B714="Working",MAX(-(((Q713)*(1+$C$10)+IF(B714="Working",J714,0))),0),MAX(K714-L714,0))</f>
        <v/>
      </c>
      <c r="W714" s="138">
        <f>IF(OR(A714&gt;=$C$13,B714="Retired"),IF(V714&gt;0,-V714,U714-'Model Inputs'!$B$18),"")</f>
        <v/>
      </c>
      <c r="X714" s="138">
        <f>IF(AND($L$237&gt;0,A714&gt;=$C$13),$L$237*(1+$C$25)^(A714-$C$13),0)</f>
        <v/>
      </c>
      <c r="Y714" s="138">
        <f>IF(OR($L$237&lt;=0,$C$17&lt;=0,A714&lt;$C$13,MIN(MAX((A714-$C$13+1)*12,0),$C$17*12)&gt;=$C$17*12),0,IF($C$16=0,MAX(MAX($L$237*(1-$C$15),0)-(IF($C$17&lt;=0,0,IF($C$16=0,MAX($L$237*(1-$C$15),0)/$C$17,-PMT($C$16/12,$C$17*12,MAX($L$237*(1-$C$15),0))*12))/12)*MIN(MAX((A714-$C$13+1)*12,0),$C$17*12),0),MAX(MAX($L$237*(1-$C$15),0)*(1+$C$16/12)^MIN(MAX((A714-$C$13+1)*12,0),$C$17*12)-(IF($C$17&lt;=0,0,IF($C$16=0,MAX($L$237*(1-$C$15),0)/$C$17,-PMT($C$16/12,$C$17*12,MAX($L$237*(1-$C$15),0))*12))/12)*(((1+$C$16/12)^MIN(MAX((A714-$C$13+1)*12,0),$C$17*12)-1)/($C$16/12)),0)))</f>
        <v/>
      </c>
      <c r="Z714" s="138">
        <f>MAX(X714-Y714,0)</f>
        <v/>
      </c>
      <c r="AA714" s="142">
        <f>U714+Z714</f>
        <v/>
      </c>
      <c r="AB714" s="5" t="n"/>
      <c r="AC714" s="5" t="n"/>
      <c r="AD714" s="5" t="n"/>
      <c r="AE714" s="5" t="n"/>
      <c r="AF714" s="5" t="n"/>
      <c r="AG714" s="5" t="n"/>
    </row>
    <row r="715" outlineLevel="1" s="326">
      <c r="A715" s="136" t="n">
        <v>19</v>
      </c>
      <c r="B715" s="72">
        <f>B98</f>
        <v/>
      </c>
      <c r="C715" s="137">
        <f>D98</f>
        <v/>
      </c>
      <c r="D715" s="137">
        <f>I98</f>
        <v/>
      </c>
      <c r="E715" s="137">
        <f>J98</f>
        <v/>
      </c>
      <c r="F715" s="137">
        <f>K98</f>
        <v/>
      </c>
      <c r="G715" s="138">
        <f>IF(AND($L$237&gt;0,A715=$C$13),$L$237*($C$15+$C$18),0)+IF(AND($L$237&gt;0,A715=$C$13),$C$24,0)</f>
        <v/>
      </c>
      <c r="H715" s="138">
        <f>IF(OR($L$237&lt;=0,A715&lt;$C$13),0,IF(AND($L$237&gt;0,$C$17&gt;0,A715&gt;=$C$13,A715&lt;($C$13+$C$17)),IF($C$17&lt;=0,0,IF($C$16=0,MAX($L$237*(1-$C$15),0)/$C$17,-PMT($C$16/12,$C$17*12,MAX($L$237*(1-$C$15),0))*12)),0)+X715*($C$19+$C$20+$C$21)+$C$22+$C$23)</f>
        <v/>
      </c>
      <c r="I715" s="138">
        <f>IF(B715="Working",MIN(MAX(D715-E715-F715-G715-H715,0),'Tax Assumptions'!$B$20),0)</f>
        <v/>
      </c>
      <c r="J715" s="138">
        <f>IF(B715="Working",D715-E715-F715-I715-G715-H715,-L715)</f>
        <v/>
      </c>
      <c r="K715" s="137">
        <f>IF(B715="Retired",$N$237+G715+H715,0)</f>
        <v/>
      </c>
      <c r="L715" s="137">
        <f>M715+N715+O715+P715</f>
        <v/>
      </c>
      <c r="M715" s="137">
        <f>IF(B715="Retired",MIN(((Q714)*(1+$C$10)+IF(B715="Working",J715,0)),K715),0)</f>
        <v/>
      </c>
      <c r="N715" s="137">
        <f>IF(B715="Retired",MIN(MAX(K715-M715,0),((R714)*(1+$C$10)+IF(B715="Working",E98,0))),0)</f>
        <v/>
      </c>
      <c r="O715" s="137">
        <f>IF(B715="Retired",MIN(MAX(K715-M715-N715,0),((S714)*(1+$C$10)+IF(B715="Working",I715,0))),0)</f>
        <v/>
      </c>
      <c r="P715" s="137">
        <f>IF(B715="Retired",MIN(MAX(K715-M715-N715-O715,0),((T714)*(1+$C$10)+IF(B715="Working",F98,0))),0)</f>
        <v/>
      </c>
      <c r="Q715" s="138">
        <f>MAX(((Q714)*(1+$C$10)+IF(B715="Working",J715,0))-M715,0)</f>
        <v/>
      </c>
      <c r="R715" s="138">
        <f>MAX(((R714)*(1+$C$10)+IF(B715="Working",E98,0))-N715,0)</f>
        <v/>
      </c>
      <c r="S715" s="138">
        <f>MAX(((S714)*(1+$C$10)+IF(B715="Working",I715,0))-O715,0)</f>
        <v/>
      </c>
      <c r="T715" s="138">
        <f>MAX(((T714)*(1+$C$10)+IF(B715="Working",F98,0))-P715,0)</f>
        <v/>
      </c>
      <c r="U715" s="138">
        <f>Q715+R715+S715+T715</f>
        <v/>
      </c>
      <c r="V715" s="138">
        <f>IF(B715="Working",MAX(-(((Q714)*(1+$C$10)+IF(B715="Working",J715,0))),0),MAX(K715-L715,0))</f>
        <v/>
      </c>
      <c r="W715" s="138">
        <f>IF(OR(A715&gt;=$C$13,B715="Retired"),IF(V715&gt;0,-V715,U715-'Model Inputs'!$B$18),"")</f>
        <v/>
      </c>
      <c r="X715" s="138">
        <f>IF(AND($L$237&gt;0,A715&gt;=$C$13),$L$237*(1+$C$25)^(A715-$C$13),0)</f>
        <v/>
      </c>
      <c r="Y715" s="138">
        <f>IF(OR($L$237&lt;=0,$C$17&lt;=0,A715&lt;$C$13,MIN(MAX((A715-$C$13+1)*12,0),$C$17*12)&gt;=$C$17*12),0,IF($C$16=0,MAX(MAX($L$237*(1-$C$15),0)-(IF($C$17&lt;=0,0,IF($C$16=0,MAX($L$237*(1-$C$15),0)/$C$17,-PMT($C$16/12,$C$17*12,MAX($L$237*(1-$C$15),0))*12))/12)*MIN(MAX((A715-$C$13+1)*12,0),$C$17*12),0),MAX(MAX($L$237*(1-$C$15),0)*(1+$C$16/12)^MIN(MAX((A715-$C$13+1)*12,0),$C$17*12)-(IF($C$17&lt;=0,0,IF($C$16=0,MAX($L$237*(1-$C$15),0)/$C$17,-PMT($C$16/12,$C$17*12,MAX($L$237*(1-$C$15),0))*12))/12)*(((1+$C$16/12)^MIN(MAX((A715-$C$13+1)*12,0),$C$17*12)-1)/($C$16/12)),0)))</f>
        <v/>
      </c>
      <c r="Z715" s="138">
        <f>MAX(X715-Y715,0)</f>
        <v/>
      </c>
      <c r="AA715" s="139">
        <f>U715+Z715</f>
        <v/>
      </c>
      <c r="AB715" s="5" t="n"/>
      <c r="AC715" s="5" t="n"/>
      <c r="AD715" s="5" t="n"/>
      <c r="AE715" s="5" t="n"/>
      <c r="AF715" s="5" t="n"/>
      <c r="AG715" s="5" t="n"/>
    </row>
    <row r="716" outlineLevel="1" s="326">
      <c r="A716" s="140" t="n">
        <v>20</v>
      </c>
      <c r="B716" s="40">
        <f>B99</f>
        <v/>
      </c>
      <c r="C716" s="141">
        <f>D99</f>
        <v/>
      </c>
      <c r="D716" s="141">
        <f>I99</f>
        <v/>
      </c>
      <c r="E716" s="141">
        <f>J99</f>
        <v/>
      </c>
      <c r="F716" s="141">
        <f>K99</f>
        <v/>
      </c>
      <c r="G716" s="138">
        <f>IF(AND($L$237&gt;0,A716=$C$13),$L$237*($C$15+$C$18),0)+IF(AND($L$237&gt;0,A716=$C$13),$C$24,0)</f>
        <v/>
      </c>
      <c r="H716" s="138">
        <f>IF(OR($L$237&lt;=0,A716&lt;$C$13),0,IF(AND($L$237&gt;0,$C$17&gt;0,A716&gt;=$C$13,A716&lt;($C$13+$C$17)),IF($C$17&lt;=0,0,IF($C$16=0,MAX($L$237*(1-$C$15),0)/$C$17,-PMT($C$16/12,$C$17*12,MAX($L$237*(1-$C$15),0))*12)),0)+X716*($C$19+$C$20+$C$21)+$C$22+$C$23)</f>
        <v/>
      </c>
      <c r="I716" s="138">
        <f>IF(B716="Working",MIN(MAX(D716-E716-F716-G716-H716,0),'Tax Assumptions'!$B$20),0)</f>
        <v/>
      </c>
      <c r="J716" s="138">
        <f>IF(B716="Working",D716-E716-F716-I716-G716-H716,-L716)</f>
        <v/>
      </c>
      <c r="K716" s="141">
        <f>IF(B716="Retired",$N$237+G716+H716,0)</f>
        <v/>
      </c>
      <c r="L716" s="141">
        <f>M716+N716+O716+P716</f>
        <v/>
      </c>
      <c r="M716" s="141">
        <f>IF(B716="Retired",MIN(((Q715)*(1+$C$10)+IF(B716="Working",J716,0)),K716),0)</f>
        <v/>
      </c>
      <c r="N716" s="141">
        <f>IF(B716="Retired",MIN(MAX(K716-M716,0),((R715)*(1+$C$10)+IF(B716="Working",E99,0))),0)</f>
        <v/>
      </c>
      <c r="O716" s="141">
        <f>IF(B716="Retired",MIN(MAX(K716-M716-N716,0),((S715)*(1+$C$10)+IF(B716="Working",I716,0))),0)</f>
        <v/>
      </c>
      <c r="P716" s="141">
        <f>IF(B716="Retired",MIN(MAX(K716-M716-N716-O716,0),((T715)*(1+$C$10)+IF(B716="Working",F99,0))),0)</f>
        <v/>
      </c>
      <c r="Q716" s="138">
        <f>MAX(((Q715)*(1+$C$10)+IF(B716="Working",J716,0))-M716,0)</f>
        <v/>
      </c>
      <c r="R716" s="138">
        <f>MAX(((R715)*(1+$C$10)+IF(B716="Working",E99,0))-N716,0)</f>
        <v/>
      </c>
      <c r="S716" s="138">
        <f>MAX(((S715)*(1+$C$10)+IF(B716="Working",I716,0))-O716,0)</f>
        <v/>
      </c>
      <c r="T716" s="138">
        <f>MAX(((T715)*(1+$C$10)+IF(B716="Working",F99,0))-P716,0)</f>
        <v/>
      </c>
      <c r="U716" s="138">
        <f>Q716+R716+S716+T716</f>
        <v/>
      </c>
      <c r="V716" s="138">
        <f>IF(B716="Working",MAX(-(((Q715)*(1+$C$10)+IF(B716="Working",J716,0))),0),MAX(K716-L716,0))</f>
        <v/>
      </c>
      <c r="W716" s="138">
        <f>IF(OR(A716&gt;=$C$13,B716="Retired"),IF(V716&gt;0,-V716,U716-'Model Inputs'!$B$18),"")</f>
        <v/>
      </c>
      <c r="X716" s="138">
        <f>IF(AND($L$237&gt;0,A716&gt;=$C$13),$L$237*(1+$C$25)^(A716-$C$13),0)</f>
        <v/>
      </c>
      <c r="Y716" s="138">
        <f>IF(OR($L$237&lt;=0,$C$17&lt;=0,A716&lt;$C$13,MIN(MAX((A716-$C$13+1)*12,0),$C$17*12)&gt;=$C$17*12),0,IF($C$16=0,MAX(MAX($L$237*(1-$C$15),0)-(IF($C$17&lt;=0,0,IF($C$16=0,MAX($L$237*(1-$C$15),0)/$C$17,-PMT($C$16/12,$C$17*12,MAX($L$237*(1-$C$15),0))*12))/12)*MIN(MAX((A716-$C$13+1)*12,0),$C$17*12),0),MAX(MAX($L$237*(1-$C$15),0)*(1+$C$16/12)^MIN(MAX((A716-$C$13+1)*12,0),$C$17*12)-(IF($C$17&lt;=0,0,IF($C$16=0,MAX($L$237*(1-$C$15),0)/$C$17,-PMT($C$16/12,$C$17*12,MAX($L$237*(1-$C$15),0))*12))/12)*(((1+$C$16/12)^MIN(MAX((A716-$C$13+1)*12,0),$C$17*12)-1)/($C$16/12)),0)))</f>
        <v/>
      </c>
      <c r="Z716" s="138">
        <f>MAX(X716-Y716,0)</f>
        <v/>
      </c>
      <c r="AA716" s="142">
        <f>U716+Z716</f>
        <v/>
      </c>
      <c r="AB716" s="5" t="n"/>
      <c r="AC716" s="5" t="n"/>
      <c r="AD716" s="5" t="n"/>
      <c r="AE716" s="5" t="n"/>
      <c r="AF716" s="5" t="n"/>
      <c r="AG716" s="5" t="n"/>
    </row>
    <row r="717" outlineLevel="1" s="326">
      <c r="A717" s="136" t="n">
        <v>21</v>
      </c>
      <c r="B717" s="72">
        <f>B100</f>
        <v/>
      </c>
      <c r="C717" s="137">
        <f>D100</f>
        <v/>
      </c>
      <c r="D717" s="137">
        <f>I100</f>
        <v/>
      </c>
      <c r="E717" s="137">
        <f>J100</f>
        <v/>
      </c>
      <c r="F717" s="137">
        <f>K100</f>
        <v/>
      </c>
      <c r="G717" s="138">
        <f>IF(AND($L$237&gt;0,A717=$C$13),$L$237*($C$15+$C$18),0)+IF(AND($L$237&gt;0,A717=$C$13),$C$24,0)</f>
        <v/>
      </c>
      <c r="H717" s="138">
        <f>IF(OR($L$237&lt;=0,A717&lt;$C$13),0,IF(AND($L$237&gt;0,$C$17&gt;0,A717&gt;=$C$13,A717&lt;($C$13+$C$17)),IF($C$17&lt;=0,0,IF($C$16=0,MAX($L$237*(1-$C$15),0)/$C$17,-PMT($C$16/12,$C$17*12,MAX($L$237*(1-$C$15),0))*12)),0)+X717*($C$19+$C$20+$C$21)+$C$22+$C$23)</f>
        <v/>
      </c>
      <c r="I717" s="138">
        <f>IF(B717="Working",MIN(MAX(D717-E717-F717-G717-H717,0),'Tax Assumptions'!$B$20),0)</f>
        <v/>
      </c>
      <c r="J717" s="138">
        <f>IF(B717="Working",D717-E717-F717-I717-G717-H717,-L717)</f>
        <v/>
      </c>
      <c r="K717" s="137">
        <f>IF(B717="Retired",$N$237+G717+H717,0)</f>
        <v/>
      </c>
      <c r="L717" s="137">
        <f>M717+N717+O717+P717</f>
        <v/>
      </c>
      <c r="M717" s="137">
        <f>IF(B717="Retired",MIN(((Q716)*(1+$C$10)+IF(B717="Working",J717,0)),K717),0)</f>
        <v/>
      </c>
      <c r="N717" s="137">
        <f>IF(B717="Retired",MIN(MAX(K717-M717,0),((R716)*(1+$C$10)+IF(B717="Working",E100,0))),0)</f>
        <v/>
      </c>
      <c r="O717" s="137">
        <f>IF(B717="Retired",MIN(MAX(K717-M717-N717,0),((S716)*(1+$C$10)+IF(B717="Working",I717,0))),0)</f>
        <v/>
      </c>
      <c r="P717" s="137">
        <f>IF(B717="Retired",MIN(MAX(K717-M717-N717-O717,0),((T716)*(1+$C$10)+IF(B717="Working",F100,0))),0)</f>
        <v/>
      </c>
      <c r="Q717" s="138">
        <f>MAX(((Q716)*(1+$C$10)+IF(B717="Working",J717,0))-M717,0)</f>
        <v/>
      </c>
      <c r="R717" s="138">
        <f>MAX(((R716)*(1+$C$10)+IF(B717="Working",E100,0))-N717,0)</f>
        <v/>
      </c>
      <c r="S717" s="138">
        <f>MAX(((S716)*(1+$C$10)+IF(B717="Working",I717,0))-O717,0)</f>
        <v/>
      </c>
      <c r="T717" s="138">
        <f>MAX(((T716)*(1+$C$10)+IF(B717="Working",F100,0))-P717,0)</f>
        <v/>
      </c>
      <c r="U717" s="138">
        <f>Q717+R717+S717+T717</f>
        <v/>
      </c>
      <c r="V717" s="138">
        <f>IF(B717="Working",MAX(-(((Q716)*(1+$C$10)+IF(B717="Working",J717,0))),0),MAX(K717-L717,0))</f>
        <v/>
      </c>
      <c r="W717" s="138">
        <f>IF(OR(A717&gt;=$C$13,B717="Retired"),IF(V717&gt;0,-V717,U717-'Model Inputs'!$B$18),"")</f>
        <v/>
      </c>
      <c r="X717" s="138">
        <f>IF(AND($L$237&gt;0,A717&gt;=$C$13),$L$237*(1+$C$25)^(A717-$C$13),0)</f>
        <v/>
      </c>
      <c r="Y717" s="138">
        <f>IF(OR($L$237&lt;=0,$C$17&lt;=0,A717&lt;$C$13,MIN(MAX((A717-$C$13+1)*12,0),$C$17*12)&gt;=$C$17*12),0,IF($C$16=0,MAX(MAX($L$237*(1-$C$15),0)-(IF($C$17&lt;=0,0,IF($C$16=0,MAX($L$237*(1-$C$15),0)/$C$17,-PMT($C$16/12,$C$17*12,MAX($L$237*(1-$C$15),0))*12))/12)*MIN(MAX((A717-$C$13+1)*12,0),$C$17*12),0),MAX(MAX($L$237*(1-$C$15),0)*(1+$C$16/12)^MIN(MAX((A717-$C$13+1)*12,0),$C$17*12)-(IF($C$17&lt;=0,0,IF($C$16=0,MAX($L$237*(1-$C$15),0)/$C$17,-PMT($C$16/12,$C$17*12,MAX($L$237*(1-$C$15),0))*12))/12)*(((1+$C$16/12)^MIN(MAX((A717-$C$13+1)*12,0),$C$17*12)-1)/($C$16/12)),0)))</f>
        <v/>
      </c>
      <c r="Z717" s="138">
        <f>MAX(X717-Y717,0)</f>
        <v/>
      </c>
      <c r="AA717" s="139">
        <f>U717+Z717</f>
        <v/>
      </c>
      <c r="AB717" s="5" t="n"/>
      <c r="AC717" s="5" t="n"/>
      <c r="AD717" s="5" t="n"/>
      <c r="AE717" s="5" t="n"/>
      <c r="AF717" s="5" t="n"/>
      <c r="AG717" s="5" t="n"/>
    </row>
    <row r="718" outlineLevel="1" s="326">
      <c r="A718" s="140" t="n">
        <v>22</v>
      </c>
      <c r="B718" s="40">
        <f>B101</f>
        <v/>
      </c>
      <c r="C718" s="141">
        <f>D101</f>
        <v/>
      </c>
      <c r="D718" s="141">
        <f>I101</f>
        <v/>
      </c>
      <c r="E718" s="141">
        <f>J101</f>
        <v/>
      </c>
      <c r="F718" s="141">
        <f>K101</f>
        <v/>
      </c>
      <c r="G718" s="138">
        <f>IF(AND($L$237&gt;0,A718=$C$13),$L$237*($C$15+$C$18),0)+IF(AND($L$237&gt;0,A718=$C$13),$C$24,0)</f>
        <v/>
      </c>
      <c r="H718" s="138">
        <f>IF(OR($L$237&lt;=0,A718&lt;$C$13),0,IF(AND($L$237&gt;0,$C$17&gt;0,A718&gt;=$C$13,A718&lt;($C$13+$C$17)),IF($C$17&lt;=0,0,IF($C$16=0,MAX($L$237*(1-$C$15),0)/$C$17,-PMT($C$16/12,$C$17*12,MAX($L$237*(1-$C$15),0))*12)),0)+X718*($C$19+$C$20+$C$21)+$C$22+$C$23)</f>
        <v/>
      </c>
      <c r="I718" s="138">
        <f>IF(B718="Working",MIN(MAX(D718-E718-F718-G718-H718,0),'Tax Assumptions'!$B$20),0)</f>
        <v/>
      </c>
      <c r="J718" s="138">
        <f>IF(B718="Working",D718-E718-F718-I718-G718-H718,-L718)</f>
        <v/>
      </c>
      <c r="K718" s="141">
        <f>IF(B718="Retired",$N$237+G718+H718,0)</f>
        <v/>
      </c>
      <c r="L718" s="141">
        <f>M718+N718+O718+P718</f>
        <v/>
      </c>
      <c r="M718" s="141">
        <f>IF(B718="Retired",MIN(((Q717)*(1+$C$10)+IF(B718="Working",J718,0)),K718),0)</f>
        <v/>
      </c>
      <c r="N718" s="141">
        <f>IF(B718="Retired",MIN(MAX(K718-M718,0),((R717)*(1+$C$10)+IF(B718="Working",E101,0))),0)</f>
        <v/>
      </c>
      <c r="O718" s="141">
        <f>IF(B718="Retired",MIN(MAX(K718-M718-N718,0),((S717)*(1+$C$10)+IF(B718="Working",I718,0))),0)</f>
        <v/>
      </c>
      <c r="P718" s="141">
        <f>IF(B718="Retired",MIN(MAX(K718-M718-N718-O718,0),((T717)*(1+$C$10)+IF(B718="Working",F101,0))),0)</f>
        <v/>
      </c>
      <c r="Q718" s="138">
        <f>MAX(((Q717)*(1+$C$10)+IF(B718="Working",J718,0))-M718,0)</f>
        <v/>
      </c>
      <c r="R718" s="138">
        <f>MAX(((R717)*(1+$C$10)+IF(B718="Working",E101,0))-N718,0)</f>
        <v/>
      </c>
      <c r="S718" s="138">
        <f>MAX(((S717)*(1+$C$10)+IF(B718="Working",I718,0))-O718,0)</f>
        <v/>
      </c>
      <c r="T718" s="138">
        <f>MAX(((T717)*(1+$C$10)+IF(B718="Working",F101,0))-P718,0)</f>
        <v/>
      </c>
      <c r="U718" s="138">
        <f>Q718+R718+S718+T718</f>
        <v/>
      </c>
      <c r="V718" s="138">
        <f>IF(B718="Working",MAX(-(((Q717)*(1+$C$10)+IF(B718="Working",J718,0))),0),MAX(K718-L718,0))</f>
        <v/>
      </c>
      <c r="W718" s="138">
        <f>IF(OR(A718&gt;=$C$13,B718="Retired"),IF(V718&gt;0,-V718,U718-'Model Inputs'!$B$18),"")</f>
        <v/>
      </c>
      <c r="X718" s="138">
        <f>IF(AND($L$237&gt;0,A718&gt;=$C$13),$L$237*(1+$C$25)^(A718-$C$13),0)</f>
        <v/>
      </c>
      <c r="Y718" s="138">
        <f>IF(OR($L$237&lt;=0,$C$17&lt;=0,A718&lt;$C$13,MIN(MAX((A718-$C$13+1)*12,0),$C$17*12)&gt;=$C$17*12),0,IF($C$16=0,MAX(MAX($L$237*(1-$C$15),0)-(IF($C$17&lt;=0,0,IF($C$16=0,MAX($L$237*(1-$C$15),0)/$C$17,-PMT($C$16/12,$C$17*12,MAX($L$237*(1-$C$15),0))*12))/12)*MIN(MAX((A718-$C$13+1)*12,0),$C$17*12),0),MAX(MAX($L$237*(1-$C$15),0)*(1+$C$16/12)^MIN(MAX((A718-$C$13+1)*12,0),$C$17*12)-(IF($C$17&lt;=0,0,IF($C$16=0,MAX($L$237*(1-$C$15),0)/$C$17,-PMT($C$16/12,$C$17*12,MAX($L$237*(1-$C$15),0))*12))/12)*(((1+$C$16/12)^MIN(MAX((A718-$C$13+1)*12,0),$C$17*12)-1)/($C$16/12)),0)))</f>
        <v/>
      </c>
      <c r="Z718" s="138">
        <f>MAX(X718-Y718,0)</f>
        <v/>
      </c>
      <c r="AA718" s="142">
        <f>U718+Z718</f>
        <v/>
      </c>
      <c r="AB718" s="5" t="n"/>
      <c r="AC718" s="5" t="n"/>
      <c r="AD718" s="5" t="n"/>
      <c r="AE718" s="5" t="n"/>
      <c r="AF718" s="5" t="n"/>
      <c r="AG718" s="5" t="n"/>
    </row>
    <row r="719" outlineLevel="1" s="326">
      <c r="A719" s="136" t="n">
        <v>23</v>
      </c>
      <c r="B719" s="72">
        <f>B102</f>
        <v/>
      </c>
      <c r="C719" s="137">
        <f>D102</f>
        <v/>
      </c>
      <c r="D719" s="137">
        <f>I102</f>
        <v/>
      </c>
      <c r="E719" s="137">
        <f>J102</f>
        <v/>
      </c>
      <c r="F719" s="137">
        <f>K102</f>
        <v/>
      </c>
      <c r="G719" s="138">
        <f>IF(AND($L$237&gt;0,A719=$C$13),$L$237*($C$15+$C$18),0)+IF(AND($L$237&gt;0,A719=$C$13),$C$24,0)</f>
        <v/>
      </c>
      <c r="H719" s="138">
        <f>IF(OR($L$237&lt;=0,A719&lt;$C$13),0,IF(AND($L$237&gt;0,$C$17&gt;0,A719&gt;=$C$13,A719&lt;($C$13+$C$17)),IF($C$17&lt;=0,0,IF($C$16=0,MAX($L$237*(1-$C$15),0)/$C$17,-PMT($C$16/12,$C$17*12,MAX($L$237*(1-$C$15),0))*12)),0)+X719*($C$19+$C$20+$C$21)+$C$22+$C$23)</f>
        <v/>
      </c>
      <c r="I719" s="138">
        <f>IF(B719="Working",MIN(MAX(D719-E719-F719-G719-H719,0),'Tax Assumptions'!$B$20),0)</f>
        <v/>
      </c>
      <c r="J719" s="138">
        <f>IF(B719="Working",D719-E719-F719-I719-G719-H719,-L719)</f>
        <v/>
      </c>
      <c r="K719" s="137">
        <f>IF(B719="Retired",$N$237+G719+H719,0)</f>
        <v/>
      </c>
      <c r="L719" s="137">
        <f>M719+N719+O719+P719</f>
        <v/>
      </c>
      <c r="M719" s="137">
        <f>IF(B719="Retired",MIN(((Q718)*(1+$C$10)+IF(B719="Working",J719,0)),K719),0)</f>
        <v/>
      </c>
      <c r="N719" s="137">
        <f>IF(B719="Retired",MIN(MAX(K719-M719,0),((R718)*(1+$C$10)+IF(B719="Working",E102,0))),0)</f>
        <v/>
      </c>
      <c r="O719" s="137">
        <f>IF(B719="Retired",MIN(MAX(K719-M719-N719,0),((S718)*(1+$C$10)+IF(B719="Working",I719,0))),0)</f>
        <v/>
      </c>
      <c r="P719" s="137">
        <f>IF(B719="Retired",MIN(MAX(K719-M719-N719-O719,0),((T718)*(1+$C$10)+IF(B719="Working",F102,0))),0)</f>
        <v/>
      </c>
      <c r="Q719" s="138">
        <f>MAX(((Q718)*(1+$C$10)+IF(B719="Working",J719,0))-M719,0)</f>
        <v/>
      </c>
      <c r="R719" s="138">
        <f>MAX(((R718)*(1+$C$10)+IF(B719="Working",E102,0))-N719,0)</f>
        <v/>
      </c>
      <c r="S719" s="138">
        <f>MAX(((S718)*(1+$C$10)+IF(B719="Working",I719,0))-O719,0)</f>
        <v/>
      </c>
      <c r="T719" s="138">
        <f>MAX(((T718)*(1+$C$10)+IF(B719="Working",F102,0))-P719,0)</f>
        <v/>
      </c>
      <c r="U719" s="138">
        <f>Q719+R719+S719+T719</f>
        <v/>
      </c>
      <c r="V719" s="138">
        <f>IF(B719="Working",MAX(-(((Q718)*(1+$C$10)+IF(B719="Working",J719,0))),0),MAX(K719-L719,0))</f>
        <v/>
      </c>
      <c r="W719" s="138">
        <f>IF(OR(A719&gt;=$C$13,B719="Retired"),IF(V719&gt;0,-V719,U719-'Model Inputs'!$B$18),"")</f>
        <v/>
      </c>
      <c r="X719" s="138">
        <f>IF(AND($L$237&gt;0,A719&gt;=$C$13),$L$237*(1+$C$25)^(A719-$C$13),0)</f>
        <v/>
      </c>
      <c r="Y719" s="138">
        <f>IF(OR($L$237&lt;=0,$C$17&lt;=0,A719&lt;$C$13,MIN(MAX((A719-$C$13+1)*12,0),$C$17*12)&gt;=$C$17*12),0,IF($C$16=0,MAX(MAX($L$237*(1-$C$15),0)-(IF($C$17&lt;=0,0,IF($C$16=0,MAX($L$237*(1-$C$15),0)/$C$17,-PMT($C$16/12,$C$17*12,MAX($L$237*(1-$C$15),0))*12))/12)*MIN(MAX((A719-$C$13+1)*12,0),$C$17*12),0),MAX(MAX($L$237*(1-$C$15),0)*(1+$C$16/12)^MIN(MAX((A719-$C$13+1)*12,0),$C$17*12)-(IF($C$17&lt;=0,0,IF($C$16=0,MAX($L$237*(1-$C$15),0)/$C$17,-PMT($C$16/12,$C$17*12,MAX($L$237*(1-$C$15),0))*12))/12)*(((1+$C$16/12)^MIN(MAX((A719-$C$13+1)*12,0),$C$17*12)-1)/($C$16/12)),0)))</f>
        <v/>
      </c>
      <c r="Z719" s="138">
        <f>MAX(X719-Y719,0)</f>
        <v/>
      </c>
      <c r="AA719" s="139">
        <f>U719+Z719</f>
        <v/>
      </c>
      <c r="AB719" s="5" t="n"/>
      <c r="AC719" s="5" t="n"/>
      <c r="AD719" s="5" t="n"/>
      <c r="AE719" s="5" t="n"/>
      <c r="AF719" s="5" t="n"/>
      <c r="AG719" s="5" t="n"/>
    </row>
    <row r="720" outlineLevel="1" s="326">
      <c r="A720" s="140" t="n">
        <v>24</v>
      </c>
      <c r="B720" s="40">
        <f>B103</f>
        <v/>
      </c>
      <c r="C720" s="141">
        <f>D103</f>
        <v/>
      </c>
      <c r="D720" s="141">
        <f>I103</f>
        <v/>
      </c>
      <c r="E720" s="141">
        <f>J103</f>
        <v/>
      </c>
      <c r="F720" s="141">
        <f>K103</f>
        <v/>
      </c>
      <c r="G720" s="138">
        <f>IF(AND($L$237&gt;0,A720=$C$13),$L$237*($C$15+$C$18),0)+IF(AND($L$237&gt;0,A720=$C$13),$C$24,0)</f>
        <v/>
      </c>
      <c r="H720" s="138">
        <f>IF(OR($L$237&lt;=0,A720&lt;$C$13),0,IF(AND($L$237&gt;0,$C$17&gt;0,A720&gt;=$C$13,A720&lt;($C$13+$C$17)),IF($C$17&lt;=0,0,IF($C$16=0,MAX($L$237*(1-$C$15),0)/$C$17,-PMT($C$16/12,$C$17*12,MAX($L$237*(1-$C$15),0))*12)),0)+X720*($C$19+$C$20+$C$21)+$C$22+$C$23)</f>
        <v/>
      </c>
      <c r="I720" s="138">
        <f>IF(B720="Working",MIN(MAX(D720-E720-F720-G720-H720,0),'Tax Assumptions'!$B$20),0)</f>
        <v/>
      </c>
      <c r="J720" s="138">
        <f>IF(B720="Working",D720-E720-F720-I720-G720-H720,-L720)</f>
        <v/>
      </c>
      <c r="K720" s="141">
        <f>IF(B720="Retired",$N$237+G720+H720,0)</f>
        <v/>
      </c>
      <c r="L720" s="141">
        <f>M720+N720+O720+P720</f>
        <v/>
      </c>
      <c r="M720" s="141">
        <f>IF(B720="Retired",MIN(((Q719)*(1+$C$10)+IF(B720="Working",J720,0)),K720),0)</f>
        <v/>
      </c>
      <c r="N720" s="141">
        <f>IF(B720="Retired",MIN(MAX(K720-M720,0),((R719)*(1+$C$10)+IF(B720="Working",E103,0))),0)</f>
        <v/>
      </c>
      <c r="O720" s="141">
        <f>IF(B720="Retired",MIN(MAX(K720-M720-N720,0),((S719)*(1+$C$10)+IF(B720="Working",I720,0))),0)</f>
        <v/>
      </c>
      <c r="P720" s="141">
        <f>IF(B720="Retired",MIN(MAX(K720-M720-N720-O720,0),((T719)*(1+$C$10)+IF(B720="Working",F103,0))),0)</f>
        <v/>
      </c>
      <c r="Q720" s="138">
        <f>MAX(((Q719)*(1+$C$10)+IF(B720="Working",J720,0))-M720,0)</f>
        <v/>
      </c>
      <c r="R720" s="138">
        <f>MAX(((R719)*(1+$C$10)+IF(B720="Working",E103,0))-N720,0)</f>
        <v/>
      </c>
      <c r="S720" s="138">
        <f>MAX(((S719)*(1+$C$10)+IF(B720="Working",I720,0))-O720,0)</f>
        <v/>
      </c>
      <c r="T720" s="138">
        <f>MAX(((T719)*(1+$C$10)+IF(B720="Working",F103,0))-P720,0)</f>
        <v/>
      </c>
      <c r="U720" s="138">
        <f>Q720+R720+S720+T720</f>
        <v/>
      </c>
      <c r="V720" s="138">
        <f>IF(B720="Working",MAX(-(((Q719)*(1+$C$10)+IF(B720="Working",J720,0))),0),MAX(K720-L720,0))</f>
        <v/>
      </c>
      <c r="W720" s="138">
        <f>IF(OR(A720&gt;=$C$13,B720="Retired"),IF(V720&gt;0,-V720,U720-'Model Inputs'!$B$18),"")</f>
        <v/>
      </c>
      <c r="X720" s="138">
        <f>IF(AND($L$237&gt;0,A720&gt;=$C$13),$L$237*(1+$C$25)^(A720-$C$13),0)</f>
        <v/>
      </c>
      <c r="Y720" s="138">
        <f>IF(OR($L$237&lt;=0,$C$17&lt;=0,A720&lt;$C$13,MIN(MAX((A720-$C$13+1)*12,0),$C$17*12)&gt;=$C$17*12),0,IF($C$16=0,MAX(MAX($L$237*(1-$C$15),0)-(IF($C$17&lt;=0,0,IF($C$16=0,MAX($L$237*(1-$C$15),0)/$C$17,-PMT($C$16/12,$C$17*12,MAX($L$237*(1-$C$15),0))*12))/12)*MIN(MAX((A720-$C$13+1)*12,0),$C$17*12),0),MAX(MAX($L$237*(1-$C$15),0)*(1+$C$16/12)^MIN(MAX((A720-$C$13+1)*12,0),$C$17*12)-(IF($C$17&lt;=0,0,IF($C$16=0,MAX($L$237*(1-$C$15),0)/$C$17,-PMT($C$16/12,$C$17*12,MAX($L$237*(1-$C$15),0))*12))/12)*(((1+$C$16/12)^MIN(MAX((A720-$C$13+1)*12,0),$C$17*12)-1)/($C$16/12)),0)))</f>
        <v/>
      </c>
      <c r="Z720" s="138">
        <f>MAX(X720-Y720,0)</f>
        <v/>
      </c>
      <c r="AA720" s="142">
        <f>U720+Z720</f>
        <v/>
      </c>
      <c r="AB720" s="5" t="n"/>
      <c r="AC720" s="5" t="n"/>
      <c r="AD720" s="5" t="n"/>
      <c r="AE720" s="5" t="n"/>
      <c r="AF720" s="5" t="n"/>
      <c r="AG720" s="5" t="n"/>
    </row>
    <row r="721" outlineLevel="1" s="326">
      <c r="A721" s="136" t="n">
        <v>25</v>
      </c>
      <c r="B721" s="72">
        <f>B104</f>
        <v/>
      </c>
      <c r="C721" s="137">
        <f>D104</f>
        <v/>
      </c>
      <c r="D721" s="137">
        <f>I104</f>
        <v/>
      </c>
      <c r="E721" s="137">
        <f>J104</f>
        <v/>
      </c>
      <c r="F721" s="137">
        <f>K104</f>
        <v/>
      </c>
      <c r="G721" s="138">
        <f>IF(AND($L$237&gt;0,A721=$C$13),$L$237*($C$15+$C$18),0)+IF(AND($L$237&gt;0,A721=$C$13),$C$24,0)</f>
        <v/>
      </c>
      <c r="H721" s="138">
        <f>IF(OR($L$237&lt;=0,A721&lt;$C$13),0,IF(AND($L$237&gt;0,$C$17&gt;0,A721&gt;=$C$13,A721&lt;($C$13+$C$17)),IF($C$17&lt;=0,0,IF($C$16=0,MAX($L$237*(1-$C$15),0)/$C$17,-PMT($C$16/12,$C$17*12,MAX($L$237*(1-$C$15),0))*12)),0)+X721*($C$19+$C$20+$C$21)+$C$22+$C$23)</f>
        <v/>
      </c>
      <c r="I721" s="138">
        <f>IF(B721="Working",MIN(MAX(D721-E721-F721-G721-H721,0),'Tax Assumptions'!$B$20),0)</f>
        <v/>
      </c>
      <c r="J721" s="138">
        <f>IF(B721="Working",D721-E721-F721-I721-G721-H721,-L721)</f>
        <v/>
      </c>
      <c r="K721" s="137">
        <f>IF(B721="Retired",$N$237+G721+H721,0)</f>
        <v/>
      </c>
      <c r="L721" s="137">
        <f>M721+N721+O721+P721</f>
        <v/>
      </c>
      <c r="M721" s="137">
        <f>IF(B721="Retired",MIN(((Q720)*(1+$C$10)+IF(B721="Working",J721,0)),K721),0)</f>
        <v/>
      </c>
      <c r="N721" s="137">
        <f>IF(B721="Retired",MIN(MAX(K721-M721,0),((R720)*(1+$C$10)+IF(B721="Working",E104,0))),0)</f>
        <v/>
      </c>
      <c r="O721" s="137">
        <f>IF(B721="Retired",MIN(MAX(K721-M721-N721,0),((S720)*(1+$C$10)+IF(B721="Working",I721,0))),0)</f>
        <v/>
      </c>
      <c r="P721" s="137">
        <f>IF(B721="Retired",MIN(MAX(K721-M721-N721-O721,0),((T720)*(1+$C$10)+IF(B721="Working",F104,0))),0)</f>
        <v/>
      </c>
      <c r="Q721" s="138">
        <f>MAX(((Q720)*(1+$C$10)+IF(B721="Working",J721,0))-M721,0)</f>
        <v/>
      </c>
      <c r="R721" s="138">
        <f>MAX(((R720)*(1+$C$10)+IF(B721="Working",E104,0))-N721,0)</f>
        <v/>
      </c>
      <c r="S721" s="138">
        <f>MAX(((S720)*(1+$C$10)+IF(B721="Working",I721,0))-O721,0)</f>
        <v/>
      </c>
      <c r="T721" s="138">
        <f>MAX(((T720)*(1+$C$10)+IF(B721="Working",F104,0))-P721,0)</f>
        <v/>
      </c>
      <c r="U721" s="138">
        <f>Q721+R721+S721+T721</f>
        <v/>
      </c>
      <c r="V721" s="138">
        <f>IF(B721="Working",MAX(-(((Q720)*(1+$C$10)+IF(B721="Working",J721,0))),0),MAX(K721-L721,0))</f>
        <v/>
      </c>
      <c r="W721" s="138">
        <f>IF(OR(A721&gt;=$C$13,B721="Retired"),IF(V721&gt;0,-V721,U721-'Model Inputs'!$B$18),"")</f>
        <v/>
      </c>
      <c r="X721" s="138">
        <f>IF(AND($L$237&gt;0,A721&gt;=$C$13),$L$237*(1+$C$25)^(A721-$C$13),0)</f>
        <v/>
      </c>
      <c r="Y721" s="138">
        <f>IF(OR($L$237&lt;=0,$C$17&lt;=0,A721&lt;$C$13,MIN(MAX((A721-$C$13+1)*12,0),$C$17*12)&gt;=$C$17*12),0,IF($C$16=0,MAX(MAX($L$237*(1-$C$15),0)-(IF($C$17&lt;=0,0,IF($C$16=0,MAX($L$237*(1-$C$15),0)/$C$17,-PMT($C$16/12,$C$17*12,MAX($L$237*(1-$C$15),0))*12))/12)*MIN(MAX((A721-$C$13+1)*12,0),$C$17*12),0),MAX(MAX($L$237*(1-$C$15),0)*(1+$C$16/12)^MIN(MAX((A721-$C$13+1)*12,0),$C$17*12)-(IF($C$17&lt;=0,0,IF($C$16=0,MAX($L$237*(1-$C$15),0)/$C$17,-PMT($C$16/12,$C$17*12,MAX($L$237*(1-$C$15),0))*12))/12)*(((1+$C$16/12)^MIN(MAX((A721-$C$13+1)*12,0),$C$17*12)-1)/($C$16/12)),0)))</f>
        <v/>
      </c>
      <c r="Z721" s="138">
        <f>MAX(X721-Y721,0)</f>
        <v/>
      </c>
      <c r="AA721" s="139">
        <f>U721+Z721</f>
        <v/>
      </c>
      <c r="AB721" s="5" t="n"/>
      <c r="AC721" s="5" t="n"/>
      <c r="AD721" s="5" t="n"/>
      <c r="AE721" s="5" t="n"/>
      <c r="AF721" s="5" t="n"/>
      <c r="AG721" s="5" t="n"/>
    </row>
    <row r="722" outlineLevel="1" s="326">
      <c r="A722" s="140" t="n">
        <v>26</v>
      </c>
      <c r="B722" s="40">
        <f>B105</f>
        <v/>
      </c>
      <c r="C722" s="141">
        <f>D105</f>
        <v/>
      </c>
      <c r="D722" s="141">
        <f>I105</f>
        <v/>
      </c>
      <c r="E722" s="141">
        <f>J105</f>
        <v/>
      </c>
      <c r="F722" s="141">
        <f>K105</f>
        <v/>
      </c>
      <c r="G722" s="138">
        <f>IF(AND($L$237&gt;0,A722=$C$13),$L$237*($C$15+$C$18),0)+IF(AND($L$237&gt;0,A722=$C$13),$C$24,0)</f>
        <v/>
      </c>
      <c r="H722" s="138">
        <f>IF(OR($L$237&lt;=0,A722&lt;$C$13),0,IF(AND($L$237&gt;0,$C$17&gt;0,A722&gt;=$C$13,A722&lt;($C$13+$C$17)),IF($C$17&lt;=0,0,IF($C$16=0,MAX($L$237*(1-$C$15),0)/$C$17,-PMT($C$16/12,$C$17*12,MAX($L$237*(1-$C$15),0))*12)),0)+X722*($C$19+$C$20+$C$21)+$C$22+$C$23)</f>
        <v/>
      </c>
      <c r="I722" s="138">
        <f>IF(B722="Working",MIN(MAX(D722-E722-F722-G722-H722,0),'Tax Assumptions'!$B$20),0)</f>
        <v/>
      </c>
      <c r="J722" s="138">
        <f>IF(B722="Working",D722-E722-F722-I722-G722-H722,-L722)</f>
        <v/>
      </c>
      <c r="K722" s="141">
        <f>IF(B722="Retired",$N$237+G722+H722,0)</f>
        <v/>
      </c>
      <c r="L722" s="141">
        <f>M722+N722+O722+P722</f>
        <v/>
      </c>
      <c r="M722" s="141">
        <f>IF(B722="Retired",MIN(((Q721)*(1+$C$10)+IF(B722="Working",J722,0)),K722),0)</f>
        <v/>
      </c>
      <c r="N722" s="141">
        <f>IF(B722="Retired",MIN(MAX(K722-M722,0),((R721)*(1+$C$10)+IF(B722="Working",E105,0))),0)</f>
        <v/>
      </c>
      <c r="O722" s="141">
        <f>IF(B722="Retired",MIN(MAX(K722-M722-N722,0),((S721)*(1+$C$10)+IF(B722="Working",I722,0))),0)</f>
        <v/>
      </c>
      <c r="P722" s="141">
        <f>IF(B722="Retired",MIN(MAX(K722-M722-N722-O722,0),((T721)*(1+$C$10)+IF(B722="Working",F105,0))),0)</f>
        <v/>
      </c>
      <c r="Q722" s="138">
        <f>MAX(((Q721)*(1+$C$10)+IF(B722="Working",J722,0))-M722,0)</f>
        <v/>
      </c>
      <c r="R722" s="138">
        <f>MAX(((R721)*(1+$C$10)+IF(B722="Working",E105,0))-N722,0)</f>
        <v/>
      </c>
      <c r="S722" s="138">
        <f>MAX(((S721)*(1+$C$10)+IF(B722="Working",I722,0))-O722,0)</f>
        <v/>
      </c>
      <c r="T722" s="138">
        <f>MAX(((T721)*(1+$C$10)+IF(B722="Working",F105,0))-P722,0)</f>
        <v/>
      </c>
      <c r="U722" s="138">
        <f>Q722+R722+S722+T722</f>
        <v/>
      </c>
      <c r="V722" s="138">
        <f>IF(B722="Working",MAX(-(((Q721)*(1+$C$10)+IF(B722="Working",J722,0))),0),MAX(K722-L722,0))</f>
        <v/>
      </c>
      <c r="W722" s="138">
        <f>IF(OR(A722&gt;=$C$13,B722="Retired"),IF(V722&gt;0,-V722,U722-'Model Inputs'!$B$18),"")</f>
        <v/>
      </c>
      <c r="X722" s="138">
        <f>IF(AND($L$237&gt;0,A722&gt;=$C$13),$L$237*(1+$C$25)^(A722-$C$13),0)</f>
        <v/>
      </c>
      <c r="Y722" s="138">
        <f>IF(OR($L$237&lt;=0,$C$17&lt;=0,A722&lt;$C$13,MIN(MAX((A722-$C$13+1)*12,0),$C$17*12)&gt;=$C$17*12),0,IF($C$16=0,MAX(MAX($L$237*(1-$C$15),0)-(IF($C$17&lt;=0,0,IF($C$16=0,MAX($L$237*(1-$C$15),0)/$C$17,-PMT($C$16/12,$C$17*12,MAX($L$237*(1-$C$15),0))*12))/12)*MIN(MAX((A722-$C$13+1)*12,0),$C$17*12),0),MAX(MAX($L$237*(1-$C$15),0)*(1+$C$16/12)^MIN(MAX((A722-$C$13+1)*12,0),$C$17*12)-(IF($C$17&lt;=0,0,IF($C$16=0,MAX($L$237*(1-$C$15),0)/$C$17,-PMT($C$16/12,$C$17*12,MAX($L$237*(1-$C$15),0))*12))/12)*(((1+$C$16/12)^MIN(MAX((A722-$C$13+1)*12,0),$C$17*12)-1)/($C$16/12)),0)))</f>
        <v/>
      </c>
      <c r="Z722" s="138">
        <f>MAX(X722-Y722,0)</f>
        <v/>
      </c>
      <c r="AA722" s="142">
        <f>U722+Z722</f>
        <v/>
      </c>
      <c r="AB722" s="5" t="n"/>
      <c r="AC722" s="5" t="n"/>
      <c r="AD722" s="5" t="n"/>
      <c r="AE722" s="5" t="n"/>
      <c r="AF722" s="5" t="n"/>
      <c r="AG722" s="5" t="n"/>
    </row>
    <row r="723" outlineLevel="1" s="326">
      <c r="A723" s="136" t="n">
        <v>27</v>
      </c>
      <c r="B723" s="72">
        <f>B106</f>
        <v/>
      </c>
      <c r="C723" s="137">
        <f>D106</f>
        <v/>
      </c>
      <c r="D723" s="137">
        <f>I106</f>
        <v/>
      </c>
      <c r="E723" s="137">
        <f>J106</f>
        <v/>
      </c>
      <c r="F723" s="137">
        <f>K106</f>
        <v/>
      </c>
      <c r="G723" s="138">
        <f>IF(AND($L$237&gt;0,A723=$C$13),$L$237*($C$15+$C$18),0)+IF(AND($L$237&gt;0,A723=$C$13),$C$24,0)</f>
        <v/>
      </c>
      <c r="H723" s="138">
        <f>IF(OR($L$237&lt;=0,A723&lt;$C$13),0,IF(AND($L$237&gt;0,$C$17&gt;0,A723&gt;=$C$13,A723&lt;($C$13+$C$17)),IF($C$17&lt;=0,0,IF($C$16=0,MAX($L$237*(1-$C$15),0)/$C$17,-PMT($C$16/12,$C$17*12,MAX($L$237*(1-$C$15),0))*12)),0)+X723*($C$19+$C$20+$C$21)+$C$22+$C$23)</f>
        <v/>
      </c>
      <c r="I723" s="138">
        <f>IF(B723="Working",MIN(MAX(D723-E723-F723-G723-H723,0),'Tax Assumptions'!$B$20),0)</f>
        <v/>
      </c>
      <c r="J723" s="138">
        <f>IF(B723="Working",D723-E723-F723-I723-G723-H723,-L723)</f>
        <v/>
      </c>
      <c r="K723" s="137">
        <f>IF(B723="Retired",$N$237+G723+H723,0)</f>
        <v/>
      </c>
      <c r="L723" s="137">
        <f>M723+N723+O723+P723</f>
        <v/>
      </c>
      <c r="M723" s="137">
        <f>IF(B723="Retired",MIN(((Q722)*(1+$C$10)+IF(B723="Working",J723,0)),K723),0)</f>
        <v/>
      </c>
      <c r="N723" s="137">
        <f>IF(B723="Retired",MIN(MAX(K723-M723,0),((R722)*(1+$C$10)+IF(B723="Working",E106,0))),0)</f>
        <v/>
      </c>
      <c r="O723" s="137">
        <f>IF(B723="Retired",MIN(MAX(K723-M723-N723,0),((S722)*(1+$C$10)+IF(B723="Working",I723,0))),0)</f>
        <v/>
      </c>
      <c r="P723" s="137">
        <f>IF(B723="Retired",MIN(MAX(K723-M723-N723-O723,0),((T722)*(1+$C$10)+IF(B723="Working",F106,0))),0)</f>
        <v/>
      </c>
      <c r="Q723" s="138">
        <f>MAX(((Q722)*(1+$C$10)+IF(B723="Working",J723,0))-M723,0)</f>
        <v/>
      </c>
      <c r="R723" s="138">
        <f>MAX(((R722)*(1+$C$10)+IF(B723="Working",E106,0))-N723,0)</f>
        <v/>
      </c>
      <c r="S723" s="138">
        <f>MAX(((S722)*(1+$C$10)+IF(B723="Working",I723,0))-O723,0)</f>
        <v/>
      </c>
      <c r="T723" s="138">
        <f>MAX(((T722)*(1+$C$10)+IF(B723="Working",F106,0))-P723,0)</f>
        <v/>
      </c>
      <c r="U723" s="138">
        <f>Q723+R723+S723+T723</f>
        <v/>
      </c>
      <c r="V723" s="138">
        <f>IF(B723="Working",MAX(-(((Q722)*(1+$C$10)+IF(B723="Working",J723,0))),0),MAX(K723-L723,0))</f>
        <v/>
      </c>
      <c r="W723" s="138">
        <f>IF(OR(A723&gt;=$C$13,B723="Retired"),IF(V723&gt;0,-V723,U723-'Model Inputs'!$B$18),"")</f>
        <v/>
      </c>
      <c r="X723" s="138">
        <f>IF(AND($L$237&gt;0,A723&gt;=$C$13),$L$237*(1+$C$25)^(A723-$C$13),0)</f>
        <v/>
      </c>
      <c r="Y723" s="138">
        <f>IF(OR($L$237&lt;=0,$C$17&lt;=0,A723&lt;$C$13,MIN(MAX((A723-$C$13+1)*12,0),$C$17*12)&gt;=$C$17*12),0,IF($C$16=0,MAX(MAX($L$237*(1-$C$15),0)-(IF($C$17&lt;=0,0,IF($C$16=0,MAX($L$237*(1-$C$15),0)/$C$17,-PMT($C$16/12,$C$17*12,MAX($L$237*(1-$C$15),0))*12))/12)*MIN(MAX((A723-$C$13+1)*12,0),$C$17*12),0),MAX(MAX($L$237*(1-$C$15),0)*(1+$C$16/12)^MIN(MAX((A723-$C$13+1)*12,0),$C$17*12)-(IF($C$17&lt;=0,0,IF($C$16=0,MAX($L$237*(1-$C$15),0)/$C$17,-PMT($C$16/12,$C$17*12,MAX($L$237*(1-$C$15),0))*12))/12)*(((1+$C$16/12)^MIN(MAX((A723-$C$13+1)*12,0),$C$17*12)-1)/($C$16/12)),0)))</f>
        <v/>
      </c>
      <c r="Z723" s="138">
        <f>MAX(X723-Y723,0)</f>
        <v/>
      </c>
      <c r="AA723" s="139">
        <f>U723+Z723</f>
        <v/>
      </c>
      <c r="AB723" s="5" t="n"/>
      <c r="AC723" s="5" t="n"/>
      <c r="AD723" s="5" t="n"/>
      <c r="AE723" s="5" t="n"/>
      <c r="AF723" s="5" t="n"/>
      <c r="AG723" s="5" t="n"/>
    </row>
    <row r="724" outlineLevel="1" s="326">
      <c r="A724" s="140" t="n">
        <v>28</v>
      </c>
      <c r="B724" s="40">
        <f>B107</f>
        <v/>
      </c>
      <c r="C724" s="141">
        <f>D107</f>
        <v/>
      </c>
      <c r="D724" s="141">
        <f>I107</f>
        <v/>
      </c>
      <c r="E724" s="141">
        <f>J107</f>
        <v/>
      </c>
      <c r="F724" s="141">
        <f>K107</f>
        <v/>
      </c>
      <c r="G724" s="138">
        <f>IF(AND($L$237&gt;0,A724=$C$13),$L$237*($C$15+$C$18),0)+IF(AND($L$237&gt;0,A724=$C$13),$C$24,0)</f>
        <v/>
      </c>
      <c r="H724" s="138">
        <f>IF(OR($L$237&lt;=0,A724&lt;$C$13),0,IF(AND($L$237&gt;0,$C$17&gt;0,A724&gt;=$C$13,A724&lt;($C$13+$C$17)),IF($C$17&lt;=0,0,IF($C$16=0,MAX($L$237*(1-$C$15),0)/$C$17,-PMT($C$16/12,$C$17*12,MAX($L$237*(1-$C$15),0))*12)),0)+X724*($C$19+$C$20+$C$21)+$C$22+$C$23)</f>
        <v/>
      </c>
      <c r="I724" s="138">
        <f>IF(B724="Working",MIN(MAX(D724-E724-F724-G724-H724,0),'Tax Assumptions'!$B$20),0)</f>
        <v/>
      </c>
      <c r="J724" s="138">
        <f>IF(B724="Working",D724-E724-F724-I724-G724-H724,-L724)</f>
        <v/>
      </c>
      <c r="K724" s="141">
        <f>IF(B724="Retired",$N$237+G724+H724,0)</f>
        <v/>
      </c>
      <c r="L724" s="141">
        <f>M724+N724+O724+P724</f>
        <v/>
      </c>
      <c r="M724" s="141">
        <f>IF(B724="Retired",MIN(((Q723)*(1+$C$10)+IF(B724="Working",J724,0)),K724),0)</f>
        <v/>
      </c>
      <c r="N724" s="141">
        <f>IF(B724="Retired",MIN(MAX(K724-M724,0),((R723)*(1+$C$10)+IF(B724="Working",E107,0))),0)</f>
        <v/>
      </c>
      <c r="O724" s="141">
        <f>IF(B724="Retired",MIN(MAX(K724-M724-N724,0),((S723)*(1+$C$10)+IF(B724="Working",I724,0))),0)</f>
        <v/>
      </c>
      <c r="P724" s="141">
        <f>IF(B724="Retired",MIN(MAX(K724-M724-N724-O724,0),((T723)*(1+$C$10)+IF(B724="Working",F107,0))),0)</f>
        <v/>
      </c>
      <c r="Q724" s="138">
        <f>MAX(((Q723)*(1+$C$10)+IF(B724="Working",J724,0))-M724,0)</f>
        <v/>
      </c>
      <c r="R724" s="138">
        <f>MAX(((R723)*(1+$C$10)+IF(B724="Working",E107,0))-N724,0)</f>
        <v/>
      </c>
      <c r="S724" s="138">
        <f>MAX(((S723)*(1+$C$10)+IF(B724="Working",I724,0))-O724,0)</f>
        <v/>
      </c>
      <c r="T724" s="138">
        <f>MAX(((T723)*(1+$C$10)+IF(B724="Working",F107,0))-P724,0)</f>
        <v/>
      </c>
      <c r="U724" s="138">
        <f>Q724+R724+S724+T724</f>
        <v/>
      </c>
      <c r="V724" s="138">
        <f>IF(B724="Working",MAX(-(((Q723)*(1+$C$10)+IF(B724="Working",J724,0))),0),MAX(K724-L724,0))</f>
        <v/>
      </c>
      <c r="W724" s="138">
        <f>IF(OR(A724&gt;=$C$13,B724="Retired"),IF(V724&gt;0,-V724,U724-'Model Inputs'!$B$18),"")</f>
        <v/>
      </c>
      <c r="X724" s="138">
        <f>IF(AND($L$237&gt;0,A724&gt;=$C$13),$L$237*(1+$C$25)^(A724-$C$13),0)</f>
        <v/>
      </c>
      <c r="Y724" s="138">
        <f>IF(OR($L$237&lt;=0,$C$17&lt;=0,A724&lt;$C$13,MIN(MAX((A724-$C$13+1)*12,0),$C$17*12)&gt;=$C$17*12),0,IF($C$16=0,MAX(MAX($L$237*(1-$C$15),0)-(IF($C$17&lt;=0,0,IF($C$16=0,MAX($L$237*(1-$C$15),0)/$C$17,-PMT($C$16/12,$C$17*12,MAX($L$237*(1-$C$15),0))*12))/12)*MIN(MAX((A724-$C$13+1)*12,0),$C$17*12),0),MAX(MAX($L$237*(1-$C$15),0)*(1+$C$16/12)^MIN(MAX((A724-$C$13+1)*12,0),$C$17*12)-(IF($C$17&lt;=0,0,IF($C$16=0,MAX($L$237*(1-$C$15),0)/$C$17,-PMT($C$16/12,$C$17*12,MAX($L$237*(1-$C$15),0))*12))/12)*(((1+$C$16/12)^MIN(MAX((A724-$C$13+1)*12,0),$C$17*12)-1)/($C$16/12)),0)))</f>
        <v/>
      </c>
      <c r="Z724" s="138">
        <f>MAX(X724-Y724,0)</f>
        <v/>
      </c>
      <c r="AA724" s="142">
        <f>U724+Z724</f>
        <v/>
      </c>
      <c r="AB724" s="5" t="n"/>
      <c r="AC724" s="5" t="n"/>
      <c r="AD724" s="5" t="n"/>
      <c r="AE724" s="5" t="n"/>
      <c r="AF724" s="5" t="n"/>
      <c r="AG724" s="5" t="n"/>
    </row>
    <row r="725" outlineLevel="1" s="326">
      <c r="A725" s="136" t="n">
        <v>29</v>
      </c>
      <c r="B725" s="72">
        <f>B108</f>
        <v/>
      </c>
      <c r="C725" s="137">
        <f>D108</f>
        <v/>
      </c>
      <c r="D725" s="137">
        <f>I108</f>
        <v/>
      </c>
      <c r="E725" s="137">
        <f>J108</f>
        <v/>
      </c>
      <c r="F725" s="137">
        <f>K108</f>
        <v/>
      </c>
      <c r="G725" s="138">
        <f>IF(AND($L$237&gt;0,A725=$C$13),$L$237*($C$15+$C$18),0)+IF(AND($L$237&gt;0,A725=$C$13),$C$24,0)</f>
        <v/>
      </c>
      <c r="H725" s="138">
        <f>IF(OR($L$237&lt;=0,A725&lt;$C$13),0,IF(AND($L$237&gt;0,$C$17&gt;0,A725&gt;=$C$13,A725&lt;($C$13+$C$17)),IF($C$17&lt;=0,0,IF($C$16=0,MAX($L$237*(1-$C$15),0)/$C$17,-PMT($C$16/12,$C$17*12,MAX($L$237*(1-$C$15),0))*12)),0)+X725*($C$19+$C$20+$C$21)+$C$22+$C$23)</f>
        <v/>
      </c>
      <c r="I725" s="138">
        <f>IF(B725="Working",MIN(MAX(D725-E725-F725-G725-H725,0),'Tax Assumptions'!$B$20),0)</f>
        <v/>
      </c>
      <c r="J725" s="138">
        <f>IF(B725="Working",D725-E725-F725-I725-G725-H725,-L725)</f>
        <v/>
      </c>
      <c r="K725" s="137">
        <f>IF(B725="Retired",$N$237+G725+H725,0)</f>
        <v/>
      </c>
      <c r="L725" s="137">
        <f>M725+N725+O725+P725</f>
        <v/>
      </c>
      <c r="M725" s="137">
        <f>IF(B725="Retired",MIN(((Q724)*(1+$C$10)+IF(B725="Working",J725,0)),K725),0)</f>
        <v/>
      </c>
      <c r="N725" s="137">
        <f>IF(B725="Retired",MIN(MAX(K725-M725,0),((R724)*(1+$C$10)+IF(B725="Working",E108,0))),0)</f>
        <v/>
      </c>
      <c r="O725" s="137">
        <f>IF(B725="Retired",MIN(MAX(K725-M725-N725,0),((S724)*(1+$C$10)+IF(B725="Working",I725,0))),0)</f>
        <v/>
      </c>
      <c r="P725" s="137">
        <f>IF(B725="Retired",MIN(MAX(K725-M725-N725-O725,0),((T724)*(1+$C$10)+IF(B725="Working",F108,0))),0)</f>
        <v/>
      </c>
      <c r="Q725" s="138">
        <f>MAX(((Q724)*(1+$C$10)+IF(B725="Working",J725,0))-M725,0)</f>
        <v/>
      </c>
      <c r="R725" s="138">
        <f>MAX(((R724)*(1+$C$10)+IF(B725="Working",E108,0))-N725,0)</f>
        <v/>
      </c>
      <c r="S725" s="138">
        <f>MAX(((S724)*(1+$C$10)+IF(B725="Working",I725,0))-O725,0)</f>
        <v/>
      </c>
      <c r="T725" s="138">
        <f>MAX(((T724)*(1+$C$10)+IF(B725="Working",F108,0))-P725,0)</f>
        <v/>
      </c>
      <c r="U725" s="138">
        <f>Q725+R725+S725+T725</f>
        <v/>
      </c>
      <c r="V725" s="138">
        <f>IF(B725="Working",MAX(-(((Q724)*(1+$C$10)+IF(B725="Working",J725,0))),0),MAX(K725-L725,0))</f>
        <v/>
      </c>
      <c r="W725" s="138">
        <f>IF(OR(A725&gt;=$C$13,B725="Retired"),IF(V725&gt;0,-V725,U725-'Model Inputs'!$B$18),"")</f>
        <v/>
      </c>
      <c r="X725" s="138">
        <f>IF(AND($L$237&gt;0,A725&gt;=$C$13),$L$237*(1+$C$25)^(A725-$C$13),0)</f>
        <v/>
      </c>
      <c r="Y725" s="138">
        <f>IF(OR($L$237&lt;=0,$C$17&lt;=0,A725&lt;$C$13,MIN(MAX((A725-$C$13+1)*12,0),$C$17*12)&gt;=$C$17*12),0,IF($C$16=0,MAX(MAX($L$237*(1-$C$15),0)-(IF($C$17&lt;=0,0,IF($C$16=0,MAX($L$237*(1-$C$15),0)/$C$17,-PMT($C$16/12,$C$17*12,MAX($L$237*(1-$C$15),0))*12))/12)*MIN(MAX((A725-$C$13+1)*12,0),$C$17*12),0),MAX(MAX($L$237*(1-$C$15),0)*(1+$C$16/12)^MIN(MAX((A725-$C$13+1)*12,0),$C$17*12)-(IF($C$17&lt;=0,0,IF($C$16=0,MAX($L$237*(1-$C$15),0)/$C$17,-PMT($C$16/12,$C$17*12,MAX($L$237*(1-$C$15),0))*12))/12)*(((1+$C$16/12)^MIN(MAX((A725-$C$13+1)*12,0),$C$17*12)-1)/($C$16/12)),0)))</f>
        <v/>
      </c>
      <c r="Z725" s="138">
        <f>MAX(X725-Y725,0)</f>
        <v/>
      </c>
      <c r="AA725" s="139">
        <f>U725+Z725</f>
        <v/>
      </c>
      <c r="AB725" s="5" t="n"/>
      <c r="AC725" s="5" t="n"/>
      <c r="AD725" s="5" t="n"/>
      <c r="AE725" s="5" t="n"/>
      <c r="AF725" s="5" t="n"/>
      <c r="AG725" s="5" t="n"/>
    </row>
    <row r="726" outlineLevel="1" s="326">
      <c r="A726" s="140" t="n">
        <v>30</v>
      </c>
      <c r="B726" s="40">
        <f>B109</f>
        <v/>
      </c>
      <c r="C726" s="141">
        <f>D109</f>
        <v/>
      </c>
      <c r="D726" s="141">
        <f>I109</f>
        <v/>
      </c>
      <c r="E726" s="141">
        <f>J109</f>
        <v/>
      </c>
      <c r="F726" s="141">
        <f>K109</f>
        <v/>
      </c>
      <c r="G726" s="138">
        <f>IF(AND($L$237&gt;0,A726=$C$13),$L$237*($C$15+$C$18),0)+IF(AND($L$237&gt;0,A726=$C$13),$C$24,0)</f>
        <v/>
      </c>
      <c r="H726" s="138">
        <f>IF(OR($L$237&lt;=0,A726&lt;$C$13),0,IF(AND($L$237&gt;0,$C$17&gt;0,A726&gt;=$C$13,A726&lt;($C$13+$C$17)),IF($C$17&lt;=0,0,IF($C$16=0,MAX($L$237*(1-$C$15),0)/$C$17,-PMT($C$16/12,$C$17*12,MAX($L$237*(1-$C$15),0))*12)),0)+X726*($C$19+$C$20+$C$21)+$C$22+$C$23)</f>
        <v/>
      </c>
      <c r="I726" s="138">
        <f>IF(B726="Working",MIN(MAX(D726-E726-F726-G726-H726,0),'Tax Assumptions'!$B$20),0)</f>
        <v/>
      </c>
      <c r="J726" s="138">
        <f>IF(B726="Working",D726-E726-F726-I726-G726-H726,-L726)</f>
        <v/>
      </c>
      <c r="K726" s="141">
        <f>IF(B726="Retired",$N$237+G726+H726,0)</f>
        <v/>
      </c>
      <c r="L726" s="141">
        <f>M726+N726+O726+P726</f>
        <v/>
      </c>
      <c r="M726" s="141">
        <f>IF(B726="Retired",MIN(((Q725)*(1+$C$10)+IF(B726="Working",J726,0)),K726),0)</f>
        <v/>
      </c>
      <c r="N726" s="141">
        <f>IF(B726="Retired",MIN(MAX(K726-M726,0),((R725)*(1+$C$10)+IF(B726="Working",E109,0))),0)</f>
        <v/>
      </c>
      <c r="O726" s="141">
        <f>IF(B726="Retired",MIN(MAX(K726-M726-N726,0),((S725)*(1+$C$10)+IF(B726="Working",I726,0))),0)</f>
        <v/>
      </c>
      <c r="P726" s="141">
        <f>IF(B726="Retired",MIN(MAX(K726-M726-N726-O726,0),((T725)*(1+$C$10)+IF(B726="Working",F109,0))),0)</f>
        <v/>
      </c>
      <c r="Q726" s="138">
        <f>MAX(((Q725)*(1+$C$10)+IF(B726="Working",J726,0))-M726,0)</f>
        <v/>
      </c>
      <c r="R726" s="138">
        <f>MAX(((R725)*(1+$C$10)+IF(B726="Working",E109,0))-N726,0)</f>
        <v/>
      </c>
      <c r="S726" s="138">
        <f>MAX(((S725)*(1+$C$10)+IF(B726="Working",I726,0))-O726,0)</f>
        <v/>
      </c>
      <c r="T726" s="138">
        <f>MAX(((T725)*(1+$C$10)+IF(B726="Working",F109,0))-P726,0)</f>
        <v/>
      </c>
      <c r="U726" s="138">
        <f>Q726+R726+S726+T726</f>
        <v/>
      </c>
      <c r="V726" s="138">
        <f>IF(B726="Working",MAX(-(((Q725)*(1+$C$10)+IF(B726="Working",J726,0))),0),MAX(K726-L726,0))</f>
        <v/>
      </c>
      <c r="W726" s="138">
        <f>IF(OR(A726&gt;=$C$13,B726="Retired"),IF(V726&gt;0,-V726,U726-'Model Inputs'!$B$18),"")</f>
        <v/>
      </c>
      <c r="X726" s="138">
        <f>IF(AND($L$237&gt;0,A726&gt;=$C$13),$L$237*(1+$C$25)^(A726-$C$13),0)</f>
        <v/>
      </c>
      <c r="Y726" s="138">
        <f>IF(OR($L$237&lt;=0,$C$17&lt;=0,A726&lt;$C$13,MIN(MAX((A726-$C$13+1)*12,0),$C$17*12)&gt;=$C$17*12),0,IF($C$16=0,MAX(MAX($L$237*(1-$C$15),0)-(IF($C$17&lt;=0,0,IF($C$16=0,MAX($L$237*(1-$C$15),0)/$C$17,-PMT($C$16/12,$C$17*12,MAX($L$237*(1-$C$15),0))*12))/12)*MIN(MAX((A726-$C$13+1)*12,0),$C$17*12),0),MAX(MAX($L$237*(1-$C$15),0)*(1+$C$16/12)^MIN(MAX((A726-$C$13+1)*12,0),$C$17*12)-(IF($C$17&lt;=0,0,IF($C$16=0,MAX($L$237*(1-$C$15),0)/$C$17,-PMT($C$16/12,$C$17*12,MAX($L$237*(1-$C$15),0))*12))/12)*(((1+$C$16/12)^MIN(MAX((A726-$C$13+1)*12,0),$C$17*12)-1)/($C$16/12)),0)))</f>
        <v/>
      </c>
      <c r="Z726" s="138">
        <f>MAX(X726-Y726,0)</f>
        <v/>
      </c>
      <c r="AA726" s="142">
        <f>U726+Z726</f>
        <v/>
      </c>
      <c r="AB726" s="5" t="n"/>
      <c r="AC726" s="5" t="n"/>
      <c r="AD726" s="5" t="n"/>
      <c r="AE726" s="5" t="n"/>
      <c r="AF726" s="5" t="n"/>
      <c r="AG726" s="5" t="n"/>
    </row>
    <row r="727" outlineLevel="1" s="326">
      <c r="A727" s="136" t="n">
        <v>31</v>
      </c>
      <c r="B727" s="72">
        <f>B110</f>
        <v/>
      </c>
      <c r="C727" s="137">
        <f>D110</f>
        <v/>
      </c>
      <c r="D727" s="137">
        <f>I110</f>
        <v/>
      </c>
      <c r="E727" s="137">
        <f>J110</f>
        <v/>
      </c>
      <c r="F727" s="137">
        <f>K110</f>
        <v/>
      </c>
      <c r="G727" s="138">
        <f>IF(AND($L$237&gt;0,A727=$C$13),$L$237*($C$15+$C$18),0)+IF(AND($L$237&gt;0,A727=$C$13),$C$24,0)</f>
        <v/>
      </c>
      <c r="H727" s="138">
        <f>IF(OR($L$237&lt;=0,A727&lt;$C$13),0,IF(AND($L$237&gt;0,$C$17&gt;0,A727&gt;=$C$13,A727&lt;($C$13+$C$17)),IF($C$17&lt;=0,0,IF($C$16=0,MAX($L$237*(1-$C$15),0)/$C$17,-PMT($C$16/12,$C$17*12,MAX($L$237*(1-$C$15),0))*12)),0)+X727*($C$19+$C$20+$C$21)+$C$22+$C$23)</f>
        <v/>
      </c>
      <c r="I727" s="138">
        <f>IF(B727="Working",MIN(MAX(D727-E727-F727-G727-H727,0),'Tax Assumptions'!$B$20),0)</f>
        <v/>
      </c>
      <c r="J727" s="138">
        <f>IF(B727="Working",D727-E727-F727-I727-G727-H727,-L727)</f>
        <v/>
      </c>
      <c r="K727" s="137">
        <f>IF(B727="Retired",$N$237+G727+H727,0)</f>
        <v/>
      </c>
      <c r="L727" s="137">
        <f>M727+N727+O727+P727</f>
        <v/>
      </c>
      <c r="M727" s="137">
        <f>IF(B727="Retired",MIN(((Q726)*(1+$C$10)+IF(B727="Working",J727,0)),K727),0)</f>
        <v/>
      </c>
      <c r="N727" s="137">
        <f>IF(B727="Retired",MIN(MAX(K727-M727,0),((R726)*(1+$C$10)+IF(B727="Working",E110,0))),0)</f>
        <v/>
      </c>
      <c r="O727" s="137">
        <f>IF(B727="Retired",MIN(MAX(K727-M727-N727,0),((S726)*(1+$C$10)+IF(B727="Working",I727,0))),0)</f>
        <v/>
      </c>
      <c r="P727" s="137">
        <f>IF(B727="Retired",MIN(MAX(K727-M727-N727-O727,0),((T726)*(1+$C$10)+IF(B727="Working",F110,0))),0)</f>
        <v/>
      </c>
      <c r="Q727" s="138">
        <f>MAX(((Q726)*(1+$C$10)+IF(B727="Working",J727,0))-M727,0)</f>
        <v/>
      </c>
      <c r="R727" s="138">
        <f>MAX(((R726)*(1+$C$10)+IF(B727="Working",E110,0))-N727,0)</f>
        <v/>
      </c>
      <c r="S727" s="138">
        <f>MAX(((S726)*(1+$C$10)+IF(B727="Working",I727,0))-O727,0)</f>
        <v/>
      </c>
      <c r="T727" s="138">
        <f>MAX(((T726)*(1+$C$10)+IF(B727="Working",F110,0))-P727,0)</f>
        <v/>
      </c>
      <c r="U727" s="138">
        <f>Q727+R727+S727+T727</f>
        <v/>
      </c>
      <c r="V727" s="138">
        <f>IF(B727="Working",MAX(-(((Q726)*(1+$C$10)+IF(B727="Working",J727,0))),0),MAX(K727-L727,0))</f>
        <v/>
      </c>
      <c r="W727" s="138">
        <f>IF(OR(A727&gt;=$C$13,B727="Retired"),IF(V727&gt;0,-V727,U727-'Model Inputs'!$B$18),"")</f>
        <v/>
      </c>
      <c r="X727" s="138">
        <f>IF(AND($L$237&gt;0,A727&gt;=$C$13),$L$237*(1+$C$25)^(A727-$C$13),0)</f>
        <v/>
      </c>
      <c r="Y727" s="138">
        <f>IF(OR($L$237&lt;=0,$C$17&lt;=0,A727&lt;$C$13,MIN(MAX((A727-$C$13+1)*12,0),$C$17*12)&gt;=$C$17*12),0,IF($C$16=0,MAX(MAX($L$237*(1-$C$15),0)-(IF($C$17&lt;=0,0,IF($C$16=0,MAX($L$237*(1-$C$15),0)/$C$17,-PMT($C$16/12,$C$17*12,MAX($L$237*(1-$C$15),0))*12))/12)*MIN(MAX((A727-$C$13+1)*12,0),$C$17*12),0),MAX(MAX($L$237*(1-$C$15),0)*(1+$C$16/12)^MIN(MAX((A727-$C$13+1)*12,0),$C$17*12)-(IF($C$17&lt;=0,0,IF($C$16=0,MAX($L$237*(1-$C$15),0)/$C$17,-PMT($C$16/12,$C$17*12,MAX($L$237*(1-$C$15),0))*12))/12)*(((1+$C$16/12)^MIN(MAX((A727-$C$13+1)*12,0),$C$17*12)-1)/($C$16/12)),0)))</f>
        <v/>
      </c>
      <c r="Z727" s="138">
        <f>MAX(X727-Y727,0)</f>
        <v/>
      </c>
      <c r="AA727" s="139">
        <f>U727+Z727</f>
        <v/>
      </c>
      <c r="AB727" s="5" t="n"/>
      <c r="AC727" s="5" t="n"/>
      <c r="AD727" s="5" t="n"/>
      <c r="AE727" s="5" t="n"/>
      <c r="AF727" s="5" t="n"/>
      <c r="AG727" s="5" t="n"/>
    </row>
    <row r="728" outlineLevel="1" s="326">
      <c r="A728" s="140" t="n">
        <v>32</v>
      </c>
      <c r="B728" s="40">
        <f>B111</f>
        <v/>
      </c>
      <c r="C728" s="141">
        <f>D111</f>
        <v/>
      </c>
      <c r="D728" s="141">
        <f>I111</f>
        <v/>
      </c>
      <c r="E728" s="141">
        <f>J111</f>
        <v/>
      </c>
      <c r="F728" s="141">
        <f>K111</f>
        <v/>
      </c>
      <c r="G728" s="138">
        <f>IF(AND($L$237&gt;0,A728=$C$13),$L$237*($C$15+$C$18),0)+IF(AND($L$237&gt;0,A728=$C$13),$C$24,0)</f>
        <v/>
      </c>
      <c r="H728" s="138">
        <f>IF(OR($L$237&lt;=0,A728&lt;$C$13),0,IF(AND($L$237&gt;0,$C$17&gt;0,A728&gt;=$C$13,A728&lt;($C$13+$C$17)),IF($C$17&lt;=0,0,IF($C$16=0,MAX($L$237*(1-$C$15),0)/$C$17,-PMT($C$16/12,$C$17*12,MAX($L$237*(1-$C$15),0))*12)),0)+X728*($C$19+$C$20+$C$21)+$C$22+$C$23)</f>
        <v/>
      </c>
      <c r="I728" s="138">
        <f>IF(B728="Working",MIN(MAX(D728-E728-F728-G728-H728,0),'Tax Assumptions'!$B$20),0)</f>
        <v/>
      </c>
      <c r="J728" s="138">
        <f>IF(B728="Working",D728-E728-F728-I728-G728-H728,-L728)</f>
        <v/>
      </c>
      <c r="K728" s="141">
        <f>IF(B728="Retired",$N$237+G728+H728,0)</f>
        <v/>
      </c>
      <c r="L728" s="141">
        <f>M728+N728+O728+P728</f>
        <v/>
      </c>
      <c r="M728" s="141">
        <f>IF(B728="Retired",MIN(((Q727)*(1+$C$10)+IF(B728="Working",J728,0)),K728),0)</f>
        <v/>
      </c>
      <c r="N728" s="141">
        <f>IF(B728="Retired",MIN(MAX(K728-M728,0),((R727)*(1+$C$10)+IF(B728="Working",E111,0))),0)</f>
        <v/>
      </c>
      <c r="O728" s="141">
        <f>IF(B728="Retired",MIN(MAX(K728-M728-N728,0),((S727)*(1+$C$10)+IF(B728="Working",I728,0))),0)</f>
        <v/>
      </c>
      <c r="P728" s="141">
        <f>IF(B728="Retired",MIN(MAX(K728-M728-N728-O728,0),((T727)*(1+$C$10)+IF(B728="Working",F111,0))),0)</f>
        <v/>
      </c>
      <c r="Q728" s="138">
        <f>MAX(((Q727)*(1+$C$10)+IF(B728="Working",J728,0))-M728,0)</f>
        <v/>
      </c>
      <c r="R728" s="138">
        <f>MAX(((R727)*(1+$C$10)+IF(B728="Working",E111,0))-N728,0)</f>
        <v/>
      </c>
      <c r="S728" s="138">
        <f>MAX(((S727)*(1+$C$10)+IF(B728="Working",I728,0))-O728,0)</f>
        <v/>
      </c>
      <c r="T728" s="138">
        <f>MAX(((T727)*(1+$C$10)+IF(B728="Working",F111,0))-P728,0)</f>
        <v/>
      </c>
      <c r="U728" s="138">
        <f>Q728+R728+S728+T728</f>
        <v/>
      </c>
      <c r="V728" s="138">
        <f>IF(B728="Working",MAX(-(((Q727)*(1+$C$10)+IF(B728="Working",J728,0))),0),MAX(K728-L728,0))</f>
        <v/>
      </c>
      <c r="W728" s="138">
        <f>IF(OR(A728&gt;=$C$13,B728="Retired"),IF(V728&gt;0,-V728,U728-'Model Inputs'!$B$18),"")</f>
        <v/>
      </c>
      <c r="X728" s="138">
        <f>IF(AND($L$237&gt;0,A728&gt;=$C$13),$L$237*(1+$C$25)^(A728-$C$13),0)</f>
        <v/>
      </c>
      <c r="Y728" s="138">
        <f>IF(OR($L$237&lt;=0,$C$17&lt;=0,A728&lt;$C$13,MIN(MAX((A728-$C$13+1)*12,0),$C$17*12)&gt;=$C$17*12),0,IF($C$16=0,MAX(MAX($L$237*(1-$C$15),0)-(IF($C$17&lt;=0,0,IF($C$16=0,MAX($L$237*(1-$C$15),0)/$C$17,-PMT($C$16/12,$C$17*12,MAX($L$237*(1-$C$15),0))*12))/12)*MIN(MAX((A728-$C$13+1)*12,0),$C$17*12),0),MAX(MAX($L$237*(1-$C$15),0)*(1+$C$16/12)^MIN(MAX((A728-$C$13+1)*12,0),$C$17*12)-(IF($C$17&lt;=0,0,IF($C$16=0,MAX($L$237*(1-$C$15),0)/$C$17,-PMT($C$16/12,$C$17*12,MAX($L$237*(1-$C$15),0))*12))/12)*(((1+$C$16/12)^MIN(MAX((A728-$C$13+1)*12,0),$C$17*12)-1)/($C$16/12)),0)))</f>
        <v/>
      </c>
      <c r="Z728" s="138">
        <f>MAX(X728-Y728,0)</f>
        <v/>
      </c>
      <c r="AA728" s="142">
        <f>U728+Z728</f>
        <v/>
      </c>
      <c r="AB728" s="5" t="n"/>
      <c r="AC728" s="5" t="n"/>
      <c r="AD728" s="5" t="n"/>
      <c r="AE728" s="5" t="n"/>
      <c r="AF728" s="5" t="n"/>
      <c r="AG728" s="5" t="n"/>
    </row>
    <row r="729" outlineLevel="1" s="326">
      <c r="A729" s="136" t="n">
        <v>33</v>
      </c>
      <c r="B729" s="72">
        <f>B112</f>
        <v/>
      </c>
      <c r="C729" s="137">
        <f>D112</f>
        <v/>
      </c>
      <c r="D729" s="137">
        <f>I112</f>
        <v/>
      </c>
      <c r="E729" s="137">
        <f>J112</f>
        <v/>
      </c>
      <c r="F729" s="137">
        <f>K112</f>
        <v/>
      </c>
      <c r="G729" s="138">
        <f>IF(AND($L$237&gt;0,A729=$C$13),$L$237*($C$15+$C$18),0)+IF(AND($L$237&gt;0,A729=$C$13),$C$24,0)</f>
        <v/>
      </c>
      <c r="H729" s="138">
        <f>IF(OR($L$237&lt;=0,A729&lt;$C$13),0,IF(AND($L$237&gt;0,$C$17&gt;0,A729&gt;=$C$13,A729&lt;($C$13+$C$17)),IF($C$17&lt;=0,0,IF($C$16=0,MAX($L$237*(1-$C$15),0)/$C$17,-PMT($C$16/12,$C$17*12,MAX($L$237*(1-$C$15),0))*12)),0)+X729*($C$19+$C$20+$C$21)+$C$22+$C$23)</f>
        <v/>
      </c>
      <c r="I729" s="138">
        <f>IF(B729="Working",MIN(MAX(D729-E729-F729-G729-H729,0),'Tax Assumptions'!$B$20),0)</f>
        <v/>
      </c>
      <c r="J729" s="138">
        <f>IF(B729="Working",D729-E729-F729-I729-G729-H729,-L729)</f>
        <v/>
      </c>
      <c r="K729" s="137">
        <f>IF(B729="Retired",$N$237+G729+H729,0)</f>
        <v/>
      </c>
      <c r="L729" s="137">
        <f>M729+N729+O729+P729</f>
        <v/>
      </c>
      <c r="M729" s="137">
        <f>IF(B729="Retired",MIN(((Q728)*(1+$C$10)+IF(B729="Working",J729,0)),K729),0)</f>
        <v/>
      </c>
      <c r="N729" s="137">
        <f>IF(B729="Retired",MIN(MAX(K729-M729,0),((R728)*(1+$C$10)+IF(B729="Working",E112,0))),0)</f>
        <v/>
      </c>
      <c r="O729" s="137">
        <f>IF(B729="Retired",MIN(MAX(K729-M729-N729,0),((S728)*(1+$C$10)+IF(B729="Working",I729,0))),0)</f>
        <v/>
      </c>
      <c r="P729" s="137">
        <f>IF(B729="Retired",MIN(MAX(K729-M729-N729-O729,0),((T728)*(1+$C$10)+IF(B729="Working",F112,0))),0)</f>
        <v/>
      </c>
      <c r="Q729" s="138">
        <f>MAX(((Q728)*(1+$C$10)+IF(B729="Working",J729,0))-M729,0)</f>
        <v/>
      </c>
      <c r="R729" s="138">
        <f>MAX(((R728)*(1+$C$10)+IF(B729="Working",E112,0))-N729,0)</f>
        <v/>
      </c>
      <c r="S729" s="138">
        <f>MAX(((S728)*(1+$C$10)+IF(B729="Working",I729,0))-O729,0)</f>
        <v/>
      </c>
      <c r="T729" s="138">
        <f>MAX(((T728)*(1+$C$10)+IF(B729="Working",F112,0))-P729,0)</f>
        <v/>
      </c>
      <c r="U729" s="138">
        <f>Q729+R729+S729+T729</f>
        <v/>
      </c>
      <c r="V729" s="138">
        <f>IF(B729="Working",MAX(-(((Q728)*(1+$C$10)+IF(B729="Working",J729,0))),0),MAX(K729-L729,0))</f>
        <v/>
      </c>
      <c r="W729" s="138">
        <f>IF(OR(A729&gt;=$C$13,B729="Retired"),IF(V729&gt;0,-V729,U729-'Model Inputs'!$B$18),"")</f>
        <v/>
      </c>
      <c r="X729" s="138">
        <f>IF(AND($L$237&gt;0,A729&gt;=$C$13),$L$237*(1+$C$25)^(A729-$C$13),0)</f>
        <v/>
      </c>
      <c r="Y729" s="138">
        <f>IF(OR($L$237&lt;=0,$C$17&lt;=0,A729&lt;$C$13,MIN(MAX((A729-$C$13+1)*12,0),$C$17*12)&gt;=$C$17*12),0,IF($C$16=0,MAX(MAX($L$237*(1-$C$15),0)-(IF($C$17&lt;=0,0,IF($C$16=0,MAX($L$237*(1-$C$15),0)/$C$17,-PMT($C$16/12,$C$17*12,MAX($L$237*(1-$C$15),0))*12))/12)*MIN(MAX((A729-$C$13+1)*12,0),$C$17*12),0),MAX(MAX($L$237*(1-$C$15),0)*(1+$C$16/12)^MIN(MAX((A729-$C$13+1)*12,0),$C$17*12)-(IF($C$17&lt;=0,0,IF($C$16=0,MAX($L$237*(1-$C$15),0)/$C$17,-PMT($C$16/12,$C$17*12,MAX($L$237*(1-$C$15),0))*12))/12)*(((1+$C$16/12)^MIN(MAX((A729-$C$13+1)*12,0),$C$17*12)-1)/($C$16/12)),0)))</f>
        <v/>
      </c>
      <c r="Z729" s="138">
        <f>MAX(X729-Y729,0)</f>
        <v/>
      </c>
      <c r="AA729" s="139">
        <f>U729+Z729</f>
        <v/>
      </c>
      <c r="AB729" s="5" t="n"/>
      <c r="AC729" s="5" t="n"/>
      <c r="AD729" s="5" t="n"/>
      <c r="AE729" s="5" t="n"/>
      <c r="AF729" s="5" t="n"/>
      <c r="AG729" s="5" t="n"/>
    </row>
    <row r="730" outlineLevel="1" s="326">
      <c r="A730" s="140" t="n">
        <v>34</v>
      </c>
      <c r="B730" s="40">
        <f>B113</f>
        <v/>
      </c>
      <c r="C730" s="141">
        <f>D113</f>
        <v/>
      </c>
      <c r="D730" s="141">
        <f>I113</f>
        <v/>
      </c>
      <c r="E730" s="141">
        <f>J113</f>
        <v/>
      </c>
      <c r="F730" s="141">
        <f>K113</f>
        <v/>
      </c>
      <c r="G730" s="138">
        <f>IF(AND($L$237&gt;0,A730=$C$13),$L$237*($C$15+$C$18),0)+IF(AND($L$237&gt;0,A730=$C$13),$C$24,0)</f>
        <v/>
      </c>
      <c r="H730" s="138">
        <f>IF(OR($L$237&lt;=0,A730&lt;$C$13),0,IF(AND($L$237&gt;0,$C$17&gt;0,A730&gt;=$C$13,A730&lt;($C$13+$C$17)),IF($C$17&lt;=0,0,IF($C$16=0,MAX($L$237*(1-$C$15),0)/$C$17,-PMT($C$16/12,$C$17*12,MAX($L$237*(1-$C$15),0))*12)),0)+X730*($C$19+$C$20+$C$21)+$C$22+$C$23)</f>
        <v/>
      </c>
      <c r="I730" s="138">
        <f>IF(B730="Working",MIN(MAX(D730-E730-F730-G730-H730,0),'Tax Assumptions'!$B$20),0)</f>
        <v/>
      </c>
      <c r="J730" s="138">
        <f>IF(B730="Working",D730-E730-F730-I730-G730-H730,-L730)</f>
        <v/>
      </c>
      <c r="K730" s="141">
        <f>IF(B730="Retired",$N$237+G730+H730,0)</f>
        <v/>
      </c>
      <c r="L730" s="141">
        <f>M730+N730+O730+P730</f>
        <v/>
      </c>
      <c r="M730" s="141">
        <f>IF(B730="Retired",MIN(((Q729)*(1+$C$10)+IF(B730="Working",J730,0)),K730),0)</f>
        <v/>
      </c>
      <c r="N730" s="141">
        <f>IF(B730="Retired",MIN(MAX(K730-M730,0),((R729)*(1+$C$10)+IF(B730="Working",E113,0))),0)</f>
        <v/>
      </c>
      <c r="O730" s="141">
        <f>IF(B730="Retired",MIN(MAX(K730-M730-N730,0),((S729)*(1+$C$10)+IF(B730="Working",I730,0))),0)</f>
        <v/>
      </c>
      <c r="P730" s="141">
        <f>IF(B730="Retired",MIN(MAX(K730-M730-N730-O730,0),((T729)*(1+$C$10)+IF(B730="Working",F113,0))),0)</f>
        <v/>
      </c>
      <c r="Q730" s="138">
        <f>MAX(((Q729)*(1+$C$10)+IF(B730="Working",J730,0))-M730,0)</f>
        <v/>
      </c>
      <c r="R730" s="138">
        <f>MAX(((R729)*(1+$C$10)+IF(B730="Working",E113,0))-N730,0)</f>
        <v/>
      </c>
      <c r="S730" s="138">
        <f>MAX(((S729)*(1+$C$10)+IF(B730="Working",I730,0))-O730,0)</f>
        <v/>
      </c>
      <c r="T730" s="138">
        <f>MAX(((T729)*(1+$C$10)+IF(B730="Working",F113,0))-P730,0)</f>
        <v/>
      </c>
      <c r="U730" s="138">
        <f>Q730+R730+S730+T730</f>
        <v/>
      </c>
      <c r="V730" s="138">
        <f>IF(B730="Working",MAX(-(((Q729)*(1+$C$10)+IF(B730="Working",J730,0))),0),MAX(K730-L730,0))</f>
        <v/>
      </c>
      <c r="W730" s="138">
        <f>IF(OR(A730&gt;=$C$13,B730="Retired"),IF(V730&gt;0,-V730,U730-'Model Inputs'!$B$18),"")</f>
        <v/>
      </c>
      <c r="X730" s="138">
        <f>IF(AND($L$237&gt;0,A730&gt;=$C$13),$L$237*(1+$C$25)^(A730-$C$13),0)</f>
        <v/>
      </c>
      <c r="Y730" s="138">
        <f>IF(OR($L$237&lt;=0,$C$17&lt;=0,A730&lt;$C$13,MIN(MAX((A730-$C$13+1)*12,0),$C$17*12)&gt;=$C$17*12),0,IF($C$16=0,MAX(MAX($L$237*(1-$C$15),0)-(IF($C$17&lt;=0,0,IF($C$16=0,MAX($L$237*(1-$C$15),0)/$C$17,-PMT($C$16/12,$C$17*12,MAX($L$237*(1-$C$15),0))*12))/12)*MIN(MAX((A730-$C$13+1)*12,0),$C$17*12),0),MAX(MAX($L$237*(1-$C$15),0)*(1+$C$16/12)^MIN(MAX((A730-$C$13+1)*12,0),$C$17*12)-(IF($C$17&lt;=0,0,IF($C$16=0,MAX($L$237*(1-$C$15),0)/$C$17,-PMT($C$16/12,$C$17*12,MAX($L$237*(1-$C$15),0))*12))/12)*(((1+$C$16/12)^MIN(MAX((A730-$C$13+1)*12,0),$C$17*12)-1)/($C$16/12)),0)))</f>
        <v/>
      </c>
      <c r="Z730" s="138">
        <f>MAX(X730-Y730,0)</f>
        <v/>
      </c>
      <c r="AA730" s="142">
        <f>U730+Z730</f>
        <v/>
      </c>
      <c r="AB730" s="5" t="n"/>
      <c r="AC730" s="5" t="n"/>
      <c r="AD730" s="5" t="n"/>
      <c r="AE730" s="5" t="n"/>
      <c r="AF730" s="5" t="n"/>
      <c r="AG730" s="5" t="n"/>
    </row>
    <row r="731" outlineLevel="1" s="326">
      <c r="A731" s="136" t="n">
        <v>35</v>
      </c>
      <c r="B731" s="72">
        <f>B114</f>
        <v/>
      </c>
      <c r="C731" s="137">
        <f>D114</f>
        <v/>
      </c>
      <c r="D731" s="137">
        <f>I114</f>
        <v/>
      </c>
      <c r="E731" s="137">
        <f>J114</f>
        <v/>
      </c>
      <c r="F731" s="137">
        <f>K114</f>
        <v/>
      </c>
      <c r="G731" s="138">
        <f>IF(AND($L$237&gt;0,A731=$C$13),$L$237*($C$15+$C$18),0)+IF(AND($L$237&gt;0,A731=$C$13),$C$24,0)</f>
        <v/>
      </c>
      <c r="H731" s="138">
        <f>IF(OR($L$237&lt;=0,A731&lt;$C$13),0,IF(AND($L$237&gt;0,$C$17&gt;0,A731&gt;=$C$13,A731&lt;($C$13+$C$17)),IF($C$17&lt;=0,0,IF($C$16=0,MAX($L$237*(1-$C$15),0)/$C$17,-PMT($C$16/12,$C$17*12,MAX($L$237*(1-$C$15),0))*12)),0)+X731*($C$19+$C$20+$C$21)+$C$22+$C$23)</f>
        <v/>
      </c>
      <c r="I731" s="138">
        <f>IF(B731="Working",MIN(MAX(D731-E731-F731-G731-H731,0),'Tax Assumptions'!$B$20),0)</f>
        <v/>
      </c>
      <c r="J731" s="138">
        <f>IF(B731="Working",D731-E731-F731-I731-G731-H731,-L731)</f>
        <v/>
      </c>
      <c r="K731" s="137">
        <f>IF(B731="Retired",$N$237+G731+H731,0)</f>
        <v/>
      </c>
      <c r="L731" s="137">
        <f>M731+N731+O731+P731</f>
        <v/>
      </c>
      <c r="M731" s="137">
        <f>IF(B731="Retired",MIN(((Q730)*(1+$C$10)+IF(B731="Working",J731,0)),K731),0)</f>
        <v/>
      </c>
      <c r="N731" s="137">
        <f>IF(B731="Retired",MIN(MAX(K731-M731,0),((R730)*(1+$C$10)+IF(B731="Working",E114,0))),0)</f>
        <v/>
      </c>
      <c r="O731" s="137">
        <f>IF(B731="Retired",MIN(MAX(K731-M731-N731,0),((S730)*(1+$C$10)+IF(B731="Working",I731,0))),0)</f>
        <v/>
      </c>
      <c r="P731" s="137">
        <f>IF(B731="Retired",MIN(MAX(K731-M731-N731-O731,0),((T730)*(1+$C$10)+IF(B731="Working",F114,0))),0)</f>
        <v/>
      </c>
      <c r="Q731" s="138">
        <f>MAX(((Q730)*(1+$C$10)+IF(B731="Working",J731,0))-M731,0)</f>
        <v/>
      </c>
      <c r="R731" s="138">
        <f>MAX(((R730)*(1+$C$10)+IF(B731="Working",E114,0))-N731,0)</f>
        <v/>
      </c>
      <c r="S731" s="138">
        <f>MAX(((S730)*(1+$C$10)+IF(B731="Working",I731,0))-O731,0)</f>
        <v/>
      </c>
      <c r="T731" s="138">
        <f>MAX(((T730)*(1+$C$10)+IF(B731="Working",F114,0))-P731,0)</f>
        <v/>
      </c>
      <c r="U731" s="138">
        <f>Q731+R731+S731+T731</f>
        <v/>
      </c>
      <c r="V731" s="138">
        <f>IF(B731="Working",MAX(-(((Q730)*(1+$C$10)+IF(B731="Working",J731,0))),0),MAX(K731-L731,0))</f>
        <v/>
      </c>
      <c r="W731" s="138">
        <f>IF(OR(A731&gt;=$C$13,B731="Retired"),IF(V731&gt;0,-V731,U731-'Model Inputs'!$B$18),"")</f>
        <v/>
      </c>
      <c r="X731" s="138">
        <f>IF(AND($L$237&gt;0,A731&gt;=$C$13),$L$237*(1+$C$25)^(A731-$C$13),0)</f>
        <v/>
      </c>
      <c r="Y731" s="138">
        <f>IF(OR($L$237&lt;=0,$C$17&lt;=0,A731&lt;$C$13,MIN(MAX((A731-$C$13+1)*12,0),$C$17*12)&gt;=$C$17*12),0,IF($C$16=0,MAX(MAX($L$237*(1-$C$15),0)-(IF($C$17&lt;=0,0,IF($C$16=0,MAX($L$237*(1-$C$15),0)/$C$17,-PMT($C$16/12,$C$17*12,MAX($L$237*(1-$C$15),0))*12))/12)*MIN(MAX((A731-$C$13+1)*12,0),$C$17*12),0),MAX(MAX($L$237*(1-$C$15),0)*(1+$C$16/12)^MIN(MAX((A731-$C$13+1)*12,0),$C$17*12)-(IF($C$17&lt;=0,0,IF($C$16=0,MAX($L$237*(1-$C$15),0)/$C$17,-PMT($C$16/12,$C$17*12,MAX($L$237*(1-$C$15),0))*12))/12)*(((1+$C$16/12)^MIN(MAX((A731-$C$13+1)*12,0),$C$17*12)-1)/($C$16/12)),0)))</f>
        <v/>
      </c>
      <c r="Z731" s="138">
        <f>MAX(X731-Y731,0)</f>
        <v/>
      </c>
      <c r="AA731" s="139">
        <f>U731+Z731</f>
        <v/>
      </c>
      <c r="AB731" s="5" t="n"/>
      <c r="AC731" s="5" t="n"/>
      <c r="AD731" s="5" t="n"/>
      <c r="AE731" s="5" t="n"/>
      <c r="AF731" s="5" t="n"/>
      <c r="AG731" s="5" t="n"/>
    </row>
    <row r="732" outlineLevel="1" s="326">
      <c r="A732" s="140" t="n">
        <v>36</v>
      </c>
      <c r="B732" s="40">
        <f>B115</f>
        <v/>
      </c>
      <c r="C732" s="141">
        <f>D115</f>
        <v/>
      </c>
      <c r="D732" s="141">
        <f>I115</f>
        <v/>
      </c>
      <c r="E732" s="141">
        <f>J115</f>
        <v/>
      </c>
      <c r="F732" s="141">
        <f>K115</f>
        <v/>
      </c>
      <c r="G732" s="138">
        <f>IF(AND($L$237&gt;0,A732=$C$13),$L$237*($C$15+$C$18),0)+IF(AND($L$237&gt;0,A732=$C$13),$C$24,0)</f>
        <v/>
      </c>
      <c r="H732" s="138">
        <f>IF(OR($L$237&lt;=0,A732&lt;$C$13),0,IF(AND($L$237&gt;0,$C$17&gt;0,A732&gt;=$C$13,A732&lt;($C$13+$C$17)),IF($C$17&lt;=0,0,IF($C$16=0,MAX($L$237*(1-$C$15),0)/$C$17,-PMT($C$16/12,$C$17*12,MAX($L$237*(1-$C$15),0))*12)),0)+X732*($C$19+$C$20+$C$21)+$C$22+$C$23)</f>
        <v/>
      </c>
      <c r="I732" s="138">
        <f>IF(B732="Working",MIN(MAX(D732-E732-F732-G732-H732,0),'Tax Assumptions'!$B$20),0)</f>
        <v/>
      </c>
      <c r="J732" s="138">
        <f>IF(B732="Working",D732-E732-F732-I732-G732-H732,-L732)</f>
        <v/>
      </c>
      <c r="K732" s="141">
        <f>IF(B732="Retired",$N$237+G732+H732,0)</f>
        <v/>
      </c>
      <c r="L732" s="141">
        <f>M732+N732+O732+P732</f>
        <v/>
      </c>
      <c r="M732" s="141">
        <f>IF(B732="Retired",MIN(((Q731)*(1+$C$10)+IF(B732="Working",J732,0)),K732),0)</f>
        <v/>
      </c>
      <c r="N732" s="141">
        <f>IF(B732="Retired",MIN(MAX(K732-M732,0),((R731)*(1+$C$10)+IF(B732="Working",E115,0))),0)</f>
        <v/>
      </c>
      <c r="O732" s="141">
        <f>IF(B732="Retired",MIN(MAX(K732-M732-N732,0),((S731)*(1+$C$10)+IF(B732="Working",I732,0))),0)</f>
        <v/>
      </c>
      <c r="P732" s="141">
        <f>IF(B732="Retired",MIN(MAX(K732-M732-N732-O732,0),((T731)*(1+$C$10)+IF(B732="Working",F115,0))),0)</f>
        <v/>
      </c>
      <c r="Q732" s="138">
        <f>MAX(((Q731)*(1+$C$10)+IF(B732="Working",J732,0))-M732,0)</f>
        <v/>
      </c>
      <c r="R732" s="138">
        <f>MAX(((R731)*(1+$C$10)+IF(B732="Working",E115,0))-N732,0)</f>
        <v/>
      </c>
      <c r="S732" s="138">
        <f>MAX(((S731)*(1+$C$10)+IF(B732="Working",I732,0))-O732,0)</f>
        <v/>
      </c>
      <c r="T732" s="138">
        <f>MAX(((T731)*(1+$C$10)+IF(B732="Working",F115,0))-P732,0)</f>
        <v/>
      </c>
      <c r="U732" s="138">
        <f>Q732+R732+S732+T732</f>
        <v/>
      </c>
      <c r="V732" s="138">
        <f>IF(B732="Working",MAX(-(((Q731)*(1+$C$10)+IF(B732="Working",J732,0))),0),MAX(K732-L732,0))</f>
        <v/>
      </c>
      <c r="W732" s="138">
        <f>IF(OR(A732&gt;=$C$13,B732="Retired"),IF(V732&gt;0,-V732,U732-'Model Inputs'!$B$18),"")</f>
        <v/>
      </c>
      <c r="X732" s="138">
        <f>IF(AND($L$237&gt;0,A732&gt;=$C$13),$L$237*(1+$C$25)^(A732-$C$13),0)</f>
        <v/>
      </c>
      <c r="Y732" s="138">
        <f>IF(OR($L$237&lt;=0,$C$17&lt;=0,A732&lt;$C$13,MIN(MAX((A732-$C$13+1)*12,0),$C$17*12)&gt;=$C$17*12),0,IF($C$16=0,MAX(MAX($L$237*(1-$C$15),0)-(IF($C$17&lt;=0,0,IF($C$16=0,MAX($L$237*(1-$C$15),0)/$C$17,-PMT($C$16/12,$C$17*12,MAX($L$237*(1-$C$15),0))*12))/12)*MIN(MAX((A732-$C$13+1)*12,0),$C$17*12),0),MAX(MAX($L$237*(1-$C$15),0)*(1+$C$16/12)^MIN(MAX((A732-$C$13+1)*12,0),$C$17*12)-(IF($C$17&lt;=0,0,IF($C$16=0,MAX($L$237*(1-$C$15),0)/$C$17,-PMT($C$16/12,$C$17*12,MAX($L$237*(1-$C$15),0))*12))/12)*(((1+$C$16/12)^MIN(MAX((A732-$C$13+1)*12,0),$C$17*12)-1)/($C$16/12)),0)))</f>
        <v/>
      </c>
      <c r="Z732" s="138">
        <f>MAX(X732-Y732,0)</f>
        <v/>
      </c>
      <c r="AA732" s="142">
        <f>U732+Z732</f>
        <v/>
      </c>
      <c r="AB732" s="5" t="n"/>
      <c r="AC732" s="5" t="n"/>
      <c r="AD732" s="5" t="n"/>
      <c r="AE732" s="5" t="n"/>
      <c r="AF732" s="5" t="n"/>
      <c r="AG732" s="5" t="n"/>
    </row>
    <row r="733" outlineLevel="1" s="326">
      <c r="A733" s="136" t="n">
        <v>37</v>
      </c>
      <c r="B733" s="72">
        <f>B116</f>
        <v/>
      </c>
      <c r="C733" s="137">
        <f>D116</f>
        <v/>
      </c>
      <c r="D733" s="137">
        <f>I116</f>
        <v/>
      </c>
      <c r="E733" s="137">
        <f>J116</f>
        <v/>
      </c>
      <c r="F733" s="137">
        <f>K116</f>
        <v/>
      </c>
      <c r="G733" s="138">
        <f>IF(AND($L$237&gt;0,A733=$C$13),$L$237*($C$15+$C$18),0)+IF(AND($L$237&gt;0,A733=$C$13),$C$24,0)</f>
        <v/>
      </c>
      <c r="H733" s="138">
        <f>IF(OR($L$237&lt;=0,A733&lt;$C$13),0,IF(AND($L$237&gt;0,$C$17&gt;0,A733&gt;=$C$13,A733&lt;($C$13+$C$17)),IF($C$17&lt;=0,0,IF($C$16=0,MAX($L$237*(1-$C$15),0)/$C$17,-PMT($C$16/12,$C$17*12,MAX($L$237*(1-$C$15),0))*12)),0)+X733*($C$19+$C$20+$C$21)+$C$22+$C$23)</f>
        <v/>
      </c>
      <c r="I733" s="138">
        <f>IF(B733="Working",MIN(MAX(D733-E733-F733-G733-H733,0),'Tax Assumptions'!$B$20),0)</f>
        <v/>
      </c>
      <c r="J733" s="138">
        <f>IF(B733="Working",D733-E733-F733-I733-G733-H733,-L733)</f>
        <v/>
      </c>
      <c r="K733" s="137">
        <f>IF(B733="Retired",$N$237+G733+H733,0)</f>
        <v/>
      </c>
      <c r="L733" s="137">
        <f>M733+N733+O733+P733</f>
        <v/>
      </c>
      <c r="M733" s="137">
        <f>IF(B733="Retired",MIN(((Q732)*(1+$C$10)+IF(B733="Working",J733,0)),K733),0)</f>
        <v/>
      </c>
      <c r="N733" s="137">
        <f>IF(B733="Retired",MIN(MAX(K733-M733,0),((R732)*(1+$C$10)+IF(B733="Working",E116,0))),0)</f>
        <v/>
      </c>
      <c r="O733" s="137">
        <f>IF(B733="Retired",MIN(MAX(K733-M733-N733,0),((S732)*(1+$C$10)+IF(B733="Working",I733,0))),0)</f>
        <v/>
      </c>
      <c r="P733" s="137">
        <f>IF(B733="Retired",MIN(MAX(K733-M733-N733-O733,0),((T732)*(1+$C$10)+IF(B733="Working",F116,0))),0)</f>
        <v/>
      </c>
      <c r="Q733" s="138">
        <f>MAX(((Q732)*(1+$C$10)+IF(B733="Working",J733,0))-M733,0)</f>
        <v/>
      </c>
      <c r="R733" s="138">
        <f>MAX(((R732)*(1+$C$10)+IF(B733="Working",E116,0))-N733,0)</f>
        <v/>
      </c>
      <c r="S733" s="138">
        <f>MAX(((S732)*(1+$C$10)+IF(B733="Working",I733,0))-O733,0)</f>
        <v/>
      </c>
      <c r="T733" s="138">
        <f>MAX(((T732)*(1+$C$10)+IF(B733="Working",F116,0))-P733,0)</f>
        <v/>
      </c>
      <c r="U733" s="138">
        <f>Q733+R733+S733+T733</f>
        <v/>
      </c>
      <c r="V733" s="138">
        <f>IF(B733="Working",MAX(-(((Q732)*(1+$C$10)+IF(B733="Working",J733,0))),0),MAX(K733-L733,0))</f>
        <v/>
      </c>
      <c r="W733" s="138">
        <f>IF(OR(A733&gt;=$C$13,B733="Retired"),IF(V733&gt;0,-V733,U733-'Model Inputs'!$B$18),"")</f>
        <v/>
      </c>
      <c r="X733" s="138">
        <f>IF(AND($L$237&gt;0,A733&gt;=$C$13),$L$237*(1+$C$25)^(A733-$C$13),0)</f>
        <v/>
      </c>
      <c r="Y733" s="138">
        <f>IF(OR($L$237&lt;=0,$C$17&lt;=0,A733&lt;$C$13,MIN(MAX((A733-$C$13+1)*12,0),$C$17*12)&gt;=$C$17*12),0,IF($C$16=0,MAX(MAX($L$237*(1-$C$15),0)-(IF($C$17&lt;=0,0,IF($C$16=0,MAX($L$237*(1-$C$15),0)/$C$17,-PMT($C$16/12,$C$17*12,MAX($L$237*(1-$C$15),0))*12))/12)*MIN(MAX((A733-$C$13+1)*12,0),$C$17*12),0),MAX(MAX($L$237*(1-$C$15),0)*(1+$C$16/12)^MIN(MAX((A733-$C$13+1)*12,0),$C$17*12)-(IF($C$17&lt;=0,0,IF($C$16=0,MAX($L$237*(1-$C$15),0)/$C$17,-PMT($C$16/12,$C$17*12,MAX($L$237*(1-$C$15),0))*12))/12)*(((1+$C$16/12)^MIN(MAX((A733-$C$13+1)*12,0),$C$17*12)-1)/($C$16/12)),0)))</f>
        <v/>
      </c>
      <c r="Z733" s="138">
        <f>MAX(X733-Y733,0)</f>
        <v/>
      </c>
      <c r="AA733" s="139">
        <f>U733+Z733</f>
        <v/>
      </c>
      <c r="AB733" s="5" t="n"/>
      <c r="AC733" s="5" t="n"/>
      <c r="AD733" s="5" t="n"/>
      <c r="AE733" s="5" t="n"/>
      <c r="AF733" s="5" t="n"/>
      <c r="AG733" s="5" t="n"/>
    </row>
    <row r="734" outlineLevel="1" s="326">
      <c r="A734" s="140" t="n">
        <v>38</v>
      </c>
      <c r="B734" s="40">
        <f>B117</f>
        <v/>
      </c>
      <c r="C734" s="141">
        <f>D117</f>
        <v/>
      </c>
      <c r="D734" s="141">
        <f>I117</f>
        <v/>
      </c>
      <c r="E734" s="141">
        <f>J117</f>
        <v/>
      </c>
      <c r="F734" s="141">
        <f>K117</f>
        <v/>
      </c>
      <c r="G734" s="138">
        <f>IF(AND($L$237&gt;0,A734=$C$13),$L$237*($C$15+$C$18),0)+IF(AND($L$237&gt;0,A734=$C$13),$C$24,0)</f>
        <v/>
      </c>
      <c r="H734" s="138">
        <f>IF(OR($L$237&lt;=0,A734&lt;$C$13),0,IF(AND($L$237&gt;0,$C$17&gt;0,A734&gt;=$C$13,A734&lt;($C$13+$C$17)),IF($C$17&lt;=0,0,IF($C$16=0,MAX($L$237*(1-$C$15),0)/$C$17,-PMT($C$16/12,$C$17*12,MAX($L$237*(1-$C$15),0))*12)),0)+X734*($C$19+$C$20+$C$21)+$C$22+$C$23)</f>
        <v/>
      </c>
      <c r="I734" s="138">
        <f>IF(B734="Working",MIN(MAX(D734-E734-F734-G734-H734,0),'Tax Assumptions'!$B$20),0)</f>
        <v/>
      </c>
      <c r="J734" s="138">
        <f>IF(B734="Working",D734-E734-F734-I734-G734-H734,-L734)</f>
        <v/>
      </c>
      <c r="K734" s="141">
        <f>IF(B734="Retired",$N$237+G734+H734,0)</f>
        <v/>
      </c>
      <c r="L734" s="141">
        <f>M734+N734+O734+P734</f>
        <v/>
      </c>
      <c r="M734" s="141">
        <f>IF(B734="Retired",MIN(((Q733)*(1+$C$10)+IF(B734="Working",J734,0)),K734),0)</f>
        <v/>
      </c>
      <c r="N734" s="141">
        <f>IF(B734="Retired",MIN(MAX(K734-M734,0),((R733)*(1+$C$10)+IF(B734="Working",E117,0))),0)</f>
        <v/>
      </c>
      <c r="O734" s="141">
        <f>IF(B734="Retired",MIN(MAX(K734-M734-N734,0),((S733)*(1+$C$10)+IF(B734="Working",I734,0))),0)</f>
        <v/>
      </c>
      <c r="P734" s="141">
        <f>IF(B734="Retired",MIN(MAX(K734-M734-N734-O734,0),((T733)*(1+$C$10)+IF(B734="Working",F117,0))),0)</f>
        <v/>
      </c>
      <c r="Q734" s="138">
        <f>MAX(((Q733)*(1+$C$10)+IF(B734="Working",J734,0))-M734,0)</f>
        <v/>
      </c>
      <c r="R734" s="138">
        <f>MAX(((R733)*(1+$C$10)+IF(B734="Working",E117,0))-N734,0)</f>
        <v/>
      </c>
      <c r="S734" s="138">
        <f>MAX(((S733)*(1+$C$10)+IF(B734="Working",I734,0))-O734,0)</f>
        <v/>
      </c>
      <c r="T734" s="138">
        <f>MAX(((T733)*(1+$C$10)+IF(B734="Working",F117,0))-P734,0)</f>
        <v/>
      </c>
      <c r="U734" s="138">
        <f>Q734+R734+S734+T734</f>
        <v/>
      </c>
      <c r="V734" s="138">
        <f>IF(B734="Working",MAX(-(((Q733)*(1+$C$10)+IF(B734="Working",J734,0))),0),MAX(K734-L734,0))</f>
        <v/>
      </c>
      <c r="W734" s="138">
        <f>IF(OR(A734&gt;=$C$13,B734="Retired"),IF(V734&gt;0,-V734,U734-'Model Inputs'!$B$18),"")</f>
        <v/>
      </c>
      <c r="X734" s="138">
        <f>IF(AND($L$237&gt;0,A734&gt;=$C$13),$L$237*(1+$C$25)^(A734-$C$13),0)</f>
        <v/>
      </c>
      <c r="Y734" s="138">
        <f>IF(OR($L$237&lt;=0,$C$17&lt;=0,A734&lt;$C$13,MIN(MAX((A734-$C$13+1)*12,0),$C$17*12)&gt;=$C$17*12),0,IF($C$16=0,MAX(MAX($L$237*(1-$C$15),0)-(IF($C$17&lt;=0,0,IF($C$16=0,MAX($L$237*(1-$C$15),0)/$C$17,-PMT($C$16/12,$C$17*12,MAX($L$237*(1-$C$15),0))*12))/12)*MIN(MAX((A734-$C$13+1)*12,0),$C$17*12),0),MAX(MAX($L$237*(1-$C$15),0)*(1+$C$16/12)^MIN(MAX((A734-$C$13+1)*12,0),$C$17*12)-(IF($C$17&lt;=0,0,IF($C$16=0,MAX($L$237*(1-$C$15),0)/$C$17,-PMT($C$16/12,$C$17*12,MAX($L$237*(1-$C$15),0))*12))/12)*(((1+$C$16/12)^MIN(MAX((A734-$C$13+1)*12,0),$C$17*12)-1)/($C$16/12)),0)))</f>
        <v/>
      </c>
      <c r="Z734" s="138">
        <f>MAX(X734-Y734,0)</f>
        <v/>
      </c>
      <c r="AA734" s="142">
        <f>U734+Z734</f>
        <v/>
      </c>
      <c r="AB734" s="5" t="n"/>
      <c r="AC734" s="5" t="n"/>
      <c r="AD734" s="5" t="n"/>
      <c r="AE734" s="5" t="n"/>
      <c r="AF734" s="5" t="n"/>
      <c r="AG734" s="5" t="n"/>
    </row>
    <row r="735" outlineLevel="1" s="326">
      <c r="A735" s="136" t="n">
        <v>39</v>
      </c>
      <c r="B735" s="72">
        <f>B118</f>
        <v/>
      </c>
      <c r="C735" s="137">
        <f>D118</f>
        <v/>
      </c>
      <c r="D735" s="137">
        <f>I118</f>
        <v/>
      </c>
      <c r="E735" s="137">
        <f>J118</f>
        <v/>
      </c>
      <c r="F735" s="137">
        <f>K118</f>
        <v/>
      </c>
      <c r="G735" s="138">
        <f>IF(AND($L$237&gt;0,A735=$C$13),$L$237*($C$15+$C$18),0)+IF(AND($L$237&gt;0,A735=$C$13),$C$24,0)</f>
        <v/>
      </c>
      <c r="H735" s="138">
        <f>IF(OR($L$237&lt;=0,A735&lt;$C$13),0,IF(AND($L$237&gt;0,$C$17&gt;0,A735&gt;=$C$13,A735&lt;($C$13+$C$17)),IF($C$17&lt;=0,0,IF($C$16=0,MAX($L$237*(1-$C$15),0)/$C$17,-PMT($C$16/12,$C$17*12,MAX($L$237*(1-$C$15),0))*12)),0)+X735*($C$19+$C$20+$C$21)+$C$22+$C$23)</f>
        <v/>
      </c>
      <c r="I735" s="138">
        <f>IF(B735="Working",MIN(MAX(D735-E735-F735-G735-H735,0),'Tax Assumptions'!$B$20),0)</f>
        <v/>
      </c>
      <c r="J735" s="138">
        <f>IF(B735="Working",D735-E735-F735-I735-G735-H735,-L735)</f>
        <v/>
      </c>
      <c r="K735" s="137">
        <f>IF(B735="Retired",$N$237+G735+H735,0)</f>
        <v/>
      </c>
      <c r="L735" s="137">
        <f>M735+N735+O735+P735</f>
        <v/>
      </c>
      <c r="M735" s="137">
        <f>IF(B735="Retired",MIN(((Q734)*(1+$C$10)+IF(B735="Working",J735,0)),K735),0)</f>
        <v/>
      </c>
      <c r="N735" s="137">
        <f>IF(B735="Retired",MIN(MAX(K735-M735,0),((R734)*(1+$C$10)+IF(B735="Working",E118,0))),0)</f>
        <v/>
      </c>
      <c r="O735" s="137">
        <f>IF(B735="Retired",MIN(MAX(K735-M735-N735,0),((S734)*(1+$C$10)+IF(B735="Working",I735,0))),0)</f>
        <v/>
      </c>
      <c r="P735" s="137">
        <f>IF(B735="Retired",MIN(MAX(K735-M735-N735-O735,0),((T734)*(1+$C$10)+IF(B735="Working",F118,0))),0)</f>
        <v/>
      </c>
      <c r="Q735" s="138">
        <f>MAX(((Q734)*(1+$C$10)+IF(B735="Working",J735,0))-M735,0)</f>
        <v/>
      </c>
      <c r="R735" s="138">
        <f>MAX(((R734)*(1+$C$10)+IF(B735="Working",E118,0))-N735,0)</f>
        <v/>
      </c>
      <c r="S735" s="138">
        <f>MAX(((S734)*(1+$C$10)+IF(B735="Working",I735,0))-O735,0)</f>
        <v/>
      </c>
      <c r="T735" s="138">
        <f>MAX(((T734)*(1+$C$10)+IF(B735="Working",F118,0))-P735,0)</f>
        <v/>
      </c>
      <c r="U735" s="138">
        <f>Q735+R735+S735+T735</f>
        <v/>
      </c>
      <c r="V735" s="138">
        <f>IF(B735="Working",MAX(-(((Q734)*(1+$C$10)+IF(B735="Working",J735,0))),0),MAX(K735-L735,0))</f>
        <v/>
      </c>
      <c r="W735" s="138">
        <f>IF(OR(A735&gt;=$C$13,B735="Retired"),IF(V735&gt;0,-V735,U735-'Model Inputs'!$B$18),"")</f>
        <v/>
      </c>
      <c r="X735" s="138">
        <f>IF(AND($L$237&gt;0,A735&gt;=$C$13),$L$237*(1+$C$25)^(A735-$C$13),0)</f>
        <v/>
      </c>
      <c r="Y735" s="138">
        <f>IF(OR($L$237&lt;=0,$C$17&lt;=0,A735&lt;$C$13,MIN(MAX((A735-$C$13+1)*12,0),$C$17*12)&gt;=$C$17*12),0,IF($C$16=0,MAX(MAX($L$237*(1-$C$15),0)-(IF($C$17&lt;=0,0,IF($C$16=0,MAX($L$237*(1-$C$15),0)/$C$17,-PMT($C$16/12,$C$17*12,MAX($L$237*(1-$C$15),0))*12))/12)*MIN(MAX((A735-$C$13+1)*12,0),$C$17*12),0),MAX(MAX($L$237*(1-$C$15),0)*(1+$C$16/12)^MIN(MAX((A735-$C$13+1)*12,0),$C$17*12)-(IF($C$17&lt;=0,0,IF($C$16=0,MAX($L$237*(1-$C$15),0)/$C$17,-PMT($C$16/12,$C$17*12,MAX($L$237*(1-$C$15),0))*12))/12)*(((1+$C$16/12)^MIN(MAX((A735-$C$13+1)*12,0),$C$17*12)-1)/($C$16/12)),0)))</f>
        <v/>
      </c>
      <c r="Z735" s="138">
        <f>MAX(X735-Y735,0)</f>
        <v/>
      </c>
      <c r="AA735" s="139">
        <f>U735+Z735</f>
        <v/>
      </c>
      <c r="AB735" s="5" t="n"/>
      <c r="AC735" s="5" t="n"/>
      <c r="AD735" s="5" t="n"/>
      <c r="AE735" s="5" t="n"/>
      <c r="AF735" s="5" t="n"/>
      <c r="AG735" s="5" t="n"/>
    </row>
    <row r="736" outlineLevel="1" s="326">
      <c r="A736" s="140" t="n">
        <v>40</v>
      </c>
      <c r="B736" s="40">
        <f>B119</f>
        <v/>
      </c>
      <c r="C736" s="141">
        <f>D119</f>
        <v/>
      </c>
      <c r="D736" s="141">
        <f>I119</f>
        <v/>
      </c>
      <c r="E736" s="141">
        <f>J119</f>
        <v/>
      </c>
      <c r="F736" s="141">
        <f>K119</f>
        <v/>
      </c>
      <c r="G736" s="138">
        <f>IF(AND($L$237&gt;0,A736=$C$13),$L$237*($C$15+$C$18),0)+IF(AND($L$237&gt;0,A736=$C$13),$C$24,0)</f>
        <v/>
      </c>
      <c r="H736" s="138">
        <f>IF(OR($L$237&lt;=0,A736&lt;$C$13),0,IF(AND($L$237&gt;0,$C$17&gt;0,A736&gt;=$C$13,A736&lt;($C$13+$C$17)),IF($C$17&lt;=0,0,IF($C$16=0,MAX($L$237*(1-$C$15),0)/$C$17,-PMT($C$16/12,$C$17*12,MAX($L$237*(1-$C$15),0))*12)),0)+X736*($C$19+$C$20+$C$21)+$C$22+$C$23)</f>
        <v/>
      </c>
      <c r="I736" s="138">
        <f>IF(B736="Working",MIN(MAX(D736-E736-F736-G736-H736,0),'Tax Assumptions'!$B$20),0)</f>
        <v/>
      </c>
      <c r="J736" s="138">
        <f>IF(B736="Working",D736-E736-F736-I736-G736-H736,-L736)</f>
        <v/>
      </c>
      <c r="K736" s="141">
        <f>IF(B736="Retired",$N$237+G736+H736,0)</f>
        <v/>
      </c>
      <c r="L736" s="141">
        <f>M736+N736+O736+P736</f>
        <v/>
      </c>
      <c r="M736" s="141">
        <f>IF(B736="Retired",MIN(((Q735)*(1+$C$10)+IF(B736="Working",J736,0)),K736),0)</f>
        <v/>
      </c>
      <c r="N736" s="141">
        <f>IF(B736="Retired",MIN(MAX(K736-M736,0),((R735)*(1+$C$10)+IF(B736="Working",E119,0))),0)</f>
        <v/>
      </c>
      <c r="O736" s="141">
        <f>IF(B736="Retired",MIN(MAX(K736-M736-N736,0),((S735)*(1+$C$10)+IF(B736="Working",I736,0))),0)</f>
        <v/>
      </c>
      <c r="P736" s="141">
        <f>IF(B736="Retired",MIN(MAX(K736-M736-N736-O736,0),((T735)*(1+$C$10)+IF(B736="Working",F119,0))),0)</f>
        <v/>
      </c>
      <c r="Q736" s="138">
        <f>MAX(((Q735)*(1+$C$10)+IF(B736="Working",J736,0))-M736,0)</f>
        <v/>
      </c>
      <c r="R736" s="138">
        <f>MAX(((R735)*(1+$C$10)+IF(B736="Working",E119,0))-N736,0)</f>
        <v/>
      </c>
      <c r="S736" s="138">
        <f>MAX(((S735)*(1+$C$10)+IF(B736="Working",I736,0))-O736,0)</f>
        <v/>
      </c>
      <c r="T736" s="138">
        <f>MAX(((T735)*(1+$C$10)+IF(B736="Working",F119,0))-P736,0)</f>
        <v/>
      </c>
      <c r="U736" s="138">
        <f>Q736+R736+S736+T736</f>
        <v/>
      </c>
      <c r="V736" s="138">
        <f>IF(B736="Working",MAX(-(((Q735)*(1+$C$10)+IF(B736="Working",J736,0))),0),MAX(K736-L736,0))</f>
        <v/>
      </c>
      <c r="W736" s="138">
        <f>IF(OR(A736&gt;=$C$13,B736="Retired"),IF(V736&gt;0,-V736,U736-'Model Inputs'!$B$18),"")</f>
        <v/>
      </c>
      <c r="X736" s="138">
        <f>IF(AND($L$237&gt;0,A736&gt;=$C$13),$L$237*(1+$C$25)^(A736-$C$13),0)</f>
        <v/>
      </c>
      <c r="Y736" s="138">
        <f>IF(OR($L$237&lt;=0,$C$17&lt;=0,A736&lt;$C$13,MIN(MAX((A736-$C$13+1)*12,0),$C$17*12)&gt;=$C$17*12),0,IF($C$16=0,MAX(MAX($L$237*(1-$C$15),0)-(IF($C$17&lt;=0,0,IF($C$16=0,MAX($L$237*(1-$C$15),0)/$C$17,-PMT($C$16/12,$C$17*12,MAX($L$237*(1-$C$15),0))*12))/12)*MIN(MAX((A736-$C$13+1)*12,0),$C$17*12),0),MAX(MAX($L$237*(1-$C$15),0)*(1+$C$16/12)^MIN(MAX((A736-$C$13+1)*12,0),$C$17*12)-(IF($C$17&lt;=0,0,IF($C$16=0,MAX($L$237*(1-$C$15),0)/$C$17,-PMT($C$16/12,$C$17*12,MAX($L$237*(1-$C$15),0))*12))/12)*(((1+$C$16/12)^MIN(MAX((A736-$C$13+1)*12,0),$C$17*12)-1)/($C$16/12)),0)))</f>
        <v/>
      </c>
      <c r="Z736" s="138">
        <f>MAX(X736-Y736,0)</f>
        <v/>
      </c>
      <c r="AA736" s="142">
        <f>U736+Z736</f>
        <v/>
      </c>
      <c r="AB736" s="5" t="n"/>
      <c r="AC736" s="5" t="n"/>
      <c r="AD736" s="5" t="n"/>
      <c r="AE736" s="5" t="n"/>
      <c r="AF736" s="5" t="n"/>
      <c r="AG736" s="5" t="n"/>
    </row>
    <row r="737" outlineLevel="1" s="326">
      <c r="A737" s="143" t="inlineStr">
        <is>
          <t>Case Summary</t>
        </is>
      </c>
      <c r="B737" s="144" t="n"/>
      <c r="C737" s="144" t="n"/>
      <c r="D737" s="144" t="n"/>
      <c r="E737" s="144" t="n"/>
      <c r="F737" s="144" t="n"/>
      <c r="G737" s="145">
        <f>SUM(G697:G736)</f>
        <v/>
      </c>
      <c r="H737" s="145">
        <f>SUM(H697:H736)</f>
        <v/>
      </c>
      <c r="I737" s="145">
        <f>SUM(I697:I736)</f>
        <v/>
      </c>
      <c r="J737" s="145">
        <f>SUM(J697:J736)</f>
        <v/>
      </c>
      <c r="K737" s="145">
        <f>SUM(K697:K736)</f>
        <v/>
      </c>
      <c r="L737" s="145">
        <f>SUM(L697:L736)</f>
        <v/>
      </c>
      <c r="M737" s="145">
        <f>SUM(M697:M736)</f>
        <v/>
      </c>
      <c r="N737" s="145">
        <f>SUM(N697:N736)</f>
        <v/>
      </c>
      <c r="O737" s="145">
        <f>SUM(O697:O736)</f>
        <v/>
      </c>
      <c r="P737" s="145">
        <f>SUM(P697:P736)</f>
        <v/>
      </c>
      <c r="Q737" s="145">
        <f>Q736</f>
        <v/>
      </c>
      <c r="R737" s="145">
        <f>R736</f>
        <v/>
      </c>
      <c r="S737" s="145">
        <f>S736</f>
        <v/>
      </c>
      <c r="T737" s="145">
        <f>T736</f>
        <v/>
      </c>
      <c r="U737" s="145">
        <f>U736</f>
        <v/>
      </c>
      <c r="V737" s="145">
        <f>SUM(V697:V736)</f>
        <v/>
      </c>
      <c r="W737" s="145">
        <f>MIN(W697:W736)</f>
        <v/>
      </c>
      <c r="X737" s="145">
        <f>X736</f>
        <v/>
      </c>
      <c r="Y737" s="145">
        <f>Y736</f>
        <v/>
      </c>
      <c r="Z737" s="145">
        <f>Z736</f>
        <v/>
      </c>
      <c r="AA737" s="146">
        <f>AA736</f>
        <v/>
      </c>
      <c r="AB737" s="5" t="n"/>
      <c r="AC737" s="5" t="n"/>
      <c r="AD737" s="5" t="n"/>
      <c r="AE737" s="5" t="n"/>
      <c r="AF737" s="5" t="n"/>
      <c r="AG737" s="5" t="n"/>
    </row>
    <row r="738" outlineLevel="1" s="326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</row>
    <row r="739" outlineLevel="1" s="326">
      <c r="A739" s="387">
        <f>J238&amp;" | House "&amp;TEXT($L$238,"$#,##0")&amp;" | Spend "&amp;TEXT($N$238,"$#,##0")</f>
        <v/>
      </c>
      <c r="B739" s="345" t="n"/>
      <c r="C739" s="345" t="n"/>
      <c r="D739" s="345" t="n"/>
      <c r="E739" s="345" t="n"/>
      <c r="F739" s="345" t="n"/>
      <c r="G739" s="345" t="n"/>
      <c r="H739" s="345" t="n"/>
      <c r="I739" s="345" t="n"/>
      <c r="J739" s="345" t="n"/>
      <c r="K739" s="345" t="n"/>
      <c r="L739" s="345" t="n"/>
      <c r="M739" s="345" t="n"/>
      <c r="N739" s="345" t="n"/>
      <c r="O739" s="345" t="n"/>
      <c r="P739" s="345" t="n"/>
      <c r="Q739" s="345" t="n"/>
      <c r="R739" s="345" t="n"/>
      <c r="S739" s="345" t="n"/>
      <c r="T739" s="345" t="n"/>
      <c r="U739" s="345" t="n"/>
      <c r="V739" s="345" t="n"/>
      <c r="W739" s="345" t="n"/>
      <c r="X739" s="345" t="n"/>
      <c r="Y739" s="345" t="n"/>
      <c r="Z739" s="345" t="n"/>
      <c r="AA739" s="346" t="n"/>
      <c r="AB739" s="5" t="n"/>
      <c r="AC739" s="5" t="n"/>
      <c r="AD739" s="5" t="n"/>
      <c r="AE739" s="5" t="n"/>
      <c r="AF739" s="5" t="n"/>
      <c r="AG739" s="5" t="n"/>
    </row>
    <row r="740" outlineLevel="1" ht="34" customHeight="1" s="326">
      <c r="A740" s="134" t="inlineStr">
        <is>
          <t>Year</t>
        </is>
      </c>
      <c r="B740" s="83" t="inlineStr">
        <is>
          <t>Phase</t>
        </is>
      </c>
      <c r="C740" s="83" t="inlineStr">
        <is>
          <t>Gross</t>
        </is>
      </c>
      <c r="D740" s="83" t="inlineStr">
        <is>
          <t>Post-Tax Cash</t>
        </is>
      </c>
      <c r="E740" s="83" t="inlineStr">
        <is>
          <t>Rent</t>
        </is>
      </c>
      <c r="F740" s="83" t="inlineStr">
        <is>
          <t>Living</t>
        </is>
      </c>
      <c r="G740" s="83" t="inlineStr">
        <is>
          <t>House Cash</t>
        </is>
      </c>
      <c r="H740" s="83" t="inlineStr">
        <is>
          <t>Housing Carry</t>
        </is>
      </c>
      <c r="I740" s="83" t="inlineStr">
        <is>
          <t>Roth</t>
        </is>
      </c>
      <c r="J740" s="83" t="inlineStr">
        <is>
          <t>Taxable Sav / (Draw)</t>
        </is>
      </c>
      <c r="K740" s="83" t="inlineStr">
        <is>
          <t>Planned Need</t>
        </is>
      </c>
      <c r="L740" s="83" t="inlineStr">
        <is>
          <t>Actual W/D</t>
        </is>
      </c>
      <c r="M740" s="83" t="inlineStr">
        <is>
          <t>Taxable Draw</t>
        </is>
      </c>
      <c r="N740" s="83" t="inlineStr">
        <is>
          <t>401(k) Draw</t>
        </is>
      </c>
      <c r="O740" s="83" t="inlineStr">
        <is>
          <t>Roth Draw</t>
        </is>
      </c>
      <c r="P740" s="83" t="inlineStr">
        <is>
          <t>HSA Draw</t>
        </is>
      </c>
      <c r="Q740" s="83" t="inlineStr">
        <is>
          <t>Taxable Bal</t>
        </is>
      </c>
      <c r="R740" s="83" t="inlineStr">
        <is>
          <t>401(k) Bal</t>
        </is>
      </c>
      <c r="S740" s="83" t="inlineStr">
        <is>
          <t>Roth Bal</t>
        </is>
      </c>
      <c r="T740" s="83" t="inlineStr">
        <is>
          <t>HSA Bal</t>
        </is>
      </c>
      <c r="U740" s="83" t="inlineStr">
        <is>
          <t>Liquid Wealth</t>
        </is>
      </c>
      <c r="V740" s="83" t="inlineStr">
        <is>
          <t>Funding Gap</t>
        </is>
      </c>
      <c r="W740" s="83" t="inlineStr">
        <is>
          <t>Margin vs Reserve</t>
        </is>
      </c>
      <c r="X740" s="83" t="inlineStr">
        <is>
          <t>House Value</t>
        </is>
      </c>
      <c r="Y740" s="83" t="inlineStr">
        <is>
          <t>Mortgage Balance</t>
        </is>
      </c>
      <c r="Z740" s="83" t="inlineStr">
        <is>
          <t>Home Equity</t>
        </is>
      </c>
      <c r="AA740" s="135" t="inlineStr">
        <is>
          <t>Net Worth</t>
        </is>
      </c>
      <c r="AB740" s="5" t="n"/>
      <c r="AC740" s="5" t="n"/>
      <c r="AD740" s="5" t="n"/>
      <c r="AE740" s="5" t="n"/>
      <c r="AF740" s="5" t="n"/>
      <c r="AG740" s="5" t="n"/>
    </row>
    <row r="741" outlineLevel="1" s="326">
      <c r="A741" s="136" t="n">
        <v>1</v>
      </c>
      <c r="B741" s="72">
        <f>B80</f>
        <v/>
      </c>
      <c r="C741" s="137">
        <f>D80</f>
        <v/>
      </c>
      <c r="D741" s="137">
        <f>I80</f>
        <v/>
      </c>
      <c r="E741" s="137">
        <f>J80</f>
        <v/>
      </c>
      <c r="F741" s="137">
        <f>K80</f>
        <v/>
      </c>
      <c r="G741" s="138">
        <f>IF(AND($L$238&gt;0,A741=$C$13),$L$238*($C$15+$C$18),0)+IF(AND($L$238&gt;0,A741=$C$13),$C$24,0)</f>
        <v/>
      </c>
      <c r="H741" s="138">
        <f>IF(OR($L$238&lt;=0,A741&lt;$C$13),0,IF(AND($L$238&gt;0,$C$17&gt;0,A741&gt;=$C$13,A741&lt;($C$13+$C$17)),IF($C$17&lt;=0,0,IF($C$16=0,MAX($L$238*(1-$C$15),0)/$C$17,-PMT($C$16/12,$C$17*12,MAX($L$238*(1-$C$15),0))*12)),0)+X741*($C$19+$C$20+$C$21)+$C$22+$C$23)</f>
        <v/>
      </c>
      <c r="I741" s="138">
        <f>IF(B741="Working",MIN(MAX(D741-E741-F741-G741-H741,0),'Tax Assumptions'!$B$20),0)</f>
        <v/>
      </c>
      <c r="J741" s="138">
        <f>IF(B741="Working",D741-E741-F741-I741-G741-H741,-L741)</f>
        <v/>
      </c>
      <c r="K741" s="137">
        <f>IF(B741="Retired",$N$238+G741+H741,0)</f>
        <v/>
      </c>
      <c r="L741" s="137">
        <f>M741+N741+O741+P741</f>
        <v/>
      </c>
      <c r="M741" s="137">
        <f>IF(B741="Retired",MIN((('Savings Projection'!$B$7)*(1+$C$10)+IF(B741="Working",J741,0)),K741),0)</f>
        <v/>
      </c>
      <c r="N741" s="137">
        <f>IF(B741="Retired",MIN(MAX(K741-M741,0),(('Savings Projection'!$B$8)*(1+$C$10)+IF(B741="Working",E80,0))),0)</f>
        <v/>
      </c>
      <c r="O741" s="137">
        <f>IF(B741="Retired",MIN(MAX(K741-M741-N741,0),(('Savings Projection'!$B$9)*(1+$C$10)+IF(B741="Working",I741,0))),0)</f>
        <v/>
      </c>
      <c r="P741" s="137">
        <f>IF(B741="Retired",MIN(MAX(K741-M741-N741-O741,0),(('Savings Projection'!$B$10)*(1+$C$10)+IF(B741="Working",F80,0))),0)</f>
        <v/>
      </c>
      <c r="Q741" s="138">
        <f>MAX((('Savings Projection'!$B$7)*(1+$C$10)+IF(B741="Working",J741,0))-M741,0)</f>
        <v/>
      </c>
      <c r="R741" s="138">
        <f>MAX((('Savings Projection'!$B$8)*(1+$C$10)+IF(B741="Working",E80,0))-N741,0)</f>
        <v/>
      </c>
      <c r="S741" s="138">
        <f>MAX((('Savings Projection'!$B$9)*(1+$C$10)+IF(B741="Working",I741,0))-O741,0)</f>
        <v/>
      </c>
      <c r="T741" s="138">
        <f>MAX((('Savings Projection'!$B$10)*(1+$C$10)+IF(B741="Working",F80,0))-P741,0)</f>
        <v/>
      </c>
      <c r="U741" s="138">
        <f>Q741+R741+S741+T741</f>
        <v/>
      </c>
      <c r="V741" s="138">
        <f>IF(B741="Working",MAX(-((('Savings Projection'!$B$7)*(1+$C$10)+IF(B741="Working",J741,0))),0),MAX(K741-L741,0))</f>
        <v/>
      </c>
      <c r="W741" s="138">
        <f>IF(OR(A741&gt;=$C$13,B741="Retired"),IF(V741&gt;0,-V741,U741-'Model Inputs'!$B$18),"")</f>
        <v/>
      </c>
      <c r="X741" s="138">
        <f>IF(AND($L$238&gt;0,A741&gt;=$C$13),$L$238*(1+$C$25)^(A741-$C$13),0)</f>
        <v/>
      </c>
      <c r="Y741" s="138">
        <f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/>
      </c>
      <c r="Z741" s="138">
        <f>MAX(X741-Y741,0)</f>
        <v/>
      </c>
      <c r="AA741" s="139">
        <f>U741+Z741</f>
        <v/>
      </c>
      <c r="AB741" s="5" t="n"/>
      <c r="AC741" s="5" t="n"/>
      <c r="AD741" s="5" t="n"/>
      <c r="AE741" s="5" t="n"/>
      <c r="AF741" s="5" t="n"/>
      <c r="AG741" s="5" t="n"/>
    </row>
    <row r="742" outlineLevel="1" s="326">
      <c r="A742" s="140" t="n">
        <v>2</v>
      </c>
      <c r="B742" s="40">
        <f>B81</f>
        <v/>
      </c>
      <c r="C742" s="141">
        <f>D81</f>
        <v/>
      </c>
      <c r="D742" s="141">
        <f>I81</f>
        <v/>
      </c>
      <c r="E742" s="141">
        <f>J81</f>
        <v/>
      </c>
      <c r="F742" s="141">
        <f>K81</f>
        <v/>
      </c>
      <c r="G742" s="138">
        <f>IF(AND($L$238&gt;0,A742=$C$13),$L$238*($C$15+$C$18),0)+IF(AND($L$238&gt;0,A742=$C$13),$C$24,0)</f>
        <v/>
      </c>
      <c r="H742" s="138">
        <f>IF(OR($L$238&lt;=0,A742&lt;$C$13),0,IF(AND($L$238&gt;0,$C$17&gt;0,A742&gt;=$C$13,A742&lt;($C$13+$C$17)),IF($C$17&lt;=0,0,IF($C$16=0,MAX($L$238*(1-$C$15),0)/$C$17,-PMT($C$16/12,$C$17*12,MAX($L$238*(1-$C$15),0))*12)),0)+X742*($C$19+$C$20+$C$21)+$C$22+$C$23)</f>
        <v/>
      </c>
      <c r="I742" s="138">
        <f>IF(B742="Working",MIN(MAX(D742-E742-F742-G742-H742,0),'Tax Assumptions'!$B$20),0)</f>
        <v/>
      </c>
      <c r="J742" s="138">
        <f>IF(B742="Working",D742-E742-F742-I742-G742-H742,-L742)</f>
        <v/>
      </c>
      <c r="K742" s="141">
        <f>IF(B742="Retired",$N$238+G742+H742,0)</f>
        <v/>
      </c>
      <c r="L742" s="141">
        <f>M742+N742+O742+P742</f>
        <v/>
      </c>
      <c r="M742" s="141">
        <f>IF(B742="Retired",MIN(((Q741)*(1+$C$10)+IF(B742="Working",J742,0)),K742),0)</f>
        <v/>
      </c>
      <c r="N742" s="141">
        <f>IF(B742="Retired",MIN(MAX(K742-M742,0),((R741)*(1+$C$10)+IF(B742="Working",E81,0))),0)</f>
        <v/>
      </c>
      <c r="O742" s="141">
        <f>IF(B742="Retired",MIN(MAX(K742-M742-N742,0),((S741)*(1+$C$10)+IF(B742="Working",I742,0))),0)</f>
        <v/>
      </c>
      <c r="P742" s="141">
        <f>IF(B742="Retired",MIN(MAX(K742-M742-N742-O742,0),((T741)*(1+$C$10)+IF(B742="Working",F81,0))),0)</f>
        <v/>
      </c>
      <c r="Q742" s="138">
        <f>MAX(((Q741)*(1+$C$10)+IF(B742="Working",J742,0))-M742,0)</f>
        <v/>
      </c>
      <c r="R742" s="138">
        <f>MAX(((R741)*(1+$C$10)+IF(B742="Working",E81,0))-N742,0)</f>
        <v/>
      </c>
      <c r="S742" s="138">
        <f>MAX(((S741)*(1+$C$10)+IF(B742="Working",I742,0))-O742,0)</f>
        <v/>
      </c>
      <c r="T742" s="138">
        <f>MAX(((T741)*(1+$C$10)+IF(B742="Working",F81,0))-P742,0)</f>
        <v/>
      </c>
      <c r="U742" s="138">
        <f>Q742+R742+S742+T742</f>
        <v/>
      </c>
      <c r="V742" s="138">
        <f>IF(B742="Working",MAX(-(((Q741)*(1+$C$10)+IF(B742="Working",J742,0))),0),MAX(K742-L742,0))</f>
        <v/>
      </c>
      <c r="W742" s="138">
        <f>IF(OR(A742&gt;=$C$13,B742="Retired"),IF(V742&gt;0,-V742,U742-'Model Inputs'!$B$18),"")</f>
        <v/>
      </c>
      <c r="X742" s="138">
        <f>IF(AND($L$238&gt;0,A742&gt;=$C$13),$L$238*(1+$C$25)^(A742-$C$13),0)</f>
        <v/>
      </c>
      <c r="Y742" s="138">
        <f>IF(OR($L$238&lt;=0,$C$17&lt;=0,A742&lt;$C$13,MIN(MAX((A742-$C$13+1)*12,0),$C$17*12)&gt;=$C$17*12),0,IF($C$16=0,MAX(MAX($L$238*(1-$C$15),0)-(IF($C$17&lt;=0,0,IF($C$16=0,MAX($L$238*(1-$C$15),0)/$C$17,-PMT($C$16/12,$C$17*12,MAX($L$238*(1-$C$15),0))*12))/12)*MIN(MAX((A742-$C$13+1)*12,0),$C$17*12),0),MAX(MAX($L$238*(1-$C$15),0)*(1+$C$16/12)^MIN(MAX((A742-$C$13+1)*12,0),$C$17*12)-(IF($C$17&lt;=0,0,IF($C$16=0,MAX($L$238*(1-$C$15),0)/$C$17,-PMT($C$16/12,$C$17*12,MAX($L$238*(1-$C$15),0))*12))/12)*(((1+$C$16/12)^MIN(MAX((A742-$C$13+1)*12,0),$C$17*12)-1)/($C$16/12)),0)))</f>
        <v/>
      </c>
      <c r="Z742" s="138">
        <f>MAX(X742-Y742,0)</f>
        <v/>
      </c>
      <c r="AA742" s="142">
        <f>U742+Z742</f>
        <v/>
      </c>
      <c r="AB742" s="5" t="n"/>
      <c r="AC742" s="5" t="n"/>
      <c r="AD742" s="5" t="n"/>
      <c r="AE742" s="5" t="n"/>
      <c r="AF742" s="5" t="n"/>
      <c r="AG742" s="5" t="n"/>
    </row>
    <row r="743" outlineLevel="1" s="326">
      <c r="A743" s="136" t="n">
        <v>3</v>
      </c>
      <c r="B743" s="72">
        <f>B82</f>
        <v/>
      </c>
      <c r="C743" s="137">
        <f>D82</f>
        <v/>
      </c>
      <c r="D743" s="137">
        <f>I82</f>
        <v/>
      </c>
      <c r="E743" s="137">
        <f>J82</f>
        <v/>
      </c>
      <c r="F743" s="137">
        <f>K82</f>
        <v/>
      </c>
      <c r="G743" s="138">
        <f>IF(AND($L$238&gt;0,A743=$C$13),$L$238*($C$15+$C$18),0)+IF(AND($L$238&gt;0,A743=$C$13),$C$24,0)</f>
        <v/>
      </c>
      <c r="H743" s="138">
        <f>IF(OR($L$238&lt;=0,A743&lt;$C$13),0,IF(AND($L$238&gt;0,$C$17&gt;0,A743&gt;=$C$13,A743&lt;($C$13+$C$17)),IF($C$17&lt;=0,0,IF($C$16=0,MAX($L$238*(1-$C$15),0)/$C$17,-PMT($C$16/12,$C$17*12,MAX($L$238*(1-$C$15),0))*12)),0)+X743*($C$19+$C$20+$C$21)+$C$22+$C$23)</f>
        <v/>
      </c>
      <c r="I743" s="138">
        <f>IF(B743="Working",MIN(MAX(D743-E743-F743-G743-H743,0),'Tax Assumptions'!$B$20),0)</f>
        <v/>
      </c>
      <c r="J743" s="138">
        <f>IF(B743="Working",D743-E743-F743-I743-G743-H743,-L743)</f>
        <v/>
      </c>
      <c r="K743" s="137">
        <f>IF(B743="Retired",$N$238+G743+H743,0)</f>
        <v/>
      </c>
      <c r="L743" s="137">
        <f>M743+N743+O743+P743</f>
        <v/>
      </c>
      <c r="M743" s="137">
        <f>IF(B743="Retired",MIN(((Q742)*(1+$C$10)+IF(B743="Working",J743,0)),K743),0)</f>
        <v/>
      </c>
      <c r="N743" s="137">
        <f>IF(B743="Retired",MIN(MAX(K743-M743,0),((R742)*(1+$C$10)+IF(B743="Working",E82,0))),0)</f>
        <v/>
      </c>
      <c r="O743" s="137">
        <f>IF(B743="Retired",MIN(MAX(K743-M743-N743,0),((S742)*(1+$C$10)+IF(B743="Working",I743,0))),0)</f>
        <v/>
      </c>
      <c r="P743" s="137">
        <f>IF(B743="Retired",MIN(MAX(K743-M743-N743-O743,0),((T742)*(1+$C$10)+IF(B743="Working",F82,0))),0)</f>
        <v/>
      </c>
      <c r="Q743" s="138">
        <f>MAX(((Q742)*(1+$C$10)+IF(B743="Working",J743,0))-M743,0)</f>
        <v/>
      </c>
      <c r="R743" s="138">
        <f>MAX(((R742)*(1+$C$10)+IF(B743="Working",E82,0))-N743,0)</f>
        <v/>
      </c>
      <c r="S743" s="138">
        <f>MAX(((S742)*(1+$C$10)+IF(B743="Working",I743,0))-O743,0)</f>
        <v/>
      </c>
      <c r="T743" s="138">
        <f>MAX(((T742)*(1+$C$10)+IF(B743="Working",F82,0))-P743,0)</f>
        <v/>
      </c>
      <c r="U743" s="138">
        <f>Q743+R743+S743+T743</f>
        <v/>
      </c>
      <c r="V743" s="138">
        <f>IF(B743="Working",MAX(-(((Q742)*(1+$C$10)+IF(B743="Working",J743,0))),0),MAX(K743-L743,0))</f>
        <v/>
      </c>
      <c r="W743" s="138">
        <f>IF(OR(A743&gt;=$C$13,B743="Retired"),IF(V743&gt;0,-V743,U743-'Model Inputs'!$B$18),"")</f>
        <v/>
      </c>
      <c r="X743" s="138">
        <f>IF(AND($L$238&gt;0,A743&gt;=$C$13),$L$238*(1+$C$25)^(A743-$C$13),0)</f>
        <v/>
      </c>
      <c r="Y743" s="138">
        <f>IF(OR($L$238&lt;=0,$C$17&lt;=0,A743&lt;$C$13,MIN(MAX((A743-$C$13+1)*12,0),$C$17*12)&gt;=$C$17*12),0,IF($C$16=0,MAX(MAX($L$238*(1-$C$15),0)-(IF($C$17&lt;=0,0,IF($C$16=0,MAX($L$238*(1-$C$15),0)/$C$17,-PMT($C$16/12,$C$17*12,MAX($L$238*(1-$C$15),0))*12))/12)*MIN(MAX((A743-$C$13+1)*12,0),$C$17*12),0),MAX(MAX($L$238*(1-$C$15),0)*(1+$C$16/12)^MIN(MAX((A743-$C$13+1)*12,0),$C$17*12)-(IF($C$17&lt;=0,0,IF($C$16=0,MAX($L$238*(1-$C$15),0)/$C$17,-PMT($C$16/12,$C$17*12,MAX($L$238*(1-$C$15),0))*12))/12)*(((1+$C$16/12)^MIN(MAX((A743-$C$13+1)*12,0),$C$17*12)-1)/($C$16/12)),0)))</f>
        <v/>
      </c>
      <c r="Z743" s="138">
        <f>MAX(X743-Y743,0)</f>
        <v/>
      </c>
      <c r="AA743" s="139">
        <f>U743+Z743</f>
        <v/>
      </c>
      <c r="AB743" s="5" t="n"/>
      <c r="AC743" s="5" t="n"/>
      <c r="AD743" s="5" t="n"/>
      <c r="AE743" s="5" t="n"/>
      <c r="AF743" s="5" t="n"/>
      <c r="AG743" s="5" t="n"/>
    </row>
    <row r="744" outlineLevel="1" s="326">
      <c r="A744" s="140" t="n">
        <v>4</v>
      </c>
      <c r="B744" s="40">
        <f>B83</f>
        <v/>
      </c>
      <c r="C744" s="141">
        <f>D83</f>
        <v/>
      </c>
      <c r="D744" s="141">
        <f>I83</f>
        <v/>
      </c>
      <c r="E744" s="141">
        <f>J83</f>
        <v/>
      </c>
      <c r="F744" s="141">
        <f>K83</f>
        <v/>
      </c>
      <c r="G744" s="138">
        <f>IF(AND($L$238&gt;0,A744=$C$13),$L$238*($C$15+$C$18),0)+IF(AND($L$238&gt;0,A744=$C$13),$C$24,0)</f>
        <v/>
      </c>
      <c r="H744" s="138">
        <f>IF(OR($L$238&lt;=0,A744&lt;$C$13),0,IF(AND($L$238&gt;0,$C$17&gt;0,A744&gt;=$C$13,A744&lt;($C$13+$C$17)),IF($C$17&lt;=0,0,IF($C$16=0,MAX($L$238*(1-$C$15),0)/$C$17,-PMT($C$16/12,$C$17*12,MAX($L$238*(1-$C$15),0))*12)),0)+X744*($C$19+$C$20+$C$21)+$C$22+$C$23)</f>
        <v/>
      </c>
      <c r="I744" s="138">
        <f>IF(B744="Working",MIN(MAX(D744-E744-F744-G744-H744,0),'Tax Assumptions'!$B$20),0)</f>
        <v/>
      </c>
      <c r="J744" s="138">
        <f>IF(B744="Working",D744-E744-F744-I744-G744-H744,-L744)</f>
        <v/>
      </c>
      <c r="K744" s="141">
        <f>IF(B744="Retired",$N$238+G744+H744,0)</f>
        <v/>
      </c>
      <c r="L744" s="141">
        <f>M744+N744+O744+P744</f>
        <v/>
      </c>
      <c r="M744" s="141">
        <f>IF(B744="Retired",MIN(((Q743)*(1+$C$10)+IF(B744="Working",J744,0)),K744),0)</f>
        <v/>
      </c>
      <c r="N744" s="141">
        <f>IF(B744="Retired",MIN(MAX(K744-M744,0),((R743)*(1+$C$10)+IF(B744="Working",E83,0))),0)</f>
        <v/>
      </c>
      <c r="O744" s="141">
        <f>IF(B744="Retired",MIN(MAX(K744-M744-N744,0),((S743)*(1+$C$10)+IF(B744="Working",I744,0))),0)</f>
        <v/>
      </c>
      <c r="P744" s="141">
        <f>IF(B744="Retired",MIN(MAX(K744-M744-N744-O744,0),((T743)*(1+$C$10)+IF(B744="Working",F83,0))),0)</f>
        <v/>
      </c>
      <c r="Q744" s="138">
        <f>MAX(((Q743)*(1+$C$10)+IF(B744="Working",J744,0))-M744,0)</f>
        <v/>
      </c>
      <c r="R744" s="138">
        <f>MAX(((R743)*(1+$C$10)+IF(B744="Working",E83,0))-N744,0)</f>
        <v/>
      </c>
      <c r="S744" s="138">
        <f>MAX(((S743)*(1+$C$10)+IF(B744="Working",I744,0))-O744,0)</f>
        <v/>
      </c>
      <c r="T744" s="138">
        <f>MAX(((T743)*(1+$C$10)+IF(B744="Working",F83,0))-P744,0)</f>
        <v/>
      </c>
      <c r="U744" s="138">
        <f>Q744+R744+S744+T744</f>
        <v/>
      </c>
      <c r="V744" s="138">
        <f>IF(B744="Working",MAX(-(((Q743)*(1+$C$10)+IF(B744="Working",J744,0))),0),MAX(K744-L744,0))</f>
        <v/>
      </c>
      <c r="W744" s="138">
        <f>IF(OR(A744&gt;=$C$13,B744="Retired"),IF(V744&gt;0,-V744,U744-'Model Inputs'!$B$18),"")</f>
        <v/>
      </c>
      <c r="X744" s="138">
        <f>IF(AND($L$238&gt;0,A744&gt;=$C$13),$L$238*(1+$C$25)^(A744-$C$13),0)</f>
        <v/>
      </c>
      <c r="Y744" s="138">
        <f>IF(OR($L$238&lt;=0,$C$17&lt;=0,A744&lt;$C$13,MIN(MAX((A744-$C$13+1)*12,0),$C$17*12)&gt;=$C$17*12),0,IF($C$16=0,MAX(MAX($L$238*(1-$C$15),0)-(IF($C$17&lt;=0,0,IF($C$16=0,MAX($L$238*(1-$C$15),0)/$C$17,-PMT($C$16/12,$C$17*12,MAX($L$238*(1-$C$15),0))*12))/12)*MIN(MAX((A744-$C$13+1)*12,0),$C$17*12),0),MAX(MAX($L$238*(1-$C$15),0)*(1+$C$16/12)^MIN(MAX((A744-$C$13+1)*12,0),$C$17*12)-(IF($C$17&lt;=0,0,IF($C$16=0,MAX($L$238*(1-$C$15),0)/$C$17,-PMT($C$16/12,$C$17*12,MAX($L$238*(1-$C$15),0))*12))/12)*(((1+$C$16/12)^MIN(MAX((A744-$C$13+1)*12,0),$C$17*12)-1)/($C$16/12)),0)))</f>
        <v/>
      </c>
      <c r="Z744" s="138">
        <f>MAX(X744-Y744,0)</f>
        <v/>
      </c>
      <c r="AA744" s="142">
        <f>U744+Z744</f>
        <v/>
      </c>
      <c r="AB744" s="5" t="n"/>
      <c r="AC744" s="5" t="n"/>
      <c r="AD744" s="5" t="n"/>
      <c r="AE744" s="5" t="n"/>
      <c r="AF744" s="5" t="n"/>
      <c r="AG744" s="5" t="n"/>
    </row>
    <row r="745" outlineLevel="1" s="326">
      <c r="A745" s="136" t="n">
        <v>5</v>
      </c>
      <c r="B745" s="72">
        <f>B84</f>
        <v/>
      </c>
      <c r="C745" s="137">
        <f>D84</f>
        <v/>
      </c>
      <c r="D745" s="137">
        <f>I84</f>
        <v/>
      </c>
      <c r="E745" s="137">
        <f>J84</f>
        <v/>
      </c>
      <c r="F745" s="137">
        <f>K84</f>
        <v/>
      </c>
      <c r="G745" s="138">
        <f>IF(AND($L$238&gt;0,A745=$C$13),$L$238*($C$15+$C$18),0)+IF(AND($L$238&gt;0,A745=$C$13),$C$24,0)</f>
        <v/>
      </c>
      <c r="H745" s="138">
        <f>IF(OR($L$238&lt;=0,A745&lt;$C$13),0,IF(AND($L$238&gt;0,$C$17&gt;0,A745&gt;=$C$13,A745&lt;($C$13+$C$17)),IF($C$17&lt;=0,0,IF($C$16=0,MAX($L$238*(1-$C$15),0)/$C$17,-PMT($C$16/12,$C$17*12,MAX($L$238*(1-$C$15),0))*12)),0)+X745*($C$19+$C$20+$C$21)+$C$22+$C$23)</f>
        <v/>
      </c>
      <c r="I745" s="138">
        <f>IF(B745="Working",MIN(MAX(D745-E745-F745-G745-H745,0),'Tax Assumptions'!$B$20),0)</f>
        <v/>
      </c>
      <c r="J745" s="138">
        <f>IF(B745="Working",D745-E745-F745-I745-G745-H745,-L745)</f>
        <v/>
      </c>
      <c r="K745" s="137">
        <f>IF(B745="Retired",$N$238+G745+H745,0)</f>
        <v/>
      </c>
      <c r="L745" s="137">
        <f>M745+N745+O745+P745</f>
        <v/>
      </c>
      <c r="M745" s="137">
        <f>IF(B745="Retired",MIN(((Q744)*(1+$C$10)+IF(B745="Working",J745,0)),K745),0)</f>
        <v/>
      </c>
      <c r="N745" s="137">
        <f>IF(B745="Retired",MIN(MAX(K745-M745,0),((R744)*(1+$C$10)+IF(B745="Working",E84,0))),0)</f>
        <v/>
      </c>
      <c r="O745" s="137">
        <f>IF(B745="Retired",MIN(MAX(K745-M745-N745,0),((S744)*(1+$C$10)+IF(B745="Working",I745,0))),0)</f>
        <v/>
      </c>
      <c r="P745" s="137">
        <f>IF(B745="Retired",MIN(MAX(K745-M745-N745-O745,0),((T744)*(1+$C$10)+IF(B745="Working",F84,0))),0)</f>
        <v/>
      </c>
      <c r="Q745" s="138">
        <f>MAX(((Q744)*(1+$C$10)+IF(B745="Working",J745,0))-M745,0)</f>
        <v/>
      </c>
      <c r="R745" s="138">
        <f>MAX(((R744)*(1+$C$10)+IF(B745="Working",E84,0))-N745,0)</f>
        <v/>
      </c>
      <c r="S745" s="138">
        <f>MAX(((S744)*(1+$C$10)+IF(B745="Working",I745,0))-O745,0)</f>
        <v/>
      </c>
      <c r="T745" s="138">
        <f>MAX(((T744)*(1+$C$10)+IF(B745="Working",F84,0))-P745,0)</f>
        <v/>
      </c>
      <c r="U745" s="138">
        <f>Q745+R745+S745+T745</f>
        <v/>
      </c>
      <c r="V745" s="138">
        <f>IF(B745="Working",MAX(-(((Q744)*(1+$C$10)+IF(B745="Working",J745,0))),0),MAX(K745-L745,0))</f>
        <v/>
      </c>
      <c r="W745" s="138">
        <f>IF(OR(A745&gt;=$C$13,B745="Retired"),IF(V745&gt;0,-V745,U745-'Model Inputs'!$B$18),"")</f>
        <v/>
      </c>
      <c r="X745" s="138">
        <f>IF(AND($L$238&gt;0,A745&gt;=$C$13),$L$238*(1+$C$25)^(A745-$C$13),0)</f>
        <v/>
      </c>
      <c r="Y745" s="138">
        <f>IF(OR($L$238&lt;=0,$C$17&lt;=0,A745&lt;$C$13,MIN(MAX((A745-$C$13+1)*12,0),$C$17*12)&gt;=$C$17*12),0,IF($C$16=0,MAX(MAX($L$238*(1-$C$15),0)-(IF($C$17&lt;=0,0,IF($C$16=0,MAX($L$238*(1-$C$15),0)/$C$17,-PMT($C$16/12,$C$17*12,MAX($L$238*(1-$C$15),0))*12))/12)*MIN(MAX((A745-$C$13+1)*12,0),$C$17*12),0),MAX(MAX($L$238*(1-$C$15),0)*(1+$C$16/12)^MIN(MAX((A745-$C$13+1)*12,0),$C$17*12)-(IF($C$17&lt;=0,0,IF($C$16=0,MAX($L$238*(1-$C$15),0)/$C$17,-PMT($C$16/12,$C$17*12,MAX($L$238*(1-$C$15),0))*12))/12)*(((1+$C$16/12)^MIN(MAX((A745-$C$13+1)*12,0),$C$17*12)-1)/($C$16/12)),0)))</f>
        <v/>
      </c>
      <c r="Z745" s="138">
        <f>MAX(X745-Y745,0)</f>
        <v/>
      </c>
      <c r="AA745" s="139">
        <f>U745+Z745</f>
        <v/>
      </c>
      <c r="AB745" s="5" t="n"/>
      <c r="AC745" s="5" t="n"/>
      <c r="AD745" s="5" t="n"/>
      <c r="AE745" s="5" t="n"/>
      <c r="AF745" s="5" t="n"/>
      <c r="AG745" s="5" t="n"/>
    </row>
    <row r="746" outlineLevel="1" s="326">
      <c r="A746" s="140" t="n">
        <v>6</v>
      </c>
      <c r="B746" s="40">
        <f>B85</f>
        <v/>
      </c>
      <c r="C746" s="141">
        <f>D85</f>
        <v/>
      </c>
      <c r="D746" s="141">
        <f>I85</f>
        <v/>
      </c>
      <c r="E746" s="141">
        <f>J85</f>
        <v/>
      </c>
      <c r="F746" s="141">
        <f>K85</f>
        <v/>
      </c>
      <c r="G746" s="138">
        <f>IF(AND($L$238&gt;0,A746=$C$13),$L$238*($C$15+$C$18),0)+IF(AND($L$238&gt;0,A746=$C$13),$C$24,0)</f>
        <v/>
      </c>
      <c r="H746" s="138">
        <f>IF(OR($L$238&lt;=0,A746&lt;$C$13),0,IF(AND($L$238&gt;0,$C$17&gt;0,A746&gt;=$C$13,A746&lt;($C$13+$C$17)),IF($C$17&lt;=0,0,IF($C$16=0,MAX($L$238*(1-$C$15),0)/$C$17,-PMT($C$16/12,$C$17*12,MAX($L$238*(1-$C$15),0))*12)),0)+X746*($C$19+$C$20+$C$21)+$C$22+$C$23)</f>
        <v/>
      </c>
      <c r="I746" s="138">
        <f>IF(B746="Working",MIN(MAX(D746-E746-F746-G746-H746,0),'Tax Assumptions'!$B$20),0)</f>
        <v/>
      </c>
      <c r="J746" s="138">
        <f>IF(B746="Working",D746-E746-F746-I746-G746-H746,-L746)</f>
        <v/>
      </c>
      <c r="K746" s="141">
        <f>IF(B746="Retired",$N$238+G746+H746,0)</f>
        <v/>
      </c>
      <c r="L746" s="141">
        <f>M746+N746+O746+P746</f>
        <v/>
      </c>
      <c r="M746" s="141">
        <f>IF(B746="Retired",MIN(((Q745)*(1+$C$10)+IF(B746="Working",J746,0)),K746),0)</f>
        <v/>
      </c>
      <c r="N746" s="141">
        <f>IF(B746="Retired",MIN(MAX(K746-M746,0),((R745)*(1+$C$10)+IF(B746="Working",E85,0))),0)</f>
        <v/>
      </c>
      <c r="O746" s="141">
        <f>IF(B746="Retired",MIN(MAX(K746-M746-N746,0),((S745)*(1+$C$10)+IF(B746="Working",I746,0))),0)</f>
        <v/>
      </c>
      <c r="P746" s="141">
        <f>IF(B746="Retired",MIN(MAX(K746-M746-N746-O746,0),((T745)*(1+$C$10)+IF(B746="Working",F85,0))),0)</f>
        <v/>
      </c>
      <c r="Q746" s="138">
        <f>MAX(((Q745)*(1+$C$10)+IF(B746="Working",J746,0))-M746,0)</f>
        <v/>
      </c>
      <c r="R746" s="138">
        <f>MAX(((R745)*(1+$C$10)+IF(B746="Working",E85,0))-N746,0)</f>
        <v/>
      </c>
      <c r="S746" s="138">
        <f>MAX(((S745)*(1+$C$10)+IF(B746="Working",I746,0))-O746,0)</f>
        <v/>
      </c>
      <c r="T746" s="138">
        <f>MAX(((T745)*(1+$C$10)+IF(B746="Working",F85,0))-P746,0)</f>
        <v/>
      </c>
      <c r="U746" s="138">
        <f>Q746+R746+S746+T746</f>
        <v/>
      </c>
      <c r="V746" s="138">
        <f>IF(B746="Working",MAX(-(((Q745)*(1+$C$10)+IF(B746="Working",J746,0))),0),MAX(K746-L746,0))</f>
        <v/>
      </c>
      <c r="W746" s="138">
        <f>IF(OR(A746&gt;=$C$13,B746="Retired"),IF(V746&gt;0,-V746,U746-'Model Inputs'!$B$18),"")</f>
        <v/>
      </c>
      <c r="X746" s="138">
        <f>IF(AND($L$238&gt;0,A746&gt;=$C$13),$L$238*(1+$C$25)^(A746-$C$13),0)</f>
        <v/>
      </c>
      <c r="Y746" s="138">
        <f>IF(OR($L$238&lt;=0,$C$17&lt;=0,A746&lt;$C$13,MIN(MAX((A746-$C$13+1)*12,0),$C$17*12)&gt;=$C$17*12),0,IF($C$16=0,MAX(MAX($L$238*(1-$C$15),0)-(IF($C$17&lt;=0,0,IF($C$16=0,MAX($L$238*(1-$C$15),0)/$C$17,-PMT($C$16/12,$C$17*12,MAX($L$238*(1-$C$15),0))*12))/12)*MIN(MAX((A746-$C$13+1)*12,0),$C$17*12),0),MAX(MAX($L$238*(1-$C$15),0)*(1+$C$16/12)^MIN(MAX((A746-$C$13+1)*12,0),$C$17*12)-(IF($C$17&lt;=0,0,IF($C$16=0,MAX($L$238*(1-$C$15),0)/$C$17,-PMT($C$16/12,$C$17*12,MAX($L$238*(1-$C$15),0))*12))/12)*(((1+$C$16/12)^MIN(MAX((A746-$C$13+1)*12,0),$C$17*12)-1)/($C$16/12)),0)))</f>
        <v/>
      </c>
      <c r="Z746" s="138">
        <f>MAX(X746-Y746,0)</f>
        <v/>
      </c>
      <c r="AA746" s="142">
        <f>U746+Z746</f>
        <v/>
      </c>
      <c r="AB746" s="5" t="n"/>
      <c r="AC746" s="5" t="n"/>
      <c r="AD746" s="5" t="n"/>
      <c r="AE746" s="5" t="n"/>
      <c r="AF746" s="5" t="n"/>
      <c r="AG746" s="5" t="n"/>
    </row>
    <row r="747" outlineLevel="1" s="326">
      <c r="A747" s="136" t="n">
        <v>7</v>
      </c>
      <c r="B747" s="72">
        <f>B86</f>
        <v/>
      </c>
      <c r="C747" s="137">
        <f>D86</f>
        <v/>
      </c>
      <c r="D747" s="137">
        <f>I86</f>
        <v/>
      </c>
      <c r="E747" s="137">
        <f>J86</f>
        <v/>
      </c>
      <c r="F747" s="137">
        <f>K86</f>
        <v/>
      </c>
      <c r="G747" s="138">
        <f>IF(AND($L$238&gt;0,A747=$C$13),$L$238*($C$15+$C$18),0)+IF(AND($L$238&gt;0,A747=$C$13),$C$24,0)</f>
        <v/>
      </c>
      <c r="H747" s="138">
        <f>IF(OR($L$238&lt;=0,A747&lt;$C$13),0,IF(AND($L$238&gt;0,$C$17&gt;0,A747&gt;=$C$13,A747&lt;($C$13+$C$17)),IF($C$17&lt;=0,0,IF($C$16=0,MAX($L$238*(1-$C$15),0)/$C$17,-PMT($C$16/12,$C$17*12,MAX($L$238*(1-$C$15),0))*12)),0)+X747*($C$19+$C$20+$C$21)+$C$22+$C$23)</f>
        <v/>
      </c>
      <c r="I747" s="138">
        <f>IF(B747="Working",MIN(MAX(D747-E747-F747-G747-H747,0),'Tax Assumptions'!$B$20),0)</f>
        <v/>
      </c>
      <c r="J747" s="138">
        <f>IF(B747="Working",D747-E747-F747-I747-G747-H747,-L747)</f>
        <v/>
      </c>
      <c r="K747" s="137">
        <f>IF(B747="Retired",$N$238+G747+H747,0)</f>
        <v/>
      </c>
      <c r="L747" s="137">
        <f>M747+N747+O747+P747</f>
        <v/>
      </c>
      <c r="M747" s="137">
        <f>IF(B747="Retired",MIN(((Q746)*(1+$C$10)+IF(B747="Working",J747,0)),K747),0)</f>
        <v/>
      </c>
      <c r="N747" s="137">
        <f>IF(B747="Retired",MIN(MAX(K747-M747,0),((R746)*(1+$C$10)+IF(B747="Working",E86,0))),0)</f>
        <v/>
      </c>
      <c r="O747" s="137">
        <f>IF(B747="Retired",MIN(MAX(K747-M747-N747,0),((S746)*(1+$C$10)+IF(B747="Working",I747,0))),0)</f>
        <v/>
      </c>
      <c r="P747" s="137">
        <f>IF(B747="Retired",MIN(MAX(K747-M747-N747-O747,0),((T746)*(1+$C$10)+IF(B747="Working",F86,0))),0)</f>
        <v/>
      </c>
      <c r="Q747" s="138">
        <f>MAX(((Q746)*(1+$C$10)+IF(B747="Working",J747,0))-M747,0)</f>
        <v/>
      </c>
      <c r="R747" s="138">
        <f>MAX(((R746)*(1+$C$10)+IF(B747="Working",E86,0))-N747,0)</f>
        <v/>
      </c>
      <c r="S747" s="138">
        <f>MAX(((S746)*(1+$C$10)+IF(B747="Working",I747,0))-O747,0)</f>
        <v/>
      </c>
      <c r="T747" s="138">
        <f>MAX(((T746)*(1+$C$10)+IF(B747="Working",F86,0))-P747,0)</f>
        <v/>
      </c>
      <c r="U747" s="138">
        <f>Q747+R747+S747+T747</f>
        <v/>
      </c>
      <c r="V747" s="138">
        <f>IF(B747="Working",MAX(-(((Q746)*(1+$C$10)+IF(B747="Working",J747,0))),0),MAX(K747-L747,0))</f>
        <v/>
      </c>
      <c r="W747" s="138">
        <f>IF(OR(A747&gt;=$C$13,B747="Retired"),IF(V747&gt;0,-V747,U747-'Model Inputs'!$B$18),"")</f>
        <v/>
      </c>
      <c r="X747" s="138">
        <f>IF(AND($L$238&gt;0,A747&gt;=$C$13),$L$238*(1+$C$25)^(A747-$C$13),0)</f>
        <v/>
      </c>
      <c r="Y747" s="138">
        <f>IF(OR($L$238&lt;=0,$C$17&lt;=0,A747&lt;$C$13,MIN(MAX((A747-$C$13+1)*12,0),$C$17*12)&gt;=$C$17*12),0,IF($C$16=0,MAX(MAX($L$238*(1-$C$15),0)-(IF($C$17&lt;=0,0,IF($C$16=0,MAX($L$238*(1-$C$15),0)/$C$17,-PMT($C$16/12,$C$17*12,MAX($L$238*(1-$C$15),0))*12))/12)*MIN(MAX((A747-$C$13+1)*12,0),$C$17*12),0),MAX(MAX($L$238*(1-$C$15),0)*(1+$C$16/12)^MIN(MAX((A747-$C$13+1)*12,0),$C$17*12)-(IF($C$17&lt;=0,0,IF($C$16=0,MAX($L$238*(1-$C$15),0)/$C$17,-PMT($C$16/12,$C$17*12,MAX($L$238*(1-$C$15),0))*12))/12)*(((1+$C$16/12)^MIN(MAX((A747-$C$13+1)*12,0),$C$17*12)-1)/($C$16/12)),0)))</f>
        <v/>
      </c>
      <c r="Z747" s="138">
        <f>MAX(X747-Y747,0)</f>
        <v/>
      </c>
      <c r="AA747" s="139">
        <f>U747+Z747</f>
        <v/>
      </c>
      <c r="AB747" s="5" t="n"/>
      <c r="AC747" s="5" t="n"/>
      <c r="AD747" s="5" t="n"/>
      <c r="AE747" s="5" t="n"/>
      <c r="AF747" s="5" t="n"/>
      <c r="AG747" s="5" t="n"/>
    </row>
    <row r="748" outlineLevel="1" s="326">
      <c r="A748" s="140" t="n">
        <v>8</v>
      </c>
      <c r="B748" s="40">
        <f>B87</f>
        <v/>
      </c>
      <c r="C748" s="141">
        <f>D87</f>
        <v/>
      </c>
      <c r="D748" s="141">
        <f>I87</f>
        <v/>
      </c>
      <c r="E748" s="141">
        <f>J87</f>
        <v/>
      </c>
      <c r="F748" s="141">
        <f>K87</f>
        <v/>
      </c>
      <c r="G748" s="138">
        <f>IF(AND($L$238&gt;0,A748=$C$13),$L$238*($C$15+$C$18),0)+IF(AND($L$238&gt;0,A748=$C$13),$C$24,0)</f>
        <v/>
      </c>
      <c r="H748" s="138">
        <f>IF(OR($L$238&lt;=0,A748&lt;$C$13),0,IF(AND($L$238&gt;0,$C$17&gt;0,A748&gt;=$C$13,A748&lt;($C$13+$C$17)),IF($C$17&lt;=0,0,IF($C$16=0,MAX($L$238*(1-$C$15),0)/$C$17,-PMT($C$16/12,$C$17*12,MAX($L$238*(1-$C$15),0))*12)),0)+X748*($C$19+$C$20+$C$21)+$C$22+$C$23)</f>
        <v/>
      </c>
      <c r="I748" s="138">
        <f>IF(B748="Working",MIN(MAX(D748-E748-F748-G748-H748,0),'Tax Assumptions'!$B$20),0)</f>
        <v/>
      </c>
      <c r="J748" s="138">
        <f>IF(B748="Working",D748-E748-F748-I748-G748-H748,-L748)</f>
        <v/>
      </c>
      <c r="K748" s="141">
        <f>IF(B748="Retired",$N$238+G748+H748,0)</f>
        <v/>
      </c>
      <c r="L748" s="141">
        <f>M748+N748+O748+P748</f>
        <v/>
      </c>
      <c r="M748" s="141">
        <f>IF(B748="Retired",MIN(((Q747)*(1+$C$10)+IF(B748="Working",J748,0)),K748),0)</f>
        <v/>
      </c>
      <c r="N748" s="141">
        <f>IF(B748="Retired",MIN(MAX(K748-M748,0),((R747)*(1+$C$10)+IF(B748="Working",E87,0))),0)</f>
        <v/>
      </c>
      <c r="O748" s="141">
        <f>IF(B748="Retired",MIN(MAX(K748-M748-N748,0),((S747)*(1+$C$10)+IF(B748="Working",I748,0))),0)</f>
        <v/>
      </c>
      <c r="P748" s="141">
        <f>IF(B748="Retired",MIN(MAX(K748-M748-N748-O748,0),((T747)*(1+$C$10)+IF(B748="Working",F87,0))),0)</f>
        <v/>
      </c>
      <c r="Q748" s="138">
        <f>MAX(((Q747)*(1+$C$10)+IF(B748="Working",J748,0))-M748,0)</f>
        <v/>
      </c>
      <c r="R748" s="138">
        <f>MAX(((R747)*(1+$C$10)+IF(B748="Working",E87,0))-N748,0)</f>
        <v/>
      </c>
      <c r="S748" s="138">
        <f>MAX(((S747)*(1+$C$10)+IF(B748="Working",I748,0))-O748,0)</f>
        <v/>
      </c>
      <c r="T748" s="138">
        <f>MAX(((T747)*(1+$C$10)+IF(B748="Working",F87,0))-P748,0)</f>
        <v/>
      </c>
      <c r="U748" s="138">
        <f>Q748+R748+S748+T748</f>
        <v/>
      </c>
      <c r="V748" s="138">
        <f>IF(B748="Working",MAX(-(((Q747)*(1+$C$10)+IF(B748="Working",J748,0))),0),MAX(K748-L748,0))</f>
        <v/>
      </c>
      <c r="W748" s="138">
        <f>IF(OR(A748&gt;=$C$13,B748="Retired"),IF(V748&gt;0,-V748,U748-'Model Inputs'!$B$18),"")</f>
        <v/>
      </c>
      <c r="X748" s="138">
        <f>IF(AND($L$238&gt;0,A748&gt;=$C$13),$L$238*(1+$C$25)^(A748-$C$13),0)</f>
        <v/>
      </c>
      <c r="Y748" s="138">
        <f>IF(OR($L$238&lt;=0,$C$17&lt;=0,A748&lt;$C$13,MIN(MAX((A748-$C$13+1)*12,0),$C$17*12)&gt;=$C$17*12),0,IF($C$16=0,MAX(MAX($L$238*(1-$C$15),0)-(IF($C$17&lt;=0,0,IF($C$16=0,MAX($L$238*(1-$C$15),0)/$C$17,-PMT($C$16/12,$C$17*12,MAX($L$238*(1-$C$15),0))*12))/12)*MIN(MAX((A748-$C$13+1)*12,0),$C$17*12),0),MAX(MAX($L$238*(1-$C$15),0)*(1+$C$16/12)^MIN(MAX((A748-$C$13+1)*12,0),$C$17*12)-(IF($C$17&lt;=0,0,IF($C$16=0,MAX($L$238*(1-$C$15),0)/$C$17,-PMT($C$16/12,$C$17*12,MAX($L$238*(1-$C$15),0))*12))/12)*(((1+$C$16/12)^MIN(MAX((A748-$C$13+1)*12,0),$C$17*12)-1)/($C$16/12)),0)))</f>
        <v/>
      </c>
      <c r="Z748" s="138">
        <f>MAX(X748-Y748,0)</f>
        <v/>
      </c>
      <c r="AA748" s="142">
        <f>U748+Z748</f>
        <v/>
      </c>
      <c r="AB748" s="5" t="n"/>
      <c r="AC748" s="5" t="n"/>
      <c r="AD748" s="5" t="n"/>
      <c r="AE748" s="5" t="n"/>
      <c r="AF748" s="5" t="n"/>
      <c r="AG748" s="5" t="n"/>
    </row>
    <row r="749" outlineLevel="1" s="326">
      <c r="A749" s="136" t="n">
        <v>9</v>
      </c>
      <c r="B749" s="72">
        <f>B88</f>
        <v/>
      </c>
      <c r="C749" s="137">
        <f>D88</f>
        <v/>
      </c>
      <c r="D749" s="137">
        <f>I88</f>
        <v/>
      </c>
      <c r="E749" s="137">
        <f>J88</f>
        <v/>
      </c>
      <c r="F749" s="137">
        <f>K88</f>
        <v/>
      </c>
      <c r="G749" s="138">
        <f>IF(AND($L$238&gt;0,A749=$C$13),$L$238*($C$15+$C$18),0)+IF(AND($L$238&gt;0,A749=$C$13),$C$24,0)</f>
        <v/>
      </c>
      <c r="H749" s="138">
        <f>IF(OR($L$238&lt;=0,A749&lt;$C$13),0,IF(AND($L$238&gt;0,$C$17&gt;0,A749&gt;=$C$13,A749&lt;($C$13+$C$17)),IF($C$17&lt;=0,0,IF($C$16=0,MAX($L$238*(1-$C$15),0)/$C$17,-PMT($C$16/12,$C$17*12,MAX($L$238*(1-$C$15),0))*12)),0)+X749*($C$19+$C$20+$C$21)+$C$22+$C$23)</f>
        <v/>
      </c>
      <c r="I749" s="138">
        <f>IF(B749="Working",MIN(MAX(D749-E749-F749-G749-H749,0),'Tax Assumptions'!$B$20),0)</f>
        <v/>
      </c>
      <c r="J749" s="138">
        <f>IF(B749="Working",D749-E749-F749-I749-G749-H749,-L749)</f>
        <v/>
      </c>
      <c r="K749" s="137">
        <f>IF(B749="Retired",$N$238+G749+H749,0)</f>
        <v/>
      </c>
      <c r="L749" s="137">
        <f>M749+N749+O749+P749</f>
        <v/>
      </c>
      <c r="M749" s="137">
        <f>IF(B749="Retired",MIN(((Q748)*(1+$C$10)+IF(B749="Working",J749,0)),K749),0)</f>
        <v/>
      </c>
      <c r="N749" s="137">
        <f>IF(B749="Retired",MIN(MAX(K749-M749,0),((R748)*(1+$C$10)+IF(B749="Working",E88,0))),0)</f>
        <v/>
      </c>
      <c r="O749" s="137">
        <f>IF(B749="Retired",MIN(MAX(K749-M749-N749,0),((S748)*(1+$C$10)+IF(B749="Working",I749,0))),0)</f>
        <v/>
      </c>
      <c r="P749" s="137">
        <f>IF(B749="Retired",MIN(MAX(K749-M749-N749-O749,0),((T748)*(1+$C$10)+IF(B749="Working",F88,0))),0)</f>
        <v/>
      </c>
      <c r="Q749" s="138">
        <f>MAX(((Q748)*(1+$C$10)+IF(B749="Working",J749,0))-M749,0)</f>
        <v/>
      </c>
      <c r="R749" s="138">
        <f>MAX(((R748)*(1+$C$10)+IF(B749="Working",E88,0))-N749,0)</f>
        <v/>
      </c>
      <c r="S749" s="138">
        <f>MAX(((S748)*(1+$C$10)+IF(B749="Working",I749,0))-O749,0)</f>
        <v/>
      </c>
      <c r="T749" s="138">
        <f>MAX(((T748)*(1+$C$10)+IF(B749="Working",F88,0))-P749,0)</f>
        <v/>
      </c>
      <c r="U749" s="138">
        <f>Q749+R749+S749+T749</f>
        <v/>
      </c>
      <c r="V749" s="138">
        <f>IF(B749="Working",MAX(-(((Q748)*(1+$C$10)+IF(B749="Working",J749,0))),0),MAX(K749-L749,0))</f>
        <v/>
      </c>
      <c r="W749" s="138">
        <f>IF(OR(A749&gt;=$C$13,B749="Retired"),IF(V749&gt;0,-V749,U749-'Model Inputs'!$B$18),"")</f>
        <v/>
      </c>
      <c r="X749" s="138">
        <f>IF(AND($L$238&gt;0,A749&gt;=$C$13),$L$238*(1+$C$25)^(A749-$C$13),0)</f>
        <v/>
      </c>
      <c r="Y749" s="138">
        <f>IF(OR($L$238&lt;=0,$C$17&lt;=0,A749&lt;$C$13,MIN(MAX((A749-$C$13+1)*12,0),$C$17*12)&gt;=$C$17*12),0,IF($C$16=0,MAX(MAX($L$238*(1-$C$15),0)-(IF($C$17&lt;=0,0,IF($C$16=0,MAX($L$238*(1-$C$15),0)/$C$17,-PMT($C$16/12,$C$17*12,MAX($L$238*(1-$C$15),0))*12))/12)*MIN(MAX((A749-$C$13+1)*12,0),$C$17*12),0),MAX(MAX($L$238*(1-$C$15),0)*(1+$C$16/12)^MIN(MAX((A749-$C$13+1)*12,0),$C$17*12)-(IF($C$17&lt;=0,0,IF($C$16=0,MAX($L$238*(1-$C$15),0)/$C$17,-PMT($C$16/12,$C$17*12,MAX($L$238*(1-$C$15),0))*12))/12)*(((1+$C$16/12)^MIN(MAX((A749-$C$13+1)*12,0),$C$17*12)-1)/($C$16/12)),0)))</f>
        <v/>
      </c>
      <c r="Z749" s="138">
        <f>MAX(X749-Y749,0)</f>
        <v/>
      </c>
      <c r="AA749" s="139">
        <f>U749+Z749</f>
        <v/>
      </c>
      <c r="AB749" s="5" t="n"/>
      <c r="AC749" s="5" t="n"/>
      <c r="AD749" s="5" t="n"/>
      <c r="AE749" s="5" t="n"/>
      <c r="AF749" s="5" t="n"/>
      <c r="AG749" s="5" t="n"/>
    </row>
    <row r="750" outlineLevel="1" s="326">
      <c r="A750" s="140" t="n">
        <v>10</v>
      </c>
      <c r="B750" s="40">
        <f>B89</f>
        <v/>
      </c>
      <c r="C750" s="141">
        <f>D89</f>
        <v/>
      </c>
      <c r="D750" s="141">
        <f>I89</f>
        <v/>
      </c>
      <c r="E750" s="141">
        <f>J89</f>
        <v/>
      </c>
      <c r="F750" s="141">
        <f>K89</f>
        <v/>
      </c>
      <c r="G750" s="138">
        <f>IF(AND($L$238&gt;0,A750=$C$13),$L$238*($C$15+$C$18),0)+IF(AND($L$238&gt;0,A750=$C$13),$C$24,0)</f>
        <v/>
      </c>
      <c r="H750" s="138">
        <f>IF(OR($L$238&lt;=0,A750&lt;$C$13),0,IF(AND($L$238&gt;0,$C$17&gt;0,A750&gt;=$C$13,A750&lt;($C$13+$C$17)),IF($C$17&lt;=0,0,IF($C$16=0,MAX($L$238*(1-$C$15),0)/$C$17,-PMT($C$16/12,$C$17*12,MAX($L$238*(1-$C$15),0))*12)),0)+X750*($C$19+$C$20+$C$21)+$C$22+$C$23)</f>
        <v/>
      </c>
      <c r="I750" s="138">
        <f>IF(B750="Working",MIN(MAX(D750-E750-F750-G750-H750,0),'Tax Assumptions'!$B$20),0)</f>
        <v/>
      </c>
      <c r="J750" s="138">
        <f>IF(B750="Working",D750-E750-F750-I750-G750-H750,-L750)</f>
        <v/>
      </c>
      <c r="K750" s="141">
        <f>IF(B750="Retired",$N$238+G750+H750,0)</f>
        <v/>
      </c>
      <c r="L750" s="141">
        <f>M750+N750+O750+P750</f>
        <v/>
      </c>
      <c r="M750" s="141">
        <f>IF(B750="Retired",MIN(((Q749)*(1+$C$10)+IF(B750="Working",J750,0)),K750),0)</f>
        <v/>
      </c>
      <c r="N750" s="141">
        <f>IF(B750="Retired",MIN(MAX(K750-M750,0),((R749)*(1+$C$10)+IF(B750="Working",E89,0))),0)</f>
        <v/>
      </c>
      <c r="O750" s="141">
        <f>IF(B750="Retired",MIN(MAX(K750-M750-N750,0),((S749)*(1+$C$10)+IF(B750="Working",I750,0))),0)</f>
        <v/>
      </c>
      <c r="P750" s="141">
        <f>IF(B750="Retired",MIN(MAX(K750-M750-N750-O750,0),((T749)*(1+$C$10)+IF(B750="Working",F89,0))),0)</f>
        <v/>
      </c>
      <c r="Q750" s="138">
        <f>MAX(((Q749)*(1+$C$10)+IF(B750="Working",J750,0))-M750,0)</f>
        <v/>
      </c>
      <c r="R750" s="138">
        <f>MAX(((R749)*(1+$C$10)+IF(B750="Working",E89,0))-N750,0)</f>
        <v/>
      </c>
      <c r="S750" s="138">
        <f>MAX(((S749)*(1+$C$10)+IF(B750="Working",I750,0))-O750,0)</f>
        <v/>
      </c>
      <c r="T750" s="138">
        <f>MAX(((T749)*(1+$C$10)+IF(B750="Working",F89,0))-P750,0)</f>
        <v/>
      </c>
      <c r="U750" s="138">
        <f>Q750+R750+S750+T750</f>
        <v/>
      </c>
      <c r="V750" s="138">
        <f>IF(B750="Working",MAX(-(((Q749)*(1+$C$10)+IF(B750="Working",J750,0))),0),MAX(K750-L750,0))</f>
        <v/>
      </c>
      <c r="W750" s="138">
        <f>IF(OR(A750&gt;=$C$13,B750="Retired"),IF(V750&gt;0,-V750,U750-'Model Inputs'!$B$18),"")</f>
        <v/>
      </c>
      <c r="X750" s="138">
        <f>IF(AND($L$238&gt;0,A750&gt;=$C$13),$L$238*(1+$C$25)^(A750-$C$13),0)</f>
        <v/>
      </c>
      <c r="Y750" s="138">
        <f>IF(OR($L$238&lt;=0,$C$17&lt;=0,A750&lt;$C$13,MIN(MAX((A750-$C$13+1)*12,0),$C$17*12)&gt;=$C$17*12),0,IF($C$16=0,MAX(MAX($L$238*(1-$C$15),0)-(IF($C$17&lt;=0,0,IF($C$16=0,MAX($L$238*(1-$C$15),0)/$C$17,-PMT($C$16/12,$C$17*12,MAX($L$238*(1-$C$15),0))*12))/12)*MIN(MAX((A750-$C$13+1)*12,0),$C$17*12),0),MAX(MAX($L$238*(1-$C$15),0)*(1+$C$16/12)^MIN(MAX((A750-$C$13+1)*12,0),$C$17*12)-(IF($C$17&lt;=0,0,IF($C$16=0,MAX($L$238*(1-$C$15),0)/$C$17,-PMT($C$16/12,$C$17*12,MAX($L$238*(1-$C$15),0))*12))/12)*(((1+$C$16/12)^MIN(MAX((A750-$C$13+1)*12,0),$C$17*12)-1)/($C$16/12)),0)))</f>
        <v/>
      </c>
      <c r="Z750" s="138">
        <f>MAX(X750-Y750,0)</f>
        <v/>
      </c>
      <c r="AA750" s="142">
        <f>U750+Z750</f>
        <v/>
      </c>
      <c r="AB750" s="5" t="n"/>
      <c r="AC750" s="5" t="n"/>
      <c r="AD750" s="5" t="n"/>
      <c r="AE750" s="5" t="n"/>
      <c r="AF750" s="5" t="n"/>
      <c r="AG750" s="5" t="n"/>
    </row>
    <row r="751" outlineLevel="1" s="326">
      <c r="A751" s="136" t="n">
        <v>11</v>
      </c>
      <c r="B751" s="72">
        <f>B90</f>
        <v/>
      </c>
      <c r="C751" s="137">
        <f>D90</f>
        <v/>
      </c>
      <c r="D751" s="137">
        <f>I90</f>
        <v/>
      </c>
      <c r="E751" s="137">
        <f>J90</f>
        <v/>
      </c>
      <c r="F751" s="137">
        <f>K90</f>
        <v/>
      </c>
      <c r="G751" s="138">
        <f>IF(AND($L$238&gt;0,A751=$C$13),$L$238*($C$15+$C$18),0)+IF(AND($L$238&gt;0,A751=$C$13),$C$24,0)</f>
        <v/>
      </c>
      <c r="H751" s="138">
        <f>IF(OR($L$238&lt;=0,A751&lt;$C$13),0,IF(AND($L$238&gt;0,$C$17&gt;0,A751&gt;=$C$13,A751&lt;($C$13+$C$17)),IF($C$17&lt;=0,0,IF($C$16=0,MAX($L$238*(1-$C$15),0)/$C$17,-PMT($C$16/12,$C$17*12,MAX($L$238*(1-$C$15),0))*12)),0)+X751*($C$19+$C$20+$C$21)+$C$22+$C$23)</f>
        <v/>
      </c>
      <c r="I751" s="138">
        <f>IF(B751="Working",MIN(MAX(D751-E751-F751-G751-H751,0),'Tax Assumptions'!$B$20),0)</f>
        <v/>
      </c>
      <c r="J751" s="138">
        <f>IF(B751="Working",D751-E751-F751-I751-G751-H751,-L751)</f>
        <v/>
      </c>
      <c r="K751" s="137">
        <f>IF(B751="Retired",$N$238+G751+H751,0)</f>
        <v/>
      </c>
      <c r="L751" s="137">
        <f>M751+N751+O751+P751</f>
        <v/>
      </c>
      <c r="M751" s="137">
        <f>IF(B751="Retired",MIN(((Q750)*(1+$C$10)+IF(B751="Working",J751,0)),K751),0)</f>
        <v/>
      </c>
      <c r="N751" s="137">
        <f>IF(B751="Retired",MIN(MAX(K751-M751,0),((R750)*(1+$C$10)+IF(B751="Working",E90,0))),0)</f>
        <v/>
      </c>
      <c r="O751" s="137">
        <f>IF(B751="Retired",MIN(MAX(K751-M751-N751,0),((S750)*(1+$C$10)+IF(B751="Working",I751,0))),0)</f>
        <v/>
      </c>
      <c r="P751" s="137">
        <f>IF(B751="Retired",MIN(MAX(K751-M751-N751-O751,0),((T750)*(1+$C$10)+IF(B751="Working",F90,0))),0)</f>
        <v/>
      </c>
      <c r="Q751" s="138">
        <f>MAX(((Q750)*(1+$C$10)+IF(B751="Working",J751,0))-M751,0)</f>
        <v/>
      </c>
      <c r="R751" s="138">
        <f>MAX(((R750)*(1+$C$10)+IF(B751="Working",E90,0))-N751,0)</f>
        <v/>
      </c>
      <c r="S751" s="138">
        <f>MAX(((S750)*(1+$C$10)+IF(B751="Working",I751,0))-O751,0)</f>
        <v/>
      </c>
      <c r="T751" s="138">
        <f>MAX(((T750)*(1+$C$10)+IF(B751="Working",F90,0))-P751,0)</f>
        <v/>
      </c>
      <c r="U751" s="138">
        <f>Q751+R751+S751+T751</f>
        <v/>
      </c>
      <c r="V751" s="138">
        <f>IF(B751="Working",MAX(-(((Q750)*(1+$C$10)+IF(B751="Working",J751,0))),0),MAX(K751-L751,0))</f>
        <v/>
      </c>
      <c r="W751" s="138">
        <f>IF(OR(A751&gt;=$C$13,B751="Retired"),IF(V751&gt;0,-V751,U751-'Model Inputs'!$B$18),"")</f>
        <v/>
      </c>
      <c r="X751" s="138">
        <f>IF(AND($L$238&gt;0,A751&gt;=$C$13),$L$238*(1+$C$25)^(A751-$C$13),0)</f>
        <v/>
      </c>
      <c r="Y751" s="138">
        <f>IF(OR($L$238&lt;=0,$C$17&lt;=0,A751&lt;$C$13,MIN(MAX((A751-$C$13+1)*12,0),$C$17*12)&gt;=$C$17*12),0,IF($C$16=0,MAX(MAX($L$238*(1-$C$15),0)-(IF($C$17&lt;=0,0,IF($C$16=0,MAX($L$238*(1-$C$15),0)/$C$17,-PMT($C$16/12,$C$17*12,MAX($L$238*(1-$C$15),0))*12))/12)*MIN(MAX((A751-$C$13+1)*12,0),$C$17*12),0),MAX(MAX($L$238*(1-$C$15),0)*(1+$C$16/12)^MIN(MAX((A751-$C$13+1)*12,0),$C$17*12)-(IF($C$17&lt;=0,0,IF($C$16=0,MAX($L$238*(1-$C$15),0)/$C$17,-PMT($C$16/12,$C$17*12,MAX($L$238*(1-$C$15),0))*12))/12)*(((1+$C$16/12)^MIN(MAX((A751-$C$13+1)*12,0),$C$17*12)-1)/($C$16/12)),0)))</f>
        <v/>
      </c>
      <c r="Z751" s="138">
        <f>MAX(X751-Y751,0)</f>
        <v/>
      </c>
      <c r="AA751" s="139">
        <f>U751+Z751</f>
        <v/>
      </c>
      <c r="AB751" s="5" t="n"/>
      <c r="AC751" s="5" t="n"/>
      <c r="AD751" s="5" t="n"/>
      <c r="AE751" s="5" t="n"/>
      <c r="AF751" s="5" t="n"/>
      <c r="AG751" s="5" t="n"/>
    </row>
    <row r="752" outlineLevel="1" s="326">
      <c r="A752" s="140" t="n">
        <v>12</v>
      </c>
      <c r="B752" s="40">
        <f>B91</f>
        <v/>
      </c>
      <c r="C752" s="141">
        <f>D91</f>
        <v/>
      </c>
      <c r="D752" s="141">
        <f>I91</f>
        <v/>
      </c>
      <c r="E752" s="141">
        <f>J91</f>
        <v/>
      </c>
      <c r="F752" s="141">
        <f>K91</f>
        <v/>
      </c>
      <c r="G752" s="138">
        <f>IF(AND($L$238&gt;0,A752=$C$13),$L$238*($C$15+$C$18),0)+IF(AND($L$238&gt;0,A752=$C$13),$C$24,0)</f>
        <v/>
      </c>
      <c r="H752" s="138">
        <f>IF(OR($L$238&lt;=0,A752&lt;$C$13),0,IF(AND($L$238&gt;0,$C$17&gt;0,A752&gt;=$C$13,A752&lt;($C$13+$C$17)),IF($C$17&lt;=0,0,IF($C$16=0,MAX($L$238*(1-$C$15),0)/$C$17,-PMT($C$16/12,$C$17*12,MAX($L$238*(1-$C$15),0))*12)),0)+X752*($C$19+$C$20+$C$21)+$C$22+$C$23)</f>
        <v/>
      </c>
      <c r="I752" s="138">
        <f>IF(B752="Working",MIN(MAX(D752-E752-F752-G752-H752,0),'Tax Assumptions'!$B$20),0)</f>
        <v/>
      </c>
      <c r="J752" s="138">
        <f>IF(B752="Working",D752-E752-F752-I752-G752-H752,-L752)</f>
        <v/>
      </c>
      <c r="K752" s="141">
        <f>IF(B752="Retired",$N$238+G752+H752,0)</f>
        <v/>
      </c>
      <c r="L752" s="141">
        <f>M752+N752+O752+P752</f>
        <v/>
      </c>
      <c r="M752" s="141">
        <f>IF(B752="Retired",MIN(((Q751)*(1+$C$10)+IF(B752="Working",J752,0)),K752),0)</f>
        <v/>
      </c>
      <c r="N752" s="141">
        <f>IF(B752="Retired",MIN(MAX(K752-M752,0),((R751)*(1+$C$10)+IF(B752="Working",E91,0))),0)</f>
        <v/>
      </c>
      <c r="O752" s="141">
        <f>IF(B752="Retired",MIN(MAX(K752-M752-N752,0),((S751)*(1+$C$10)+IF(B752="Working",I752,0))),0)</f>
        <v/>
      </c>
      <c r="P752" s="141">
        <f>IF(B752="Retired",MIN(MAX(K752-M752-N752-O752,0),((T751)*(1+$C$10)+IF(B752="Working",F91,0))),0)</f>
        <v/>
      </c>
      <c r="Q752" s="138">
        <f>MAX(((Q751)*(1+$C$10)+IF(B752="Working",J752,0))-M752,0)</f>
        <v/>
      </c>
      <c r="R752" s="138">
        <f>MAX(((R751)*(1+$C$10)+IF(B752="Working",E91,0))-N752,0)</f>
        <v/>
      </c>
      <c r="S752" s="138">
        <f>MAX(((S751)*(1+$C$10)+IF(B752="Working",I752,0))-O752,0)</f>
        <v/>
      </c>
      <c r="T752" s="138">
        <f>MAX(((T751)*(1+$C$10)+IF(B752="Working",F91,0))-P752,0)</f>
        <v/>
      </c>
      <c r="U752" s="138">
        <f>Q752+R752+S752+T752</f>
        <v/>
      </c>
      <c r="V752" s="138">
        <f>IF(B752="Working",MAX(-(((Q751)*(1+$C$10)+IF(B752="Working",J752,0))),0),MAX(K752-L752,0))</f>
        <v/>
      </c>
      <c r="W752" s="138">
        <f>IF(OR(A752&gt;=$C$13,B752="Retired"),IF(V752&gt;0,-V752,U752-'Model Inputs'!$B$18),"")</f>
        <v/>
      </c>
      <c r="X752" s="138">
        <f>IF(AND($L$238&gt;0,A752&gt;=$C$13),$L$238*(1+$C$25)^(A752-$C$13),0)</f>
        <v/>
      </c>
      <c r="Y752" s="138">
        <f>IF(OR($L$238&lt;=0,$C$17&lt;=0,A752&lt;$C$13,MIN(MAX((A752-$C$13+1)*12,0),$C$17*12)&gt;=$C$17*12),0,IF($C$16=0,MAX(MAX($L$238*(1-$C$15),0)-(IF($C$17&lt;=0,0,IF($C$16=0,MAX($L$238*(1-$C$15),0)/$C$17,-PMT($C$16/12,$C$17*12,MAX($L$238*(1-$C$15),0))*12))/12)*MIN(MAX((A752-$C$13+1)*12,0),$C$17*12),0),MAX(MAX($L$238*(1-$C$15),0)*(1+$C$16/12)^MIN(MAX((A752-$C$13+1)*12,0),$C$17*12)-(IF($C$17&lt;=0,0,IF($C$16=0,MAX($L$238*(1-$C$15),0)/$C$17,-PMT($C$16/12,$C$17*12,MAX($L$238*(1-$C$15),0))*12))/12)*(((1+$C$16/12)^MIN(MAX((A752-$C$13+1)*12,0),$C$17*12)-1)/($C$16/12)),0)))</f>
        <v/>
      </c>
      <c r="Z752" s="138">
        <f>MAX(X752-Y752,0)</f>
        <v/>
      </c>
      <c r="AA752" s="142">
        <f>U752+Z752</f>
        <v/>
      </c>
      <c r="AB752" s="5" t="n"/>
      <c r="AC752" s="5" t="n"/>
      <c r="AD752" s="5" t="n"/>
      <c r="AE752" s="5" t="n"/>
      <c r="AF752" s="5" t="n"/>
      <c r="AG752" s="5" t="n"/>
    </row>
    <row r="753" outlineLevel="1" s="326">
      <c r="A753" s="136" t="n">
        <v>13</v>
      </c>
      <c r="B753" s="72">
        <f>B92</f>
        <v/>
      </c>
      <c r="C753" s="137">
        <f>D92</f>
        <v/>
      </c>
      <c r="D753" s="137">
        <f>I92</f>
        <v/>
      </c>
      <c r="E753" s="137">
        <f>J92</f>
        <v/>
      </c>
      <c r="F753" s="137">
        <f>K92</f>
        <v/>
      </c>
      <c r="G753" s="138">
        <f>IF(AND($L$238&gt;0,A753=$C$13),$L$238*($C$15+$C$18),0)+IF(AND($L$238&gt;0,A753=$C$13),$C$24,0)</f>
        <v/>
      </c>
      <c r="H753" s="138">
        <f>IF(OR($L$238&lt;=0,A753&lt;$C$13),0,IF(AND($L$238&gt;0,$C$17&gt;0,A753&gt;=$C$13,A753&lt;($C$13+$C$17)),IF($C$17&lt;=0,0,IF($C$16=0,MAX($L$238*(1-$C$15),0)/$C$17,-PMT($C$16/12,$C$17*12,MAX($L$238*(1-$C$15),0))*12)),0)+X753*($C$19+$C$20+$C$21)+$C$22+$C$23)</f>
        <v/>
      </c>
      <c r="I753" s="138">
        <f>IF(B753="Working",MIN(MAX(D753-E753-F753-G753-H753,0),'Tax Assumptions'!$B$20),0)</f>
        <v/>
      </c>
      <c r="J753" s="138">
        <f>IF(B753="Working",D753-E753-F753-I753-G753-H753,-L753)</f>
        <v/>
      </c>
      <c r="K753" s="137">
        <f>IF(B753="Retired",$N$238+G753+H753,0)</f>
        <v/>
      </c>
      <c r="L753" s="137">
        <f>M753+N753+O753+P753</f>
        <v/>
      </c>
      <c r="M753" s="137">
        <f>IF(B753="Retired",MIN(((Q752)*(1+$C$10)+IF(B753="Working",J753,0)),K753),0)</f>
        <v/>
      </c>
      <c r="N753" s="137">
        <f>IF(B753="Retired",MIN(MAX(K753-M753,0),((R752)*(1+$C$10)+IF(B753="Working",E92,0))),0)</f>
        <v/>
      </c>
      <c r="O753" s="137">
        <f>IF(B753="Retired",MIN(MAX(K753-M753-N753,0),((S752)*(1+$C$10)+IF(B753="Working",I753,0))),0)</f>
        <v/>
      </c>
      <c r="P753" s="137">
        <f>IF(B753="Retired",MIN(MAX(K753-M753-N753-O753,0),((T752)*(1+$C$10)+IF(B753="Working",F92,0))),0)</f>
        <v/>
      </c>
      <c r="Q753" s="138">
        <f>MAX(((Q752)*(1+$C$10)+IF(B753="Working",J753,0))-M753,0)</f>
        <v/>
      </c>
      <c r="R753" s="138">
        <f>MAX(((R752)*(1+$C$10)+IF(B753="Working",E92,0))-N753,0)</f>
        <v/>
      </c>
      <c r="S753" s="138">
        <f>MAX(((S752)*(1+$C$10)+IF(B753="Working",I753,0))-O753,0)</f>
        <v/>
      </c>
      <c r="T753" s="138">
        <f>MAX(((T752)*(1+$C$10)+IF(B753="Working",F92,0))-P753,0)</f>
        <v/>
      </c>
      <c r="U753" s="138">
        <f>Q753+R753+S753+T753</f>
        <v/>
      </c>
      <c r="V753" s="138">
        <f>IF(B753="Working",MAX(-(((Q752)*(1+$C$10)+IF(B753="Working",J753,0))),0),MAX(K753-L753,0))</f>
        <v/>
      </c>
      <c r="W753" s="138">
        <f>IF(OR(A753&gt;=$C$13,B753="Retired"),IF(V753&gt;0,-V753,U753-'Model Inputs'!$B$18),"")</f>
        <v/>
      </c>
      <c r="X753" s="138">
        <f>IF(AND($L$238&gt;0,A753&gt;=$C$13),$L$238*(1+$C$25)^(A753-$C$13),0)</f>
        <v/>
      </c>
      <c r="Y753" s="138">
        <f>IF(OR($L$238&lt;=0,$C$17&lt;=0,A753&lt;$C$13,MIN(MAX((A753-$C$13+1)*12,0),$C$17*12)&gt;=$C$17*12),0,IF($C$16=0,MAX(MAX($L$238*(1-$C$15),0)-(IF($C$17&lt;=0,0,IF($C$16=0,MAX($L$238*(1-$C$15),0)/$C$17,-PMT($C$16/12,$C$17*12,MAX($L$238*(1-$C$15),0))*12))/12)*MIN(MAX((A753-$C$13+1)*12,0),$C$17*12),0),MAX(MAX($L$238*(1-$C$15),0)*(1+$C$16/12)^MIN(MAX((A753-$C$13+1)*12,0),$C$17*12)-(IF($C$17&lt;=0,0,IF($C$16=0,MAX($L$238*(1-$C$15),0)/$C$17,-PMT($C$16/12,$C$17*12,MAX($L$238*(1-$C$15),0))*12))/12)*(((1+$C$16/12)^MIN(MAX((A753-$C$13+1)*12,0),$C$17*12)-1)/($C$16/12)),0)))</f>
        <v/>
      </c>
      <c r="Z753" s="138">
        <f>MAX(X753-Y753,0)</f>
        <v/>
      </c>
      <c r="AA753" s="139">
        <f>U753+Z753</f>
        <v/>
      </c>
      <c r="AB753" s="5" t="n"/>
      <c r="AC753" s="5" t="n"/>
      <c r="AD753" s="5" t="n"/>
      <c r="AE753" s="5" t="n"/>
      <c r="AF753" s="5" t="n"/>
      <c r="AG753" s="5" t="n"/>
    </row>
    <row r="754" outlineLevel="1" s="326">
      <c r="A754" s="140" t="n">
        <v>14</v>
      </c>
      <c r="B754" s="40">
        <f>B93</f>
        <v/>
      </c>
      <c r="C754" s="141">
        <f>D93</f>
        <v/>
      </c>
      <c r="D754" s="141">
        <f>I93</f>
        <v/>
      </c>
      <c r="E754" s="141">
        <f>J93</f>
        <v/>
      </c>
      <c r="F754" s="141">
        <f>K93</f>
        <v/>
      </c>
      <c r="G754" s="138">
        <f>IF(AND($L$238&gt;0,A754=$C$13),$L$238*($C$15+$C$18),0)+IF(AND($L$238&gt;0,A754=$C$13),$C$24,0)</f>
        <v/>
      </c>
      <c r="H754" s="138">
        <f>IF(OR($L$238&lt;=0,A754&lt;$C$13),0,IF(AND($L$238&gt;0,$C$17&gt;0,A754&gt;=$C$13,A754&lt;($C$13+$C$17)),IF($C$17&lt;=0,0,IF($C$16=0,MAX($L$238*(1-$C$15),0)/$C$17,-PMT($C$16/12,$C$17*12,MAX($L$238*(1-$C$15),0))*12)),0)+X754*($C$19+$C$20+$C$21)+$C$22+$C$23)</f>
        <v/>
      </c>
      <c r="I754" s="138">
        <f>IF(B754="Working",MIN(MAX(D754-E754-F754-G754-H754,0),'Tax Assumptions'!$B$20),0)</f>
        <v/>
      </c>
      <c r="J754" s="138">
        <f>IF(B754="Working",D754-E754-F754-I754-G754-H754,-L754)</f>
        <v/>
      </c>
      <c r="K754" s="141">
        <f>IF(B754="Retired",$N$238+G754+H754,0)</f>
        <v/>
      </c>
      <c r="L754" s="141">
        <f>M754+N754+O754+P754</f>
        <v/>
      </c>
      <c r="M754" s="141">
        <f>IF(B754="Retired",MIN(((Q753)*(1+$C$10)+IF(B754="Working",J754,0)),K754),0)</f>
        <v/>
      </c>
      <c r="N754" s="141">
        <f>IF(B754="Retired",MIN(MAX(K754-M754,0),((R753)*(1+$C$10)+IF(B754="Working",E93,0))),0)</f>
        <v/>
      </c>
      <c r="O754" s="141">
        <f>IF(B754="Retired",MIN(MAX(K754-M754-N754,0),((S753)*(1+$C$10)+IF(B754="Working",I754,0))),0)</f>
        <v/>
      </c>
      <c r="P754" s="141">
        <f>IF(B754="Retired",MIN(MAX(K754-M754-N754-O754,0),((T753)*(1+$C$10)+IF(B754="Working",F93,0))),0)</f>
        <v/>
      </c>
      <c r="Q754" s="138">
        <f>MAX(((Q753)*(1+$C$10)+IF(B754="Working",J754,0))-M754,0)</f>
        <v/>
      </c>
      <c r="R754" s="138">
        <f>MAX(((R753)*(1+$C$10)+IF(B754="Working",E93,0))-N754,0)</f>
        <v/>
      </c>
      <c r="S754" s="138">
        <f>MAX(((S753)*(1+$C$10)+IF(B754="Working",I754,0))-O754,0)</f>
        <v/>
      </c>
      <c r="T754" s="138">
        <f>MAX(((T753)*(1+$C$10)+IF(B754="Working",F93,0))-P754,0)</f>
        <v/>
      </c>
      <c r="U754" s="138">
        <f>Q754+R754+S754+T754</f>
        <v/>
      </c>
      <c r="V754" s="138">
        <f>IF(B754="Working",MAX(-(((Q753)*(1+$C$10)+IF(B754="Working",J754,0))),0),MAX(K754-L754,0))</f>
        <v/>
      </c>
      <c r="W754" s="138">
        <f>IF(OR(A754&gt;=$C$13,B754="Retired"),IF(V754&gt;0,-V754,U754-'Model Inputs'!$B$18),"")</f>
        <v/>
      </c>
      <c r="X754" s="138">
        <f>IF(AND($L$238&gt;0,A754&gt;=$C$13),$L$238*(1+$C$25)^(A754-$C$13),0)</f>
        <v/>
      </c>
      <c r="Y754" s="138">
        <f>IF(OR($L$238&lt;=0,$C$17&lt;=0,A754&lt;$C$13,MIN(MAX((A754-$C$13+1)*12,0),$C$17*12)&gt;=$C$17*12),0,IF($C$16=0,MAX(MAX($L$238*(1-$C$15),0)-(IF($C$17&lt;=0,0,IF($C$16=0,MAX($L$238*(1-$C$15),0)/$C$17,-PMT($C$16/12,$C$17*12,MAX($L$238*(1-$C$15),0))*12))/12)*MIN(MAX((A754-$C$13+1)*12,0),$C$17*12),0),MAX(MAX($L$238*(1-$C$15),0)*(1+$C$16/12)^MIN(MAX((A754-$C$13+1)*12,0),$C$17*12)-(IF($C$17&lt;=0,0,IF($C$16=0,MAX($L$238*(1-$C$15),0)/$C$17,-PMT($C$16/12,$C$17*12,MAX($L$238*(1-$C$15),0))*12))/12)*(((1+$C$16/12)^MIN(MAX((A754-$C$13+1)*12,0),$C$17*12)-1)/($C$16/12)),0)))</f>
        <v/>
      </c>
      <c r="Z754" s="138">
        <f>MAX(X754-Y754,0)</f>
        <v/>
      </c>
      <c r="AA754" s="142">
        <f>U754+Z754</f>
        <v/>
      </c>
      <c r="AB754" s="5" t="n"/>
      <c r="AC754" s="5" t="n"/>
      <c r="AD754" s="5" t="n"/>
      <c r="AE754" s="5" t="n"/>
      <c r="AF754" s="5" t="n"/>
      <c r="AG754" s="5" t="n"/>
    </row>
    <row r="755" outlineLevel="1" s="326">
      <c r="A755" s="136" t="n">
        <v>15</v>
      </c>
      <c r="B755" s="72">
        <f>B94</f>
        <v/>
      </c>
      <c r="C755" s="137">
        <f>D94</f>
        <v/>
      </c>
      <c r="D755" s="137">
        <f>I94</f>
        <v/>
      </c>
      <c r="E755" s="137">
        <f>J94</f>
        <v/>
      </c>
      <c r="F755" s="137">
        <f>K94</f>
        <v/>
      </c>
      <c r="G755" s="138">
        <f>IF(AND($L$238&gt;0,A755=$C$13),$L$238*($C$15+$C$18),0)+IF(AND($L$238&gt;0,A755=$C$13),$C$24,0)</f>
        <v/>
      </c>
      <c r="H755" s="138">
        <f>IF(OR($L$238&lt;=0,A755&lt;$C$13),0,IF(AND($L$238&gt;0,$C$17&gt;0,A755&gt;=$C$13,A755&lt;($C$13+$C$17)),IF($C$17&lt;=0,0,IF($C$16=0,MAX($L$238*(1-$C$15),0)/$C$17,-PMT($C$16/12,$C$17*12,MAX($L$238*(1-$C$15),0))*12)),0)+X755*($C$19+$C$20+$C$21)+$C$22+$C$23)</f>
        <v/>
      </c>
      <c r="I755" s="138">
        <f>IF(B755="Working",MIN(MAX(D755-E755-F755-G755-H755,0),'Tax Assumptions'!$B$20),0)</f>
        <v/>
      </c>
      <c r="J755" s="138">
        <f>IF(B755="Working",D755-E755-F755-I755-G755-H755,-L755)</f>
        <v/>
      </c>
      <c r="K755" s="137">
        <f>IF(B755="Retired",$N$238+G755+H755,0)</f>
        <v/>
      </c>
      <c r="L755" s="137">
        <f>M755+N755+O755+P755</f>
        <v/>
      </c>
      <c r="M755" s="137">
        <f>IF(B755="Retired",MIN(((Q754)*(1+$C$10)+IF(B755="Working",J755,0)),K755),0)</f>
        <v/>
      </c>
      <c r="N755" s="137">
        <f>IF(B755="Retired",MIN(MAX(K755-M755,0),((R754)*(1+$C$10)+IF(B755="Working",E94,0))),0)</f>
        <v/>
      </c>
      <c r="O755" s="137">
        <f>IF(B755="Retired",MIN(MAX(K755-M755-N755,0),((S754)*(1+$C$10)+IF(B755="Working",I755,0))),0)</f>
        <v/>
      </c>
      <c r="P755" s="137">
        <f>IF(B755="Retired",MIN(MAX(K755-M755-N755-O755,0),((T754)*(1+$C$10)+IF(B755="Working",F94,0))),0)</f>
        <v/>
      </c>
      <c r="Q755" s="138">
        <f>MAX(((Q754)*(1+$C$10)+IF(B755="Working",J755,0))-M755,0)</f>
        <v/>
      </c>
      <c r="R755" s="138">
        <f>MAX(((R754)*(1+$C$10)+IF(B755="Working",E94,0))-N755,0)</f>
        <v/>
      </c>
      <c r="S755" s="138">
        <f>MAX(((S754)*(1+$C$10)+IF(B755="Working",I755,0))-O755,0)</f>
        <v/>
      </c>
      <c r="T755" s="138">
        <f>MAX(((T754)*(1+$C$10)+IF(B755="Working",F94,0))-P755,0)</f>
        <v/>
      </c>
      <c r="U755" s="138">
        <f>Q755+R755+S755+T755</f>
        <v/>
      </c>
      <c r="V755" s="138">
        <f>IF(B755="Working",MAX(-(((Q754)*(1+$C$10)+IF(B755="Working",J755,0))),0),MAX(K755-L755,0))</f>
        <v/>
      </c>
      <c r="W755" s="138">
        <f>IF(OR(A755&gt;=$C$13,B755="Retired"),IF(V755&gt;0,-V755,U755-'Model Inputs'!$B$18),"")</f>
        <v/>
      </c>
      <c r="X755" s="138">
        <f>IF(AND($L$238&gt;0,A755&gt;=$C$13),$L$238*(1+$C$25)^(A755-$C$13),0)</f>
        <v/>
      </c>
      <c r="Y755" s="138">
        <f>IF(OR($L$238&lt;=0,$C$17&lt;=0,A755&lt;$C$13,MIN(MAX((A755-$C$13+1)*12,0),$C$17*12)&gt;=$C$17*12),0,IF($C$16=0,MAX(MAX($L$238*(1-$C$15),0)-(IF($C$17&lt;=0,0,IF($C$16=0,MAX($L$238*(1-$C$15),0)/$C$17,-PMT($C$16/12,$C$17*12,MAX($L$238*(1-$C$15),0))*12))/12)*MIN(MAX((A755-$C$13+1)*12,0),$C$17*12),0),MAX(MAX($L$238*(1-$C$15),0)*(1+$C$16/12)^MIN(MAX((A755-$C$13+1)*12,0),$C$17*12)-(IF($C$17&lt;=0,0,IF($C$16=0,MAX($L$238*(1-$C$15),0)/$C$17,-PMT($C$16/12,$C$17*12,MAX($L$238*(1-$C$15),0))*12))/12)*(((1+$C$16/12)^MIN(MAX((A755-$C$13+1)*12,0),$C$17*12)-1)/($C$16/12)),0)))</f>
        <v/>
      </c>
      <c r="Z755" s="138">
        <f>MAX(X755-Y755,0)</f>
        <v/>
      </c>
      <c r="AA755" s="139">
        <f>U755+Z755</f>
        <v/>
      </c>
      <c r="AB755" s="5" t="n"/>
      <c r="AC755" s="5" t="n"/>
      <c r="AD755" s="5" t="n"/>
      <c r="AE755" s="5" t="n"/>
      <c r="AF755" s="5" t="n"/>
      <c r="AG755" s="5" t="n"/>
    </row>
    <row r="756" outlineLevel="1" s="326">
      <c r="A756" s="140" t="n">
        <v>16</v>
      </c>
      <c r="B756" s="40">
        <f>B95</f>
        <v/>
      </c>
      <c r="C756" s="141">
        <f>D95</f>
        <v/>
      </c>
      <c r="D756" s="141">
        <f>I95</f>
        <v/>
      </c>
      <c r="E756" s="141">
        <f>J95</f>
        <v/>
      </c>
      <c r="F756" s="141">
        <f>K95</f>
        <v/>
      </c>
      <c r="G756" s="138">
        <f>IF(AND($L$238&gt;0,A756=$C$13),$L$238*($C$15+$C$18),0)+IF(AND($L$238&gt;0,A756=$C$13),$C$24,0)</f>
        <v/>
      </c>
      <c r="H756" s="138">
        <f>IF(OR($L$238&lt;=0,A756&lt;$C$13),0,IF(AND($L$238&gt;0,$C$17&gt;0,A756&gt;=$C$13,A756&lt;($C$13+$C$17)),IF($C$17&lt;=0,0,IF($C$16=0,MAX($L$238*(1-$C$15),0)/$C$17,-PMT($C$16/12,$C$17*12,MAX($L$238*(1-$C$15),0))*12)),0)+X756*($C$19+$C$20+$C$21)+$C$22+$C$23)</f>
        <v/>
      </c>
      <c r="I756" s="138">
        <f>IF(B756="Working",MIN(MAX(D756-E756-F756-G756-H756,0),'Tax Assumptions'!$B$20),0)</f>
        <v/>
      </c>
      <c r="J756" s="138">
        <f>IF(B756="Working",D756-E756-F756-I756-G756-H756,-L756)</f>
        <v/>
      </c>
      <c r="K756" s="141">
        <f>IF(B756="Retired",$N$238+G756+H756,0)</f>
        <v/>
      </c>
      <c r="L756" s="141">
        <f>M756+N756+O756+P756</f>
        <v/>
      </c>
      <c r="M756" s="141">
        <f>IF(B756="Retired",MIN(((Q755)*(1+$C$10)+IF(B756="Working",J756,0)),K756),0)</f>
        <v/>
      </c>
      <c r="N756" s="141">
        <f>IF(B756="Retired",MIN(MAX(K756-M756,0),((R755)*(1+$C$10)+IF(B756="Working",E95,0))),0)</f>
        <v/>
      </c>
      <c r="O756" s="141">
        <f>IF(B756="Retired",MIN(MAX(K756-M756-N756,0),((S755)*(1+$C$10)+IF(B756="Working",I756,0))),0)</f>
        <v/>
      </c>
      <c r="P756" s="141">
        <f>IF(B756="Retired",MIN(MAX(K756-M756-N756-O756,0),((T755)*(1+$C$10)+IF(B756="Working",F95,0))),0)</f>
        <v/>
      </c>
      <c r="Q756" s="138">
        <f>MAX(((Q755)*(1+$C$10)+IF(B756="Working",J756,0))-M756,0)</f>
        <v/>
      </c>
      <c r="R756" s="138">
        <f>MAX(((R755)*(1+$C$10)+IF(B756="Working",E95,0))-N756,0)</f>
        <v/>
      </c>
      <c r="S756" s="138">
        <f>MAX(((S755)*(1+$C$10)+IF(B756="Working",I756,0))-O756,0)</f>
        <v/>
      </c>
      <c r="T756" s="138">
        <f>MAX(((T755)*(1+$C$10)+IF(B756="Working",F95,0))-P756,0)</f>
        <v/>
      </c>
      <c r="U756" s="138">
        <f>Q756+R756+S756+T756</f>
        <v/>
      </c>
      <c r="V756" s="138">
        <f>IF(B756="Working",MAX(-(((Q755)*(1+$C$10)+IF(B756="Working",J756,0))),0),MAX(K756-L756,0))</f>
        <v/>
      </c>
      <c r="W756" s="138">
        <f>IF(OR(A756&gt;=$C$13,B756="Retired"),IF(V756&gt;0,-V756,U756-'Model Inputs'!$B$18),"")</f>
        <v/>
      </c>
      <c r="X756" s="138">
        <f>IF(AND($L$238&gt;0,A756&gt;=$C$13),$L$238*(1+$C$25)^(A756-$C$13),0)</f>
        <v/>
      </c>
      <c r="Y756" s="138">
        <f>IF(OR($L$238&lt;=0,$C$17&lt;=0,A756&lt;$C$13,MIN(MAX((A756-$C$13+1)*12,0),$C$17*12)&gt;=$C$17*12),0,IF($C$16=0,MAX(MAX($L$238*(1-$C$15),0)-(IF($C$17&lt;=0,0,IF($C$16=0,MAX($L$238*(1-$C$15),0)/$C$17,-PMT($C$16/12,$C$17*12,MAX($L$238*(1-$C$15),0))*12))/12)*MIN(MAX((A756-$C$13+1)*12,0),$C$17*12),0),MAX(MAX($L$238*(1-$C$15),0)*(1+$C$16/12)^MIN(MAX((A756-$C$13+1)*12,0),$C$17*12)-(IF($C$17&lt;=0,0,IF($C$16=0,MAX($L$238*(1-$C$15),0)/$C$17,-PMT($C$16/12,$C$17*12,MAX($L$238*(1-$C$15),0))*12))/12)*(((1+$C$16/12)^MIN(MAX((A756-$C$13+1)*12,0),$C$17*12)-1)/($C$16/12)),0)))</f>
        <v/>
      </c>
      <c r="Z756" s="138">
        <f>MAX(X756-Y756,0)</f>
        <v/>
      </c>
      <c r="AA756" s="142">
        <f>U756+Z756</f>
        <v/>
      </c>
      <c r="AB756" s="5" t="n"/>
      <c r="AC756" s="5" t="n"/>
      <c r="AD756" s="5" t="n"/>
      <c r="AE756" s="5" t="n"/>
      <c r="AF756" s="5" t="n"/>
      <c r="AG756" s="5" t="n"/>
    </row>
    <row r="757" outlineLevel="1" s="326">
      <c r="A757" s="136" t="n">
        <v>17</v>
      </c>
      <c r="B757" s="72">
        <f>B96</f>
        <v/>
      </c>
      <c r="C757" s="137">
        <f>D96</f>
        <v/>
      </c>
      <c r="D757" s="137">
        <f>I96</f>
        <v/>
      </c>
      <c r="E757" s="137">
        <f>J96</f>
        <v/>
      </c>
      <c r="F757" s="137">
        <f>K96</f>
        <v/>
      </c>
      <c r="G757" s="138">
        <f>IF(AND($L$238&gt;0,A757=$C$13),$L$238*($C$15+$C$18),0)+IF(AND($L$238&gt;0,A757=$C$13),$C$24,0)</f>
        <v/>
      </c>
      <c r="H757" s="138">
        <f>IF(OR($L$238&lt;=0,A757&lt;$C$13),0,IF(AND($L$238&gt;0,$C$17&gt;0,A757&gt;=$C$13,A757&lt;($C$13+$C$17)),IF($C$17&lt;=0,0,IF($C$16=0,MAX($L$238*(1-$C$15),0)/$C$17,-PMT($C$16/12,$C$17*12,MAX($L$238*(1-$C$15),0))*12)),0)+X757*($C$19+$C$20+$C$21)+$C$22+$C$23)</f>
        <v/>
      </c>
      <c r="I757" s="138">
        <f>IF(B757="Working",MIN(MAX(D757-E757-F757-G757-H757,0),'Tax Assumptions'!$B$20),0)</f>
        <v/>
      </c>
      <c r="J757" s="138">
        <f>IF(B757="Working",D757-E757-F757-I757-G757-H757,-L757)</f>
        <v/>
      </c>
      <c r="K757" s="137">
        <f>IF(B757="Retired",$N$238+G757+H757,0)</f>
        <v/>
      </c>
      <c r="L757" s="137">
        <f>M757+N757+O757+P757</f>
        <v/>
      </c>
      <c r="M757" s="137">
        <f>IF(B757="Retired",MIN(((Q756)*(1+$C$10)+IF(B757="Working",J757,0)),K757),0)</f>
        <v/>
      </c>
      <c r="N757" s="137">
        <f>IF(B757="Retired",MIN(MAX(K757-M757,0),((R756)*(1+$C$10)+IF(B757="Working",E96,0))),0)</f>
        <v/>
      </c>
      <c r="O757" s="137">
        <f>IF(B757="Retired",MIN(MAX(K757-M757-N757,0),((S756)*(1+$C$10)+IF(B757="Working",I757,0))),0)</f>
        <v/>
      </c>
      <c r="P757" s="137">
        <f>IF(B757="Retired",MIN(MAX(K757-M757-N757-O757,0),((T756)*(1+$C$10)+IF(B757="Working",F96,0))),0)</f>
        <v/>
      </c>
      <c r="Q757" s="138">
        <f>MAX(((Q756)*(1+$C$10)+IF(B757="Working",J757,0))-M757,0)</f>
        <v/>
      </c>
      <c r="R757" s="138">
        <f>MAX(((R756)*(1+$C$10)+IF(B757="Working",E96,0))-N757,0)</f>
        <v/>
      </c>
      <c r="S757" s="138">
        <f>MAX(((S756)*(1+$C$10)+IF(B757="Working",I757,0))-O757,0)</f>
        <v/>
      </c>
      <c r="T757" s="138">
        <f>MAX(((T756)*(1+$C$10)+IF(B757="Working",F96,0))-P757,0)</f>
        <v/>
      </c>
      <c r="U757" s="138">
        <f>Q757+R757+S757+T757</f>
        <v/>
      </c>
      <c r="V757" s="138">
        <f>IF(B757="Working",MAX(-(((Q756)*(1+$C$10)+IF(B757="Working",J757,0))),0),MAX(K757-L757,0))</f>
        <v/>
      </c>
      <c r="W757" s="138">
        <f>IF(OR(A757&gt;=$C$13,B757="Retired"),IF(V757&gt;0,-V757,U757-'Model Inputs'!$B$18),"")</f>
        <v/>
      </c>
      <c r="X757" s="138">
        <f>IF(AND($L$238&gt;0,A757&gt;=$C$13),$L$238*(1+$C$25)^(A757-$C$13),0)</f>
        <v/>
      </c>
      <c r="Y757" s="138">
        <f>IF(OR($L$238&lt;=0,$C$17&lt;=0,A757&lt;$C$13,MIN(MAX((A757-$C$13+1)*12,0),$C$17*12)&gt;=$C$17*12),0,IF($C$16=0,MAX(MAX($L$238*(1-$C$15),0)-(IF($C$17&lt;=0,0,IF($C$16=0,MAX($L$238*(1-$C$15),0)/$C$17,-PMT($C$16/12,$C$17*12,MAX($L$238*(1-$C$15),0))*12))/12)*MIN(MAX((A757-$C$13+1)*12,0),$C$17*12),0),MAX(MAX($L$238*(1-$C$15),0)*(1+$C$16/12)^MIN(MAX((A757-$C$13+1)*12,0),$C$17*12)-(IF($C$17&lt;=0,0,IF($C$16=0,MAX($L$238*(1-$C$15),0)/$C$17,-PMT($C$16/12,$C$17*12,MAX($L$238*(1-$C$15),0))*12))/12)*(((1+$C$16/12)^MIN(MAX((A757-$C$13+1)*12,0),$C$17*12)-1)/($C$16/12)),0)))</f>
        <v/>
      </c>
      <c r="Z757" s="138">
        <f>MAX(X757-Y757,0)</f>
        <v/>
      </c>
      <c r="AA757" s="139">
        <f>U757+Z757</f>
        <v/>
      </c>
      <c r="AB757" s="5" t="n"/>
      <c r="AC757" s="5" t="n"/>
      <c r="AD757" s="5" t="n"/>
      <c r="AE757" s="5" t="n"/>
      <c r="AF757" s="5" t="n"/>
      <c r="AG757" s="5" t="n"/>
    </row>
    <row r="758" outlineLevel="1" s="326">
      <c r="A758" s="140" t="n">
        <v>18</v>
      </c>
      <c r="B758" s="40">
        <f>B97</f>
        <v/>
      </c>
      <c r="C758" s="141">
        <f>D97</f>
        <v/>
      </c>
      <c r="D758" s="141">
        <f>I97</f>
        <v/>
      </c>
      <c r="E758" s="141">
        <f>J97</f>
        <v/>
      </c>
      <c r="F758" s="141">
        <f>K97</f>
        <v/>
      </c>
      <c r="G758" s="138">
        <f>IF(AND($L$238&gt;0,A758=$C$13),$L$238*($C$15+$C$18),0)+IF(AND($L$238&gt;0,A758=$C$13),$C$24,0)</f>
        <v/>
      </c>
      <c r="H758" s="138">
        <f>IF(OR($L$238&lt;=0,A758&lt;$C$13),0,IF(AND($L$238&gt;0,$C$17&gt;0,A758&gt;=$C$13,A758&lt;($C$13+$C$17)),IF($C$17&lt;=0,0,IF($C$16=0,MAX($L$238*(1-$C$15),0)/$C$17,-PMT($C$16/12,$C$17*12,MAX($L$238*(1-$C$15),0))*12)),0)+X758*($C$19+$C$20+$C$21)+$C$22+$C$23)</f>
        <v/>
      </c>
      <c r="I758" s="138">
        <f>IF(B758="Working",MIN(MAX(D758-E758-F758-G758-H758,0),'Tax Assumptions'!$B$20),0)</f>
        <v/>
      </c>
      <c r="J758" s="138">
        <f>IF(B758="Working",D758-E758-F758-I758-G758-H758,-L758)</f>
        <v/>
      </c>
      <c r="K758" s="141">
        <f>IF(B758="Retired",$N$238+G758+H758,0)</f>
        <v/>
      </c>
      <c r="L758" s="141">
        <f>M758+N758+O758+P758</f>
        <v/>
      </c>
      <c r="M758" s="141">
        <f>IF(B758="Retired",MIN(((Q757)*(1+$C$10)+IF(B758="Working",J758,0)),K758),0)</f>
        <v/>
      </c>
      <c r="N758" s="141">
        <f>IF(B758="Retired",MIN(MAX(K758-M758,0),((R757)*(1+$C$10)+IF(B758="Working",E97,0))),0)</f>
        <v/>
      </c>
      <c r="O758" s="141">
        <f>IF(B758="Retired",MIN(MAX(K758-M758-N758,0),((S757)*(1+$C$10)+IF(B758="Working",I758,0))),0)</f>
        <v/>
      </c>
      <c r="P758" s="141">
        <f>IF(B758="Retired",MIN(MAX(K758-M758-N758-O758,0),((T757)*(1+$C$10)+IF(B758="Working",F97,0))),0)</f>
        <v/>
      </c>
      <c r="Q758" s="138">
        <f>MAX(((Q757)*(1+$C$10)+IF(B758="Working",J758,0))-M758,0)</f>
        <v/>
      </c>
      <c r="R758" s="138">
        <f>MAX(((R757)*(1+$C$10)+IF(B758="Working",E97,0))-N758,0)</f>
        <v/>
      </c>
      <c r="S758" s="138">
        <f>MAX(((S757)*(1+$C$10)+IF(B758="Working",I758,0))-O758,0)</f>
        <v/>
      </c>
      <c r="T758" s="138">
        <f>MAX(((T757)*(1+$C$10)+IF(B758="Working",F97,0))-P758,0)</f>
        <v/>
      </c>
      <c r="U758" s="138">
        <f>Q758+R758+S758+T758</f>
        <v/>
      </c>
      <c r="V758" s="138">
        <f>IF(B758="Working",MAX(-(((Q757)*(1+$C$10)+IF(B758="Working",J758,0))),0),MAX(K758-L758,0))</f>
        <v/>
      </c>
      <c r="W758" s="138">
        <f>IF(OR(A758&gt;=$C$13,B758="Retired"),IF(V758&gt;0,-V758,U758-'Model Inputs'!$B$18),"")</f>
        <v/>
      </c>
      <c r="X758" s="138">
        <f>IF(AND($L$238&gt;0,A758&gt;=$C$13),$L$238*(1+$C$25)^(A758-$C$13),0)</f>
        <v/>
      </c>
      <c r="Y758" s="138">
        <f>IF(OR($L$238&lt;=0,$C$17&lt;=0,A758&lt;$C$13,MIN(MAX((A758-$C$13+1)*12,0),$C$17*12)&gt;=$C$17*12),0,IF($C$16=0,MAX(MAX($L$238*(1-$C$15),0)-(IF($C$17&lt;=0,0,IF($C$16=0,MAX($L$238*(1-$C$15),0)/$C$17,-PMT($C$16/12,$C$17*12,MAX($L$238*(1-$C$15),0))*12))/12)*MIN(MAX((A758-$C$13+1)*12,0),$C$17*12),0),MAX(MAX($L$238*(1-$C$15),0)*(1+$C$16/12)^MIN(MAX((A758-$C$13+1)*12,0),$C$17*12)-(IF($C$17&lt;=0,0,IF($C$16=0,MAX($L$238*(1-$C$15),0)/$C$17,-PMT($C$16/12,$C$17*12,MAX($L$238*(1-$C$15),0))*12))/12)*(((1+$C$16/12)^MIN(MAX((A758-$C$13+1)*12,0),$C$17*12)-1)/($C$16/12)),0)))</f>
        <v/>
      </c>
      <c r="Z758" s="138">
        <f>MAX(X758-Y758,0)</f>
        <v/>
      </c>
      <c r="AA758" s="142">
        <f>U758+Z758</f>
        <v/>
      </c>
      <c r="AB758" s="5" t="n"/>
      <c r="AC758" s="5" t="n"/>
      <c r="AD758" s="5" t="n"/>
      <c r="AE758" s="5" t="n"/>
      <c r="AF758" s="5" t="n"/>
      <c r="AG758" s="5" t="n"/>
    </row>
    <row r="759" outlineLevel="1" s="326">
      <c r="A759" s="136" t="n">
        <v>19</v>
      </c>
      <c r="B759" s="72">
        <f>B98</f>
        <v/>
      </c>
      <c r="C759" s="137">
        <f>D98</f>
        <v/>
      </c>
      <c r="D759" s="137">
        <f>I98</f>
        <v/>
      </c>
      <c r="E759" s="137">
        <f>J98</f>
        <v/>
      </c>
      <c r="F759" s="137">
        <f>K98</f>
        <v/>
      </c>
      <c r="G759" s="138">
        <f>IF(AND($L$238&gt;0,A759=$C$13),$L$238*($C$15+$C$18),0)+IF(AND($L$238&gt;0,A759=$C$13),$C$24,0)</f>
        <v/>
      </c>
      <c r="H759" s="138">
        <f>IF(OR($L$238&lt;=0,A759&lt;$C$13),0,IF(AND($L$238&gt;0,$C$17&gt;0,A759&gt;=$C$13,A759&lt;($C$13+$C$17)),IF($C$17&lt;=0,0,IF($C$16=0,MAX($L$238*(1-$C$15),0)/$C$17,-PMT($C$16/12,$C$17*12,MAX($L$238*(1-$C$15),0))*12)),0)+X759*($C$19+$C$20+$C$21)+$C$22+$C$23)</f>
        <v/>
      </c>
      <c r="I759" s="138">
        <f>IF(B759="Working",MIN(MAX(D759-E759-F759-G759-H759,0),'Tax Assumptions'!$B$20),0)</f>
        <v/>
      </c>
      <c r="J759" s="138">
        <f>IF(B759="Working",D759-E759-F759-I759-G759-H759,-L759)</f>
        <v/>
      </c>
      <c r="K759" s="137">
        <f>IF(B759="Retired",$N$238+G759+H759,0)</f>
        <v/>
      </c>
      <c r="L759" s="137">
        <f>M759+N759+O759+P759</f>
        <v/>
      </c>
      <c r="M759" s="137">
        <f>IF(B759="Retired",MIN(((Q758)*(1+$C$10)+IF(B759="Working",J759,0)),K759),0)</f>
        <v/>
      </c>
      <c r="N759" s="137">
        <f>IF(B759="Retired",MIN(MAX(K759-M759,0),((R758)*(1+$C$10)+IF(B759="Working",E98,0))),0)</f>
        <v/>
      </c>
      <c r="O759" s="137">
        <f>IF(B759="Retired",MIN(MAX(K759-M759-N759,0),((S758)*(1+$C$10)+IF(B759="Working",I759,0))),0)</f>
        <v/>
      </c>
      <c r="P759" s="137">
        <f>IF(B759="Retired",MIN(MAX(K759-M759-N759-O759,0),((T758)*(1+$C$10)+IF(B759="Working",F98,0))),0)</f>
        <v/>
      </c>
      <c r="Q759" s="138">
        <f>MAX(((Q758)*(1+$C$10)+IF(B759="Working",J759,0))-M759,0)</f>
        <v/>
      </c>
      <c r="R759" s="138">
        <f>MAX(((R758)*(1+$C$10)+IF(B759="Working",E98,0))-N759,0)</f>
        <v/>
      </c>
      <c r="S759" s="138">
        <f>MAX(((S758)*(1+$C$10)+IF(B759="Working",I759,0))-O759,0)</f>
        <v/>
      </c>
      <c r="T759" s="138">
        <f>MAX(((T758)*(1+$C$10)+IF(B759="Working",F98,0))-P759,0)</f>
        <v/>
      </c>
      <c r="U759" s="138">
        <f>Q759+R759+S759+T759</f>
        <v/>
      </c>
      <c r="V759" s="138">
        <f>IF(B759="Working",MAX(-(((Q758)*(1+$C$10)+IF(B759="Working",J759,0))),0),MAX(K759-L759,0))</f>
        <v/>
      </c>
      <c r="W759" s="138">
        <f>IF(OR(A759&gt;=$C$13,B759="Retired"),IF(V759&gt;0,-V759,U759-'Model Inputs'!$B$18),"")</f>
        <v/>
      </c>
      <c r="X759" s="138">
        <f>IF(AND($L$238&gt;0,A759&gt;=$C$13),$L$238*(1+$C$25)^(A759-$C$13),0)</f>
        <v/>
      </c>
      <c r="Y759" s="138">
        <f>IF(OR($L$238&lt;=0,$C$17&lt;=0,A759&lt;$C$13,MIN(MAX((A759-$C$13+1)*12,0),$C$17*12)&gt;=$C$17*12),0,IF($C$16=0,MAX(MAX($L$238*(1-$C$15),0)-(IF($C$17&lt;=0,0,IF($C$16=0,MAX($L$238*(1-$C$15),0)/$C$17,-PMT($C$16/12,$C$17*12,MAX($L$238*(1-$C$15),0))*12))/12)*MIN(MAX((A759-$C$13+1)*12,0),$C$17*12),0),MAX(MAX($L$238*(1-$C$15),0)*(1+$C$16/12)^MIN(MAX((A759-$C$13+1)*12,0),$C$17*12)-(IF($C$17&lt;=0,0,IF($C$16=0,MAX($L$238*(1-$C$15),0)/$C$17,-PMT($C$16/12,$C$17*12,MAX($L$238*(1-$C$15),0))*12))/12)*(((1+$C$16/12)^MIN(MAX((A759-$C$13+1)*12,0),$C$17*12)-1)/($C$16/12)),0)))</f>
        <v/>
      </c>
      <c r="Z759" s="138">
        <f>MAX(X759-Y759,0)</f>
        <v/>
      </c>
      <c r="AA759" s="139">
        <f>U759+Z759</f>
        <v/>
      </c>
      <c r="AB759" s="5" t="n"/>
      <c r="AC759" s="5" t="n"/>
      <c r="AD759" s="5" t="n"/>
      <c r="AE759" s="5" t="n"/>
      <c r="AF759" s="5" t="n"/>
      <c r="AG759" s="5" t="n"/>
    </row>
    <row r="760" outlineLevel="1" s="326">
      <c r="A760" s="140" t="n">
        <v>20</v>
      </c>
      <c r="B760" s="40">
        <f>B99</f>
        <v/>
      </c>
      <c r="C760" s="141">
        <f>D99</f>
        <v/>
      </c>
      <c r="D760" s="141">
        <f>I99</f>
        <v/>
      </c>
      <c r="E760" s="141">
        <f>J99</f>
        <v/>
      </c>
      <c r="F760" s="141">
        <f>K99</f>
        <v/>
      </c>
      <c r="G760" s="138">
        <f>IF(AND($L$238&gt;0,A760=$C$13),$L$238*($C$15+$C$18),0)+IF(AND($L$238&gt;0,A760=$C$13),$C$24,0)</f>
        <v/>
      </c>
      <c r="H760" s="138">
        <f>IF(OR($L$238&lt;=0,A760&lt;$C$13),0,IF(AND($L$238&gt;0,$C$17&gt;0,A760&gt;=$C$13,A760&lt;($C$13+$C$17)),IF($C$17&lt;=0,0,IF($C$16=0,MAX($L$238*(1-$C$15),0)/$C$17,-PMT($C$16/12,$C$17*12,MAX($L$238*(1-$C$15),0))*12)),0)+X760*($C$19+$C$20+$C$21)+$C$22+$C$23)</f>
        <v/>
      </c>
      <c r="I760" s="138">
        <f>IF(B760="Working",MIN(MAX(D760-E760-F760-G760-H760,0),'Tax Assumptions'!$B$20),0)</f>
        <v/>
      </c>
      <c r="J760" s="138">
        <f>IF(B760="Working",D760-E760-F760-I760-G760-H760,-L760)</f>
        <v/>
      </c>
      <c r="K760" s="141">
        <f>IF(B760="Retired",$N$238+G760+H760,0)</f>
        <v/>
      </c>
      <c r="L760" s="141">
        <f>M760+N760+O760+P760</f>
        <v/>
      </c>
      <c r="M760" s="141">
        <f>IF(B760="Retired",MIN(((Q759)*(1+$C$10)+IF(B760="Working",J760,0)),K760),0)</f>
        <v/>
      </c>
      <c r="N760" s="141">
        <f>IF(B760="Retired",MIN(MAX(K760-M760,0),((R759)*(1+$C$10)+IF(B760="Working",E99,0))),0)</f>
        <v/>
      </c>
      <c r="O760" s="141">
        <f>IF(B760="Retired",MIN(MAX(K760-M760-N760,0),((S759)*(1+$C$10)+IF(B760="Working",I760,0))),0)</f>
        <v/>
      </c>
      <c r="P760" s="141">
        <f>IF(B760="Retired",MIN(MAX(K760-M760-N760-O760,0),((T759)*(1+$C$10)+IF(B760="Working",F99,0))),0)</f>
        <v/>
      </c>
      <c r="Q760" s="138">
        <f>MAX(((Q759)*(1+$C$10)+IF(B760="Working",J760,0))-M760,0)</f>
        <v/>
      </c>
      <c r="R760" s="138">
        <f>MAX(((R759)*(1+$C$10)+IF(B760="Working",E99,0))-N760,0)</f>
        <v/>
      </c>
      <c r="S760" s="138">
        <f>MAX(((S759)*(1+$C$10)+IF(B760="Working",I760,0))-O760,0)</f>
        <v/>
      </c>
      <c r="T760" s="138">
        <f>MAX(((T759)*(1+$C$10)+IF(B760="Working",F99,0))-P760,0)</f>
        <v/>
      </c>
      <c r="U760" s="138">
        <f>Q760+R760+S760+T760</f>
        <v/>
      </c>
      <c r="V760" s="138">
        <f>IF(B760="Working",MAX(-(((Q759)*(1+$C$10)+IF(B760="Working",J760,0))),0),MAX(K760-L760,0))</f>
        <v/>
      </c>
      <c r="W760" s="138">
        <f>IF(OR(A760&gt;=$C$13,B760="Retired"),IF(V760&gt;0,-V760,U760-'Model Inputs'!$B$18),"")</f>
        <v/>
      </c>
      <c r="X760" s="138">
        <f>IF(AND($L$238&gt;0,A760&gt;=$C$13),$L$238*(1+$C$25)^(A760-$C$13),0)</f>
        <v/>
      </c>
      <c r="Y760" s="138">
        <f>IF(OR($L$238&lt;=0,$C$17&lt;=0,A760&lt;$C$13,MIN(MAX((A760-$C$13+1)*12,0),$C$17*12)&gt;=$C$17*12),0,IF($C$16=0,MAX(MAX($L$238*(1-$C$15),0)-(IF($C$17&lt;=0,0,IF($C$16=0,MAX($L$238*(1-$C$15),0)/$C$17,-PMT($C$16/12,$C$17*12,MAX($L$238*(1-$C$15),0))*12))/12)*MIN(MAX((A760-$C$13+1)*12,0),$C$17*12),0),MAX(MAX($L$238*(1-$C$15),0)*(1+$C$16/12)^MIN(MAX((A760-$C$13+1)*12,0),$C$17*12)-(IF($C$17&lt;=0,0,IF($C$16=0,MAX($L$238*(1-$C$15),0)/$C$17,-PMT($C$16/12,$C$17*12,MAX($L$238*(1-$C$15),0))*12))/12)*(((1+$C$16/12)^MIN(MAX((A760-$C$13+1)*12,0),$C$17*12)-1)/($C$16/12)),0)))</f>
        <v/>
      </c>
      <c r="Z760" s="138">
        <f>MAX(X760-Y760,0)</f>
        <v/>
      </c>
      <c r="AA760" s="142">
        <f>U760+Z760</f>
        <v/>
      </c>
      <c r="AB760" s="5" t="n"/>
      <c r="AC760" s="5" t="n"/>
      <c r="AD760" s="5" t="n"/>
      <c r="AE760" s="5" t="n"/>
      <c r="AF760" s="5" t="n"/>
      <c r="AG760" s="5" t="n"/>
    </row>
    <row r="761" outlineLevel="1" s="326">
      <c r="A761" s="136" t="n">
        <v>21</v>
      </c>
      <c r="B761" s="72">
        <f>B100</f>
        <v/>
      </c>
      <c r="C761" s="137">
        <f>D100</f>
        <v/>
      </c>
      <c r="D761" s="137">
        <f>I100</f>
        <v/>
      </c>
      <c r="E761" s="137">
        <f>J100</f>
        <v/>
      </c>
      <c r="F761" s="137">
        <f>K100</f>
        <v/>
      </c>
      <c r="G761" s="138">
        <f>IF(AND($L$238&gt;0,A761=$C$13),$L$238*($C$15+$C$18),0)+IF(AND($L$238&gt;0,A761=$C$13),$C$24,0)</f>
        <v/>
      </c>
      <c r="H761" s="138">
        <f>IF(OR($L$238&lt;=0,A761&lt;$C$13),0,IF(AND($L$238&gt;0,$C$17&gt;0,A761&gt;=$C$13,A761&lt;($C$13+$C$17)),IF($C$17&lt;=0,0,IF($C$16=0,MAX($L$238*(1-$C$15),0)/$C$17,-PMT($C$16/12,$C$17*12,MAX($L$238*(1-$C$15),0))*12)),0)+X761*($C$19+$C$20+$C$21)+$C$22+$C$23)</f>
        <v/>
      </c>
      <c r="I761" s="138">
        <f>IF(B761="Working",MIN(MAX(D761-E761-F761-G761-H761,0),'Tax Assumptions'!$B$20),0)</f>
        <v/>
      </c>
      <c r="J761" s="138">
        <f>IF(B761="Working",D761-E761-F761-I761-G761-H761,-L761)</f>
        <v/>
      </c>
      <c r="K761" s="137">
        <f>IF(B761="Retired",$N$238+G761+H761,0)</f>
        <v/>
      </c>
      <c r="L761" s="137">
        <f>M761+N761+O761+P761</f>
        <v/>
      </c>
      <c r="M761" s="137">
        <f>IF(B761="Retired",MIN(((Q760)*(1+$C$10)+IF(B761="Working",J761,0)),K761),0)</f>
        <v/>
      </c>
      <c r="N761" s="137">
        <f>IF(B761="Retired",MIN(MAX(K761-M761,0),((R760)*(1+$C$10)+IF(B761="Working",E100,0))),0)</f>
        <v/>
      </c>
      <c r="O761" s="137">
        <f>IF(B761="Retired",MIN(MAX(K761-M761-N761,0),((S760)*(1+$C$10)+IF(B761="Working",I761,0))),0)</f>
        <v/>
      </c>
      <c r="P761" s="137">
        <f>IF(B761="Retired",MIN(MAX(K761-M761-N761-O761,0),((T760)*(1+$C$10)+IF(B761="Working",F100,0))),0)</f>
        <v/>
      </c>
      <c r="Q761" s="138">
        <f>MAX(((Q760)*(1+$C$10)+IF(B761="Working",J761,0))-M761,0)</f>
        <v/>
      </c>
      <c r="R761" s="138">
        <f>MAX(((R760)*(1+$C$10)+IF(B761="Working",E100,0))-N761,0)</f>
        <v/>
      </c>
      <c r="S761" s="138">
        <f>MAX(((S760)*(1+$C$10)+IF(B761="Working",I761,0))-O761,0)</f>
        <v/>
      </c>
      <c r="T761" s="138">
        <f>MAX(((T760)*(1+$C$10)+IF(B761="Working",F100,0))-P761,0)</f>
        <v/>
      </c>
      <c r="U761" s="138">
        <f>Q761+R761+S761+T761</f>
        <v/>
      </c>
      <c r="V761" s="138">
        <f>IF(B761="Working",MAX(-(((Q760)*(1+$C$10)+IF(B761="Working",J761,0))),0),MAX(K761-L761,0))</f>
        <v/>
      </c>
      <c r="W761" s="138">
        <f>IF(OR(A761&gt;=$C$13,B761="Retired"),IF(V761&gt;0,-V761,U761-'Model Inputs'!$B$18),"")</f>
        <v/>
      </c>
      <c r="X761" s="138">
        <f>IF(AND($L$238&gt;0,A761&gt;=$C$13),$L$238*(1+$C$25)^(A761-$C$13),0)</f>
        <v/>
      </c>
      <c r="Y761" s="138">
        <f>IF(OR($L$238&lt;=0,$C$17&lt;=0,A761&lt;$C$13,MIN(MAX((A761-$C$13+1)*12,0),$C$17*12)&gt;=$C$17*12),0,IF($C$16=0,MAX(MAX($L$238*(1-$C$15),0)-(IF($C$17&lt;=0,0,IF($C$16=0,MAX($L$238*(1-$C$15),0)/$C$17,-PMT($C$16/12,$C$17*12,MAX($L$238*(1-$C$15),0))*12))/12)*MIN(MAX((A761-$C$13+1)*12,0),$C$17*12),0),MAX(MAX($L$238*(1-$C$15),0)*(1+$C$16/12)^MIN(MAX((A761-$C$13+1)*12,0),$C$17*12)-(IF($C$17&lt;=0,0,IF($C$16=0,MAX($L$238*(1-$C$15),0)/$C$17,-PMT($C$16/12,$C$17*12,MAX($L$238*(1-$C$15),0))*12))/12)*(((1+$C$16/12)^MIN(MAX((A761-$C$13+1)*12,0),$C$17*12)-1)/($C$16/12)),0)))</f>
        <v/>
      </c>
      <c r="Z761" s="138">
        <f>MAX(X761-Y761,0)</f>
        <v/>
      </c>
      <c r="AA761" s="139">
        <f>U761+Z761</f>
        <v/>
      </c>
      <c r="AB761" s="5" t="n"/>
      <c r="AC761" s="5" t="n"/>
      <c r="AD761" s="5" t="n"/>
      <c r="AE761" s="5" t="n"/>
      <c r="AF761" s="5" t="n"/>
      <c r="AG761" s="5" t="n"/>
    </row>
    <row r="762" outlineLevel="1" s="326">
      <c r="A762" s="140" t="n">
        <v>22</v>
      </c>
      <c r="B762" s="40">
        <f>B101</f>
        <v/>
      </c>
      <c r="C762" s="141">
        <f>D101</f>
        <v/>
      </c>
      <c r="D762" s="141">
        <f>I101</f>
        <v/>
      </c>
      <c r="E762" s="141">
        <f>J101</f>
        <v/>
      </c>
      <c r="F762" s="141">
        <f>K101</f>
        <v/>
      </c>
      <c r="G762" s="138">
        <f>IF(AND($L$238&gt;0,A762=$C$13),$L$238*($C$15+$C$18),0)+IF(AND($L$238&gt;0,A762=$C$13),$C$24,0)</f>
        <v/>
      </c>
      <c r="H762" s="138">
        <f>IF(OR($L$238&lt;=0,A762&lt;$C$13),0,IF(AND($L$238&gt;0,$C$17&gt;0,A762&gt;=$C$13,A762&lt;($C$13+$C$17)),IF($C$17&lt;=0,0,IF($C$16=0,MAX($L$238*(1-$C$15),0)/$C$17,-PMT($C$16/12,$C$17*12,MAX($L$238*(1-$C$15),0))*12)),0)+X762*($C$19+$C$20+$C$21)+$C$22+$C$23)</f>
        <v/>
      </c>
      <c r="I762" s="138">
        <f>IF(B762="Working",MIN(MAX(D762-E762-F762-G762-H762,0),'Tax Assumptions'!$B$20),0)</f>
        <v/>
      </c>
      <c r="J762" s="138">
        <f>IF(B762="Working",D762-E762-F762-I762-G762-H762,-L762)</f>
        <v/>
      </c>
      <c r="K762" s="141">
        <f>IF(B762="Retired",$N$238+G762+H762,0)</f>
        <v/>
      </c>
      <c r="L762" s="141">
        <f>M762+N762+O762+P762</f>
        <v/>
      </c>
      <c r="M762" s="141">
        <f>IF(B762="Retired",MIN(((Q761)*(1+$C$10)+IF(B762="Working",J762,0)),K762),0)</f>
        <v/>
      </c>
      <c r="N762" s="141">
        <f>IF(B762="Retired",MIN(MAX(K762-M762,0),((R761)*(1+$C$10)+IF(B762="Working",E101,0))),0)</f>
        <v/>
      </c>
      <c r="O762" s="141">
        <f>IF(B762="Retired",MIN(MAX(K762-M762-N762,0),((S761)*(1+$C$10)+IF(B762="Working",I762,0))),0)</f>
        <v/>
      </c>
      <c r="P762" s="141">
        <f>IF(B762="Retired",MIN(MAX(K762-M762-N762-O762,0),((T761)*(1+$C$10)+IF(B762="Working",F101,0))),0)</f>
        <v/>
      </c>
      <c r="Q762" s="138">
        <f>MAX(((Q761)*(1+$C$10)+IF(B762="Working",J762,0))-M762,0)</f>
        <v/>
      </c>
      <c r="R762" s="138">
        <f>MAX(((R761)*(1+$C$10)+IF(B762="Working",E101,0))-N762,0)</f>
        <v/>
      </c>
      <c r="S762" s="138">
        <f>MAX(((S761)*(1+$C$10)+IF(B762="Working",I762,0))-O762,0)</f>
        <v/>
      </c>
      <c r="T762" s="138">
        <f>MAX(((T761)*(1+$C$10)+IF(B762="Working",F101,0))-P762,0)</f>
        <v/>
      </c>
      <c r="U762" s="138">
        <f>Q762+R762+S762+T762</f>
        <v/>
      </c>
      <c r="V762" s="138">
        <f>IF(B762="Working",MAX(-(((Q761)*(1+$C$10)+IF(B762="Working",J762,0))),0),MAX(K762-L762,0))</f>
        <v/>
      </c>
      <c r="W762" s="138">
        <f>IF(OR(A762&gt;=$C$13,B762="Retired"),IF(V762&gt;0,-V762,U762-'Model Inputs'!$B$18),"")</f>
        <v/>
      </c>
      <c r="X762" s="138">
        <f>IF(AND($L$238&gt;0,A762&gt;=$C$13),$L$238*(1+$C$25)^(A762-$C$13),0)</f>
        <v/>
      </c>
      <c r="Y762" s="138">
        <f>IF(OR($L$238&lt;=0,$C$17&lt;=0,A762&lt;$C$13,MIN(MAX((A762-$C$13+1)*12,0),$C$17*12)&gt;=$C$17*12),0,IF($C$16=0,MAX(MAX($L$238*(1-$C$15),0)-(IF($C$17&lt;=0,0,IF($C$16=0,MAX($L$238*(1-$C$15),0)/$C$17,-PMT($C$16/12,$C$17*12,MAX($L$238*(1-$C$15),0))*12))/12)*MIN(MAX((A762-$C$13+1)*12,0),$C$17*12),0),MAX(MAX($L$238*(1-$C$15),0)*(1+$C$16/12)^MIN(MAX((A762-$C$13+1)*12,0),$C$17*12)-(IF($C$17&lt;=0,0,IF($C$16=0,MAX($L$238*(1-$C$15),0)/$C$17,-PMT($C$16/12,$C$17*12,MAX($L$238*(1-$C$15),0))*12))/12)*(((1+$C$16/12)^MIN(MAX((A762-$C$13+1)*12,0),$C$17*12)-1)/($C$16/12)),0)))</f>
        <v/>
      </c>
      <c r="Z762" s="138">
        <f>MAX(X762-Y762,0)</f>
        <v/>
      </c>
      <c r="AA762" s="142">
        <f>U762+Z762</f>
        <v/>
      </c>
      <c r="AB762" s="5" t="n"/>
      <c r="AC762" s="5" t="n"/>
      <c r="AD762" s="5" t="n"/>
      <c r="AE762" s="5" t="n"/>
      <c r="AF762" s="5" t="n"/>
      <c r="AG762" s="5" t="n"/>
    </row>
    <row r="763" outlineLevel="1" s="326">
      <c r="A763" s="136" t="n">
        <v>23</v>
      </c>
      <c r="B763" s="72">
        <f>B102</f>
        <v/>
      </c>
      <c r="C763" s="137">
        <f>D102</f>
        <v/>
      </c>
      <c r="D763" s="137">
        <f>I102</f>
        <v/>
      </c>
      <c r="E763" s="137">
        <f>J102</f>
        <v/>
      </c>
      <c r="F763" s="137">
        <f>K102</f>
        <v/>
      </c>
      <c r="G763" s="138">
        <f>IF(AND($L$238&gt;0,A763=$C$13),$L$238*($C$15+$C$18),0)+IF(AND($L$238&gt;0,A763=$C$13),$C$24,0)</f>
        <v/>
      </c>
      <c r="H763" s="138">
        <f>IF(OR($L$238&lt;=0,A763&lt;$C$13),0,IF(AND($L$238&gt;0,$C$17&gt;0,A763&gt;=$C$13,A763&lt;($C$13+$C$17)),IF($C$17&lt;=0,0,IF($C$16=0,MAX($L$238*(1-$C$15),0)/$C$17,-PMT($C$16/12,$C$17*12,MAX($L$238*(1-$C$15),0))*12)),0)+X763*($C$19+$C$20+$C$21)+$C$22+$C$23)</f>
        <v/>
      </c>
      <c r="I763" s="138">
        <f>IF(B763="Working",MIN(MAX(D763-E763-F763-G763-H763,0),'Tax Assumptions'!$B$20),0)</f>
        <v/>
      </c>
      <c r="J763" s="138">
        <f>IF(B763="Working",D763-E763-F763-I763-G763-H763,-L763)</f>
        <v/>
      </c>
      <c r="K763" s="137">
        <f>IF(B763="Retired",$N$238+G763+H763,0)</f>
        <v/>
      </c>
      <c r="L763" s="137">
        <f>M763+N763+O763+P763</f>
        <v/>
      </c>
      <c r="M763" s="137">
        <f>IF(B763="Retired",MIN(((Q762)*(1+$C$10)+IF(B763="Working",J763,0)),K763),0)</f>
        <v/>
      </c>
      <c r="N763" s="137">
        <f>IF(B763="Retired",MIN(MAX(K763-M763,0),((R762)*(1+$C$10)+IF(B763="Working",E102,0))),0)</f>
        <v/>
      </c>
      <c r="O763" s="137">
        <f>IF(B763="Retired",MIN(MAX(K763-M763-N763,0),((S762)*(1+$C$10)+IF(B763="Working",I763,0))),0)</f>
        <v/>
      </c>
      <c r="P763" s="137">
        <f>IF(B763="Retired",MIN(MAX(K763-M763-N763-O763,0),((T762)*(1+$C$10)+IF(B763="Working",F102,0))),0)</f>
        <v/>
      </c>
      <c r="Q763" s="138">
        <f>MAX(((Q762)*(1+$C$10)+IF(B763="Working",J763,0))-M763,0)</f>
        <v/>
      </c>
      <c r="R763" s="138">
        <f>MAX(((R762)*(1+$C$10)+IF(B763="Working",E102,0))-N763,0)</f>
        <v/>
      </c>
      <c r="S763" s="138">
        <f>MAX(((S762)*(1+$C$10)+IF(B763="Working",I763,0))-O763,0)</f>
        <v/>
      </c>
      <c r="T763" s="138">
        <f>MAX(((T762)*(1+$C$10)+IF(B763="Working",F102,0))-P763,0)</f>
        <v/>
      </c>
      <c r="U763" s="138">
        <f>Q763+R763+S763+T763</f>
        <v/>
      </c>
      <c r="V763" s="138">
        <f>IF(B763="Working",MAX(-(((Q762)*(1+$C$10)+IF(B763="Working",J763,0))),0),MAX(K763-L763,0))</f>
        <v/>
      </c>
      <c r="W763" s="138">
        <f>IF(OR(A763&gt;=$C$13,B763="Retired"),IF(V763&gt;0,-V763,U763-'Model Inputs'!$B$18),"")</f>
        <v/>
      </c>
      <c r="X763" s="138">
        <f>IF(AND($L$238&gt;0,A763&gt;=$C$13),$L$238*(1+$C$25)^(A763-$C$13),0)</f>
        <v/>
      </c>
      <c r="Y763" s="138">
        <f>IF(OR($L$238&lt;=0,$C$17&lt;=0,A763&lt;$C$13,MIN(MAX((A763-$C$13+1)*12,0),$C$17*12)&gt;=$C$17*12),0,IF($C$16=0,MAX(MAX($L$238*(1-$C$15),0)-(IF($C$17&lt;=0,0,IF($C$16=0,MAX($L$238*(1-$C$15),0)/$C$17,-PMT($C$16/12,$C$17*12,MAX($L$238*(1-$C$15),0))*12))/12)*MIN(MAX((A763-$C$13+1)*12,0),$C$17*12),0),MAX(MAX($L$238*(1-$C$15),0)*(1+$C$16/12)^MIN(MAX((A763-$C$13+1)*12,0),$C$17*12)-(IF($C$17&lt;=0,0,IF($C$16=0,MAX($L$238*(1-$C$15),0)/$C$17,-PMT($C$16/12,$C$17*12,MAX($L$238*(1-$C$15),0))*12))/12)*(((1+$C$16/12)^MIN(MAX((A763-$C$13+1)*12,0),$C$17*12)-1)/($C$16/12)),0)))</f>
        <v/>
      </c>
      <c r="Z763" s="138">
        <f>MAX(X763-Y763,0)</f>
        <v/>
      </c>
      <c r="AA763" s="139">
        <f>U763+Z763</f>
        <v/>
      </c>
      <c r="AB763" s="5" t="n"/>
      <c r="AC763" s="5" t="n"/>
      <c r="AD763" s="5" t="n"/>
      <c r="AE763" s="5" t="n"/>
      <c r="AF763" s="5" t="n"/>
      <c r="AG763" s="5" t="n"/>
    </row>
    <row r="764" outlineLevel="1" s="326">
      <c r="A764" s="140" t="n">
        <v>24</v>
      </c>
      <c r="B764" s="40">
        <f>B103</f>
        <v/>
      </c>
      <c r="C764" s="141">
        <f>D103</f>
        <v/>
      </c>
      <c r="D764" s="141">
        <f>I103</f>
        <v/>
      </c>
      <c r="E764" s="141">
        <f>J103</f>
        <v/>
      </c>
      <c r="F764" s="141">
        <f>K103</f>
        <v/>
      </c>
      <c r="G764" s="138">
        <f>IF(AND($L$238&gt;0,A764=$C$13),$L$238*($C$15+$C$18),0)+IF(AND($L$238&gt;0,A764=$C$13),$C$24,0)</f>
        <v/>
      </c>
      <c r="H764" s="138">
        <f>IF(OR($L$238&lt;=0,A764&lt;$C$13),0,IF(AND($L$238&gt;0,$C$17&gt;0,A764&gt;=$C$13,A764&lt;($C$13+$C$17)),IF($C$17&lt;=0,0,IF($C$16=0,MAX($L$238*(1-$C$15),0)/$C$17,-PMT($C$16/12,$C$17*12,MAX($L$238*(1-$C$15),0))*12)),0)+X764*($C$19+$C$20+$C$21)+$C$22+$C$23)</f>
        <v/>
      </c>
      <c r="I764" s="138">
        <f>IF(B764="Working",MIN(MAX(D764-E764-F764-G764-H764,0),'Tax Assumptions'!$B$20),0)</f>
        <v/>
      </c>
      <c r="J764" s="138">
        <f>IF(B764="Working",D764-E764-F764-I764-G764-H764,-L764)</f>
        <v/>
      </c>
      <c r="K764" s="141">
        <f>IF(B764="Retired",$N$238+G764+H764,0)</f>
        <v/>
      </c>
      <c r="L764" s="141">
        <f>M764+N764+O764+P764</f>
        <v/>
      </c>
      <c r="M764" s="141">
        <f>IF(B764="Retired",MIN(((Q763)*(1+$C$10)+IF(B764="Working",J764,0)),K764),0)</f>
        <v/>
      </c>
      <c r="N764" s="141">
        <f>IF(B764="Retired",MIN(MAX(K764-M764,0),((R763)*(1+$C$10)+IF(B764="Working",E103,0))),0)</f>
        <v/>
      </c>
      <c r="O764" s="141">
        <f>IF(B764="Retired",MIN(MAX(K764-M764-N764,0),((S763)*(1+$C$10)+IF(B764="Working",I764,0))),0)</f>
        <v/>
      </c>
      <c r="P764" s="141">
        <f>IF(B764="Retired",MIN(MAX(K764-M764-N764-O764,0),((T763)*(1+$C$10)+IF(B764="Working",F103,0))),0)</f>
        <v/>
      </c>
      <c r="Q764" s="138">
        <f>MAX(((Q763)*(1+$C$10)+IF(B764="Working",J764,0))-M764,0)</f>
        <v/>
      </c>
      <c r="R764" s="138">
        <f>MAX(((R763)*(1+$C$10)+IF(B764="Working",E103,0))-N764,0)</f>
        <v/>
      </c>
      <c r="S764" s="138">
        <f>MAX(((S763)*(1+$C$10)+IF(B764="Working",I764,0))-O764,0)</f>
        <v/>
      </c>
      <c r="T764" s="138">
        <f>MAX(((T763)*(1+$C$10)+IF(B764="Working",F103,0))-P764,0)</f>
        <v/>
      </c>
      <c r="U764" s="138">
        <f>Q764+R764+S764+T764</f>
        <v/>
      </c>
      <c r="V764" s="138">
        <f>IF(B764="Working",MAX(-(((Q763)*(1+$C$10)+IF(B764="Working",J764,0))),0),MAX(K764-L764,0))</f>
        <v/>
      </c>
      <c r="W764" s="138">
        <f>IF(OR(A764&gt;=$C$13,B764="Retired"),IF(V764&gt;0,-V764,U764-'Model Inputs'!$B$18),"")</f>
        <v/>
      </c>
      <c r="X764" s="138">
        <f>IF(AND($L$238&gt;0,A764&gt;=$C$13),$L$238*(1+$C$25)^(A764-$C$13),0)</f>
        <v/>
      </c>
      <c r="Y764" s="138">
        <f>IF(OR($L$238&lt;=0,$C$17&lt;=0,A764&lt;$C$13,MIN(MAX((A764-$C$13+1)*12,0),$C$17*12)&gt;=$C$17*12),0,IF($C$16=0,MAX(MAX($L$238*(1-$C$15),0)-(IF($C$17&lt;=0,0,IF($C$16=0,MAX($L$238*(1-$C$15),0)/$C$17,-PMT($C$16/12,$C$17*12,MAX($L$238*(1-$C$15),0))*12))/12)*MIN(MAX((A764-$C$13+1)*12,0),$C$17*12),0),MAX(MAX($L$238*(1-$C$15),0)*(1+$C$16/12)^MIN(MAX((A764-$C$13+1)*12,0),$C$17*12)-(IF($C$17&lt;=0,0,IF($C$16=0,MAX($L$238*(1-$C$15),0)/$C$17,-PMT($C$16/12,$C$17*12,MAX($L$238*(1-$C$15),0))*12))/12)*(((1+$C$16/12)^MIN(MAX((A764-$C$13+1)*12,0),$C$17*12)-1)/($C$16/12)),0)))</f>
        <v/>
      </c>
      <c r="Z764" s="138">
        <f>MAX(X764-Y764,0)</f>
        <v/>
      </c>
      <c r="AA764" s="142">
        <f>U764+Z764</f>
        <v/>
      </c>
      <c r="AB764" s="5" t="n"/>
      <c r="AC764" s="5" t="n"/>
      <c r="AD764" s="5" t="n"/>
      <c r="AE764" s="5" t="n"/>
      <c r="AF764" s="5" t="n"/>
      <c r="AG764" s="5" t="n"/>
    </row>
    <row r="765" outlineLevel="1" s="326">
      <c r="A765" s="136" t="n">
        <v>25</v>
      </c>
      <c r="B765" s="72">
        <f>B104</f>
        <v/>
      </c>
      <c r="C765" s="137">
        <f>D104</f>
        <v/>
      </c>
      <c r="D765" s="137">
        <f>I104</f>
        <v/>
      </c>
      <c r="E765" s="137">
        <f>J104</f>
        <v/>
      </c>
      <c r="F765" s="137">
        <f>K104</f>
        <v/>
      </c>
      <c r="G765" s="138">
        <f>IF(AND($L$238&gt;0,A765=$C$13),$L$238*($C$15+$C$18),0)+IF(AND($L$238&gt;0,A765=$C$13),$C$24,0)</f>
        <v/>
      </c>
      <c r="H765" s="138">
        <f>IF(OR($L$238&lt;=0,A765&lt;$C$13),0,IF(AND($L$238&gt;0,$C$17&gt;0,A765&gt;=$C$13,A765&lt;($C$13+$C$17)),IF($C$17&lt;=0,0,IF($C$16=0,MAX($L$238*(1-$C$15),0)/$C$17,-PMT($C$16/12,$C$17*12,MAX($L$238*(1-$C$15),0))*12)),0)+X765*($C$19+$C$20+$C$21)+$C$22+$C$23)</f>
        <v/>
      </c>
      <c r="I765" s="138">
        <f>IF(B765="Working",MIN(MAX(D765-E765-F765-G765-H765,0),'Tax Assumptions'!$B$20),0)</f>
        <v/>
      </c>
      <c r="J765" s="138">
        <f>IF(B765="Working",D765-E765-F765-I765-G765-H765,-L765)</f>
        <v/>
      </c>
      <c r="K765" s="137">
        <f>IF(B765="Retired",$N$238+G765+H765,0)</f>
        <v/>
      </c>
      <c r="L765" s="137">
        <f>M765+N765+O765+P765</f>
        <v/>
      </c>
      <c r="M765" s="137">
        <f>IF(B765="Retired",MIN(((Q764)*(1+$C$10)+IF(B765="Working",J765,0)),K765),0)</f>
        <v/>
      </c>
      <c r="N765" s="137">
        <f>IF(B765="Retired",MIN(MAX(K765-M765,0),((R764)*(1+$C$10)+IF(B765="Working",E104,0))),0)</f>
        <v/>
      </c>
      <c r="O765" s="137">
        <f>IF(B765="Retired",MIN(MAX(K765-M765-N765,0),((S764)*(1+$C$10)+IF(B765="Working",I765,0))),0)</f>
        <v/>
      </c>
      <c r="P765" s="137">
        <f>IF(B765="Retired",MIN(MAX(K765-M765-N765-O765,0),((T764)*(1+$C$10)+IF(B765="Working",F104,0))),0)</f>
        <v/>
      </c>
      <c r="Q765" s="138">
        <f>MAX(((Q764)*(1+$C$10)+IF(B765="Working",J765,0))-M765,0)</f>
        <v/>
      </c>
      <c r="R765" s="138">
        <f>MAX(((R764)*(1+$C$10)+IF(B765="Working",E104,0))-N765,0)</f>
        <v/>
      </c>
      <c r="S765" s="138">
        <f>MAX(((S764)*(1+$C$10)+IF(B765="Working",I765,0))-O765,0)</f>
        <v/>
      </c>
      <c r="T765" s="138">
        <f>MAX(((T764)*(1+$C$10)+IF(B765="Working",F104,0))-P765,0)</f>
        <v/>
      </c>
      <c r="U765" s="138">
        <f>Q765+R765+S765+T765</f>
        <v/>
      </c>
      <c r="V765" s="138">
        <f>IF(B765="Working",MAX(-(((Q764)*(1+$C$10)+IF(B765="Working",J765,0))),0),MAX(K765-L765,0))</f>
        <v/>
      </c>
      <c r="W765" s="138">
        <f>IF(OR(A765&gt;=$C$13,B765="Retired"),IF(V765&gt;0,-V765,U765-'Model Inputs'!$B$18),"")</f>
        <v/>
      </c>
      <c r="X765" s="138">
        <f>IF(AND($L$238&gt;0,A765&gt;=$C$13),$L$238*(1+$C$25)^(A765-$C$13),0)</f>
        <v/>
      </c>
      <c r="Y765" s="138">
        <f>IF(OR($L$238&lt;=0,$C$17&lt;=0,A765&lt;$C$13,MIN(MAX((A765-$C$13+1)*12,0),$C$17*12)&gt;=$C$17*12),0,IF($C$16=0,MAX(MAX($L$238*(1-$C$15),0)-(IF($C$17&lt;=0,0,IF($C$16=0,MAX($L$238*(1-$C$15),0)/$C$17,-PMT($C$16/12,$C$17*12,MAX($L$238*(1-$C$15),0))*12))/12)*MIN(MAX((A765-$C$13+1)*12,0),$C$17*12),0),MAX(MAX($L$238*(1-$C$15),0)*(1+$C$16/12)^MIN(MAX((A765-$C$13+1)*12,0),$C$17*12)-(IF($C$17&lt;=0,0,IF($C$16=0,MAX($L$238*(1-$C$15),0)/$C$17,-PMT($C$16/12,$C$17*12,MAX($L$238*(1-$C$15),0))*12))/12)*(((1+$C$16/12)^MIN(MAX((A765-$C$13+1)*12,0),$C$17*12)-1)/($C$16/12)),0)))</f>
        <v/>
      </c>
      <c r="Z765" s="138">
        <f>MAX(X765-Y765,0)</f>
        <v/>
      </c>
      <c r="AA765" s="139">
        <f>U765+Z765</f>
        <v/>
      </c>
      <c r="AB765" s="5" t="n"/>
      <c r="AC765" s="5" t="n"/>
      <c r="AD765" s="5" t="n"/>
      <c r="AE765" s="5" t="n"/>
      <c r="AF765" s="5" t="n"/>
      <c r="AG765" s="5" t="n"/>
    </row>
    <row r="766" outlineLevel="1" s="326">
      <c r="A766" s="140" t="n">
        <v>26</v>
      </c>
      <c r="B766" s="40">
        <f>B105</f>
        <v/>
      </c>
      <c r="C766" s="141">
        <f>D105</f>
        <v/>
      </c>
      <c r="D766" s="141">
        <f>I105</f>
        <v/>
      </c>
      <c r="E766" s="141">
        <f>J105</f>
        <v/>
      </c>
      <c r="F766" s="141">
        <f>K105</f>
        <v/>
      </c>
      <c r="G766" s="138">
        <f>IF(AND($L$238&gt;0,A766=$C$13),$L$238*($C$15+$C$18),0)+IF(AND($L$238&gt;0,A766=$C$13),$C$24,0)</f>
        <v/>
      </c>
      <c r="H766" s="138">
        <f>IF(OR($L$238&lt;=0,A766&lt;$C$13),0,IF(AND($L$238&gt;0,$C$17&gt;0,A766&gt;=$C$13,A766&lt;($C$13+$C$17)),IF($C$17&lt;=0,0,IF($C$16=0,MAX($L$238*(1-$C$15),0)/$C$17,-PMT($C$16/12,$C$17*12,MAX($L$238*(1-$C$15),0))*12)),0)+X766*($C$19+$C$20+$C$21)+$C$22+$C$23)</f>
        <v/>
      </c>
      <c r="I766" s="138">
        <f>IF(B766="Working",MIN(MAX(D766-E766-F766-G766-H766,0),'Tax Assumptions'!$B$20),0)</f>
        <v/>
      </c>
      <c r="J766" s="138">
        <f>IF(B766="Working",D766-E766-F766-I766-G766-H766,-L766)</f>
        <v/>
      </c>
      <c r="K766" s="141">
        <f>IF(B766="Retired",$N$238+G766+H766,0)</f>
        <v/>
      </c>
      <c r="L766" s="141">
        <f>M766+N766+O766+P766</f>
        <v/>
      </c>
      <c r="M766" s="141">
        <f>IF(B766="Retired",MIN(((Q765)*(1+$C$10)+IF(B766="Working",J766,0)),K766),0)</f>
        <v/>
      </c>
      <c r="N766" s="141">
        <f>IF(B766="Retired",MIN(MAX(K766-M766,0),((R765)*(1+$C$10)+IF(B766="Working",E105,0))),0)</f>
        <v/>
      </c>
      <c r="O766" s="141">
        <f>IF(B766="Retired",MIN(MAX(K766-M766-N766,0),((S765)*(1+$C$10)+IF(B766="Working",I766,0))),0)</f>
        <v/>
      </c>
      <c r="P766" s="141">
        <f>IF(B766="Retired",MIN(MAX(K766-M766-N766-O766,0),((T765)*(1+$C$10)+IF(B766="Working",F105,0))),0)</f>
        <v/>
      </c>
      <c r="Q766" s="138">
        <f>MAX(((Q765)*(1+$C$10)+IF(B766="Working",J766,0))-M766,0)</f>
        <v/>
      </c>
      <c r="R766" s="138">
        <f>MAX(((R765)*(1+$C$10)+IF(B766="Working",E105,0))-N766,0)</f>
        <v/>
      </c>
      <c r="S766" s="138">
        <f>MAX(((S765)*(1+$C$10)+IF(B766="Working",I766,0))-O766,0)</f>
        <v/>
      </c>
      <c r="T766" s="138">
        <f>MAX(((T765)*(1+$C$10)+IF(B766="Working",F105,0))-P766,0)</f>
        <v/>
      </c>
      <c r="U766" s="138">
        <f>Q766+R766+S766+T766</f>
        <v/>
      </c>
      <c r="V766" s="138">
        <f>IF(B766="Working",MAX(-(((Q765)*(1+$C$10)+IF(B766="Working",J766,0))),0),MAX(K766-L766,0))</f>
        <v/>
      </c>
      <c r="W766" s="138">
        <f>IF(OR(A766&gt;=$C$13,B766="Retired"),IF(V766&gt;0,-V766,U766-'Model Inputs'!$B$18),"")</f>
        <v/>
      </c>
      <c r="X766" s="138">
        <f>IF(AND($L$238&gt;0,A766&gt;=$C$13),$L$238*(1+$C$25)^(A766-$C$13),0)</f>
        <v/>
      </c>
      <c r="Y766" s="138">
        <f>IF(OR($L$238&lt;=0,$C$17&lt;=0,A766&lt;$C$13,MIN(MAX((A766-$C$13+1)*12,0),$C$17*12)&gt;=$C$17*12),0,IF($C$16=0,MAX(MAX($L$238*(1-$C$15),0)-(IF($C$17&lt;=0,0,IF($C$16=0,MAX($L$238*(1-$C$15),0)/$C$17,-PMT($C$16/12,$C$17*12,MAX($L$238*(1-$C$15),0))*12))/12)*MIN(MAX((A766-$C$13+1)*12,0),$C$17*12),0),MAX(MAX($L$238*(1-$C$15),0)*(1+$C$16/12)^MIN(MAX((A766-$C$13+1)*12,0),$C$17*12)-(IF($C$17&lt;=0,0,IF($C$16=0,MAX($L$238*(1-$C$15),0)/$C$17,-PMT($C$16/12,$C$17*12,MAX($L$238*(1-$C$15),0))*12))/12)*(((1+$C$16/12)^MIN(MAX((A766-$C$13+1)*12,0),$C$17*12)-1)/($C$16/12)),0)))</f>
        <v/>
      </c>
      <c r="Z766" s="138">
        <f>MAX(X766-Y766,0)</f>
        <v/>
      </c>
      <c r="AA766" s="142">
        <f>U766+Z766</f>
        <v/>
      </c>
      <c r="AB766" s="5" t="n"/>
      <c r="AC766" s="5" t="n"/>
      <c r="AD766" s="5" t="n"/>
      <c r="AE766" s="5" t="n"/>
      <c r="AF766" s="5" t="n"/>
      <c r="AG766" s="5" t="n"/>
    </row>
    <row r="767" outlineLevel="1" s="326">
      <c r="A767" s="136" t="n">
        <v>27</v>
      </c>
      <c r="B767" s="72">
        <f>B106</f>
        <v/>
      </c>
      <c r="C767" s="137">
        <f>D106</f>
        <v/>
      </c>
      <c r="D767" s="137">
        <f>I106</f>
        <v/>
      </c>
      <c r="E767" s="137">
        <f>J106</f>
        <v/>
      </c>
      <c r="F767" s="137">
        <f>K106</f>
        <v/>
      </c>
      <c r="G767" s="138">
        <f>IF(AND($L$238&gt;0,A767=$C$13),$L$238*($C$15+$C$18),0)+IF(AND($L$238&gt;0,A767=$C$13),$C$24,0)</f>
        <v/>
      </c>
      <c r="H767" s="138">
        <f>IF(OR($L$238&lt;=0,A767&lt;$C$13),0,IF(AND($L$238&gt;0,$C$17&gt;0,A767&gt;=$C$13,A767&lt;($C$13+$C$17)),IF($C$17&lt;=0,0,IF($C$16=0,MAX($L$238*(1-$C$15),0)/$C$17,-PMT($C$16/12,$C$17*12,MAX($L$238*(1-$C$15),0))*12)),0)+X767*($C$19+$C$20+$C$21)+$C$22+$C$23)</f>
        <v/>
      </c>
      <c r="I767" s="138">
        <f>IF(B767="Working",MIN(MAX(D767-E767-F767-G767-H767,0),'Tax Assumptions'!$B$20),0)</f>
        <v/>
      </c>
      <c r="J767" s="138">
        <f>IF(B767="Working",D767-E767-F767-I767-G767-H767,-L767)</f>
        <v/>
      </c>
      <c r="K767" s="137">
        <f>IF(B767="Retired",$N$238+G767+H767,0)</f>
        <v/>
      </c>
      <c r="L767" s="137">
        <f>M767+N767+O767+P767</f>
        <v/>
      </c>
      <c r="M767" s="137">
        <f>IF(B767="Retired",MIN(((Q766)*(1+$C$10)+IF(B767="Working",J767,0)),K767),0)</f>
        <v/>
      </c>
      <c r="N767" s="137">
        <f>IF(B767="Retired",MIN(MAX(K767-M767,0),((R766)*(1+$C$10)+IF(B767="Working",E106,0))),0)</f>
        <v/>
      </c>
      <c r="O767" s="137">
        <f>IF(B767="Retired",MIN(MAX(K767-M767-N767,0),((S766)*(1+$C$10)+IF(B767="Working",I767,0))),0)</f>
        <v/>
      </c>
      <c r="P767" s="137">
        <f>IF(B767="Retired",MIN(MAX(K767-M767-N767-O767,0),((T766)*(1+$C$10)+IF(B767="Working",F106,0))),0)</f>
        <v/>
      </c>
      <c r="Q767" s="138">
        <f>MAX(((Q766)*(1+$C$10)+IF(B767="Working",J767,0))-M767,0)</f>
        <v/>
      </c>
      <c r="R767" s="138">
        <f>MAX(((R766)*(1+$C$10)+IF(B767="Working",E106,0))-N767,0)</f>
        <v/>
      </c>
      <c r="S767" s="138">
        <f>MAX(((S766)*(1+$C$10)+IF(B767="Working",I767,0))-O767,0)</f>
        <v/>
      </c>
      <c r="T767" s="138">
        <f>MAX(((T766)*(1+$C$10)+IF(B767="Working",F106,0))-P767,0)</f>
        <v/>
      </c>
      <c r="U767" s="138">
        <f>Q767+R767+S767+T767</f>
        <v/>
      </c>
      <c r="V767" s="138">
        <f>IF(B767="Working",MAX(-(((Q766)*(1+$C$10)+IF(B767="Working",J767,0))),0),MAX(K767-L767,0))</f>
        <v/>
      </c>
      <c r="W767" s="138">
        <f>IF(OR(A767&gt;=$C$13,B767="Retired"),IF(V767&gt;0,-V767,U767-'Model Inputs'!$B$18),"")</f>
        <v/>
      </c>
      <c r="X767" s="138">
        <f>IF(AND($L$238&gt;0,A767&gt;=$C$13),$L$238*(1+$C$25)^(A767-$C$13),0)</f>
        <v/>
      </c>
      <c r="Y767" s="138">
        <f>IF(OR($L$238&lt;=0,$C$17&lt;=0,A767&lt;$C$13,MIN(MAX((A767-$C$13+1)*12,0),$C$17*12)&gt;=$C$17*12),0,IF($C$16=0,MAX(MAX($L$238*(1-$C$15),0)-(IF($C$17&lt;=0,0,IF($C$16=0,MAX($L$238*(1-$C$15),0)/$C$17,-PMT($C$16/12,$C$17*12,MAX($L$238*(1-$C$15),0))*12))/12)*MIN(MAX((A767-$C$13+1)*12,0),$C$17*12),0),MAX(MAX($L$238*(1-$C$15),0)*(1+$C$16/12)^MIN(MAX((A767-$C$13+1)*12,0),$C$17*12)-(IF($C$17&lt;=0,0,IF($C$16=0,MAX($L$238*(1-$C$15),0)/$C$17,-PMT($C$16/12,$C$17*12,MAX($L$238*(1-$C$15),0))*12))/12)*(((1+$C$16/12)^MIN(MAX((A767-$C$13+1)*12,0),$C$17*12)-1)/($C$16/12)),0)))</f>
        <v/>
      </c>
      <c r="Z767" s="138">
        <f>MAX(X767-Y767,0)</f>
        <v/>
      </c>
      <c r="AA767" s="139">
        <f>U767+Z767</f>
        <v/>
      </c>
      <c r="AB767" s="5" t="n"/>
      <c r="AC767" s="5" t="n"/>
      <c r="AD767" s="5" t="n"/>
      <c r="AE767" s="5" t="n"/>
      <c r="AF767" s="5" t="n"/>
      <c r="AG767" s="5" t="n"/>
    </row>
    <row r="768" outlineLevel="1" s="326">
      <c r="A768" s="140" t="n">
        <v>28</v>
      </c>
      <c r="B768" s="40">
        <f>B107</f>
        <v/>
      </c>
      <c r="C768" s="141">
        <f>D107</f>
        <v/>
      </c>
      <c r="D768" s="141">
        <f>I107</f>
        <v/>
      </c>
      <c r="E768" s="141">
        <f>J107</f>
        <v/>
      </c>
      <c r="F768" s="141">
        <f>K107</f>
        <v/>
      </c>
      <c r="G768" s="138">
        <f>IF(AND($L$238&gt;0,A768=$C$13),$L$238*($C$15+$C$18),0)+IF(AND($L$238&gt;0,A768=$C$13),$C$24,0)</f>
        <v/>
      </c>
      <c r="H768" s="138">
        <f>IF(OR($L$238&lt;=0,A768&lt;$C$13),0,IF(AND($L$238&gt;0,$C$17&gt;0,A768&gt;=$C$13,A768&lt;($C$13+$C$17)),IF($C$17&lt;=0,0,IF($C$16=0,MAX($L$238*(1-$C$15),0)/$C$17,-PMT($C$16/12,$C$17*12,MAX($L$238*(1-$C$15),0))*12)),0)+X768*($C$19+$C$20+$C$21)+$C$22+$C$23)</f>
        <v/>
      </c>
      <c r="I768" s="138">
        <f>IF(B768="Working",MIN(MAX(D768-E768-F768-G768-H768,0),'Tax Assumptions'!$B$20),0)</f>
        <v/>
      </c>
      <c r="J768" s="138">
        <f>IF(B768="Working",D768-E768-F768-I768-G768-H768,-L768)</f>
        <v/>
      </c>
      <c r="K768" s="141">
        <f>IF(B768="Retired",$N$238+G768+H768,0)</f>
        <v/>
      </c>
      <c r="L768" s="141">
        <f>M768+N768+O768+P768</f>
        <v/>
      </c>
      <c r="M768" s="141">
        <f>IF(B768="Retired",MIN(((Q767)*(1+$C$10)+IF(B768="Working",J768,0)),K768),0)</f>
        <v/>
      </c>
      <c r="N768" s="141">
        <f>IF(B768="Retired",MIN(MAX(K768-M768,0),((R767)*(1+$C$10)+IF(B768="Working",E107,0))),0)</f>
        <v/>
      </c>
      <c r="O768" s="141">
        <f>IF(B768="Retired",MIN(MAX(K768-M768-N768,0),((S767)*(1+$C$10)+IF(B768="Working",I768,0))),0)</f>
        <v/>
      </c>
      <c r="P768" s="141">
        <f>IF(B768="Retired",MIN(MAX(K768-M768-N768-O768,0),((T767)*(1+$C$10)+IF(B768="Working",F107,0))),0)</f>
        <v/>
      </c>
      <c r="Q768" s="138">
        <f>MAX(((Q767)*(1+$C$10)+IF(B768="Working",J768,0))-M768,0)</f>
        <v/>
      </c>
      <c r="R768" s="138">
        <f>MAX(((R767)*(1+$C$10)+IF(B768="Working",E107,0))-N768,0)</f>
        <v/>
      </c>
      <c r="S768" s="138">
        <f>MAX(((S767)*(1+$C$10)+IF(B768="Working",I768,0))-O768,0)</f>
        <v/>
      </c>
      <c r="T768" s="138">
        <f>MAX(((T767)*(1+$C$10)+IF(B768="Working",F107,0))-P768,0)</f>
        <v/>
      </c>
      <c r="U768" s="138">
        <f>Q768+R768+S768+T768</f>
        <v/>
      </c>
      <c r="V768" s="138">
        <f>IF(B768="Working",MAX(-(((Q767)*(1+$C$10)+IF(B768="Working",J768,0))),0),MAX(K768-L768,0))</f>
        <v/>
      </c>
      <c r="W768" s="138">
        <f>IF(OR(A768&gt;=$C$13,B768="Retired"),IF(V768&gt;0,-V768,U768-'Model Inputs'!$B$18),"")</f>
        <v/>
      </c>
      <c r="X768" s="138">
        <f>IF(AND($L$238&gt;0,A768&gt;=$C$13),$L$238*(1+$C$25)^(A768-$C$13),0)</f>
        <v/>
      </c>
      <c r="Y768" s="138">
        <f>IF(OR($L$238&lt;=0,$C$17&lt;=0,A768&lt;$C$13,MIN(MAX((A768-$C$13+1)*12,0),$C$17*12)&gt;=$C$17*12),0,IF($C$16=0,MAX(MAX($L$238*(1-$C$15),0)-(IF($C$17&lt;=0,0,IF($C$16=0,MAX($L$238*(1-$C$15),0)/$C$17,-PMT($C$16/12,$C$17*12,MAX($L$238*(1-$C$15),0))*12))/12)*MIN(MAX((A768-$C$13+1)*12,0),$C$17*12),0),MAX(MAX($L$238*(1-$C$15),0)*(1+$C$16/12)^MIN(MAX((A768-$C$13+1)*12,0),$C$17*12)-(IF($C$17&lt;=0,0,IF($C$16=0,MAX($L$238*(1-$C$15),0)/$C$17,-PMT($C$16/12,$C$17*12,MAX($L$238*(1-$C$15),0))*12))/12)*(((1+$C$16/12)^MIN(MAX((A768-$C$13+1)*12,0),$C$17*12)-1)/($C$16/12)),0)))</f>
        <v/>
      </c>
      <c r="Z768" s="138">
        <f>MAX(X768-Y768,0)</f>
        <v/>
      </c>
      <c r="AA768" s="142">
        <f>U768+Z768</f>
        <v/>
      </c>
      <c r="AB768" s="5" t="n"/>
      <c r="AC768" s="5" t="n"/>
      <c r="AD768" s="5" t="n"/>
      <c r="AE768" s="5" t="n"/>
      <c r="AF768" s="5" t="n"/>
      <c r="AG768" s="5" t="n"/>
    </row>
    <row r="769" outlineLevel="1" s="326">
      <c r="A769" s="136" t="n">
        <v>29</v>
      </c>
      <c r="B769" s="72">
        <f>B108</f>
        <v/>
      </c>
      <c r="C769" s="137">
        <f>D108</f>
        <v/>
      </c>
      <c r="D769" s="137">
        <f>I108</f>
        <v/>
      </c>
      <c r="E769" s="137">
        <f>J108</f>
        <v/>
      </c>
      <c r="F769" s="137">
        <f>K108</f>
        <v/>
      </c>
      <c r="G769" s="138">
        <f>IF(AND($L$238&gt;0,A769=$C$13),$L$238*($C$15+$C$18),0)+IF(AND($L$238&gt;0,A769=$C$13),$C$24,0)</f>
        <v/>
      </c>
      <c r="H769" s="138">
        <f>IF(OR($L$238&lt;=0,A769&lt;$C$13),0,IF(AND($L$238&gt;0,$C$17&gt;0,A769&gt;=$C$13,A769&lt;($C$13+$C$17)),IF($C$17&lt;=0,0,IF($C$16=0,MAX($L$238*(1-$C$15),0)/$C$17,-PMT($C$16/12,$C$17*12,MAX($L$238*(1-$C$15),0))*12)),0)+X769*($C$19+$C$20+$C$21)+$C$22+$C$23)</f>
        <v/>
      </c>
      <c r="I769" s="138">
        <f>IF(B769="Working",MIN(MAX(D769-E769-F769-G769-H769,0),'Tax Assumptions'!$B$20),0)</f>
        <v/>
      </c>
      <c r="J769" s="138">
        <f>IF(B769="Working",D769-E769-F769-I769-G769-H769,-L769)</f>
        <v/>
      </c>
      <c r="K769" s="137">
        <f>IF(B769="Retired",$N$238+G769+H769,0)</f>
        <v/>
      </c>
      <c r="L769" s="137">
        <f>M769+N769+O769+P769</f>
        <v/>
      </c>
      <c r="M769" s="137">
        <f>IF(B769="Retired",MIN(((Q768)*(1+$C$10)+IF(B769="Working",J769,0)),K769),0)</f>
        <v/>
      </c>
      <c r="N769" s="137">
        <f>IF(B769="Retired",MIN(MAX(K769-M769,0),((R768)*(1+$C$10)+IF(B769="Working",E108,0))),0)</f>
        <v/>
      </c>
      <c r="O769" s="137">
        <f>IF(B769="Retired",MIN(MAX(K769-M769-N769,0),((S768)*(1+$C$10)+IF(B769="Working",I769,0))),0)</f>
        <v/>
      </c>
      <c r="P769" s="137">
        <f>IF(B769="Retired",MIN(MAX(K769-M769-N769-O769,0),((T768)*(1+$C$10)+IF(B769="Working",F108,0))),0)</f>
        <v/>
      </c>
      <c r="Q769" s="138">
        <f>MAX(((Q768)*(1+$C$10)+IF(B769="Working",J769,0))-M769,0)</f>
        <v/>
      </c>
      <c r="R769" s="138">
        <f>MAX(((R768)*(1+$C$10)+IF(B769="Working",E108,0))-N769,0)</f>
        <v/>
      </c>
      <c r="S769" s="138">
        <f>MAX(((S768)*(1+$C$10)+IF(B769="Working",I769,0))-O769,0)</f>
        <v/>
      </c>
      <c r="T769" s="138">
        <f>MAX(((T768)*(1+$C$10)+IF(B769="Working",F108,0))-P769,0)</f>
        <v/>
      </c>
      <c r="U769" s="138">
        <f>Q769+R769+S769+T769</f>
        <v/>
      </c>
      <c r="V769" s="138">
        <f>IF(B769="Working",MAX(-(((Q768)*(1+$C$10)+IF(B769="Working",J769,0))),0),MAX(K769-L769,0))</f>
        <v/>
      </c>
      <c r="W769" s="138">
        <f>IF(OR(A769&gt;=$C$13,B769="Retired"),IF(V769&gt;0,-V769,U769-'Model Inputs'!$B$18),"")</f>
        <v/>
      </c>
      <c r="X769" s="138">
        <f>IF(AND($L$238&gt;0,A769&gt;=$C$13),$L$238*(1+$C$25)^(A769-$C$13),0)</f>
        <v/>
      </c>
      <c r="Y769" s="138">
        <f>IF(OR($L$238&lt;=0,$C$17&lt;=0,A769&lt;$C$13,MIN(MAX((A769-$C$13+1)*12,0),$C$17*12)&gt;=$C$17*12),0,IF($C$16=0,MAX(MAX($L$238*(1-$C$15),0)-(IF($C$17&lt;=0,0,IF($C$16=0,MAX($L$238*(1-$C$15),0)/$C$17,-PMT($C$16/12,$C$17*12,MAX($L$238*(1-$C$15),0))*12))/12)*MIN(MAX((A769-$C$13+1)*12,0),$C$17*12),0),MAX(MAX($L$238*(1-$C$15),0)*(1+$C$16/12)^MIN(MAX((A769-$C$13+1)*12,0),$C$17*12)-(IF($C$17&lt;=0,0,IF($C$16=0,MAX($L$238*(1-$C$15),0)/$C$17,-PMT($C$16/12,$C$17*12,MAX($L$238*(1-$C$15),0))*12))/12)*(((1+$C$16/12)^MIN(MAX((A769-$C$13+1)*12,0),$C$17*12)-1)/($C$16/12)),0)))</f>
        <v/>
      </c>
      <c r="Z769" s="138">
        <f>MAX(X769-Y769,0)</f>
        <v/>
      </c>
      <c r="AA769" s="139">
        <f>U769+Z769</f>
        <v/>
      </c>
      <c r="AB769" s="5" t="n"/>
      <c r="AC769" s="5" t="n"/>
      <c r="AD769" s="5" t="n"/>
      <c r="AE769" s="5" t="n"/>
      <c r="AF769" s="5" t="n"/>
      <c r="AG769" s="5" t="n"/>
    </row>
    <row r="770" outlineLevel="1" s="326">
      <c r="A770" s="140" t="n">
        <v>30</v>
      </c>
      <c r="B770" s="40">
        <f>B109</f>
        <v/>
      </c>
      <c r="C770" s="141">
        <f>D109</f>
        <v/>
      </c>
      <c r="D770" s="141">
        <f>I109</f>
        <v/>
      </c>
      <c r="E770" s="141">
        <f>J109</f>
        <v/>
      </c>
      <c r="F770" s="141">
        <f>K109</f>
        <v/>
      </c>
      <c r="G770" s="138">
        <f>IF(AND($L$238&gt;0,A770=$C$13),$L$238*($C$15+$C$18),0)+IF(AND($L$238&gt;0,A770=$C$13),$C$24,0)</f>
        <v/>
      </c>
      <c r="H770" s="138">
        <f>IF(OR($L$238&lt;=0,A770&lt;$C$13),0,IF(AND($L$238&gt;0,$C$17&gt;0,A770&gt;=$C$13,A770&lt;($C$13+$C$17)),IF($C$17&lt;=0,0,IF($C$16=0,MAX($L$238*(1-$C$15),0)/$C$17,-PMT($C$16/12,$C$17*12,MAX($L$238*(1-$C$15),0))*12)),0)+X770*($C$19+$C$20+$C$21)+$C$22+$C$23)</f>
        <v/>
      </c>
      <c r="I770" s="138">
        <f>IF(B770="Working",MIN(MAX(D770-E770-F770-G770-H770,0),'Tax Assumptions'!$B$20),0)</f>
        <v/>
      </c>
      <c r="J770" s="138">
        <f>IF(B770="Working",D770-E770-F770-I770-G770-H770,-L770)</f>
        <v/>
      </c>
      <c r="K770" s="141">
        <f>IF(B770="Retired",$N$238+G770+H770,0)</f>
        <v/>
      </c>
      <c r="L770" s="141">
        <f>M770+N770+O770+P770</f>
        <v/>
      </c>
      <c r="M770" s="141">
        <f>IF(B770="Retired",MIN(((Q769)*(1+$C$10)+IF(B770="Working",J770,0)),K770),0)</f>
        <v/>
      </c>
      <c r="N770" s="141">
        <f>IF(B770="Retired",MIN(MAX(K770-M770,0),((R769)*(1+$C$10)+IF(B770="Working",E109,0))),0)</f>
        <v/>
      </c>
      <c r="O770" s="141">
        <f>IF(B770="Retired",MIN(MAX(K770-M770-N770,0),((S769)*(1+$C$10)+IF(B770="Working",I770,0))),0)</f>
        <v/>
      </c>
      <c r="P770" s="141">
        <f>IF(B770="Retired",MIN(MAX(K770-M770-N770-O770,0),((T769)*(1+$C$10)+IF(B770="Working",F109,0))),0)</f>
        <v/>
      </c>
      <c r="Q770" s="138">
        <f>MAX(((Q769)*(1+$C$10)+IF(B770="Working",J770,0))-M770,0)</f>
        <v/>
      </c>
      <c r="R770" s="138">
        <f>MAX(((R769)*(1+$C$10)+IF(B770="Working",E109,0))-N770,0)</f>
        <v/>
      </c>
      <c r="S770" s="138">
        <f>MAX(((S769)*(1+$C$10)+IF(B770="Working",I770,0))-O770,0)</f>
        <v/>
      </c>
      <c r="T770" s="138">
        <f>MAX(((T769)*(1+$C$10)+IF(B770="Working",F109,0))-P770,0)</f>
        <v/>
      </c>
      <c r="U770" s="138">
        <f>Q770+R770+S770+T770</f>
        <v/>
      </c>
      <c r="V770" s="138">
        <f>IF(B770="Working",MAX(-(((Q769)*(1+$C$10)+IF(B770="Working",J770,0))),0),MAX(K770-L770,0))</f>
        <v/>
      </c>
      <c r="W770" s="138">
        <f>IF(OR(A770&gt;=$C$13,B770="Retired"),IF(V770&gt;0,-V770,U770-'Model Inputs'!$B$18),"")</f>
        <v/>
      </c>
      <c r="X770" s="138">
        <f>IF(AND($L$238&gt;0,A770&gt;=$C$13),$L$238*(1+$C$25)^(A770-$C$13),0)</f>
        <v/>
      </c>
      <c r="Y770" s="138">
        <f>IF(OR($L$238&lt;=0,$C$17&lt;=0,A770&lt;$C$13,MIN(MAX((A770-$C$13+1)*12,0),$C$17*12)&gt;=$C$17*12),0,IF($C$16=0,MAX(MAX($L$238*(1-$C$15),0)-(IF($C$17&lt;=0,0,IF($C$16=0,MAX($L$238*(1-$C$15),0)/$C$17,-PMT($C$16/12,$C$17*12,MAX($L$238*(1-$C$15),0))*12))/12)*MIN(MAX((A770-$C$13+1)*12,0),$C$17*12),0),MAX(MAX($L$238*(1-$C$15),0)*(1+$C$16/12)^MIN(MAX((A770-$C$13+1)*12,0),$C$17*12)-(IF($C$17&lt;=0,0,IF($C$16=0,MAX($L$238*(1-$C$15),0)/$C$17,-PMT($C$16/12,$C$17*12,MAX($L$238*(1-$C$15),0))*12))/12)*(((1+$C$16/12)^MIN(MAX((A770-$C$13+1)*12,0),$C$17*12)-1)/($C$16/12)),0)))</f>
        <v/>
      </c>
      <c r="Z770" s="138">
        <f>MAX(X770-Y770,0)</f>
        <v/>
      </c>
      <c r="AA770" s="142">
        <f>U770+Z770</f>
        <v/>
      </c>
      <c r="AB770" s="5" t="n"/>
      <c r="AC770" s="5" t="n"/>
      <c r="AD770" s="5" t="n"/>
      <c r="AE770" s="5" t="n"/>
      <c r="AF770" s="5" t="n"/>
      <c r="AG770" s="5" t="n"/>
    </row>
    <row r="771" outlineLevel="1" s="326">
      <c r="A771" s="136" t="n">
        <v>31</v>
      </c>
      <c r="B771" s="72">
        <f>B110</f>
        <v/>
      </c>
      <c r="C771" s="137">
        <f>D110</f>
        <v/>
      </c>
      <c r="D771" s="137">
        <f>I110</f>
        <v/>
      </c>
      <c r="E771" s="137">
        <f>J110</f>
        <v/>
      </c>
      <c r="F771" s="137">
        <f>K110</f>
        <v/>
      </c>
      <c r="G771" s="138">
        <f>IF(AND($L$238&gt;0,A771=$C$13),$L$238*($C$15+$C$18),0)+IF(AND($L$238&gt;0,A771=$C$13),$C$24,0)</f>
        <v/>
      </c>
      <c r="H771" s="138">
        <f>IF(OR($L$238&lt;=0,A771&lt;$C$13),0,IF(AND($L$238&gt;0,$C$17&gt;0,A771&gt;=$C$13,A771&lt;($C$13+$C$17)),IF($C$17&lt;=0,0,IF($C$16=0,MAX($L$238*(1-$C$15),0)/$C$17,-PMT($C$16/12,$C$17*12,MAX($L$238*(1-$C$15),0))*12)),0)+X771*($C$19+$C$20+$C$21)+$C$22+$C$23)</f>
        <v/>
      </c>
      <c r="I771" s="138">
        <f>IF(B771="Working",MIN(MAX(D771-E771-F771-G771-H771,0),'Tax Assumptions'!$B$20),0)</f>
        <v/>
      </c>
      <c r="J771" s="138">
        <f>IF(B771="Working",D771-E771-F771-I771-G771-H771,-L771)</f>
        <v/>
      </c>
      <c r="K771" s="137">
        <f>IF(B771="Retired",$N$238+G771+H771,0)</f>
        <v/>
      </c>
      <c r="L771" s="137">
        <f>M771+N771+O771+P771</f>
        <v/>
      </c>
      <c r="M771" s="137">
        <f>IF(B771="Retired",MIN(((Q770)*(1+$C$10)+IF(B771="Working",J771,0)),K771),0)</f>
        <v/>
      </c>
      <c r="N771" s="137">
        <f>IF(B771="Retired",MIN(MAX(K771-M771,0),((R770)*(1+$C$10)+IF(B771="Working",E110,0))),0)</f>
        <v/>
      </c>
      <c r="O771" s="137">
        <f>IF(B771="Retired",MIN(MAX(K771-M771-N771,0),((S770)*(1+$C$10)+IF(B771="Working",I771,0))),0)</f>
        <v/>
      </c>
      <c r="P771" s="137">
        <f>IF(B771="Retired",MIN(MAX(K771-M771-N771-O771,0),((T770)*(1+$C$10)+IF(B771="Working",F110,0))),0)</f>
        <v/>
      </c>
      <c r="Q771" s="138">
        <f>MAX(((Q770)*(1+$C$10)+IF(B771="Working",J771,0))-M771,0)</f>
        <v/>
      </c>
      <c r="R771" s="138">
        <f>MAX(((R770)*(1+$C$10)+IF(B771="Working",E110,0))-N771,0)</f>
        <v/>
      </c>
      <c r="S771" s="138">
        <f>MAX(((S770)*(1+$C$10)+IF(B771="Working",I771,0))-O771,0)</f>
        <v/>
      </c>
      <c r="T771" s="138">
        <f>MAX(((T770)*(1+$C$10)+IF(B771="Working",F110,0))-P771,0)</f>
        <v/>
      </c>
      <c r="U771" s="138">
        <f>Q771+R771+S771+T771</f>
        <v/>
      </c>
      <c r="V771" s="138">
        <f>IF(B771="Working",MAX(-(((Q770)*(1+$C$10)+IF(B771="Working",J771,0))),0),MAX(K771-L771,0))</f>
        <v/>
      </c>
      <c r="W771" s="138">
        <f>IF(OR(A771&gt;=$C$13,B771="Retired"),IF(V771&gt;0,-V771,U771-'Model Inputs'!$B$18),"")</f>
        <v/>
      </c>
      <c r="X771" s="138">
        <f>IF(AND($L$238&gt;0,A771&gt;=$C$13),$L$238*(1+$C$25)^(A771-$C$13),0)</f>
        <v/>
      </c>
      <c r="Y771" s="138">
        <f>IF(OR($L$238&lt;=0,$C$17&lt;=0,A771&lt;$C$13,MIN(MAX((A771-$C$13+1)*12,0),$C$17*12)&gt;=$C$17*12),0,IF($C$16=0,MAX(MAX($L$238*(1-$C$15),0)-(IF($C$17&lt;=0,0,IF($C$16=0,MAX($L$238*(1-$C$15),0)/$C$17,-PMT($C$16/12,$C$17*12,MAX($L$238*(1-$C$15),0))*12))/12)*MIN(MAX((A771-$C$13+1)*12,0),$C$17*12),0),MAX(MAX($L$238*(1-$C$15),0)*(1+$C$16/12)^MIN(MAX((A771-$C$13+1)*12,0),$C$17*12)-(IF($C$17&lt;=0,0,IF($C$16=0,MAX($L$238*(1-$C$15),0)/$C$17,-PMT($C$16/12,$C$17*12,MAX($L$238*(1-$C$15),0))*12))/12)*(((1+$C$16/12)^MIN(MAX((A771-$C$13+1)*12,0),$C$17*12)-1)/($C$16/12)),0)))</f>
        <v/>
      </c>
      <c r="Z771" s="138">
        <f>MAX(X771-Y771,0)</f>
        <v/>
      </c>
      <c r="AA771" s="139">
        <f>U771+Z771</f>
        <v/>
      </c>
      <c r="AB771" s="5" t="n"/>
      <c r="AC771" s="5" t="n"/>
      <c r="AD771" s="5" t="n"/>
      <c r="AE771" s="5" t="n"/>
      <c r="AF771" s="5" t="n"/>
      <c r="AG771" s="5" t="n"/>
    </row>
    <row r="772" outlineLevel="1" s="326">
      <c r="A772" s="140" t="n">
        <v>32</v>
      </c>
      <c r="B772" s="40">
        <f>B111</f>
        <v/>
      </c>
      <c r="C772" s="141">
        <f>D111</f>
        <v/>
      </c>
      <c r="D772" s="141">
        <f>I111</f>
        <v/>
      </c>
      <c r="E772" s="141">
        <f>J111</f>
        <v/>
      </c>
      <c r="F772" s="141">
        <f>K111</f>
        <v/>
      </c>
      <c r="G772" s="138">
        <f>IF(AND($L$238&gt;0,A772=$C$13),$L$238*($C$15+$C$18),0)+IF(AND($L$238&gt;0,A772=$C$13),$C$24,0)</f>
        <v/>
      </c>
      <c r="H772" s="138">
        <f>IF(OR($L$238&lt;=0,A772&lt;$C$13),0,IF(AND($L$238&gt;0,$C$17&gt;0,A772&gt;=$C$13,A772&lt;($C$13+$C$17)),IF($C$17&lt;=0,0,IF($C$16=0,MAX($L$238*(1-$C$15),0)/$C$17,-PMT($C$16/12,$C$17*12,MAX($L$238*(1-$C$15),0))*12)),0)+X772*($C$19+$C$20+$C$21)+$C$22+$C$23)</f>
        <v/>
      </c>
      <c r="I772" s="138">
        <f>IF(B772="Working",MIN(MAX(D772-E772-F772-G772-H772,0),'Tax Assumptions'!$B$20),0)</f>
        <v/>
      </c>
      <c r="J772" s="138">
        <f>IF(B772="Working",D772-E772-F772-I772-G772-H772,-L772)</f>
        <v/>
      </c>
      <c r="K772" s="141">
        <f>IF(B772="Retired",$N$238+G772+H772,0)</f>
        <v/>
      </c>
      <c r="L772" s="141">
        <f>M772+N772+O772+P772</f>
        <v/>
      </c>
      <c r="M772" s="141">
        <f>IF(B772="Retired",MIN(((Q771)*(1+$C$10)+IF(B772="Working",J772,0)),K772),0)</f>
        <v/>
      </c>
      <c r="N772" s="141">
        <f>IF(B772="Retired",MIN(MAX(K772-M772,0),((R771)*(1+$C$10)+IF(B772="Working",E111,0))),0)</f>
        <v/>
      </c>
      <c r="O772" s="141">
        <f>IF(B772="Retired",MIN(MAX(K772-M772-N772,0),((S771)*(1+$C$10)+IF(B772="Working",I772,0))),0)</f>
        <v/>
      </c>
      <c r="P772" s="141">
        <f>IF(B772="Retired",MIN(MAX(K772-M772-N772-O772,0),((T771)*(1+$C$10)+IF(B772="Working",F111,0))),0)</f>
        <v/>
      </c>
      <c r="Q772" s="138">
        <f>MAX(((Q771)*(1+$C$10)+IF(B772="Working",J772,0))-M772,0)</f>
        <v/>
      </c>
      <c r="R772" s="138">
        <f>MAX(((R771)*(1+$C$10)+IF(B772="Working",E111,0))-N772,0)</f>
        <v/>
      </c>
      <c r="S772" s="138">
        <f>MAX(((S771)*(1+$C$10)+IF(B772="Working",I772,0))-O772,0)</f>
        <v/>
      </c>
      <c r="T772" s="138">
        <f>MAX(((T771)*(1+$C$10)+IF(B772="Working",F111,0))-P772,0)</f>
        <v/>
      </c>
      <c r="U772" s="138">
        <f>Q772+R772+S772+T772</f>
        <v/>
      </c>
      <c r="V772" s="138">
        <f>IF(B772="Working",MAX(-(((Q771)*(1+$C$10)+IF(B772="Working",J772,0))),0),MAX(K772-L772,0))</f>
        <v/>
      </c>
      <c r="W772" s="138">
        <f>IF(OR(A772&gt;=$C$13,B772="Retired"),IF(V772&gt;0,-V772,U772-'Model Inputs'!$B$18),"")</f>
        <v/>
      </c>
      <c r="X772" s="138">
        <f>IF(AND($L$238&gt;0,A772&gt;=$C$13),$L$238*(1+$C$25)^(A772-$C$13),0)</f>
        <v/>
      </c>
      <c r="Y772" s="138">
        <f>IF(OR($L$238&lt;=0,$C$17&lt;=0,A772&lt;$C$13,MIN(MAX((A772-$C$13+1)*12,0),$C$17*12)&gt;=$C$17*12),0,IF($C$16=0,MAX(MAX($L$238*(1-$C$15),0)-(IF($C$17&lt;=0,0,IF($C$16=0,MAX($L$238*(1-$C$15),0)/$C$17,-PMT($C$16/12,$C$17*12,MAX($L$238*(1-$C$15),0))*12))/12)*MIN(MAX((A772-$C$13+1)*12,0),$C$17*12),0),MAX(MAX($L$238*(1-$C$15),0)*(1+$C$16/12)^MIN(MAX((A772-$C$13+1)*12,0),$C$17*12)-(IF($C$17&lt;=0,0,IF($C$16=0,MAX($L$238*(1-$C$15),0)/$C$17,-PMT($C$16/12,$C$17*12,MAX($L$238*(1-$C$15),0))*12))/12)*(((1+$C$16/12)^MIN(MAX((A772-$C$13+1)*12,0),$C$17*12)-1)/($C$16/12)),0)))</f>
        <v/>
      </c>
      <c r="Z772" s="138">
        <f>MAX(X772-Y772,0)</f>
        <v/>
      </c>
      <c r="AA772" s="142">
        <f>U772+Z772</f>
        <v/>
      </c>
      <c r="AB772" s="5" t="n"/>
      <c r="AC772" s="5" t="n"/>
      <c r="AD772" s="5" t="n"/>
      <c r="AE772" s="5" t="n"/>
      <c r="AF772" s="5" t="n"/>
      <c r="AG772" s="5" t="n"/>
    </row>
    <row r="773" outlineLevel="1" s="326">
      <c r="A773" s="136" t="n">
        <v>33</v>
      </c>
      <c r="B773" s="72">
        <f>B112</f>
        <v/>
      </c>
      <c r="C773" s="137">
        <f>D112</f>
        <v/>
      </c>
      <c r="D773" s="137">
        <f>I112</f>
        <v/>
      </c>
      <c r="E773" s="137">
        <f>J112</f>
        <v/>
      </c>
      <c r="F773" s="137">
        <f>K112</f>
        <v/>
      </c>
      <c r="G773" s="138">
        <f>IF(AND($L$238&gt;0,A773=$C$13),$L$238*($C$15+$C$18),0)+IF(AND($L$238&gt;0,A773=$C$13),$C$24,0)</f>
        <v/>
      </c>
      <c r="H773" s="138">
        <f>IF(OR($L$238&lt;=0,A773&lt;$C$13),0,IF(AND($L$238&gt;0,$C$17&gt;0,A773&gt;=$C$13,A773&lt;($C$13+$C$17)),IF($C$17&lt;=0,0,IF($C$16=0,MAX($L$238*(1-$C$15),0)/$C$17,-PMT($C$16/12,$C$17*12,MAX($L$238*(1-$C$15),0))*12)),0)+X773*($C$19+$C$20+$C$21)+$C$22+$C$23)</f>
        <v/>
      </c>
      <c r="I773" s="138">
        <f>IF(B773="Working",MIN(MAX(D773-E773-F773-G773-H773,0),'Tax Assumptions'!$B$20),0)</f>
        <v/>
      </c>
      <c r="J773" s="138">
        <f>IF(B773="Working",D773-E773-F773-I773-G773-H773,-L773)</f>
        <v/>
      </c>
      <c r="K773" s="137">
        <f>IF(B773="Retired",$N$238+G773+H773,0)</f>
        <v/>
      </c>
      <c r="L773" s="137">
        <f>M773+N773+O773+P773</f>
        <v/>
      </c>
      <c r="M773" s="137">
        <f>IF(B773="Retired",MIN(((Q772)*(1+$C$10)+IF(B773="Working",J773,0)),K773),0)</f>
        <v/>
      </c>
      <c r="N773" s="137">
        <f>IF(B773="Retired",MIN(MAX(K773-M773,0),((R772)*(1+$C$10)+IF(B773="Working",E112,0))),0)</f>
        <v/>
      </c>
      <c r="O773" s="137">
        <f>IF(B773="Retired",MIN(MAX(K773-M773-N773,0),((S772)*(1+$C$10)+IF(B773="Working",I773,0))),0)</f>
        <v/>
      </c>
      <c r="P773" s="137">
        <f>IF(B773="Retired",MIN(MAX(K773-M773-N773-O773,0),((T772)*(1+$C$10)+IF(B773="Working",F112,0))),0)</f>
        <v/>
      </c>
      <c r="Q773" s="138">
        <f>MAX(((Q772)*(1+$C$10)+IF(B773="Working",J773,0))-M773,0)</f>
        <v/>
      </c>
      <c r="R773" s="138">
        <f>MAX(((R772)*(1+$C$10)+IF(B773="Working",E112,0))-N773,0)</f>
        <v/>
      </c>
      <c r="S773" s="138">
        <f>MAX(((S772)*(1+$C$10)+IF(B773="Working",I773,0))-O773,0)</f>
        <v/>
      </c>
      <c r="T773" s="138">
        <f>MAX(((T772)*(1+$C$10)+IF(B773="Working",F112,0))-P773,0)</f>
        <v/>
      </c>
      <c r="U773" s="138">
        <f>Q773+R773+S773+T773</f>
        <v/>
      </c>
      <c r="V773" s="138">
        <f>IF(B773="Working",MAX(-(((Q772)*(1+$C$10)+IF(B773="Working",J773,0))),0),MAX(K773-L773,0))</f>
        <v/>
      </c>
      <c r="W773" s="138">
        <f>IF(OR(A773&gt;=$C$13,B773="Retired"),IF(V773&gt;0,-V773,U773-'Model Inputs'!$B$18),"")</f>
        <v/>
      </c>
      <c r="X773" s="138">
        <f>IF(AND($L$238&gt;0,A773&gt;=$C$13),$L$238*(1+$C$25)^(A773-$C$13),0)</f>
        <v/>
      </c>
      <c r="Y773" s="138">
        <f>IF(OR($L$238&lt;=0,$C$17&lt;=0,A773&lt;$C$13,MIN(MAX((A773-$C$13+1)*12,0),$C$17*12)&gt;=$C$17*12),0,IF($C$16=0,MAX(MAX($L$238*(1-$C$15),0)-(IF($C$17&lt;=0,0,IF($C$16=0,MAX($L$238*(1-$C$15),0)/$C$17,-PMT($C$16/12,$C$17*12,MAX($L$238*(1-$C$15),0))*12))/12)*MIN(MAX((A773-$C$13+1)*12,0),$C$17*12),0),MAX(MAX($L$238*(1-$C$15),0)*(1+$C$16/12)^MIN(MAX((A773-$C$13+1)*12,0),$C$17*12)-(IF($C$17&lt;=0,0,IF($C$16=0,MAX($L$238*(1-$C$15),0)/$C$17,-PMT($C$16/12,$C$17*12,MAX($L$238*(1-$C$15),0))*12))/12)*(((1+$C$16/12)^MIN(MAX((A773-$C$13+1)*12,0),$C$17*12)-1)/($C$16/12)),0)))</f>
        <v/>
      </c>
      <c r="Z773" s="138">
        <f>MAX(X773-Y773,0)</f>
        <v/>
      </c>
      <c r="AA773" s="139">
        <f>U773+Z773</f>
        <v/>
      </c>
      <c r="AB773" s="5" t="n"/>
      <c r="AC773" s="5" t="n"/>
      <c r="AD773" s="5" t="n"/>
      <c r="AE773" s="5" t="n"/>
      <c r="AF773" s="5" t="n"/>
      <c r="AG773" s="5" t="n"/>
    </row>
    <row r="774" outlineLevel="1" s="326">
      <c r="A774" s="140" t="n">
        <v>34</v>
      </c>
      <c r="B774" s="40">
        <f>B113</f>
        <v/>
      </c>
      <c r="C774" s="141">
        <f>D113</f>
        <v/>
      </c>
      <c r="D774" s="141">
        <f>I113</f>
        <v/>
      </c>
      <c r="E774" s="141">
        <f>J113</f>
        <v/>
      </c>
      <c r="F774" s="141">
        <f>K113</f>
        <v/>
      </c>
      <c r="G774" s="138">
        <f>IF(AND($L$238&gt;0,A774=$C$13),$L$238*($C$15+$C$18),0)+IF(AND($L$238&gt;0,A774=$C$13),$C$24,0)</f>
        <v/>
      </c>
      <c r="H774" s="138">
        <f>IF(OR($L$238&lt;=0,A774&lt;$C$13),0,IF(AND($L$238&gt;0,$C$17&gt;0,A774&gt;=$C$13,A774&lt;($C$13+$C$17)),IF($C$17&lt;=0,0,IF($C$16=0,MAX($L$238*(1-$C$15),0)/$C$17,-PMT($C$16/12,$C$17*12,MAX($L$238*(1-$C$15),0))*12)),0)+X774*($C$19+$C$20+$C$21)+$C$22+$C$23)</f>
        <v/>
      </c>
      <c r="I774" s="138">
        <f>IF(B774="Working",MIN(MAX(D774-E774-F774-G774-H774,0),'Tax Assumptions'!$B$20),0)</f>
        <v/>
      </c>
      <c r="J774" s="138">
        <f>IF(B774="Working",D774-E774-F774-I774-G774-H774,-L774)</f>
        <v/>
      </c>
      <c r="K774" s="141">
        <f>IF(B774="Retired",$N$238+G774+H774,0)</f>
        <v/>
      </c>
      <c r="L774" s="141">
        <f>M774+N774+O774+P774</f>
        <v/>
      </c>
      <c r="M774" s="141">
        <f>IF(B774="Retired",MIN(((Q773)*(1+$C$10)+IF(B774="Working",J774,0)),K774),0)</f>
        <v/>
      </c>
      <c r="N774" s="141">
        <f>IF(B774="Retired",MIN(MAX(K774-M774,0),((R773)*(1+$C$10)+IF(B774="Working",E113,0))),0)</f>
        <v/>
      </c>
      <c r="O774" s="141">
        <f>IF(B774="Retired",MIN(MAX(K774-M774-N774,0),((S773)*(1+$C$10)+IF(B774="Working",I774,0))),0)</f>
        <v/>
      </c>
      <c r="P774" s="141">
        <f>IF(B774="Retired",MIN(MAX(K774-M774-N774-O774,0),((T773)*(1+$C$10)+IF(B774="Working",F113,0))),0)</f>
        <v/>
      </c>
      <c r="Q774" s="138">
        <f>MAX(((Q773)*(1+$C$10)+IF(B774="Working",J774,0))-M774,0)</f>
        <v/>
      </c>
      <c r="R774" s="138">
        <f>MAX(((R773)*(1+$C$10)+IF(B774="Working",E113,0))-N774,0)</f>
        <v/>
      </c>
      <c r="S774" s="138">
        <f>MAX(((S773)*(1+$C$10)+IF(B774="Working",I774,0))-O774,0)</f>
        <v/>
      </c>
      <c r="T774" s="138">
        <f>MAX(((T773)*(1+$C$10)+IF(B774="Working",F113,0))-P774,0)</f>
        <v/>
      </c>
      <c r="U774" s="138">
        <f>Q774+R774+S774+T774</f>
        <v/>
      </c>
      <c r="V774" s="138">
        <f>IF(B774="Working",MAX(-(((Q773)*(1+$C$10)+IF(B774="Working",J774,0))),0),MAX(K774-L774,0))</f>
        <v/>
      </c>
      <c r="W774" s="138">
        <f>IF(OR(A774&gt;=$C$13,B774="Retired"),IF(V774&gt;0,-V774,U774-'Model Inputs'!$B$18),"")</f>
        <v/>
      </c>
      <c r="X774" s="138">
        <f>IF(AND($L$238&gt;0,A774&gt;=$C$13),$L$238*(1+$C$25)^(A774-$C$13),0)</f>
        <v/>
      </c>
      <c r="Y774" s="138">
        <f>IF(OR($L$238&lt;=0,$C$17&lt;=0,A774&lt;$C$13,MIN(MAX((A774-$C$13+1)*12,0),$C$17*12)&gt;=$C$17*12),0,IF($C$16=0,MAX(MAX($L$238*(1-$C$15),0)-(IF($C$17&lt;=0,0,IF($C$16=0,MAX($L$238*(1-$C$15),0)/$C$17,-PMT($C$16/12,$C$17*12,MAX($L$238*(1-$C$15),0))*12))/12)*MIN(MAX((A774-$C$13+1)*12,0),$C$17*12),0),MAX(MAX($L$238*(1-$C$15),0)*(1+$C$16/12)^MIN(MAX((A774-$C$13+1)*12,0),$C$17*12)-(IF($C$17&lt;=0,0,IF($C$16=0,MAX($L$238*(1-$C$15),0)/$C$17,-PMT($C$16/12,$C$17*12,MAX($L$238*(1-$C$15),0))*12))/12)*(((1+$C$16/12)^MIN(MAX((A774-$C$13+1)*12,0),$C$17*12)-1)/($C$16/12)),0)))</f>
        <v/>
      </c>
      <c r="Z774" s="138">
        <f>MAX(X774-Y774,0)</f>
        <v/>
      </c>
      <c r="AA774" s="142">
        <f>U774+Z774</f>
        <v/>
      </c>
      <c r="AB774" s="5" t="n"/>
      <c r="AC774" s="5" t="n"/>
      <c r="AD774" s="5" t="n"/>
      <c r="AE774" s="5" t="n"/>
      <c r="AF774" s="5" t="n"/>
      <c r="AG774" s="5" t="n"/>
    </row>
    <row r="775" outlineLevel="1" s="326">
      <c r="A775" s="136" t="n">
        <v>35</v>
      </c>
      <c r="B775" s="72">
        <f>B114</f>
        <v/>
      </c>
      <c r="C775" s="137">
        <f>D114</f>
        <v/>
      </c>
      <c r="D775" s="137">
        <f>I114</f>
        <v/>
      </c>
      <c r="E775" s="137">
        <f>J114</f>
        <v/>
      </c>
      <c r="F775" s="137">
        <f>K114</f>
        <v/>
      </c>
      <c r="G775" s="138">
        <f>IF(AND($L$238&gt;0,A775=$C$13),$L$238*($C$15+$C$18),0)+IF(AND($L$238&gt;0,A775=$C$13),$C$24,0)</f>
        <v/>
      </c>
      <c r="H775" s="138">
        <f>IF(OR($L$238&lt;=0,A775&lt;$C$13),0,IF(AND($L$238&gt;0,$C$17&gt;0,A775&gt;=$C$13,A775&lt;($C$13+$C$17)),IF($C$17&lt;=0,0,IF($C$16=0,MAX($L$238*(1-$C$15),0)/$C$17,-PMT($C$16/12,$C$17*12,MAX($L$238*(1-$C$15),0))*12)),0)+X775*($C$19+$C$20+$C$21)+$C$22+$C$23)</f>
        <v/>
      </c>
      <c r="I775" s="138">
        <f>IF(B775="Working",MIN(MAX(D775-E775-F775-G775-H775,0),'Tax Assumptions'!$B$20),0)</f>
        <v/>
      </c>
      <c r="J775" s="138">
        <f>IF(B775="Working",D775-E775-F775-I775-G775-H775,-L775)</f>
        <v/>
      </c>
      <c r="K775" s="137">
        <f>IF(B775="Retired",$N$238+G775+H775,0)</f>
        <v/>
      </c>
      <c r="L775" s="137">
        <f>M775+N775+O775+P775</f>
        <v/>
      </c>
      <c r="M775" s="137">
        <f>IF(B775="Retired",MIN(((Q774)*(1+$C$10)+IF(B775="Working",J775,0)),K775),0)</f>
        <v/>
      </c>
      <c r="N775" s="137">
        <f>IF(B775="Retired",MIN(MAX(K775-M775,0),((R774)*(1+$C$10)+IF(B775="Working",E114,0))),0)</f>
        <v/>
      </c>
      <c r="O775" s="137">
        <f>IF(B775="Retired",MIN(MAX(K775-M775-N775,0),((S774)*(1+$C$10)+IF(B775="Working",I775,0))),0)</f>
        <v/>
      </c>
      <c r="P775" s="137">
        <f>IF(B775="Retired",MIN(MAX(K775-M775-N775-O775,0),((T774)*(1+$C$10)+IF(B775="Working",F114,0))),0)</f>
        <v/>
      </c>
      <c r="Q775" s="138">
        <f>MAX(((Q774)*(1+$C$10)+IF(B775="Working",J775,0))-M775,0)</f>
        <v/>
      </c>
      <c r="R775" s="138">
        <f>MAX(((R774)*(1+$C$10)+IF(B775="Working",E114,0))-N775,0)</f>
        <v/>
      </c>
      <c r="S775" s="138">
        <f>MAX(((S774)*(1+$C$10)+IF(B775="Working",I775,0))-O775,0)</f>
        <v/>
      </c>
      <c r="T775" s="138">
        <f>MAX(((T774)*(1+$C$10)+IF(B775="Working",F114,0))-P775,0)</f>
        <v/>
      </c>
      <c r="U775" s="138">
        <f>Q775+R775+S775+T775</f>
        <v/>
      </c>
      <c r="V775" s="138">
        <f>IF(B775="Working",MAX(-(((Q774)*(1+$C$10)+IF(B775="Working",J775,0))),0),MAX(K775-L775,0))</f>
        <v/>
      </c>
      <c r="W775" s="138">
        <f>IF(OR(A775&gt;=$C$13,B775="Retired"),IF(V775&gt;0,-V775,U775-'Model Inputs'!$B$18),"")</f>
        <v/>
      </c>
      <c r="X775" s="138">
        <f>IF(AND($L$238&gt;0,A775&gt;=$C$13),$L$238*(1+$C$25)^(A775-$C$13),0)</f>
        <v/>
      </c>
      <c r="Y775" s="138">
        <f>IF(OR($L$238&lt;=0,$C$17&lt;=0,A775&lt;$C$13,MIN(MAX((A775-$C$13+1)*12,0),$C$17*12)&gt;=$C$17*12),0,IF($C$16=0,MAX(MAX($L$238*(1-$C$15),0)-(IF($C$17&lt;=0,0,IF($C$16=0,MAX($L$238*(1-$C$15),0)/$C$17,-PMT($C$16/12,$C$17*12,MAX($L$238*(1-$C$15),0))*12))/12)*MIN(MAX((A775-$C$13+1)*12,0),$C$17*12),0),MAX(MAX($L$238*(1-$C$15),0)*(1+$C$16/12)^MIN(MAX((A775-$C$13+1)*12,0),$C$17*12)-(IF($C$17&lt;=0,0,IF($C$16=0,MAX($L$238*(1-$C$15),0)/$C$17,-PMT($C$16/12,$C$17*12,MAX($L$238*(1-$C$15),0))*12))/12)*(((1+$C$16/12)^MIN(MAX((A775-$C$13+1)*12,0),$C$17*12)-1)/($C$16/12)),0)))</f>
        <v/>
      </c>
      <c r="Z775" s="138">
        <f>MAX(X775-Y775,0)</f>
        <v/>
      </c>
      <c r="AA775" s="139">
        <f>U775+Z775</f>
        <v/>
      </c>
      <c r="AB775" s="5" t="n"/>
      <c r="AC775" s="5" t="n"/>
      <c r="AD775" s="5" t="n"/>
      <c r="AE775" s="5" t="n"/>
      <c r="AF775" s="5" t="n"/>
      <c r="AG775" s="5" t="n"/>
    </row>
    <row r="776" outlineLevel="1" s="326">
      <c r="A776" s="140" t="n">
        <v>36</v>
      </c>
      <c r="B776" s="40">
        <f>B115</f>
        <v/>
      </c>
      <c r="C776" s="141">
        <f>D115</f>
        <v/>
      </c>
      <c r="D776" s="141">
        <f>I115</f>
        <v/>
      </c>
      <c r="E776" s="141">
        <f>J115</f>
        <v/>
      </c>
      <c r="F776" s="141">
        <f>K115</f>
        <v/>
      </c>
      <c r="G776" s="138">
        <f>IF(AND($L$238&gt;0,A776=$C$13),$L$238*($C$15+$C$18),0)+IF(AND($L$238&gt;0,A776=$C$13),$C$24,0)</f>
        <v/>
      </c>
      <c r="H776" s="138">
        <f>IF(OR($L$238&lt;=0,A776&lt;$C$13),0,IF(AND($L$238&gt;0,$C$17&gt;0,A776&gt;=$C$13,A776&lt;($C$13+$C$17)),IF($C$17&lt;=0,0,IF($C$16=0,MAX($L$238*(1-$C$15),0)/$C$17,-PMT($C$16/12,$C$17*12,MAX($L$238*(1-$C$15),0))*12)),0)+X776*($C$19+$C$20+$C$21)+$C$22+$C$23)</f>
        <v/>
      </c>
      <c r="I776" s="138">
        <f>IF(B776="Working",MIN(MAX(D776-E776-F776-G776-H776,0),'Tax Assumptions'!$B$20),0)</f>
        <v/>
      </c>
      <c r="J776" s="138">
        <f>IF(B776="Working",D776-E776-F776-I776-G776-H776,-L776)</f>
        <v/>
      </c>
      <c r="K776" s="141">
        <f>IF(B776="Retired",$N$238+G776+H776,0)</f>
        <v/>
      </c>
      <c r="L776" s="141">
        <f>M776+N776+O776+P776</f>
        <v/>
      </c>
      <c r="M776" s="141">
        <f>IF(B776="Retired",MIN(((Q775)*(1+$C$10)+IF(B776="Working",J776,0)),K776),0)</f>
        <v/>
      </c>
      <c r="N776" s="141">
        <f>IF(B776="Retired",MIN(MAX(K776-M776,0),((R775)*(1+$C$10)+IF(B776="Working",E115,0))),0)</f>
        <v/>
      </c>
      <c r="O776" s="141">
        <f>IF(B776="Retired",MIN(MAX(K776-M776-N776,0),((S775)*(1+$C$10)+IF(B776="Working",I776,0))),0)</f>
        <v/>
      </c>
      <c r="P776" s="141">
        <f>IF(B776="Retired",MIN(MAX(K776-M776-N776-O776,0),((T775)*(1+$C$10)+IF(B776="Working",F115,0))),0)</f>
        <v/>
      </c>
      <c r="Q776" s="138">
        <f>MAX(((Q775)*(1+$C$10)+IF(B776="Working",J776,0))-M776,0)</f>
        <v/>
      </c>
      <c r="R776" s="138">
        <f>MAX(((R775)*(1+$C$10)+IF(B776="Working",E115,0))-N776,0)</f>
        <v/>
      </c>
      <c r="S776" s="138">
        <f>MAX(((S775)*(1+$C$10)+IF(B776="Working",I776,0))-O776,0)</f>
        <v/>
      </c>
      <c r="T776" s="138">
        <f>MAX(((T775)*(1+$C$10)+IF(B776="Working",F115,0))-P776,0)</f>
        <v/>
      </c>
      <c r="U776" s="138">
        <f>Q776+R776+S776+T776</f>
        <v/>
      </c>
      <c r="V776" s="138">
        <f>IF(B776="Working",MAX(-(((Q775)*(1+$C$10)+IF(B776="Working",J776,0))),0),MAX(K776-L776,0))</f>
        <v/>
      </c>
      <c r="W776" s="138">
        <f>IF(OR(A776&gt;=$C$13,B776="Retired"),IF(V776&gt;0,-V776,U776-'Model Inputs'!$B$18),"")</f>
        <v/>
      </c>
      <c r="X776" s="138">
        <f>IF(AND($L$238&gt;0,A776&gt;=$C$13),$L$238*(1+$C$25)^(A776-$C$13),0)</f>
        <v/>
      </c>
      <c r="Y776" s="138">
        <f>IF(OR($L$238&lt;=0,$C$17&lt;=0,A776&lt;$C$13,MIN(MAX((A776-$C$13+1)*12,0),$C$17*12)&gt;=$C$17*12),0,IF($C$16=0,MAX(MAX($L$238*(1-$C$15),0)-(IF($C$17&lt;=0,0,IF($C$16=0,MAX($L$238*(1-$C$15),0)/$C$17,-PMT($C$16/12,$C$17*12,MAX($L$238*(1-$C$15),0))*12))/12)*MIN(MAX((A776-$C$13+1)*12,0),$C$17*12),0),MAX(MAX($L$238*(1-$C$15),0)*(1+$C$16/12)^MIN(MAX((A776-$C$13+1)*12,0),$C$17*12)-(IF($C$17&lt;=0,0,IF($C$16=0,MAX($L$238*(1-$C$15),0)/$C$17,-PMT($C$16/12,$C$17*12,MAX($L$238*(1-$C$15),0))*12))/12)*(((1+$C$16/12)^MIN(MAX((A776-$C$13+1)*12,0),$C$17*12)-1)/($C$16/12)),0)))</f>
        <v/>
      </c>
      <c r="Z776" s="138">
        <f>MAX(X776-Y776,0)</f>
        <v/>
      </c>
      <c r="AA776" s="142">
        <f>U776+Z776</f>
        <v/>
      </c>
      <c r="AB776" s="5" t="n"/>
      <c r="AC776" s="5" t="n"/>
      <c r="AD776" s="5" t="n"/>
      <c r="AE776" s="5" t="n"/>
      <c r="AF776" s="5" t="n"/>
      <c r="AG776" s="5" t="n"/>
    </row>
    <row r="777" outlineLevel="1" s="326">
      <c r="A777" s="136" t="n">
        <v>37</v>
      </c>
      <c r="B777" s="72">
        <f>B116</f>
        <v/>
      </c>
      <c r="C777" s="137">
        <f>D116</f>
        <v/>
      </c>
      <c r="D777" s="137">
        <f>I116</f>
        <v/>
      </c>
      <c r="E777" s="137">
        <f>J116</f>
        <v/>
      </c>
      <c r="F777" s="137">
        <f>K116</f>
        <v/>
      </c>
      <c r="G777" s="138">
        <f>IF(AND($L$238&gt;0,A777=$C$13),$L$238*($C$15+$C$18),0)+IF(AND($L$238&gt;0,A777=$C$13),$C$24,0)</f>
        <v/>
      </c>
      <c r="H777" s="138">
        <f>IF(OR($L$238&lt;=0,A777&lt;$C$13),0,IF(AND($L$238&gt;0,$C$17&gt;0,A777&gt;=$C$13,A777&lt;($C$13+$C$17)),IF($C$17&lt;=0,0,IF($C$16=0,MAX($L$238*(1-$C$15),0)/$C$17,-PMT($C$16/12,$C$17*12,MAX($L$238*(1-$C$15),0))*12)),0)+X777*($C$19+$C$20+$C$21)+$C$22+$C$23)</f>
        <v/>
      </c>
      <c r="I777" s="138">
        <f>IF(B777="Working",MIN(MAX(D777-E777-F777-G777-H777,0),'Tax Assumptions'!$B$20),0)</f>
        <v/>
      </c>
      <c r="J777" s="138">
        <f>IF(B777="Working",D777-E777-F777-I777-G777-H777,-L777)</f>
        <v/>
      </c>
      <c r="K777" s="137">
        <f>IF(B777="Retired",$N$238+G777+H777,0)</f>
        <v/>
      </c>
      <c r="L777" s="137">
        <f>M777+N777+O777+P777</f>
        <v/>
      </c>
      <c r="M777" s="137">
        <f>IF(B777="Retired",MIN(((Q776)*(1+$C$10)+IF(B777="Working",J777,0)),K777),0)</f>
        <v/>
      </c>
      <c r="N777" s="137">
        <f>IF(B777="Retired",MIN(MAX(K777-M777,0),((R776)*(1+$C$10)+IF(B777="Working",E116,0))),0)</f>
        <v/>
      </c>
      <c r="O777" s="137">
        <f>IF(B777="Retired",MIN(MAX(K777-M777-N777,0),((S776)*(1+$C$10)+IF(B777="Working",I777,0))),0)</f>
        <v/>
      </c>
      <c r="P777" s="137">
        <f>IF(B777="Retired",MIN(MAX(K777-M777-N777-O777,0),((T776)*(1+$C$10)+IF(B777="Working",F116,0))),0)</f>
        <v/>
      </c>
      <c r="Q777" s="138">
        <f>MAX(((Q776)*(1+$C$10)+IF(B777="Working",J777,0))-M777,0)</f>
        <v/>
      </c>
      <c r="R777" s="138">
        <f>MAX(((R776)*(1+$C$10)+IF(B777="Working",E116,0))-N777,0)</f>
        <v/>
      </c>
      <c r="S777" s="138">
        <f>MAX(((S776)*(1+$C$10)+IF(B777="Working",I777,0))-O777,0)</f>
        <v/>
      </c>
      <c r="T777" s="138">
        <f>MAX(((T776)*(1+$C$10)+IF(B777="Working",F116,0))-P777,0)</f>
        <v/>
      </c>
      <c r="U777" s="138">
        <f>Q777+R777+S777+T777</f>
        <v/>
      </c>
      <c r="V777" s="138">
        <f>IF(B777="Working",MAX(-(((Q776)*(1+$C$10)+IF(B777="Working",J777,0))),0),MAX(K777-L777,0))</f>
        <v/>
      </c>
      <c r="W777" s="138">
        <f>IF(OR(A777&gt;=$C$13,B777="Retired"),IF(V777&gt;0,-V777,U777-'Model Inputs'!$B$18),"")</f>
        <v/>
      </c>
      <c r="X777" s="138">
        <f>IF(AND($L$238&gt;0,A777&gt;=$C$13),$L$238*(1+$C$25)^(A777-$C$13),0)</f>
        <v/>
      </c>
      <c r="Y777" s="138">
        <f>IF(OR($L$238&lt;=0,$C$17&lt;=0,A777&lt;$C$13,MIN(MAX((A777-$C$13+1)*12,0),$C$17*12)&gt;=$C$17*12),0,IF($C$16=0,MAX(MAX($L$238*(1-$C$15),0)-(IF($C$17&lt;=0,0,IF($C$16=0,MAX($L$238*(1-$C$15),0)/$C$17,-PMT($C$16/12,$C$17*12,MAX($L$238*(1-$C$15),0))*12))/12)*MIN(MAX((A777-$C$13+1)*12,0),$C$17*12),0),MAX(MAX($L$238*(1-$C$15),0)*(1+$C$16/12)^MIN(MAX((A777-$C$13+1)*12,0),$C$17*12)-(IF($C$17&lt;=0,0,IF($C$16=0,MAX($L$238*(1-$C$15),0)/$C$17,-PMT($C$16/12,$C$17*12,MAX($L$238*(1-$C$15),0))*12))/12)*(((1+$C$16/12)^MIN(MAX((A777-$C$13+1)*12,0),$C$17*12)-1)/($C$16/12)),0)))</f>
        <v/>
      </c>
      <c r="Z777" s="138">
        <f>MAX(X777-Y777,0)</f>
        <v/>
      </c>
      <c r="AA777" s="139">
        <f>U777+Z777</f>
        <v/>
      </c>
      <c r="AB777" s="5" t="n"/>
      <c r="AC777" s="5" t="n"/>
      <c r="AD777" s="5" t="n"/>
      <c r="AE777" s="5" t="n"/>
      <c r="AF777" s="5" t="n"/>
      <c r="AG777" s="5" t="n"/>
    </row>
    <row r="778" outlineLevel="1" s="326">
      <c r="A778" s="140" t="n">
        <v>38</v>
      </c>
      <c r="B778" s="40">
        <f>B117</f>
        <v/>
      </c>
      <c r="C778" s="141">
        <f>D117</f>
        <v/>
      </c>
      <c r="D778" s="141">
        <f>I117</f>
        <v/>
      </c>
      <c r="E778" s="141">
        <f>J117</f>
        <v/>
      </c>
      <c r="F778" s="141">
        <f>K117</f>
        <v/>
      </c>
      <c r="G778" s="138">
        <f>IF(AND($L$238&gt;0,A778=$C$13),$L$238*($C$15+$C$18),0)+IF(AND($L$238&gt;0,A778=$C$13),$C$24,0)</f>
        <v/>
      </c>
      <c r="H778" s="138">
        <f>IF(OR($L$238&lt;=0,A778&lt;$C$13),0,IF(AND($L$238&gt;0,$C$17&gt;0,A778&gt;=$C$13,A778&lt;($C$13+$C$17)),IF($C$17&lt;=0,0,IF($C$16=0,MAX($L$238*(1-$C$15),0)/$C$17,-PMT($C$16/12,$C$17*12,MAX($L$238*(1-$C$15),0))*12)),0)+X778*($C$19+$C$20+$C$21)+$C$22+$C$23)</f>
        <v/>
      </c>
      <c r="I778" s="138">
        <f>IF(B778="Working",MIN(MAX(D778-E778-F778-G778-H778,0),'Tax Assumptions'!$B$20),0)</f>
        <v/>
      </c>
      <c r="J778" s="138">
        <f>IF(B778="Working",D778-E778-F778-I778-G778-H778,-L778)</f>
        <v/>
      </c>
      <c r="K778" s="141">
        <f>IF(B778="Retired",$N$238+G778+H778,0)</f>
        <v/>
      </c>
      <c r="L778" s="141">
        <f>M778+N778+O778+P778</f>
        <v/>
      </c>
      <c r="M778" s="141">
        <f>IF(B778="Retired",MIN(((Q777)*(1+$C$10)+IF(B778="Working",J778,0)),K778),0)</f>
        <v/>
      </c>
      <c r="N778" s="141">
        <f>IF(B778="Retired",MIN(MAX(K778-M778,0),((R777)*(1+$C$10)+IF(B778="Working",E117,0))),0)</f>
        <v/>
      </c>
      <c r="O778" s="141">
        <f>IF(B778="Retired",MIN(MAX(K778-M778-N778,0),((S777)*(1+$C$10)+IF(B778="Working",I778,0))),0)</f>
        <v/>
      </c>
      <c r="P778" s="141">
        <f>IF(B778="Retired",MIN(MAX(K778-M778-N778-O778,0),((T777)*(1+$C$10)+IF(B778="Working",F117,0))),0)</f>
        <v/>
      </c>
      <c r="Q778" s="138">
        <f>MAX(((Q777)*(1+$C$10)+IF(B778="Working",J778,0))-M778,0)</f>
        <v/>
      </c>
      <c r="R778" s="138">
        <f>MAX(((R777)*(1+$C$10)+IF(B778="Working",E117,0))-N778,0)</f>
        <v/>
      </c>
      <c r="S778" s="138">
        <f>MAX(((S777)*(1+$C$10)+IF(B778="Working",I778,0))-O778,0)</f>
        <v/>
      </c>
      <c r="T778" s="138">
        <f>MAX(((T777)*(1+$C$10)+IF(B778="Working",F117,0))-P778,0)</f>
        <v/>
      </c>
      <c r="U778" s="138">
        <f>Q778+R778+S778+T778</f>
        <v/>
      </c>
      <c r="V778" s="138">
        <f>IF(B778="Working",MAX(-(((Q777)*(1+$C$10)+IF(B778="Working",J778,0))),0),MAX(K778-L778,0))</f>
        <v/>
      </c>
      <c r="W778" s="138">
        <f>IF(OR(A778&gt;=$C$13,B778="Retired"),IF(V778&gt;0,-V778,U778-'Model Inputs'!$B$18),"")</f>
        <v/>
      </c>
      <c r="X778" s="138">
        <f>IF(AND($L$238&gt;0,A778&gt;=$C$13),$L$238*(1+$C$25)^(A778-$C$13),0)</f>
        <v/>
      </c>
      <c r="Y778" s="138">
        <f>IF(OR($L$238&lt;=0,$C$17&lt;=0,A778&lt;$C$13,MIN(MAX((A778-$C$13+1)*12,0),$C$17*12)&gt;=$C$17*12),0,IF($C$16=0,MAX(MAX($L$238*(1-$C$15),0)-(IF($C$17&lt;=0,0,IF($C$16=0,MAX($L$238*(1-$C$15),0)/$C$17,-PMT($C$16/12,$C$17*12,MAX($L$238*(1-$C$15),0))*12))/12)*MIN(MAX((A778-$C$13+1)*12,0),$C$17*12),0),MAX(MAX($L$238*(1-$C$15),0)*(1+$C$16/12)^MIN(MAX((A778-$C$13+1)*12,0),$C$17*12)-(IF($C$17&lt;=0,0,IF($C$16=0,MAX($L$238*(1-$C$15),0)/$C$17,-PMT($C$16/12,$C$17*12,MAX($L$238*(1-$C$15),0))*12))/12)*(((1+$C$16/12)^MIN(MAX((A778-$C$13+1)*12,0),$C$17*12)-1)/($C$16/12)),0)))</f>
        <v/>
      </c>
      <c r="Z778" s="138">
        <f>MAX(X778-Y778,0)</f>
        <v/>
      </c>
      <c r="AA778" s="142">
        <f>U778+Z778</f>
        <v/>
      </c>
      <c r="AB778" s="5" t="n"/>
      <c r="AC778" s="5" t="n"/>
      <c r="AD778" s="5" t="n"/>
      <c r="AE778" s="5" t="n"/>
      <c r="AF778" s="5" t="n"/>
      <c r="AG778" s="5" t="n"/>
    </row>
    <row r="779" outlineLevel="1" s="326">
      <c r="A779" s="136" t="n">
        <v>39</v>
      </c>
      <c r="B779" s="72">
        <f>B118</f>
        <v/>
      </c>
      <c r="C779" s="137">
        <f>D118</f>
        <v/>
      </c>
      <c r="D779" s="137">
        <f>I118</f>
        <v/>
      </c>
      <c r="E779" s="137">
        <f>J118</f>
        <v/>
      </c>
      <c r="F779" s="137">
        <f>K118</f>
        <v/>
      </c>
      <c r="G779" s="138">
        <f>IF(AND($L$238&gt;0,A779=$C$13),$L$238*($C$15+$C$18),0)+IF(AND($L$238&gt;0,A779=$C$13),$C$24,0)</f>
        <v/>
      </c>
      <c r="H779" s="138">
        <f>IF(OR($L$238&lt;=0,A779&lt;$C$13),0,IF(AND($L$238&gt;0,$C$17&gt;0,A779&gt;=$C$13,A779&lt;($C$13+$C$17)),IF($C$17&lt;=0,0,IF($C$16=0,MAX($L$238*(1-$C$15),0)/$C$17,-PMT($C$16/12,$C$17*12,MAX($L$238*(1-$C$15),0))*12)),0)+X779*($C$19+$C$20+$C$21)+$C$22+$C$23)</f>
        <v/>
      </c>
      <c r="I779" s="138">
        <f>IF(B779="Working",MIN(MAX(D779-E779-F779-G779-H779,0),'Tax Assumptions'!$B$20),0)</f>
        <v/>
      </c>
      <c r="J779" s="138">
        <f>IF(B779="Working",D779-E779-F779-I779-G779-H779,-L779)</f>
        <v/>
      </c>
      <c r="K779" s="137">
        <f>IF(B779="Retired",$N$238+G779+H779,0)</f>
        <v/>
      </c>
      <c r="L779" s="137">
        <f>M779+N779+O779+P779</f>
        <v/>
      </c>
      <c r="M779" s="137">
        <f>IF(B779="Retired",MIN(((Q778)*(1+$C$10)+IF(B779="Working",J779,0)),K779),0)</f>
        <v/>
      </c>
      <c r="N779" s="137">
        <f>IF(B779="Retired",MIN(MAX(K779-M779,0),((R778)*(1+$C$10)+IF(B779="Working",E118,0))),0)</f>
        <v/>
      </c>
      <c r="O779" s="137">
        <f>IF(B779="Retired",MIN(MAX(K779-M779-N779,0),((S778)*(1+$C$10)+IF(B779="Working",I779,0))),0)</f>
        <v/>
      </c>
      <c r="P779" s="137">
        <f>IF(B779="Retired",MIN(MAX(K779-M779-N779-O779,0),((T778)*(1+$C$10)+IF(B779="Working",F118,0))),0)</f>
        <v/>
      </c>
      <c r="Q779" s="138">
        <f>MAX(((Q778)*(1+$C$10)+IF(B779="Working",J779,0))-M779,0)</f>
        <v/>
      </c>
      <c r="R779" s="138">
        <f>MAX(((R778)*(1+$C$10)+IF(B779="Working",E118,0))-N779,0)</f>
        <v/>
      </c>
      <c r="S779" s="138">
        <f>MAX(((S778)*(1+$C$10)+IF(B779="Working",I779,0))-O779,0)</f>
        <v/>
      </c>
      <c r="T779" s="138">
        <f>MAX(((T778)*(1+$C$10)+IF(B779="Working",F118,0))-P779,0)</f>
        <v/>
      </c>
      <c r="U779" s="138">
        <f>Q779+R779+S779+T779</f>
        <v/>
      </c>
      <c r="V779" s="138">
        <f>IF(B779="Working",MAX(-(((Q778)*(1+$C$10)+IF(B779="Working",J779,0))),0),MAX(K779-L779,0))</f>
        <v/>
      </c>
      <c r="W779" s="138">
        <f>IF(OR(A779&gt;=$C$13,B779="Retired"),IF(V779&gt;0,-V779,U779-'Model Inputs'!$B$18),"")</f>
        <v/>
      </c>
      <c r="X779" s="138">
        <f>IF(AND($L$238&gt;0,A779&gt;=$C$13),$L$238*(1+$C$25)^(A779-$C$13),0)</f>
        <v/>
      </c>
      <c r="Y779" s="138">
        <f>IF(OR($L$238&lt;=0,$C$17&lt;=0,A779&lt;$C$13,MIN(MAX((A779-$C$13+1)*12,0),$C$17*12)&gt;=$C$17*12),0,IF($C$16=0,MAX(MAX($L$238*(1-$C$15),0)-(IF($C$17&lt;=0,0,IF($C$16=0,MAX($L$238*(1-$C$15),0)/$C$17,-PMT($C$16/12,$C$17*12,MAX($L$238*(1-$C$15),0))*12))/12)*MIN(MAX((A779-$C$13+1)*12,0),$C$17*12),0),MAX(MAX($L$238*(1-$C$15),0)*(1+$C$16/12)^MIN(MAX((A779-$C$13+1)*12,0),$C$17*12)-(IF($C$17&lt;=0,0,IF($C$16=0,MAX($L$238*(1-$C$15),0)/$C$17,-PMT($C$16/12,$C$17*12,MAX($L$238*(1-$C$15),0))*12))/12)*(((1+$C$16/12)^MIN(MAX((A779-$C$13+1)*12,0),$C$17*12)-1)/($C$16/12)),0)))</f>
        <v/>
      </c>
      <c r="Z779" s="138">
        <f>MAX(X779-Y779,0)</f>
        <v/>
      </c>
      <c r="AA779" s="139">
        <f>U779+Z779</f>
        <v/>
      </c>
      <c r="AB779" s="5" t="n"/>
      <c r="AC779" s="5" t="n"/>
      <c r="AD779" s="5" t="n"/>
      <c r="AE779" s="5" t="n"/>
      <c r="AF779" s="5" t="n"/>
      <c r="AG779" s="5" t="n"/>
    </row>
    <row r="780" outlineLevel="1" s="326">
      <c r="A780" s="140" t="n">
        <v>40</v>
      </c>
      <c r="B780" s="40">
        <f>B119</f>
        <v/>
      </c>
      <c r="C780" s="141">
        <f>D119</f>
        <v/>
      </c>
      <c r="D780" s="141">
        <f>I119</f>
        <v/>
      </c>
      <c r="E780" s="141">
        <f>J119</f>
        <v/>
      </c>
      <c r="F780" s="141">
        <f>K119</f>
        <v/>
      </c>
      <c r="G780" s="138">
        <f>IF(AND($L$238&gt;0,A780=$C$13),$L$238*($C$15+$C$18),0)+IF(AND($L$238&gt;0,A780=$C$13),$C$24,0)</f>
        <v/>
      </c>
      <c r="H780" s="138">
        <f>IF(OR($L$238&lt;=0,A780&lt;$C$13),0,IF(AND($L$238&gt;0,$C$17&gt;0,A780&gt;=$C$13,A780&lt;($C$13+$C$17)),IF($C$17&lt;=0,0,IF($C$16=0,MAX($L$238*(1-$C$15),0)/$C$17,-PMT($C$16/12,$C$17*12,MAX($L$238*(1-$C$15),0))*12)),0)+X780*($C$19+$C$20+$C$21)+$C$22+$C$23)</f>
        <v/>
      </c>
      <c r="I780" s="138">
        <f>IF(B780="Working",MIN(MAX(D780-E780-F780-G780-H780,0),'Tax Assumptions'!$B$20),0)</f>
        <v/>
      </c>
      <c r="J780" s="138">
        <f>IF(B780="Working",D780-E780-F780-I780-G780-H780,-L780)</f>
        <v/>
      </c>
      <c r="K780" s="141">
        <f>IF(B780="Retired",$N$238+G780+H780,0)</f>
        <v/>
      </c>
      <c r="L780" s="141">
        <f>M780+N780+O780+P780</f>
        <v/>
      </c>
      <c r="M780" s="141">
        <f>IF(B780="Retired",MIN(((Q779)*(1+$C$10)+IF(B780="Working",J780,0)),K780),0)</f>
        <v/>
      </c>
      <c r="N780" s="141">
        <f>IF(B780="Retired",MIN(MAX(K780-M780,0),((R779)*(1+$C$10)+IF(B780="Working",E119,0))),0)</f>
        <v/>
      </c>
      <c r="O780" s="141">
        <f>IF(B780="Retired",MIN(MAX(K780-M780-N780,0),((S779)*(1+$C$10)+IF(B780="Working",I780,0))),0)</f>
        <v/>
      </c>
      <c r="P780" s="141">
        <f>IF(B780="Retired",MIN(MAX(K780-M780-N780-O780,0),((T779)*(1+$C$10)+IF(B780="Working",F119,0))),0)</f>
        <v/>
      </c>
      <c r="Q780" s="138">
        <f>MAX(((Q779)*(1+$C$10)+IF(B780="Working",J780,0))-M780,0)</f>
        <v/>
      </c>
      <c r="R780" s="138">
        <f>MAX(((R779)*(1+$C$10)+IF(B780="Working",E119,0))-N780,0)</f>
        <v/>
      </c>
      <c r="S780" s="138">
        <f>MAX(((S779)*(1+$C$10)+IF(B780="Working",I780,0))-O780,0)</f>
        <v/>
      </c>
      <c r="T780" s="138">
        <f>MAX(((T779)*(1+$C$10)+IF(B780="Working",F119,0))-P780,0)</f>
        <v/>
      </c>
      <c r="U780" s="138">
        <f>Q780+R780+S780+T780</f>
        <v/>
      </c>
      <c r="V780" s="138">
        <f>IF(B780="Working",MAX(-(((Q779)*(1+$C$10)+IF(B780="Working",J780,0))),0),MAX(K780-L780,0))</f>
        <v/>
      </c>
      <c r="W780" s="138">
        <f>IF(OR(A780&gt;=$C$13,B780="Retired"),IF(V780&gt;0,-V780,U780-'Model Inputs'!$B$18),"")</f>
        <v/>
      </c>
      <c r="X780" s="138">
        <f>IF(AND($L$238&gt;0,A780&gt;=$C$13),$L$238*(1+$C$25)^(A780-$C$13),0)</f>
        <v/>
      </c>
      <c r="Y780" s="138">
        <f>IF(OR($L$238&lt;=0,$C$17&lt;=0,A780&lt;$C$13,MIN(MAX((A780-$C$13+1)*12,0),$C$17*12)&gt;=$C$17*12),0,IF($C$16=0,MAX(MAX($L$238*(1-$C$15),0)-(IF($C$17&lt;=0,0,IF($C$16=0,MAX($L$238*(1-$C$15),0)/$C$17,-PMT($C$16/12,$C$17*12,MAX($L$238*(1-$C$15),0))*12))/12)*MIN(MAX((A780-$C$13+1)*12,0),$C$17*12),0),MAX(MAX($L$238*(1-$C$15),0)*(1+$C$16/12)^MIN(MAX((A780-$C$13+1)*12,0),$C$17*12)-(IF($C$17&lt;=0,0,IF($C$16=0,MAX($L$238*(1-$C$15),0)/$C$17,-PMT($C$16/12,$C$17*12,MAX($L$238*(1-$C$15),0))*12))/12)*(((1+$C$16/12)^MIN(MAX((A780-$C$13+1)*12,0),$C$17*12)-1)/($C$16/12)),0)))</f>
        <v/>
      </c>
      <c r="Z780" s="138">
        <f>MAX(X780-Y780,0)</f>
        <v/>
      </c>
      <c r="AA780" s="142">
        <f>U780+Z780</f>
        <v/>
      </c>
      <c r="AB780" s="5" t="n"/>
      <c r="AC780" s="5" t="n"/>
      <c r="AD780" s="5" t="n"/>
      <c r="AE780" s="5" t="n"/>
      <c r="AF780" s="5" t="n"/>
      <c r="AG780" s="5" t="n"/>
    </row>
    <row r="781" outlineLevel="1" s="326">
      <c r="A781" s="143" t="inlineStr">
        <is>
          <t>Case Summary</t>
        </is>
      </c>
      <c r="B781" s="144" t="n"/>
      <c r="C781" s="144" t="n"/>
      <c r="D781" s="144" t="n"/>
      <c r="E781" s="144" t="n"/>
      <c r="F781" s="144" t="n"/>
      <c r="G781" s="145">
        <f>SUM(G741:G780)</f>
        <v/>
      </c>
      <c r="H781" s="145">
        <f>SUM(H741:H780)</f>
        <v/>
      </c>
      <c r="I781" s="145">
        <f>SUM(I741:I780)</f>
        <v/>
      </c>
      <c r="J781" s="145">
        <f>SUM(J741:J780)</f>
        <v/>
      </c>
      <c r="K781" s="145">
        <f>SUM(K741:K780)</f>
        <v/>
      </c>
      <c r="L781" s="145">
        <f>SUM(L741:L780)</f>
        <v/>
      </c>
      <c r="M781" s="145">
        <f>SUM(M741:M780)</f>
        <v/>
      </c>
      <c r="N781" s="145">
        <f>SUM(N741:N780)</f>
        <v/>
      </c>
      <c r="O781" s="145">
        <f>SUM(O741:O780)</f>
        <v/>
      </c>
      <c r="P781" s="145">
        <f>SUM(P741:P780)</f>
        <v/>
      </c>
      <c r="Q781" s="145">
        <f>Q780</f>
        <v/>
      </c>
      <c r="R781" s="145">
        <f>R780</f>
        <v/>
      </c>
      <c r="S781" s="145">
        <f>S780</f>
        <v/>
      </c>
      <c r="T781" s="145">
        <f>T780</f>
        <v/>
      </c>
      <c r="U781" s="145">
        <f>U780</f>
        <v/>
      </c>
      <c r="V781" s="145">
        <f>SUM(V741:V780)</f>
        <v/>
      </c>
      <c r="W781" s="145">
        <f>MIN(W741:W780)</f>
        <v/>
      </c>
      <c r="X781" s="145">
        <f>X780</f>
        <v/>
      </c>
      <c r="Y781" s="145">
        <f>Y780</f>
        <v/>
      </c>
      <c r="Z781" s="145">
        <f>Z780</f>
        <v/>
      </c>
      <c r="AA781" s="146">
        <f>AA780</f>
        <v/>
      </c>
      <c r="AB781" s="5" t="n"/>
      <c r="AC781" s="5" t="n"/>
      <c r="AD781" s="5" t="n"/>
      <c r="AE781" s="5" t="n"/>
      <c r="AF781" s="5" t="n"/>
      <c r="AG781" s="5" t="n"/>
    </row>
    <row r="782" outlineLevel="1" s="326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</row>
    <row r="783" outlineLevel="1" s="326">
      <c r="A783" s="387">
        <f>J239&amp;" | House "&amp;TEXT($L$239,"$#,##0")&amp;" | Spend "&amp;TEXT($N$239,"$#,##0")</f>
        <v/>
      </c>
      <c r="B783" s="345" t="n"/>
      <c r="C783" s="345" t="n"/>
      <c r="D783" s="345" t="n"/>
      <c r="E783" s="345" t="n"/>
      <c r="F783" s="345" t="n"/>
      <c r="G783" s="345" t="n"/>
      <c r="H783" s="345" t="n"/>
      <c r="I783" s="345" t="n"/>
      <c r="J783" s="345" t="n"/>
      <c r="K783" s="345" t="n"/>
      <c r="L783" s="345" t="n"/>
      <c r="M783" s="345" t="n"/>
      <c r="N783" s="345" t="n"/>
      <c r="O783" s="345" t="n"/>
      <c r="P783" s="345" t="n"/>
      <c r="Q783" s="345" t="n"/>
      <c r="R783" s="345" t="n"/>
      <c r="S783" s="345" t="n"/>
      <c r="T783" s="345" t="n"/>
      <c r="U783" s="345" t="n"/>
      <c r="V783" s="345" t="n"/>
      <c r="W783" s="345" t="n"/>
      <c r="X783" s="345" t="n"/>
      <c r="Y783" s="345" t="n"/>
      <c r="Z783" s="345" t="n"/>
      <c r="AA783" s="346" t="n"/>
      <c r="AB783" s="5" t="n"/>
      <c r="AC783" s="5" t="n"/>
      <c r="AD783" s="5" t="n"/>
      <c r="AE783" s="5" t="n"/>
      <c r="AF783" s="5" t="n"/>
      <c r="AG783" s="5" t="n"/>
    </row>
    <row r="784" outlineLevel="1" ht="34" customHeight="1" s="326">
      <c r="A784" s="134" t="inlineStr">
        <is>
          <t>Year</t>
        </is>
      </c>
      <c r="B784" s="83" t="inlineStr">
        <is>
          <t>Phase</t>
        </is>
      </c>
      <c r="C784" s="83" t="inlineStr">
        <is>
          <t>Gross</t>
        </is>
      </c>
      <c r="D784" s="83" t="inlineStr">
        <is>
          <t>Post-Tax Cash</t>
        </is>
      </c>
      <c r="E784" s="83" t="inlineStr">
        <is>
          <t>Rent</t>
        </is>
      </c>
      <c r="F784" s="83" t="inlineStr">
        <is>
          <t>Living</t>
        </is>
      </c>
      <c r="G784" s="83" t="inlineStr">
        <is>
          <t>House Cash</t>
        </is>
      </c>
      <c r="H784" s="83" t="inlineStr">
        <is>
          <t>Housing Carry</t>
        </is>
      </c>
      <c r="I784" s="83" t="inlineStr">
        <is>
          <t>Roth</t>
        </is>
      </c>
      <c r="J784" s="83" t="inlineStr">
        <is>
          <t>Taxable Sav / (Draw)</t>
        </is>
      </c>
      <c r="K784" s="83" t="inlineStr">
        <is>
          <t>Planned Need</t>
        </is>
      </c>
      <c r="L784" s="83" t="inlineStr">
        <is>
          <t>Actual W/D</t>
        </is>
      </c>
      <c r="M784" s="83" t="inlineStr">
        <is>
          <t>Taxable Draw</t>
        </is>
      </c>
      <c r="N784" s="83" t="inlineStr">
        <is>
          <t>401(k) Draw</t>
        </is>
      </c>
      <c r="O784" s="83" t="inlineStr">
        <is>
          <t>Roth Draw</t>
        </is>
      </c>
      <c r="P784" s="83" t="inlineStr">
        <is>
          <t>HSA Draw</t>
        </is>
      </c>
      <c r="Q784" s="83" t="inlineStr">
        <is>
          <t>Taxable Bal</t>
        </is>
      </c>
      <c r="R784" s="83" t="inlineStr">
        <is>
          <t>401(k) Bal</t>
        </is>
      </c>
      <c r="S784" s="83" t="inlineStr">
        <is>
          <t>Roth Bal</t>
        </is>
      </c>
      <c r="T784" s="83" t="inlineStr">
        <is>
          <t>HSA Bal</t>
        </is>
      </c>
      <c r="U784" s="83" t="inlineStr">
        <is>
          <t>Liquid Wealth</t>
        </is>
      </c>
      <c r="V784" s="83" t="inlineStr">
        <is>
          <t>Funding Gap</t>
        </is>
      </c>
      <c r="W784" s="83" t="inlineStr">
        <is>
          <t>Margin vs Reserve</t>
        </is>
      </c>
      <c r="X784" s="83" t="inlineStr">
        <is>
          <t>House Value</t>
        </is>
      </c>
      <c r="Y784" s="83" t="inlineStr">
        <is>
          <t>Mortgage Balance</t>
        </is>
      </c>
      <c r="Z784" s="83" t="inlineStr">
        <is>
          <t>Home Equity</t>
        </is>
      </c>
      <c r="AA784" s="135" t="inlineStr">
        <is>
          <t>Net Worth</t>
        </is>
      </c>
      <c r="AB784" s="5" t="n"/>
      <c r="AC784" s="5" t="n"/>
      <c r="AD784" s="5" t="n"/>
      <c r="AE784" s="5" t="n"/>
      <c r="AF784" s="5" t="n"/>
      <c r="AG784" s="5" t="n"/>
    </row>
    <row r="785" outlineLevel="1" s="326">
      <c r="A785" s="136" t="n">
        <v>1</v>
      </c>
      <c r="B785" s="72">
        <f>B80</f>
        <v/>
      </c>
      <c r="C785" s="137">
        <f>D80</f>
        <v/>
      </c>
      <c r="D785" s="137">
        <f>I80</f>
        <v/>
      </c>
      <c r="E785" s="137">
        <f>J80</f>
        <v/>
      </c>
      <c r="F785" s="137">
        <f>K80</f>
        <v/>
      </c>
      <c r="G785" s="138">
        <f>IF(AND($L$239&gt;0,A785=$C$13),$L$239*($C$15+$C$18),0)+IF(AND($L$239&gt;0,A785=$C$13),$C$24,0)</f>
        <v/>
      </c>
      <c r="H785" s="138">
        <f>IF(OR($L$239&lt;=0,A785&lt;$C$13),0,IF(AND($L$239&gt;0,$C$17&gt;0,A785&gt;=$C$13,A785&lt;($C$13+$C$17)),IF($C$17&lt;=0,0,IF($C$16=0,MAX($L$239*(1-$C$15),0)/$C$17,-PMT($C$16/12,$C$17*12,MAX($L$239*(1-$C$15),0))*12)),0)+X785*($C$19+$C$20+$C$21)+$C$22+$C$23)</f>
        <v/>
      </c>
      <c r="I785" s="138">
        <f>IF(B785="Working",MIN(MAX(D785-E785-F785-G785-H785,0),'Tax Assumptions'!$B$20),0)</f>
        <v/>
      </c>
      <c r="J785" s="138">
        <f>IF(B785="Working",D785-E785-F785-I785-G785-H785,-L785)</f>
        <v/>
      </c>
      <c r="K785" s="137">
        <f>IF(B785="Retired",$N$239+G785+H785,0)</f>
        <v/>
      </c>
      <c r="L785" s="137">
        <f>M785+N785+O785+P785</f>
        <v/>
      </c>
      <c r="M785" s="137">
        <f>IF(B785="Retired",MIN((('Savings Projection'!$B$7)*(1+$C$10)+IF(B785="Working",J785,0)),K785),0)</f>
        <v/>
      </c>
      <c r="N785" s="137">
        <f>IF(B785="Retired",MIN(MAX(K785-M785,0),(('Savings Projection'!$B$8)*(1+$C$10)+IF(B785="Working",E80,0))),0)</f>
        <v/>
      </c>
      <c r="O785" s="137">
        <f>IF(B785="Retired",MIN(MAX(K785-M785-N785,0),(('Savings Projection'!$B$9)*(1+$C$10)+IF(B785="Working",I785,0))),0)</f>
        <v/>
      </c>
      <c r="P785" s="137">
        <f>IF(B785="Retired",MIN(MAX(K785-M785-N785-O785,0),(('Savings Projection'!$B$10)*(1+$C$10)+IF(B785="Working",F80,0))),0)</f>
        <v/>
      </c>
      <c r="Q785" s="138">
        <f>MAX((('Savings Projection'!$B$7)*(1+$C$10)+IF(B785="Working",J785,0))-M785,0)</f>
        <v/>
      </c>
      <c r="R785" s="138">
        <f>MAX((('Savings Projection'!$B$8)*(1+$C$10)+IF(B785="Working",E80,0))-N785,0)</f>
        <v/>
      </c>
      <c r="S785" s="138">
        <f>MAX((('Savings Projection'!$B$9)*(1+$C$10)+IF(B785="Working",I785,0))-O785,0)</f>
        <v/>
      </c>
      <c r="T785" s="138">
        <f>MAX((('Savings Projection'!$B$10)*(1+$C$10)+IF(B785="Working",F80,0))-P785,0)</f>
        <v/>
      </c>
      <c r="U785" s="138">
        <f>Q785+R785+S785+T785</f>
        <v/>
      </c>
      <c r="V785" s="138">
        <f>IF(B785="Working",MAX(-((('Savings Projection'!$B$7)*(1+$C$10)+IF(B785="Working",J785,0))),0),MAX(K785-L785,0))</f>
        <v/>
      </c>
      <c r="W785" s="138">
        <f>IF(OR(A785&gt;=$C$13,B785="Retired"),IF(V785&gt;0,-V785,U785-'Model Inputs'!$B$18),"")</f>
        <v/>
      </c>
      <c r="X785" s="138">
        <f>IF(AND($L$239&gt;0,A785&gt;=$C$13),$L$239*(1+$C$25)^(A785-$C$13),0)</f>
        <v/>
      </c>
      <c r="Y785" s="138">
        <f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/>
      </c>
      <c r="Z785" s="138">
        <f>MAX(X785-Y785,0)</f>
        <v/>
      </c>
      <c r="AA785" s="139">
        <f>U785+Z785</f>
        <v/>
      </c>
      <c r="AB785" s="5" t="n"/>
      <c r="AC785" s="5" t="n"/>
      <c r="AD785" s="5" t="n"/>
      <c r="AE785" s="5" t="n"/>
      <c r="AF785" s="5" t="n"/>
      <c r="AG785" s="5" t="n"/>
    </row>
    <row r="786" outlineLevel="1" s="326">
      <c r="A786" s="140" t="n">
        <v>2</v>
      </c>
      <c r="B786" s="40">
        <f>B81</f>
        <v/>
      </c>
      <c r="C786" s="141">
        <f>D81</f>
        <v/>
      </c>
      <c r="D786" s="141">
        <f>I81</f>
        <v/>
      </c>
      <c r="E786" s="141">
        <f>J81</f>
        <v/>
      </c>
      <c r="F786" s="141">
        <f>K81</f>
        <v/>
      </c>
      <c r="G786" s="138">
        <f>IF(AND($L$239&gt;0,A786=$C$13),$L$239*($C$15+$C$18),0)+IF(AND($L$239&gt;0,A786=$C$13),$C$24,0)</f>
        <v/>
      </c>
      <c r="H786" s="138">
        <f>IF(OR($L$239&lt;=0,A786&lt;$C$13),0,IF(AND($L$239&gt;0,$C$17&gt;0,A786&gt;=$C$13,A786&lt;($C$13+$C$17)),IF($C$17&lt;=0,0,IF($C$16=0,MAX($L$239*(1-$C$15),0)/$C$17,-PMT($C$16/12,$C$17*12,MAX($L$239*(1-$C$15),0))*12)),0)+X786*($C$19+$C$20+$C$21)+$C$22+$C$23)</f>
        <v/>
      </c>
      <c r="I786" s="138">
        <f>IF(B786="Working",MIN(MAX(D786-E786-F786-G786-H786,0),'Tax Assumptions'!$B$20),0)</f>
        <v/>
      </c>
      <c r="J786" s="138">
        <f>IF(B786="Working",D786-E786-F786-I786-G786-H786,-L786)</f>
        <v/>
      </c>
      <c r="K786" s="141">
        <f>IF(B786="Retired",$N$239+G786+H786,0)</f>
        <v/>
      </c>
      <c r="L786" s="141">
        <f>M786+N786+O786+P786</f>
        <v/>
      </c>
      <c r="M786" s="141">
        <f>IF(B786="Retired",MIN(((Q785)*(1+$C$10)+IF(B786="Working",J786,0)),K786),0)</f>
        <v/>
      </c>
      <c r="N786" s="141">
        <f>IF(B786="Retired",MIN(MAX(K786-M786,0),((R785)*(1+$C$10)+IF(B786="Working",E81,0))),0)</f>
        <v/>
      </c>
      <c r="O786" s="141">
        <f>IF(B786="Retired",MIN(MAX(K786-M786-N786,0),((S785)*(1+$C$10)+IF(B786="Working",I786,0))),0)</f>
        <v/>
      </c>
      <c r="P786" s="141">
        <f>IF(B786="Retired",MIN(MAX(K786-M786-N786-O786,0),((T785)*(1+$C$10)+IF(B786="Working",F81,0))),0)</f>
        <v/>
      </c>
      <c r="Q786" s="138">
        <f>MAX(((Q785)*(1+$C$10)+IF(B786="Working",J786,0))-M786,0)</f>
        <v/>
      </c>
      <c r="R786" s="138">
        <f>MAX(((R785)*(1+$C$10)+IF(B786="Working",E81,0))-N786,0)</f>
        <v/>
      </c>
      <c r="S786" s="138">
        <f>MAX(((S785)*(1+$C$10)+IF(B786="Working",I786,0))-O786,0)</f>
        <v/>
      </c>
      <c r="T786" s="138">
        <f>MAX(((T785)*(1+$C$10)+IF(B786="Working",F81,0))-P786,0)</f>
        <v/>
      </c>
      <c r="U786" s="138">
        <f>Q786+R786+S786+T786</f>
        <v/>
      </c>
      <c r="V786" s="138">
        <f>IF(B786="Working",MAX(-(((Q785)*(1+$C$10)+IF(B786="Working",J786,0))),0),MAX(K786-L786,0))</f>
        <v/>
      </c>
      <c r="W786" s="138">
        <f>IF(OR(A786&gt;=$C$13,B786="Retired"),IF(V786&gt;0,-V786,U786-'Model Inputs'!$B$18),"")</f>
        <v/>
      </c>
      <c r="X786" s="138">
        <f>IF(AND($L$239&gt;0,A786&gt;=$C$13),$L$239*(1+$C$25)^(A786-$C$13),0)</f>
        <v/>
      </c>
      <c r="Y786" s="138">
        <f>IF(OR($L$239&lt;=0,$C$17&lt;=0,A786&lt;$C$13,MIN(MAX((A786-$C$13+1)*12,0),$C$17*12)&gt;=$C$17*12),0,IF($C$16=0,MAX(MAX($L$239*(1-$C$15),0)-(IF($C$17&lt;=0,0,IF($C$16=0,MAX($L$239*(1-$C$15),0)/$C$17,-PMT($C$16/12,$C$17*12,MAX($L$239*(1-$C$15),0))*12))/12)*MIN(MAX((A786-$C$13+1)*12,0),$C$17*12),0),MAX(MAX($L$239*(1-$C$15),0)*(1+$C$16/12)^MIN(MAX((A786-$C$13+1)*12,0),$C$17*12)-(IF($C$17&lt;=0,0,IF($C$16=0,MAX($L$239*(1-$C$15),0)/$C$17,-PMT($C$16/12,$C$17*12,MAX($L$239*(1-$C$15),0))*12))/12)*(((1+$C$16/12)^MIN(MAX((A786-$C$13+1)*12,0),$C$17*12)-1)/($C$16/12)),0)))</f>
        <v/>
      </c>
      <c r="Z786" s="138">
        <f>MAX(X786-Y786,0)</f>
        <v/>
      </c>
      <c r="AA786" s="142">
        <f>U786+Z786</f>
        <v/>
      </c>
      <c r="AB786" s="5" t="n"/>
      <c r="AC786" s="5" t="n"/>
      <c r="AD786" s="5" t="n"/>
      <c r="AE786" s="5" t="n"/>
      <c r="AF786" s="5" t="n"/>
      <c r="AG786" s="5" t="n"/>
    </row>
    <row r="787" outlineLevel="1" s="326">
      <c r="A787" s="136" t="n">
        <v>3</v>
      </c>
      <c r="B787" s="72">
        <f>B82</f>
        <v/>
      </c>
      <c r="C787" s="137">
        <f>D82</f>
        <v/>
      </c>
      <c r="D787" s="137">
        <f>I82</f>
        <v/>
      </c>
      <c r="E787" s="137">
        <f>J82</f>
        <v/>
      </c>
      <c r="F787" s="137">
        <f>K82</f>
        <v/>
      </c>
      <c r="G787" s="138">
        <f>IF(AND($L$239&gt;0,A787=$C$13),$L$239*($C$15+$C$18),0)+IF(AND($L$239&gt;0,A787=$C$13),$C$24,0)</f>
        <v/>
      </c>
      <c r="H787" s="138">
        <f>IF(OR($L$239&lt;=0,A787&lt;$C$13),0,IF(AND($L$239&gt;0,$C$17&gt;0,A787&gt;=$C$13,A787&lt;($C$13+$C$17)),IF($C$17&lt;=0,0,IF($C$16=0,MAX($L$239*(1-$C$15),0)/$C$17,-PMT($C$16/12,$C$17*12,MAX($L$239*(1-$C$15),0))*12)),0)+X787*($C$19+$C$20+$C$21)+$C$22+$C$23)</f>
        <v/>
      </c>
      <c r="I787" s="138">
        <f>IF(B787="Working",MIN(MAX(D787-E787-F787-G787-H787,0),'Tax Assumptions'!$B$20),0)</f>
        <v/>
      </c>
      <c r="J787" s="138">
        <f>IF(B787="Working",D787-E787-F787-I787-G787-H787,-L787)</f>
        <v/>
      </c>
      <c r="K787" s="137">
        <f>IF(B787="Retired",$N$239+G787+H787,0)</f>
        <v/>
      </c>
      <c r="L787" s="137">
        <f>M787+N787+O787+P787</f>
        <v/>
      </c>
      <c r="M787" s="137">
        <f>IF(B787="Retired",MIN(((Q786)*(1+$C$10)+IF(B787="Working",J787,0)),K787),0)</f>
        <v/>
      </c>
      <c r="N787" s="137">
        <f>IF(B787="Retired",MIN(MAX(K787-M787,0),((R786)*(1+$C$10)+IF(B787="Working",E82,0))),0)</f>
        <v/>
      </c>
      <c r="O787" s="137">
        <f>IF(B787="Retired",MIN(MAX(K787-M787-N787,0),((S786)*(1+$C$10)+IF(B787="Working",I787,0))),0)</f>
        <v/>
      </c>
      <c r="P787" s="137">
        <f>IF(B787="Retired",MIN(MAX(K787-M787-N787-O787,0),((T786)*(1+$C$10)+IF(B787="Working",F82,0))),0)</f>
        <v/>
      </c>
      <c r="Q787" s="138">
        <f>MAX(((Q786)*(1+$C$10)+IF(B787="Working",J787,0))-M787,0)</f>
        <v/>
      </c>
      <c r="R787" s="138">
        <f>MAX(((R786)*(1+$C$10)+IF(B787="Working",E82,0))-N787,0)</f>
        <v/>
      </c>
      <c r="S787" s="138">
        <f>MAX(((S786)*(1+$C$10)+IF(B787="Working",I787,0))-O787,0)</f>
        <v/>
      </c>
      <c r="T787" s="138">
        <f>MAX(((T786)*(1+$C$10)+IF(B787="Working",F82,0))-P787,0)</f>
        <v/>
      </c>
      <c r="U787" s="138">
        <f>Q787+R787+S787+T787</f>
        <v/>
      </c>
      <c r="V787" s="138">
        <f>IF(B787="Working",MAX(-(((Q786)*(1+$C$10)+IF(B787="Working",J787,0))),0),MAX(K787-L787,0))</f>
        <v/>
      </c>
      <c r="W787" s="138">
        <f>IF(OR(A787&gt;=$C$13,B787="Retired"),IF(V787&gt;0,-V787,U787-'Model Inputs'!$B$18),"")</f>
        <v/>
      </c>
      <c r="X787" s="138">
        <f>IF(AND($L$239&gt;0,A787&gt;=$C$13),$L$239*(1+$C$25)^(A787-$C$13),0)</f>
        <v/>
      </c>
      <c r="Y787" s="138">
        <f>IF(OR($L$239&lt;=0,$C$17&lt;=0,A787&lt;$C$13,MIN(MAX((A787-$C$13+1)*12,0),$C$17*12)&gt;=$C$17*12),0,IF($C$16=0,MAX(MAX($L$239*(1-$C$15),0)-(IF($C$17&lt;=0,0,IF($C$16=0,MAX($L$239*(1-$C$15),0)/$C$17,-PMT($C$16/12,$C$17*12,MAX($L$239*(1-$C$15),0))*12))/12)*MIN(MAX((A787-$C$13+1)*12,0),$C$17*12),0),MAX(MAX($L$239*(1-$C$15),0)*(1+$C$16/12)^MIN(MAX((A787-$C$13+1)*12,0),$C$17*12)-(IF($C$17&lt;=0,0,IF($C$16=0,MAX($L$239*(1-$C$15),0)/$C$17,-PMT($C$16/12,$C$17*12,MAX($L$239*(1-$C$15),0))*12))/12)*(((1+$C$16/12)^MIN(MAX((A787-$C$13+1)*12,0),$C$17*12)-1)/($C$16/12)),0)))</f>
        <v/>
      </c>
      <c r="Z787" s="138">
        <f>MAX(X787-Y787,0)</f>
        <v/>
      </c>
      <c r="AA787" s="139">
        <f>U787+Z787</f>
        <v/>
      </c>
      <c r="AB787" s="5" t="n"/>
      <c r="AC787" s="5" t="n"/>
      <c r="AD787" s="5" t="n"/>
      <c r="AE787" s="5" t="n"/>
      <c r="AF787" s="5" t="n"/>
      <c r="AG787" s="5" t="n"/>
    </row>
    <row r="788" outlineLevel="1" s="326">
      <c r="A788" s="140" t="n">
        <v>4</v>
      </c>
      <c r="B788" s="40">
        <f>B83</f>
        <v/>
      </c>
      <c r="C788" s="141">
        <f>D83</f>
        <v/>
      </c>
      <c r="D788" s="141">
        <f>I83</f>
        <v/>
      </c>
      <c r="E788" s="141">
        <f>J83</f>
        <v/>
      </c>
      <c r="F788" s="141">
        <f>K83</f>
        <v/>
      </c>
      <c r="G788" s="138">
        <f>IF(AND($L$239&gt;0,A788=$C$13),$L$239*($C$15+$C$18),0)+IF(AND($L$239&gt;0,A788=$C$13),$C$24,0)</f>
        <v/>
      </c>
      <c r="H788" s="138">
        <f>IF(OR($L$239&lt;=0,A788&lt;$C$13),0,IF(AND($L$239&gt;0,$C$17&gt;0,A788&gt;=$C$13,A788&lt;($C$13+$C$17)),IF($C$17&lt;=0,0,IF($C$16=0,MAX($L$239*(1-$C$15),0)/$C$17,-PMT($C$16/12,$C$17*12,MAX($L$239*(1-$C$15),0))*12)),0)+X788*($C$19+$C$20+$C$21)+$C$22+$C$23)</f>
        <v/>
      </c>
      <c r="I788" s="138">
        <f>IF(B788="Working",MIN(MAX(D788-E788-F788-G788-H788,0),'Tax Assumptions'!$B$20),0)</f>
        <v/>
      </c>
      <c r="J788" s="138">
        <f>IF(B788="Working",D788-E788-F788-I788-G788-H788,-L788)</f>
        <v/>
      </c>
      <c r="K788" s="141">
        <f>IF(B788="Retired",$N$239+G788+H788,0)</f>
        <v/>
      </c>
      <c r="L788" s="141">
        <f>M788+N788+O788+P788</f>
        <v/>
      </c>
      <c r="M788" s="141">
        <f>IF(B788="Retired",MIN(((Q787)*(1+$C$10)+IF(B788="Working",J788,0)),K788),0)</f>
        <v/>
      </c>
      <c r="N788" s="141">
        <f>IF(B788="Retired",MIN(MAX(K788-M788,0),((R787)*(1+$C$10)+IF(B788="Working",E83,0))),0)</f>
        <v/>
      </c>
      <c r="O788" s="141">
        <f>IF(B788="Retired",MIN(MAX(K788-M788-N788,0),((S787)*(1+$C$10)+IF(B788="Working",I788,0))),0)</f>
        <v/>
      </c>
      <c r="P788" s="141">
        <f>IF(B788="Retired",MIN(MAX(K788-M788-N788-O788,0),((T787)*(1+$C$10)+IF(B788="Working",F83,0))),0)</f>
        <v/>
      </c>
      <c r="Q788" s="138">
        <f>MAX(((Q787)*(1+$C$10)+IF(B788="Working",J788,0))-M788,0)</f>
        <v/>
      </c>
      <c r="R788" s="138">
        <f>MAX(((R787)*(1+$C$10)+IF(B788="Working",E83,0))-N788,0)</f>
        <v/>
      </c>
      <c r="S788" s="138">
        <f>MAX(((S787)*(1+$C$10)+IF(B788="Working",I788,0))-O788,0)</f>
        <v/>
      </c>
      <c r="T788" s="138">
        <f>MAX(((T787)*(1+$C$10)+IF(B788="Working",F83,0))-P788,0)</f>
        <v/>
      </c>
      <c r="U788" s="138">
        <f>Q788+R788+S788+T788</f>
        <v/>
      </c>
      <c r="V788" s="138">
        <f>IF(B788="Working",MAX(-(((Q787)*(1+$C$10)+IF(B788="Working",J788,0))),0),MAX(K788-L788,0))</f>
        <v/>
      </c>
      <c r="W788" s="138">
        <f>IF(OR(A788&gt;=$C$13,B788="Retired"),IF(V788&gt;0,-V788,U788-'Model Inputs'!$B$18),"")</f>
        <v/>
      </c>
      <c r="X788" s="138">
        <f>IF(AND($L$239&gt;0,A788&gt;=$C$13),$L$239*(1+$C$25)^(A788-$C$13),0)</f>
        <v/>
      </c>
      <c r="Y788" s="138">
        <f>IF(OR($L$239&lt;=0,$C$17&lt;=0,A788&lt;$C$13,MIN(MAX((A788-$C$13+1)*12,0),$C$17*12)&gt;=$C$17*12),0,IF($C$16=0,MAX(MAX($L$239*(1-$C$15),0)-(IF($C$17&lt;=0,0,IF($C$16=0,MAX($L$239*(1-$C$15),0)/$C$17,-PMT($C$16/12,$C$17*12,MAX($L$239*(1-$C$15),0))*12))/12)*MIN(MAX((A788-$C$13+1)*12,0),$C$17*12),0),MAX(MAX($L$239*(1-$C$15),0)*(1+$C$16/12)^MIN(MAX((A788-$C$13+1)*12,0),$C$17*12)-(IF($C$17&lt;=0,0,IF($C$16=0,MAX($L$239*(1-$C$15),0)/$C$17,-PMT($C$16/12,$C$17*12,MAX($L$239*(1-$C$15),0))*12))/12)*(((1+$C$16/12)^MIN(MAX((A788-$C$13+1)*12,0),$C$17*12)-1)/($C$16/12)),0)))</f>
        <v/>
      </c>
      <c r="Z788" s="138">
        <f>MAX(X788-Y788,0)</f>
        <v/>
      </c>
      <c r="AA788" s="142">
        <f>U788+Z788</f>
        <v/>
      </c>
      <c r="AB788" s="5" t="n"/>
      <c r="AC788" s="5" t="n"/>
      <c r="AD788" s="5" t="n"/>
      <c r="AE788" s="5" t="n"/>
      <c r="AF788" s="5" t="n"/>
      <c r="AG788" s="5" t="n"/>
    </row>
    <row r="789" outlineLevel="1" s="326">
      <c r="A789" s="136" t="n">
        <v>5</v>
      </c>
      <c r="B789" s="72">
        <f>B84</f>
        <v/>
      </c>
      <c r="C789" s="137">
        <f>D84</f>
        <v/>
      </c>
      <c r="D789" s="137">
        <f>I84</f>
        <v/>
      </c>
      <c r="E789" s="137">
        <f>J84</f>
        <v/>
      </c>
      <c r="F789" s="137">
        <f>K84</f>
        <v/>
      </c>
      <c r="G789" s="138">
        <f>IF(AND($L$239&gt;0,A789=$C$13),$L$239*($C$15+$C$18),0)+IF(AND($L$239&gt;0,A789=$C$13),$C$24,0)</f>
        <v/>
      </c>
      <c r="H789" s="138">
        <f>IF(OR($L$239&lt;=0,A789&lt;$C$13),0,IF(AND($L$239&gt;0,$C$17&gt;0,A789&gt;=$C$13,A789&lt;($C$13+$C$17)),IF($C$17&lt;=0,0,IF($C$16=0,MAX($L$239*(1-$C$15),0)/$C$17,-PMT($C$16/12,$C$17*12,MAX($L$239*(1-$C$15),0))*12)),0)+X789*($C$19+$C$20+$C$21)+$C$22+$C$23)</f>
        <v/>
      </c>
      <c r="I789" s="138">
        <f>IF(B789="Working",MIN(MAX(D789-E789-F789-G789-H789,0),'Tax Assumptions'!$B$20),0)</f>
        <v/>
      </c>
      <c r="J789" s="138">
        <f>IF(B789="Working",D789-E789-F789-I789-G789-H789,-L789)</f>
        <v/>
      </c>
      <c r="K789" s="137">
        <f>IF(B789="Retired",$N$239+G789+H789,0)</f>
        <v/>
      </c>
      <c r="L789" s="137">
        <f>M789+N789+O789+P789</f>
        <v/>
      </c>
      <c r="M789" s="137">
        <f>IF(B789="Retired",MIN(((Q788)*(1+$C$10)+IF(B789="Working",J789,0)),K789),0)</f>
        <v/>
      </c>
      <c r="N789" s="137">
        <f>IF(B789="Retired",MIN(MAX(K789-M789,0),((R788)*(1+$C$10)+IF(B789="Working",E84,0))),0)</f>
        <v/>
      </c>
      <c r="O789" s="137">
        <f>IF(B789="Retired",MIN(MAX(K789-M789-N789,0),((S788)*(1+$C$10)+IF(B789="Working",I789,0))),0)</f>
        <v/>
      </c>
      <c r="P789" s="137">
        <f>IF(B789="Retired",MIN(MAX(K789-M789-N789-O789,0),((T788)*(1+$C$10)+IF(B789="Working",F84,0))),0)</f>
        <v/>
      </c>
      <c r="Q789" s="138">
        <f>MAX(((Q788)*(1+$C$10)+IF(B789="Working",J789,0))-M789,0)</f>
        <v/>
      </c>
      <c r="R789" s="138">
        <f>MAX(((R788)*(1+$C$10)+IF(B789="Working",E84,0))-N789,0)</f>
        <v/>
      </c>
      <c r="S789" s="138">
        <f>MAX(((S788)*(1+$C$10)+IF(B789="Working",I789,0))-O789,0)</f>
        <v/>
      </c>
      <c r="T789" s="138">
        <f>MAX(((T788)*(1+$C$10)+IF(B789="Working",F84,0))-P789,0)</f>
        <v/>
      </c>
      <c r="U789" s="138">
        <f>Q789+R789+S789+T789</f>
        <v/>
      </c>
      <c r="V789" s="138">
        <f>IF(B789="Working",MAX(-(((Q788)*(1+$C$10)+IF(B789="Working",J789,0))),0),MAX(K789-L789,0))</f>
        <v/>
      </c>
      <c r="W789" s="138">
        <f>IF(OR(A789&gt;=$C$13,B789="Retired"),IF(V789&gt;0,-V789,U789-'Model Inputs'!$B$18),"")</f>
        <v/>
      </c>
      <c r="X789" s="138">
        <f>IF(AND($L$239&gt;0,A789&gt;=$C$13),$L$239*(1+$C$25)^(A789-$C$13),0)</f>
        <v/>
      </c>
      <c r="Y789" s="138">
        <f>IF(OR($L$239&lt;=0,$C$17&lt;=0,A789&lt;$C$13,MIN(MAX((A789-$C$13+1)*12,0),$C$17*12)&gt;=$C$17*12),0,IF($C$16=0,MAX(MAX($L$239*(1-$C$15),0)-(IF($C$17&lt;=0,0,IF($C$16=0,MAX($L$239*(1-$C$15),0)/$C$17,-PMT($C$16/12,$C$17*12,MAX($L$239*(1-$C$15),0))*12))/12)*MIN(MAX((A789-$C$13+1)*12,0),$C$17*12),0),MAX(MAX($L$239*(1-$C$15),0)*(1+$C$16/12)^MIN(MAX((A789-$C$13+1)*12,0),$C$17*12)-(IF($C$17&lt;=0,0,IF($C$16=0,MAX($L$239*(1-$C$15),0)/$C$17,-PMT($C$16/12,$C$17*12,MAX($L$239*(1-$C$15),0))*12))/12)*(((1+$C$16/12)^MIN(MAX((A789-$C$13+1)*12,0),$C$17*12)-1)/($C$16/12)),0)))</f>
        <v/>
      </c>
      <c r="Z789" s="138">
        <f>MAX(X789-Y789,0)</f>
        <v/>
      </c>
      <c r="AA789" s="139">
        <f>U789+Z789</f>
        <v/>
      </c>
      <c r="AB789" s="5" t="n"/>
      <c r="AC789" s="5" t="n"/>
      <c r="AD789" s="5" t="n"/>
      <c r="AE789" s="5" t="n"/>
      <c r="AF789" s="5" t="n"/>
      <c r="AG789" s="5" t="n"/>
    </row>
    <row r="790" outlineLevel="1" s="326">
      <c r="A790" s="140" t="n">
        <v>6</v>
      </c>
      <c r="B790" s="40">
        <f>B85</f>
        <v/>
      </c>
      <c r="C790" s="141">
        <f>D85</f>
        <v/>
      </c>
      <c r="D790" s="141">
        <f>I85</f>
        <v/>
      </c>
      <c r="E790" s="141">
        <f>J85</f>
        <v/>
      </c>
      <c r="F790" s="141">
        <f>K85</f>
        <v/>
      </c>
      <c r="G790" s="138">
        <f>IF(AND($L$239&gt;0,A790=$C$13),$L$239*($C$15+$C$18),0)+IF(AND($L$239&gt;0,A790=$C$13),$C$24,0)</f>
        <v/>
      </c>
      <c r="H790" s="138">
        <f>IF(OR($L$239&lt;=0,A790&lt;$C$13),0,IF(AND($L$239&gt;0,$C$17&gt;0,A790&gt;=$C$13,A790&lt;($C$13+$C$17)),IF($C$17&lt;=0,0,IF($C$16=0,MAX($L$239*(1-$C$15),0)/$C$17,-PMT($C$16/12,$C$17*12,MAX($L$239*(1-$C$15),0))*12)),0)+X790*($C$19+$C$20+$C$21)+$C$22+$C$23)</f>
        <v/>
      </c>
      <c r="I790" s="138">
        <f>IF(B790="Working",MIN(MAX(D790-E790-F790-G790-H790,0),'Tax Assumptions'!$B$20),0)</f>
        <v/>
      </c>
      <c r="J790" s="138">
        <f>IF(B790="Working",D790-E790-F790-I790-G790-H790,-L790)</f>
        <v/>
      </c>
      <c r="K790" s="141">
        <f>IF(B790="Retired",$N$239+G790+H790,0)</f>
        <v/>
      </c>
      <c r="L790" s="141">
        <f>M790+N790+O790+P790</f>
        <v/>
      </c>
      <c r="M790" s="141">
        <f>IF(B790="Retired",MIN(((Q789)*(1+$C$10)+IF(B790="Working",J790,0)),K790),0)</f>
        <v/>
      </c>
      <c r="N790" s="141">
        <f>IF(B790="Retired",MIN(MAX(K790-M790,0),((R789)*(1+$C$10)+IF(B790="Working",E85,0))),0)</f>
        <v/>
      </c>
      <c r="O790" s="141">
        <f>IF(B790="Retired",MIN(MAX(K790-M790-N790,0),((S789)*(1+$C$10)+IF(B790="Working",I790,0))),0)</f>
        <v/>
      </c>
      <c r="P790" s="141">
        <f>IF(B790="Retired",MIN(MAX(K790-M790-N790-O790,0),((T789)*(1+$C$10)+IF(B790="Working",F85,0))),0)</f>
        <v/>
      </c>
      <c r="Q790" s="138">
        <f>MAX(((Q789)*(1+$C$10)+IF(B790="Working",J790,0))-M790,0)</f>
        <v/>
      </c>
      <c r="R790" s="138">
        <f>MAX(((R789)*(1+$C$10)+IF(B790="Working",E85,0))-N790,0)</f>
        <v/>
      </c>
      <c r="S790" s="138">
        <f>MAX(((S789)*(1+$C$10)+IF(B790="Working",I790,0))-O790,0)</f>
        <v/>
      </c>
      <c r="T790" s="138">
        <f>MAX(((T789)*(1+$C$10)+IF(B790="Working",F85,0))-P790,0)</f>
        <v/>
      </c>
      <c r="U790" s="138">
        <f>Q790+R790+S790+T790</f>
        <v/>
      </c>
      <c r="V790" s="138">
        <f>IF(B790="Working",MAX(-(((Q789)*(1+$C$10)+IF(B790="Working",J790,0))),0),MAX(K790-L790,0))</f>
        <v/>
      </c>
      <c r="W790" s="138">
        <f>IF(OR(A790&gt;=$C$13,B790="Retired"),IF(V790&gt;0,-V790,U790-'Model Inputs'!$B$18),"")</f>
        <v/>
      </c>
      <c r="X790" s="138">
        <f>IF(AND($L$239&gt;0,A790&gt;=$C$13),$L$239*(1+$C$25)^(A790-$C$13),0)</f>
        <v/>
      </c>
      <c r="Y790" s="138">
        <f>IF(OR($L$239&lt;=0,$C$17&lt;=0,A790&lt;$C$13,MIN(MAX((A790-$C$13+1)*12,0),$C$17*12)&gt;=$C$17*12),0,IF($C$16=0,MAX(MAX($L$239*(1-$C$15),0)-(IF($C$17&lt;=0,0,IF($C$16=0,MAX($L$239*(1-$C$15),0)/$C$17,-PMT($C$16/12,$C$17*12,MAX($L$239*(1-$C$15),0))*12))/12)*MIN(MAX((A790-$C$13+1)*12,0),$C$17*12),0),MAX(MAX($L$239*(1-$C$15),0)*(1+$C$16/12)^MIN(MAX((A790-$C$13+1)*12,0),$C$17*12)-(IF($C$17&lt;=0,0,IF($C$16=0,MAX($L$239*(1-$C$15),0)/$C$17,-PMT($C$16/12,$C$17*12,MAX($L$239*(1-$C$15),0))*12))/12)*(((1+$C$16/12)^MIN(MAX((A790-$C$13+1)*12,0),$C$17*12)-1)/($C$16/12)),0)))</f>
        <v/>
      </c>
      <c r="Z790" s="138">
        <f>MAX(X790-Y790,0)</f>
        <v/>
      </c>
      <c r="AA790" s="142">
        <f>U790+Z790</f>
        <v/>
      </c>
      <c r="AB790" s="5" t="n"/>
      <c r="AC790" s="5" t="n"/>
      <c r="AD790" s="5" t="n"/>
      <c r="AE790" s="5" t="n"/>
      <c r="AF790" s="5" t="n"/>
      <c r="AG790" s="5" t="n"/>
    </row>
    <row r="791" outlineLevel="1" s="326">
      <c r="A791" s="136" t="n">
        <v>7</v>
      </c>
      <c r="B791" s="72">
        <f>B86</f>
        <v/>
      </c>
      <c r="C791" s="137">
        <f>D86</f>
        <v/>
      </c>
      <c r="D791" s="137">
        <f>I86</f>
        <v/>
      </c>
      <c r="E791" s="137">
        <f>J86</f>
        <v/>
      </c>
      <c r="F791" s="137">
        <f>K86</f>
        <v/>
      </c>
      <c r="G791" s="138">
        <f>IF(AND($L$239&gt;0,A791=$C$13),$L$239*($C$15+$C$18),0)+IF(AND($L$239&gt;0,A791=$C$13),$C$24,0)</f>
        <v/>
      </c>
      <c r="H791" s="138">
        <f>IF(OR($L$239&lt;=0,A791&lt;$C$13),0,IF(AND($L$239&gt;0,$C$17&gt;0,A791&gt;=$C$13,A791&lt;($C$13+$C$17)),IF($C$17&lt;=0,0,IF($C$16=0,MAX($L$239*(1-$C$15),0)/$C$17,-PMT($C$16/12,$C$17*12,MAX($L$239*(1-$C$15),0))*12)),0)+X791*($C$19+$C$20+$C$21)+$C$22+$C$23)</f>
        <v/>
      </c>
      <c r="I791" s="138">
        <f>IF(B791="Working",MIN(MAX(D791-E791-F791-G791-H791,0),'Tax Assumptions'!$B$20),0)</f>
        <v/>
      </c>
      <c r="J791" s="138">
        <f>IF(B791="Working",D791-E791-F791-I791-G791-H791,-L791)</f>
        <v/>
      </c>
      <c r="K791" s="137">
        <f>IF(B791="Retired",$N$239+G791+H791,0)</f>
        <v/>
      </c>
      <c r="L791" s="137">
        <f>M791+N791+O791+P791</f>
        <v/>
      </c>
      <c r="M791" s="137">
        <f>IF(B791="Retired",MIN(((Q790)*(1+$C$10)+IF(B791="Working",J791,0)),K791),0)</f>
        <v/>
      </c>
      <c r="N791" s="137">
        <f>IF(B791="Retired",MIN(MAX(K791-M791,0),((R790)*(1+$C$10)+IF(B791="Working",E86,0))),0)</f>
        <v/>
      </c>
      <c r="O791" s="137">
        <f>IF(B791="Retired",MIN(MAX(K791-M791-N791,0),((S790)*(1+$C$10)+IF(B791="Working",I791,0))),0)</f>
        <v/>
      </c>
      <c r="P791" s="137">
        <f>IF(B791="Retired",MIN(MAX(K791-M791-N791-O791,0),((T790)*(1+$C$10)+IF(B791="Working",F86,0))),0)</f>
        <v/>
      </c>
      <c r="Q791" s="138">
        <f>MAX(((Q790)*(1+$C$10)+IF(B791="Working",J791,0))-M791,0)</f>
        <v/>
      </c>
      <c r="R791" s="138">
        <f>MAX(((R790)*(1+$C$10)+IF(B791="Working",E86,0))-N791,0)</f>
        <v/>
      </c>
      <c r="S791" s="138">
        <f>MAX(((S790)*(1+$C$10)+IF(B791="Working",I791,0))-O791,0)</f>
        <v/>
      </c>
      <c r="T791" s="138">
        <f>MAX(((T790)*(1+$C$10)+IF(B791="Working",F86,0))-P791,0)</f>
        <v/>
      </c>
      <c r="U791" s="138">
        <f>Q791+R791+S791+T791</f>
        <v/>
      </c>
      <c r="V791" s="138">
        <f>IF(B791="Working",MAX(-(((Q790)*(1+$C$10)+IF(B791="Working",J791,0))),0),MAX(K791-L791,0))</f>
        <v/>
      </c>
      <c r="W791" s="138">
        <f>IF(OR(A791&gt;=$C$13,B791="Retired"),IF(V791&gt;0,-V791,U791-'Model Inputs'!$B$18),"")</f>
        <v/>
      </c>
      <c r="X791" s="138">
        <f>IF(AND($L$239&gt;0,A791&gt;=$C$13),$L$239*(1+$C$25)^(A791-$C$13),0)</f>
        <v/>
      </c>
      <c r="Y791" s="138">
        <f>IF(OR($L$239&lt;=0,$C$17&lt;=0,A791&lt;$C$13,MIN(MAX((A791-$C$13+1)*12,0),$C$17*12)&gt;=$C$17*12),0,IF($C$16=0,MAX(MAX($L$239*(1-$C$15),0)-(IF($C$17&lt;=0,0,IF($C$16=0,MAX($L$239*(1-$C$15),0)/$C$17,-PMT($C$16/12,$C$17*12,MAX($L$239*(1-$C$15),0))*12))/12)*MIN(MAX((A791-$C$13+1)*12,0),$C$17*12),0),MAX(MAX($L$239*(1-$C$15),0)*(1+$C$16/12)^MIN(MAX((A791-$C$13+1)*12,0),$C$17*12)-(IF($C$17&lt;=0,0,IF($C$16=0,MAX($L$239*(1-$C$15),0)/$C$17,-PMT($C$16/12,$C$17*12,MAX($L$239*(1-$C$15),0))*12))/12)*(((1+$C$16/12)^MIN(MAX((A791-$C$13+1)*12,0),$C$17*12)-1)/($C$16/12)),0)))</f>
        <v/>
      </c>
      <c r="Z791" s="138">
        <f>MAX(X791-Y791,0)</f>
        <v/>
      </c>
      <c r="AA791" s="139">
        <f>U791+Z791</f>
        <v/>
      </c>
      <c r="AB791" s="5" t="n"/>
      <c r="AC791" s="5" t="n"/>
      <c r="AD791" s="5" t="n"/>
      <c r="AE791" s="5" t="n"/>
      <c r="AF791" s="5" t="n"/>
      <c r="AG791" s="5" t="n"/>
    </row>
    <row r="792" outlineLevel="1" s="326">
      <c r="A792" s="140" t="n">
        <v>8</v>
      </c>
      <c r="B792" s="40">
        <f>B87</f>
        <v/>
      </c>
      <c r="C792" s="141">
        <f>D87</f>
        <v/>
      </c>
      <c r="D792" s="141">
        <f>I87</f>
        <v/>
      </c>
      <c r="E792" s="141">
        <f>J87</f>
        <v/>
      </c>
      <c r="F792" s="141">
        <f>K87</f>
        <v/>
      </c>
      <c r="G792" s="138">
        <f>IF(AND($L$239&gt;0,A792=$C$13),$L$239*($C$15+$C$18),0)+IF(AND($L$239&gt;0,A792=$C$13),$C$24,0)</f>
        <v/>
      </c>
      <c r="H792" s="138">
        <f>IF(OR($L$239&lt;=0,A792&lt;$C$13),0,IF(AND($L$239&gt;0,$C$17&gt;0,A792&gt;=$C$13,A792&lt;($C$13+$C$17)),IF($C$17&lt;=0,0,IF($C$16=0,MAX($L$239*(1-$C$15),0)/$C$17,-PMT($C$16/12,$C$17*12,MAX($L$239*(1-$C$15),0))*12)),0)+X792*($C$19+$C$20+$C$21)+$C$22+$C$23)</f>
        <v/>
      </c>
      <c r="I792" s="138">
        <f>IF(B792="Working",MIN(MAX(D792-E792-F792-G792-H792,0),'Tax Assumptions'!$B$20),0)</f>
        <v/>
      </c>
      <c r="J792" s="138">
        <f>IF(B792="Working",D792-E792-F792-I792-G792-H792,-L792)</f>
        <v/>
      </c>
      <c r="K792" s="141">
        <f>IF(B792="Retired",$N$239+G792+H792,0)</f>
        <v/>
      </c>
      <c r="L792" s="141">
        <f>M792+N792+O792+P792</f>
        <v/>
      </c>
      <c r="M792" s="141">
        <f>IF(B792="Retired",MIN(((Q791)*(1+$C$10)+IF(B792="Working",J792,0)),K792),0)</f>
        <v/>
      </c>
      <c r="N792" s="141">
        <f>IF(B792="Retired",MIN(MAX(K792-M792,0),((R791)*(1+$C$10)+IF(B792="Working",E87,0))),0)</f>
        <v/>
      </c>
      <c r="O792" s="141">
        <f>IF(B792="Retired",MIN(MAX(K792-M792-N792,0),((S791)*(1+$C$10)+IF(B792="Working",I792,0))),0)</f>
        <v/>
      </c>
      <c r="P792" s="141">
        <f>IF(B792="Retired",MIN(MAX(K792-M792-N792-O792,0),((T791)*(1+$C$10)+IF(B792="Working",F87,0))),0)</f>
        <v/>
      </c>
      <c r="Q792" s="138">
        <f>MAX(((Q791)*(1+$C$10)+IF(B792="Working",J792,0))-M792,0)</f>
        <v/>
      </c>
      <c r="R792" s="138">
        <f>MAX(((R791)*(1+$C$10)+IF(B792="Working",E87,0))-N792,0)</f>
        <v/>
      </c>
      <c r="S792" s="138">
        <f>MAX(((S791)*(1+$C$10)+IF(B792="Working",I792,0))-O792,0)</f>
        <v/>
      </c>
      <c r="T792" s="138">
        <f>MAX(((T791)*(1+$C$10)+IF(B792="Working",F87,0))-P792,0)</f>
        <v/>
      </c>
      <c r="U792" s="138">
        <f>Q792+R792+S792+T792</f>
        <v/>
      </c>
      <c r="V792" s="138">
        <f>IF(B792="Working",MAX(-(((Q791)*(1+$C$10)+IF(B792="Working",J792,0))),0),MAX(K792-L792,0))</f>
        <v/>
      </c>
      <c r="W792" s="138">
        <f>IF(OR(A792&gt;=$C$13,B792="Retired"),IF(V792&gt;0,-V792,U792-'Model Inputs'!$B$18),"")</f>
        <v/>
      </c>
      <c r="X792" s="138">
        <f>IF(AND($L$239&gt;0,A792&gt;=$C$13),$L$239*(1+$C$25)^(A792-$C$13),0)</f>
        <v/>
      </c>
      <c r="Y792" s="138">
        <f>IF(OR($L$239&lt;=0,$C$17&lt;=0,A792&lt;$C$13,MIN(MAX((A792-$C$13+1)*12,0),$C$17*12)&gt;=$C$17*12),0,IF($C$16=0,MAX(MAX($L$239*(1-$C$15),0)-(IF($C$17&lt;=0,0,IF($C$16=0,MAX($L$239*(1-$C$15),0)/$C$17,-PMT($C$16/12,$C$17*12,MAX($L$239*(1-$C$15),0))*12))/12)*MIN(MAX((A792-$C$13+1)*12,0),$C$17*12),0),MAX(MAX($L$239*(1-$C$15),0)*(1+$C$16/12)^MIN(MAX((A792-$C$13+1)*12,0),$C$17*12)-(IF($C$17&lt;=0,0,IF($C$16=0,MAX($L$239*(1-$C$15),0)/$C$17,-PMT($C$16/12,$C$17*12,MAX($L$239*(1-$C$15),0))*12))/12)*(((1+$C$16/12)^MIN(MAX((A792-$C$13+1)*12,0),$C$17*12)-1)/($C$16/12)),0)))</f>
        <v/>
      </c>
      <c r="Z792" s="138">
        <f>MAX(X792-Y792,0)</f>
        <v/>
      </c>
      <c r="AA792" s="142">
        <f>U792+Z792</f>
        <v/>
      </c>
      <c r="AB792" s="5" t="n"/>
      <c r="AC792" s="5" t="n"/>
      <c r="AD792" s="5" t="n"/>
      <c r="AE792" s="5" t="n"/>
      <c r="AF792" s="5" t="n"/>
      <c r="AG792" s="5" t="n"/>
    </row>
    <row r="793" outlineLevel="1" s="326">
      <c r="A793" s="136" t="n">
        <v>9</v>
      </c>
      <c r="B793" s="72">
        <f>B88</f>
        <v/>
      </c>
      <c r="C793" s="137">
        <f>D88</f>
        <v/>
      </c>
      <c r="D793" s="137">
        <f>I88</f>
        <v/>
      </c>
      <c r="E793" s="137">
        <f>J88</f>
        <v/>
      </c>
      <c r="F793" s="137">
        <f>K88</f>
        <v/>
      </c>
      <c r="G793" s="138">
        <f>IF(AND($L$239&gt;0,A793=$C$13),$L$239*($C$15+$C$18),0)+IF(AND($L$239&gt;0,A793=$C$13),$C$24,0)</f>
        <v/>
      </c>
      <c r="H793" s="138">
        <f>IF(OR($L$239&lt;=0,A793&lt;$C$13),0,IF(AND($L$239&gt;0,$C$17&gt;0,A793&gt;=$C$13,A793&lt;($C$13+$C$17)),IF($C$17&lt;=0,0,IF($C$16=0,MAX($L$239*(1-$C$15),0)/$C$17,-PMT($C$16/12,$C$17*12,MAX($L$239*(1-$C$15),0))*12)),0)+X793*($C$19+$C$20+$C$21)+$C$22+$C$23)</f>
        <v/>
      </c>
      <c r="I793" s="138">
        <f>IF(B793="Working",MIN(MAX(D793-E793-F793-G793-H793,0),'Tax Assumptions'!$B$20),0)</f>
        <v/>
      </c>
      <c r="J793" s="138">
        <f>IF(B793="Working",D793-E793-F793-I793-G793-H793,-L793)</f>
        <v/>
      </c>
      <c r="K793" s="137">
        <f>IF(B793="Retired",$N$239+G793+H793,0)</f>
        <v/>
      </c>
      <c r="L793" s="137">
        <f>M793+N793+O793+P793</f>
        <v/>
      </c>
      <c r="M793" s="137">
        <f>IF(B793="Retired",MIN(((Q792)*(1+$C$10)+IF(B793="Working",J793,0)),K793),0)</f>
        <v/>
      </c>
      <c r="N793" s="137">
        <f>IF(B793="Retired",MIN(MAX(K793-M793,0),((R792)*(1+$C$10)+IF(B793="Working",E88,0))),0)</f>
        <v/>
      </c>
      <c r="O793" s="137">
        <f>IF(B793="Retired",MIN(MAX(K793-M793-N793,0),((S792)*(1+$C$10)+IF(B793="Working",I793,0))),0)</f>
        <v/>
      </c>
      <c r="P793" s="137">
        <f>IF(B793="Retired",MIN(MAX(K793-M793-N793-O793,0),((T792)*(1+$C$10)+IF(B793="Working",F88,0))),0)</f>
        <v/>
      </c>
      <c r="Q793" s="138">
        <f>MAX(((Q792)*(1+$C$10)+IF(B793="Working",J793,0))-M793,0)</f>
        <v/>
      </c>
      <c r="R793" s="138">
        <f>MAX(((R792)*(1+$C$10)+IF(B793="Working",E88,0))-N793,0)</f>
        <v/>
      </c>
      <c r="S793" s="138">
        <f>MAX(((S792)*(1+$C$10)+IF(B793="Working",I793,0))-O793,0)</f>
        <v/>
      </c>
      <c r="T793" s="138">
        <f>MAX(((T792)*(1+$C$10)+IF(B793="Working",F88,0))-P793,0)</f>
        <v/>
      </c>
      <c r="U793" s="138">
        <f>Q793+R793+S793+T793</f>
        <v/>
      </c>
      <c r="V793" s="138">
        <f>IF(B793="Working",MAX(-(((Q792)*(1+$C$10)+IF(B793="Working",J793,0))),0),MAX(K793-L793,0))</f>
        <v/>
      </c>
      <c r="W793" s="138">
        <f>IF(OR(A793&gt;=$C$13,B793="Retired"),IF(V793&gt;0,-V793,U793-'Model Inputs'!$B$18),"")</f>
        <v/>
      </c>
      <c r="X793" s="138">
        <f>IF(AND($L$239&gt;0,A793&gt;=$C$13),$L$239*(1+$C$25)^(A793-$C$13),0)</f>
        <v/>
      </c>
      <c r="Y793" s="138">
        <f>IF(OR($L$239&lt;=0,$C$17&lt;=0,A793&lt;$C$13,MIN(MAX((A793-$C$13+1)*12,0),$C$17*12)&gt;=$C$17*12),0,IF($C$16=0,MAX(MAX($L$239*(1-$C$15),0)-(IF($C$17&lt;=0,0,IF($C$16=0,MAX($L$239*(1-$C$15),0)/$C$17,-PMT($C$16/12,$C$17*12,MAX($L$239*(1-$C$15),0))*12))/12)*MIN(MAX((A793-$C$13+1)*12,0),$C$17*12),0),MAX(MAX($L$239*(1-$C$15),0)*(1+$C$16/12)^MIN(MAX((A793-$C$13+1)*12,0),$C$17*12)-(IF($C$17&lt;=0,0,IF($C$16=0,MAX($L$239*(1-$C$15),0)/$C$17,-PMT($C$16/12,$C$17*12,MAX($L$239*(1-$C$15),0))*12))/12)*(((1+$C$16/12)^MIN(MAX((A793-$C$13+1)*12,0),$C$17*12)-1)/($C$16/12)),0)))</f>
        <v/>
      </c>
      <c r="Z793" s="138">
        <f>MAX(X793-Y793,0)</f>
        <v/>
      </c>
      <c r="AA793" s="139">
        <f>U793+Z793</f>
        <v/>
      </c>
      <c r="AB793" s="5" t="n"/>
      <c r="AC793" s="5" t="n"/>
      <c r="AD793" s="5" t="n"/>
      <c r="AE793" s="5" t="n"/>
      <c r="AF793" s="5" t="n"/>
      <c r="AG793" s="5" t="n"/>
    </row>
    <row r="794" outlineLevel="1" s="326">
      <c r="A794" s="140" t="n">
        <v>10</v>
      </c>
      <c r="B794" s="40">
        <f>B89</f>
        <v/>
      </c>
      <c r="C794" s="141">
        <f>D89</f>
        <v/>
      </c>
      <c r="D794" s="141">
        <f>I89</f>
        <v/>
      </c>
      <c r="E794" s="141">
        <f>J89</f>
        <v/>
      </c>
      <c r="F794" s="141">
        <f>K89</f>
        <v/>
      </c>
      <c r="G794" s="138">
        <f>IF(AND($L$239&gt;0,A794=$C$13),$L$239*($C$15+$C$18),0)+IF(AND($L$239&gt;0,A794=$C$13),$C$24,0)</f>
        <v/>
      </c>
      <c r="H794" s="138">
        <f>IF(OR($L$239&lt;=0,A794&lt;$C$13),0,IF(AND($L$239&gt;0,$C$17&gt;0,A794&gt;=$C$13,A794&lt;($C$13+$C$17)),IF($C$17&lt;=0,0,IF($C$16=0,MAX($L$239*(1-$C$15),0)/$C$17,-PMT($C$16/12,$C$17*12,MAX($L$239*(1-$C$15),0))*12)),0)+X794*($C$19+$C$20+$C$21)+$C$22+$C$23)</f>
        <v/>
      </c>
      <c r="I794" s="138">
        <f>IF(B794="Working",MIN(MAX(D794-E794-F794-G794-H794,0),'Tax Assumptions'!$B$20),0)</f>
        <v/>
      </c>
      <c r="J794" s="138">
        <f>IF(B794="Working",D794-E794-F794-I794-G794-H794,-L794)</f>
        <v/>
      </c>
      <c r="K794" s="141">
        <f>IF(B794="Retired",$N$239+G794+H794,0)</f>
        <v/>
      </c>
      <c r="L794" s="141">
        <f>M794+N794+O794+P794</f>
        <v/>
      </c>
      <c r="M794" s="141">
        <f>IF(B794="Retired",MIN(((Q793)*(1+$C$10)+IF(B794="Working",J794,0)),K794),0)</f>
        <v/>
      </c>
      <c r="N794" s="141">
        <f>IF(B794="Retired",MIN(MAX(K794-M794,0),((R793)*(1+$C$10)+IF(B794="Working",E89,0))),0)</f>
        <v/>
      </c>
      <c r="O794" s="141">
        <f>IF(B794="Retired",MIN(MAX(K794-M794-N794,0),((S793)*(1+$C$10)+IF(B794="Working",I794,0))),0)</f>
        <v/>
      </c>
      <c r="P794" s="141">
        <f>IF(B794="Retired",MIN(MAX(K794-M794-N794-O794,0),((T793)*(1+$C$10)+IF(B794="Working",F89,0))),0)</f>
        <v/>
      </c>
      <c r="Q794" s="138">
        <f>MAX(((Q793)*(1+$C$10)+IF(B794="Working",J794,0))-M794,0)</f>
        <v/>
      </c>
      <c r="R794" s="138">
        <f>MAX(((R793)*(1+$C$10)+IF(B794="Working",E89,0))-N794,0)</f>
        <v/>
      </c>
      <c r="S794" s="138">
        <f>MAX(((S793)*(1+$C$10)+IF(B794="Working",I794,0))-O794,0)</f>
        <v/>
      </c>
      <c r="T794" s="138">
        <f>MAX(((T793)*(1+$C$10)+IF(B794="Working",F89,0))-P794,0)</f>
        <v/>
      </c>
      <c r="U794" s="138">
        <f>Q794+R794+S794+T794</f>
        <v/>
      </c>
      <c r="V794" s="138">
        <f>IF(B794="Working",MAX(-(((Q793)*(1+$C$10)+IF(B794="Working",J794,0))),0),MAX(K794-L794,0))</f>
        <v/>
      </c>
      <c r="W794" s="138">
        <f>IF(OR(A794&gt;=$C$13,B794="Retired"),IF(V794&gt;0,-V794,U794-'Model Inputs'!$B$18),"")</f>
        <v/>
      </c>
      <c r="X794" s="138">
        <f>IF(AND($L$239&gt;0,A794&gt;=$C$13),$L$239*(1+$C$25)^(A794-$C$13),0)</f>
        <v/>
      </c>
      <c r="Y794" s="138">
        <f>IF(OR($L$239&lt;=0,$C$17&lt;=0,A794&lt;$C$13,MIN(MAX((A794-$C$13+1)*12,0),$C$17*12)&gt;=$C$17*12),0,IF($C$16=0,MAX(MAX($L$239*(1-$C$15),0)-(IF($C$17&lt;=0,0,IF($C$16=0,MAX($L$239*(1-$C$15),0)/$C$17,-PMT($C$16/12,$C$17*12,MAX($L$239*(1-$C$15),0))*12))/12)*MIN(MAX((A794-$C$13+1)*12,0),$C$17*12),0),MAX(MAX($L$239*(1-$C$15),0)*(1+$C$16/12)^MIN(MAX((A794-$C$13+1)*12,0),$C$17*12)-(IF($C$17&lt;=0,0,IF($C$16=0,MAX($L$239*(1-$C$15),0)/$C$17,-PMT($C$16/12,$C$17*12,MAX($L$239*(1-$C$15),0))*12))/12)*(((1+$C$16/12)^MIN(MAX((A794-$C$13+1)*12,0),$C$17*12)-1)/($C$16/12)),0)))</f>
        <v/>
      </c>
      <c r="Z794" s="138">
        <f>MAX(X794-Y794,0)</f>
        <v/>
      </c>
      <c r="AA794" s="142">
        <f>U794+Z794</f>
        <v/>
      </c>
      <c r="AB794" s="5" t="n"/>
      <c r="AC794" s="5" t="n"/>
      <c r="AD794" s="5" t="n"/>
      <c r="AE794" s="5" t="n"/>
      <c r="AF794" s="5" t="n"/>
      <c r="AG794" s="5" t="n"/>
    </row>
    <row r="795" outlineLevel="1" s="326">
      <c r="A795" s="136" t="n">
        <v>11</v>
      </c>
      <c r="B795" s="72">
        <f>B90</f>
        <v/>
      </c>
      <c r="C795" s="137">
        <f>D90</f>
        <v/>
      </c>
      <c r="D795" s="137">
        <f>I90</f>
        <v/>
      </c>
      <c r="E795" s="137">
        <f>J90</f>
        <v/>
      </c>
      <c r="F795" s="137">
        <f>K90</f>
        <v/>
      </c>
      <c r="G795" s="138">
        <f>IF(AND($L$239&gt;0,A795=$C$13),$L$239*($C$15+$C$18),0)+IF(AND($L$239&gt;0,A795=$C$13),$C$24,0)</f>
        <v/>
      </c>
      <c r="H795" s="138">
        <f>IF(OR($L$239&lt;=0,A795&lt;$C$13),0,IF(AND($L$239&gt;0,$C$17&gt;0,A795&gt;=$C$13,A795&lt;($C$13+$C$17)),IF($C$17&lt;=0,0,IF($C$16=0,MAX($L$239*(1-$C$15),0)/$C$17,-PMT($C$16/12,$C$17*12,MAX($L$239*(1-$C$15),0))*12)),0)+X795*($C$19+$C$20+$C$21)+$C$22+$C$23)</f>
        <v/>
      </c>
      <c r="I795" s="138">
        <f>IF(B795="Working",MIN(MAX(D795-E795-F795-G795-H795,0),'Tax Assumptions'!$B$20),0)</f>
        <v/>
      </c>
      <c r="J795" s="138">
        <f>IF(B795="Working",D795-E795-F795-I795-G795-H795,-L795)</f>
        <v/>
      </c>
      <c r="K795" s="137">
        <f>IF(B795="Retired",$N$239+G795+H795,0)</f>
        <v/>
      </c>
      <c r="L795" s="137">
        <f>M795+N795+O795+P795</f>
        <v/>
      </c>
      <c r="M795" s="137">
        <f>IF(B795="Retired",MIN(((Q794)*(1+$C$10)+IF(B795="Working",J795,0)),K795),0)</f>
        <v/>
      </c>
      <c r="N795" s="137">
        <f>IF(B795="Retired",MIN(MAX(K795-M795,0),((R794)*(1+$C$10)+IF(B795="Working",E90,0))),0)</f>
        <v/>
      </c>
      <c r="O795" s="137">
        <f>IF(B795="Retired",MIN(MAX(K795-M795-N795,0),((S794)*(1+$C$10)+IF(B795="Working",I795,0))),0)</f>
        <v/>
      </c>
      <c r="P795" s="137">
        <f>IF(B795="Retired",MIN(MAX(K795-M795-N795-O795,0),((T794)*(1+$C$10)+IF(B795="Working",F90,0))),0)</f>
        <v/>
      </c>
      <c r="Q795" s="138">
        <f>MAX(((Q794)*(1+$C$10)+IF(B795="Working",J795,0))-M795,0)</f>
        <v/>
      </c>
      <c r="R795" s="138">
        <f>MAX(((R794)*(1+$C$10)+IF(B795="Working",E90,0))-N795,0)</f>
        <v/>
      </c>
      <c r="S795" s="138">
        <f>MAX(((S794)*(1+$C$10)+IF(B795="Working",I795,0))-O795,0)</f>
        <v/>
      </c>
      <c r="T795" s="138">
        <f>MAX(((T794)*(1+$C$10)+IF(B795="Working",F90,0))-P795,0)</f>
        <v/>
      </c>
      <c r="U795" s="138">
        <f>Q795+R795+S795+T795</f>
        <v/>
      </c>
      <c r="V795" s="138">
        <f>IF(B795="Working",MAX(-(((Q794)*(1+$C$10)+IF(B795="Working",J795,0))),0),MAX(K795-L795,0))</f>
        <v/>
      </c>
      <c r="W795" s="138">
        <f>IF(OR(A795&gt;=$C$13,B795="Retired"),IF(V795&gt;0,-V795,U795-'Model Inputs'!$B$18),"")</f>
        <v/>
      </c>
      <c r="X795" s="138">
        <f>IF(AND($L$239&gt;0,A795&gt;=$C$13),$L$239*(1+$C$25)^(A795-$C$13),0)</f>
        <v/>
      </c>
      <c r="Y795" s="138">
        <f>IF(OR($L$239&lt;=0,$C$17&lt;=0,A795&lt;$C$13,MIN(MAX((A795-$C$13+1)*12,0),$C$17*12)&gt;=$C$17*12),0,IF($C$16=0,MAX(MAX($L$239*(1-$C$15),0)-(IF($C$17&lt;=0,0,IF($C$16=0,MAX($L$239*(1-$C$15),0)/$C$17,-PMT($C$16/12,$C$17*12,MAX($L$239*(1-$C$15),0))*12))/12)*MIN(MAX((A795-$C$13+1)*12,0),$C$17*12),0),MAX(MAX($L$239*(1-$C$15),0)*(1+$C$16/12)^MIN(MAX((A795-$C$13+1)*12,0),$C$17*12)-(IF($C$17&lt;=0,0,IF($C$16=0,MAX($L$239*(1-$C$15),0)/$C$17,-PMT($C$16/12,$C$17*12,MAX($L$239*(1-$C$15),0))*12))/12)*(((1+$C$16/12)^MIN(MAX((A795-$C$13+1)*12,0),$C$17*12)-1)/($C$16/12)),0)))</f>
        <v/>
      </c>
      <c r="Z795" s="138">
        <f>MAX(X795-Y795,0)</f>
        <v/>
      </c>
      <c r="AA795" s="139">
        <f>U795+Z795</f>
        <v/>
      </c>
      <c r="AB795" s="5" t="n"/>
      <c r="AC795" s="5" t="n"/>
      <c r="AD795" s="5" t="n"/>
      <c r="AE795" s="5" t="n"/>
      <c r="AF795" s="5" t="n"/>
      <c r="AG795" s="5" t="n"/>
    </row>
    <row r="796" outlineLevel="1" s="326">
      <c r="A796" s="140" t="n">
        <v>12</v>
      </c>
      <c r="B796" s="40">
        <f>B91</f>
        <v/>
      </c>
      <c r="C796" s="141">
        <f>D91</f>
        <v/>
      </c>
      <c r="D796" s="141">
        <f>I91</f>
        <v/>
      </c>
      <c r="E796" s="141">
        <f>J91</f>
        <v/>
      </c>
      <c r="F796" s="141">
        <f>K91</f>
        <v/>
      </c>
      <c r="G796" s="138">
        <f>IF(AND($L$239&gt;0,A796=$C$13),$L$239*($C$15+$C$18),0)+IF(AND($L$239&gt;0,A796=$C$13),$C$24,0)</f>
        <v/>
      </c>
      <c r="H796" s="138">
        <f>IF(OR($L$239&lt;=0,A796&lt;$C$13),0,IF(AND($L$239&gt;0,$C$17&gt;0,A796&gt;=$C$13,A796&lt;($C$13+$C$17)),IF($C$17&lt;=0,0,IF($C$16=0,MAX($L$239*(1-$C$15),0)/$C$17,-PMT($C$16/12,$C$17*12,MAX($L$239*(1-$C$15),0))*12)),0)+X796*($C$19+$C$20+$C$21)+$C$22+$C$23)</f>
        <v/>
      </c>
      <c r="I796" s="138">
        <f>IF(B796="Working",MIN(MAX(D796-E796-F796-G796-H796,0),'Tax Assumptions'!$B$20),0)</f>
        <v/>
      </c>
      <c r="J796" s="138">
        <f>IF(B796="Working",D796-E796-F796-I796-G796-H796,-L796)</f>
        <v/>
      </c>
      <c r="K796" s="141">
        <f>IF(B796="Retired",$N$239+G796+H796,0)</f>
        <v/>
      </c>
      <c r="L796" s="141">
        <f>M796+N796+O796+P796</f>
        <v/>
      </c>
      <c r="M796" s="141">
        <f>IF(B796="Retired",MIN(((Q795)*(1+$C$10)+IF(B796="Working",J796,0)),K796),0)</f>
        <v/>
      </c>
      <c r="N796" s="141">
        <f>IF(B796="Retired",MIN(MAX(K796-M796,0),((R795)*(1+$C$10)+IF(B796="Working",E91,0))),0)</f>
        <v/>
      </c>
      <c r="O796" s="141">
        <f>IF(B796="Retired",MIN(MAX(K796-M796-N796,0),((S795)*(1+$C$10)+IF(B796="Working",I796,0))),0)</f>
        <v/>
      </c>
      <c r="P796" s="141">
        <f>IF(B796="Retired",MIN(MAX(K796-M796-N796-O796,0),((T795)*(1+$C$10)+IF(B796="Working",F91,0))),0)</f>
        <v/>
      </c>
      <c r="Q796" s="138">
        <f>MAX(((Q795)*(1+$C$10)+IF(B796="Working",J796,0))-M796,0)</f>
        <v/>
      </c>
      <c r="R796" s="138">
        <f>MAX(((R795)*(1+$C$10)+IF(B796="Working",E91,0))-N796,0)</f>
        <v/>
      </c>
      <c r="S796" s="138">
        <f>MAX(((S795)*(1+$C$10)+IF(B796="Working",I796,0))-O796,0)</f>
        <v/>
      </c>
      <c r="T796" s="138">
        <f>MAX(((T795)*(1+$C$10)+IF(B796="Working",F91,0))-P796,0)</f>
        <v/>
      </c>
      <c r="U796" s="138">
        <f>Q796+R796+S796+T796</f>
        <v/>
      </c>
      <c r="V796" s="138">
        <f>IF(B796="Working",MAX(-(((Q795)*(1+$C$10)+IF(B796="Working",J796,0))),0),MAX(K796-L796,0))</f>
        <v/>
      </c>
      <c r="W796" s="138">
        <f>IF(OR(A796&gt;=$C$13,B796="Retired"),IF(V796&gt;0,-V796,U796-'Model Inputs'!$B$18),"")</f>
        <v/>
      </c>
      <c r="X796" s="138">
        <f>IF(AND($L$239&gt;0,A796&gt;=$C$13),$L$239*(1+$C$25)^(A796-$C$13),0)</f>
        <v/>
      </c>
      <c r="Y796" s="138">
        <f>IF(OR($L$239&lt;=0,$C$17&lt;=0,A796&lt;$C$13,MIN(MAX((A796-$C$13+1)*12,0),$C$17*12)&gt;=$C$17*12),0,IF($C$16=0,MAX(MAX($L$239*(1-$C$15),0)-(IF($C$17&lt;=0,0,IF($C$16=0,MAX($L$239*(1-$C$15),0)/$C$17,-PMT($C$16/12,$C$17*12,MAX($L$239*(1-$C$15),0))*12))/12)*MIN(MAX((A796-$C$13+1)*12,0),$C$17*12),0),MAX(MAX($L$239*(1-$C$15),0)*(1+$C$16/12)^MIN(MAX((A796-$C$13+1)*12,0),$C$17*12)-(IF($C$17&lt;=0,0,IF($C$16=0,MAX($L$239*(1-$C$15),0)/$C$17,-PMT($C$16/12,$C$17*12,MAX($L$239*(1-$C$15),0))*12))/12)*(((1+$C$16/12)^MIN(MAX((A796-$C$13+1)*12,0),$C$17*12)-1)/($C$16/12)),0)))</f>
        <v/>
      </c>
      <c r="Z796" s="138">
        <f>MAX(X796-Y796,0)</f>
        <v/>
      </c>
      <c r="AA796" s="142">
        <f>U796+Z796</f>
        <v/>
      </c>
      <c r="AB796" s="5" t="n"/>
      <c r="AC796" s="5" t="n"/>
      <c r="AD796" s="5" t="n"/>
      <c r="AE796" s="5" t="n"/>
      <c r="AF796" s="5" t="n"/>
      <c r="AG796" s="5" t="n"/>
    </row>
    <row r="797" outlineLevel="1" s="326">
      <c r="A797" s="136" t="n">
        <v>13</v>
      </c>
      <c r="B797" s="72">
        <f>B92</f>
        <v/>
      </c>
      <c r="C797" s="137">
        <f>D92</f>
        <v/>
      </c>
      <c r="D797" s="137">
        <f>I92</f>
        <v/>
      </c>
      <c r="E797" s="137">
        <f>J92</f>
        <v/>
      </c>
      <c r="F797" s="137">
        <f>K92</f>
        <v/>
      </c>
      <c r="G797" s="138">
        <f>IF(AND($L$239&gt;0,A797=$C$13),$L$239*($C$15+$C$18),0)+IF(AND($L$239&gt;0,A797=$C$13),$C$24,0)</f>
        <v/>
      </c>
      <c r="H797" s="138">
        <f>IF(OR($L$239&lt;=0,A797&lt;$C$13),0,IF(AND($L$239&gt;0,$C$17&gt;0,A797&gt;=$C$13,A797&lt;($C$13+$C$17)),IF($C$17&lt;=0,0,IF($C$16=0,MAX($L$239*(1-$C$15),0)/$C$17,-PMT($C$16/12,$C$17*12,MAX($L$239*(1-$C$15),0))*12)),0)+X797*($C$19+$C$20+$C$21)+$C$22+$C$23)</f>
        <v/>
      </c>
      <c r="I797" s="138">
        <f>IF(B797="Working",MIN(MAX(D797-E797-F797-G797-H797,0),'Tax Assumptions'!$B$20),0)</f>
        <v/>
      </c>
      <c r="J797" s="138">
        <f>IF(B797="Working",D797-E797-F797-I797-G797-H797,-L797)</f>
        <v/>
      </c>
      <c r="K797" s="137">
        <f>IF(B797="Retired",$N$239+G797+H797,0)</f>
        <v/>
      </c>
      <c r="L797" s="137">
        <f>M797+N797+O797+P797</f>
        <v/>
      </c>
      <c r="M797" s="137">
        <f>IF(B797="Retired",MIN(((Q796)*(1+$C$10)+IF(B797="Working",J797,0)),K797),0)</f>
        <v/>
      </c>
      <c r="N797" s="137">
        <f>IF(B797="Retired",MIN(MAX(K797-M797,0),((R796)*(1+$C$10)+IF(B797="Working",E92,0))),0)</f>
        <v/>
      </c>
      <c r="O797" s="137">
        <f>IF(B797="Retired",MIN(MAX(K797-M797-N797,0),((S796)*(1+$C$10)+IF(B797="Working",I797,0))),0)</f>
        <v/>
      </c>
      <c r="P797" s="137">
        <f>IF(B797="Retired",MIN(MAX(K797-M797-N797-O797,0),((T796)*(1+$C$10)+IF(B797="Working",F92,0))),0)</f>
        <v/>
      </c>
      <c r="Q797" s="138">
        <f>MAX(((Q796)*(1+$C$10)+IF(B797="Working",J797,0))-M797,0)</f>
        <v/>
      </c>
      <c r="R797" s="138">
        <f>MAX(((R796)*(1+$C$10)+IF(B797="Working",E92,0))-N797,0)</f>
        <v/>
      </c>
      <c r="S797" s="138">
        <f>MAX(((S796)*(1+$C$10)+IF(B797="Working",I797,0))-O797,0)</f>
        <v/>
      </c>
      <c r="T797" s="138">
        <f>MAX(((T796)*(1+$C$10)+IF(B797="Working",F92,0))-P797,0)</f>
        <v/>
      </c>
      <c r="U797" s="138">
        <f>Q797+R797+S797+T797</f>
        <v/>
      </c>
      <c r="V797" s="138">
        <f>IF(B797="Working",MAX(-(((Q796)*(1+$C$10)+IF(B797="Working",J797,0))),0),MAX(K797-L797,0))</f>
        <v/>
      </c>
      <c r="W797" s="138">
        <f>IF(OR(A797&gt;=$C$13,B797="Retired"),IF(V797&gt;0,-V797,U797-'Model Inputs'!$B$18),"")</f>
        <v/>
      </c>
      <c r="X797" s="138">
        <f>IF(AND($L$239&gt;0,A797&gt;=$C$13),$L$239*(1+$C$25)^(A797-$C$13),0)</f>
        <v/>
      </c>
      <c r="Y797" s="138">
        <f>IF(OR($L$239&lt;=0,$C$17&lt;=0,A797&lt;$C$13,MIN(MAX((A797-$C$13+1)*12,0),$C$17*12)&gt;=$C$17*12),0,IF($C$16=0,MAX(MAX($L$239*(1-$C$15),0)-(IF($C$17&lt;=0,0,IF($C$16=0,MAX($L$239*(1-$C$15),0)/$C$17,-PMT($C$16/12,$C$17*12,MAX($L$239*(1-$C$15),0))*12))/12)*MIN(MAX((A797-$C$13+1)*12,0),$C$17*12),0),MAX(MAX($L$239*(1-$C$15),0)*(1+$C$16/12)^MIN(MAX((A797-$C$13+1)*12,0),$C$17*12)-(IF($C$17&lt;=0,0,IF($C$16=0,MAX($L$239*(1-$C$15),0)/$C$17,-PMT($C$16/12,$C$17*12,MAX($L$239*(1-$C$15),0))*12))/12)*(((1+$C$16/12)^MIN(MAX((A797-$C$13+1)*12,0),$C$17*12)-1)/($C$16/12)),0)))</f>
        <v/>
      </c>
      <c r="Z797" s="138">
        <f>MAX(X797-Y797,0)</f>
        <v/>
      </c>
      <c r="AA797" s="139">
        <f>U797+Z797</f>
        <v/>
      </c>
      <c r="AB797" s="5" t="n"/>
      <c r="AC797" s="5" t="n"/>
      <c r="AD797" s="5" t="n"/>
      <c r="AE797" s="5" t="n"/>
      <c r="AF797" s="5" t="n"/>
      <c r="AG797" s="5" t="n"/>
    </row>
    <row r="798" outlineLevel="1" s="326">
      <c r="A798" s="140" t="n">
        <v>14</v>
      </c>
      <c r="B798" s="40">
        <f>B93</f>
        <v/>
      </c>
      <c r="C798" s="141">
        <f>D93</f>
        <v/>
      </c>
      <c r="D798" s="141">
        <f>I93</f>
        <v/>
      </c>
      <c r="E798" s="141">
        <f>J93</f>
        <v/>
      </c>
      <c r="F798" s="141">
        <f>K93</f>
        <v/>
      </c>
      <c r="G798" s="138">
        <f>IF(AND($L$239&gt;0,A798=$C$13),$L$239*($C$15+$C$18),0)+IF(AND($L$239&gt;0,A798=$C$13),$C$24,0)</f>
        <v/>
      </c>
      <c r="H798" s="138">
        <f>IF(OR($L$239&lt;=0,A798&lt;$C$13),0,IF(AND($L$239&gt;0,$C$17&gt;0,A798&gt;=$C$13,A798&lt;($C$13+$C$17)),IF($C$17&lt;=0,0,IF($C$16=0,MAX($L$239*(1-$C$15),0)/$C$17,-PMT($C$16/12,$C$17*12,MAX($L$239*(1-$C$15),0))*12)),0)+X798*($C$19+$C$20+$C$21)+$C$22+$C$23)</f>
        <v/>
      </c>
      <c r="I798" s="138">
        <f>IF(B798="Working",MIN(MAX(D798-E798-F798-G798-H798,0),'Tax Assumptions'!$B$20),0)</f>
        <v/>
      </c>
      <c r="J798" s="138">
        <f>IF(B798="Working",D798-E798-F798-I798-G798-H798,-L798)</f>
        <v/>
      </c>
      <c r="K798" s="141">
        <f>IF(B798="Retired",$N$239+G798+H798,0)</f>
        <v/>
      </c>
      <c r="L798" s="141">
        <f>M798+N798+O798+P798</f>
        <v/>
      </c>
      <c r="M798" s="141">
        <f>IF(B798="Retired",MIN(((Q797)*(1+$C$10)+IF(B798="Working",J798,0)),K798),0)</f>
        <v/>
      </c>
      <c r="N798" s="141">
        <f>IF(B798="Retired",MIN(MAX(K798-M798,0),((R797)*(1+$C$10)+IF(B798="Working",E93,0))),0)</f>
        <v/>
      </c>
      <c r="O798" s="141">
        <f>IF(B798="Retired",MIN(MAX(K798-M798-N798,0),((S797)*(1+$C$10)+IF(B798="Working",I798,0))),0)</f>
        <v/>
      </c>
      <c r="P798" s="141">
        <f>IF(B798="Retired",MIN(MAX(K798-M798-N798-O798,0),((T797)*(1+$C$10)+IF(B798="Working",F93,0))),0)</f>
        <v/>
      </c>
      <c r="Q798" s="138">
        <f>MAX(((Q797)*(1+$C$10)+IF(B798="Working",J798,0))-M798,0)</f>
        <v/>
      </c>
      <c r="R798" s="138">
        <f>MAX(((R797)*(1+$C$10)+IF(B798="Working",E93,0))-N798,0)</f>
        <v/>
      </c>
      <c r="S798" s="138">
        <f>MAX(((S797)*(1+$C$10)+IF(B798="Working",I798,0))-O798,0)</f>
        <v/>
      </c>
      <c r="T798" s="138">
        <f>MAX(((T797)*(1+$C$10)+IF(B798="Working",F93,0))-P798,0)</f>
        <v/>
      </c>
      <c r="U798" s="138">
        <f>Q798+R798+S798+T798</f>
        <v/>
      </c>
      <c r="V798" s="138">
        <f>IF(B798="Working",MAX(-(((Q797)*(1+$C$10)+IF(B798="Working",J798,0))),0),MAX(K798-L798,0))</f>
        <v/>
      </c>
      <c r="W798" s="138">
        <f>IF(OR(A798&gt;=$C$13,B798="Retired"),IF(V798&gt;0,-V798,U798-'Model Inputs'!$B$18),"")</f>
        <v/>
      </c>
      <c r="X798" s="138">
        <f>IF(AND($L$239&gt;0,A798&gt;=$C$13),$L$239*(1+$C$25)^(A798-$C$13),0)</f>
        <v/>
      </c>
      <c r="Y798" s="138">
        <f>IF(OR($L$239&lt;=0,$C$17&lt;=0,A798&lt;$C$13,MIN(MAX((A798-$C$13+1)*12,0),$C$17*12)&gt;=$C$17*12),0,IF($C$16=0,MAX(MAX($L$239*(1-$C$15),0)-(IF($C$17&lt;=0,0,IF($C$16=0,MAX($L$239*(1-$C$15),0)/$C$17,-PMT($C$16/12,$C$17*12,MAX($L$239*(1-$C$15),0))*12))/12)*MIN(MAX((A798-$C$13+1)*12,0),$C$17*12),0),MAX(MAX($L$239*(1-$C$15),0)*(1+$C$16/12)^MIN(MAX((A798-$C$13+1)*12,0),$C$17*12)-(IF($C$17&lt;=0,0,IF($C$16=0,MAX($L$239*(1-$C$15),0)/$C$17,-PMT($C$16/12,$C$17*12,MAX($L$239*(1-$C$15),0))*12))/12)*(((1+$C$16/12)^MIN(MAX((A798-$C$13+1)*12,0),$C$17*12)-1)/($C$16/12)),0)))</f>
        <v/>
      </c>
      <c r="Z798" s="138">
        <f>MAX(X798-Y798,0)</f>
        <v/>
      </c>
      <c r="AA798" s="142">
        <f>U798+Z798</f>
        <v/>
      </c>
      <c r="AB798" s="5" t="n"/>
      <c r="AC798" s="5" t="n"/>
      <c r="AD798" s="5" t="n"/>
      <c r="AE798" s="5" t="n"/>
      <c r="AF798" s="5" t="n"/>
      <c r="AG798" s="5" t="n"/>
    </row>
    <row r="799" outlineLevel="1" s="326">
      <c r="A799" s="136" t="n">
        <v>15</v>
      </c>
      <c r="B799" s="72">
        <f>B94</f>
        <v/>
      </c>
      <c r="C799" s="137">
        <f>D94</f>
        <v/>
      </c>
      <c r="D799" s="137">
        <f>I94</f>
        <v/>
      </c>
      <c r="E799" s="137">
        <f>J94</f>
        <v/>
      </c>
      <c r="F799" s="137">
        <f>K94</f>
        <v/>
      </c>
      <c r="G799" s="138">
        <f>IF(AND($L$239&gt;0,A799=$C$13),$L$239*($C$15+$C$18),0)+IF(AND($L$239&gt;0,A799=$C$13),$C$24,0)</f>
        <v/>
      </c>
      <c r="H799" s="138">
        <f>IF(OR($L$239&lt;=0,A799&lt;$C$13),0,IF(AND($L$239&gt;0,$C$17&gt;0,A799&gt;=$C$13,A799&lt;($C$13+$C$17)),IF($C$17&lt;=0,0,IF($C$16=0,MAX($L$239*(1-$C$15),0)/$C$17,-PMT($C$16/12,$C$17*12,MAX($L$239*(1-$C$15),0))*12)),0)+X799*($C$19+$C$20+$C$21)+$C$22+$C$23)</f>
        <v/>
      </c>
      <c r="I799" s="138">
        <f>IF(B799="Working",MIN(MAX(D799-E799-F799-G799-H799,0),'Tax Assumptions'!$B$20),0)</f>
        <v/>
      </c>
      <c r="J799" s="138">
        <f>IF(B799="Working",D799-E799-F799-I799-G799-H799,-L799)</f>
        <v/>
      </c>
      <c r="K799" s="137">
        <f>IF(B799="Retired",$N$239+G799+H799,0)</f>
        <v/>
      </c>
      <c r="L799" s="137">
        <f>M799+N799+O799+P799</f>
        <v/>
      </c>
      <c r="M799" s="137">
        <f>IF(B799="Retired",MIN(((Q798)*(1+$C$10)+IF(B799="Working",J799,0)),K799),0)</f>
        <v/>
      </c>
      <c r="N799" s="137">
        <f>IF(B799="Retired",MIN(MAX(K799-M799,0),((R798)*(1+$C$10)+IF(B799="Working",E94,0))),0)</f>
        <v/>
      </c>
      <c r="O799" s="137">
        <f>IF(B799="Retired",MIN(MAX(K799-M799-N799,0),((S798)*(1+$C$10)+IF(B799="Working",I799,0))),0)</f>
        <v/>
      </c>
      <c r="P799" s="137">
        <f>IF(B799="Retired",MIN(MAX(K799-M799-N799-O799,0),((T798)*(1+$C$10)+IF(B799="Working",F94,0))),0)</f>
        <v/>
      </c>
      <c r="Q799" s="138">
        <f>MAX(((Q798)*(1+$C$10)+IF(B799="Working",J799,0))-M799,0)</f>
        <v/>
      </c>
      <c r="R799" s="138">
        <f>MAX(((R798)*(1+$C$10)+IF(B799="Working",E94,0))-N799,0)</f>
        <v/>
      </c>
      <c r="S799" s="138">
        <f>MAX(((S798)*(1+$C$10)+IF(B799="Working",I799,0))-O799,0)</f>
        <v/>
      </c>
      <c r="T799" s="138">
        <f>MAX(((T798)*(1+$C$10)+IF(B799="Working",F94,0))-P799,0)</f>
        <v/>
      </c>
      <c r="U799" s="138">
        <f>Q799+R799+S799+T799</f>
        <v/>
      </c>
      <c r="V799" s="138">
        <f>IF(B799="Working",MAX(-(((Q798)*(1+$C$10)+IF(B799="Working",J799,0))),0),MAX(K799-L799,0))</f>
        <v/>
      </c>
      <c r="W799" s="138">
        <f>IF(OR(A799&gt;=$C$13,B799="Retired"),IF(V799&gt;0,-V799,U799-'Model Inputs'!$B$18),"")</f>
        <v/>
      </c>
      <c r="X799" s="138">
        <f>IF(AND($L$239&gt;0,A799&gt;=$C$13),$L$239*(1+$C$25)^(A799-$C$13),0)</f>
        <v/>
      </c>
      <c r="Y799" s="138">
        <f>IF(OR($L$239&lt;=0,$C$17&lt;=0,A799&lt;$C$13,MIN(MAX((A799-$C$13+1)*12,0),$C$17*12)&gt;=$C$17*12),0,IF($C$16=0,MAX(MAX($L$239*(1-$C$15),0)-(IF($C$17&lt;=0,0,IF($C$16=0,MAX($L$239*(1-$C$15),0)/$C$17,-PMT($C$16/12,$C$17*12,MAX($L$239*(1-$C$15),0))*12))/12)*MIN(MAX((A799-$C$13+1)*12,0),$C$17*12),0),MAX(MAX($L$239*(1-$C$15),0)*(1+$C$16/12)^MIN(MAX((A799-$C$13+1)*12,0),$C$17*12)-(IF($C$17&lt;=0,0,IF($C$16=0,MAX($L$239*(1-$C$15),0)/$C$17,-PMT($C$16/12,$C$17*12,MAX($L$239*(1-$C$15),0))*12))/12)*(((1+$C$16/12)^MIN(MAX((A799-$C$13+1)*12,0),$C$17*12)-1)/($C$16/12)),0)))</f>
        <v/>
      </c>
      <c r="Z799" s="138">
        <f>MAX(X799-Y799,0)</f>
        <v/>
      </c>
      <c r="AA799" s="139">
        <f>U799+Z799</f>
        <v/>
      </c>
      <c r="AB799" s="5" t="n"/>
      <c r="AC799" s="5" t="n"/>
      <c r="AD799" s="5" t="n"/>
      <c r="AE799" s="5" t="n"/>
      <c r="AF799" s="5" t="n"/>
      <c r="AG799" s="5" t="n"/>
    </row>
    <row r="800" outlineLevel="1" s="326">
      <c r="A800" s="140" t="n">
        <v>16</v>
      </c>
      <c r="B800" s="40">
        <f>B95</f>
        <v/>
      </c>
      <c r="C800" s="141">
        <f>D95</f>
        <v/>
      </c>
      <c r="D800" s="141">
        <f>I95</f>
        <v/>
      </c>
      <c r="E800" s="141">
        <f>J95</f>
        <v/>
      </c>
      <c r="F800" s="141">
        <f>K95</f>
        <v/>
      </c>
      <c r="G800" s="138">
        <f>IF(AND($L$239&gt;0,A800=$C$13),$L$239*($C$15+$C$18),0)+IF(AND($L$239&gt;0,A800=$C$13),$C$24,0)</f>
        <v/>
      </c>
      <c r="H800" s="138">
        <f>IF(OR($L$239&lt;=0,A800&lt;$C$13),0,IF(AND($L$239&gt;0,$C$17&gt;0,A800&gt;=$C$13,A800&lt;($C$13+$C$17)),IF($C$17&lt;=0,0,IF($C$16=0,MAX($L$239*(1-$C$15),0)/$C$17,-PMT($C$16/12,$C$17*12,MAX($L$239*(1-$C$15),0))*12)),0)+X800*($C$19+$C$20+$C$21)+$C$22+$C$23)</f>
        <v/>
      </c>
      <c r="I800" s="138">
        <f>IF(B800="Working",MIN(MAX(D800-E800-F800-G800-H800,0),'Tax Assumptions'!$B$20),0)</f>
        <v/>
      </c>
      <c r="J800" s="138">
        <f>IF(B800="Working",D800-E800-F800-I800-G800-H800,-L800)</f>
        <v/>
      </c>
      <c r="K800" s="141">
        <f>IF(B800="Retired",$N$239+G800+H800,0)</f>
        <v/>
      </c>
      <c r="L800" s="141">
        <f>M800+N800+O800+P800</f>
        <v/>
      </c>
      <c r="M800" s="141">
        <f>IF(B800="Retired",MIN(((Q799)*(1+$C$10)+IF(B800="Working",J800,0)),K800),0)</f>
        <v/>
      </c>
      <c r="N800" s="141">
        <f>IF(B800="Retired",MIN(MAX(K800-M800,0),((R799)*(1+$C$10)+IF(B800="Working",E95,0))),0)</f>
        <v/>
      </c>
      <c r="O800" s="141">
        <f>IF(B800="Retired",MIN(MAX(K800-M800-N800,0),((S799)*(1+$C$10)+IF(B800="Working",I800,0))),0)</f>
        <v/>
      </c>
      <c r="P800" s="141">
        <f>IF(B800="Retired",MIN(MAX(K800-M800-N800-O800,0),((T799)*(1+$C$10)+IF(B800="Working",F95,0))),0)</f>
        <v/>
      </c>
      <c r="Q800" s="138">
        <f>MAX(((Q799)*(1+$C$10)+IF(B800="Working",J800,0))-M800,0)</f>
        <v/>
      </c>
      <c r="R800" s="138">
        <f>MAX(((R799)*(1+$C$10)+IF(B800="Working",E95,0))-N800,0)</f>
        <v/>
      </c>
      <c r="S800" s="138">
        <f>MAX(((S799)*(1+$C$10)+IF(B800="Working",I800,0))-O800,0)</f>
        <v/>
      </c>
      <c r="T800" s="138">
        <f>MAX(((T799)*(1+$C$10)+IF(B800="Working",F95,0))-P800,0)</f>
        <v/>
      </c>
      <c r="U800" s="138">
        <f>Q800+R800+S800+T800</f>
        <v/>
      </c>
      <c r="V800" s="138">
        <f>IF(B800="Working",MAX(-(((Q799)*(1+$C$10)+IF(B800="Working",J800,0))),0),MAX(K800-L800,0))</f>
        <v/>
      </c>
      <c r="W800" s="138">
        <f>IF(OR(A800&gt;=$C$13,B800="Retired"),IF(V800&gt;0,-V800,U800-'Model Inputs'!$B$18),"")</f>
        <v/>
      </c>
      <c r="X800" s="138">
        <f>IF(AND($L$239&gt;0,A800&gt;=$C$13),$L$239*(1+$C$25)^(A800-$C$13),0)</f>
        <v/>
      </c>
      <c r="Y800" s="138">
        <f>IF(OR($L$239&lt;=0,$C$17&lt;=0,A800&lt;$C$13,MIN(MAX((A800-$C$13+1)*12,0),$C$17*12)&gt;=$C$17*12),0,IF($C$16=0,MAX(MAX($L$239*(1-$C$15),0)-(IF($C$17&lt;=0,0,IF($C$16=0,MAX($L$239*(1-$C$15),0)/$C$17,-PMT($C$16/12,$C$17*12,MAX($L$239*(1-$C$15),0))*12))/12)*MIN(MAX((A800-$C$13+1)*12,0),$C$17*12),0),MAX(MAX($L$239*(1-$C$15),0)*(1+$C$16/12)^MIN(MAX((A800-$C$13+1)*12,0),$C$17*12)-(IF($C$17&lt;=0,0,IF($C$16=0,MAX($L$239*(1-$C$15),0)/$C$17,-PMT($C$16/12,$C$17*12,MAX($L$239*(1-$C$15),0))*12))/12)*(((1+$C$16/12)^MIN(MAX((A800-$C$13+1)*12,0),$C$17*12)-1)/($C$16/12)),0)))</f>
        <v/>
      </c>
      <c r="Z800" s="138">
        <f>MAX(X800-Y800,0)</f>
        <v/>
      </c>
      <c r="AA800" s="142">
        <f>U800+Z800</f>
        <v/>
      </c>
      <c r="AB800" s="5" t="n"/>
      <c r="AC800" s="5" t="n"/>
      <c r="AD800" s="5" t="n"/>
      <c r="AE800" s="5" t="n"/>
      <c r="AF800" s="5" t="n"/>
      <c r="AG800" s="5" t="n"/>
    </row>
    <row r="801" outlineLevel="1" s="326">
      <c r="A801" s="136" t="n">
        <v>17</v>
      </c>
      <c r="B801" s="72">
        <f>B96</f>
        <v/>
      </c>
      <c r="C801" s="137">
        <f>D96</f>
        <v/>
      </c>
      <c r="D801" s="137">
        <f>I96</f>
        <v/>
      </c>
      <c r="E801" s="137">
        <f>J96</f>
        <v/>
      </c>
      <c r="F801" s="137">
        <f>K96</f>
        <v/>
      </c>
      <c r="G801" s="138">
        <f>IF(AND($L$239&gt;0,A801=$C$13),$L$239*($C$15+$C$18),0)+IF(AND($L$239&gt;0,A801=$C$13),$C$24,0)</f>
        <v/>
      </c>
      <c r="H801" s="138">
        <f>IF(OR($L$239&lt;=0,A801&lt;$C$13),0,IF(AND($L$239&gt;0,$C$17&gt;0,A801&gt;=$C$13,A801&lt;($C$13+$C$17)),IF($C$17&lt;=0,0,IF($C$16=0,MAX($L$239*(1-$C$15),0)/$C$17,-PMT($C$16/12,$C$17*12,MAX($L$239*(1-$C$15),0))*12)),0)+X801*($C$19+$C$20+$C$21)+$C$22+$C$23)</f>
        <v/>
      </c>
      <c r="I801" s="138">
        <f>IF(B801="Working",MIN(MAX(D801-E801-F801-G801-H801,0),'Tax Assumptions'!$B$20),0)</f>
        <v/>
      </c>
      <c r="J801" s="138">
        <f>IF(B801="Working",D801-E801-F801-I801-G801-H801,-L801)</f>
        <v/>
      </c>
      <c r="K801" s="137">
        <f>IF(B801="Retired",$N$239+G801+H801,0)</f>
        <v/>
      </c>
      <c r="L801" s="137">
        <f>M801+N801+O801+P801</f>
        <v/>
      </c>
      <c r="M801" s="137">
        <f>IF(B801="Retired",MIN(((Q800)*(1+$C$10)+IF(B801="Working",J801,0)),K801),0)</f>
        <v/>
      </c>
      <c r="N801" s="137">
        <f>IF(B801="Retired",MIN(MAX(K801-M801,0),((R800)*(1+$C$10)+IF(B801="Working",E96,0))),0)</f>
        <v/>
      </c>
      <c r="O801" s="137">
        <f>IF(B801="Retired",MIN(MAX(K801-M801-N801,0),((S800)*(1+$C$10)+IF(B801="Working",I801,0))),0)</f>
        <v/>
      </c>
      <c r="P801" s="137">
        <f>IF(B801="Retired",MIN(MAX(K801-M801-N801-O801,0),((T800)*(1+$C$10)+IF(B801="Working",F96,0))),0)</f>
        <v/>
      </c>
      <c r="Q801" s="138">
        <f>MAX(((Q800)*(1+$C$10)+IF(B801="Working",J801,0))-M801,0)</f>
        <v/>
      </c>
      <c r="R801" s="138">
        <f>MAX(((R800)*(1+$C$10)+IF(B801="Working",E96,0))-N801,0)</f>
        <v/>
      </c>
      <c r="S801" s="138">
        <f>MAX(((S800)*(1+$C$10)+IF(B801="Working",I801,0))-O801,0)</f>
        <v/>
      </c>
      <c r="T801" s="138">
        <f>MAX(((T800)*(1+$C$10)+IF(B801="Working",F96,0))-P801,0)</f>
        <v/>
      </c>
      <c r="U801" s="138">
        <f>Q801+R801+S801+T801</f>
        <v/>
      </c>
      <c r="V801" s="138">
        <f>IF(B801="Working",MAX(-(((Q800)*(1+$C$10)+IF(B801="Working",J801,0))),0),MAX(K801-L801,0))</f>
        <v/>
      </c>
      <c r="W801" s="138">
        <f>IF(OR(A801&gt;=$C$13,B801="Retired"),IF(V801&gt;0,-V801,U801-'Model Inputs'!$B$18),"")</f>
        <v/>
      </c>
      <c r="X801" s="138">
        <f>IF(AND($L$239&gt;0,A801&gt;=$C$13),$L$239*(1+$C$25)^(A801-$C$13),0)</f>
        <v/>
      </c>
      <c r="Y801" s="138">
        <f>IF(OR($L$239&lt;=0,$C$17&lt;=0,A801&lt;$C$13,MIN(MAX((A801-$C$13+1)*12,0),$C$17*12)&gt;=$C$17*12),0,IF($C$16=0,MAX(MAX($L$239*(1-$C$15),0)-(IF($C$17&lt;=0,0,IF($C$16=0,MAX($L$239*(1-$C$15),0)/$C$17,-PMT($C$16/12,$C$17*12,MAX($L$239*(1-$C$15),0))*12))/12)*MIN(MAX((A801-$C$13+1)*12,0),$C$17*12),0),MAX(MAX($L$239*(1-$C$15),0)*(1+$C$16/12)^MIN(MAX((A801-$C$13+1)*12,0),$C$17*12)-(IF($C$17&lt;=0,0,IF($C$16=0,MAX($L$239*(1-$C$15),0)/$C$17,-PMT($C$16/12,$C$17*12,MAX($L$239*(1-$C$15),0))*12))/12)*(((1+$C$16/12)^MIN(MAX((A801-$C$13+1)*12,0),$C$17*12)-1)/($C$16/12)),0)))</f>
        <v/>
      </c>
      <c r="Z801" s="138">
        <f>MAX(X801-Y801,0)</f>
        <v/>
      </c>
      <c r="AA801" s="139">
        <f>U801+Z801</f>
        <v/>
      </c>
      <c r="AB801" s="5" t="n"/>
      <c r="AC801" s="5" t="n"/>
      <c r="AD801" s="5" t="n"/>
      <c r="AE801" s="5" t="n"/>
      <c r="AF801" s="5" t="n"/>
      <c r="AG801" s="5" t="n"/>
    </row>
    <row r="802" outlineLevel="1" s="326">
      <c r="A802" s="140" t="n">
        <v>18</v>
      </c>
      <c r="B802" s="40">
        <f>B97</f>
        <v/>
      </c>
      <c r="C802" s="141">
        <f>D97</f>
        <v/>
      </c>
      <c r="D802" s="141">
        <f>I97</f>
        <v/>
      </c>
      <c r="E802" s="141">
        <f>J97</f>
        <v/>
      </c>
      <c r="F802" s="141">
        <f>K97</f>
        <v/>
      </c>
      <c r="G802" s="138">
        <f>IF(AND($L$239&gt;0,A802=$C$13),$L$239*($C$15+$C$18),0)+IF(AND($L$239&gt;0,A802=$C$13),$C$24,0)</f>
        <v/>
      </c>
      <c r="H802" s="138">
        <f>IF(OR($L$239&lt;=0,A802&lt;$C$13),0,IF(AND($L$239&gt;0,$C$17&gt;0,A802&gt;=$C$13,A802&lt;($C$13+$C$17)),IF($C$17&lt;=0,0,IF($C$16=0,MAX($L$239*(1-$C$15),0)/$C$17,-PMT($C$16/12,$C$17*12,MAX($L$239*(1-$C$15),0))*12)),0)+X802*($C$19+$C$20+$C$21)+$C$22+$C$23)</f>
        <v/>
      </c>
      <c r="I802" s="138">
        <f>IF(B802="Working",MIN(MAX(D802-E802-F802-G802-H802,0),'Tax Assumptions'!$B$20),0)</f>
        <v/>
      </c>
      <c r="J802" s="138">
        <f>IF(B802="Working",D802-E802-F802-I802-G802-H802,-L802)</f>
        <v/>
      </c>
      <c r="K802" s="141">
        <f>IF(B802="Retired",$N$239+G802+H802,0)</f>
        <v/>
      </c>
      <c r="L802" s="141">
        <f>M802+N802+O802+P802</f>
        <v/>
      </c>
      <c r="M802" s="141">
        <f>IF(B802="Retired",MIN(((Q801)*(1+$C$10)+IF(B802="Working",J802,0)),K802),0)</f>
        <v/>
      </c>
      <c r="N802" s="141">
        <f>IF(B802="Retired",MIN(MAX(K802-M802,0),((R801)*(1+$C$10)+IF(B802="Working",E97,0))),0)</f>
        <v/>
      </c>
      <c r="O802" s="141">
        <f>IF(B802="Retired",MIN(MAX(K802-M802-N802,0),((S801)*(1+$C$10)+IF(B802="Working",I802,0))),0)</f>
        <v/>
      </c>
      <c r="P802" s="141">
        <f>IF(B802="Retired",MIN(MAX(K802-M802-N802-O802,0),((T801)*(1+$C$10)+IF(B802="Working",F97,0))),0)</f>
        <v/>
      </c>
      <c r="Q802" s="138">
        <f>MAX(((Q801)*(1+$C$10)+IF(B802="Working",J802,0))-M802,0)</f>
        <v/>
      </c>
      <c r="R802" s="138">
        <f>MAX(((R801)*(1+$C$10)+IF(B802="Working",E97,0))-N802,0)</f>
        <v/>
      </c>
      <c r="S802" s="138">
        <f>MAX(((S801)*(1+$C$10)+IF(B802="Working",I802,0))-O802,0)</f>
        <v/>
      </c>
      <c r="T802" s="138">
        <f>MAX(((T801)*(1+$C$10)+IF(B802="Working",F97,0))-P802,0)</f>
        <v/>
      </c>
      <c r="U802" s="138">
        <f>Q802+R802+S802+T802</f>
        <v/>
      </c>
      <c r="V802" s="138">
        <f>IF(B802="Working",MAX(-(((Q801)*(1+$C$10)+IF(B802="Working",J802,0))),0),MAX(K802-L802,0))</f>
        <v/>
      </c>
      <c r="W802" s="138">
        <f>IF(OR(A802&gt;=$C$13,B802="Retired"),IF(V802&gt;0,-V802,U802-'Model Inputs'!$B$18),"")</f>
        <v/>
      </c>
      <c r="X802" s="138">
        <f>IF(AND($L$239&gt;0,A802&gt;=$C$13),$L$239*(1+$C$25)^(A802-$C$13),0)</f>
        <v/>
      </c>
      <c r="Y802" s="138">
        <f>IF(OR($L$239&lt;=0,$C$17&lt;=0,A802&lt;$C$13,MIN(MAX((A802-$C$13+1)*12,0),$C$17*12)&gt;=$C$17*12),0,IF($C$16=0,MAX(MAX($L$239*(1-$C$15),0)-(IF($C$17&lt;=0,0,IF($C$16=0,MAX($L$239*(1-$C$15),0)/$C$17,-PMT($C$16/12,$C$17*12,MAX($L$239*(1-$C$15),0))*12))/12)*MIN(MAX((A802-$C$13+1)*12,0),$C$17*12),0),MAX(MAX($L$239*(1-$C$15),0)*(1+$C$16/12)^MIN(MAX((A802-$C$13+1)*12,0),$C$17*12)-(IF($C$17&lt;=0,0,IF($C$16=0,MAX($L$239*(1-$C$15),0)/$C$17,-PMT($C$16/12,$C$17*12,MAX($L$239*(1-$C$15),0))*12))/12)*(((1+$C$16/12)^MIN(MAX((A802-$C$13+1)*12,0),$C$17*12)-1)/($C$16/12)),0)))</f>
        <v/>
      </c>
      <c r="Z802" s="138">
        <f>MAX(X802-Y802,0)</f>
        <v/>
      </c>
      <c r="AA802" s="142">
        <f>U802+Z802</f>
        <v/>
      </c>
      <c r="AB802" s="5" t="n"/>
      <c r="AC802" s="5" t="n"/>
      <c r="AD802" s="5" t="n"/>
      <c r="AE802" s="5" t="n"/>
      <c r="AF802" s="5" t="n"/>
      <c r="AG802" s="5" t="n"/>
    </row>
    <row r="803" outlineLevel="1" s="326">
      <c r="A803" s="136" t="n">
        <v>19</v>
      </c>
      <c r="B803" s="72">
        <f>B98</f>
        <v/>
      </c>
      <c r="C803" s="137">
        <f>D98</f>
        <v/>
      </c>
      <c r="D803" s="137">
        <f>I98</f>
        <v/>
      </c>
      <c r="E803" s="137">
        <f>J98</f>
        <v/>
      </c>
      <c r="F803" s="137">
        <f>K98</f>
        <v/>
      </c>
      <c r="G803" s="138">
        <f>IF(AND($L$239&gt;0,A803=$C$13),$L$239*($C$15+$C$18),0)+IF(AND($L$239&gt;0,A803=$C$13),$C$24,0)</f>
        <v/>
      </c>
      <c r="H803" s="138">
        <f>IF(OR($L$239&lt;=0,A803&lt;$C$13),0,IF(AND($L$239&gt;0,$C$17&gt;0,A803&gt;=$C$13,A803&lt;($C$13+$C$17)),IF($C$17&lt;=0,0,IF($C$16=0,MAX($L$239*(1-$C$15),0)/$C$17,-PMT($C$16/12,$C$17*12,MAX($L$239*(1-$C$15),0))*12)),0)+X803*($C$19+$C$20+$C$21)+$C$22+$C$23)</f>
        <v/>
      </c>
      <c r="I803" s="138">
        <f>IF(B803="Working",MIN(MAX(D803-E803-F803-G803-H803,0),'Tax Assumptions'!$B$20),0)</f>
        <v/>
      </c>
      <c r="J803" s="138">
        <f>IF(B803="Working",D803-E803-F803-I803-G803-H803,-L803)</f>
        <v/>
      </c>
      <c r="K803" s="137">
        <f>IF(B803="Retired",$N$239+G803+H803,0)</f>
        <v/>
      </c>
      <c r="L803" s="137">
        <f>M803+N803+O803+P803</f>
        <v/>
      </c>
      <c r="M803" s="137">
        <f>IF(B803="Retired",MIN(((Q802)*(1+$C$10)+IF(B803="Working",J803,0)),K803),0)</f>
        <v/>
      </c>
      <c r="N803" s="137">
        <f>IF(B803="Retired",MIN(MAX(K803-M803,0),((R802)*(1+$C$10)+IF(B803="Working",E98,0))),0)</f>
        <v/>
      </c>
      <c r="O803" s="137">
        <f>IF(B803="Retired",MIN(MAX(K803-M803-N803,0),((S802)*(1+$C$10)+IF(B803="Working",I803,0))),0)</f>
        <v/>
      </c>
      <c r="P803" s="137">
        <f>IF(B803="Retired",MIN(MAX(K803-M803-N803-O803,0),((T802)*(1+$C$10)+IF(B803="Working",F98,0))),0)</f>
        <v/>
      </c>
      <c r="Q803" s="138">
        <f>MAX(((Q802)*(1+$C$10)+IF(B803="Working",J803,0))-M803,0)</f>
        <v/>
      </c>
      <c r="R803" s="138">
        <f>MAX(((R802)*(1+$C$10)+IF(B803="Working",E98,0))-N803,0)</f>
        <v/>
      </c>
      <c r="S803" s="138">
        <f>MAX(((S802)*(1+$C$10)+IF(B803="Working",I803,0))-O803,0)</f>
        <v/>
      </c>
      <c r="T803" s="138">
        <f>MAX(((T802)*(1+$C$10)+IF(B803="Working",F98,0))-P803,0)</f>
        <v/>
      </c>
      <c r="U803" s="138">
        <f>Q803+R803+S803+T803</f>
        <v/>
      </c>
      <c r="V803" s="138">
        <f>IF(B803="Working",MAX(-(((Q802)*(1+$C$10)+IF(B803="Working",J803,0))),0),MAX(K803-L803,0))</f>
        <v/>
      </c>
      <c r="W803" s="138">
        <f>IF(OR(A803&gt;=$C$13,B803="Retired"),IF(V803&gt;0,-V803,U803-'Model Inputs'!$B$18),"")</f>
        <v/>
      </c>
      <c r="X803" s="138">
        <f>IF(AND($L$239&gt;0,A803&gt;=$C$13),$L$239*(1+$C$25)^(A803-$C$13),0)</f>
        <v/>
      </c>
      <c r="Y803" s="138">
        <f>IF(OR($L$239&lt;=0,$C$17&lt;=0,A803&lt;$C$13,MIN(MAX((A803-$C$13+1)*12,0),$C$17*12)&gt;=$C$17*12),0,IF($C$16=0,MAX(MAX($L$239*(1-$C$15),0)-(IF($C$17&lt;=0,0,IF($C$16=0,MAX($L$239*(1-$C$15),0)/$C$17,-PMT($C$16/12,$C$17*12,MAX($L$239*(1-$C$15),0))*12))/12)*MIN(MAX((A803-$C$13+1)*12,0),$C$17*12),0),MAX(MAX($L$239*(1-$C$15),0)*(1+$C$16/12)^MIN(MAX((A803-$C$13+1)*12,0),$C$17*12)-(IF($C$17&lt;=0,0,IF($C$16=0,MAX($L$239*(1-$C$15),0)/$C$17,-PMT($C$16/12,$C$17*12,MAX($L$239*(1-$C$15),0))*12))/12)*(((1+$C$16/12)^MIN(MAX((A803-$C$13+1)*12,0),$C$17*12)-1)/($C$16/12)),0)))</f>
        <v/>
      </c>
      <c r="Z803" s="138">
        <f>MAX(X803-Y803,0)</f>
        <v/>
      </c>
      <c r="AA803" s="139">
        <f>U803+Z803</f>
        <v/>
      </c>
      <c r="AB803" s="5" t="n"/>
      <c r="AC803" s="5" t="n"/>
      <c r="AD803" s="5" t="n"/>
      <c r="AE803" s="5" t="n"/>
      <c r="AF803" s="5" t="n"/>
      <c r="AG803" s="5" t="n"/>
    </row>
    <row r="804" outlineLevel="1" s="326">
      <c r="A804" s="140" t="n">
        <v>20</v>
      </c>
      <c r="B804" s="40">
        <f>B99</f>
        <v/>
      </c>
      <c r="C804" s="141">
        <f>D99</f>
        <v/>
      </c>
      <c r="D804" s="141">
        <f>I99</f>
        <v/>
      </c>
      <c r="E804" s="141">
        <f>J99</f>
        <v/>
      </c>
      <c r="F804" s="141">
        <f>K99</f>
        <v/>
      </c>
      <c r="G804" s="138">
        <f>IF(AND($L$239&gt;0,A804=$C$13),$L$239*($C$15+$C$18),0)+IF(AND($L$239&gt;0,A804=$C$13),$C$24,0)</f>
        <v/>
      </c>
      <c r="H804" s="138">
        <f>IF(OR($L$239&lt;=0,A804&lt;$C$13),0,IF(AND($L$239&gt;0,$C$17&gt;0,A804&gt;=$C$13,A804&lt;($C$13+$C$17)),IF($C$17&lt;=0,0,IF($C$16=0,MAX($L$239*(1-$C$15),0)/$C$17,-PMT($C$16/12,$C$17*12,MAX($L$239*(1-$C$15),0))*12)),0)+X804*($C$19+$C$20+$C$21)+$C$22+$C$23)</f>
        <v/>
      </c>
      <c r="I804" s="138">
        <f>IF(B804="Working",MIN(MAX(D804-E804-F804-G804-H804,0),'Tax Assumptions'!$B$20),0)</f>
        <v/>
      </c>
      <c r="J804" s="138">
        <f>IF(B804="Working",D804-E804-F804-I804-G804-H804,-L804)</f>
        <v/>
      </c>
      <c r="K804" s="141">
        <f>IF(B804="Retired",$N$239+G804+H804,0)</f>
        <v/>
      </c>
      <c r="L804" s="141">
        <f>M804+N804+O804+P804</f>
        <v/>
      </c>
      <c r="M804" s="141">
        <f>IF(B804="Retired",MIN(((Q803)*(1+$C$10)+IF(B804="Working",J804,0)),K804),0)</f>
        <v/>
      </c>
      <c r="N804" s="141">
        <f>IF(B804="Retired",MIN(MAX(K804-M804,0),((R803)*(1+$C$10)+IF(B804="Working",E99,0))),0)</f>
        <v/>
      </c>
      <c r="O804" s="141">
        <f>IF(B804="Retired",MIN(MAX(K804-M804-N804,0),((S803)*(1+$C$10)+IF(B804="Working",I804,0))),0)</f>
        <v/>
      </c>
      <c r="P804" s="141">
        <f>IF(B804="Retired",MIN(MAX(K804-M804-N804-O804,0),((T803)*(1+$C$10)+IF(B804="Working",F99,0))),0)</f>
        <v/>
      </c>
      <c r="Q804" s="138">
        <f>MAX(((Q803)*(1+$C$10)+IF(B804="Working",J804,0))-M804,0)</f>
        <v/>
      </c>
      <c r="R804" s="138">
        <f>MAX(((R803)*(1+$C$10)+IF(B804="Working",E99,0))-N804,0)</f>
        <v/>
      </c>
      <c r="S804" s="138">
        <f>MAX(((S803)*(1+$C$10)+IF(B804="Working",I804,0))-O804,0)</f>
        <v/>
      </c>
      <c r="T804" s="138">
        <f>MAX(((T803)*(1+$C$10)+IF(B804="Working",F99,0))-P804,0)</f>
        <v/>
      </c>
      <c r="U804" s="138">
        <f>Q804+R804+S804+T804</f>
        <v/>
      </c>
      <c r="V804" s="138">
        <f>IF(B804="Working",MAX(-(((Q803)*(1+$C$10)+IF(B804="Working",J804,0))),0),MAX(K804-L804,0))</f>
        <v/>
      </c>
      <c r="W804" s="138">
        <f>IF(OR(A804&gt;=$C$13,B804="Retired"),IF(V804&gt;0,-V804,U804-'Model Inputs'!$B$18),"")</f>
        <v/>
      </c>
      <c r="X804" s="138">
        <f>IF(AND($L$239&gt;0,A804&gt;=$C$13),$L$239*(1+$C$25)^(A804-$C$13),0)</f>
        <v/>
      </c>
      <c r="Y804" s="138">
        <f>IF(OR($L$239&lt;=0,$C$17&lt;=0,A804&lt;$C$13,MIN(MAX((A804-$C$13+1)*12,0),$C$17*12)&gt;=$C$17*12),0,IF($C$16=0,MAX(MAX($L$239*(1-$C$15),0)-(IF($C$17&lt;=0,0,IF($C$16=0,MAX($L$239*(1-$C$15),0)/$C$17,-PMT($C$16/12,$C$17*12,MAX($L$239*(1-$C$15),0))*12))/12)*MIN(MAX((A804-$C$13+1)*12,0),$C$17*12),0),MAX(MAX($L$239*(1-$C$15),0)*(1+$C$16/12)^MIN(MAX((A804-$C$13+1)*12,0),$C$17*12)-(IF($C$17&lt;=0,0,IF($C$16=0,MAX($L$239*(1-$C$15),0)/$C$17,-PMT($C$16/12,$C$17*12,MAX($L$239*(1-$C$15),0))*12))/12)*(((1+$C$16/12)^MIN(MAX((A804-$C$13+1)*12,0),$C$17*12)-1)/($C$16/12)),0)))</f>
        <v/>
      </c>
      <c r="Z804" s="138">
        <f>MAX(X804-Y804,0)</f>
        <v/>
      </c>
      <c r="AA804" s="142">
        <f>U804+Z804</f>
        <v/>
      </c>
      <c r="AB804" s="5" t="n"/>
      <c r="AC804" s="5" t="n"/>
      <c r="AD804" s="5" t="n"/>
      <c r="AE804" s="5" t="n"/>
      <c r="AF804" s="5" t="n"/>
      <c r="AG804" s="5" t="n"/>
    </row>
    <row r="805" outlineLevel="1" s="326">
      <c r="A805" s="136" t="n">
        <v>21</v>
      </c>
      <c r="B805" s="72">
        <f>B100</f>
        <v/>
      </c>
      <c r="C805" s="137">
        <f>D100</f>
        <v/>
      </c>
      <c r="D805" s="137">
        <f>I100</f>
        <v/>
      </c>
      <c r="E805" s="137">
        <f>J100</f>
        <v/>
      </c>
      <c r="F805" s="137">
        <f>K100</f>
        <v/>
      </c>
      <c r="G805" s="138">
        <f>IF(AND($L$239&gt;0,A805=$C$13),$L$239*($C$15+$C$18),0)+IF(AND($L$239&gt;0,A805=$C$13),$C$24,0)</f>
        <v/>
      </c>
      <c r="H805" s="138">
        <f>IF(OR($L$239&lt;=0,A805&lt;$C$13),0,IF(AND($L$239&gt;0,$C$17&gt;0,A805&gt;=$C$13,A805&lt;($C$13+$C$17)),IF($C$17&lt;=0,0,IF($C$16=0,MAX($L$239*(1-$C$15),0)/$C$17,-PMT($C$16/12,$C$17*12,MAX($L$239*(1-$C$15),0))*12)),0)+X805*($C$19+$C$20+$C$21)+$C$22+$C$23)</f>
        <v/>
      </c>
      <c r="I805" s="138">
        <f>IF(B805="Working",MIN(MAX(D805-E805-F805-G805-H805,0),'Tax Assumptions'!$B$20),0)</f>
        <v/>
      </c>
      <c r="J805" s="138">
        <f>IF(B805="Working",D805-E805-F805-I805-G805-H805,-L805)</f>
        <v/>
      </c>
      <c r="K805" s="137">
        <f>IF(B805="Retired",$N$239+G805+H805,0)</f>
        <v/>
      </c>
      <c r="L805" s="137">
        <f>M805+N805+O805+P805</f>
        <v/>
      </c>
      <c r="M805" s="137">
        <f>IF(B805="Retired",MIN(((Q804)*(1+$C$10)+IF(B805="Working",J805,0)),K805),0)</f>
        <v/>
      </c>
      <c r="N805" s="137">
        <f>IF(B805="Retired",MIN(MAX(K805-M805,0),((R804)*(1+$C$10)+IF(B805="Working",E100,0))),0)</f>
        <v/>
      </c>
      <c r="O805" s="137">
        <f>IF(B805="Retired",MIN(MAX(K805-M805-N805,0),((S804)*(1+$C$10)+IF(B805="Working",I805,0))),0)</f>
        <v/>
      </c>
      <c r="P805" s="137">
        <f>IF(B805="Retired",MIN(MAX(K805-M805-N805-O805,0),((T804)*(1+$C$10)+IF(B805="Working",F100,0))),0)</f>
        <v/>
      </c>
      <c r="Q805" s="138">
        <f>MAX(((Q804)*(1+$C$10)+IF(B805="Working",J805,0))-M805,0)</f>
        <v/>
      </c>
      <c r="R805" s="138">
        <f>MAX(((R804)*(1+$C$10)+IF(B805="Working",E100,0))-N805,0)</f>
        <v/>
      </c>
      <c r="S805" s="138">
        <f>MAX(((S804)*(1+$C$10)+IF(B805="Working",I805,0))-O805,0)</f>
        <v/>
      </c>
      <c r="T805" s="138">
        <f>MAX(((T804)*(1+$C$10)+IF(B805="Working",F100,0))-P805,0)</f>
        <v/>
      </c>
      <c r="U805" s="138">
        <f>Q805+R805+S805+T805</f>
        <v/>
      </c>
      <c r="V805" s="138">
        <f>IF(B805="Working",MAX(-(((Q804)*(1+$C$10)+IF(B805="Working",J805,0))),0),MAX(K805-L805,0))</f>
        <v/>
      </c>
      <c r="W805" s="138">
        <f>IF(OR(A805&gt;=$C$13,B805="Retired"),IF(V805&gt;0,-V805,U805-'Model Inputs'!$B$18),"")</f>
        <v/>
      </c>
      <c r="X805" s="138">
        <f>IF(AND($L$239&gt;0,A805&gt;=$C$13),$L$239*(1+$C$25)^(A805-$C$13),0)</f>
        <v/>
      </c>
      <c r="Y805" s="138">
        <f>IF(OR($L$239&lt;=0,$C$17&lt;=0,A805&lt;$C$13,MIN(MAX((A805-$C$13+1)*12,0),$C$17*12)&gt;=$C$17*12),0,IF($C$16=0,MAX(MAX($L$239*(1-$C$15),0)-(IF($C$17&lt;=0,0,IF($C$16=0,MAX($L$239*(1-$C$15),0)/$C$17,-PMT($C$16/12,$C$17*12,MAX($L$239*(1-$C$15),0))*12))/12)*MIN(MAX((A805-$C$13+1)*12,0),$C$17*12),0),MAX(MAX($L$239*(1-$C$15),0)*(1+$C$16/12)^MIN(MAX((A805-$C$13+1)*12,0),$C$17*12)-(IF($C$17&lt;=0,0,IF($C$16=0,MAX($L$239*(1-$C$15),0)/$C$17,-PMT($C$16/12,$C$17*12,MAX($L$239*(1-$C$15),0))*12))/12)*(((1+$C$16/12)^MIN(MAX((A805-$C$13+1)*12,0),$C$17*12)-1)/($C$16/12)),0)))</f>
        <v/>
      </c>
      <c r="Z805" s="138">
        <f>MAX(X805-Y805,0)</f>
        <v/>
      </c>
      <c r="AA805" s="139">
        <f>U805+Z805</f>
        <v/>
      </c>
      <c r="AB805" s="5" t="n"/>
      <c r="AC805" s="5" t="n"/>
      <c r="AD805" s="5" t="n"/>
      <c r="AE805" s="5" t="n"/>
      <c r="AF805" s="5" t="n"/>
      <c r="AG805" s="5" t="n"/>
    </row>
    <row r="806" outlineLevel="1" s="326">
      <c r="A806" s="140" t="n">
        <v>22</v>
      </c>
      <c r="B806" s="40">
        <f>B101</f>
        <v/>
      </c>
      <c r="C806" s="141">
        <f>D101</f>
        <v/>
      </c>
      <c r="D806" s="141">
        <f>I101</f>
        <v/>
      </c>
      <c r="E806" s="141">
        <f>J101</f>
        <v/>
      </c>
      <c r="F806" s="141">
        <f>K101</f>
        <v/>
      </c>
      <c r="G806" s="138">
        <f>IF(AND($L$239&gt;0,A806=$C$13),$L$239*($C$15+$C$18),0)+IF(AND($L$239&gt;0,A806=$C$13),$C$24,0)</f>
        <v/>
      </c>
      <c r="H806" s="138">
        <f>IF(OR($L$239&lt;=0,A806&lt;$C$13),0,IF(AND($L$239&gt;0,$C$17&gt;0,A806&gt;=$C$13,A806&lt;($C$13+$C$17)),IF($C$17&lt;=0,0,IF($C$16=0,MAX($L$239*(1-$C$15),0)/$C$17,-PMT($C$16/12,$C$17*12,MAX($L$239*(1-$C$15),0))*12)),0)+X806*($C$19+$C$20+$C$21)+$C$22+$C$23)</f>
        <v/>
      </c>
      <c r="I806" s="138">
        <f>IF(B806="Working",MIN(MAX(D806-E806-F806-G806-H806,0),'Tax Assumptions'!$B$20),0)</f>
        <v/>
      </c>
      <c r="J806" s="138">
        <f>IF(B806="Working",D806-E806-F806-I806-G806-H806,-L806)</f>
        <v/>
      </c>
      <c r="K806" s="141">
        <f>IF(B806="Retired",$N$239+G806+H806,0)</f>
        <v/>
      </c>
      <c r="L806" s="141">
        <f>M806+N806+O806+P806</f>
        <v/>
      </c>
      <c r="M806" s="141">
        <f>IF(B806="Retired",MIN(((Q805)*(1+$C$10)+IF(B806="Working",J806,0)),K806),0)</f>
        <v/>
      </c>
      <c r="N806" s="141">
        <f>IF(B806="Retired",MIN(MAX(K806-M806,0),((R805)*(1+$C$10)+IF(B806="Working",E101,0))),0)</f>
        <v/>
      </c>
      <c r="O806" s="141">
        <f>IF(B806="Retired",MIN(MAX(K806-M806-N806,0),((S805)*(1+$C$10)+IF(B806="Working",I806,0))),0)</f>
        <v/>
      </c>
      <c r="P806" s="141">
        <f>IF(B806="Retired",MIN(MAX(K806-M806-N806-O806,0),((T805)*(1+$C$10)+IF(B806="Working",F101,0))),0)</f>
        <v/>
      </c>
      <c r="Q806" s="138">
        <f>MAX(((Q805)*(1+$C$10)+IF(B806="Working",J806,0))-M806,0)</f>
        <v/>
      </c>
      <c r="R806" s="138">
        <f>MAX(((R805)*(1+$C$10)+IF(B806="Working",E101,0))-N806,0)</f>
        <v/>
      </c>
      <c r="S806" s="138">
        <f>MAX(((S805)*(1+$C$10)+IF(B806="Working",I806,0))-O806,0)</f>
        <v/>
      </c>
      <c r="T806" s="138">
        <f>MAX(((T805)*(1+$C$10)+IF(B806="Working",F101,0))-P806,0)</f>
        <v/>
      </c>
      <c r="U806" s="138">
        <f>Q806+R806+S806+T806</f>
        <v/>
      </c>
      <c r="V806" s="138">
        <f>IF(B806="Working",MAX(-(((Q805)*(1+$C$10)+IF(B806="Working",J806,0))),0),MAX(K806-L806,0))</f>
        <v/>
      </c>
      <c r="W806" s="138">
        <f>IF(OR(A806&gt;=$C$13,B806="Retired"),IF(V806&gt;0,-V806,U806-'Model Inputs'!$B$18),"")</f>
        <v/>
      </c>
      <c r="X806" s="138">
        <f>IF(AND($L$239&gt;0,A806&gt;=$C$13),$L$239*(1+$C$25)^(A806-$C$13),0)</f>
        <v/>
      </c>
      <c r="Y806" s="138">
        <f>IF(OR($L$239&lt;=0,$C$17&lt;=0,A806&lt;$C$13,MIN(MAX((A806-$C$13+1)*12,0),$C$17*12)&gt;=$C$17*12),0,IF($C$16=0,MAX(MAX($L$239*(1-$C$15),0)-(IF($C$17&lt;=0,0,IF($C$16=0,MAX($L$239*(1-$C$15),0)/$C$17,-PMT($C$16/12,$C$17*12,MAX($L$239*(1-$C$15),0))*12))/12)*MIN(MAX((A806-$C$13+1)*12,0),$C$17*12),0),MAX(MAX($L$239*(1-$C$15),0)*(1+$C$16/12)^MIN(MAX((A806-$C$13+1)*12,0),$C$17*12)-(IF($C$17&lt;=0,0,IF($C$16=0,MAX($L$239*(1-$C$15),0)/$C$17,-PMT($C$16/12,$C$17*12,MAX($L$239*(1-$C$15),0))*12))/12)*(((1+$C$16/12)^MIN(MAX((A806-$C$13+1)*12,0),$C$17*12)-1)/($C$16/12)),0)))</f>
        <v/>
      </c>
      <c r="Z806" s="138">
        <f>MAX(X806-Y806,0)</f>
        <v/>
      </c>
      <c r="AA806" s="142">
        <f>U806+Z806</f>
        <v/>
      </c>
      <c r="AB806" s="5" t="n"/>
      <c r="AC806" s="5" t="n"/>
      <c r="AD806" s="5" t="n"/>
      <c r="AE806" s="5" t="n"/>
      <c r="AF806" s="5" t="n"/>
      <c r="AG806" s="5" t="n"/>
    </row>
    <row r="807" outlineLevel="1" s="326">
      <c r="A807" s="136" t="n">
        <v>23</v>
      </c>
      <c r="B807" s="72">
        <f>B102</f>
        <v/>
      </c>
      <c r="C807" s="137">
        <f>D102</f>
        <v/>
      </c>
      <c r="D807" s="137">
        <f>I102</f>
        <v/>
      </c>
      <c r="E807" s="137">
        <f>J102</f>
        <v/>
      </c>
      <c r="F807" s="137">
        <f>K102</f>
        <v/>
      </c>
      <c r="G807" s="138">
        <f>IF(AND($L$239&gt;0,A807=$C$13),$L$239*($C$15+$C$18),0)+IF(AND($L$239&gt;0,A807=$C$13),$C$24,0)</f>
        <v/>
      </c>
      <c r="H807" s="138">
        <f>IF(OR($L$239&lt;=0,A807&lt;$C$13),0,IF(AND($L$239&gt;0,$C$17&gt;0,A807&gt;=$C$13,A807&lt;($C$13+$C$17)),IF($C$17&lt;=0,0,IF($C$16=0,MAX($L$239*(1-$C$15),0)/$C$17,-PMT($C$16/12,$C$17*12,MAX($L$239*(1-$C$15),0))*12)),0)+X807*($C$19+$C$20+$C$21)+$C$22+$C$23)</f>
        <v/>
      </c>
      <c r="I807" s="138">
        <f>IF(B807="Working",MIN(MAX(D807-E807-F807-G807-H807,0),'Tax Assumptions'!$B$20),0)</f>
        <v/>
      </c>
      <c r="J807" s="138">
        <f>IF(B807="Working",D807-E807-F807-I807-G807-H807,-L807)</f>
        <v/>
      </c>
      <c r="K807" s="137">
        <f>IF(B807="Retired",$N$239+G807+H807,0)</f>
        <v/>
      </c>
      <c r="L807" s="137">
        <f>M807+N807+O807+P807</f>
        <v/>
      </c>
      <c r="M807" s="137">
        <f>IF(B807="Retired",MIN(((Q806)*(1+$C$10)+IF(B807="Working",J807,0)),K807),0)</f>
        <v/>
      </c>
      <c r="N807" s="137">
        <f>IF(B807="Retired",MIN(MAX(K807-M807,0),((R806)*(1+$C$10)+IF(B807="Working",E102,0))),0)</f>
        <v/>
      </c>
      <c r="O807" s="137">
        <f>IF(B807="Retired",MIN(MAX(K807-M807-N807,0),((S806)*(1+$C$10)+IF(B807="Working",I807,0))),0)</f>
        <v/>
      </c>
      <c r="P807" s="137">
        <f>IF(B807="Retired",MIN(MAX(K807-M807-N807-O807,0),((T806)*(1+$C$10)+IF(B807="Working",F102,0))),0)</f>
        <v/>
      </c>
      <c r="Q807" s="138">
        <f>MAX(((Q806)*(1+$C$10)+IF(B807="Working",J807,0))-M807,0)</f>
        <v/>
      </c>
      <c r="R807" s="138">
        <f>MAX(((R806)*(1+$C$10)+IF(B807="Working",E102,0))-N807,0)</f>
        <v/>
      </c>
      <c r="S807" s="138">
        <f>MAX(((S806)*(1+$C$10)+IF(B807="Working",I807,0))-O807,0)</f>
        <v/>
      </c>
      <c r="T807" s="138">
        <f>MAX(((T806)*(1+$C$10)+IF(B807="Working",F102,0))-P807,0)</f>
        <v/>
      </c>
      <c r="U807" s="138">
        <f>Q807+R807+S807+T807</f>
        <v/>
      </c>
      <c r="V807" s="138">
        <f>IF(B807="Working",MAX(-(((Q806)*(1+$C$10)+IF(B807="Working",J807,0))),0),MAX(K807-L807,0))</f>
        <v/>
      </c>
      <c r="W807" s="138">
        <f>IF(OR(A807&gt;=$C$13,B807="Retired"),IF(V807&gt;0,-V807,U807-'Model Inputs'!$B$18),"")</f>
        <v/>
      </c>
      <c r="X807" s="138">
        <f>IF(AND($L$239&gt;0,A807&gt;=$C$13),$L$239*(1+$C$25)^(A807-$C$13),0)</f>
        <v/>
      </c>
      <c r="Y807" s="138">
        <f>IF(OR($L$239&lt;=0,$C$17&lt;=0,A807&lt;$C$13,MIN(MAX((A807-$C$13+1)*12,0),$C$17*12)&gt;=$C$17*12),0,IF($C$16=0,MAX(MAX($L$239*(1-$C$15),0)-(IF($C$17&lt;=0,0,IF($C$16=0,MAX($L$239*(1-$C$15),0)/$C$17,-PMT($C$16/12,$C$17*12,MAX($L$239*(1-$C$15),0))*12))/12)*MIN(MAX((A807-$C$13+1)*12,0),$C$17*12),0),MAX(MAX($L$239*(1-$C$15),0)*(1+$C$16/12)^MIN(MAX((A807-$C$13+1)*12,0),$C$17*12)-(IF($C$17&lt;=0,0,IF($C$16=0,MAX($L$239*(1-$C$15),0)/$C$17,-PMT($C$16/12,$C$17*12,MAX($L$239*(1-$C$15),0))*12))/12)*(((1+$C$16/12)^MIN(MAX((A807-$C$13+1)*12,0),$C$17*12)-1)/($C$16/12)),0)))</f>
        <v/>
      </c>
      <c r="Z807" s="138">
        <f>MAX(X807-Y807,0)</f>
        <v/>
      </c>
      <c r="AA807" s="139">
        <f>U807+Z807</f>
        <v/>
      </c>
      <c r="AB807" s="5" t="n"/>
      <c r="AC807" s="5" t="n"/>
      <c r="AD807" s="5" t="n"/>
      <c r="AE807" s="5" t="n"/>
      <c r="AF807" s="5" t="n"/>
      <c r="AG807" s="5" t="n"/>
    </row>
    <row r="808" outlineLevel="1" s="326">
      <c r="A808" s="140" t="n">
        <v>24</v>
      </c>
      <c r="B808" s="40">
        <f>B103</f>
        <v/>
      </c>
      <c r="C808" s="141">
        <f>D103</f>
        <v/>
      </c>
      <c r="D808" s="141">
        <f>I103</f>
        <v/>
      </c>
      <c r="E808" s="141">
        <f>J103</f>
        <v/>
      </c>
      <c r="F808" s="141">
        <f>K103</f>
        <v/>
      </c>
      <c r="G808" s="138">
        <f>IF(AND($L$239&gt;0,A808=$C$13),$L$239*($C$15+$C$18),0)+IF(AND($L$239&gt;0,A808=$C$13),$C$24,0)</f>
        <v/>
      </c>
      <c r="H808" s="138">
        <f>IF(OR($L$239&lt;=0,A808&lt;$C$13),0,IF(AND($L$239&gt;0,$C$17&gt;0,A808&gt;=$C$13,A808&lt;($C$13+$C$17)),IF($C$17&lt;=0,0,IF($C$16=0,MAX($L$239*(1-$C$15),0)/$C$17,-PMT($C$16/12,$C$17*12,MAX($L$239*(1-$C$15),0))*12)),0)+X808*($C$19+$C$20+$C$21)+$C$22+$C$23)</f>
        <v/>
      </c>
      <c r="I808" s="138">
        <f>IF(B808="Working",MIN(MAX(D808-E808-F808-G808-H808,0),'Tax Assumptions'!$B$20),0)</f>
        <v/>
      </c>
      <c r="J808" s="138">
        <f>IF(B808="Working",D808-E808-F808-I808-G808-H808,-L808)</f>
        <v/>
      </c>
      <c r="K808" s="141">
        <f>IF(B808="Retired",$N$239+G808+H808,0)</f>
        <v/>
      </c>
      <c r="L808" s="141">
        <f>M808+N808+O808+P808</f>
        <v/>
      </c>
      <c r="M808" s="141">
        <f>IF(B808="Retired",MIN(((Q807)*(1+$C$10)+IF(B808="Working",J808,0)),K808),0)</f>
        <v/>
      </c>
      <c r="N808" s="141">
        <f>IF(B808="Retired",MIN(MAX(K808-M808,0),((R807)*(1+$C$10)+IF(B808="Working",E103,0))),0)</f>
        <v/>
      </c>
      <c r="O808" s="141">
        <f>IF(B808="Retired",MIN(MAX(K808-M808-N808,0),((S807)*(1+$C$10)+IF(B808="Working",I808,0))),0)</f>
        <v/>
      </c>
      <c r="P808" s="141">
        <f>IF(B808="Retired",MIN(MAX(K808-M808-N808-O808,0),((T807)*(1+$C$10)+IF(B808="Working",F103,0))),0)</f>
        <v/>
      </c>
      <c r="Q808" s="138">
        <f>MAX(((Q807)*(1+$C$10)+IF(B808="Working",J808,0))-M808,0)</f>
        <v/>
      </c>
      <c r="R808" s="138">
        <f>MAX(((R807)*(1+$C$10)+IF(B808="Working",E103,0))-N808,0)</f>
        <v/>
      </c>
      <c r="S808" s="138">
        <f>MAX(((S807)*(1+$C$10)+IF(B808="Working",I808,0))-O808,0)</f>
        <v/>
      </c>
      <c r="T808" s="138">
        <f>MAX(((T807)*(1+$C$10)+IF(B808="Working",F103,0))-P808,0)</f>
        <v/>
      </c>
      <c r="U808" s="138">
        <f>Q808+R808+S808+T808</f>
        <v/>
      </c>
      <c r="V808" s="138">
        <f>IF(B808="Working",MAX(-(((Q807)*(1+$C$10)+IF(B808="Working",J808,0))),0),MAX(K808-L808,0))</f>
        <v/>
      </c>
      <c r="W808" s="138">
        <f>IF(OR(A808&gt;=$C$13,B808="Retired"),IF(V808&gt;0,-V808,U808-'Model Inputs'!$B$18),"")</f>
        <v/>
      </c>
      <c r="X808" s="138">
        <f>IF(AND($L$239&gt;0,A808&gt;=$C$13),$L$239*(1+$C$25)^(A808-$C$13),0)</f>
        <v/>
      </c>
      <c r="Y808" s="138">
        <f>IF(OR($L$239&lt;=0,$C$17&lt;=0,A808&lt;$C$13,MIN(MAX((A808-$C$13+1)*12,0),$C$17*12)&gt;=$C$17*12),0,IF($C$16=0,MAX(MAX($L$239*(1-$C$15),0)-(IF($C$17&lt;=0,0,IF($C$16=0,MAX($L$239*(1-$C$15),0)/$C$17,-PMT($C$16/12,$C$17*12,MAX($L$239*(1-$C$15),0))*12))/12)*MIN(MAX((A808-$C$13+1)*12,0),$C$17*12),0),MAX(MAX($L$239*(1-$C$15),0)*(1+$C$16/12)^MIN(MAX((A808-$C$13+1)*12,0),$C$17*12)-(IF($C$17&lt;=0,0,IF($C$16=0,MAX($L$239*(1-$C$15),0)/$C$17,-PMT($C$16/12,$C$17*12,MAX($L$239*(1-$C$15),0))*12))/12)*(((1+$C$16/12)^MIN(MAX((A808-$C$13+1)*12,0),$C$17*12)-1)/($C$16/12)),0)))</f>
        <v/>
      </c>
      <c r="Z808" s="138">
        <f>MAX(X808-Y808,0)</f>
        <v/>
      </c>
      <c r="AA808" s="142">
        <f>U808+Z808</f>
        <v/>
      </c>
      <c r="AB808" s="5" t="n"/>
      <c r="AC808" s="5" t="n"/>
      <c r="AD808" s="5" t="n"/>
      <c r="AE808" s="5" t="n"/>
      <c r="AF808" s="5" t="n"/>
      <c r="AG808" s="5" t="n"/>
    </row>
    <row r="809" outlineLevel="1" s="326">
      <c r="A809" s="136" t="n">
        <v>25</v>
      </c>
      <c r="B809" s="72">
        <f>B104</f>
        <v/>
      </c>
      <c r="C809" s="137">
        <f>D104</f>
        <v/>
      </c>
      <c r="D809" s="137">
        <f>I104</f>
        <v/>
      </c>
      <c r="E809" s="137">
        <f>J104</f>
        <v/>
      </c>
      <c r="F809" s="137">
        <f>K104</f>
        <v/>
      </c>
      <c r="G809" s="138">
        <f>IF(AND($L$239&gt;0,A809=$C$13),$L$239*($C$15+$C$18),0)+IF(AND($L$239&gt;0,A809=$C$13),$C$24,0)</f>
        <v/>
      </c>
      <c r="H809" s="138">
        <f>IF(OR($L$239&lt;=0,A809&lt;$C$13),0,IF(AND($L$239&gt;0,$C$17&gt;0,A809&gt;=$C$13,A809&lt;($C$13+$C$17)),IF($C$17&lt;=0,0,IF($C$16=0,MAX($L$239*(1-$C$15),0)/$C$17,-PMT($C$16/12,$C$17*12,MAX($L$239*(1-$C$15),0))*12)),0)+X809*($C$19+$C$20+$C$21)+$C$22+$C$23)</f>
        <v/>
      </c>
      <c r="I809" s="138">
        <f>IF(B809="Working",MIN(MAX(D809-E809-F809-G809-H809,0),'Tax Assumptions'!$B$20),0)</f>
        <v/>
      </c>
      <c r="J809" s="138">
        <f>IF(B809="Working",D809-E809-F809-I809-G809-H809,-L809)</f>
        <v/>
      </c>
      <c r="K809" s="137">
        <f>IF(B809="Retired",$N$239+G809+H809,0)</f>
        <v/>
      </c>
      <c r="L809" s="137">
        <f>M809+N809+O809+P809</f>
        <v/>
      </c>
      <c r="M809" s="137">
        <f>IF(B809="Retired",MIN(((Q808)*(1+$C$10)+IF(B809="Working",J809,0)),K809),0)</f>
        <v/>
      </c>
      <c r="N809" s="137">
        <f>IF(B809="Retired",MIN(MAX(K809-M809,0),((R808)*(1+$C$10)+IF(B809="Working",E104,0))),0)</f>
        <v/>
      </c>
      <c r="O809" s="137">
        <f>IF(B809="Retired",MIN(MAX(K809-M809-N809,0),((S808)*(1+$C$10)+IF(B809="Working",I809,0))),0)</f>
        <v/>
      </c>
      <c r="P809" s="137">
        <f>IF(B809="Retired",MIN(MAX(K809-M809-N809-O809,0),((T808)*(1+$C$10)+IF(B809="Working",F104,0))),0)</f>
        <v/>
      </c>
      <c r="Q809" s="138">
        <f>MAX(((Q808)*(1+$C$10)+IF(B809="Working",J809,0))-M809,0)</f>
        <v/>
      </c>
      <c r="R809" s="138">
        <f>MAX(((R808)*(1+$C$10)+IF(B809="Working",E104,0))-N809,0)</f>
        <v/>
      </c>
      <c r="S809" s="138">
        <f>MAX(((S808)*(1+$C$10)+IF(B809="Working",I809,0))-O809,0)</f>
        <v/>
      </c>
      <c r="T809" s="138">
        <f>MAX(((T808)*(1+$C$10)+IF(B809="Working",F104,0))-P809,0)</f>
        <v/>
      </c>
      <c r="U809" s="138">
        <f>Q809+R809+S809+T809</f>
        <v/>
      </c>
      <c r="V809" s="138">
        <f>IF(B809="Working",MAX(-(((Q808)*(1+$C$10)+IF(B809="Working",J809,0))),0),MAX(K809-L809,0))</f>
        <v/>
      </c>
      <c r="W809" s="138">
        <f>IF(OR(A809&gt;=$C$13,B809="Retired"),IF(V809&gt;0,-V809,U809-'Model Inputs'!$B$18),"")</f>
        <v/>
      </c>
      <c r="X809" s="138">
        <f>IF(AND($L$239&gt;0,A809&gt;=$C$13),$L$239*(1+$C$25)^(A809-$C$13),0)</f>
        <v/>
      </c>
      <c r="Y809" s="138">
        <f>IF(OR($L$239&lt;=0,$C$17&lt;=0,A809&lt;$C$13,MIN(MAX((A809-$C$13+1)*12,0),$C$17*12)&gt;=$C$17*12),0,IF($C$16=0,MAX(MAX($L$239*(1-$C$15),0)-(IF($C$17&lt;=0,0,IF($C$16=0,MAX($L$239*(1-$C$15),0)/$C$17,-PMT($C$16/12,$C$17*12,MAX($L$239*(1-$C$15),0))*12))/12)*MIN(MAX((A809-$C$13+1)*12,0),$C$17*12),0),MAX(MAX($L$239*(1-$C$15),0)*(1+$C$16/12)^MIN(MAX((A809-$C$13+1)*12,0),$C$17*12)-(IF($C$17&lt;=0,0,IF($C$16=0,MAX($L$239*(1-$C$15),0)/$C$17,-PMT($C$16/12,$C$17*12,MAX($L$239*(1-$C$15),0))*12))/12)*(((1+$C$16/12)^MIN(MAX((A809-$C$13+1)*12,0),$C$17*12)-1)/($C$16/12)),0)))</f>
        <v/>
      </c>
      <c r="Z809" s="138">
        <f>MAX(X809-Y809,0)</f>
        <v/>
      </c>
      <c r="AA809" s="139">
        <f>U809+Z809</f>
        <v/>
      </c>
      <c r="AB809" s="5" t="n"/>
      <c r="AC809" s="5" t="n"/>
      <c r="AD809" s="5" t="n"/>
      <c r="AE809" s="5" t="n"/>
      <c r="AF809" s="5" t="n"/>
      <c r="AG809" s="5" t="n"/>
    </row>
    <row r="810" outlineLevel="1" s="326">
      <c r="A810" s="140" t="n">
        <v>26</v>
      </c>
      <c r="B810" s="40">
        <f>B105</f>
        <v/>
      </c>
      <c r="C810" s="141">
        <f>D105</f>
        <v/>
      </c>
      <c r="D810" s="141">
        <f>I105</f>
        <v/>
      </c>
      <c r="E810" s="141">
        <f>J105</f>
        <v/>
      </c>
      <c r="F810" s="141">
        <f>K105</f>
        <v/>
      </c>
      <c r="G810" s="138">
        <f>IF(AND($L$239&gt;0,A810=$C$13),$L$239*($C$15+$C$18),0)+IF(AND($L$239&gt;0,A810=$C$13),$C$24,0)</f>
        <v/>
      </c>
      <c r="H810" s="138">
        <f>IF(OR($L$239&lt;=0,A810&lt;$C$13),0,IF(AND($L$239&gt;0,$C$17&gt;0,A810&gt;=$C$13,A810&lt;($C$13+$C$17)),IF($C$17&lt;=0,0,IF($C$16=0,MAX($L$239*(1-$C$15),0)/$C$17,-PMT($C$16/12,$C$17*12,MAX($L$239*(1-$C$15),0))*12)),0)+X810*($C$19+$C$20+$C$21)+$C$22+$C$23)</f>
        <v/>
      </c>
      <c r="I810" s="138">
        <f>IF(B810="Working",MIN(MAX(D810-E810-F810-G810-H810,0),'Tax Assumptions'!$B$20),0)</f>
        <v/>
      </c>
      <c r="J810" s="138">
        <f>IF(B810="Working",D810-E810-F810-I810-G810-H810,-L810)</f>
        <v/>
      </c>
      <c r="K810" s="141">
        <f>IF(B810="Retired",$N$239+G810+H810,0)</f>
        <v/>
      </c>
      <c r="L810" s="141">
        <f>M810+N810+O810+P810</f>
        <v/>
      </c>
      <c r="M810" s="141">
        <f>IF(B810="Retired",MIN(((Q809)*(1+$C$10)+IF(B810="Working",J810,0)),K810),0)</f>
        <v/>
      </c>
      <c r="N810" s="141">
        <f>IF(B810="Retired",MIN(MAX(K810-M810,0),((R809)*(1+$C$10)+IF(B810="Working",E105,0))),0)</f>
        <v/>
      </c>
      <c r="O810" s="141">
        <f>IF(B810="Retired",MIN(MAX(K810-M810-N810,0),((S809)*(1+$C$10)+IF(B810="Working",I810,0))),0)</f>
        <v/>
      </c>
      <c r="P810" s="141">
        <f>IF(B810="Retired",MIN(MAX(K810-M810-N810-O810,0),((T809)*(1+$C$10)+IF(B810="Working",F105,0))),0)</f>
        <v/>
      </c>
      <c r="Q810" s="138">
        <f>MAX(((Q809)*(1+$C$10)+IF(B810="Working",J810,0))-M810,0)</f>
        <v/>
      </c>
      <c r="R810" s="138">
        <f>MAX(((R809)*(1+$C$10)+IF(B810="Working",E105,0))-N810,0)</f>
        <v/>
      </c>
      <c r="S810" s="138">
        <f>MAX(((S809)*(1+$C$10)+IF(B810="Working",I810,0))-O810,0)</f>
        <v/>
      </c>
      <c r="T810" s="138">
        <f>MAX(((T809)*(1+$C$10)+IF(B810="Working",F105,0))-P810,0)</f>
        <v/>
      </c>
      <c r="U810" s="138">
        <f>Q810+R810+S810+T810</f>
        <v/>
      </c>
      <c r="V810" s="138">
        <f>IF(B810="Working",MAX(-(((Q809)*(1+$C$10)+IF(B810="Working",J810,0))),0),MAX(K810-L810,0))</f>
        <v/>
      </c>
      <c r="W810" s="138">
        <f>IF(OR(A810&gt;=$C$13,B810="Retired"),IF(V810&gt;0,-V810,U810-'Model Inputs'!$B$18),"")</f>
        <v/>
      </c>
      <c r="X810" s="138">
        <f>IF(AND($L$239&gt;0,A810&gt;=$C$13),$L$239*(1+$C$25)^(A810-$C$13),0)</f>
        <v/>
      </c>
      <c r="Y810" s="138">
        <f>IF(OR($L$239&lt;=0,$C$17&lt;=0,A810&lt;$C$13,MIN(MAX((A810-$C$13+1)*12,0),$C$17*12)&gt;=$C$17*12),0,IF($C$16=0,MAX(MAX($L$239*(1-$C$15),0)-(IF($C$17&lt;=0,0,IF($C$16=0,MAX($L$239*(1-$C$15),0)/$C$17,-PMT($C$16/12,$C$17*12,MAX($L$239*(1-$C$15),0))*12))/12)*MIN(MAX((A810-$C$13+1)*12,0),$C$17*12),0),MAX(MAX($L$239*(1-$C$15),0)*(1+$C$16/12)^MIN(MAX((A810-$C$13+1)*12,0),$C$17*12)-(IF($C$17&lt;=0,0,IF($C$16=0,MAX($L$239*(1-$C$15),0)/$C$17,-PMT($C$16/12,$C$17*12,MAX($L$239*(1-$C$15),0))*12))/12)*(((1+$C$16/12)^MIN(MAX((A810-$C$13+1)*12,0),$C$17*12)-1)/($C$16/12)),0)))</f>
        <v/>
      </c>
      <c r="Z810" s="138">
        <f>MAX(X810-Y810,0)</f>
        <v/>
      </c>
      <c r="AA810" s="142">
        <f>U810+Z810</f>
        <v/>
      </c>
      <c r="AB810" s="5" t="n"/>
      <c r="AC810" s="5" t="n"/>
      <c r="AD810" s="5" t="n"/>
      <c r="AE810" s="5" t="n"/>
      <c r="AF810" s="5" t="n"/>
      <c r="AG810" s="5" t="n"/>
    </row>
    <row r="811" outlineLevel="1" s="326">
      <c r="A811" s="136" t="n">
        <v>27</v>
      </c>
      <c r="B811" s="72">
        <f>B106</f>
        <v/>
      </c>
      <c r="C811" s="137">
        <f>D106</f>
        <v/>
      </c>
      <c r="D811" s="137">
        <f>I106</f>
        <v/>
      </c>
      <c r="E811" s="137">
        <f>J106</f>
        <v/>
      </c>
      <c r="F811" s="137">
        <f>K106</f>
        <v/>
      </c>
      <c r="G811" s="138">
        <f>IF(AND($L$239&gt;0,A811=$C$13),$L$239*($C$15+$C$18),0)+IF(AND($L$239&gt;0,A811=$C$13),$C$24,0)</f>
        <v/>
      </c>
      <c r="H811" s="138">
        <f>IF(OR($L$239&lt;=0,A811&lt;$C$13),0,IF(AND($L$239&gt;0,$C$17&gt;0,A811&gt;=$C$13,A811&lt;($C$13+$C$17)),IF($C$17&lt;=0,0,IF($C$16=0,MAX($L$239*(1-$C$15),0)/$C$17,-PMT($C$16/12,$C$17*12,MAX($L$239*(1-$C$15),0))*12)),0)+X811*($C$19+$C$20+$C$21)+$C$22+$C$23)</f>
        <v/>
      </c>
      <c r="I811" s="138">
        <f>IF(B811="Working",MIN(MAX(D811-E811-F811-G811-H811,0),'Tax Assumptions'!$B$20),0)</f>
        <v/>
      </c>
      <c r="J811" s="138">
        <f>IF(B811="Working",D811-E811-F811-I811-G811-H811,-L811)</f>
        <v/>
      </c>
      <c r="K811" s="137">
        <f>IF(B811="Retired",$N$239+G811+H811,0)</f>
        <v/>
      </c>
      <c r="L811" s="137">
        <f>M811+N811+O811+P811</f>
        <v/>
      </c>
      <c r="M811" s="137">
        <f>IF(B811="Retired",MIN(((Q810)*(1+$C$10)+IF(B811="Working",J811,0)),K811),0)</f>
        <v/>
      </c>
      <c r="N811" s="137">
        <f>IF(B811="Retired",MIN(MAX(K811-M811,0),((R810)*(1+$C$10)+IF(B811="Working",E106,0))),0)</f>
        <v/>
      </c>
      <c r="O811" s="137">
        <f>IF(B811="Retired",MIN(MAX(K811-M811-N811,0),((S810)*(1+$C$10)+IF(B811="Working",I811,0))),0)</f>
        <v/>
      </c>
      <c r="P811" s="137">
        <f>IF(B811="Retired",MIN(MAX(K811-M811-N811-O811,0),((T810)*(1+$C$10)+IF(B811="Working",F106,0))),0)</f>
        <v/>
      </c>
      <c r="Q811" s="138">
        <f>MAX(((Q810)*(1+$C$10)+IF(B811="Working",J811,0))-M811,0)</f>
        <v/>
      </c>
      <c r="R811" s="138">
        <f>MAX(((R810)*(1+$C$10)+IF(B811="Working",E106,0))-N811,0)</f>
        <v/>
      </c>
      <c r="S811" s="138">
        <f>MAX(((S810)*(1+$C$10)+IF(B811="Working",I811,0))-O811,0)</f>
        <v/>
      </c>
      <c r="T811" s="138">
        <f>MAX(((T810)*(1+$C$10)+IF(B811="Working",F106,0))-P811,0)</f>
        <v/>
      </c>
      <c r="U811" s="138">
        <f>Q811+R811+S811+T811</f>
        <v/>
      </c>
      <c r="V811" s="138">
        <f>IF(B811="Working",MAX(-(((Q810)*(1+$C$10)+IF(B811="Working",J811,0))),0),MAX(K811-L811,0))</f>
        <v/>
      </c>
      <c r="W811" s="138">
        <f>IF(OR(A811&gt;=$C$13,B811="Retired"),IF(V811&gt;0,-V811,U811-'Model Inputs'!$B$18),"")</f>
        <v/>
      </c>
      <c r="X811" s="138">
        <f>IF(AND($L$239&gt;0,A811&gt;=$C$13),$L$239*(1+$C$25)^(A811-$C$13),0)</f>
        <v/>
      </c>
      <c r="Y811" s="138">
        <f>IF(OR($L$239&lt;=0,$C$17&lt;=0,A811&lt;$C$13,MIN(MAX((A811-$C$13+1)*12,0),$C$17*12)&gt;=$C$17*12),0,IF($C$16=0,MAX(MAX($L$239*(1-$C$15),0)-(IF($C$17&lt;=0,0,IF($C$16=0,MAX($L$239*(1-$C$15),0)/$C$17,-PMT($C$16/12,$C$17*12,MAX($L$239*(1-$C$15),0))*12))/12)*MIN(MAX((A811-$C$13+1)*12,0),$C$17*12),0),MAX(MAX($L$239*(1-$C$15),0)*(1+$C$16/12)^MIN(MAX((A811-$C$13+1)*12,0),$C$17*12)-(IF($C$17&lt;=0,0,IF($C$16=0,MAX($L$239*(1-$C$15),0)/$C$17,-PMT($C$16/12,$C$17*12,MAX($L$239*(1-$C$15),0))*12))/12)*(((1+$C$16/12)^MIN(MAX((A811-$C$13+1)*12,0),$C$17*12)-1)/($C$16/12)),0)))</f>
        <v/>
      </c>
      <c r="Z811" s="138">
        <f>MAX(X811-Y811,0)</f>
        <v/>
      </c>
      <c r="AA811" s="139">
        <f>U811+Z811</f>
        <v/>
      </c>
      <c r="AB811" s="5" t="n"/>
      <c r="AC811" s="5" t="n"/>
      <c r="AD811" s="5" t="n"/>
      <c r="AE811" s="5" t="n"/>
      <c r="AF811" s="5" t="n"/>
      <c r="AG811" s="5" t="n"/>
    </row>
    <row r="812" outlineLevel="1" s="326">
      <c r="A812" s="140" t="n">
        <v>28</v>
      </c>
      <c r="B812" s="40">
        <f>B107</f>
        <v/>
      </c>
      <c r="C812" s="141">
        <f>D107</f>
        <v/>
      </c>
      <c r="D812" s="141">
        <f>I107</f>
        <v/>
      </c>
      <c r="E812" s="141">
        <f>J107</f>
        <v/>
      </c>
      <c r="F812" s="141">
        <f>K107</f>
        <v/>
      </c>
      <c r="G812" s="138">
        <f>IF(AND($L$239&gt;0,A812=$C$13),$L$239*($C$15+$C$18),0)+IF(AND($L$239&gt;0,A812=$C$13),$C$24,0)</f>
        <v/>
      </c>
      <c r="H812" s="138">
        <f>IF(OR($L$239&lt;=0,A812&lt;$C$13),0,IF(AND($L$239&gt;0,$C$17&gt;0,A812&gt;=$C$13,A812&lt;($C$13+$C$17)),IF($C$17&lt;=0,0,IF($C$16=0,MAX($L$239*(1-$C$15),0)/$C$17,-PMT($C$16/12,$C$17*12,MAX($L$239*(1-$C$15),0))*12)),0)+X812*($C$19+$C$20+$C$21)+$C$22+$C$23)</f>
        <v/>
      </c>
      <c r="I812" s="138">
        <f>IF(B812="Working",MIN(MAX(D812-E812-F812-G812-H812,0),'Tax Assumptions'!$B$20),0)</f>
        <v/>
      </c>
      <c r="J812" s="138">
        <f>IF(B812="Working",D812-E812-F812-I812-G812-H812,-L812)</f>
        <v/>
      </c>
      <c r="K812" s="141">
        <f>IF(B812="Retired",$N$239+G812+H812,0)</f>
        <v/>
      </c>
      <c r="L812" s="141">
        <f>M812+N812+O812+P812</f>
        <v/>
      </c>
      <c r="M812" s="141">
        <f>IF(B812="Retired",MIN(((Q811)*(1+$C$10)+IF(B812="Working",J812,0)),K812),0)</f>
        <v/>
      </c>
      <c r="N812" s="141">
        <f>IF(B812="Retired",MIN(MAX(K812-M812,0),((R811)*(1+$C$10)+IF(B812="Working",E107,0))),0)</f>
        <v/>
      </c>
      <c r="O812" s="141">
        <f>IF(B812="Retired",MIN(MAX(K812-M812-N812,0),((S811)*(1+$C$10)+IF(B812="Working",I812,0))),0)</f>
        <v/>
      </c>
      <c r="P812" s="141">
        <f>IF(B812="Retired",MIN(MAX(K812-M812-N812-O812,0),((T811)*(1+$C$10)+IF(B812="Working",F107,0))),0)</f>
        <v/>
      </c>
      <c r="Q812" s="138">
        <f>MAX(((Q811)*(1+$C$10)+IF(B812="Working",J812,0))-M812,0)</f>
        <v/>
      </c>
      <c r="R812" s="138">
        <f>MAX(((R811)*(1+$C$10)+IF(B812="Working",E107,0))-N812,0)</f>
        <v/>
      </c>
      <c r="S812" s="138">
        <f>MAX(((S811)*(1+$C$10)+IF(B812="Working",I812,0))-O812,0)</f>
        <v/>
      </c>
      <c r="T812" s="138">
        <f>MAX(((T811)*(1+$C$10)+IF(B812="Working",F107,0))-P812,0)</f>
        <v/>
      </c>
      <c r="U812" s="138">
        <f>Q812+R812+S812+T812</f>
        <v/>
      </c>
      <c r="V812" s="138">
        <f>IF(B812="Working",MAX(-(((Q811)*(1+$C$10)+IF(B812="Working",J812,0))),0),MAX(K812-L812,0))</f>
        <v/>
      </c>
      <c r="W812" s="138">
        <f>IF(OR(A812&gt;=$C$13,B812="Retired"),IF(V812&gt;0,-V812,U812-'Model Inputs'!$B$18),"")</f>
        <v/>
      </c>
      <c r="X812" s="138">
        <f>IF(AND($L$239&gt;0,A812&gt;=$C$13),$L$239*(1+$C$25)^(A812-$C$13),0)</f>
        <v/>
      </c>
      <c r="Y812" s="138">
        <f>IF(OR($L$239&lt;=0,$C$17&lt;=0,A812&lt;$C$13,MIN(MAX((A812-$C$13+1)*12,0),$C$17*12)&gt;=$C$17*12),0,IF($C$16=0,MAX(MAX($L$239*(1-$C$15),0)-(IF($C$17&lt;=0,0,IF($C$16=0,MAX($L$239*(1-$C$15),0)/$C$17,-PMT($C$16/12,$C$17*12,MAX($L$239*(1-$C$15),0))*12))/12)*MIN(MAX((A812-$C$13+1)*12,0),$C$17*12),0),MAX(MAX($L$239*(1-$C$15),0)*(1+$C$16/12)^MIN(MAX((A812-$C$13+1)*12,0),$C$17*12)-(IF($C$17&lt;=0,0,IF($C$16=0,MAX($L$239*(1-$C$15),0)/$C$17,-PMT($C$16/12,$C$17*12,MAX($L$239*(1-$C$15),0))*12))/12)*(((1+$C$16/12)^MIN(MAX((A812-$C$13+1)*12,0),$C$17*12)-1)/($C$16/12)),0)))</f>
        <v/>
      </c>
      <c r="Z812" s="138">
        <f>MAX(X812-Y812,0)</f>
        <v/>
      </c>
      <c r="AA812" s="142">
        <f>U812+Z812</f>
        <v/>
      </c>
      <c r="AB812" s="5" t="n"/>
      <c r="AC812" s="5" t="n"/>
      <c r="AD812" s="5" t="n"/>
      <c r="AE812" s="5" t="n"/>
      <c r="AF812" s="5" t="n"/>
      <c r="AG812" s="5" t="n"/>
    </row>
    <row r="813" outlineLevel="1" s="326">
      <c r="A813" s="136" t="n">
        <v>29</v>
      </c>
      <c r="B813" s="72">
        <f>B108</f>
        <v/>
      </c>
      <c r="C813" s="137">
        <f>D108</f>
        <v/>
      </c>
      <c r="D813" s="137">
        <f>I108</f>
        <v/>
      </c>
      <c r="E813" s="137">
        <f>J108</f>
        <v/>
      </c>
      <c r="F813" s="137">
        <f>K108</f>
        <v/>
      </c>
      <c r="G813" s="138">
        <f>IF(AND($L$239&gt;0,A813=$C$13),$L$239*($C$15+$C$18),0)+IF(AND($L$239&gt;0,A813=$C$13),$C$24,0)</f>
        <v/>
      </c>
      <c r="H813" s="138">
        <f>IF(OR($L$239&lt;=0,A813&lt;$C$13),0,IF(AND($L$239&gt;0,$C$17&gt;0,A813&gt;=$C$13,A813&lt;($C$13+$C$17)),IF($C$17&lt;=0,0,IF($C$16=0,MAX($L$239*(1-$C$15),0)/$C$17,-PMT($C$16/12,$C$17*12,MAX($L$239*(1-$C$15),0))*12)),0)+X813*($C$19+$C$20+$C$21)+$C$22+$C$23)</f>
        <v/>
      </c>
      <c r="I813" s="138">
        <f>IF(B813="Working",MIN(MAX(D813-E813-F813-G813-H813,0),'Tax Assumptions'!$B$20),0)</f>
        <v/>
      </c>
      <c r="J813" s="138">
        <f>IF(B813="Working",D813-E813-F813-I813-G813-H813,-L813)</f>
        <v/>
      </c>
      <c r="K813" s="137">
        <f>IF(B813="Retired",$N$239+G813+H813,0)</f>
        <v/>
      </c>
      <c r="L813" s="137">
        <f>M813+N813+O813+P813</f>
        <v/>
      </c>
      <c r="M813" s="137">
        <f>IF(B813="Retired",MIN(((Q812)*(1+$C$10)+IF(B813="Working",J813,0)),K813),0)</f>
        <v/>
      </c>
      <c r="N813" s="137">
        <f>IF(B813="Retired",MIN(MAX(K813-M813,0),((R812)*(1+$C$10)+IF(B813="Working",E108,0))),0)</f>
        <v/>
      </c>
      <c r="O813" s="137">
        <f>IF(B813="Retired",MIN(MAX(K813-M813-N813,0),((S812)*(1+$C$10)+IF(B813="Working",I813,0))),0)</f>
        <v/>
      </c>
      <c r="P813" s="137">
        <f>IF(B813="Retired",MIN(MAX(K813-M813-N813-O813,0),((T812)*(1+$C$10)+IF(B813="Working",F108,0))),0)</f>
        <v/>
      </c>
      <c r="Q813" s="138">
        <f>MAX(((Q812)*(1+$C$10)+IF(B813="Working",J813,0))-M813,0)</f>
        <v/>
      </c>
      <c r="R813" s="138">
        <f>MAX(((R812)*(1+$C$10)+IF(B813="Working",E108,0))-N813,0)</f>
        <v/>
      </c>
      <c r="S813" s="138">
        <f>MAX(((S812)*(1+$C$10)+IF(B813="Working",I813,0))-O813,0)</f>
        <v/>
      </c>
      <c r="T813" s="138">
        <f>MAX(((T812)*(1+$C$10)+IF(B813="Working",F108,0))-P813,0)</f>
        <v/>
      </c>
      <c r="U813" s="138">
        <f>Q813+R813+S813+T813</f>
        <v/>
      </c>
      <c r="V813" s="138">
        <f>IF(B813="Working",MAX(-(((Q812)*(1+$C$10)+IF(B813="Working",J813,0))),0),MAX(K813-L813,0))</f>
        <v/>
      </c>
      <c r="W813" s="138">
        <f>IF(OR(A813&gt;=$C$13,B813="Retired"),IF(V813&gt;0,-V813,U813-'Model Inputs'!$B$18),"")</f>
        <v/>
      </c>
      <c r="X813" s="138">
        <f>IF(AND($L$239&gt;0,A813&gt;=$C$13),$L$239*(1+$C$25)^(A813-$C$13),0)</f>
        <v/>
      </c>
      <c r="Y813" s="138">
        <f>IF(OR($L$239&lt;=0,$C$17&lt;=0,A813&lt;$C$13,MIN(MAX((A813-$C$13+1)*12,0),$C$17*12)&gt;=$C$17*12),0,IF($C$16=0,MAX(MAX($L$239*(1-$C$15),0)-(IF($C$17&lt;=0,0,IF($C$16=0,MAX($L$239*(1-$C$15),0)/$C$17,-PMT($C$16/12,$C$17*12,MAX($L$239*(1-$C$15),0))*12))/12)*MIN(MAX((A813-$C$13+1)*12,0),$C$17*12),0),MAX(MAX($L$239*(1-$C$15),0)*(1+$C$16/12)^MIN(MAX((A813-$C$13+1)*12,0),$C$17*12)-(IF($C$17&lt;=0,0,IF($C$16=0,MAX($L$239*(1-$C$15),0)/$C$17,-PMT($C$16/12,$C$17*12,MAX($L$239*(1-$C$15),0))*12))/12)*(((1+$C$16/12)^MIN(MAX((A813-$C$13+1)*12,0),$C$17*12)-1)/($C$16/12)),0)))</f>
        <v/>
      </c>
      <c r="Z813" s="138">
        <f>MAX(X813-Y813,0)</f>
        <v/>
      </c>
      <c r="AA813" s="139">
        <f>U813+Z813</f>
        <v/>
      </c>
      <c r="AB813" s="5" t="n"/>
      <c r="AC813" s="5" t="n"/>
      <c r="AD813" s="5" t="n"/>
      <c r="AE813" s="5" t="n"/>
      <c r="AF813" s="5" t="n"/>
      <c r="AG813" s="5" t="n"/>
    </row>
    <row r="814" outlineLevel="1" s="326">
      <c r="A814" s="140" t="n">
        <v>30</v>
      </c>
      <c r="B814" s="40">
        <f>B109</f>
        <v/>
      </c>
      <c r="C814" s="141">
        <f>D109</f>
        <v/>
      </c>
      <c r="D814" s="141">
        <f>I109</f>
        <v/>
      </c>
      <c r="E814" s="141">
        <f>J109</f>
        <v/>
      </c>
      <c r="F814" s="141">
        <f>K109</f>
        <v/>
      </c>
      <c r="G814" s="138">
        <f>IF(AND($L$239&gt;0,A814=$C$13),$L$239*($C$15+$C$18),0)+IF(AND($L$239&gt;0,A814=$C$13),$C$24,0)</f>
        <v/>
      </c>
      <c r="H814" s="138">
        <f>IF(OR($L$239&lt;=0,A814&lt;$C$13),0,IF(AND($L$239&gt;0,$C$17&gt;0,A814&gt;=$C$13,A814&lt;($C$13+$C$17)),IF($C$17&lt;=0,0,IF($C$16=0,MAX($L$239*(1-$C$15),0)/$C$17,-PMT($C$16/12,$C$17*12,MAX($L$239*(1-$C$15),0))*12)),0)+X814*($C$19+$C$20+$C$21)+$C$22+$C$23)</f>
        <v/>
      </c>
      <c r="I814" s="138">
        <f>IF(B814="Working",MIN(MAX(D814-E814-F814-G814-H814,0),'Tax Assumptions'!$B$20),0)</f>
        <v/>
      </c>
      <c r="J814" s="138">
        <f>IF(B814="Working",D814-E814-F814-I814-G814-H814,-L814)</f>
        <v/>
      </c>
      <c r="K814" s="141">
        <f>IF(B814="Retired",$N$239+G814+H814,0)</f>
        <v/>
      </c>
      <c r="L814" s="141">
        <f>M814+N814+O814+P814</f>
        <v/>
      </c>
      <c r="M814" s="141">
        <f>IF(B814="Retired",MIN(((Q813)*(1+$C$10)+IF(B814="Working",J814,0)),K814),0)</f>
        <v/>
      </c>
      <c r="N814" s="141">
        <f>IF(B814="Retired",MIN(MAX(K814-M814,0),((R813)*(1+$C$10)+IF(B814="Working",E109,0))),0)</f>
        <v/>
      </c>
      <c r="O814" s="141">
        <f>IF(B814="Retired",MIN(MAX(K814-M814-N814,0),((S813)*(1+$C$10)+IF(B814="Working",I814,0))),0)</f>
        <v/>
      </c>
      <c r="P814" s="141">
        <f>IF(B814="Retired",MIN(MAX(K814-M814-N814-O814,0),((T813)*(1+$C$10)+IF(B814="Working",F109,0))),0)</f>
        <v/>
      </c>
      <c r="Q814" s="138">
        <f>MAX(((Q813)*(1+$C$10)+IF(B814="Working",J814,0))-M814,0)</f>
        <v/>
      </c>
      <c r="R814" s="138">
        <f>MAX(((R813)*(1+$C$10)+IF(B814="Working",E109,0))-N814,0)</f>
        <v/>
      </c>
      <c r="S814" s="138">
        <f>MAX(((S813)*(1+$C$10)+IF(B814="Working",I814,0))-O814,0)</f>
        <v/>
      </c>
      <c r="T814" s="138">
        <f>MAX(((T813)*(1+$C$10)+IF(B814="Working",F109,0))-P814,0)</f>
        <v/>
      </c>
      <c r="U814" s="138">
        <f>Q814+R814+S814+T814</f>
        <v/>
      </c>
      <c r="V814" s="138">
        <f>IF(B814="Working",MAX(-(((Q813)*(1+$C$10)+IF(B814="Working",J814,0))),0),MAX(K814-L814,0))</f>
        <v/>
      </c>
      <c r="W814" s="138">
        <f>IF(OR(A814&gt;=$C$13,B814="Retired"),IF(V814&gt;0,-V814,U814-'Model Inputs'!$B$18),"")</f>
        <v/>
      </c>
      <c r="X814" s="138">
        <f>IF(AND($L$239&gt;0,A814&gt;=$C$13),$L$239*(1+$C$25)^(A814-$C$13),0)</f>
        <v/>
      </c>
      <c r="Y814" s="138">
        <f>IF(OR($L$239&lt;=0,$C$17&lt;=0,A814&lt;$C$13,MIN(MAX((A814-$C$13+1)*12,0),$C$17*12)&gt;=$C$17*12),0,IF($C$16=0,MAX(MAX($L$239*(1-$C$15),0)-(IF($C$17&lt;=0,0,IF($C$16=0,MAX($L$239*(1-$C$15),0)/$C$17,-PMT($C$16/12,$C$17*12,MAX($L$239*(1-$C$15),0))*12))/12)*MIN(MAX((A814-$C$13+1)*12,0),$C$17*12),0),MAX(MAX($L$239*(1-$C$15),0)*(1+$C$16/12)^MIN(MAX((A814-$C$13+1)*12,0),$C$17*12)-(IF($C$17&lt;=0,0,IF($C$16=0,MAX($L$239*(1-$C$15),0)/$C$17,-PMT($C$16/12,$C$17*12,MAX($L$239*(1-$C$15),0))*12))/12)*(((1+$C$16/12)^MIN(MAX((A814-$C$13+1)*12,0),$C$17*12)-1)/($C$16/12)),0)))</f>
        <v/>
      </c>
      <c r="Z814" s="138">
        <f>MAX(X814-Y814,0)</f>
        <v/>
      </c>
      <c r="AA814" s="142">
        <f>U814+Z814</f>
        <v/>
      </c>
      <c r="AB814" s="5" t="n"/>
      <c r="AC814" s="5" t="n"/>
      <c r="AD814" s="5" t="n"/>
      <c r="AE814" s="5" t="n"/>
      <c r="AF814" s="5" t="n"/>
      <c r="AG814" s="5" t="n"/>
    </row>
    <row r="815" outlineLevel="1" s="326">
      <c r="A815" s="136" t="n">
        <v>31</v>
      </c>
      <c r="B815" s="72">
        <f>B110</f>
        <v/>
      </c>
      <c r="C815" s="137">
        <f>D110</f>
        <v/>
      </c>
      <c r="D815" s="137">
        <f>I110</f>
        <v/>
      </c>
      <c r="E815" s="137">
        <f>J110</f>
        <v/>
      </c>
      <c r="F815" s="137">
        <f>K110</f>
        <v/>
      </c>
      <c r="G815" s="138">
        <f>IF(AND($L$239&gt;0,A815=$C$13),$L$239*($C$15+$C$18),0)+IF(AND($L$239&gt;0,A815=$C$13),$C$24,0)</f>
        <v/>
      </c>
      <c r="H815" s="138">
        <f>IF(OR($L$239&lt;=0,A815&lt;$C$13),0,IF(AND($L$239&gt;0,$C$17&gt;0,A815&gt;=$C$13,A815&lt;($C$13+$C$17)),IF($C$17&lt;=0,0,IF($C$16=0,MAX($L$239*(1-$C$15),0)/$C$17,-PMT($C$16/12,$C$17*12,MAX($L$239*(1-$C$15),0))*12)),0)+X815*($C$19+$C$20+$C$21)+$C$22+$C$23)</f>
        <v/>
      </c>
      <c r="I815" s="138">
        <f>IF(B815="Working",MIN(MAX(D815-E815-F815-G815-H815,0),'Tax Assumptions'!$B$20),0)</f>
        <v/>
      </c>
      <c r="J815" s="138">
        <f>IF(B815="Working",D815-E815-F815-I815-G815-H815,-L815)</f>
        <v/>
      </c>
      <c r="K815" s="137">
        <f>IF(B815="Retired",$N$239+G815+H815,0)</f>
        <v/>
      </c>
      <c r="L815" s="137">
        <f>M815+N815+O815+P815</f>
        <v/>
      </c>
      <c r="M815" s="137">
        <f>IF(B815="Retired",MIN(((Q814)*(1+$C$10)+IF(B815="Working",J815,0)),K815),0)</f>
        <v/>
      </c>
      <c r="N815" s="137">
        <f>IF(B815="Retired",MIN(MAX(K815-M815,0),((R814)*(1+$C$10)+IF(B815="Working",E110,0))),0)</f>
        <v/>
      </c>
      <c r="O815" s="137">
        <f>IF(B815="Retired",MIN(MAX(K815-M815-N815,0),((S814)*(1+$C$10)+IF(B815="Working",I815,0))),0)</f>
        <v/>
      </c>
      <c r="P815" s="137">
        <f>IF(B815="Retired",MIN(MAX(K815-M815-N815-O815,0),((T814)*(1+$C$10)+IF(B815="Working",F110,0))),0)</f>
        <v/>
      </c>
      <c r="Q815" s="138">
        <f>MAX(((Q814)*(1+$C$10)+IF(B815="Working",J815,0))-M815,0)</f>
        <v/>
      </c>
      <c r="R815" s="138">
        <f>MAX(((R814)*(1+$C$10)+IF(B815="Working",E110,0))-N815,0)</f>
        <v/>
      </c>
      <c r="S815" s="138">
        <f>MAX(((S814)*(1+$C$10)+IF(B815="Working",I815,0))-O815,0)</f>
        <v/>
      </c>
      <c r="T815" s="138">
        <f>MAX(((T814)*(1+$C$10)+IF(B815="Working",F110,0))-P815,0)</f>
        <v/>
      </c>
      <c r="U815" s="138">
        <f>Q815+R815+S815+T815</f>
        <v/>
      </c>
      <c r="V815" s="138">
        <f>IF(B815="Working",MAX(-(((Q814)*(1+$C$10)+IF(B815="Working",J815,0))),0),MAX(K815-L815,0))</f>
        <v/>
      </c>
      <c r="W815" s="138">
        <f>IF(OR(A815&gt;=$C$13,B815="Retired"),IF(V815&gt;0,-V815,U815-'Model Inputs'!$B$18),"")</f>
        <v/>
      </c>
      <c r="X815" s="138">
        <f>IF(AND($L$239&gt;0,A815&gt;=$C$13),$L$239*(1+$C$25)^(A815-$C$13),0)</f>
        <v/>
      </c>
      <c r="Y815" s="138">
        <f>IF(OR($L$239&lt;=0,$C$17&lt;=0,A815&lt;$C$13,MIN(MAX((A815-$C$13+1)*12,0),$C$17*12)&gt;=$C$17*12),0,IF($C$16=0,MAX(MAX($L$239*(1-$C$15),0)-(IF($C$17&lt;=0,0,IF($C$16=0,MAX($L$239*(1-$C$15),0)/$C$17,-PMT($C$16/12,$C$17*12,MAX($L$239*(1-$C$15),0))*12))/12)*MIN(MAX((A815-$C$13+1)*12,0),$C$17*12),0),MAX(MAX($L$239*(1-$C$15),0)*(1+$C$16/12)^MIN(MAX((A815-$C$13+1)*12,0),$C$17*12)-(IF($C$17&lt;=0,0,IF($C$16=0,MAX($L$239*(1-$C$15),0)/$C$17,-PMT($C$16/12,$C$17*12,MAX($L$239*(1-$C$15),0))*12))/12)*(((1+$C$16/12)^MIN(MAX((A815-$C$13+1)*12,0),$C$17*12)-1)/($C$16/12)),0)))</f>
        <v/>
      </c>
      <c r="Z815" s="138">
        <f>MAX(X815-Y815,0)</f>
        <v/>
      </c>
      <c r="AA815" s="139">
        <f>U815+Z815</f>
        <v/>
      </c>
      <c r="AB815" s="5" t="n"/>
      <c r="AC815" s="5" t="n"/>
      <c r="AD815" s="5" t="n"/>
      <c r="AE815" s="5" t="n"/>
      <c r="AF815" s="5" t="n"/>
      <c r="AG815" s="5" t="n"/>
    </row>
    <row r="816" outlineLevel="1" s="326">
      <c r="A816" s="140" t="n">
        <v>32</v>
      </c>
      <c r="B816" s="40">
        <f>B111</f>
        <v/>
      </c>
      <c r="C816" s="141">
        <f>D111</f>
        <v/>
      </c>
      <c r="D816" s="141">
        <f>I111</f>
        <v/>
      </c>
      <c r="E816" s="141">
        <f>J111</f>
        <v/>
      </c>
      <c r="F816" s="141">
        <f>K111</f>
        <v/>
      </c>
      <c r="G816" s="138">
        <f>IF(AND($L$239&gt;0,A816=$C$13),$L$239*($C$15+$C$18),0)+IF(AND($L$239&gt;0,A816=$C$13),$C$24,0)</f>
        <v/>
      </c>
      <c r="H816" s="138">
        <f>IF(OR($L$239&lt;=0,A816&lt;$C$13),0,IF(AND($L$239&gt;0,$C$17&gt;0,A816&gt;=$C$13,A816&lt;($C$13+$C$17)),IF($C$17&lt;=0,0,IF($C$16=0,MAX($L$239*(1-$C$15),0)/$C$17,-PMT($C$16/12,$C$17*12,MAX($L$239*(1-$C$15),0))*12)),0)+X816*($C$19+$C$20+$C$21)+$C$22+$C$23)</f>
        <v/>
      </c>
      <c r="I816" s="138">
        <f>IF(B816="Working",MIN(MAX(D816-E816-F816-G816-H816,0),'Tax Assumptions'!$B$20),0)</f>
        <v/>
      </c>
      <c r="J816" s="138">
        <f>IF(B816="Working",D816-E816-F816-I816-G816-H816,-L816)</f>
        <v/>
      </c>
      <c r="K816" s="141">
        <f>IF(B816="Retired",$N$239+G816+H816,0)</f>
        <v/>
      </c>
      <c r="L816" s="141">
        <f>M816+N816+O816+P816</f>
        <v/>
      </c>
      <c r="M816" s="141">
        <f>IF(B816="Retired",MIN(((Q815)*(1+$C$10)+IF(B816="Working",J816,0)),K816),0)</f>
        <v/>
      </c>
      <c r="N816" s="141">
        <f>IF(B816="Retired",MIN(MAX(K816-M816,0),((R815)*(1+$C$10)+IF(B816="Working",E111,0))),0)</f>
        <v/>
      </c>
      <c r="O816" s="141">
        <f>IF(B816="Retired",MIN(MAX(K816-M816-N816,0),((S815)*(1+$C$10)+IF(B816="Working",I816,0))),0)</f>
        <v/>
      </c>
      <c r="P816" s="141">
        <f>IF(B816="Retired",MIN(MAX(K816-M816-N816-O816,0),((T815)*(1+$C$10)+IF(B816="Working",F111,0))),0)</f>
        <v/>
      </c>
      <c r="Q816" s="138">
        <f>MAX(((Q815)*(1+$C$10)+IF(B816="Working",J816,0))-M816,0)</f>
        <v/>
      </c>
      <c r="R816" s="138">
        <f>MAX(((R815)*(1+$C$10)+IF(B816="Working",E111,0))-N816,0)</f>
        <v/>
      </c>
      <c r="S816" s="138">
        <f>MAX(((S815)*(1+$C$10)+IF(B816="Working",I816,0))-O816,0)</f>
        <v/>
      </c>
      <c r="T816" s="138">
        <f>MAX(((T815)*(1+$C$10)+IF(B816="Working",F111,0))-P816,0)</f>
        <v/>
      </c>
      <c r="U816" s="138">
        <f>Q816+R816+S816+T816</f>
        <v/>
      </c>
      <c r="V816" s="138">
        <f>IF(B816="Working",MAX(-(((Q815)*(1+$C$10)+IF(B816="Working",J816,0))),0),MAX(K816-L816,0))</f>
        <v/>
      </c>
      <c r="W816" s="138">
        <f>IF(OR(A816&gt;=$C$13,B816="Retired"),IF(V816&gt;0,-V816,U816-'Model Inputs'!$B$18),"")</f>
        <v/>
      </c>
      <c r="X816" s="138">
        <f>IF(AND($L$239&gt;0,A816&gt;=$C$13),$L$239*(1+$C$25)^(A816-$C$13),0)</f>
        <v/>
      </c>
      <c r="Y816" s="138">
        <f>IF(OR($L$239&lt;=0,$C$17&lt;=0,A816&lt;$C$13,MIN(MAX((A816-$C$13+1)*12,0),$C$17*12)&gt;=$C$17*12),0,IF($C$16=0,MAX(MAX($L$239*(1-$C$15),0)-(IF($C$17&lt;=0,0,IF($C$16=0,MAX($L$239*(1-$C$15),0)/$C$17,-PMT($C$16/12,$C$17*12,MAX($L$239*(1-$C$15),0))*12))/12)*MIN(MAX((A816-$C$13+1)*12,0),$C$17*12),0),MAX(MAX($L$239*(1-$C$15),0)*(1+$C$16/12)^MIN(MAX((A816-$C$13+1)*12,0),$C$17*12)-(IF($C$17&lt;=0,0,IF($C$16=0,MAX($L$239*(1-$C$15),0)/$C$17,-PMT($C$16/12,$C$17*12,MAX($L$239*(1-$C$15),0))*12))/12)*(((1+$C$16/12)^MIN(MAX((A816-$C$13+1)*12,0),$C$17*12)-1)/($C$16/12)),0)))</f>
        <v/>
      </c>
      <c r="Z816" s="138">
        <f>MAX(X816-Y816,0)</f>
        <v/>
      </c>
      <c r="AA816" s="142">
        <f>U816+Z816</f>
        <v/>
      </c>
      <c r="AB816" s="5" t="n"/>
      <c r="AC816" s="5" t="n"/>
      <c r="AD816" s="5" t="n"/>
      <c r="AE816" s="5" t="n"/>
      <c r="AF816" s="5" t="n"/>
      <c r="AG816" s="5" t="n"/>
    </row>
    <row r="817" outlineLevel="1" s="326">
      <c r="A817" s="136" t="n">
        <v>33</v>
      </c>
      <c r="B817" s="72">
        <f>B112</f>
        <v/>
      </c>
      <c r="C817" s="137">
        <f>D112</f>
        <v/>
      </c>
      <c r="D817" s="137">
        <f>I112</f>
        <v/>
      </c>
      <c r="E817" s="137">
        <f>J112</f>
        <v/>
      </c>
      <c r="F817" s="137">
        <f>K112</f>
        <v/>
      </c>
      <c r="G817" s="138">
        <f>IF(AND($L$239&gt;0,A817=$C$13),$L$239*($C$15+$C$18),0)+IF(AND($L$239&gt;0,A817=$C$13),$C$24,0)</f>
        <v/>
      </c>
      <c r="H817" s="138">
        <f>IF(OR($L$239&lt;=0,A817&lt;$C$13),0,IF(AND($L$239&gt;0,$C$17&gt;0,A817&gt;=$C$13,A817&lt;($C$13+$C$17)),IF($C$17&lt;=0,0,IF($C$16=0,MAX($L$239*(1-$C$15),0)/$C$17,-PMT($C$16/12,$C$17*12,MAX($L$239*(1-$C$15),0))*12)),0)+X817*($C$19+$C$20+$C$21)+$C$22+$C$23)</f>
        <v/>
      </c>
      <c r="I817" s="138">
        <f>IF(B817="Working",MIN(MAX(D817-E817-F817-G817-H817,0),'Tax Assumptions'!$B$20),0)</f>
        <v/>
      </c>
      <c r="J817" s="138">
        <f>IF(B817="Working",D817-E817-F817-I817-G817-H817,-L817)</f>
        <v/>
      </c>
      <c r="K817" s="137">
        <f>IF(B817="Retired",$N$239+G817+H817,0)</f>
        <v/>
      </c>
      <c r="L817" s="137">
        <f>M817+N817+O817+P817</f>
        <v/>
      </c>
      <c r="M817" s="137">
        <f>IF(B817="Retired",MIN(((Q816)*(1+$C$10)+IF(B817="Working",J817,0)),K817),0)</f>
        <v/>
      </c>
      <c r="N817" s="137">
        <f>IF(B817="Retired",MIN(MAX(K817-M817,0),((R816)*(1+$C$10)+IF(B817="Working",E112,0))),0)</f>
        <v/>
      </c>
      <c r="O817" s="137">
        <f>IF(B817="Retired",MIN(MAX(K817-M817-N817,0),((S816)*(1+$C$10)+IF(B817="Working",I817,0))),0)</f>
        <v/>
      </c>
      <c r="P817" s="137">
        <f>IF(B817="Retired",MIN(MAX(K817-M817-N817-O817,0),((T816)*(1+$C$10)+IF(B817="Working",F112,0))),0)</f>
        <v/>
      </c>
      <c r="Q817" s="138">
        <f>MAX(((Q816)*(1+$C$10)+IF(B817="Working",J817,0))-M817,0)</f>
        <v/>
      </c>
      <c r="R817" s="138">
        <f>MAX(((R816)*(1+$C$10)+IF(B817="Working",E112,0))-N817,0)</f>
        <v/>
      </c>
      <c r="S817" s="138">
        <f>MAX(((S816)*(1+$C$10)+IF(B817="Working",I817,0))-O817,0)</f>
        <v/>
      </c>
      <c r="T817" s="138">
        <f>MAX(((T816)*(1+$C$10)+IF(B817="Working",F112,0))-P817,0)</f>
        <v/>
      </c>
      <c r="U817" s="138">
        <f>Q817+R817+S817+T817</f>
        <v/>
      </c>
      <c r="V817" s="138">
        <f>IF(B817="Working",MAX(-(((Q816)*(1+$C$10)+IF(B817="Working",J817,0))),0),MAX(K817-L817,0))</f>
        <v/>
      </c>
      <c r="W817" s="138">
        <f>IF(OR(A817&gt;=$C$13,B817="Retired"),IF(V817&gt;0,-V817,U817-'Model Inputs'!$B$18),"")</f>
        <v/>
      </c>
      <c r="X817" s="138">
        <f>IF(AND($L$239&gt;0,A817&gt;=$C$13),$L$239*(1+$C$25)^(A817-$C$13),0)</f>
        <v/>
      </c>
      <c r="Y817" s="138">
        <f>IF(OR($L$239&lt;=0,$C$17&lt;=0,A817&lt;$C$13,MIN(MAX((A817-$C$13+1)*12,0),$C$17*12)&gt;=$C$17*12),0,IF($C$16=0,MAX(MAX($L$239*(1-$C$15),0)-(IF($C$17&lt;=0,0,IF($C$16=0,MAX($L$239*(1-$C$15),0)/$C$17,-PMT($C$16/12,$C$17*12,MAX($L$239*(1-$C$15),0))*12))/12)*MIN(MAX((A817-$C$13+1)*12,0),$C$17*12),0),MAX(MAX($L$239*(1-$C$15),0)*(1+$C$16/12)^MIN(MAX((A817-$C$13+1)*12,0),$C$17*12)-(IF($C$17&lt;=0,0,IF($C$16=0,MAX($L$239*(1-$C$15),0)/$C$17,-PMT($C$16/12,$C$17*12,MAX($L$239*(1-$C$15),0))*12))/12)*(((1+$C$16/12)^MIN(MAX((A817-$C$13+1)*12,0),$C$17*12)-1)/($C$16/12)),0)))</f>
        <v/>
      </c>
      <c r="Z817" s="138">
        <f>MAX(X817-Y817,0)</f>
        <v/>
      </c>
      <c r="AA817" s="139">
        <f>U817+Z817</f>
        <v/>
      </c>
      <c r="AB817" s="5" t="n"/>
      <c r="AC817" s="5" t="n"/>
      <c r="AD817" s="5" t="n"/>
      <c r="AE817" s="5" t="n"/>
      <c r="AF817" s="5" t="n"/>
      <c r="AG817" s="5" t="n"/>
    </row>
    <row r="818" outlineLevel="1" s="326">
      <c r="A818" s="140" t="n">
        <v>34</v>
      </c>
      <c r="B818" s="40">
        <f>B113</f>
        <v/>
      </c>
      <c r="C818" s="141">
        <f>D113</f>
        <v/>
      </c>
      <c r="D818" s="141">
        <f>I113</f>
        <v/>
      </c>
      <c r="E818" s="141">
        <f>J113</f>
        <v/>
      </c>
      <c r="F818" s="141">
        <f>K113</f>
        <v/>
      </c>
      <c r="G818" s="138">
        <f>IF(AND($L$239&gt;0,A818=$C$13),$L$239*($C$15+$C$18),0)+IF(AND($L$239&gt;0,A818=$C$13),$C$24,0)</f>
        <v/>
      </c>
      <c r="H818" s="138">
        <f>IF(OR($L$239&lt;=0,A818&lt;$C$13),0,IF(AND($L$239&gt;0,$C$17&gt;0,A818&gt;=$C$13,A818&lt;($C$13+$C$17)),IF($C$17&lt;=0,0,IF($C$16=0,MAX($L$239*(1-$C$15),0)/$C$17,-PMT($C$16/12,$C$17*12,MAX($L$239*(1-$C$15),0))*12)),0)+X818*($C$19+$C$20+$C$21)+$C$22+$C$23)</f>
        <v/>
      </c>
      <c r="I818" s="138">
        <f>IF(B818="Working",MIN(MAX(D818-E818-F818-G818-H818,0),'Tax Assumptions'!$B$20),0)</f>
        <v/>
      </c>
      <c r="J818" s="138">
        <f>IF(B818="Working",D818-E818-F818-I818-G818-H818,-L818)</f>
        <v/>
      </c>
      <c r="K818" s="141">
        <f>IF(B818="Retired",$N$239+G818+H818,0)</f>
        <v/>
      </c>
      <c r="L818" s="141">
        <f>M818+N818+O818+P818</f>
        <v/>
      </c>
      <c r="M818" s="141">
        <f>IF(B818="Retired",MIN(((Q817)*(1+$C$10)+IF(B818="Working",J818,0)),K818),0)</f>
        <v/>
      </c>
      <c r="N818" s="141">
        <f>IF(B818="Retired",MIN(MAX(K818-M818,0),((R817)*(1+$C$10)+IF(B818="Working",E113,0))),0)</f>
        <v/>
      </c>
      <c r="O818" s="141">
        <f>IF(B818="Retired",MIN(MAX(K818-M818-N818,0),((S817)*(1+$C$10)+IF(B818="Working",I818,0))),0)</f>
        <v/>
      </c>
      <c r="P818" s="141">
        <f>IF(B818="Retired",MIN(MAX(K818-M818-N818-O818,0),((T817)*(1+$C$10)+IF(B818="Working",F113,0))),0)</f>
        <v/>
      </c>
      <c r="Q818" s="138">
        <f>MAX(((Q817)*(1+$C$10)+IF(B818="Working",J818,0))-M818,0)</f>
        <v/>
      </c>
      <c r="R818" s="138">
        <f>MAX(((R817)*(1+$C$10)+IF(B818="Working",E113,0))-N818,0)</f>
        <v/>
      </c>
      <c r="S818" s="138">
        <f>MAX(((S817)*(1+$C$10)+IF(B818="Working",I818,0))-O818,0)</f>
        <v/>
      </c>
      <c r="T818" s="138">
        <f>MAX(((T817)*(1+$C$10)+IF(B818="Working",F113,0))-P818,0)</f>
        <v/>
      </c>
      <c r="U818" s="138">
        <f>Q818+R818+S818+T818</f>
        <v/>
      </c>
      <c r="V818" s="138">
        <f>IF(B818="Working",MAX(-(((Q817)*(1+$C$10)+IF(B818="Working",J818,0))),0),MAX(K818-L818,0))</f>
        <v/>
      </c>
      <c r="W818" s="138">
        <f>IF(OR(A818&gt;=$C$13,B818="Retired"),IF(V818&gt;0,-V818,U818-'Model Inputs'!$B$18),"")</f>
        <v/>
      </c>
      <c r="X818" s="138">
        <f>IF(AND($L$239&gt;0,A818&gt;=$C$13),$L$239*(1+$C$25)^(A818-$C$13),0)</f>
        <v/>
      </c>
      <c r="Y818" s="138">
        <f>IF(OR($L$239&lt;=0,$C$17&lt;=0,A818&lt;$C$13,MIN(MAX((A818-$C$13+1)*12,0),$C$17*12)&gt;=$C$17*12),0,IF($C$16=0,MAX(MAX($L$239*(1-$C$15),0)-(IF($C$17&lt;=0,0,IF($C$16=0,MAX($L$239*(1-$C$15),0)/$C$17,-PMT($C$16/12,$C$17*12,MAX($L$239*(1-$C$15),0))*12))/12)*MIN(MAX((A818-$C$13+1)*12,0),$C$17*12),0),MAX(MAX($L$239*(1-$C$15),0)*(1+$C$16/12)^MIN(MAX((A818-$C$13+1)*12,0),$C$17*12)-(IF($C$17&lt;=0,0,IF($C$16=0,MAX($L$239*(1-$C$15),0)/$C$17,-PMT($C$16/12,$C$17*12,MAX($L$239*(1-$C$15),0))*12))/12)*(((1+$C$16/12)^MIN(MAX((A818-$C$13+1)*12,0),$C$17*12)-1)/($C$16/12)),0)))</f>
        <v/>
      </c>
      <c r="Z818" s="138">
        <f>MAX(X818-Y818,0)</f>
        <v/>
      </c>
      <c r="AA818" s="142">
        <f>U818+Z818</f>
        <v/>
      </c>
      <c r="AB818" s="5" t="n"/>
      <c r="AC818" s="5" t="n"/>
      <c r="AD818" s="5" t="n"/>
      <c r="AE818" s="5" t="n"/>
      <c r="AF818" s="5" t="n"/>
      <c r="AG818" s="5" t="n"/>
    </row>
    <row r="819" outlineLevel="1" s="326">
      <c r="A819" s="136" t="n">
        <v>35</v>
      </c>
      <c r="B819" s="72">
        <f>B114</f>
        <v/>
      </c>
      <c r="C819" s="137">
        <f>D114</f>
        <v/>
      </c>
      <c r="D819" s="137">
        <f>I114</f>
        <v/>
      </c>
      <c r="E819" s="137">
        <f>J114</f>
        <v/>
      </c>
      <c r="F819" s="137">
        <f>K114</f>
        <v/>
      </c>
      <c r="G819" s="138">
        <f>IF(AND($L$239&gt;0,A819=$C$13),$L$239*($C$15+$C$18),0)+IF(AND($L$239&gt;0,A819=$C$13),$C$24,0)</f>
        <v/>
      </c>
      <c r="H819" s="138">
        <f>IF(OR($L$239&lt;=0,A819&lt;$C$13),0,IF(AND($L$239&gt;0,$C$17&gt;0,A819&gt;=$C$13,A819&lt;($C$13+$C$17)),IF($C$17&lt;=0,0,IF($C$16=0,MAX($L$239*(1-$C$15),0)/$C$17,-PMT($C$16/12,$C$17*12,MAX($L$239*(1-$C$15),0))*12)),0)+X819*($C$19+$C$20+$C$21)+$C$22+$C$23)</f>
        <v/>
      </c>
      <c r="I819" s="138">
        <f>IF(B819="Working",MIN(MAX(D819-E819-F819-G819-H819,0),'Tax Assumptions'!$B$20),0)</f>
        <v/>
      </c>
      <c r="J819" s="138">
        <f>IF(B819="Working",D819-E819-F819-I819-G819-H819,-L819)</f>
        <v/>
      </c>
      <c r="K819" s="137">
        <f>IF(B819="Retired",$N$239+G819+H819,0)</f>
        <v/>
      </c>
      <c r="L819" s="137">
        <f>M819+N819+O819+P819</f>
        <v/>
      </c>
      <c r="M819" s="137">
        <f>IF(B819="Retired",MIN(((Q818)*(1+$C$10)+IF(B819="Working",J819,0)),K819),0)</f>
        <v/>
      </c>
      <c r="N819" s="137">
        <f>IF(B819="Retired",MIN(MAX(K819-M819,0),((R818)*(1+$C$10)+IF(B819="Working",E114,0))),0)</f>
        <v/>
      </c>
      <c r="O819" s="137">
        <f>IF(B819="Retired",MIN(MAX(K819-M819-N819,0),((S818)*(1+$C$10)+IF(B819="Working",I819,0))),0)</f>
        <v/>
      </c>
      <c r="P819" s="137">
        <f>IF(B819="Retired",MIN(MAX(K819-M819-N819-O819,0),((T818)*(1+$C$10)+IF(B819="Working",F114,0))),0)</f>
        <v/>
      </c>
      <c r="Q819" s="138">
        <f>MAX(((Q818)*(1+$C$10)+IF(B819="Working",J819,0))-M819,0)</f>
        <v/>
      </c>
      <c r="R819" s="138">
        <f>MAX(((R818)*(1+$C$10)+IF(B819="Working",E114,0))-N819,0)</f>
        <v/>
      </c>
      <c r="S819" s="138">
        <f>MAX(((S818)*(1+$C$10)+IF(B819="Working",I819,0))-O819,0)</f>
        <v/>
      </c>
      <c r="T819" s="138">
        <f>MAX(((T818)*(1+$C$10)+IF(B819="Working",F114,0))-P819,0)</f>
        <v/>
      </c>
      <c r="U819" s="138">
        <f>Q819+R819+S819+T819</f>
        <v/>
      </c>
      <c r="V819" s="138">
        <f>IF(B819="Working",MAX(-(((Q818)*(1+$C$10)+IF(B819="Working",J819,0))),0),MAX(K819-L819,0))</f>
        <v/>
      </c>
      <c r="W819" s="138">
        <f>IF(OR(A819&gt;=$C$13,B819="Retired"),IF(V819&gt;0,-V819,U819-'Model Inputs'!$B$18),"")</f>
        <v/>
      </c>
      <c r="X819" s="138">
        <f>IF(AND($L$239&gt;0,A819&gt;=$C$13),$L$239*(1+$C$25)^(A819-$C$13),0)</f>
        <v/>
      </c>
      <c r="Y819" s="138">
        <f>IF(OR($L$239&lt;=0,$C$17&lt;=0,A819&lt;$C$13,MIN(MAX((A819-$C$13+1)*12,0),$C$17*12)&gt;=$C$17*12),0,IF($C$16=0,MAX(MAX($L$239*(1-$C$15),0)-(IF($C$17&lt;=0,0,IF($C$16=0,MAX($L$239*(1-$C$15),0)/$C$17,-PMT($C$16/12,$C$17*12,MAX($L$239*(1-$C$15),0))*12))/12)*MIN(MAX((A819-$C$13+1)*12,0),$C$17*12),0),MAX(MAX($L$239*(1-$C$15),0)*(1+$C$16/12)^MIN(MAX((A819-$C$13+1)*12,0),$C$17*12)-(IF($C$17&lt;=0,0,IF($C$16=0,MAX($L$239*(1-$C$15),0)/$C$17,-PMT($C$16/12,$C$17*12,MAX($L$239*(1-$C$15),0))*12))/12)*(((1+$C$16/12)^MIN(MAX((A819-$C$13+1)*12,0),$C$17*12)-1)/($C$16/12)),0)))</f>
        <v/>
      </c>
      <c r="Z819" s="138">
        <f>MAX(X819-Y819,0)</f>
        <v/>
      </c>
      <c r="AA819" s="139">
        <f>U819+Z819</f>
        <v/>
      </c>
      <c r="AB819" s="5" t="n"/>
      <c r="AC819" s="5" t="n"/>
      <c r="AD819" s="5" t="n"/>
      <c r="AE819" s="5" t="n"/>
      <c r="AF819" s="5" t="n"/>
      <c r="AG819" s="5" t="n"/>
    </row>
    <row r="820" outlineLevel="1" s="326">
      <c r="A820" s="140" t="n">
        <v>36</v>
      </c>
      <c r="B820" s="40">
        <f>B115</f>
        <v/>
      </c>
      <c r="C820" s="141">
        <f>D115</f>
        <v/>
      </c>
      <c r="D820" s="141">
        <f>I115</f>
        <v/>
      </c>
      <c r="E820" s="141">
        <f>J115</f>
        <v/>
      </c>
      <c r="F820" s="141">
        <f>K115</f>
        <v/>
      </c>
      <c r="G820" s="138">
        <f>IF(AND($L$239&gt;0,A820=$C$13),$L$239*($C$15+$C$18),0)+IF(AND($L$239&gt;0,A820=$C$13),$C$24,0)</f>
        <v/>
      </c>
      <c r="H820" s="138">
        <f>IF(OR($L$239&lt;=0,A820&lt;$C$13),0,IF(AND($L$239&gt;0,$C$17&gt;0,A820&gt;=$C$13,A820&lt;($C$13+$C$17)),IF($C$17&lt;=0,0,IF($C$16=0,MAX($L$239*(1-$C$15),0)/$C$17,-PMT($C$16/12,$C$17*12,MAX($L$239*(1-$C$15),0))*12)),0)+X820*($C$19+$C$20+$C$21)+$C$22+$C$23)</f>
        <v/>
      </c>
      <c r="I820" s="138">
        <f>IF(B820="Working",MIN(MAX(D820-E820-F820-G820-H820,0),'Tax Assumptions'!$B$20),0)</f>
        <v/>
      </c>
      <c r="J820" s="138">
        <f>IF(B820="Working",D820-E820-F820-I820-G820-H820,-L820)</f>
        <v/>
      </c>
      <c r="K820" s="141">
        <f>IF(B820="Retired",$N$239+G820+H820,0)</f>
        <v/>
      </c>
      <c r="L820" s="141">
        <f>M820+N820+O820+P820</f>
        <v/>
      </c>
      <c r="M820" s="141">
        <f>IF(B820="Retired",MIN(((Q819)*(1+$C$10)+IF(B820="Working",J820,0)),K820),0)</f>
        <v/>
      </c>
      <c r="N820" s="141">
        <f>IF(B820="Retired",MIN(MAX(K820-M820,0),((R819)*(1+$C$10)+IF(B820="Working",E115,0))),0)</f>
        <v/>
      </c>
      <c r="O820" s="141">
        <f>IF(B820="Retired",MIN(MAX(K820-M820-N820,0),((S819)*(1+$C$10)+IF(B820="Working",I820,0))),0)</f>
        <v/>
      </c>
      <c r="P820" s="141">
        <f>IF(B820="Retired",MIN(MAX(K820-M820-N820-O820,0),((T819)*(1+$C$10)+IF(B820="Working",F115,0))),0)</f>
        <v/>
      </c>
      <c r="Q820" s="138">
        <f>MAX(((Q819)*(1+$C$10)+IF(B820="Working",J820,0))-M820,0)</f>
        <v/>
      </c>
      <c r="R820" s="138">
        <f>MAX(((R819)*(1+$C$10)+IF(B820="Working",E115,0))-N820,0)</f>
        <v/>
      </c>
      <c r="S820" s="138">
        <f>MAX(((S819)*(1+$C$10)+IF(B820="Working",I820,0))-O820,0)</f>
        <v/>
      </c>
      <c r="T820" s="138">
        <f>MAX(((T819)*(1+$C$10)+IF(B820="Working",F115,0))-P820,0)</f>
        <v/>
      </c>
      <c r="U820" s="138">
        <f>Q820+R820+S820+T820</f>
        <v/>
      </c>
      <c r="V820" s="138">
        <f>IF(B820="Working",MAX(-(((Q819)*(1+$C$10)+IF(B820="Working",J820,0))),0),MAX(K820-L820,0))</f>
        <v/>
      </c>
      <c r="W820" s="138">
        <f>IF(OR(A820&gt;=$C$13,B820="Retired"),IF(V820&gt;0,-V820,U820-'Model Inputs'!$B$18),"")</f>
        <v/>
      </c>
      <c r="X820" s="138">
        <f>IF(AND($L$239&gt;0,A820&gt;=$C$13),$L$239*(1+$C$25)^(A820-$C$13),0)</f>
        <v/>
      </c>
      <c r="Y820" s="138">
        <f>IF(OR($L$239&lt;=0,$C$17&lt;=0,A820&lt;$C$13,MIN(MAX((A820-$C$13+1)*12,0),$C$17*12)&gt;=$C$17*12),0,IF($C$16=0,MAX(MAX($L$239*(1-$C$15),0)-(IF($C$17&lt;=0,0,IF($C$16=0,MAX($L$239*(1-$C$15),0)/$C$17,-PMT($C$16/12,$C$17*12,MAX($L$239*(1-$C$15),0))*12))/12)*MIN(MAX((A820-$C$13+1)*12,0),$C$17*12),0),MAX(MAX($L$239*(1-$C$15),0)*(1+$C$16/12)^MIN(MAX((A820-$C$13+1)*12,0),$C$17*12)-(IF($C$17&lt;=0,0,IF($C$16=0,MAX($L$239*(1-$C$15),0)/$C$17,-PMT($C$16/12,$C$17*12,MAX($L$239*(1-$C$15),0))*12))/12)*(((1+$C$16/12)^MIN(MAX((A820-$C$13+1)*12,0),$C$17*12)-1)/($C$16/12)),0)))</f>
        <v/>
      </c>
      <c r="Z820" s="138">
        <f>MAX(X820-Y820,0)</f>
        <v/>
      </c>
      <c r="AA820" s="142">
        <f>U820+Z820</f>
        <v/>
      </c>
      <c r="AB820" s="5" t="n"/>
      <c r="AC820" s="5" t="n"/>
      <c r="AD820" s="5" t="n"/>
      <c r="AE820" s="5" t="n"/>
      <c r="AF820" s="5" t="n"/>
      <c r="AG820" s="5" t="n"/>
    </row>
    <row r="821" outlineLevel="1" s="326">
      <c r="A821" s="136" t="n">
        <v>37</v>
      </c>
      <c r="B821" s="72">
        <f>B116</f>
        <v/>
      </c>
      <c r="C821" s="137">
        <f>D116</f>
        <v/>
      </c>
      <c r="D821" s="137">
        <f>I116</f>
        <v/>
      </c>
      <c r="E821" s="137">
        <f>J116</f>
        <v/>
      </c>
      <c r="F821" s="137">
        <f>K116</f>
        <v/>
      </c>
      <c r="G821" s="138">
        <f>IF(AND($L$239&gt;0,A821=$C$13),$L$239*($C$15+$C$18),0)+IF(AND($L$239&gt;0,A821=$C$13),$C$24,0)</f>
        <v/>
      </c>
      <c r="H821" s="138">
        <f>IF(OR($L$239&lt;=0,A821&lt;$C$13),0,IF(AND($L$239&gt;0,$C$17&gt;0,A821&gt;=$C$13,A821&lt;($C$13+$C$17)),IF($C$17&lt;=0,0,IF($C$16=0,MAX($L$239*(1-$C$15),0)/$C$17,-PMT($C$16/12,$C$17*12,MAX($L$239*(1-$C$15),0))*12)),0)+X821*($C$19+$C$20+$C$21)+$C$22+$C$23)</f>
        <v/>
      </c>
      <c r="I821" s="138">
        <f>IF(B821="Working",MIN(MAX(D821-E821-F821-G821-H821,0),'Tax Assumptions'!$B$20),0)</f>
        <v/>
      </c>
      <c r="J821" s="138">
        <f>IF(B821="Working",D821-E821-F821-I821-G821-H821,-L821)</f>
        <v/>
      </c>
      <c r="K821" s="137">
        <f>IF(B821="Retired",$N$239+G821+H821,0)</f>
        <v/>
      </c>
      <c r="L821" s="137">
        <f>M821+N821+O821+P821</f>
        <v/>
      </c>
      <c r="M821" s="137">
        <f>IF(B821="Retired",MIN(((Q820)*(1+$C$10)+IF(B821="Working",J821,0)),K821),0)</f>
        <v/>
      </c>
      <c r="N821" s="137">
        <f>IF(B821="Retired",MIN(MAX(K821-M821,0),((R820)*(1+$C$10)+IF(B821="Working",E116,0))),0)</f>
        <v/>
      </c>
      <c r="O821" s="137">
        <f>IF(B821="Retired",MIN(MAX(K821-M821-N821,0),((S820)*(1+$C$10)+IF(B821="Working",I821,0))),0)</f>
        <v/>
      </c>
      <c r="P821" s="137">
        <f>IF(B821="Retired",MIN(MAX(K821-M821-N821-O821,0),((T820)*(1+$C$10)+IF(B821="Working",F116,0))),0)</f>
        <v/>
      </c>
      <c r="Q821" s="138">
        <f>MAX(((Q820)*(1+$C$10)+IF(B821="Working",J821,0))-M821,0)</f>
        <v/>
      </c>
      <c r="R821" s="138">
        <f>MAX(((R820)*(1+$C$10)+IF(B821="Working",E116,0))-N821,0)</f>
        <v/>
      </c>
      <c r="S821" s="138">
        <f>MAX(((S820)*(1+$C$10)+IF(B821="Working",I821,0))-O821,0)</f>
        <v/>
      </c>
      <c r="T821" s="138">
        <f>MAX(((T820)*(1+$C$10)+IF(B821="Working",F116,0))-P821,0)</f>
        <v/>
      </c>
      <c r="U821" s="138">
        <f>Q821+R821+S821+T821</f>
        <v/>
      </c>
      <c r="V821" s="138">
        <f>IF(B821="Working",MAX(-(((Q820)*(1+$C$10)+IF(B821="Working",J821,0))),0),MAX(K821-L821,0))</f>
        <v/>
      </c>
      <c r="W821" s="138">
        <f>IF(OR(A821&gt;=$C$13,B821="Retired"),IF(V821&gt;0,-V821,U821-'Model Inputs'!$B$18),"")</f>
        <v/>
      </c>
      <c r="X821" s="138">
        <f>IF(AND($L$239&gt;0,A821&gt;=$C$13),$L$239*(1+$C$25)^(A821-$C$13),0)</f>
        <v/>
      </c>
      <c r="Y821" s="138">
        <f>IF(OR($L$239&lt;=0,$C$17&lt;=0,A821&lt;$C$13,MIN(MAX((A821-$C$13+1)*12,0),$C$17*12)&gt;=$C$17*12),0,IF($C$16=0,MAX(MAX($L$239*(1-$C$15),0)-(IF($C$17&lt;=0,0,IF($C$16=0,MAX($L$239*(1-$C$15),0)/$C$17,-PMT($C$16/12,$C$17*12,MAX($L$239*(1-$C$15),0))*12))/12)*MIN(MAX((A821-$C$13+1)*12,0),$C$17*12),0),MAX(MAX($L$239*(1-$C$15),0)*(1+$C$16/12)^MIN(MAX((A821-$C$13+1)*12,0),$C$17*12)-(IF($C$17&lt;=0,0,IF($C$16=0,MAX($L$239*(1-$C$15),0)/$C$17,-PMT($C$16/12,$C$17*12,MAX($L$239*(1-$C$15),0))*12))/12)*(((1+$C$16/12)^MIN(MAX((A821-$C$13+1)*12,0),$C$17*12)-1)/($C$16/12)),0)))</f>
        <v/>
      </c>
      <c r="Z821" s="138">
        <f>MAX(X821-Y821,0)</f>
        <v/>
      </c>
      <c r="AA821" s="139">
        <f>U821+Z821</f>
        <v/>
      </c>
      <c r="AB821" s="5" t="n"/>
      <c r="AC821" s="5" t="n"/>
      <c r="AD821" s="5" t="n"/>
      <c r="AE821" s="5" t="n"/>
      <c r="AF821" s="5" t="n"/>
      <c r="AG821" s="5" t="n"/>
    </row>
    <row r="822" outlineLevel="1" s="326">
      <c r="A822" s="140" t="n">
        <v>38</v>
      </c>
      <c r="B822" s="40">
        <f>B117</f>
        <v/>
      </c>
      <c r="C822" s="141">
        <f>D117</f>
        <v/>
      </c>
      <c r="D822" s="141">
        <f>I117</f>
        <v/>
      </c>
      <c r="E822" s="141">
        <f>J117</f>
        <v/>
      </c>
      <c r="F822" s="141">
        <f>K117</f>
        <v/>
      </c>
      <c r="G822" s="138">
        <f>IF(AND($L$239&gt;0,A822=$C$13),$L$239*($C$15+$C$18),0)+IF(AND($L$239&gt;0,A822=$C$13),$C$24,0)</f>
        <v/>
      </c>
      <c r="H822" s="138">
        <f>IF(OR($L$239&lt;=0,A822&lt;$C$13),0,IF(AND($L$239&gt;0,$C$17&gt;0,A822&gt;=$C$13,A822&lt;($C$13+$C$17)),IF($C$17&lt;=0,0,IF($C$16=0,MAX($L$239*(1-$C$15),0)/$C$17,-PMT($C$16/12,$C$17*12,MAX($L$239*(1-$C$15),0))*12)),0)+X822*($C$19+$C$20+$C$21)+$C$22+$C$23)</f>
        <v/>
      </c>
      <c r="I822" s="138">
        <f>IF(B822="Working",MIN(MAX(D822-E822-F822-G822-H822,0),'Tax Assumptions'!$B$20),0)</f>
        <v/>
      </c>
      <c r="J822" s="138">
        <f>IF(B822="Working",D822-E822-F822-I822-G822-H822,-L822)</f>
        <v/>
      </c>
      <c r="K822" s="141">
        <f>IF(B822="Retired",$N$239+G822+H822,0)</f>
        <v/>
      </c>
      <c r="L822" s="141">
        <f>M822+N822+O822+P822</f>
        <v/>
      </c>
      <c r="M822" s="141">
        <f>IF(B822="Retired",MIN(((Q821)*(1+$C$10)+IF(B822="Working",J822,0)),K822),0)</f>
        <v/>
      </c>
      <c r="N822" s="141">
        <f>IF(B822="Retired",MIN(MAX(K822-M822,0),((R821)*(1+$C$10)+IF(B822="Working",E117,0))),0)</f>
        <v/>
      </c>
      <c r="O822" s="141">
        <f>IF(B822="Retired",MIN(MAX(K822-M822-N822,0),((S821)*(1+$C$10)+IF(B822="Working",I822,0))),0)</f>
        <v/>
      </c>
      <c r="P822" s="141">
        <f>IF(B822="Retired",MIN(MAX(K822-M822-N822-O822,0),((T821)*(1+$C$10)+IF(B822="Working",F117,0))),0)</f>
        <v/>
      </c>
      <c r="Q822" s="138">
        <f>MAX(((Q821)*(1+$C$10)+IF(B822="Working",J822,0))-M822,0)</f>
        <v/>
      </c>
      <c r="R822" s="138">
        <f>MAX(((R821)*(1+$C$10)+IF(B822="Working",E117,0))-N822,0)</f>
        <v/>
      </c>
      <c r="S822" s="138">
        <f>MAX(((S821)*(1+$C$10)+IF(B822="Working",I822,0))-O822,0)</f>
        <v/>
      </c>
      <c r="T822" s="138">
        <f>MAX(((T821)*(1+$C$10)+IF(B822="Working",F117,0))-P822,0)</f>
        <v/>
      </c>
      <c r="U822" s="138">
        <f>Q822+R822+S822+T822</f>
        <v/>
      </c>
      <c r="V822" s="138">
        <f>IF(B822="Working",MAX(-(((Q821)*(1+$C$10)+IF(B822="Working",J822,0))),0),MAX(K822-L822,0))</f>
        <v/>
      </c>
      <c r="W822" s="138">
        <f>IF(OR(A822&gt;=$C$13,B822="Retired"),IF(V822&gt;0,-V822,U822-'Model Inputs'!$B$18),"")</f>
        <v/>
      </c>
      <c r="X822" s="138">
        <f>IF(AND($L$239&gt;0,A822&gt;=$C$13),$L$239*(1+$C$25)^(A822-$C$13),0)</f>
        <v/>
      </c>
      <c r="Y822" s="138">
        <f>IF(OR($L$239&lt;=0,$C$17&lt;=0,A822&lt;$C$13,MIN(MAX((A822-$C$13+1)*12,0),$C$17*12)&gt;=$C$17*12),0,IF($C$16=0,MAX(MAX($L$239*(1-$C$15),0)-(IF($C$17&lt;=0,0,IF($C$16=0,MAX($L$239*(1-$C$15),0)/$C$17,-PMT($C$16/12,$C$17*12,MAX($L$239*(1-$C$15),0))*12))/12)*MIN(MAX((A822-$C$13+1)*12,0),$C$17*12),0),MAX(MAX($L$239*(1-$C$15),0)*(1+$C$16/12)^MIN(MAX((A822-$C$13+1)*12,0),$C$17*12)-(IF($C$17&lt;=0,0,IF($C$16=0,MAX($L$239*(1-$C$15),0)/$C$17,-PMT($C$16/12,$C$17*12,MAX($L$239*(1-$C$15),0))*12))/12)*(((1+$C$16/12)^MIN(MAX((A822-$C$13+1)*12,0),$C$17*12)-1)/($C$16/12)),0)))</f>
        <v/>
      </c>
      <c r="Z822" s="138">
        <f>MAX(X822-Y822,0)</f>
        <v/>
      </c>
      <c r="AA822" s="142">
        <f>U822+Z822</f>
        <v/>
      </c>
      <c r="AB822" s="5" t="n"/>
      <c r="AC822" s="5" t="n"/>
      <c r="AD822" s="5" t="n"/>
      <c r="AE822" s="5" t="n"/>
      <c r="AF822" s="5" t="n"/>
      <c r="AG822" s="5" t="n"/>
    </row>
    <row r="823" outlineLevel="1" s="326">
      <c r="A823" s="136" t="n">
        <v>39</v>
      </c>
      <c r="B823" s="72">
        <f>B118</f>
        <v/>
      </c>
      <c r="C823" s="137">
        <f>D118</f>
        <v/>
      </c>
      <c r="D823" s="137">
        <f>I118</f>
        <v/>
      </c>
      <c r="E823" s="137">
        <f>J118</f>
        <v/>
      </c>
      <c r="F823" s="137">
        <f>K118</f>
        <v/>
      </c>
      <c r="G823" s="138">
        <f>IF(AND($L$239&gt;0,A823=$C$13),$L$239*($C$15+$C$18),0)+IF(AND($L$239&gt;0,A823=$C$13),$C$24,0)</f>
        <v/>
      </c>
      <c r="H823" s="138">
        <f>IF(OR($L$239&lt;=0,A823&lt;$C$13),0,IF(AND($L$239&gt;0,$C$17&gt;0,A823&gt;=$C$13,A823&lt;($C$13+$C$17)),IF($C$17&lt;=0,0,IF($C$16=0,MAX($L$239*(1-$C$15),0)/$C$17,-PMT($C$16/12,$C$17*12,MAX($L$239*(1-$C$15),0))*12)),0)+X823*($C$19+$C$20+$C$21)+$C$22+$C$23)</f>
        <v/>
      </c>
      <c r="I823" s="138">
        <f>IF(B823="Working",MIN(MAX(D823-E823-F823-G823-H823,0),'Tax Assumptions'!$B$20),0)</f>
        <v/>
      </c>
      <c r="J823" s="138">
        <f>IF(B823="Working",D823-E823-F823-I823-G823-H823,-L823)</f>
        <v/>
      </c>
      <c r="K823" s="137">
        <f>IF(B823="Retired",$N$239+G823+H823,0)</f>
        <v/>
      </c>
      <c r="L823" s="137">
        <f>M823+N823+O823+P823</f>
        <v/>
      </c>
      <c r="M823" s="137">
        <f>IF(B823="Retired",MIN(((Q822)*(1+$C$10)+IF(B823="Working",J823,0)),K823),0)</f>
        <v/>
      </c>
      <c r="N823" s="137">
        <f>IF(B823="Retired",MIN(MAX(K823-M823,0),((R822)*(1+$C$10)+IF(B823="Working",E118,0))),0)</f>
        <v/>
      </c>
      <c r="O823" s="137">
        <f>IF(B823="Retired",MIN(MAX(K823-M823-N823,0),((S822)*(1+$C$10)+IF(B823="Working",I823,0))),0)</f>
        <v/>
      </c>
      <c r="P823" s="137">
        <f>IF(B823="Retired",MIN(MAX(K823-M823-N823-O823,0),((T822)*(1+$C$10)+IF(B823="Working",F118,0))),0)</f>
        <v/>
      </c>
      <c r="Q823" s="138">
        <f>MAX(((Q822)*(1+$C$10)+IF(B823="Working",J823,0))-M823,0)</f>
        <v/>
      </c>
      <c r="R823" s="138">
        <f>MAX(((R822)*(1+$C$10)+IF(B823="Working",E118,0))-N823,0)</f>
        <v/>
      </c>
      <c r="S823" s="138">
        <f>MAX(((S822)*(1+$C$10)+IF(B823="Working",I823,0))-O823,0)</f>
        <v/>
      </c>
      <c r="T823" s="138">
        <f>MAX(((T822)*(1+$C$10)+IF(B823="Working",F118,0))-P823,0)</f>
        <v/>
      </c>
      <c r="U823" s="138">
        <f>Q823+R823+S823+T823</f>
        <v/>
      </c>
      <c r="V823" s="138">
        <f>IF(B823="Working",MAX(-(((Q822)*(1+$C$10)+IF(B823="Working",J823,0))),0),MAX(K823-L823,0))</f>
        <v/>
      </c>
      <c r="W823" s="138">
        <f>IF(OR(A823&gt;=$C$13,B823="Retired"),IF(V823&gt;0,-V823,U823-'Model Inputs'!$B$18),"")</f>
        <v/>
      </c>
      <c r="X823" s="138">
        <f>IF(AND($L$239&gt;0,A823&gt;=$C$13),$L$239*(1+$C$25)^(A823-$C$13),0)</f>
        <v/>
      </c>
      <c r="Y823" s="138">
        <f>IF(OR($L$239&lt;=0,$C$17&lt;=0,A823&lt;$C$13,MIN(MAX((A823-$C$13+1)*12,0),$C$17*12)&gt;=$C$17*12),0,IF($C$16=0,MAX(MAX($L$239*(1-$C$15),0)-(IF($C$17&lt;=0,0,IF($C$16=0,MAX($L$239*(1-$C$15),0)/$C$17,-PMT($C$16/12,$C$17*12,MAX($L$239*(1-$C$15),0))*12))/12)*MIN(MAX((A823-$C$13+1)*12,0),$C$17*12),0),MAX(MAX($L$239*(1-$C$15),0)*(1+$C$16/12)^MIN(MAX((A823-$C$13+1)*12,0),$C$17*12)-(IF($C$17&lt;=0,0,IF($C$16=0,MAX($L$239*(1-$C$15),0)/$C$17,-PMT($C$16/12,$C$17*12,MAX($L$239*(1-$C$15),0))*12))/12)*(((1+$C$16/12)^MIN(MAX((A823-$C$13+1)*12,0),$C$17*12)-1)/($C$16/12)),0)))</f>
        <v/>
      </c>
      <c r="Z823" s="138">
        <f>MAX(X823-Y823,0)</f>
        <v/>
      </c>
      <c r="AA823" s="139">
        <f>U823+Z823</f>
        <v/>
      </c>
      <c r="AB823" s="5" t="n"/>
      <c r="AC823" s="5" t="n"/>
      <c r="AD823" s="5" t="n"/>
      <c r="AE823" s="5" t="n"/>
      <c r="AF823" s="5" t="n"/>
      <c r="AG823" s="5" t="n"/>
    </row>
    <row r="824" outlineLevel="1" s="326">
      <c r="A824" s="140" t="n">
        <v>40</v>
      </c>
      <c r="B824" s="40">
        <f>B119</f>
        <v/>
      </c>
      <c r="C824" s="141">
        <f>D119</f>
        <v/>
      </c>
      <c r="D824" s="141">
        <f>I119</f>
        <v/>
      </c>
      <c r="E824" s="141">
        <f>J119</f>
        <v/>
      </c>
      <c r="F824" s="141">
        <f>K119</f>
        <v/>
      </c>
      <c r="G824" s="138">
        <f>IF(AND($L$239&gt;0,A824=$C$13),$L$239*($C$15+$C$18),0)+IF(AND($L$239&gt;0,A824=$C$13),$C$24,0)</f>
        <v/>
      </c>
      <c r="H824" s="138">
        <f>IF(OR($L$239&lt;=0,A824&lt;$C$13),0,IF(AND($L$239&gt;0,$C$17&gt;0,A824&gt;=$C$13,A824&lt;($C$13+$C$17)),IF($C$17&lt;=0,0,IF($C$16=0,MAX($L$239*(1-$C$15),0)/$C$17,-PMT($C$16/12,$C$17*12,MAX($L$239*(1-$C$15),0))*12)),0)+X824*($C$19+$C$20+$C$21)+$C$22+$C$23)</f>
        <v/>
      </c>
      <c r="I824" s="138">
        <f>IF(B824="Working",MIN(MAX(D824-E824-F824-G824-H824,0),'Tax Assumptions'!$B$20),0)</f>
        <v/>
      </c>
      <c r="J824" s="138">
        <f>IF(B824="Working",D824-E824-F824-I824-G824-H824,-L824)</f>
        <v/>
      </c>
      <c r="K824" s="141">
        <f>IF(B824="Retired",$N$239+G824+H824,0)</f>
        <v/>
      </c>
      <c r="L824" s="141">
        <f>M824+N824+O824+P824</f>
        <v/>
      </c>
      <c r="M824" s="141">
        <f>IF(B824="Retired",MIN(((Q823)*(1+$C$10)+IF(B824="Working",J824,0)),K824),0)</f>
        <v/>
      </c>
      <c r="N824" s="141">
        <f>IF(B824="Retired",MIN(MAX(K824-M824,0),((R823)*(1+$C$10)+IF(B824="Working",E119,0))),0)</f>
        <v/>
      </c>
      <c r="O824" s="141">
        <f>IF(B824="Retired",MIN(MAX(K824-M824-N824,0),((S823)*(1+$C$10)+IF(B824="Working",I824,0))),0)</f>
        <v/>
      </c>
      <c r="P824" s="141">
        <f>IF(B824="Retired",MIN(MAX(K824-M824-N824-O824,0),((T823)*(1+$C$10)+IF(B824="Working",F119,0))),0)</f>
        <v/>
      </c>
      <c r="Q824" s="138">
        <f>MAX(((Q823)*(1+$C$10)+IF(B824="Working",J824,0))-M824,0)</f>
        <v/>
      </c>
      <c r="R824" s="138">
        <f>MAX(((R823)*(1+$C$10)+IF(B824="Working",E119,0))-N824,0)</f>
        <v/>
      </c>
      <c r="S824" s="138">
        <f>MAX(((S823)*(1+$C$10)+IF(B824="Working",I824,0))-O824,0)</f>
        <v/>
      </c>
      <c r="T824" s="138">
        <f>MAX(((T823)*(1+$C$10)+IF(B824="Working",F119,0))-P824,0)</f>
        <v/>
      </c>
      <c r="U824" s="138">
        <f>Q824+R824+S824+T824</f>
        <v/>
      </c>
      <c r="V824" s="138">
        <f>IF(B824="Working",MAX(-(((Q823)*(1+$C$10)+IF(B824="Working",J824,0))),0),MAX(K824-L824,0))</f>
        <v/>
      </c>
      <c r="W824" s="138">
        <f>IF(OR(A824&gt;=$C$13,B824="Retired"),IF(V824&gt;0,-V824,U824-'Model Inputs'!$B$18),"")</f>
        <v/>
      </c>
      <c r="X824" s="138">
        <f>IF(AND($L$239&gt;0,A824&gt;=$C$13),$L$239*(1+$C$25)^(A824-$C$13),0)</f>
        <v/>
      </c>
      <c r="Y824" s="138">
        <f>IF(OR($L$239&lt;=0,$C$17&lt;=0,A824&lt;$C$13,MIN(MAX((A824-$C$13+1)*12,0),$C$17*12)&gt;=$C$17*12),0,IF($C$16=0,MAX(MAX($L$239*(1-$C$15),0)-(IF($C$17&lt;=0,0,IF($C$16=0,MAX($L$239*(1-$C$15),0)/$C$17,-PMT($C$16/12,$C$17*12,MAX($L$239*(1-$C$15),0))*12))/12)*MIN(MAX((A824-$C$13+1)*12,0),$C$17*12),0),MAX(MAX($L$239*(1-$C$15),0)*(1+$C$16/12)^MIN(MAX((A824-$C$13+1)*12,0),$C$17*12)-(IF($C$17&lt;=0,0,IF($C$16=0,MAX($L$239*(1-$C$15),0)/$C$17,-PMT($C$16/12,$C$17*12,MAX($L$239*(1-$C$15),0))*12))/12)*(((1+$C$16/12)^MIN(MAX((A824-$C$13+1)*12,0),$C$17*12)-1)/($C$16/12)),0)))</f>
        <v/>
      </c>
      <c r="Z824" s="138">
        <f>MAX(X824-Y824,0)</f>
        <v/>
      </c>
      <c r="AA824" s="142">
        <f>U824+Z824</f>
        <v/>
      </c>
      <c r="AB824" s="5" t="n"/>
      <c r="AC824" s="5" t="n"/>
      <c r="AD824" s="5" t="n"/>
      <c r="AE824" s="5" t="n"/>
      <c r="AF824" s="5" t="n"/>
      <c r="AG824" s="5" t="n"/>
    </row>
    <row r="825" outlineLevel="1" s="326">
      <c r="A825" s="143" t="inlineStr">
        <is>
          <t>Case Summary</t>
        </is>
      </c>
      <c r="B825" s="144" t="n"/>
      <c r="C825" s="144" t="n"/>
      <c r="D825" s="144" t="n"/>
      <c r="E825" s="144" t="n"/>
      <c r="F825" s="144" t="n"/>
      <c r="G825" s="145">
        <f>SUM(G785:G824)</f>
        <v/>
      </c>
      <c r="H825" s="145">
        <f>SUM(H785:H824)</f>
        <v/>
      </c>
      <c r="I825" s="145">
        <f>SUM(I785:I824)</f>
        <v/>
      </c>
      <c r="J825" s="145">
        <f>SUM(J785:J824)</f>
        <v/>
      </c>
      <c r="K825" s="145">
        <f>SUM(K785:K824)</f>
        <v/>
      </c>
      <c r="L825" s="145">
        <f>SUM(L785:L824)</f>
        <v/>
      </c>
      <c r="M825" s="145">
        <f>SUM(M785:M824)</f>
        <v/>
      </c>
      <c r="N825" s="145">
        <f>SUM(N785:N824)</f>
        <v/>
      </c>
      <c r="O825" s="145">
        <f>SUM(O785:O824)</f>
        <v/>
      </c>
      <c r="P825" s="145">
        <f>SUM(P785:P824)</f>
        <v/>
      </c>
      <c r="Q825" s="145">
        <f>Q824</f>
        <v/>
      </c>
      <c r="R825" s="145">
        <f>R824</f>
        <v/>
      </c>
      <c r="S825" s="145">
        <f>S824</f>
        <v/>
      </c>
      <c r="T825" s="145">
        <f>T824</f>
        <v/>
      </c>
      <c r="U825" s="145">
        <f>U824</f>
        <v/>
      </c>
      <c r="V825" s="145">
        <f>SUM(V785:V824)</f>
        <v/>
      </c>
      <c r="W825" s="145">
        <f>MIN(W785:W824)</f>
        <v/>
      </c>
      <c r="X825" s="145">
        <f>X824</f>
        <v/>
      </c>
      <c r="Y825" s="145">
        <f>Y824</f>
        <v/>
      </c>
      <c r="Z825" s="145">
        <f>Z824</f>
        <v/>
      </c>
      <c r="AA825" s="146">
        <f>AA824</f>
        <v/>
      </c>
      <c r="AB825" s="5" t="n"/>
      <c r="AC825" s="5" t="n"/>
      <c r="AD825" s="5" t="n"/>
      <c r="AE825" s="5" t="n"/>
      <c r="AF825" s="5" t="n"/>
      <c r="AG825" s="5" t="n"/>
    </row>
    <row r="826" outlineLevel="1" s="3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</row>
    <row r="827" outlineLevel="1" s="326">
      <c r="A827" s="387">
        <f>J240&amp;" | House "&amp;TEXT($L$240,"$#,##0")&amp;" | Spend "&amp;TEXT($N$240,"$#,##0")</f>
        <v/>
      </c>
      <c r="B827" s="345" t="n"/>
      <c r="C827" s="345" t="n"/>
      <c r="D827" s="345" t="n"/>
      <c r="E827" s="345" t="n"/>
      <c r="F827" s="345" t="n"/>
      <c r="G827" s="345" t="n"/>
      <c r="H827" s="345" t="n"/>
      <c r="I827" s="345" t="n"/>
      <c r="J827" s="345" t="n"/>
      <c r="K827" s="345" t="n"/>
      <c r="L827" s="345" t="n"/>
      <c r="M827" s="345" t="n"/>
      <c r="N827" s="345" t="n"/>
      <c r="O827" s="345" t="n"/>
      <c r="P827" s="345" t="n"/>
      <c r="Q827" s="345" t="n"/>
      <c r="R827" s="345" t="n"/>
      <c r="S827" s="345" t="n"/>
      <c r="T827" s="345" t="n"/>
      <c r="U827" s="345" t="n"/>
      <c r="V827" s="345" t="n"/>
      <c r="W827" s="345" t="n"/>
      <c r="X827" s="345" t="n"/>
      <c r="Y827" s="345" t="n"/>
      <c r="Z827" s="345" t="n"/>
      <c r="AA827" s="346" t="n"/>
      <c r="AB827" s="5" t="n"/>
      <c r="AC827" s="5" t="n"/>
      <c r="AD827" s="5" t="n"/>
      <c r="AE827" s="5" t="n"/>
      <c r="AF827" s="5" t="n"/>
      <c r="AG827" s="5" t="n"/>
    </row>
    <row r="828" outlineLevel="1" ht="34" customHeight="1" s="326">
      <c r="A828" s="134" t="inlineStr">
        <is>
          <t>Year</t>
        </is>
      </c>
      <c r="B828" s="83" t="inlineStr">
        <is>
          <t>Phase</t>
        </is>
      </c>
      <c r="C828" s="83" t="inlineStr">
        <is>
          <t>Gross</t>
        </is>
      </c>
      <c r="D828" s="83" t="inlineStr">
        <is>
          <t>Post-Tax Cash</t>
        </is>
      </c>
      <c r="E828" s="83" t="inlineStr">
        <is>
          <t>Rent</t>
        </is>
      </c>
      <c r="F828" s="83" t="inlineStr">
        <is>
          <t>Living</t>
        </is>
      </c>
      <c r="G828" s="83" t="inlineStr">
        <is>
          <t>House Cash</t>
        </is>
      </c>
      <c r="H828" s="83" t="inlineStr">
        <is>
          <t>Housing Carry</t>
        </is>
      </c>
      <c r="I828" s="83" t="inlineStr">
        <is>
          <t>Roth</t>
        </is>
      </c>
      <c r="J828" s="83" t="inlineStr">
        <is>
          <t>Taxable Sav / (Draw)</t>
        </is>
      </c>
      <c r="K828" s="83" t="inlineStr">
        <is>
          <t>Planned Need</t>
        </is>
      </c>
      <c r="L828" s="83" t="inlineStr">
        <is>
          <t>Actual W/D</t>
        </is>
      </c>
      <c r="M828" s="83" t="inlineStr">
        <is>
          <t>Taxable Draw</t>
        </is>
      </c>
      <c r="N828" s="83" t="inlineStr">
        <is>
          <t>401(k) Draw</t>
        </is>
      </c>
      <c r="O828" s="83" t="inlineStr">
        <is>
          <t>Roth Draw</t>
        </is>
      </c>
      <c r="P828" s="83" t="inlineStr">
        <is>
          <t>HSA Draw</t>
        </is>
      </c>
      <c r="Q828" s="83" t="inlineStr">
        <is>
          <t>Taxable Bal</t>
        </is>
      </c>
      <c r="R828" s="83" t="inlineStr">
        <is>
          <t>401(k) Bal</t>
        </is>
      </c>
      <c r="S828" s="83" t="inlineStr">
        <is>
          <t>Roth Bal</t>
        </is>
      </c>
      <c r="T828" s="83" t="inlineStr">
        <is>
          <t>HSA Bal</t>
        </is>
      </c>
      <c r="U828" s="83" t="inlineStr">
        <is>
          <t>Liquid Wealth</t>
        </is>
      </c>
      <c r="V828" s="83" t="inlineStr">
        <is>
          <t>Funding Gap</t>
        </is>
      </c>
      <c r="W828" s="83" t="inlineStr">
        <is>
          <t>Margin vs Reserve</t>
        </is>
      </c>
      <c r="X828" s="83" t="inlineStr">
        <is>
          <t>House Value</t>
        </is>
      </c>
      <c r="Y828" s="83" t="inlineStr">
        <is>
          <t>Mortgage Balance</t>
        </is>
      </c>
      <c r="Z828" s="83" t="inlineStr">
        <is>
          <t>Home Equity</t>
        </is>
      </c>
      <c r="AA828" s="135" t="inlineStr">
        <is>
          <t>Net Worth</t>
        </is>
      </c>
      <c r="AB828" s="5" t="n"/>
      <c r="AC828" s="5" t="n"/>
      <c r="AD828" s="5" t="n"/>
      <c r="AE828" s="5" t="n"/>
      <c r="AF828" s="5" t="n"/>
      <c r="AG828" s="5" t="n"/>
    </row>
    <row r="829" outlineLevel="1" s="326">
      <c r="A829" s="136" t="n">
        <v>1</v>
      </c>
      <c r="B829" s="72">
        <f>B80</f>
        <v/>
      </c>
      <c r="C829" s="137">
        <f>D80</f>
        <v/>
      </c>
      <c r="D829" s="137">
        <f>I80</f>
        <v/>
      </c>
      <c r="E829" s="137">
        <f>J80</f>
        <v/>
      </c>
      <c r="F829" s="137">
        <f>K80</f>
        <v/>
      </c>
      <c r="G829" s="138">
        <f>IF(AND($L$240&gt;0,A829=$C$13),$L$240*($C$15+$C$18),0)+IF(AND($L$240&gt;0,A829=$C$13),$C$24,0)</f>
        <v/>
      </c>
      <c r="H829" s="138">
        <f>IF(OR($L$240&lt;=0,A829&lt;$C$13),0,IF(AND($L$240&gt;0,$C$17&gt;0,A829&gt;=$C$13,A829&lt;($C$13+$C$17)),IF($C$17&lt;=0,0,IF($C$16=0,MAX($L$240*(1-$C$15),0)/$C$17,-PMT($C$16/12,$C$17*12,MAX($L$240*(1-$C$15),0))*12)),0)+X829*($C$19+$C$20+$C$21)+$C$22+$C$23)</f>
        <v/>
      </c>
      <c r="I829" s="138">
        <f>IF(B829="Working",MIN(MAX(D829-E829-F829-G829-H829,0),'Tax Assumptions'!$B$20),0)</f>
        <v/>
      </c>
      <c r="J829" s="138">
        <f>IF(B829="Working",D829-E829-F829-I829-G829-H829,-L829)</f>
        <v/>
      </c>
      <c r="K829" s="137">
        <f>IF(B829="Retired",$N$240+G829+H829,0)</f>
        <v/>
      </c>
      <c r="L829" s="137">
        <f>M829+N829+O829+P829</f>
        <v/>
      </c>
      <c r="M829" s="137">
        <f>IF(B829="Retired",MIN((('Savings Projection'!$B$7)*(1+$C$10)+IF(B829="Working",J829,0)),K829),0)</f>
        <v/>
      </c>
      <c r="N829" s="137">
        <f>IF(B829="Retired",MIN(MAX(K829-M829,0),(('Savings Projection'!$B$8)*(1+$C$10)+IF(B829="Working",E80,0))),0)</f>
        <v/>
      </c>
      <c r="O829" s="137">
        <f>IF(B829="Retired",MIN(MAX(K829-M829-N829,0),(('Savings Projection'!$B$9)*(1+$C$10)+IF(B829="Working",I829,0))),0)</f>
        <v/>
      </c>
      <c r="P829" s="137">
        <f>IF(B829="Retired",MIN(MAX(K829-M829-N829-O829,0),(('Savings Projection'!$B$10)*(1+$C$10)+IF(B829="Working",F80,0))),0)</f>
        <v/>
      </c>
      <c r="Q829" s="138">
        <f>MAX((('Savings Projection'!$B$7)*(1+$C$10)+IF(B829="Working",J829,0))-M829,0)</f>
        <v/>
      </c>
      <c r="R829" s="138">
        <f>MAX((('Savings Projection'!$B$8)*(1+$C$10)+IF(B829="Working",E80,0))-N829,0)</f>
        <v/>
      </c>
      <c r="S829" s="138">
        <f>MAX((('Savings Projection'!$B$9)*(1+$C$10)+IF(B829="Working",I829,0))-O829,0)</f>
        <v/>
      </c>
      <c r="T829" s="138">
        <f>MAX((('Savings Projection'!$B$10)*(1+$C$10)+IF(B829="Working",F80,0))-P829,0)</f>
        <v/>
      </c>
      <c r="U829" s="138">
        <f>Q829+R829+S829+T829</f>
        <v/>
      </c>
      <c r="V829" s="138">
        <f>IF(B829="Working",MAX(-((('Savings Projection'!$B$7)*(1+$C$10)+IF(B829="Working",J829,0))),0),MAX(K829-L829,0))</f>
        <v/>
      </c>
      <c r="W829" s="138">
        <f>IF(OR(A829&gt;=$C$13,B829="Retired"),IF(V829&gt;0,-V829,U829-'Model Inputs'!$B$18),"")</f>
        <v/>
      </c>
      <c r="X829" s="138">
        <f>IF(AND($L$240&gt;0,A829&gt;=$C$13),$L$240*(1+$C$25)^(A829-$C$13),0)</f>
        <v/>
      </c>
      <c r="Y829" s="138">
        <f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/>
      </c>
      <c r="Z829" s="138">
        <f>MAX(X829-Y829,0)</f>
        <v/>
      </c>
      <c r="AA829" s="139">
        <f>U829+Z829</f>
        <v/>
      </c>
      <c r="AB829" s="5" t="n"/>
      <c r="AC829" s="5" t="n"/>
      <c r="AD829" s="5" t="n"/>
      <c r="AE829" s="5" t="n"/>
      <c r="AF829" s="5" t="n"/>
      <c r="AG829" s="5" t="n"/>
    </row>
    <row r="830" outlineLevel="1" s="326">
      <c r="A830" s="140" t="n">
        <v>2</v>
      </c>
      <c r="B830" s="40">
        <f>B81</f>
        <v/>
      </c>
      <c r="C830" s="141">
        <f>D81</f>
        <v/>
      </c>
      <c r="D830" s="141">
        <f>I81</f>
        <v/>
      </c>
      <c r="E830" s="141">
        <f>J81</f>
        <v/>
      </c>
      <c r="F830" s="141">
        <f>K81</f>
        <v/>
      </c>
      <c r="G830" s="138">
        <f>IF(AND($L$240&gt;0,A830=$C$13),$L$240*($C$15+$C$18),0)+IF(AND($L$240&gt;0,A830=$C$13),$C$24,0)</f>
        <v/>
      </c>
      <c r="H830" s="138">
        <f>IF(OR($L$240&lt;=0,A830&lt;$C$13),0,IF(AND($L$240&gt;0,$C$17&gt;0,A830&gt;=$C$13,A830&lt;($C$13+$C$17)),IF($C$17&lt;=0,0,IF($C$16=0,MAX($L$240*(1-$C$15),0)/$C$17,-PMT($C$16/12,$C$17*12,MAX($L$240*(1-$C$15),0))*12)),0)+X830*($C$19+$C$20+$C$21)+$C$22+$C$23)</f>
        <v/>
      </c>
      <c r="I830" s="138">
        <f>IF(B830="Working",MIN(MAX(D830-E830-F830-G830-H830,0),'Tax Assumptions'!$B$20),0)</f>
        <v/>
      </c>
      <c r="J830" s="138">
        <f>IF(B830="Working",D830-E830-F830-I830-G830-H830,-L830)</f>
        <v/>
      </c>
      <c r="K830" s="141">
        <f>IF(B830="Retired",$N$240+G830+H830,0)</f>
        <v/>
      </c>
      <c r="L830" s="141">
        <f>M830+N830+O830+P830</f>
        <v/>
      </c>
      <c r="M830" s="141">
        <f>IF(B830="Retired",MIN(((Q829)*(1+$C$10)+IF(B830="Working",J830,0)),K830),0)</f>
        <v/>
      </c>
      <c r="N830" s="141">
        <f>IF(B830="Retired",MIN(MAX(K830-M830,0),((R829)*(1+$C$10)+IF(B830="Working",E81,0))),0)</f>
        <v/>
      </c>
      <c r="O830" s="141">
        <f>IF(B830="Retired",MIN(MAX(K830-M830-N830,0),((S829)*(1+$C$10)+IF(B830="Working",I830,0))),0)</f>
        <v/>
      </c>
      <c r="P830" s="141">
        <f>IF(B830="Retired",MIN(MAX(K830-M830-N830-O830,0),((T829)*(1+$C$10)+IF(B830="Working",F81,0))),0)</f>
        <v/>
      </c>
      <c r="Q830" s="138">
        <f>MAX(((Q829)*(1+$C$10)+IF(B830="Working",J830,0))-M830,0)</f>
        <v/>
      </c>
      <c r="R830" s="138">
        <f>MAX(((R829)*(1+$C$10)+IF(B830="Working",E81,0))-N830,0)</f>
        <v/>
      </c>
      <c r="S830" s="138">
        <f>MAX(((S829)*(1+$C$10)+IF(B830="Working",I830,0))-O830,0)</f>
        <v/>
      </c>
      <c r="T830" s="138">
        <f>MAX(((T829)*(1+$C$10)+IF(B830="Working",F81,0))-P830,0)</f>
        <v/>
      </c>
      <c r="U830" s="138">
        <f>Q830+R830+S830+T830</f>
        <v/>
      </c>
      <c r="V830" s="138">
        <f>IF(B830="Working",MAX(-(((Q829)*(1+$C$10)+IF(B830="Working",J830,0))),0),MAX(K830-L830,0))</f>
        <v/>
      </c>
      <c r="W830" s="138">
        <f>IF(OR(A830&gt;=$C$13,B830="Retired"),IF(V830&gt;0,-V830,U830-'Model Inputs'!$B$18),"")</f>
        <v/>
      </c>
      <c r="X830" s="138">
        <f>IF(AND($L$240&gt;0,A830&gt;=$C$13),$L$240*(1+$C$25)^(A830-$C$13),0)</f>
        <v/>
      </c>
      <c r="Y830" s="138">
        <f>IF(OR($L$240&lt;=0,$C$17&lt;=0,A830&lt;$C$13,MIN(MAX((A830-$C$13+1)*12,0),$C$17*12)&gt;=$C$17*12),0,IF($C$16=0,MAX(MAX($L$240*(1-$C$15),0)-(IF($C$17&lt;=0,0,IF($C$16=0,MAX($L$240*(1-$C$15),0)/$C$17,-PMT($C$16/12,$C$17*12,MAX($L$240*(1-$C$15),0))*12))/12)*MIN(MAX((A830-$C$13+1)*12,0),$C$17*12),0),MAX(MAX($L$240*(1-$C$15),0)*(1+$C$16/12)^MIN(MAX((A830-$C$13+1)*12,0),$C$17*12)-(IF($C$17&lt;=0,0,IF($C$16=0,MAX($L$240*(1-$C$15),0)/$C$17,-PMT($C$16/12,$C$17*12,MAX($L$240*(1-$C$15),0))*12))/12)*(((1+$C$16/12)^MIN(MAX((A830-$C$13+1)*12,0),$C$17*12)-1)/($C$16/12)),0)))</f>
        <v/>
      </c>
      <c r="Z830" s="138">
        <f>MAX(X830-Y830,0)</f>
        <v/>
      </c>
      <c r="AA830" s="142">
        <f>U830+Z830</f>
        <v/>
      </c>
      <c r="AB830" s="5" t="n"/>
      <c r="AC830" s="5" t="n"/>
      <c r="AD830" s="5" t="n"/>
      <c r="AE830" s="5" t="n"/>
      <c r="AF830" s="5" t="n"/>
      <c r="AG830" s="5" t="n"/>
    </row>
    <row r="831" outlineLevel="1" s="326">
      <c r="A831" s="136" t="n">
        <v>3</v>
      </c>
      <c r="B831" s="72">
        <f>B82</f>
        <v/>
      </c>
      <c r="C831" s="137">
        <f>D82</f>
        <v/>
      </c>
      <c r="D831" s="137">
        <f>I82</f>
        <v/>
      </c>
      <c r="E831" s="137">
        <f>J82</f>
        <v/>
      </c>
      <c r="F831" s="137">
        <f>K82</f>
        <v/>
      </c>
      <c r="G831" s="138">
        <f>IF(AND($L$240&gt;0,A831=$C$13),$L$240*($C$15+$C$18),0)+IF(AND($L$240&gt;0,A831=$C$13),$C$24,0)</f>
        <v/>
      </c>
      <c r="H831" s="138">
        <f>IF(OR($L$240&lt;=0,A831&lt;$C$13),0,IF(AND($L$240&gt;0,$C$17&gt;0,A831&gt;=$C$13,A831&lt;($C$13+$C$17)),IF($C$17&lt;=0,0,IF($C$16=0,MAX($L$240*(1-$C$15),0)/$C$17,-PMT($C$16/12,$C$17*12,MAX($L$240*(1-$C$15),0))*12)),0)+X831*($C$19+$C$20+$C$21)+$C$22+$C$23)</f>
        <v/>
      </c>
      <c r="I831" s="138">
        <f>IF(B831="Working",MIN(MAX(D831-E831-F831-G831-H831,0),'Tax Assumptions'!$B$20),0)</f>
        <v/>
      </c>
      <c r="J831" s="138">
        <f>IF(B831="Working",D831-E831-F831-I831-G831-H831,-L831)</f>
        <v/>
      </c>
      <c r="K831" s="137">
        <f>IF(B831="Retired",$N$240+G831+H831,0)</f>
        <v/>
      </c>
      <c r="L831" s="137">
        <f>M831+N831+O831+P831</f>
        <v/>
      </c>
      <c r="M831" s="137">
        <f>IF(B831="Retired",MIN(((Q830)*(1+$C$10)+IF(B831="Working",J831,0)),K831),0)</f>
        <v/>
      </c>
      <c r="N831" s="137">
        <f>IF(B831="Retired",MIN(MAX(K831-M831,0),((R830)*(1+$C$10)+IF(B831="Working",E82,0))),0)</f>
        <v/>
      </c>
      <c r="O831" s="137">
        <f>IF(B831="Retired",MIN(MAX(K831-M831-N831,0),((S830)*(1+$C$10)+IF(B831="Working",I831,0))),0)</f>
        <v/>
      </c>
      <c r="P831" s="137">
        <f>IF(B831="Retired",MIN(MAX(K831-M831-N831-O831,0),((T830)*(1+$C$10)+IF(B831="Working",F82,0))),0)</f>
        <v/>
      </c>
      <c r="Q831" s="138">
        <f>MAX(((Q830)*(1+$C$10)+IF(B831="Working",J831,0))-M831,0)</f>
        <v/>
      </c>
      <c r="R831" s="138">
        <f>MAX(((R830)*(1+$C$10)+IF(B831="Working",E82,0))-N831,0)</f>
        <v/>
      </c>
      <c r="S831" s="138">
        <f>MAX(((S830)*(1+$C$10)+IF(B831="Working",I831,0))-O831,0)</f>
        <v/>
      </c>
      <c r="T831" s="138">
        <f>MAX(((T830)*(1+$C$10)+IF(B831="Working",F82,0))-P831,0)</f>
        <v/>
      </c>
      <c r="U831" s="138">
        <f>Q831+R831+S831+T831</f>
        <v/>
      </c>
      <c r="V831" s="138">
        <f>IF(B831="Working",MAX(-(((Q830)*(1+$C$10)+IF(B831="Working",J831,0))),0),MAX(K831-L831,0))</f>
        <v/>
      </c>
      <c r="W831" s="138">
        <f>IF(OR(A831&gt;=$C$13,B831="Retired"),IF(V831&gt;0,-V831,U831-'Model Inputs'!$B$18),"")</f>
        <v/>
      </c>
      <c r="X831" s="138">
        <f>IF(AND($L$240&gt;0,A831&gt;=$C$13),$L$240*(1+$C$25)^(A831-$C$13),0)</f>
        <v/>
      </c>
      <c r="Y831" s="138">
        <f>IF(OR($L$240&lt;=0,$C$17&lt;=0,A831&lt;$C$13,MIN(MAX((A831-$C$13+1)*12,0),$C$17*12)&gt;=$C$17*12),0,IF($C$16=0,MAX(MAX($L$240*(1-$C$15),0)-(IF($C$17&lt;=0,0,IF($C$16=0,MAX($L$240*(1-$C$15),0)/$C$17,-PMT($C$16/12,$C$17*12,MAX($L$240*(1-$C$15),0))*12))/12)*MIN(MAX((A831-$C$13+1)*12,0),$C$17*12),0),MAX(MAX($L$240*(1-$C$15),0)*(1+$C$16/12)^MIN(MAX((A831-$C$13+1)*12,0),$C$17*12)-(IF($C$17&lt;=0,0,IF($C$16=0,MAX($L$240*(1-$C$15),0)/$C$17,-PMT($C$16/12,$C$17*12,MAX($L$240*(1-$C$15),0))*12))/12)*(((1+$C$16/12)^MIN(MAX((A831-$C$13+1)*12,0),$C$17*12)-1)/($C$16/12)),0)))</f>
        <v/>
      </c>
      <c r="Z831" s="138">
        <f>MAX(X831-Y831,0)</f>
        <v/>
      </c>
      <c r="AA831" s="139">
        <f>U831+Z831</f>
        <v/>
      </c>
      <c r="AB831" s="5" t="n"/>
      <c r="AC831" s="5" t="n"/>
      <c r="AD831" s="5" t="n"/>
      <c r="AE831" s="5" t="n"/>
      <c r="AF831" s="5" t="n"/>
      <c r="AG831" s="5" t="n"/>
    </row>
    <row r="832" outlineLevel="1" s="326">
      <c r="A832" s="140" t="n">
        <v>4</v>
      </c>
      <c r="B832" s="40">
        <f>B83</f>
        <v/>
      </c>
      <c r="C832" s="141">
        <f>D83</f>
        <v/>
      </c>
      <c r="D832" s="141">
        <f>I83</f>
        <v/>
      </c>
      <c r="E832" s="141">
        <f>J83</f>
        <v/>
      </c>
      <c r="F832" s="141">
        <f>K83</f>
        <v/>
      </c>
      <c r="G832" s="138">
        <f>IF(AND($L$240&gt;0,A832=$C$13),$L$240*($C$15+$C$18),0)+IF(AND($L$240&gt;0,A832=$C$13),$C$24,0)</f>
        <v/>
      </c>
      <c r="H832" s="138">
        <f>IF(OR($L$240&lt;=0,A832&lt;$C$13),0,IF(AND($L$240&gt;0,$C$17&gt;0,A832&gt;=$C$13,A832&lt;($C$13+$C$17)),IF($C$17&lt;=0,0,IF($C$16=0,MAX($L$240*(1-$C$15),0)/$C$17,-PMT($C$16/12,$C$17*12,MAX($L$240*(1-$C$15),0))*12)),0)+X832*($C$19+$C$20+$C$21)+$C$22+$C$23)</f>
        <v/>
      </c>
      <c r="I832" s="138">
        <f>IF(B832="Working",MIN(MAX(D832-E832-F832-G832-H832,0),'Tax Assumptions'!$B$20),0)</f>
        <v/>
      </c>
      <c r="J832" s="138">
        <f>IF(B832="Working",D832-E832-F832-I832-G832-H832,-L832)</f>
        <v/>
      </c>
      <c r="K832" s="141">
        <f>IF(B832="Retired",$N$240+G832+H832,0)</f>
        <v/>
      </c>
      <c r="L832" s="141">
        <f>M832+N832+O832+P832</f>
        <v/>
      </c>
      <c r="M832" s="141">
        <f>IF(B832="Retired",MIN(((Q831)*(1+$C$10)+IF(B832="Working",J832,0)),K832),0)</f>
        <v/>
      </c>
      <c r="N832" s="141">
        <f>IF(B832="Retired",MIN(MAX(K832-M832,0),((R831)*(1+$C$10)+IF(B832="Working",E83,0))),0)</f>
        <v/>
      </c>
      <c r="O832" s="141">
        <f>IF(B832="Retired",MIN(MAX(K832-M832-N832,0),((S831)*(1+$C$10)+IF(B832="Working",I832,0))),0)</f>
        <v/>
      </c>
      <c r="P832" s="141">
        <f>IF(B832="Retired",MIN(MAX(K832-M832-N832-O832,0),((T831)*(1+$C$10)+IF(B832="Working",F83,0))),0)</f>
        <v/>
      </c>
      <c r="Q832" s="138">
        <f>MAX(((Q831)*(1+$C$10)+IF(B832="Working",J832,0))-M832,0)</f>
        <v/>
      </c>
      <c r="R832" s="138">
        <f>MAX(((R831)*(1+$C$10)+IF(B832="Working",E83,0))-N832,0)</f>
        <v/>
      </c>
      <c r="S832" s="138">
        <f>MAX(((S831)*(1+$C$10)+IF(B832="Working",I832,0))-O832,0)</f>
        <v/>
      </c>
      <c r="T832" s="138">
        <f>MAX(((T831)*(1+$C$10)+IF(B832="Working",F83,0))-P832,0)</f>
        <v/>
      </c>
      <c r="U832" s="138">
        <f>Q832+R832+S832+T832</f>
        <v/>
      </c>
      <c r="V832" s="138">
        <f>IF(B832="Working",MAX(-(((Q831)*(1+$C$10)+IF(B832="Working",J832,0))),0),MAX(K832-L832,0))</f>
        <v/>
      </c>
      <c r="W832" s="138">
        <f>IF(OR(A832&gt;=$C$13,B832="Retired"),IF(V832&gt;0,-V832,U832-'Model Inputs'!$B$18),"")</f>
        <v/>
      </c>
      <c r="X832" s="138">
        <f>IF(AND($L$240&gt;0,A832&gt;=$C$13),$L$240*(1+$C$25)^(A832-$C$13),0)</f>
        <v/>
      </c>
      <c r="Y832" s="138">
        <f>IF(OR($L$240&lt;=0,$C$17&lt;=0,A832&lt;$C$13,MIN(MAX((A832-$C$13+1)*12,0),$C$17*12)&gt;=$C$17*12),0,IF($C$16=0,MAX(MAX($L$240*(1-$C$15),0)-(IF($C$17&lt;=0,0,IF($C$16=0,MAX($L$240*(1-$C$15),0)/$C$17,-PMT($C$16/12,$C$17*12,MAX($L$240*(1-$C$15),0))*12))/12)*MIN(MAX((A832-$C$13+1)*12,0),$C$17*12),0),MAX(MAX($L$240*(1-$C$15),0)*(1+$C$16/12)^MIN(MAX((A832-$C$13+1)*12,0),$C$17*12)-(IF($C$17&lt;=0,0,IF($C$16=0,MAX($L$240*(1-$C$15),0)/$C$17,-PMT($C$16/12,$C$17*12,MAX($L$240*(1-$C$15),0))*12))/12)*(((1+$C$16/12)^MIN(MAX((A832-$C$13+1)*12,0),$C$17*12)-1)/($C$16/12)),0)))</f>
        <v/>
      </c>
      <c r="Z832" s="138">
        <f>MAX(X832-Y832,0)</f>
        <v/>
      </c>
      <c r="AA832" s="142">
        <f>U832+Z832</f>
        <v/>
      </c>
      <c r="AB832" s="5" t="n"/>
      <c r="AC832" s="5" t="n"/>
      <c r="AD832" s="5" t="n"/>
      <c r="AE832" s="5" t="n"/>
      <c r="AF832" s="5" t="n"/>
      <c r="AG832" s="5" t="n"/>
    </row>
    <row r="833" outlineLevel="1" s="326">
      <c r="A833" s="136" t="n">
        <v>5</v>
      </c>
      <c r="B833" s="72">
        <f>B84</f>
        <v/>
      </c>
      <c r="C833" s="137">
        <f>D84</f>
        <v/>
      </c>
      <c r="D833" s="137">
        <f>I84</f>
        <v/>
      </c>
      <c r="E833" s="137">
        <f>J84</f>
        <v/>
      </c>
      <c r="F833" s="137">
        <f>K84</f>
        <v/>
      </c>
      <c r="G833" s="138">
        <f>IF(AND($L$240&gt;0,A833=$C$13),$L$240*($C$15+$C$18),0)+IF(AND($L$240&gt;0,A833=$C$13),$C$24,0)</f>
        <v/>
      </c>
      <c r="H833" s="138">
        <f>IF(OR($L$240&lt;=0,A833&lt;$C$13),0,IF(AND($L$240&gt;0,$C$17&gt;0,A833&gt;=$C$13,A833&lt;($C$13+$C$17)),IF($C$17&lt;=0,0,IF($C$16=0,MAX($L$240*(1-$C$15),0)/$C$17,-PMT($C$16/12,$C$17*12,MAX($L$240*(1-$C$15),0))*12)),0)+X833*($C$19+$C$20+$C$21)+$C$22+$C$23)</f>
        <v/>
      </c>
      <c r="I833" s="138">
        <f>IF(B833="Working",MIN(MAX(D833-E833-F833-G833-H833,0),'Tax Assumptions'!$B$20),0)</f>
        <v/>
      </c>
      <c r="J833" s="138">
        <f>IF(B833="Working",D833-E833-F833-I833-G833-H833,-L833)</f>
        <v/>
      </c>
      <c r="K833" s="137">
        <f>IF(B833="Retired",$N$240+G833+H833,0)</f>
        <v/>
      </c>
      <c r="L833" s="137">
        <f>M833+N833+O833+P833</f>
        <v/>
      </c>
      <c r="M833" s="137">
        <f>IF(B833="Retired",MIN(((Q832)*(1+$C$10)+IF(B833="Working",J833,0)),K833),0)</f>
        <v/>
      </c>
      <c r="N833" s="137">
        <f>IF(B833="Retired",MIN(MAX(K833-M833,0),((R832)*(1+$C$10)+IF(B833="Working",E84,0))),0)</f>
        <v/>
      </c>
      <c r="O833" s="137">
        <f>IF(B833="Retired",MIN(MAX(K833-M833-N833,0),((S832)*(1+$C$10)+IF(B833="Working",I833,0))),0)</f>
        <v/>
      </c>
      <c r="P833" s="137">
        <f>IF(B833="Retired",MIN(MAX(K833-M833-N833-O833,0),((T832)*(1+$C$10)+IF(B833="Working",F84,0))),0)</f>
        <v/>
      </c>
      <c r="Q833" s="138">
        <f>MAX(((Q832)*(1+$C$10)+IF(B833="Working",J833,0))-M833,0)</f>
        <v/>
      </c>
      <c r="R833" s="138">
        <f>MAX(((R832)*(1+$C$10)+IF(B833="Working",E84,0))-N833,0)</f>
        <v/>
      </c>
      <c r="S833" s="138">
        <f>MAX(((S832)*(1+$C$10)+IF(B833="Working",I833,0))-O833,0)</f>
        <v/>
      </c>
      <c r="T833" s="138">
        <f>MAX(((T832)*(1+$C$10)+IF(B833="Working",F84,0))-P833,0)</f>
        <v/>
      </c>
      <c r="U833" s="138">
        <f>Q833+R833+S833+T833</f>
        <v/>
      </c>
      <c r="V833" s="138">
        <f>IF(B833="Working",MAX(-(((Q832)*(1+$C$10)+IF(B833="Working",J833,0))),0),MAX(K833-L833,0))</f>
        <v/>
      </c>
      <c r="W833" s="138">
        <f>IF(OR(A833&gt;=$C$13,B833="Retired"),IF(V833&gt;0,-V833,U833-'Model Inputs'!$B$18),"")</f>
        <v/>
      </c>
      <c r="X833" s="138">
        <f>IF(AND($L$240&gt;0,A833&gt;=$C$13),$L$240*(1+$C$25)^(A833-$C$13),0)</f>
        <v/>
      </c>
      <c r="Y833" s="138">
        <f>IF(OR($L$240&lt;=0,$C$17&lt;=0,A833&lt;$C$13,MIN(MAX((A833-$C$13+1)*12,0),$C$17*12)&gt;=$C$17*12),0,IF($C$16=0,MAX(MAX($L$240*(1-$C$15),0)-(IF($C$17&lt;=0,0,IF($C$16=0,MAX($L$240*(1-$C$15),0)/$C$17,-PMT($C$16/12,$C$17*12,MAX($L$240*(1-$C$15),0))*12))/12)*MIN(MAX((A833-$C$13+1)*12,0),$C$17*12),0),MAX(MAX($L$240*(1-$C$15),0)*(1+$C$16/12)^MIN(MAX((A833-$C$13+1)*12,0),$C$17*12)-(IF($C$17&lt;=0,0,IF($C$16=0,MAX($L$240*(1-$C$15),0)/$C$17,-PMT($C$16/12,$C$17*12,MAX($L$240*(1-$C$15),0))*12))/12)*(((1+$C$16/12)^MIN(MAX((A833-$C$13+1)*12,0),$C$17*12)-1)/($C$16/12)),0)))</f>
        <v/>
      </c>
      <c r="Z833" s="138">
        <f>MAX(X833-Y833,0)</f>
        <v/>
      </c>
      <c r="AA833" s="139">
        <f>U833+Z833</f>
        <v/>
      </c>
      <c r="AB833" s="5" t="n"/>
      <c r="AC833" s="5" t="n"/>
      <c r="AD833" s="5" t="n"/>
      <c r="AE833" s="5" t="n"/>
      <c r="AF833" s="5" t="n"/>
      <c r="AG833" s="5" t="n"/>
    </row>
    <row r="834" outlineLevel="1" s="326">
      <c r="A834" s="140" t="n">
        <v>6</v>
      </c>
      <c r="B834" s="40">
        <f>B85</f>
        <v/>
      </c>
      <c r="C834" s="141">
        <f>D85</f>
        <v/>
      </c>
      <c r="D834" s="141">
        <f>I85</f>
        <v/>
      </c>
      <c r="E834" s="141">
        <f>J85</f>
        <v/>
      </c>
      <c r="F834" s="141">
        <f>K85</f>
        <v/>
      </c>
      <c r="G834" s="138">
        <f>IF(AND($L$240&gt;0,A834=$C$13),$L$240*($C$15+$C$18),0)+IF(AND($L$240&gt;0,A834=$C$13),$C$24,0)</f>
        <v/>
      </c>
      <c r="H834" s="138">
        <f>IF(OR($L$240&lt;=0,A834&lt;$C$13),0,IF(AND($L$240&gt;0,$C$17&gt;0,A834&gt;=$C$13,A834&lt;($C$13+$C$17)),IF($C$17&lt;=0,0,IF($C$16=0,MAX($L$240*(1-$C$15),0)/$C$17,-PMT($C$16/12,$C$17*12,MAX($L$240*(1-$C$15),0))*12)),0)+X834*($C$19+$C$20+$C$21)+$C$22+$C$23)</f>
        <v/>
      </c>
      <c r="I834" s="138">
        <f>IF(B834="Working",MIN(MAX(D834-E834-F834-G834-H834,0),'Tax Assumptions'!$B$20),0)</f>
        <v/>
      </c>
      <c r="J834" s="138">
        <f>IF(B834="Working",D834-E834-F834-I834-G834-H834,-L834)</f>
        <v/>
      </c>
      <c r="K834" s="141">
        <f>IF(B834="Retired",$N$240+G834+H834,0)</f>
        <v/>
      </c>
      <c r="L834" s="141">
        <f>M834+N834+O834+P834</f>
        <v/>
      </c>
      <c r="M834" s="141">
        <f>IF(B834="Retired",MIN(((Q833)*(1+$C$10)+IF(B834="Working",J834,0)),K834),0)</f>
        <v/>
      </c>
      <c r="N834" s="141">
        <f>IF(B834="Retired",MIN(MAX(K834-M834,0),((R833)*(1+$C$10)+IF(B834="Working",E85,0))),0)</f>
        <v/>
      </c>
      <c r="O834" s="141">
        <f>IF(B834="Retired",MIN(MAX(K834-M834-N834,0),((S833)*(1+$C$10)+IF(B834="Working",I834,0))),0)</f>
        <v/>
      </c>
      <c r="P834" s="141">
        <f>IF(B834="Retired",MIN(MAX(K834-M834-N834-O834,0),((T833)*(1+$C$10)+IF(B834="Working",F85,0))),0)</f>
        <v/>
      </c>
      <c r="Q834" s="138">
        <f>MAX(((Q833)*(1+$C$10)+IF(B834="Working",J834,0))-M834,0)</f>
        <v/>
      </c>
      <c r="R834" s="138">
        <f>MAX(((R833)*(1+$C$10)+IF(B834="Working",E85,0))-N834,0)</f>
        <v/>
      </c>
      <c r="S834" s="138">
        <f>MAX(((S833)*(1+$C$10)+IF(B834="Working",I834,0))-O834,0)</f>
        <v/>
      </c>
      <c r="T834" s="138">
        <f>MAX(((T833)*(1+$C$10)+IF(B834="Working",F85,0))-P834,0)</f>
        <v/>
      </c>
      <c r="U834" s="138">
        <f>Q834+R834+S834+T834</f>
        <v/>
      </c>
      <c r="V834" s="138">
        <f>IF(B834="Working",MAX(-(((Q833)*(1+$C$10)+IF(B834="Working",J834,0))),0),MAX(K834-L834,0))</f>
        <v/>
      </c>
      <c r="W834" s="138">
        <f>IF(OR(A834&gt;=$C$13,B834="Retired"),IF(V834&gt;0,-V834,U834-'Model Inputs'!$B$18),"")</f>
        <v/>
      </c>
      <c r="X834" s="138">
        <f>IF(AND($L$240&gt;0,A834&gt;=$C$13),$L$240*(1+$C$25)^(A834-$C$13),0)</f>
        <v/>
      </c>
      <c r="Y834" s="138">
        <f>IF(OR($L$240&lt;=0,$C$17&lt;=0,A834&lt;$C$13,MIN(MAX((A834-$C$13+1)*12,0),$C$17*12)&gt;=$C$17*12),0,IF($C$16=0,MAX(MAX($L$240*(1-$C$15),0)-(IF($C$17&lt;=0,0,IF($C$16=0,MAX($L$240*(1-$C$15),0)/$C$17,-PMT($C$16/12,$C$17*12,MAX($L$240*(1-$C$15),0))*12))/12)*MIN(MAX((A834-$C$13+1)*12,0),$C$17*12),0),MAX(MAX($L$240*(1-$C$15),0)*(1+$C$16/12)^MIN(MAX((A834-$C$13+1)*12,0),$C$17*12)-(IF($C$17&lt;=0,0,IF($C$16=0,MAX($L$240*(1-$C$15),0)/$C$17,-PMT($C$16/12,$C$17*12,MAX($L$240*(1-$C$15),0))*12))/12)*(((1+$C$16/12)^MIN(MAX((A834-$C$13+1)*12,0),$C$17*12)-1)/($C$16/12)),0)))</f>
        <v/>
      </c>
      <c r="Z834" s="138">
        <f>MAX(X834-Y834,0)</f>
        <v/>
      </c>
      <c r="AA834" s="142">
        <f>U834+Z834</f>
        <v/>
      </c>
      <c r="AB834" s="5" t="n"/>
      <c r="AC834" s="5" t="n"/>
      <c r="AD834" s="5" t="n"/>
      <c r="AE834" s="5" t="n"/>
      <c r="AF834" s="5" t="n"/>
      <c r="AG834" s="5" t="n"/>
    </row>
    <row r="835" outlineLevel="1" s="326">
      <c r="A835" s="136" t="n">
        <v>7</v>
      </c>
      <c r="B835" s="72">
        <f>B86</f>
        <v/>
      </c>
      <c r="C835" s="137">
        <f>D86</f>
        <v/>
      </c>
      <c r="D835" s="137">
        <f>I86</f>
        <v/>
      </c>
      <c r="E835" s="137">
        <f>J86</f>
        <v/>
      </c>
      <c r="F835" s="137">
        <f>K86</f>
        <v/>
      </c>
      <c r="G835" s="138">
        <f>IF(AND($L$240&gt;0,A835=$C$13),$L$240*($C$15+$C$18),0)+IF(AND($L$240&gt;0,A835=$C$13),$C$24,0)</f>
        <v/>
      </c>
      <c r="H835" s="138">
        <f>IF(OR($L$240&lt;=0,A835&lt;$C$13),0,IF(AND($L$240&gt;0,$C$17&gt;0,A835&gt;=$C$13,A835&lt;($C$13+$C$17)),IF($C$17&lt;=0,0,IF($C$16=0,MAX($L$240*(1-$C$15),0)/$C$17,-PMT($C$16/12,$C$17*12,MAX($L$240*(1-$C$15),0))*12)),0)+X835*($C$19+$C$20+$C$21)+$C$22+$C$23)</f>
        <v/>
      </c>
      <c r="I835" s="138">
        <f>IF(B835="Working",MIN(MAX(D835-E835-F835-G835-H835,0),'Tax Assumptions'!$B$20),0)</f>
        <v/>
      </c>
      <c r="J835" s="138">
        <f>IF(B835="Working",D835-E835-F835-I835-G835-H835,-L835)</f>
        <v/>
      </c>
      <c r="K835" s="137">
        <f>IF(B835="Retired",$N$240+G835+H835,0)</f>
        <v/>
      </c>
      <c r="L835" s="137">
        <f>M835+N835+O835+P835</f>
        <v/>
      </c>
      <c r="M835" s="137">
        <f>IF(B835="Retired",MIN(((Q834)*(1+$C$10)+IF(B835="Working",J835,0)),K835),0)</f>
        <v/>
      </c>
      <c r="N835" s="137">
        <f>IF(B835="Retired",MIN(MAX(K835-M835,0),((R834)*(1+$C$10)+IF(B835="Working",E86,0))),0)</f>
        <v/>
      </c>
      <c r="O835" s="137">
        <f>IF(B835="Retired",MIN(MAX(K835-M835-N835,0),((S834)*(1+$C$10)+IF(B835="Working",I835,0))),0)</f>
        <v/>
      </c>
      <c r="P835" s="137">
        <f>IF(B835="Retired",MIN(MAX(K835-M835-N835-O835,0),((T834)*(1+$C$10)+IF(B835="Working",F86,0))),0)</f>
        <v/>
      </c>
      <c r="Q835" s="138">
        <f>MAX(((Q834)*(1+$C$10)+IF(B835="Working",J835,0))-M835,0)</f>
        <v/>
      </c>
      <c r="R835" s="138">
        <f>MAX(((R834)*(1+$C$10)+IF(B835="Working",E86,0))-N835,0)</f>
        <v/>
      </c>
      <c r="S835" s="138">
        <f>MAX(((S834)*(1+$C$10)+IF(B835="Working",I835,0))-O835,0)</f>
        <v/>
      </c>
      <c r="T835" s="138">
        <f>MAX(((T834)*(1+$C$10)+IF(B835="Working",F86,0))-P835,0)</f>
        <v/>
      </c>
      <c r="U835" s="138">
        <f>Q835+R835+S835+T835</f>
        <v/>
      </c>
      <c r="V835" s="138">
        <f>IF(B835="Working",MAX(-(((Q834)*(1+$C$10)+IF(B835="Working",J835,0))),0),MAX(K835-L835,0))</f>
        <v/>
      </c>
      <c r="W835" s="138">
        <f>IF(OR(A835&gt;=$C$13,B835="Retired"),IF(V835&gt;0,-V835,U835-'Model Inputs'!$B$18),"")</f>
        <v/>
      </c>
      <c r="X835" s="138">
        <f>IF(AND($L$240&gt;0,A835&gt;=$C$13),$L$240*(1+$C$25)^(A835-$C$13),0)</f>
        <v/>
      </c>
      <c r="Y835" s="138">
        <f>IF(OR($L$240&lt;=0,$C$17&lt;=0,A835&lt;$C$13,MIN(MAX((A835-$C$13+1)*12,0),$C$17*12)&gt;=$C$17*12),0,IF($C$16=0,MAX(MAX($L$240*(1-$C$15),0)-(IF($C$17&lt;=0,0,IF($C$16=0,MAX($L$240*(1-$C$15),0)/$C$17,-PMT($C$16/12,$C$17*12,MAX($L$240*(1-$C$15),0))*12))/12)*MIN(MAX((A835-$C$13+1)*12,0),$C$17*12),0),MAX(MAX($L$240*(1-$C$15),0)*(1+$C$16/12)^MIN(MAX((A835-$C$13+1)*12,0),$C$17*12)-(IF($C$17&lt;=0,0,IF($C$16=0,MAX($L$240*(1-$C$15),0)/$C$17,-PMT($C$16/12,$C$17*12,MAX($L$240*(1-$C$15),0))*12))/12)*(((1+$C$16/12)^MIN(MAX((A835-$C$13+1)*12,0),$C$17*12)-1)/($C$16/12)),0)))</f>
        <v/>
      </c>
      <c r="Z835" s="138">
        <f>MAX(X835-Y835,0)</f>
        <v/>
      </c>
      <c r="AA835" s="139">
        <f>U835+Z835</f>
        <v/>
      </c>
      <c r="AB835" s="5" t="n"/>
      <c r="AC835" s="5" t="n"/>
      <c r="AD835" s="5" t="n"/>
      <c r="AE835" s="5" t="n"/>
      <c r="AF835" s="5" t="n"/>
      <c r="AG835" s="5" t="n"/>
    </row>
    <row r="836" outlineLevel="1" s="326">
      <c r="A836" s="140" t="n">
        <v>8</v>
      </c>
      <c r="B836" s="40">
        <f>B87</f>
        <v/>
      </c>
      <c r="C836" s="141">
        <f>D87</f>
        <v/>
      </c>
      <c r="D836" s="141">
        <f>I87</f>
        <v/>
      </c>
      <c r="E836" s="141">
        <f>J87</f>
        <v/>
      </c>
      <c r="F836" s="141">
        <f>K87</f>
        <v/>
      </c>
      <c r="G836" s="138">
        <f>IF(AND($L$240&gt;0,A836=$C$13),$L$240*($C$15+$C$18),0)+IF(AND($L$240&gt;0,A836=$C$13),$C$24,0)</f>
        <v/>
      </c>
      <c r="H836" s="138">
        <f>IF(OR($L$240&lt;=0,A836&lt;$C$13),0,IF(AND($L$240&gt;0,$C$17&gt;0,A836&gt;=$C$13,A836&lt;($C$13+$C$17)),IF($C$17&lt;=0,0,IF($C$16=0,MAX($L$240*(1-$C$15),0)/$C$17,-PMT($C$16/12,$C$17*12,MAX($L$240*(1-$C$15),0))*12)),0)+X836*($C$19+$C$20+$C$21)+$C$22+$C$23)</f>
        <v/>
      </c>
      <c r="I836" s="138">
        <f>IF(B836="Working",MIN(MAX(D836-E836-F836-G836-H836,0),'Tax Assumptions'!$B$20),0)</f>
        <v/>
      </c>
      <c r="J836" s="138">
        <f>IF(B836="Working",D836-E836-F836-I836-G836-H836,-L836)</f>
        <v/>
      </c>
      <c r="K836" s="141">
        <f>IF(B836="Retired",$N$240+G836+H836,0)</f>
        <v/>
      </c>
      <c r="L836" s="141">
        <f>M836+N836+O836+P836</f>
        <v/>
      </c>
      <c r="M836" s="141">
        <f>IF(B836="Retired",MIN(((Q835)*(1+$C$10)+IF(B836="Working",J836,0)),K836),0)</f>
        <v/>
      </c>
      <c r="N836" s="141">
        <f>IF(B836="Retired",MIN(MAX(K836-M836,0),((R835)*(1+$C$10)+IF(B836="Working",E87,0))),0)</f>
        <v/>
      </c>
      <c r="O836" s="141">
        <f>IF(B836="Retired",MIN(MAX(K836-M836-N836,0),((S835)*(1+$C$10)+IF(B836="Working",I836,0))),0)</f>
        <v/>
      </c>
      <c r="P836" s="141">
        <f>IF(B836="Retired",MIN(MAX(K836-M836-N836-O836,0),((T835)*(1+$C$10)+IF(B836="Working",F87,0))),0)</f>
        <v/>
      </c>
      <c r="Q836" s="138">
        <f>MAX(((Q835)*(1+$C$10)+IF(B836="Working",J836,0))-M836,0)</f>
        <v/>
      </c>
      <c r="R836" s="138">
        <f>MAX(((R835)*(1+$C$10)+IF(B836="Working",E87,0))-N836,0)</f>
        <v/>
      </c>
      <c r="S836" s="138">
        <f>MAX(((S835)*(1+$C$10)+IF(B836="Working",I836,0))-O836,0)</f>
        <v/>
      </c>
      <c r="T836" s="138">
        <f>MAX(((T835)*(1+$C$10)+IF(B836="Working",F87,0))-P836,0)</f>
        <v/>
      </c>
      <c r="U836" s="138">
        <f>Q836+R836+S836+T836</f>
        <v/>
      </c>
      <c r="V836" s="138">
        <f>IF(B836="Working",MAX(-(((Q835)*(1+$C$10)+IF(B836="Working",J836,0))),0),MAX(K836-L836,0))</f>
        <v/>
      </c>
      <c r="W836" s="138">
        <f>IF(OR(A836&gt;=$C$13,B836="Retired"),IF(V836&gt;0,-V836,U836-'Model Inputs'!$B$18),"")</f>
        <v/>
      </c>
      <c r="X836" s="138">
        <f>IF(AND($L$240&gt;0,A836&gt;=$C$13),$L$240*(1+$C$25)^(A836-$C$13),0)</f>
        <v/>
      </c>
      <c r="Y836" s="138">
        <f>IF(OR($L$240&lt;=0,$C$17&lt;=0,A836&lt;$C$13,MIN(MAX((A836-$C$13+1)*12,0),$C$17*12)&gt;=$C$17*12),0,IF($C$16=0,MAX(MAX($L$240*(1-$C$15),0)-(IF($C$17&lt;=0,0,IF($C$16=0,MAX($L$240*(1-$C$15),0)/$C$17,-PMT($C$16/12,$C$17*12,MAX($L$240*(1-$C$15),0))*12))/12)*MIN(MAX((A836-$C$13+1)*12,0),$C$17*12),0),MAX(MAX($L$240*(1-$C$15),0)*(1+$C$16/12)^MIN(MAX((A836-$C$13+1)*12,0),$C$17*12)-(IF($C$17&lt;=0,0,IF($C$16=0,MAX($L$240*(1-$C$15),0)/$C$17,-PMT($C$16/12,$C$17*12,MAX($L$240*(1-$C$15),0))*12))/12)*(((1+$C$16/12)^MIN(MAX((A836-$C$13+1)*12,0),$C$17*12)-1)/($C$16/12)),0)))</f>
        <v/>
      </c>
      <c r="Z836" s="138">
        <f>MAX(X836-Y836,0)</f>
        <v/>
      </c>
      <c r="AA836" s="142">
        <f>U836+Z836</f>
        <v/>
      </c>
      <c r="AB836" s="5" t="n"/>
      <c r="AC836" s="5" t="n"/>
      <c r="AD836" s="5" t="n"/>
      <c r="AE836" s="5" t="n"/>
      <c r="AF836" s="5" t="n"/>
      <c r="AG836" s="5" t="n"/>
    </row>
    <row r="837" outlineLevel="1" s="326">
      <c r="A837" s="136" t="n">
        <v>9</v>
      </c>
      <c r="B837" s="72">
        <f>B88</f>
        <v/>
      </c>
      <c r="C837" s="137">
        <f>D88</f>
        <v/>
      </c>
      <c r="D837" s="137">
        <f>I88</f>
        <v/>
      </c>
      <c r="E837" s="137">
        <f>J88</f>
        <v/>
      </c>
      <c r="F837" s="137">
        <f>K88</f>
        <v/>
      </c>
      <c r="G837" s="138">
        <f>IF(AND($L$240&gt;0,A837=$C$13),$L$240*($C$15+$C$18),0)+IF(AND($L$240&gt;0,A837=$C$13),$C$24,0)</f>
        <v/>
      </c>
      <c r="H837" s="138">
        <f>IF(OR($L$240&lt;=0,A837&lt;$C$13),0,IF(AND($L$240&gt;0,$C$17&gt;0,A837&gt;=$C$13,A837&lt;($C$13+$C$17)),IF($C$17&lt;=0,0,IF($C$16=0,MAX($L$240*(1-$C$15),0)/$C$17,-PMT($C$16/12,$C$17*12,MAX($L$240*(1-$C$15),0))*12)),0)+X837*($C$19+$C$20+$C$21)+$C$22+$C$23)</f>
        <v/>
      </c>
      <c r="I837" s="138">
        <f>IF(B837="Working",MIN(MAX(D837-E837-F837-G837-H837,0),'Tax Assumptions'!$B$20),0)</f>
        <v/>
      </c>
      <c r="J837" s="138">
        <f>IF(B837="Working",D837-E837-F837-I837-G837-H837,-L837)</f>
        <v/>
      </c>
      <c r="K837" s="137">
        <f>IF(B837="Retired",$N$240+G837+H837,0)</f>
        <v/>
      </c>
      <c r="L837" s="137">
        <f>M837+N837+O837+P837</f>
        <v/>
      </c>
      <c r="M837" s="137">
        <f>IF(B837="Retired",MIN(((Q836)*(1+$C$10)+IF(B837="Working",J837,0)),K837),0)</f>
        <v/>
      </c>
      <c r="N837" s="137">
        <f>IF(B837="Retired",MIN(MAX(K837-M837,0),((R836)*(1+$C$10)+IF(B837="Working",E88,0))),0)</f>
        <v/>
      </c>
      <c r="O837" s="137">
        <f>IF(B837="Retired",MIN(MAX(K837-M837-N837,0),((S836)*(1+$C$10)+IF(B837="Working",I837,0))),0)</f>
        <v/>
      </c>
      <c r="P837" s="137">
        <f>IF(B837="Retired",MIN(MAX(K837-M837-N837-O837,0),((T836)*(1+$C$10)+IF(B837="Working",F88,0))),0)</f>
        <v/>
      </c>
      <c r="Q837" s="138">
        <f>MAX(((Q836)*(1+$C$10)+IF(B837="Working",J837,0))-M837,0)</f>
        <v/>
      </c>
      <c r="R837" s="138">
        <f>MAX(((R836)*(1+$C$10)+IF(B837="Working",E88,0))-N837,0)</f>
        <v/>
      </c>
      <c r="S837" s="138">
        <f>MAX(((S836)*(1+$C$10)+IF(B837="Working",I837,0))-O837,0)</f>
        <v/>
      </c>
      <c r="T837" s="138">
        <f>MAX(((T836)*(1+$C$10)+IF(B837="Working",F88,0))-P837,0)</f>
        <v/>
      </c>
      <c r="U837" s="138">
        <f>Q837+R837+S837+T837</f>
        <v/>
      </c>
      <c r="V837" s="138">
        <f>IF(B837="Working",MAX(-(((Q836)*(1+$C$10)+IF(B837="Working",J837,0))),0),MAX(K837-L837,0))</f>
        <v/>
      </c>
      <c r="W837" s="138">
        <f>IF(OR(A837&gt;=$C$13,B837="Retired"),IF(V837&gt;0,-V837,U837-'Model Inputs'!$B$18),"")</f>
        <v/>
      </c>
      <c r="X837" s="138">
        <f>IF(AND($L$240&gt;0,A837&gt;=$C$13),$L$240*(1+$C$25)^(A837-$C$13),0)</f>
        <v/>
      </c>
      <c r="Y837" s="138">
        <f>IF(OR($L$240&lt;=0,$C$17&lt;=0,A837&lt;$C$13,MIN(MAX((A837-$C$13+1)*12,0),$C$17*12)&gt;=$C$17*12),0,IF($C$16=0,MAX(MAX($L$240*(1-$C$15),0)-(IF($C$17&lt;=0,0,IF($C$16=0,MAX($L$240*(1-$C$15),0)/$C$17,-PMT($C$16/12,$C$17*12,MAX($L$240*(1-$C$15),0))*12))/12)*MIN(MAX((A837-$C$13+1)*12,0),$C$17*12),0),MAX(MAX($L$240*(1-$C$15),0)*(1+$C$16/12)^MIN(MAX((A837-$C$13+1)*12,0),$C$17*12)-(IF($C$17&lt;=0,0,IF($C$16=0,MAX($L$240*(1-$C$15),0)/$C$17,-PMT($C$16/12,$C$17*12,MAX($L$240*(1-$C$15),0))*12))/12)*(((1+$C$16/12)^MIN(MAX((A837-$C$13+1)*12,0),$C$17*12)-1)/($C$16/12)),0)))</f>
        <v/>
      </c>
      <c r="Z837" s="138">
        <f>MAX(X837-Y837,0)</f>
        <v/>
      </c>
      <c r="AA837" s="139">
        <f>U837+Z837</f>
        <v/>
      </c>
      <c r="AB837" s="5" t="n"/>
      <c r="AC837" s="5" t="n"/>
      <c r="AD837" s="5" t="n"/>
      <c r="AE837" s="5" t="n"/>
      <c r="AF837" s="5" t="n"/>
      <c r="AG837" s="5" t="n"/>
    </row>
    <row r="838" outlineLevel="1" s="326">
      <c r="A838" s="140" t="n">
        <v>10</v>
      </c>
      <c r="B838" s="40">
        <f>B89</f>
        <v/>
      </c>
      <c r="C838" s="141">
        <f>D89</f>
        <v/>
      </c>
      <c r="D838" s="141">
        <f>I89</f>
        <v/>
      </c>
      <c r="E838" s="141">
        <f>J89</f>
        <v/>
      </c>
      <c r="F838" s="141">
        <f>K89</f>
        <v/>
      </c>
      <c r="G838" s="138">
        <f>IF(AND($L$240&gt;0,A838=$C$13),$L$240*($C$15+$C$18),0)+IF(AND($L$240&gt;0,A838=$C$13),$C$24,0)</f>
        <v/>
      </c>
      <c r="H838" s="138">
        <f>IF(OR($L$240&lt;=0,A838&lt;$C$13),0,IF(AND($L$240&gt;0,$C$17&gt;0,A838&gt;=$C$13,A838&lt;($C$13+$C$17)),IF($C$17&lt;=0,0,IF($C$16=0,MAX($L$240*(1-$C$15),0)/$C$17,-PMT($C$16/12,$C$17*12,MAX($L$240*(1-$C$15),0))*12)),0)+X838*($C$19+$C$20+$C$21)+$C$22+$C$23)</f>
        <v/>
      </c>
      <c r="I838" s="138">
        <f>IF(B838="Working",MIN(MAX(D838-E838-F838-G838-H838,0),'Tax Assumptions'!$B$20),0)</f>
        <v/>
      </c>
      <c r="J838" s="138">
        <f>IF(B838="Working",D838-E838-F838-I838-G838-H838,-L838)</f>
        <v/>
      </c>
      <c r="K838" s="141">
        <f>IF(B838="Retired",$N$240+G838+H838,0)</f>
        <v/>
      </c>
      <c r="L838" s="141">
        <f>M838+N838+O838+P838</f>
        <v/>
      </c>
      <c r="M838" s="141">
        <f>IF(B838="Retired",MIN(((Q837)*(1+$C$10)+IF(B838="Working",J838,0)),K838),0)</f>
        <v/>
      </c>
      <c r="N838" s="141">
        <f>IF(B838="Retired",MIN(MAX(K838-M838,0),((R837)*(1+$C$10)+IF(B838="Working",E89,0))),0)</f>
        <v/>
      </c>
      <c r="O838" s="141">
        <f>IF(B838="Retired",MIN(MAX(K838-M838-N838,0),((S837)*(1+$C$10)+IF(B838="Working",I838,0))),0)</f>
        <v/>
      </c>
      <c r="P838" s="141">
        <f>IF(B838="Retired",MIN(MAX(K838-M838-N838-O838,0),((T837)*(1+$C$10)+IF(B838="Working",F89,0))),0)</f>
        <v/>
      </c>
      <c r="Q838" s="138">
        <f>MAX(((Q837)*(1+$C$10)+IF(B838="Working",J838,0))-M838,0)</f>
        <v/>
      </c>
      <c r="R838" s="138">
        <f>MAX(((R837)*(1+$C$10)+IF(B838="Working",E89,0))-N838,0)</f>
        <v/>
      </c>
      <c r="S838" s="138">
        <f>MAX(((S837)*(1+$C$10)+IF(B838="Working",I838,0))-O838,0)</f>
        <v/>
      </c>
      <c r="T838" s="138">
        <f>MAX(((T837)*(1+$C$10)+IF(B838="Working",F89,0))-P838,0)</f>
        <v/>
      </c>
      <c r="U838" s="138">
        <f>Q838+R838+S838+T838</f>
        <v/>
      </c>
      <c r="V838" s="138">
        <f>IF(B838="Working",MAX(-(((Q837)*(1+$C$10)+IF(B838="Working",J838,0))),0),MAX(K838-L838,0))</f>
        <v/>
      </c>
      <c r="W838" s="138">
        <f>IF(OR(A838&gt;=$C$13,B838="Retired"),IF(V838&gt;0,-V838,U838-'Model Inputs'!$B$18),"")</f>
        <v/>
      </c>
      <c r="X838" s="138">
        <f>IF(AND($L$240&gt;0,A838&gt;=$C$13),$L$240*(1+$C$25)^(A838-$C$13),0)</f>
        <v/>
      </c>
      <c r="Y838" s="138">
        <f>IF(OR($L$240&lt;=0,$C$17&lt;=0,A838&lt;$C$13,MIN(MAX((A838-$C$13+1)*12,0),$C$17*12)&gt;=$C$17*12),0,IF($C$16=0,MAX(MAX($L$240*(1-$C$15),0)-(IF($C$17&lt;=0,0,IF($C$16=0,MAX($L$240*(1-$C$15),0)/$C$17,-PMT($C$16/12,$C$17*12,MAX($L$240*(1-$C$15),0))*12))/12)*MIN(MAX((A838-$C$13+1)*12,0),$C$17*12),0),MAX(MAX($L$240*(1-$C$15),0)*(1+$C$16/12)^MIN(MAX((A838-$C$13+1)*12,0),$C$17*12)-(IF($C$17&lt;=0,0,IF($C$16=0,MAX($L$240*(1-$C$15),0)/$C$17,-PMT($C$16/12,$C$17*12,MAX($L$240*(1-$C$15),0))*12))/12)*(((1+$C$16/12)^MIN(MAX((A838-$C$13+1)*12,0),$C$17*12)-1)/($C$16/12)),0)))</f>
        <v/>
      </c>
      <c r="Z838" s="138">
        <f>MAX(X838-Y838,0)</f>
        <v/>
      </c>
      <c r="AA838" s="142">
        <f>U838+Z838</f>
        <v/>
      </c>
      <c r="AB838" s="5" t="n"/>
      <c r="AC838" s="5" t="n"/>
      <c r="AD838" s="5" t="n"/>
      <c r="AE838" s="5" t="n"/>
      <c r="AF838" s="5" t="n"/>
      <c r="AG838" s="5" t="n"/>
    </row>
    <row r="839" outlineLevel="1" s="326">
      <c r="A839" s="136" t="n">
        <v>11</v>
      </c>
      <c r="B839" s="72">
        <f>B90</f>
        <v/>
      </c>
      <c r="C839" s="137">
        <f>D90</f>
        <v/>
      </c>
      <c r="D839" s="137">
        <f>I90</f>
        <v/>
      </c>
      <c r="E839" s="137">
        <f>J90</f>
        <v/>
      </c>
      <c r="F839" s="137">
        <f>K90</f>
        <v/>
      </c>
      <c r="G839" s="138">
        <f>IF(AND($L$240&gt;0,A839=$C$13),$L$240*($C$15+$C$18),0)+IF(AND($L$240&gt;0,A839=$C$13),$C$24,0)</f>
        <v/>
      </c>
      <c r="H839" s="138">
        <f>IF(OR($L$240&lt;=0,A839&lt;$C$13),0,IF(AND($L$240&gt;0,$C$17&gt;0,A839&gt;=$C$13,A839&lt;($C$13+$C$17)),IF($C$17&lt;=0,0,IF($C$16=0,MAX($L$240*(1-$C$15),0)/$C$17,-PMT($C$16/12,$C$17*12,MAX($L$240*(1-$C$15),0))*12)),0)+X839*($C$19+$C$20+$C$21)+$C$22+$C$23)</f>
        <v/>
      </c>
      <c r="I839" s="138">
        <f>IF(B839="Working",MIN(MAX(D839-E839-F839-G839-H839,0),'Tax Assumptions'!$B$20),0)</f>
        <v/>
      </c>
      <c r="J839" s="138">
        <f>IF(B839="Working",D839-E839-F839-I839-G839-H839,-L839)</f>
        <v/>
      </c>
      <c r="K839" s="137">
        <f>IF(B839="Retired",$N$240+G839+H839,0)</f>
        <v/>
      </c>
      <c r="L839" s="137">
        <f>M839+N839+O839+P839</f>
        <v/>
      </c>
      <c r="M839" s="137">
        <f>IF(B839="Retired",MIN(((Q838)*(1+$C$10)+IF(B839="Working",J839,0)),K839),0)</f>
        <v/>
      </c>
      <c r="N839" s="137">
        <f>IF(B839="Retired",MIN(MAX(K839-M839,0),((R838)*(1+$C$10)+IF(B839="Working",E90,0))),0)</f>
        <v/>
      </c>
      <c r="O839" s="137">
        <f>IF(B839="Retired",MIN(MAX(K839-M839-N839,0),((S838)*(1+$C$10)+IF(B839="Working",I839,0))),0)</f>
        <v/>
      </c>
      <c r="P839" s="137">
        <f>IF(B839="Retired",MIN(MAX(K839-M839-N839-O839,0),((T838)*(1+$C$10)+IF(B839="Working",F90,0))),0)</f>
        <v/>
      </c>
      <c r="Q839" s="138">
        <f>MAX(((Q838)*(1+$C$10)+IF(B839="Working",J839,0))-M839,0)</f>
        <v/>
      </c>
      <c r="R839" s="138">
        <f>MAX(((R838)*(1+$C$10)+IF(B839="Working",E90,0))-N839,0)</f>
        <v/>
      </c>
      <c r="S839" s="138">
        <f>MAX(((S838)*(1+$C$10)+IF(B839="Working",I839,0))-O839,0)</f>
        <v/>
      </c>
      <c r="T839" s="138">
        <f>MAX(((T838)*(1+$C$10)+IF(B839="Working",F90,0))-P839,0)</f>
        <v/>
      </c>
      <c r="U839" s="138">
        <f>Q839+R839+S839+T839</f>
        <v/>
      </c>
      <c r="V839" s="138">
        <f>IF(B839="Working",MAX(-(((Q838)*(1+$C$10)+IF(B839="Working",J839,0))),0),MAX(K839-L839,0))</f>
        <v/>
      </c>
      <c r="W839" s="138">
        <f>IF(OR(A839&gt;=$C$13,B839="Retired"),IF(V839&gt;0,-V839,U839-'Model Inputs'!$B$18),"")</f>
        <v/>
      </c>
      <c r="X839" s="138">
        <f>IF(AND($L$240&gt;0,A839&gt;=$C$13),$L$240*(1+$C$25)^(A839-$C$13),0)</f>
        <v/>
      </c>
      <c r="Y839" s="138">
        <f>IF(OR($L$240&lt;=0,$C$17&lt;=0,A839&lt;$C$13,MIN(MAX((A839-$C$13+1)*12,0),$C$17*12)&gt;=$C$17*12),0,IF($C$16=0,MAX(MAX($L$240*(1-$C$15),0)-(IF($C$17&lt;=0,0,IF($C$16=0,MAX($L$240*(1-$C$15),0)/$C$17,-PMT($C$16/12,$C$17*12,MAX($L$240*(1-$C$15),0))*12))/12)*MIN(MAX((A839-$C$13+1)*12,0),$C$17*12),0),MAX(MAX($L$240*(1-$C$15),0)*(1+$C$16/12)^MIN(MAX((A839-$C$13+1)*12,0),$C$17*12)-(IF($C$17&lt;=0,0,IF($C$16=0,MAX($L$240*(1-$C$15),0)/$C$17,-PMT($C$16/12,$C$17*12,MAX($L$240*(1-$C$15),0))*12))/12)*(((1+$C$16/12)^MIN(MAX((A839-$C$13+1)*12,0),$C$17*12)-1)/($C$16/12)),0)))</f>
        <v/>
      </c>
      <c r="Z839" s="138">
        <f>MAX(X839-Y839,0)</f>
        <v/>
      </c>
      <c r="AA839" s="139">
        <f>U839+Z839</f>
        <v/>
      </c>
      <c r="AB839" s="5" t="n"/>
      <c r="AC839" s="5" t="n"/>
      <c r="AD839" s="5" t="n"/>
      <c r="AE839" s="5" t="n"/>
      <c r="AF839" s="5" t="n"/>
      <c r="AG839" s="5" t="n"/>
    </row>
    <row r="840" outlineLevel="1" s="326">
      <c r="A840" s="140" t="n">
        <v>12</v>
      </c>
      <c r="B840" s="40">
        <f>B91</f>
        <v/>
      </c>
      <c r="C840" s="141">
        <f>D91</f>
        <v/>
      </c>
      <c r="D840" s="141">
        <f>I91</f>
        <v/>
      </c>
      <c r="E840" s="141">
        <f>J91</f>
        <v/>
      </c>
      <c r="F840" s="141">
        <f>K91</f>
        <v/>
      </c>
      <c r="G840" s="138">
        <f>IF(AND($L$240&gt;0,A840=$C$13),$L$240*($C$15+$C$18),0)+IF(AND($L$240&gt;0,A840=$C$13),$C$24,0)</f>
        <v/>
      </c>
      <c r="H840" s="138">
        <f>IF(OR($L$240&lt;=0,A840&lt;$C$13),0,IF(AND($L$240&gt;0,$C$17&gt;0,A840&gt;=$C$13,A840&lt;($C$13+$C$17)),IF($C$17&lt;=0,0,IF($C$16=0,MAX($L$240*(1-$C$15),0)/$C$17,-PMT($C$16/12,$C$17*12,MAX($L$240*(1-$C$15),0))*12)),0)+X840*($C$19+$C$20+$C$21)+$C$22+$C$23)</f>
        <v/>
      </c>
      <c r="I840" s="138">
        <f>IF(B840="Working",MIN(MAX(D840-E840-F840-G840-H840,0),'Tax Assumptions'!$B$20),0)</f>
        <v/>
      </c>
      <c r="J840" s="138">
        <f>IF(B840="Working",D840-E840-F840-I840-G840-H840,-L840)</f>
        <v/>
      </c>
      <c r="K840" s="141">
        <f>IF(B840="Retired",$N$240+G840+H840,0)</f>
        <v/>
      </c>
      <c r="L840" s="141">
        <f>M840+N840+O840+P840</f>
        <v/>
      </c>
      <c r="M840" s="141">
        <f>IF(B840="Retired",MIN(((Q839)*(1+$C$10)+IF(B840="Working",J840,0)),K840),0)</f>
        <v/>
      </c>
      <c r="N840" s="141">
        <f>IF(B840="Retired",MIN(MAX(K840-M840,0),((R839)*(1+$C$10)+IF(B840="Working",E91,0))),0)</f>
        <v/>
      </c>
      <c r="O840" s="141">
        <f>IF(B840="Retired",MIN(MAX(K840-M840-N840,0),((S839)*(1+$C$10)+IF(B840="Working",I840,0))),0)</f>
        <v/>
      </c>
      <c r="P840" s="141">
        <f>IF(B840="Retired",MIN(MAX(K840-M840-N840-O840,0),((T839)*(1+$C$10)+IF(B840="Working",F91,0))),0)</f>
        <v/>
      </c>
      <c r="Q840" s="138">
        <f>MAX(((Q839)*(1+$C$10)+IF(B840="Working",J840,0))-M840,0)</f>
        <v/>
      </c>
      <c r="R840" s="138">
        <f>MAX(((R839)*(1+$C$10)+IF(B840="Working",E91,0))-N840,0)</f>
        <v/>
      </c>
      <c r="S840" s="138">
        <f>MAX(((S839)*(1+$C$10)+IF(B840="Working",I840,0))-O840,0)</f>
        <v/>
      </c>
      <c r="T840" s="138">
        <f>MAX(((T839)*(1+$C$10)+IF(B840="Working",F91,0))-P840,0)</f>
        <v/>
      </c>
      <c r="U840" s="138">
        <f>Q840+R840+S840+T840</f>
        <v/>
      </c>
      <c r="V840" s="138">
        <f>IF(B840="Working",MAX(-(((Q839)*(1+$C$10)+IF(B840="Working",J840,0))),0),MAX(K840-L840,0))</f>
        <v/>
      </c>
      <c r="W840" s="138">
        <f>IF(OR(A840&gt;=$C$13,B840="Retired"),IF(V840&gt;0,-V840,U840-'Model Inputs'!$B$18),"")</f>
        <v/>
      </c>
      <c r="X840" s="138">
        <f>IF(AND($L$240&gt;0,A840&gt;=$C$13),$L$240*(1+$C$25)^(A840-$C$13),0)</f>
        <v/>
      </c>
      <c r="Y840" s="138">
        <f>IF(OR($L$240&lt;=0,$C$17&lt;=0,A840&lt;$C$13,MIN(MAX((A840-$C$13+1)*12,0),$C$17*12)&gt;=$C$17*12),0,IF($C$16=0,MAX(MAX($L$240*(1-$C$15),0)-(IF($C$17&lt;=0,0,IF($C$16=0,MAX($L$240*(1-$C$15),0)/$C$17,-PMT($C$16/12,$C$17*12,MAX($L$240*(1-$C$15),0))*12))/12)*MIN(MAX((A840-$C$13+1)*12,0),$C$17*12),0),MAX(MAX($L$240*(1-$C$15),0)*(1+$C$16/12)^MIN(MAX((A840-$C$13+1)*12,0),$C$17*12)-(IF($C$17&lt;=0,0,IF($C$16=0,MAX($L$240*(1-$C$15),0)/$C$17,-PMT($C$16/12,$C$17*12,MAX($L$240*(1-$C$15),0))*12))/12)*(((1+$C$16/12)^MIN(MAX((A840-$C$13+1)*12,0),$C$17*12)-1)/($C$16/12)),0)))</f>
        <v/>
      </c>
      <c r="Z840" s="138">
        <f>MAX(X840-Y840,0)</f>
        <v/>
      </c>
      <c r="AA840" s="142">
        <f>U840+Z840</f>
        <v/>
      </c>
      <c r="AB840" s="5" t="n"/>
      <c r="AC840" s="5" t="n"/>
      <c r="AD840" s="5" t="n"/>
      <c r="AE840" s="5" t="n"/>
      <c r="AF840" s="5" t="n"/>
      <c r="AG840" s="5" t="n"/>
    </row>
    <row r="841" outlineLevel="1" s="326">
      <c r="A841" s="136" t="n">
        <v>13</v>
      </c>
      <c r="B841" s="72">
        <f>B92</f>
        <v/>
      </c>
      <c r="C841" s="137">
        <f>D92</f>
        <v/>
      </c>
      <c r="D841" s="137">
        <f>I92</f>
        <v/>
      </c>
      <c r="E841" s="137">
        <f>J92</f>
        <v/>
      </c>
      <c r="F841" s="137">
        <f>K92</f>
        <v/>
      </c>
      <c r="G841" s="138">
        <f>IF(AND($L$240&gt;0,A841=$C$13),$L$240*($C$15+$C$18),0)+IF(AND($L$240&gt;0,A841=$C$13),$C$24,0)</f>
        <v/>
      </c>
      <c r="H841" s="138">
        <f>IF(OR($L$240&lt;=0,A841&lt;$C$13),0,IF(AND($L$240&gt;0,$C$17&gt;0,A841&gt;=$C$13,A841&lt;($C$13+$C$17)),IF($C$17&lt;=0,0,IF($C$16=0,MAX($L$240*(1-$C$15),0)/$C$17,-PMT($C$16/12,$C$17*12,MAX($L$240*(1-$C$15),0))*12)),0)+X841*($C$19+$C$20+$C$21)+$C$22+$C$23)</f>
        <v/>
      </c>
      <c r="I841" s="138">
        <f>IF(B841="Working",MIN(MAX(D841-E841-F841-G841-H841,0),'Tax Assumptions'!$B$20),0)</f>
        <v/>
      </c>
      <c r="J841" s="138">
        <f>IF(B841="Working",D841-E841-F841-I841-G841-H841,-L841)</f>
        <v/>
      </c>
      <c r="K841" s="137">
        <f>IF(B841="Retired",$N$240+G841+H841,0)</f>
        <v/>
      </c>
      <c r="L841" s="137">
        <f>M841+N841+O841+P841</f>
        <v/>
      </c>
      <c r="M841" s="137">
        <f>IF(B841="Retired",MIN(((Q840)*(1+$C$10)+IF(B841="Working",J841,0)),K841),0)</f>
        <v/>
      </c>
      <c r="N841" s="137">
        <f>IF(B841="Retired",MIN(MAX(K841-M841,0),((R840)*(1+$C$10)+IF(B841="Working",E92,0))),0)</f>
        <v/>
      </c>
      <c r="O841" s="137">
        <f>IF(B841="Retired",MIN(MAX(K841-M841-N841,0),((S840)*(1+$C$10)+IF(B841="Working",I841,0))),0)</f>
        <v/>
      </c>
      <c r="P841" s="137">
        <f>IF(B841="Retired",MIN(MAX(K841-M841-N841-O841,0),((T840)*(1+$C$10)+IF(B841="Working",F92,0))),0)</f>
        <v/>
      </c>
      <c r="Q841" s="138">
        <f>MAX(((Q840)*(1+$C$10)+IF(B841="Working",J841,0))-M841,0)</f>
        <v/>
      </c>
      <c r="R841" s="138">
        <f>MAX(((R840)*(1+$C$10)+IF(B841="Working",E92,0))-N841,0)</f>
        <v/>
      </c>
      <c r="S841" s="138">
        <f>MAX(((S840)*(1+$C$10)+IF(B841="Working",I841,0))-O841,0)</f>
        <v/>
      </c>
      <c r="T841" s="138">
        <f>MAX(((T840)*(1+$C$10)+IF(B841="Working",F92,0))-P841,0)</f>
        <v/>
      </c>
      <c r="U841" s="138">
        <f>Q841+R841+S841+T841</f>
        <v/>
      </c>
      <c r="V841" s="138">
        <f>IF(B841="Working",MAX(-(((Q840)*(1+$C$10)+IF(B841="Working",J841,0))),0),MAX(K841-L841,0))</f>
        <v/>
      </c>
      <c r="W841" s="138">
        <f>IF(OR(A841&gt;=$C$13,B841="Retired"),IF(V841&gt;0,-V841,U841-'Model Inputs'!$B$18),"")</f>
        <v/>
      </c>
      <c r="X841" s="138">
        <f>IF(AND($L$240&gt;0,A841&gt;=$C$13),$L$240*(1+$C$25)^(A841-$C$13),0)</f>
        <v/>
      </c>
      <c r="Y841" s="138">
        <f>IF(OR($L$240&lt;=0,$C$17&lt;=0,A841&lt;$C$13,MIN(MAX((A841-$C$13+1)*12,0),$C$17*12)&gt;=$C$17*12),0,IF($C$16=0,MAX(MAX($L$240*(1-$C$15),0)-(IF($C$17&lt;=0,0,IF($C$16=0,MAX($L$240*(1-$C$15),0)/$C$17,-PMT($C$16/12,$C$17*12,MAX($L$240*(1-$C$15),0))*12))/12)*MIN(MAX((A841-$C$13+1)*12,0),$C$17*12),0),MAX(MAX($L$240*(1-$C$15),0)*(1+$C$16/12)^MIN(MAX((A841-$C$13+1)*12,0),$C$17*12)-(IF($C$17&lt;=0,0,IF($C$16=0,MAX($L$240*(1-$C$15),0)/$C$17,-PMT($C$16/12,$C$17*12,MAX($L$240*(1-$C$15),0))*12))/12)*(((1+$C$16/12)^MIN(MAX((A841-$C$13+1)*12,0),$C$17*12)-1)/($C$16/12)),0)))</f>
        <v/>
      </c>
      <c r="Z841" s="138">
        <f>MAX(X841-Y841,0)</f>
        <v/>
      </c>
      <c r="AA841" s="139">
        <f>U841+Z841</f>
        <v/>
      </c>
      <c r="AB841" s="5" t="n"/>
      <c r="AC841" s="5" t="n"/>
      <c r="AD841" s="5" t="n"/>
      <c r="AE841" s="5" t="n"/>
      <c r="AF841" s="5" t="n"/>
      <c r="AG841" s="5" t="n"/>
    </row>
    <row r="842" outlineLevel="1" s="326">
      <c r="A842" s="140" t="n">
        <v>14</v>
      </c>
      <c r="B842" s="40">
        <f>B93</f>
        <v/>
      </c>
      <c r="C842" s="141">
        <f>D93</f>
        <v/>
      </c>
      <c r="D842" s="141">
        <f>I93</f>
        <v/>
      </c>
      <c r="E842" s="141">
        <f>J93</f>
        <v/>
      </c>
      <c r="F842" s="141">
        <f>K93</f>
        <v/>
      </c>
      <c r="G842" s="138">
        <f>IF(AND($L$240&gt;0,A842=$C$13),$L$240*($C$15+$C$18),0)+IF(AND($L$240&gt;0,A842=$C$13),$C$24,0)</f>
        <v/>
      </c>
      <c r="H842" s="138">
        <f>IF(OR($L$240&lt;=0,A842&lt;$C$13),0,IF(AND($L$240&gt;0,$C$17&gt;0,A842&gt;=$C$13,A842&lt;($C$13+$C$17)),IF($C$17&lt;=0,0,IF($C$16=0,MAX($L$240*(1-$C$15),0)/$C$17,-PMT($C$16/12,$C$17*12,MAX($L$240*(1-$C$15),0))*12)),0)+X842*($C$19+$C$20+$C$21)+$C$22+$C$23)</f>
        <v/>
      </c>
      <c r="I842" s="138">
        <f>IF(B842="Working",MIN(MAX(D842-E842-F842-G842-H842,0),'Tax Assumptions'!$B$20),0)</f>
        <v/>
      </c>
      <c r="J842" s="138">
        <f>IF(B842="Working",D842-E842-F842-I842-G842-H842,-L842)</f>
        <v/>
      </c>
      <c r="K842" s="141">
        <f>IF(B842="Retired",$N$240+G842+H842,0)</f>
        <v/>
      </c>
      <c r="L842" s="141">
        <f>M842+N842+O842+P842</f>
        <v/>
      </c>
      <c r="M842" s="141">
        <f>IF(B842="Retired",MIN(((Q841)*(1+$C$10)+IF(B842="Working",J842,0)),K842),0)</f>
        <v/>
      </c>
      <c r="N842" s="141">
        <f>IF(B842="Retired",MIN(MAX(K842-M842,0),((R841)*(1+$C$10)+IF(B842="Working",E93,0))),0)</f>
        <v/>
      </c>
      <c r="O842" s="141">
        <f>IF(B842="Retired",MIN(MAX(K842-M842-N842,0),((S841)*(1+$C$10)+IF(B842="Working",I842,0))),0)</f>
        <v/>
      </c>
      <c r="P842" s="141">
        <f>IF(B842="Retired",MIN(MAX(K842-M842-N842-O842,0),((T841)*(1+$C$10)+IF(B842="Working",F93,0))),0)</f>
        <v/>
      </c>
      <c r="Q842" s="138">
        <f>MAX(((Q841)*(1+$C$10)+IF(B842="Working",J842,0))-M842,0)</f>
        <v/>
      </c>
      <c r="R842" s="138">
        <f>MAX(((R841)*(1+$C$10)+IF(B842="Working",E93,0))-N842,0)</f>
        <v/>
      </c>
      <c r="S842" s="138">
        <f>MAX(((S841)*(1+$C$10)+IF(B842="Working",I842,0))-O842,0)</f>
        <v/>
      </c>
      <c r="T842" s="138">
        <f>MAX(((T841)*(1+$C$10)+IF(B842="Working",F93,0))-P842,0)</f>
        <v/>
      </c>
      <c r="U842" s="138">
        <f>Q842+R842+S842+T842</f>
        <v/>
      </c>
      <c r="V842" s="138">
        <f>IF(B842="Working",MAX(-(((Q841)*(1+$C$10)+IF(B842="Working",J842,0))),0),MAX(K842-L842,0))</f>
        <v/>
      </c>
      <c r="W842" s="138">
        <f>IF(OR(A842&gt;=$C$13,B842="Retired"),IF(V842&gt;0,-V842,U842-'Model Inputs'!$B$18),"")</f>
        <v/>
      </c>
      <c r="X842" s="138">
        <f>IF(AND($L$240&gt;0,A842&gt;=$C$13),$L$240*(1+$C$25)^(A842-$C$13),0)</f>
        <v/>
      </c>
      <c r="Y842" s="138">
        <f>IF(OR($L$240&lt;=0,$C$17&lt;=0,A842&lt;$C$13,MIN(MAX((A842-$C$13+1)*12,0),$C$17*12)&gt;=$C$17*12),0,IF($C$16=0,MAX(MAX($L$240*(1-$C$15),0)-(IF($C$17&lt;=0,0,IF($C$16=0,MAX($L$240*(1-$C$15),0)/$C$17,-PMT($C$16/12,$C$17*12,MAX($L$240*(1-$C$15),0))*12))/12)*MIN(MAX((A842-$C$13+1)*12,0),$C$17*12),0),MAX(MAX($L$240*(1-$C$15),0)*(1+$C$16/12)^MIN(MAX((A842-$C$13+1)*12,0),$C$17*12)-(IF($C$17&lt;=0,0,IF($C$16=0,MAX($L$240*(1-$C$15),0)/$C$17,-PMT($C$16/12,$C$17*12,MAX($L$240*(1-$C$15),0))*12))/12)*(((1+$C$16/12)^MIN(MAX((A842-$C$13+1)*12,0),$C$17*12)-1)/($C$16/12)),0)))</f>
        <v/>
      </c>
      <c r="Z842" s="138">
        <f>MAX(X842-Y842,0)</f>
        <v/>
      </c>
      <c r="AA842" s="142">
        <f>U842+Z842</f>
        <v/>
      </c>
      <c r="AB842" s="5" t="n"/>
      <c r="AC842" s="5" t="n"/>
      <c r="AD842" s="5" t="n"/>
      <c r="AE842" s="5" t="n"/>
      <c r="AF842" s="5" t="n"/>
      <c r="AG842" s="5" t="n"/>
    </row>
    <row r="843" outlineLevel="1" s="326">
      <c r="A843" s="136" t="n">
        <v>15</v>
      </c>
      <c r="B843" s="72">
        <f>B94</f>
        <v/>
      </c>
      <c r="C843" s="137">
        <f>D94</f>
        <v/>
      </c>
      <c r="D843" s="137">
        <f>I94</f>
        <v/>
      </c>
      <c r="E843" s="137">
        <f>J94</f>
        <v/>
      </c>
      <c r="F843" s="137">
        <f>K94</f>
        <v/>
      </c>
      <c r="G843" s="138">
        <f>IF(AND($L$240&gt;0,A843=$C$13),$L$240*($C$15+$C$18),0)+IF(AND($L$240&gt;0,A843=$C$13),$C$24,0)</f>
        <v/>
      </c>
      <c r="H843" s="138">
        <f>IF(OR($L$240&lt;=0,A843&lt;$C$13),0,IF(AND($L$240&gt;0,$C$17&gt;0,A843&gt;=$C$13,A843&lt;($C$13+$C$17)),IF($C$17&lt;=0,0,IF($C$16=0,MAX($L$240*(1-$C$15),0)/$C$17,-PMT($C$16/12,$C$17*12,MAX($L$240*(1-$C$15),0))*12)),0)+X843*($C$19+$C$20+$C$21)+$C$22+$C$23)</f>
        <v/>
      </c>
      <c r="I843" s="138">
        <f>IF(B843="Working",MIN(MAX(D843-E843-F843-G843-H843,0),'Tax Assumptions'!$B$20),0)</f>
        <v/>
      </c>
      <c r="J843" s="138">
        <f>IF(B843="Working",D843-E843-F843-I843-G843-H843,-L843)</f>
        <v/>
      </c>
      <c r="K843" s="137">
        <f>IF(B843="Retired",$N$240+G843+H843,0)</f>
        <v/>
      </c>
      <c r="L843" s="137">
        <f>M843+N843+O843+P843</f>
        <v/>
      </c>
      <c r="M843" s="137">
        <f>IF(B843="Retired",MIN(((Q842)*(1+$C$10)+IF(B843="Working",J843,0)),K843),0)</f>
        <v/>
      </c>
      <c r="N843" s="137">
        <f>IF(B843="Retired",MIN(MAX(K843-M843,0),((R842)*(1+$C$10)+IF(B843="Working",E94,0))),0)</f>
        <v/>
      </c>
      <c r="O843" s="137">
        <f>IF(B843="Retired",MIN(MAX(K843-M843-N843,0),((S842)*(1+$C$10)+IF(B843="Working",I843,0))),0)</f>
        <v/>
      </c>
      <c r="P843" s="137">
        <f>IF(B843="Retired",MIN(MAX(K843-M843-N843-O843,0),((T842)*(1+$C$10)+IF(B843="Working",F94,0))),0)</f>
        <v/>
      </c>
      <c r="Q843" s="138">
        <f>MAX(((Q842)*(1+$C$10)+IF(B843="Working",J843,0))-M843,0)</f>
        <v/>
      </c>
      <c r="R843" s="138">
        <f>MAX(((R842)*(1+$C$10)+IF(B843="Working",E94,0))-N843,0)</f>
        <v/>
      </c>
      <c r="S843" s="138">
        <f>MAX(((S842)*(1+$C$10)+IF(B843="Working",I843,0))-O843,0)</f>
        <v/>
      </c>
      <c r="T843" s="138">
        <f>MAX(((T842)*(1+$C$10)+IF(B843="Working",F94,0))-P843,0)</f>
        <v/>
      </c>
      <c r="U843" s="138">
        <f>Q843+R843+S843+T843</f>
        <v/>
      </c>
      <c r="V843" s="138">
        <f>IF(B843="Working",MAX(-(((Q842)*(1+$C$10)+IF(B843="Working",J843,0))),0),MAX(K843-L843,0))</f>
        <v/>
      </c>
      <c r="W843" s="138">
        <f>IF(OR(A843&gt;=$C$13,B843="Retired"),IF(V843&gt;0,-V843,U843-'Model Inputs'!$B$18),"")</f>
        <v/>
      </c>
      <c r="X843" s="138">
        <f>IF(AND($L$240&gt;0,A843&gt;=$C$13),$L$240*(1+$C$25)^(A843-$C$13),0)</f>
        <v/>
      </c>
      <c r="Y843" s="138">
        <f>IF(OR($L$240&lt;=0,$C$17&lt;=0,A843&lt;$C$13,MIN(MAX((A843-$C$13+1)*12,0),$C$17*12)&gt;=$C$17*12),0,IF($C$16=0,MAX(MAX($L$240*(1-$C$15),0)-(IF($C$17&lt;=0,0,IF($C$16=0,MAX($L$240*(1-$C$15),0)/$C$17,-PMT($C$16/12,$C$17*12,MAX($L$240*(1-$C$15),0))*12))/12)*MIN(MAX((A843-$C$13+1)*12,0),$C$17*12),0),MAX(MAX($L$240*(1-$C$15),0)*(1+$C$16/12)^MIN(MAX((A843-$C$13+1)*12,0),$C$17*12)-(IF($C$17&lt;=0,0,IF($C$16=0,MAX($L$240*(1-$C$15),0)/$C$17,-PMT($C$16/12,$C$17*12,MAX($L$240*(1-$C$15),0))*12))/12)*(((1+$C$16/12)^MIN(MAX((A843-$C$13+1)*12,0),$C$17*12)-1)/($C$16/12)),0)))</f>
        <v/>
      </c>
      <c r="Z843" s="138">
        <f>MAX(X843-Y843,0)</f>
        <v/>
      </c>
      <c r="AA843" s="139">
        <f>U843+Z843</f>
        <v/>
      </c>
      <c r="AB843" s="5" t="n"/>
      <c r="AC843" s="5" t="n"/>
      <c r="AD843" s="5" t="n"/>
      <c r="AE843" s="5" t="n"/>
      <c r="AF843" s="5" t="n"/>
      <c r="AG843" s="5" t="n"/>
    </row>
    <row r="844" outlineLevel="1" s="326">
      <c r="A844" s="140" t="n">
        <v>16</v>
      </c>
      <c r="B844" s="40">
        <f>B95</f>
        <v/>
      </c>
      <c r="C844" s="141">
        <f>D95</f>
        <v/>
      </c>
      <c r="D844" s="141">
        <f>I95</f>
        <v/>
      </c>
      <c r="E844" s="141">
        <f>J95</f>
        <v/>
      </c>
      <c r="F844" s="141">
        <f>K95</f>
        <v/>
      </c>
      <c r="G844" s="138">
        <f>IF(AND($L$240&gt;0,A844=$C$13),$L$240*($C$15+$C$18),0)+IF(AND($L$240&gt;0,A844=$C$13),$C$24,0)</f>
        <v/>
      </c>
      <c r="H844" s="138">
        <f>IF(OR($L$240&lt;=0,A844&lt;$C$13),0,IF(AND($L$240&gt;0,$C$17&gt;0,A844&gt;=$C$13,A844&lt;($C$13+$C$17)),IF($C$17&lt;=0,0,IF($C$16=0,MAX($L$240*(1-$C$15),0)/$C$17,-PMT($C$16/12,$C$17*12,MAX($L$240*(1-$C$15),0))*12)),0)+X844*($C$19+$C$20+$C$21)+$C$22+$C$23)</f>
        <v/>
      </c>
      <c r="I844" s="138">
        <f>IF(B844="Working",MIN(MAX(D844-E844-F844-G844-H844,0),'Tax Assumptions'!$B$20),0)</f>
        <v/>
      </c>
      <c r="J844" s="138">
        <f>IF(B844="Working",D844-E844-F844-I844-G844-H844,-L844)</f>
        <v/>
      </c>
      <c r="K844" s="141">
        <f>IF(B844="Retired",$N$240+G844+H844,0)</f>
        <v/>
      </c>
      <c r="L844" s="141">
        <f>M844+N844+O844+P844</f>
        <v/>
      </c>
      <c r="M844" s="141">
        <f>IF(B844="Retired",MIN(((Q843)*(1+$C$10)+IF(B844="Working",J844,0)),K844),0)</f>
        <v/>
      </c>
      <c r="N844" s="141">
        <f>IF(B844="Retired",MIN(MAX(K844-M844,0),((R843)*(1+$C$10)+IF(B844="Working",E95,0))),0)</f>
        <v/>
      </c>
      <c r="O844" s="141">
        <f>IF(B844="Retired",MIN(MAX(K844-M844-N844,0),((S843)*(1+$C$10)+IF(B844="Working",I844,0))),0)</f>
        <v/>
      </c>
      <c r="P844" s="141">
        <f>IF(B844="Retired",MIN(MAX(K844-M844-N844-O844,0),((T843)*(1+$C$10)+IF(B844="Working",F95,0))),0)</f>
        <v/>
      </c>
      <c r="Q844" s="138">
        <f>MAX(((Q843)*(1+$C$10)+IF(B844="Working",J844,0))-M844,0)</f>
        <v/>
      </c>
      <c r="R844" s="138">
        <f>MAX(((R843)*(1+$C$10)+IF(B844="Working",E95,0))-N844,0)</f>
        <v/>
      </c>
      <c r="S844" s="138">
        <f>MAX(((S843)*(1+$C$10)+IF(B844="Working",I844,0))-O844,0)</f>
        <v/>
      </c>
      <c r="T844" s="138">
        <f>MAX(((T843)*(1+$C$10)+IF(B844="Working",F95,0))-P844,0)</f>
        <v/>
      </c>
      <c r="U844" s="138">
        <f>Q844+R844+S844+T844</f>
        <v/>
      </c>
      <c r="V844" s="138">
        <f>IF(B844="Working",MAX(-(((Q843)*(1+$C$10)+IF(B844="Working",J844,0))),0),MAX(K844-L844,0))</f>
        <v/>
      </c>
      <c r="W844" s="138">
        <f>IF(OR(A844&gt;=$C$13,B844="Retired"),IF(V844&gt;0,-V844,U844-'Model Inputs'!$B$18),"")</f>
        <v/>
      </c>
      <c r="X844" s="138">
        <f>IF(AND($L$240&gt;0,A844&gt;=$C$13),$L$240*(1+$C$25)^(A844-$C$13),0)</f>
        <v/>
      </c>
      <c r="Y844" s="138">
        <f>IF(OR($L$240&lt;=0,$C$17&lt;=0,A844&lt;$C$13,MIN(MAX((A844-$C$13+1)*12,0),$C$17*12)&gt;=$C$17*12),0,IF($C$16=0,MAX(MAX($L$240*(1-$C$15),0)-(IF($C$17&lt;=0,0,IF($C$16=0,MAX($L$240*(1-$C$15),0)/$C$17,-PMT($C$16/12,$C$17*12,MAX($L$240*(1-$C$15),0))*12))/12)*MIN(MAX((A844-$C$13+1)*12,0),$C$17*12),0),MAX(MAX($L$240*(1-$C$15),0)*(1+$C$16/12)^MIN(MAX((A844-$C$13+1)*12,0),$C$17*12)-(IF($C$17&lt;=0,0,IF($C$16=0,MAX($L$240*(1-$C$15),0)/$C$17,-PMT($C$16/12,$C$17*12,MAX($L$240*(1-$C$15),0))*12))/12)*(((1+$C$16/12)^MIN(MAX((A844-$C$13+1)*12,0),$C$17*12)-1)/($C$16/12)),0)))</f>
        <v/>
      </c>
      <c r="Z844" s="138">
        <f>MAX(X844-Y844,0)</f>
        <v/>
      </c>
      <c r="AA844" s="142">
        <f>U844+Z844</f>
        <v/>
      </c>
      <c r="AB844" s="5" t="n"/>
      <c r="AC844" s="5" t="n"/>
      <c r="AD844" s="5" t="n"/>
      <c r="AE844" s="5" t="n"/>
      <c r="AF844" s="5" t="n"/>
      <c r="AG844" s="5" t="n"/>
    </row>
    <row r="845" outlineLevel="1" s="326">
      <c r="A845" s="136" t="n">
        <v>17</v>
      </c>
      <c r="B845" s="72">
        <f>B96</f>
        <v/>
      </c>
      <c r="C845" s="137">
        <f>D96</f>
        <v/>
      </c>
      <c r="D845" s="137">
        <f>I96</f>
        <v/>
      </c>
      <c r="E845" s="137">
        <f>J96</f>
        <v/>
      </c>
      <c r="F845" s="137">
        <f>K96</f>
        <v/>
      </c>
      <c r="G845" s="138">
        <f>IF(AND($L$240&gt;0,A845=$C$13),$L$240*($C$15+$C$18),0)+IF(AND($L$240&gt;0,A845=$C$13),$C$24,0)</f>
        <v/>
      </c>
      <c r="H845" s="138">
        <f>IF(OR($L$240&lt;=0,A845&lt;$C$13),0,IF(AND($L$240&gt;0,$C$17&gt;0,A845&gt;=$C$13,A845&lt;($C$13+$C$17)),IF($C$17&lt;=0,0,IF($C$16=0,MAX($L$240*(1-$C$15),0)/$C$17,-PMT($C$16/12,$C$17*12,MAX($L$240*(1-$C$15),0))*12)),0)+X845*($C$19+$C$20+$C$21)+$C$22+$C$23)</f>
        <v/>
      </c>
      <c r="I845" s="138">
        <f>IF(B845="Working",MIN(MAX(D845-E845-F845-G845-H845,0),'Tax Assumptions'!$B$20),0)</f>
        <v/>
      </c>
      <c r="J845" s="138">
        <f>IF(B845="Working",D845-E845-F845-I845-G845-H845,-L845)</f>
        <v/>
      </c>
      <c r="K845" s="137">
        <f>IF(B845="Retired",$N$240+G845+H845,0)</f>
        <v/>
      </c>
      <c r="L845" s="137">
        <f>M845+N845+O845+P845</f>
        <v/>
      </c>
      <c r="M845" s="137">
        <f>IF(B845="Retired",MIN(((Q844)*(1+$C$10)+IF(B845="Working",J845,0)),K845),0)</f>
        <v/>
      </c>
      <c r="N845" s="137">
        <f>IF(B845="Retired",MIN(MAX(K845-M845,0),((R844)*(1+$C$10)+IF(B845="Working",E96,0))),0)</f>
        <v/>
      </c>
      <c r="O845" s="137">
        <f>IF(B845="Retired",MIN(MAX(K845-M845-N845,0),((S844)*(1+$C$10)+IF(B845="Working",I845,0))),0)</f>
        <v/>
      </c>
      <c r="P845" s="137">
        <f>IF(B845="Retired",MIN(MAX(K845-M845-N845-O845,0),((T844)*(1+$C$10)+IF(B845="Working",F96,0))),0)</f>
        <v/>
      </c>
      <c r="Q845" s="138">
        <f>MAX(((Q844)*(1+$C$10)+IF(B845="Working",J845,0))-M845,0)</f>
        <v/>
      </c>
      <c r="R845" s="138">
        <f>MAX(((R844)*(1+$C$10)+IF(B845="Working",E96,0))-N845,0)</f>
        <v/>
      </c>
      <c r="S845" s="138">
        <f>MAX(((S844)*(1+$C$10)+IF(B845="Working",I845,0))-O845,0)</f>
        <v/>
      </c>
      <c r="T845" s="138">
        <f>MAX(((T844)*(1+$C$10)+IF(B845="Working",F96,0))-P845,0)</f>
        <v/>
      </c>
      <c r="U845" s="138">
        <f>Q845+R845+S845+T845</f>
        <v/>
      </c>
      <c r="V845" s="138">
        <f>IF(B845="Working",MAX(-(((Q844)*(1+$C$10)+IF(B845="Working",J845,0))),0),MAX(K845-L845,0))</f>
        <v/>
      </c>
      <c r="W845" s="138">
        <f>IF(OR(A845&gt;=$C$13,B845="Retired"),IF(V845&gt;0,-V845,U845-'Model Inputs'!$B$18),"")</f>
        <v/>
      </c>
      <c r="X845" s="138">
        <f>IF(AND($L$240&gt;0,A845&gt;=$C$13),$L$240*(1+$C$25)^(A845-$C$13),0)</f>
        <v/>
      </c>
      <c r="Y845" s="138">
        <f>IF(OR($L$240&lt;=0,$C$17&lt;=0,A845&lt;$C$13,MIN(MAX((A845-$C$13+1)*12,0),$C$17*12)&gt;=$C$17*12),0,IF($C$16=0,MAX(MAX($L$240*(1-$C$15),0)-(IF($C$17&lt;=0,0,IF($C$16=0,MAX($L$240*(1-$C$15),0)/$C$17,-PMT($C$16/12,$C$17*12,MAX($L$240*(1-$C$15),0))*12))/12)*MIN(MAX((A845-$C$13+1)*12,0),$C$17*12),0),MAX(MAX($L$240*(1-$C$15),0)*(1+$C$16/12)^MIN(MAX((A845-$C$13+1)*12,0),$C$17*12)-(IF($C$17&lt;=0,0,IF($C$16=0,MAX($L$240*(1-$C$15),0)/$C$17,-PMT($C$16/12,$C$17*12,MAX($L$240*(1-$C$15),0))*12))/12)*(((1+$C$16/12)^MIN(MAX((A845-$C$13+1)*12,0),$C$17*12)-1)/($C$16/12)),0)))</f>
        <v/>
      </c>
      <c r="Z845" s="138">
        <f>MAX(X845-Y845,0)</f>
        <v/>
      </c>
      <c r="AA845" s="139">
        <f>U845+Z845</f>
        <v/>
      </c>
      <c r="AB845" s="5" t="n"/>
      <c r="AC845" s="5" t="n"/>
      <c r="AD845" s="5" t="n"/>
      <c r="AE845" s="5" t="n"/>
      <c r="AF845" s="5" t="n"/>
      <c r="AG845" s="5" t="n"/>
    </row>
    <row r="846" outlineLevel="1" s="326">
      <c r="A846" s="140" t="n">
        <v>18</v>
      </c>
      <c r="B846" s="40">
        <f>B97</f>
        <v/>
      </c>
      <c r="C846" s="141">
        <f>D97</f>
        <v/>
      </c>
      <c r="D846" s="141">
        <f>I97</f>
        <v/>
      </c>
      <c r="E846" s="141">
        <f>J97</f>
        <v/>
      </c>
      <c r="F846" s="141">
        <f>K97</f>
        <v/>
      </c>
      <c r="G846" s="138">
        <f>IF(AND($L$240&gt;0,A846=$C$13),$L$240*($C$15+$C$18),0)+IF(AND($L$240&gt;0,A846=$C$13),$C$24,0)</f>
        <v/>
      </c>
      <c r="H846" s="138">
        <f>IF(OR($L$240&lt;=0,A846&lt;$C$13),0,IF(AND($L$240&gt;0,$C$17&gt;0,A846&gt;=$C$13,A846&lt;($C$13+$C$17)),IF($C$17&lt;=0,0,IF($C$16=0,MAX($L$240*(1-$C$15),0)/$C$17,-PMT($C$16/12,$C$17*12,MAX($L$240*(1-$C$15),0))*12)),0)+X846*($C$19+$C$20+$C$21)+$C$22+$C$23)</f>
        <v/>
      </c>
      <c r="I846" s="138">
        <f>IF(B846="Working",MIN(MAX(D846-E846-F846-G846-H846,0),'Tax Assumptions'!$B$20),0)</f>
        <v/>
      </c>
      <c r="J846" s="138">
        <f>IF(B846="Working",D846-E846-F846-I846-G846-H846,-L846)</f>
        <v/>
      </c>
      <c r="K846" s="141">
        <f>IF(B846="Retired",$N$240+G846+H846,0)</f>
        <v/>
      </c>
      <c r="L846" s="141">
        <f>M846+N846+O846+P846</f>
        <v/>
      </c>
      <c r="M846" s="141">
        <f>IF(B846="Retired",MIN(((Q845)*(1+$C$10)+IF(B846="Working",J846,0)),K846),0)</f>
        <v/>
      </c>
      <c r="N846" s="141">
        <f>IF(B846="Retired",MIN(MAX(K846-M846,0),((R845)*(1+$C$10)+IF(B846="Working",E97,0))),0)</f>
        <v/>
      </c>
      <c r="O846" s="141">
        <f>IF(B846="Retired",MIN(MAX(K846-M846-N846,0),((S845)*(1+$C$10)+IF(B846="Working",I846,0))),0)</f>
        <v/>
      </c>
      <c r="P846" s="141">
        <f>IF(B846="Retired",MIN(MAX(K846-M846-N846-O846,0),((T845)*(1+$C$10)+IF(B846="Working",F97,0))),0)</f>
        <v/>
      </c>
      <c r="Q846" s="138">
        <f>MAX(((Q845)*(1+$C$10)+IF(B846="Working",J846,0))-M846,0)</f>
        <v/>
      </c>
      <c r="R846" s="138">
        <f>MAX(((R845)*(1+$C$10)+IF(B846="Working",E97,0))-N846,0)</f>
        <v/>
      </c>
      <c r="S846" s="138">
        <f>MAX(((S845)*(1+$C$10)+IF(B846="Working",I846,0))-O846,0)</f>
        <v/>
      </c>
      <c r="T846" s="138">
        <f>MAX(((T845)*(1+$C$10)+IF(B846="Working",F97,0))-P846,0)</f>
        <v/>
      </c>
      <c r="U846" s="138">
        <f>Q846+R846+S846+T846</f>
        <v/>
      </c>
      <c r="V846" s="138">
        <f>IF(B846="Working",MAX(-(((Q845)*(1+$C$10)+IF(B846="Working",J846,0))),0),MAX(K846-L846,0))</f>
        <v/>
      </c>
      <c r="W846" s="138">
        <f>IF(OR(A846&gt;=$C$13,B846="Retired"),IF(V846&gt;0,-V846,U846-'Model Inputs'!$B$18),"")</f>
        <v/>
      </c>
      <c r="X846" s="138">
        <f>IF(AND($L$240&gt;0,A846&gt;=$C$13),$L$240*(1+$C$25)^(A846-$C$13),0)</f>
        <v/>
      </c>
      <c r="Y846" s="138">
        <f>IF(OR($L$240&lt;=0,$C$17&lt;=0,A846&lt;$C$13,MIN(MAX((A846-$C$13+1)*12,0),$C$17*12)&gt;=$C$17*12),0,IF($C$16=0,MAX(MAX($L$240*(1-$C$15),0)-(IF($C$17&lt;=0,0,IF($C$16=0,MAX($L$240*(1-$C$15),0)/$C$17,-PMT($C$16/12,$C$17*12,MAX($L$240*(1-$C$15),0))*12))/12)*MIN(MAX((A846-$C$13+1)*12,0),$C$17*12),0),MAX(MAX($L$240*(1-$C$15),0)*(1+$C$16/12)^MIN(MAX((A846-$C$13+1)*12,0),$C$17*12)-(IF($C$17&lt;=0,0,IF($C$16=0,MAX($L$240*(1-$C$15),0)/$C$17,-PMT($C$16/12,$C$17*12,MAX($L$240*(1-$C$15),0))*12))/12)*(((1+$C$16/12)^MIN(MAX((A846-$C$13+1)*12,0),$C$17*12)-1)/($C$16/12)),0)))</f>
        <v/>
      </c>
      <c r="Z846" s="138">
        <f>MAX(X846-Y846,0)</f>
        <v/>
      </c>
      <c r="AA846" s="142">
        <f>U846+Z846</f>
        <v/>
      </c>
      <c r="AB846" s="5" t="n"/>
      <c r="AC846" s="5" t="n"/>
      <c r="AD846" s="5" t="n"/>
      <c r="AE846" s="5" t="n"/>
      <c r="AF846" s="5" t="n"/>
      <c r="AG846" s="5" t="n"/>
    </row>
    <row r="847" outlineLevel="1" s="326">
      <c r="A847" s="136" t="n">
        <v>19</v>
      </c>
      <c r="B847" s="72">
        <f>B98</f>
        <v/>
      </c>
      <c r="C847" s="137">
        <f>D98</f>
        <v/>
      </c>
      <c r="D847" s="137">
        <f>I98</f>
        <v/>
      </c>
      <c r="E847" s="137">
        <f>J98</f>
        <v/>
      </c>
      <c r="F847" s="137">
        <f>K98</f>
        <v/>
      </c>
      <c r="G847" s="138">
        <f>IF(AND($L$240&gt;0,A847=$C$13),$L$240*($C$15+$C$18),0)+IF(AND($L$240&gt;0,A847=$C$13),$C$24,0)</f>
        <v/>
      </c>
      <c r="H847" s="138">
        <f>IF(OR($L$240&lt;=0,A847&lt;$C$13),0,IF(AND($L$240&gt;0,$C$17&gt;0,A847&gt;=$C$13,A847&lt;($C$13+$C$17)),IF($C$17&lt;=0,0,IF($C$16=0,MAX($L$240*(1-$C$15),0)/$C$17,-PMT($C$16/12,$C$17*12,MAX($L$240*(1-$C$15),0))*12)),0)+X847*($C$19+$C$20+$C$21)+$C$22+$C$23)</f>
        <v/>
      </c>
      <c r="I847" s="138">
        <f>IF(B847="Working",MIN(MAX(D847-E847-F847-G847-H847,0),'Tax Assumptions'!$B$20),0)</f>
        <v/>
      </c>
      <c r="J847" s="138">
        <f>IF(B847="Working",D847-E847-F847-I847-G847-H847,-L847)</f>
        <v/>
      </c>
      <c r="K847" s="137">
        <f>IF(B847="Retired",$N$240+G847+H847,0)</f>
        <v/>
      </c>
      <c r="L847" s="137">
        <f>M847+N847+O847+P847</f>
        <v/>
      </c>
      <c r="M847" s="137">
        <f>IF(B847="Retired",MIN(((Q846)*(1+$C$10)+IF(B847="Working",J847,0)),K847),0)</f>
        <v/>
      </c>
      <c r="N847" s="137">
        <f>IF(B847="Retired",MIN(MAX(K847-M847,0),((R846)*(1+$C$10)+IF(B847="Working",E98,0))),0)</f>
        <v/>
      </c>
      <c r="O847" s="137">
        <f>IF(B847="Retired",MIN(MAX(K847-M847-N847,0),((S846)*(1+$C$10)+IF(B847="Working",I847,0))),0)</f>
        <v/>
      </c>
      <c r="P847" s="137">
        <f>IF(B847="Retired",MIN(MAX(K847-M847-N847-O847,0),((T846)*(1+$C$10)+IF(B847="Working",F98,0))),0)</f>
        <v/>
      </c>
      <c r="Q847" s="138">
        <f>MAX(((Q846)*(1+$C$10)+IF(B847="Working",J847,0))-M847,0)</f>
        <v/>
      </c>
      <c r="R847" s="138">
        <f>MAX(((R846)*(1+$C$10)+IF(B847="Working",E98,0))-N847,0)</f>
        <v/>
      </c>
      <c r="S847" s="138">
        <f>MAX(((S846)*(1+$C$10)+IF(B847="Working",I847,0))-O847,0)</f>
        <v/>
      </c>
      <c r="T847" s="138">
        <f>MAX(((T846)*(1+$C$10)+IF(B847="Working",F98,0))-P847,0)</f>
        <v/>
      </c>
      <c r="U847" s="138">
        <f>Q847+R847+S847+T847</f>
        <v/>
      </c>
      <c r="V847" s="138">
        <f>IF(B847="Working",MAX(-(((Q846)*(1+$C$10)+IF(B847="Working",J847,0))),0),MAX(K847-L847,0))</f>
        <v/>
      </c>
      <c r="W847" s="138">
        <f>IF(OR(A847&gt;=$C$13,B847="Retired"),IF(V847&gt;0,-V847,U847-'Model Inputs'!$B$18),"")</f>
        <v/>
      </c>
      <c r="X847" s="138">
        <f>IF(AND($L$240&gt;0,A847&gt;=$C$13),$L$240*(1+$C$25)^(A847-$C$13),0)</f>
        <v/>
      </c>
      <c r="Y847" s="138">
        <f>IF(OR($L$240&lt;=0,$C$17&lt;=0,A847&lt;$C$13,MIN(MAX((A847-$C$13+1)*12,0),$C$17*12)&gt;=$C$17*12),0,IF($C$16=0,MAX(MAX($L$240*(1-$C$15),0)-(IF($C$17&lt;=0,0,IF($C$16=0,MAX($L$240*(1-$C$15),0)/$C$17,-PMT($C$16/12,$C$17*12,MAX($L$240*(1-$C$15),0))*12))/12)*MIN(MAX((A847-$C$13+1)*12,0),$C$17*12),0),MAX(MAX($L$240*(1-$C$15),0)*(1+$C$16/12)^MIN(MAX((A847-$C$13+1)*12,0),$C$17*12)-(IF($C$17&lt;=0,0,IF($C$16=0,MAX($L$240*(1-$C$15),0)/$C$17,-PMT($C$16/12,$C$17*12,MAX($L$240*(1-$C$15),0))*12))/12)*(((1+$C$16/12)^MIN(MAX((A847-$C$13+1)*12,0),$C$17*12)-1)/($C$16/12)),0)))</f>
        <v/>
      </c>
      <c r="Z847" s="138">
        <f>MAX(X847-Y847,0)</f>
        <v/>
      </c>
      <c r="AA847" s="139">
        <f>U847+Z847</f>
        <v/>
      </c>
      <c r="AB847" s="5" t="n"/>
      <c r="AC847" s="5" t="n"/>
      <c r="AD847" s="5" t="n"/>
      <c r="AE847" s="5" t="n"/>
      <c r="AF847" s="5" t="n"/>
      <c r="AG847" s="5" t="n"/>
    </row>
    <row r="848" outlineLevel="1" s="326">
      <c r="A848" s="140" t="n">
        <v>20</v>
      </c>
      <c r="B848" s="40">
        <f>B99</f>
        <v/>
      </c>
      <c r="C848" s="141">
        <f>D99</f>
        <v/>
      </c>
      <c r="D848" s="141">
        <f>I99</f>
        <v/>
      </c>
      <c r="E848" s="141">
        <f>J99</f>
        <v/>
      </c>
      <c r="F848" s="141">
        <f>K99</f>
        <v/>
      </c>
      <c r="G848" s="138">
        <f>IF(AND($L$240&gt;0,A848=$C$13),$L$240*($C$15+$C$18),0)+IF(AND($L$240&gt;0,A848=$C$13),$C$24,0)</f>
        <v/>
      </c>
      <c r="H848" s="138">
        <f>IF(OR($L$240&lt;=0,A848&lt;$C$13),0,IF(AND($L$240&gt;0,$C$17&gt;0,A848&gt;=$C$13,A848&lt;($C$13+$C$17)),IF($C$17&lt;=0,0,IF($C$16=0,MAX($L$240*(1-$C$15),0)/$C$17,-PMT($C$16/12,$C$17*12,MAX($L$240*(1-$C$15),0))*12)),0)+X848*($C$19+$C$20+$C$21)+$C$22+$C$23)</f>
        <v/>
      </c>
      <c r="I848" s="138">
        <f>IF(B848="Working",MIN(MAX(D848-E848-F848-G848-H848,0),'Tax Assumptions'!$B$20),0)</f>
        <v/>
      </c>
      <c r="J848" s="138">
        <f>IF(B848="Working",D848-E848-F848-I848-G848-H848,-L848)</f>
        <v/>
      </c>
      <c r="K848" s="141">
        <f>IF(B848="Retired",$N$240+G848+H848,0)</f>
        <v/>
      </c>
      <c r="L848" s="141">
        <f>M848+N848+O848+P848</f>
        <v/>
      </c>
      <c r="M848" s="141">
        <f>IF(B848="Retired",MIN(((Q847)*(1+$C$10)+IF(B848="Working",J848,0)),K848),0)</f>
        <v/>
      </c>
      <c r="N848" s="141">
        <f>IF(B848="Retired",MIN(MAX(K848-M848,0),((R847)*(1+$C$10)+IF(B848="Working",E99,0))),0)</f>
        <v/>
      </c>
      <c r="O848" s="141">
        <f>IF(B848="Retired",MIN(MAX(K848-M848-N848,0),((S847)*(1+$C$10)+IF(B848="Working",I848,0))),0)</f>
        <v/>
      </c>
      <c r="P848" s="141">
        <f>IF(B848="Retired",MIN(MAX(K848-M848-N848-O848,0),((T847)*(1+$C$10)+IF(B848="Working",F99,0))),0)</f>
        <v/>
      </c>
      <c r="Q848" s="138">
        <f>MAX(((Q847)*(1+$C$10)+IF(B848="Working",J848,0))-M848,0)</f>
        <v/>
      </c>
      <c r="R848" s="138">
        <f>MAX(((R847)*(1+$C$10)+IF(B848="Working",E99,0))-N848,0)</f>
        <v/>
      </c>
      <c r="S848" s="138">
        <f>MAX(((S847)*(1+$C$10)+IF(B848="Working",I848,0))-O848,0)</f>
        <v/>
      </c>
      <c r="T848" s="138">
        <f>MAX(((T847)*(1+$C$10)+IF(B848="Working",F99,0))-P848,0)</f>
        <v/>
      </c>
      <c r="U848" s="138">
        <f>Q848+R848+S848+T848</f>
        <v/>
      </c>
      <c r="V848" s="138">
        <f>IF(B848="Working",MAX(-(((Q847)*(1+$C$10)+IF(B848="Working",J848,0))),0),MAX(K848-L848,0))</f>
        <v/>
      </c>
      <c r="W848" s="138">
        <f>IF(OR(A848&gt;=$C$13,B848="Retired"),IF(V848&gt;0,-V848,U848-'Model Inputs'!$B$18),"")</f>
        <v/>
      </c>
      <c r="X848" s="138">
        <f>IF(AND($L$240&gt;0,A848&gt;=$C$13),$L$240*(1+$C$25)^(A848-$C$13),0)</f>
        <v/>
      </c>
      <c r="Y848" s="138">
        <f>IF(OR($L$240&lt;=0,$C$17&lt;=0,A848&lt;$C$13,MIN(MAX((A848-$C$13+1)*12,0),$C$17*12)&gt;=$C$17*12),0,IF($C$16=0,MAX(MAX($L$240*(1-$C$15),0)-(IF($C$17&lt;=0,0,IF($C$16=0,MAX($L$240*(1-$C$15),0)/$C$17,-PMT($C$16/12,$C$17*12,MAX($L$240*(1-$C$15),0))*12))/12)*MIN(MAX((A848-$C$13+1)*12,0),$C$17*12),0),MAX(MAX($L$240*(1-$C$15),0)*(1+$C$16/12)^MIN(MAX((A848-$C$13+1)*12,0),$C$17*12)-(IF($C$17&lt;=0,0,IF($C$16=0,MAX($L$240*(1-$C$15),0)/$C$17,-PMT($C$16/12,$C$17*12,MAX($L$240*(1-$C$15),0))*12))/12)*(((1+$C$16/12)^MIN(MAX((A848-$C$13+1)*12,0),$C$17*12)-1)/($C$16/12)),0)))</f>
        <v/>
      </c>
      <c r="Z848" s="138">
        <f>MAX(X848-Y848,0)</f>
        <v/>
      </c>
      <c r="AA848" s="142">
        <f>U848+Z848</f>
        <v/>
      </c>
      <c r="AB848" s="5" t="n"/>
      <c r="AC848" s="5" t="n"/>
      <c r="AD848" s="5" t="n"/>
      <c r="AE848" s="5" t="n"/>
      <c r="AF848" s="5" t="n"/>
      <c r="AG848" s="5" t="n"/>
    </row>
    <row r="849" outlineLevel="1" s="326">
      <c r="A849" s="136" t="n">
        <v>21</v>
      </c>
      <c r="B849" s="72">
        <f>B100</f>
        <v/>
      </c>
      <c r="C849" s="137">
        <f>D100</f>
        <v/>
      </c>
      <c r="D849" s="137">
        <f>I100</f>
        <v/>
      </c>
      <c r="E849" s="137">
        <f>J100</f>
        <v/>
      </c>
      <c r="F849" s="137">
        <f>K100</f>
        <v/>
      </c>
      <c r="G849" s="138">
        <f>IF(AND($L$240&gt;0,A849=$C$13),$L$240*($C$15+$C$18),0)+IF(AND($L$240&gt;0,A849=$C$13),$C$24,0)</f>
        <v/>
      </c>
      <c r="H849" s="138">
        <f>IF(OR($L$240&lt;=0,A849&lt;$C$13),0,IF(AND($L$240&gt;0,$C$17&gt;0,A849&gt;=$C$13,A849&lt;($C$13+$C$17)),IF($C$17&lt;=0,0,IF($C$16=0,MAX($L$240*(1-$C$15),0)/$C$17,-PMT($C$16/12,$C$17*12,MAX($L$240*(1-$C$15),0))*12)),0)+X849*($C$19+$C$20+$C$21)+$C$22+$C$23)</f>
        <v/>
      </c>
      <c r="I849" s="138">
        <f>IF(B849="Working",MIN(MAX(D849-E849-F849-G849-H849,0),'Tax Assumptions'!$B$20),0)</f>
        <v/>
      </c>
      <c r="J849" s="138">
        <f>IF(B849="Working",D849-E849-F849-I849-G849-H849,-L849)</f>
        <v/>
      </c>
      <c r="K849" s="137">
        <f>IF(B849="Retired",$N$240+G849+H849,0)</f>
        <v/>
      </c>
      <c r="L849" s="137">
        <f>M849+N849+O849+P849</f>
        <v/>
      </c>
      <c r="M849" s="137">
        <f>IF(B849="Retired",MIN(((Q848)*(1+$C$10)+IF(B849="Working",J849,0)),K849),0)</f>
        <v/>
      </c>
      <c r="N849" s="137">
        <f>IF(B849="Retired",MIN(MAX(K849-M849,0),((R848)*(1+$C$10)+IF(B849="Working",E100,0))),0)</f>
        <v/>
      </c>
      <c r="O849" s="137">
        <f>IF(B849="Retired",MIN(MAX(K849-M849-N849,0),((S848)*(1+$C$10)+IF(B849="Working",I849,0))),0)</f>
        <v/>
      </c>
      <c r="P849" s="137">
        <f>IF(B849="Retired",MIN(MAX(K849-M849-N849-O849,0),((T848)*(1+$C$10)+IF(B849="Working",F100,0))),0)</f>
        <v/>
      </c>
      <c r="Q849" s="138">
        <f>MAX(((Q848)*(1+$C$10)+IF(B849="Working",J849,0))-M849,0)</f>
        <v/>
      </c>
      <c r="R849" s="138">
        <f>MAX(((R848)*(1+$C$10)+IF(B849="Working",E100,0))-N849,0)</f>
        <v/>
      </c>
      <c r="S849" s="138">
        <f>MAX(((S848)*(1+$C$10)+IF(B849="Working",I849,0))-O849,0)</f>
        <v/>
      </c>
      <c r="T849" s="138">
        <f>MAX(((T848)*(1+$C$10)+IF(B849="Working",F100,0))-P849,0)</f>
        <v/>
      </c>
      <c r="U849" s="138">
        <f>Q849+R849+S849+T849</f>
        <v/>
      </c>
      <c r="V849" s="138">
        <f>IF(B849="Working",MAX(-(((Q848)*(1+$C$10)+IF(B849="Working",J849,0))),0),MAX(K849-L849,0))</f>
        <v/>
      </c>
      <c r="W849" s="138">
        <f>IF(OR(A849&gt;=$C$13,B849="Retired"),IF(V849&gt;0,-V849,U849-'Model Inputs'!$B$18),"")</f>
        <v/>
      </c>
      <c r="X849" s="138">
        <f>IF(AND($L$240&gt;0,A849&gt;=$C$13),$L$240*(1+$C$25)^(A849-$C$13),0)</f>
        <v/>
      </c>
      <c r="Y849" s="138">
        <f>IF(OR($L$240&lt;=0,$C$17&lt;=0,A849&lt;$C$13,MIN(MAX((A849-$C$13+1)*12,0),$C$17*12)&gt;=$C$17*12),0,IF($C$16=0,MAX(MAX($L$240*(1-$C$15),0)-(IF($C$17&lt;=0,0,IF($C$16=0,MAX($L$240*(1-$C$15),0)/$C$17,-PMT($C$16/12,$C$17*12,MAX($L$240*(1-$C$15),0))*12))/12)*MIN(MAX((A849-$C$13+1)*12,0),$C$17*12),0),MAX(MAX($L$240*(1-$C$15),0)*(1+$C$16/12)^MIN(MAX((A849-$C$13+1)*12,0),$C$17*12)-(IF($C$17&lt;=0,0,IF($C$16=0,MAX($L$240*(1-$C$15),0)/$C$17,-PMT($C$16/12,$C$17*12,MAX($L$240*(1-$C$15),0))*12))/12)*(((1+$C$16/12)^MIN(MAX((A849-$C$13+1)*12,0),$C$17*12)-1)/($C$16/12)),0)))</f>
        <v/>
      </c>
      <c r="Z849" s="138">
        <f>MAX(X849-Y849,0)</f>
        <v/>
      </c>
      <c r="AA849" s="139">
        <f>U849+Z849</f>
        <v/>
      </c>
      <c r="AB849" s="5" t="n"/>
      <c r="AC849" s="5" t="n"/>
      <c r="AD849" s="5" t="n"/>
      <c r="AE849" s="5" t="n"/>
      <c r="AF849" s="5" t="n"/>
      <c r="AG849" s="5" t="n"/>
    </row>
    <row r="850" outlineLevel="1" s="326">
      <c r="A850" s="140" t="n">
        <v>22</v>
      </c>
      <c r="B850" s="40">
        <f>B101</f>
        <v/>
      </c>
      <c r="C850" s="141">
        <f>D101</f>
        <v/>
      </c>
      <c r="D850" s="141">
        <f>I101</f>
        <v/>
      </c>
      <c r="E850" s="141">
        <f>J101</f>
        <v/>
      </c>
      <c r="F850" s="141">
        <f>K101</f>
        <v/>
      </c>
      <c r="G850" s="138">
        <f>IF(AND($L$240&gt;0,A850=$C$13),$L$240*($C$15+$C$18),0)+IF(AND($L$240&gt;0,A850=$C$13),$C$24,0)</f>
        <v/>
      </c>
      <c r="H850" s="138">
        <f>IF(OR($L$240&lt;=0,A850&lt;$C$13),0,IF(AND($L$240&gt;0,$C$17&gt;0,A850&gt;=$C$13,A850&lt;($C$13+$C$17)),IF($C$17&lt;=0,0,IF($C$16=0,MAX($L$240*(1-$C$15),0)/$C$17,-PMT($C$16/12,$C$17*12,MAX($L$240*(1-$C$15),0))*12)),0)+X850*($C$19+$C$20+$C$21)+$C$22+$C$23)</f>
        <v/>
      </c>
      <c r="I850" s="138">
        <f>IF(B850="Working",MIN(MAX(D850-E850-F850-G850-H850,0),'Tax Assumptions'!$B$20),0)</f>
        <v/>
      </c>
      <c r="J850" s="138">
        <f>IF(B850="Working",D850-E850-F850-I850-G850-H850,-L850)</f>
        <v/>
      </c>
      <c r="K850" s="141">
        <f>IF(B850="Retired",$N$240+G850+H850,0)</f>
        <v/>
      </c>
      <c r="L850" s="141">
        <f>M850+N850+O850+P850</f>
        <v/>
      </c>
      <c r="M850" s="141">
        <f>IF(B850="Retired",MIN(((Q849)*(1+$C$10)+IF(B850="Working",J850,0)),K850),0)</f>
        <v/>
      </c>
      <c r="N850" s="141">
        <f>IF(B850="Retired",MIN(MAX(K850-M850,0),((R849)*(1+$C$10)+IF(B850="Working",E101,0))),0)</f>
        <v/>
      </c>
      <c r="O850" s="141">
        <f>IF(B850="Retired",MIN(MAX(K850-M850-N850,0),((S849)*(1+$C$10)+IF(B850="Working",I850,0))),0)</f>
        <v/>
      </c>
      <c r="P850" s="141">
        <f>IF(B850="Retired",MIN(MAX(K850-M850-N850-O850,0),((T849)*(1+$C$10)+IF(B850="Working",F101,0))),0)</f>
        <v/>
      </c>
      <c r="Q850" s="138">
        <f>MAX(((Q849)*(1+$C$10)+IF(B850="Working",J850,0))-M850,0)</f>
        <v/>
      </c>
      <c r="R850" s="138">
        <f>MAX(((R849)*(1+$C$10)+IF(B850="Working",E101,0))-N850,0)</f>
        <v/>
      </c>
      <c r="S850" s="138">
        <f>MAX(((S849)*(1+$C$10)+IF(B850="Working",I850,0))-O850,0)</f>
        <v/>
      </c>
      <c r="T850" s="138">
        <f>MAX(((T849)*(1+$C$10)+IF(B850="Working",F101,0))-P850,0)</f>
        <v/>
      </c>
      <c r="U850" s="138">
        <f>Q850+R850+S850+T850</f>
        <v/>
      </c>
      <c r="V850" s="138">
        <f>IF(B850="Working",MAX(-(((Q849)*(1+$C$10)+IF(B850="Working",J850,0))),0),MAX(K850-L850,0))</f>
        <v/>
      </c>
      <c r="W850" s="138">
        <f>IF(OR(A850&gt;=$C$13,B850="Retired"),IF(V850&gt;0,-V850,U850-'Model Inputs'!$B$18),"")</f>
        <v/>
      </c>
      <c r="X850" s="138">
        <f>IF(AND($L$240&gt;0,A850&gt;=$C$13),$L$240*(1+$C$25)^(A850-$C$13),0)</f>
        <v/>
      </c>
      <c r="Y850" s="138">
        <f>IF(OR($L$240&lt;=0,$C$17&lt;=0,A850&lt;$C$13,MIN(MAX((A850-$C$13+1)*12,0),$C$17*12)&gt;=$C$17*12),0,IF($C$16=0,MAX(MAX($L$240*(1-$C$15),0)-(IF($C$17&lt;=0,0,IF($C$16=0,MAX($L$240*(1-$C$15),0)/$C$17,-PMT($C$16/12,$C$17*12,MAX($L$240*(1-$C$15),0))*12))/12)*MIN(MAX((A850-$C$13+1)*12,0),$C$17*12),0),MAX(MAX($L$240*(1-$C$15),0)*(1+$C$16/12)^MIN(MAX((A850-$C$13+1)*12,0),$C$17*12)-(IF($C$17&lt;=0,0,IF($C$16=0,MAX($L$240*(1-$C$15),0)/$C$17,-PMT($C$16/12,$C$17*12,MAX($L$240*(1-$C$15),0))*12))/12)*(((1+$C$16/12)^MIN(MAX((A850-$C$13+1)*12,0),$C$17*12)-1)/($C$16/12)),0)))</f>
        <v/>
      </c>
      <c r="Z850" s="138">
        <f>MAX(X850-Y850,0)</f>
        <v/>
      </c>
      <c r="AA850" s="142">
        <f>U850+Z850</f>
        <v/>
      </c>
      <c r="AB850" s="5" t="n"/>
      <c r="AC850" s="5" t="n"/>
      <c r="AD850" s="5" t="n"/>
      <c r="AE850" s="5" t="n"/>
      <c r="AF850" s="5" t="n"/>
      <c r="AG850" s="5" t="n"/>
    </row>
    <row r="851" outlineLevel="1" s="326">
      <c r="A851" s="136" t="n">
        <v>23</v>
      </c>
      <c r="B851" s="72">
        <f>B102</f>
        <v/>
      </c>
      <c r="C851" s="137">
        <f>D102</f>
        <v/>
      </c>
      <c r="D851" s="137">
        <f>I102</f>
        <v/>
      </c>
      <c r="E851" s="137">
        <f>J102</f>
        <v/>
      </c>
      <c r="F851" s="137">
        <f>K102</f>
        <v/>
      </c>
      <c r="G851" s="138">
        <f>IF(AND($L$240&gt;0,A851=$C$13),$L$240*($C$15+$C$18),0)+IF(AND($L$240&gt;0,A851=$C$13),$C$24,0)</f>
        <v/>
      </c>
      <c r="H851" s="138">
        <f>IF(OR($L$240&lt;=0,A851&lt;$C$13),0,IF(AND($L$240&gt;0,$C$17&gt;0,A851&gt;=$C$13,A851&lt;($C$13+$C$17)),IF($C$17&lt;=0,0,IF($C$16=0,MAX($L$240*(1-$C$15),0)/$C$17,-PMT($C$16/12,$C$17*12,MAX($L$240*(1-$C$15),0))*12)),0)+X851*($C$19+$C$20+$C$21)+$C$22+$C$23)</f>
        <v/>
      </c>
      <c r="I851" s="138">
        <f>IF(B851="Working",MIN(MAX(D851-E851-F851-G851-H851,0),'Tax Assumptions'!$B$20),0)</f>
        <v/>
      </c>
      <c r="J851" s="138">
        <f>IF(B851="Working",D851-E851-F851-I851-G851-H851,-L851)</f>
        <v/>
      </c>
      <c r="K851" s="137">
        <f>IF(B851="Retired",$N$240+G851+H851,0)</f>
        <v/>
      </c>
      <c r="L851" s="137">
        <f>M851+N851+O851+P851</f>
        <v/>
      </c>
      <c r="M851" s="137">
        <f>IF(B851="Retired",MIN(((Q850)*(1+$C$10)+IF(B851="Working",J851,0)),K851),0)</f>
        <v/>
      </c>
      <c r="N851" s="137">
        <f>IF(B851="Retired",MIN(MAX(K851-M851,0),((R850)*(1+$C$10)+IF(B851="Working",E102,0))),0)</f>
        <v/>
      </c>
      <c r="O851" s="137">
        <f>IF(B851="Retired",MIN(MAX(K851-M851-N851,0),((S850)*(1+$C$10)+IF(B851="Working",I851,0))),0)</f>
        <v/>
      </c>
      <c r="P851" s="137">
        <f>IF(B851="Retired",MIN(MAX(K851-M851-N851-O851,0),((T850)*(1+$C$10)+IF(B851="Working",F102,0))),0)</f>
        <v/>
      </c>
      <c r="Q851" s="138">
        <f>MAX(((Q850)*(1+$C$10)+IF(B851="Working",J851,0))-M851,0)</f>
        <v/>
      </c>
      <c r="R851" s="138">
        <f>MAX(((R850)*(1+$C$10)+IF(B851="Working",E102,0))-N851,0)</f>
        <v/>
      </c>
      <c r="S851" s="138">
        <f>MAX(((S850)*(1+$C$10)+IF(B851="Working",I851,0))-O851,0)</f>
        <v/>
      </c>
      <c r="T851" s="138">
        <f>MAX(((T850)*(1+$C$10)+IF(B851="Working",F102,0))-P851,0)</f>
        <v/>
      </c>
      <c r="U851" s="138">
        <f>Q851+R851+S851+T851</f>
        <v/>
      </c>
      <c r="V851" s="138">
        <f>IF(B851="Working",MAX(-(((Q850)*(1+$C$10)+IF(B851="Working",J851,0))),0),MAX(K851-L851,0))</f>
        <v/>
      </c>
      <c r="W851" s="138">
        <f>IF(OR(A851&gt;=$C$13,B851="Retired"),IF(V851&gt;0,-V851,U851-'Model Inputs'!$B$18),"")</f>
        <v/>
      </c>
      <c r="X851" s="138">
        <f>IF(AND($L$240&gt;0,A851&gt;=$C$13),$L$240*(1+$C$25)^(A851-$C$13),0)</f>
        <v/>
      </c>
      <c r="Y851" s="138">
        <f>IF(OR($L$240&lt;=0,$C$17&lt;=0,A851&lt;$C$13,MIN(MAX((A851-$C$13+1)*12,0),$C$17*12)&gt;=$C$17*12),0,IF($C$16=0,MAX(MAX($L$240*(1-$C$15),0)-(IF($C$17&lt;=0,0,IF($C$16=0,MAX($L$240*(1-$C$15),0)/$C$17,-PMT($C$16/12,$C$17*12,MAX($L$240*(1-$C$15),0))*12))/12)*MIN(MAX((A851-$C$13+1)*12,0),$C$17*12),0),MAX(MAX($L$240*(1-$C$15),0)*(1+$C$16/12)^MIN(MAX((A851-$C$13+1)*12,0),$C$17*12)-(IF($C$17&lt;=0,0,IF($C$16=0,MAX($L$240*(1-$C$15),0)/$C$17,-PMT($C$16/12,$C$17*12,MAX($L$240*(1-$C$15),0))*12))/12)*(((1+$C$16/12)^MIN(MAX((A851-$C$13+1)*12,0),$C$17*12)-1)/($C$16/12)),0)))</f>
        <v/>
      </c>
      <c r="Z851" s="138">
        <f>MAX(X851-Y851,0)</f>
        <v/>
      </c>
      <c r="AA851" s="139">
        <f>U851+Z851</f>
        <v/>
      </c>
      <c r="AB851" s="5" t="n"/>
      <c r="AC851" s="5" t="n"/>
      <c r="AD851" s="5" t="n"/>
      <c r="AE851" s="5" t="n"/>
      <c r="AF851" s="5" t="n"/>
      <c r="AG851" s="5" t="n"/>
    </row>
    <row r="852" outlineLevel="1" s="326">
      <c r="A852" s="140" t="n">
        <v>24</v>
      </c>
      <c r="B852" s="40">
        <f>B103</f>
        <v/>
      </c>
      <c r="C852" s="141">
        <f>D103</f>
        <v/>
      </c>
      <c r="D852" s="141">
        <f>I103</f>
        <v/>
      </c>
      <c r="E852" s="141">
        <f>J103</f>
        <v/>
      </c>
      <c r="F852" s="141">
        <f>K103</f>
        <v/>
      </c>
      <c r="G852" s="138">
        <f>IF(AND($L$240&gt;0,A852=$C$13),$L$240*($C$15+$C$18),0)+IF(AND($L$240&gt;0,A852=$C$13),$C$24,0)</f>
        <v/>
      </c>
      <c r="H852" s="138">
        <f>IF(OR($L$240&lt;=0,A852&lt;$C$13),0,IF(AND($L$240&gt;0,$C$17&gt;0,A852&gt;=$C$13,A852&lt;($C$13+$C$17)),IF($C$17&lt;=0,0,IF($C$16=0,MAX($L$240*(1-$C$15),0)/$C$17,-PMT($C$16/12,$C$17*12,MAX($L$240*(1-$C$15),0))*12)),0)+X852*($C$19+$C$20+$C$21)+$C$22+$C$23)</f>
        <v/>
      </c>
      <c r="I852" s="138">
        <f>IF(B852="Working",MIN(MAX(D852-E852-F852-G852-H852,0),'Tax Assumptions'!$B$20),0)</f>
        <v/>
      </c>
      <c r="J852" s="138">
        <f>IF(B852="Working",D852-E852-F852-I852-G852-H852,-L852)</f>
        <v/>
      </c>
      <c r="K852" s="141">
        <f>IF(B852="Retired",$N$240+G852+H852,0)</f>
        <v/>
      </c>
      <c r="L852" s="141">
        <f>M852+N852+O852+P852</f>
        <v/>
      </c>
      <c r="M852" s="141">
        <f>IF(B852="Retired",MIN(((Q851)*(1+$C$10)+IF(B852="Working",J852,0)),K852),0)</f>
        <v/>
      </c>
      <c r="N852" s="141">
        <f>IF(B852="Retired",MIN(MAX(K852-M852,0),((R851)*(1+$C$10)+IF(B852="Working",E103,0))),0)</f>
        <v/>
      </c>
      <c r="O852" s="141">
        <f>IF(B852="Retired",MIN(MAX(K852-M852-N852,0),((S851)*(1+$C$10)+IF(B852="Working",I852,0))),0)</f>
        <v/>
      </c>
      <c r="P852" s="141">
        <f>IF(B852="Retired",MIN(MAX(K852-M852-N852-O852,0),((T851)*(1+$C$10)+IF(B852="Working",F103,0))),0)</f>
        <v/>
      </c>
      <c r="Q852" s="138">
        <f>MAX(((Q851)*(1+$C$10)+IF(B852="Working",J852,0))-M852,0)</f>
        <v/>
      </c>
      <c r="R852" s="138">
        <f>MAX(((R851)*(1+$C$10)+IF(B852="Working",E103,0))-N852,0)</f>
        <v/>
      </c>
      <c r="S852" s="138">
        <f>MAX(((S851)*(1+$C$10)+IF(B852="Working",I852,0))-O852,0)</f>
        <v/>
      </c>
      <c r="T852" s="138">
        <f>MAX(((T851)*(1+$C$10)+IF(B852="Working",F103,0))-P852,0)</f>
        <v/>
      </c>
      <c r="U852" s="138">
        <f>Q852+R852+S852+T852</f>
        <v/>
      </c>
      <c r="V852" s="138">
        <f>IF(B852="Working",MAX(-(((Q851)*(1+$C$10)+IF(B852="Working",J852,0))),0),MAX(K852-L852,0))</f>
        <v/>
      </c>
      <c r="W852" s="138">
        <f>IF(OR(A852&gt;=$C$13,B852="Retired"),IF(V852&gt;0,-V852,U852-'Model Inputs'!$B$18),"")</f>
        <v/>
      </c>
      <c r="X852" s="138">
        <f>IF(AND($L$240&gt;0,A852&gt;=$C$13),$L$240*(1+$C$25)^(A852-$C$13),0)</f>
        <v/>
      </c>
      <c r="Y852" s="138">
        <f>IF(OR($L$240&lt;=0,$C$17&lt;=0,A852&lt;$C$13,MIN(MAX((A852-$C$13+1)*12,0),$C$17*12)&gt;=$C$17*12),0,IF($C$16=0,MAX(MAX($L$240*(1-$C$15),0)-(IF($C$17&lt;=0,0,IF($C$16=0,MAX($L$240*(1-$C$15),0)/$C$17,-PMT($C$16/12,$C$17*12,MAX($L$240*(1-$C$15),0))*12))/12)*MIN(MAX((A852-$C$13+1)*12,0),$C$17*12),0),MAX(MAX($L$240*(1-$C$15),0)*(1+$C$16/12)^MIN(MAX((A852-$C$13+1)*12,0),$C$17*12)-(IF($C$17&lt;=0,0,IF($C$16=0,MAX($L$240*(1-$C$15),0)/$C$17,-PMT($C$16/12,$C$17*12,MAX($L$240*(1-$C$15),0))*12))/12)*(((1+$C$16/12)^MIN(MAX((A852-$C$13+1)*12,0),$C$17*12)-1)/($C$16/12)),0)))</f>
        <v/>
      </c>
      <c r="Z852" s="138">
        <f>MAX(X852-Y852,0)</f>
        <v/>
      </c>
      <c r="AA852" s="142">
        <f>U852+Z852</f>
        <v/>
      </c>
      <c r="AB852" s="5" t="n"/>
      <c r="AC852" s="5" t="n"/>
      <c r="AD852" s="5" t="n"/>
      <c r="AE852" s="5" t="n"/>
      <c r="AF852" s="5" t="n"/>
      <c r="AG852" s="5" t="n"/>
    </row>
    <row r="853" outlineLevel="1" s="326">
      <c r="A853" s="136" t="n">
        <v>25</v>
      </c>
      <c r="B853" s="72">
        <f>B104</f>
        <v/>
      </c>
      <c r="C853" s="137">
        <f>D104</f>
        <v/>
      </c>
      <c r="D853" s="137">
        <f>I104</f>
        <v/>
      </c>
      <c r="E853" s="137">
        <f>J104</f>
        <v/>
      </c>
      <c r="F853" s="137">
        <f>K104</f>
        <v/>
      </c>
      <c r="G853" s="138">
        <f>IF(AND($L$240&gt;0,A853=$C$13),$L$240*($C$15+$C$18),0)+IF(AND($L$240&gt;0,A853=$C$13),$C$24,0)</f>
        <v/>
      </c>
      <c r="H853" s="138">
        <f>IF(OR($L$240&lt;=0,A853&lt;$C$13),0,IF(AND($L$240&gt;0,$C$17&gt;0,A853&gt;=$C$13,A853&lt;($C$13+$C$17)),IF($C$17&lt;=0,0,IF($C$16=0,MAX($L$240*(1-$C$15),0)/$C$17,-PMT($C$16/12,$C$17*12,MAX($L$240*(1-$C$15),0))*12)),0)+X853*($C$19+$C$20+$C$21)+$C$22+$C$23)</f>
        <v/>
      </c>
      <c r="I853" s="138">
        <f>IF(B853="Working",MIN(MAX(D853-E853-F853-G853-H853,0),'Tax Assumptions'!$B$20),0)</f>
        <v/>
      </c>
      <c r="J853" s="138">
        <f>IF(B853="Working",D853-E853-F853-I853-G853-H853,-L853)</f>
        <v/>
      </c>
      <c r="K853" s="137">
        <f>IF(B853="Retired",$N$240+G853+H853,0)</f>
        <v/>
      </c>
      <c r="L853" s="137">
        <f>M853+N853+O853+P853</f>
        <v/>
      </c>
      <c r="M853" s="137">
        <f>IF(B853="Retired",MIN(((Q852)*(1+$C$10)+IF(B853="Working",J853,0)),K853),0)</f>
        <v/>
      </c>
      <c r="N853" s="137">
        <f>IF(B853="Retired",MIN(MAX(K853-M853,0),((R852)*(1+$C$10)+IF(B853="Working",E104,0))),0)</f>
        <v/>
      </c>
      <c r="O853" s="137">
        <f>IF(B853="Retired",MIN(MAX(K853-M853-N853,0),((S852)*(1+$C$10)+IF(B853="Working",I853,0))),0)</f>
        <v/>
      </c>
      <c r="P853" s="137">
        <f>IF(B853="Retired",MIN(MAX(K853-M853-N853-O853,0),((T852)*(1+$C$10)+IF(B853="Working",F104,0))),0)</f>
        <v/>
      </c>
      <c r="Q853" s="138">
        <f>MAX(((Q852)*(1+$C$10)+IF(B853="Working",J853,0))-M853,0)</f>
        <v/>
      </c>
      <c r="R853" s="138">
        <f>MAX(((R852)*(1+$C$10)+IF(B853="Working",E104,0))-N853,0)</f>
        <v/>
      </c>
      <c r="S853" s="138">
        <f>MAX(((S852)*(1+$C$10)+IF(B853="Working",I853,0))-O853,0)</f>
        <v/>
      </c>
      <c r="T853" s="138">
        <f>MAX(((T852)*(1+$C$10)+IF(B853="Working",F104,0))-P853,0)</f>
        <v/>
      </c>
      <c r="U853" s="138">
        <f>Q853+R853+S853+T853</f>
        <v/>
      </c>
      <c r="V853" s="138">
        <f>IF(B853="Working",MAX(-(((Q852)*(1+$C$10)+IF(B853="Working",J853,0))),0),MAX(K853-L853,0))</f>
        <v/>
      </c>
      <c r="W853" s="138">
        <f>IF(OR(A853&gt;=$C$13,B853="Retired"),IF(V853&gt;0,-V853,U853-'Model Inputs'!$B$18),"")</f>
        <v/>
      </c>
      <c r="X853" s="138">
        <f>IF(AND($L$240&gt;0,A853&gt;=$C$13),$L$240*(1+$C$25)^(A853-$C$13),0)</f>
        <v/>
      </c>
      <c r="Y853" s="138">
        <f>IF(OR($L$240&lt;=0,$C$17&lt;=0,A853&lt;$C$13,MIN(MAX((A853-$C$13+1)*12,0),$C$17*12)&gt;=$C$17*12),0,IF($C$16=0,MAX(MAX($L$240*(1-$C$15),0)-(IF($C$17&lt;=0,0,IF($C$16=0,MAX($L$240*(1-$C$15),0)/$C$17,-PMT($C$16/12,$C$17*12,MAX($L$240*(1-$C$15),0))*12))/12)*MIN(MAX((A853-$C$13+1)*12,0),$C$17*12),0),MAX(MAX($L$240*(1-$C$15),0)*(1+$C$16/12)^MIN(MAX((A853-$C$13+1)*12,0),$C$17*12)-(IF($C$17&lt;=0,0,IF($C$16=0,MAX($L$240*(1-$C$15),0)/$C$17,-PMT($C$16/12,$C$17*12,MAX($L$240*(1-$C$15),0))*12))/12)*(((1+$C$16/12)^MIN(MAX((A853-$C$13+1)*12,0),$C$17*12)-1)/($C$16/12)),0)))</f>
        <v/>
      </c>
      <c r="Z853" s="138">
        <f>MAX(X853-Y853,0)</f>
        <v/>
      </c>
      <c r="AA853" s="139">
        <f>U853+Z853</f>
        <v/>
      </c>
      <c r="AB853" s="5" t="n"/>
      <c r="AC853" s="5" t="n"/>
      <c r="AD853" s="5" t="n"/>
      <c r="AE853" s="5" t="n"/>
      <c r="AF853" s="5" t="n"/>
      <c r="AG853" s="5" t="n"/>
    </row>
    <row r="854" outlineLevel="1" s="326">
      <c r="A854" s="140" t="n">
        <v>26</v>
      </c>
      <c r="B854" s="40">
        <f>B105</f>
        <v/>
      </c>
      <c r="C854" s="141">
        <f>D105</f>
        <v/>
      </c>
      <c r="D854" s="141">
        <f>I105</f>
        <v/>
      </c>
      <c r="E854" s="141">
        <f>J105</f>
        <v/>
      </c>
      <c r="F854" s="141">
        <f>K105</f>
        <v/>
      </c>
      <c r="G854" s="138">
        <f>IF(AND($L$240&gt;0,A854=$C$13),$L$240*($C$15+$C$18),0)+IF(AND($L$240&gt;0,A854=$C$13),$C$24,0)</f>
        <v/>
      </c>
      <c r="H854" s="138">
        <f>IF(OR($L$240&lt;=0,A854&lt;$C$13),0,IF(AND($L$240&gt;0,$C$17&gt;0,A854&gt;=$C$13,A854&lt;($C$13+$C$17)),IF($C$17&lt;=0,0,IF($C$16=0,MAX($L$240*(1-$C$15),0)/$C$17,-PMT($C$16/12,$C$17*12,MAX($L$240*(1-$C$15),0))*12)),0)+X854*($C$19+$C$20+$C$21)+$C$22+$C$23)</f>
        <v/>
      </c>
      <c r="I854" s="138">
        <f>IF(B854="Working",MIN(MAX(D854-E854-F854-G854-H854,0),'Tax Assumptions'!$B$20),0)</f>
        <v/>
      </c>
      <c r="J854" s="138">
        <f>IF(B854="Working",D854-E854-F854-I854-G854-H854,-L854)</f>
        <v/>
      </c>
      <c r="K854" s="141">
        <f>IF(B854="Retired",$N$240+G854+H854,0)</f>
        <v/>
      </c>
      <c r="L854" s="141">
        <f>M854+N854+O854+P854</f>
        <v/>
      </c>
      <c r="M854" s="141">
        <f>IF(B854="Retired",MIN(((Q853)*(1+$C$10)+IF(B854="Working",J854,0)),K854),0)</f>
        <v/>
      </c>
      <c r="N854" s="141">
        <f>IF(B854="Retired",MIN(MAX(K854-M854,0),((R853)*(1+$C$10)+IF(B854="Working",E105,0))),0)</f>
        <v/>
      </c>
      <c r="O854" s="141">
        <f>IF(B854="Retired",MIN(MAX(K854-M854-N854,0),((S853)*(1+$C$10)+IF(B854="Working",I854,0))),0)</f>
        <v/>
      </c>
      <c r="P854" s="141">
        <f>IF(B854="Retired",MIN(MAX(K854-M854-N854-O854,0),((T853)*(1+$C$10)+IF(B854="Working",F105,0))),0)</f>
        <v/>
      </c>
      <c r="Q854" s="138">
        <f>MAX(((Q853)*(1+$C$10)+IF(B854="Working",J854,0))-M854,0)</f>
        <v/>
      </c>
      <c r="R854" s="138">
        <f>MAX(((R853)*(1+$C$10)+IF(B854="Working",E105,0))-N854,0)</f>
        <v/>
      </c>
      <c r="S854" s="138">
        <f>MAX(((S853)*(1+$C$10)+IF(B854="Working",I854,0))-O854,0)</f>
        <v/>
      </c>
      <c r="T854" s="138">
        <f>MAX(((T853)*(1+$C$10)+IF(B854="Working",F105,0))-P854,0)</f>
        <v/>
      </c>
      <c r="U854" s="138">
        <f>Q854+R854+S854+T854</f>
        <v/>
      </c>
      <c r="V854" s="138">
        <f>IF(B854="Working",MAX(-(((Q853)*(1+$C$10)+IF(B854="Working",J854,0))),0),MAX(K854-L854,0))</f>
        <v/>
      </c>
      <c r="W854" s="138">
        <f>IF(OR(A854&gt;=$C$13,B854="Retired"),IF(V854&gt;0,-V854,U854-'Model Inputs'!$B$18),"")</f>
        <v/>
      </c>
      <c r="X854" s="138">
        <f>IF(AND($L$240&gt;0,A854&gt;=$C$13),$L$240*(1+$C$25)^(A854-$C$13),0)</f>
        <v/>
      </c>
      <c r="Y854" s="138">
        <f>IF(OR($L$240&lt;=0,$C$17&lt;=0,A854&lt;$C$13,MIN(MAX((A854-$C$13+1)*12,0),$C$17*12)&gt;=$C$17*12),0,IF($C$16=0,MAX(MAX($L$240*(1-$C$15),0)-(IF($C$17&lt;=0,0,IF($C$16=0,MAX($L$240*(1-$C$15),0)/$C$17,-PMT($C$16/12,$C$17*12,MAX($L$240*(1-$C$15),0))*12))/12)*MIN(MAX((A854-$C$13+1)*12,0),$C$17*12),0),MAX(MAX($L$240*(1-$C$15),0)*(1+$C$16/12)^MIN(MAX((A854-$C$13+1)*12,0),$C$17*12)-(IF($C$17&lt;=0,0,IF($C$16=0,MAX($L$240*(1-$C$15),0)/$C$17,-PMT($C$16/12,$C$17*12,MAX($L$240*(1-$C$15),0))*12))/12)*(((1+$C$16/12)^MIN(MAX((A854-$C$13+1)*12,0),$C$17*12)-1)/($C$16/12)),0)))</f>
        <v/>
      </c>
      <c r="Z854" s="138">
        <f>MAX(X854-Y854,0)</f>
        <v/>
      </c>
      <c r="AA854" s="142">
        <f>U854+Z854</f>
        <v/>
      </c>
      <c r="AB854" s="5" t="n"/>
      <c r="AC854" s="5" t="n"/>
      <c r="AD854" s="5" t="n"/>
      <c r="AE854" s="5" t="n"/>
      <c r="AF854" s="5" t="n"/>
      <c r="AG854" s="5" t="n"/>
    </row>
    <row r="855" outlineLevel="1" s="326">
      <c r="A855" s="136" t="n">
        <v>27</v>
      </c>
      <c r="B855" s="72">
        <f>B106</f>
        <v/>
      </c>
      <c r="C855" s="137">
        <f>D106</f>
        <v/>
      </c>
      <c r="D855" s="137">
        <f>I106</f>
        <v/>
      </c>
      <c r="E855" s="137">
        <f>J106</f>
        <v/>
      </c>
      <c r="F855" s="137">
        <f>K106</f>
        <v/>
      </c>
      <c r="G855" s="138">
        <f>IF(AND($L$240&gt;0,A855=$C$13),$L$240*($C$15+$C$18),0)+IF(AND($L$240&gt;0,A855=$C$13),$C$24,0)</f>
        <v/>
      </c>
      <c r="H855" s="138">
        <f>IF(OR($L$240&lt;=0,A855&lt;$C$13),0,IF(AND($L$240&gt;0,$C$17&gt;0,A855&gt;=$C$13,A855&lt;($C$13+$C$17)),IF($C$17&lt;=0,0,IF($C$16=0,MAX($L$240*(1-$C$15),0)/$C$17,-PMT($C$16/12,$C$17*12,MAX($L$240*(1-$C$15),0))*12)),0)+X855*($C$19+$C$20+$C$21)+$C$22+$C$23)</f>
        <v/>
      </c>
      <c r="I855" s="138">
        <f>IF(B855="Working",MIN(MAX(D855-E855-F855-G855-H855,0),'Tax Assumptions'!$B$20),0)</f>
        <v/>
      </c>
      <c r="J855" s="138">
        <f>IF(B855="Working",D855-E855-F855-I855-G855-H855,-L855)</f>
        <v/>
      </c>
      <c r="K855" s="137">
        <f>IF(B855="Retired",$N$240+G855+H855,0)</f>
        <v/>
      </c>
      <c r="L855" s="137">
        <f>M855+N855+O855+P855</f>
        <v/>
      </c>
      <c r="M855" s="137">
        <f>IF(B855="Retired",MIN(((Q854)*(1+$C$10)+IF(B855="Working",J855,0)),K855),0)</f>
        <v/>
      </c>
      <c r="N855" s="137">
        <f>IF(B855="Retired",MIN(MAX(K855-M855,0),((R854)*(1+$C$10)+IF(B855="Working",E106,0))),0)</f>
        <v/>
      </c>
      <c r="O855" s="137">
        <f>IF(B855="Retired",MIN(MAX(K855-M855-N855,0),((S854)*(1+$C$10)+IF(B855="Working",I855,0))),0)</f>
        <v/>
      </c>
      <c r="P855" s="137">
        <f>IF(B855="Retired",MIN(MAX(K855-M855-N855-O855,0),((T854)*(1+$C$10)+IF(B855="Working",F106,0))),0)</f>
        <v/>
      </c>
      <c r="Q855" s="138">
        <f>MAX(((Q854)*(1+$C$10)+IF(B855="Working",J855,0))-M855,0)</f>
        <v/>
      </c>
      <c r="R855" s="138">
        <f>MAX(((R854)*(1+$C$10)+IF(B855="Working",E106,0))-N855,0)</f>
        <v/>
      </c>
      <c r="S855" s="138">
        <f>MAX(((S854)*(1+$C$10)+IF(B855="Working",I855,0))-O855,0)</f>
        <v/>
      </c>
      <c r="T855" s="138">
        <f>MAX(((T854)*(1+$C$10)+IF(B855="Working",F106,0))-P855,0)</f>
        <v/>
      </c>
      <c r="U855" s="138">
        <f>Q855+R855+S855+T855</f>
        <v/>
      </c>
      <c r="V855" s="138">
        <f>IF(B855="Working",MAX(-(((Q854)*(1+$C$10)+IF(B855="Working",J855,0))),0),MAX(K855-L855,0))</f>
        <v/>
      </c>
      <c r="W855" s="138">
        <f>IF(OR(A855&gt;=$C$13,B855="Retired"),IF(V855&gt;0,-V855,U855-'Model Inputs'!$B$18),"")</f>
        <v/>
      </c>
      <c r="X855" s="138">
        <f>IF(AND($L$240&gt;0,A855&gt;=$C$13),$L$240*(1+$C$25)^(A855-$C$13),0)</f>
        <v/>
      </c>
      <c r="Y855" s="138">
        <f>IF(OR($L$240&lt;=0,$C$17&lt;=0,A855&lt;$C$13,MIN(MAX((A855-$C$13+1)*12,0),$C$17*12)&gt;=$C$17*12),0,IF($C$16=0,MAX(MAX($L$240*(1-$C$15),0)-(IF($C$17&lt;=0,0,IF($C$16=0,MAX($L$240*(1-$C$15),0)/$C$17,-PMT($C$16/12,$C$17*12,MAX($L$240*(1-$C$15),0))*12))/12)*MIN(MAX((A855-$C$13+1)*12,0),$C$17*12),0),MAX(MAX($L$240*(1-$C$15),0)*(1+$C$16/12)^MIN(MAX((A855-$C$13+1)*12,0),$C$17*12)-(IF($C$17&lt;=0,0,IF($C$16=0,MAX($L$240*(1-$C$15),0)/$C$17,-PMT($C$16/12,$C$17*12,MAX($L$240*(1-$C$15),0))*12))/12)*(((1+$C$16/12)^MIN(MAX((A855-$C$13+1)*12,0),$C$17*12)-1)/($C$16/12)),0)))</f>
        <v/>
      </c>
      <c r="Z855" s="138">
        <f>MAX(X855-Y855,0)</f>
        <v/>
      </c>
      <c r="AA855" s="139">
        <f>U855+Z855</f>
        <v/>
      </c>
      <c r="AB855" s="5" t="n"/>
      <c r="AC855" s="5" t="n"/>
      <c r="AD855" s="5" t="n"/>
      <c r="AE855" s="5" t="n"/>
      <c r="AF855" s="5" t="n"/>
      <c r="AG855" s="5" t="n"/>
    </row>
    <row r="856" outlineLevel="1" s="326">
      <c r="A856" s="140" t="n">
        <v>28</v>
      </c>
      <c r="B856" s="40">
        <f>B107</f>
        <v/>
      </c>
      <c r="C856" s="141">
        <f>D107</f>
        <v/>
      </c>
      <c r="D856" s="141">
        <f>I107</f>
        <v/>
      </c>
      <c r="E856" s="141">
        <f>J107</f>
        <v/>
      </c>
      <c r="F856" s="141">
        <f>K107</f>
        <v/>
      </c>
      <c r="G856" s="138">
        <f>IF(AND($L$240&gt;0,A856=$C$13),$L$240*($C$15+$C$18),0)+IF(AND($L$240&gt;0,A856=$C$13),$C$24,0)</f>
        <v/>
      </c>
      <c r="H856" s="138">
        <f>IF(OR($L$240&lt;=0,A856&lt;$C$13),0,IF(AND($L$240&gt;0,$C$17&gt;0,A856&gt;=$C$13,A856&lt;($C$13+$C$17)),IF($C$17&lt;=0,0,IF($C$16=0,MAX($L$240*(1-$C$15),0)/$C$17,-PMT($C$16/12,$C$17*12,MAX($L$240*(1-$C$15),0))*12)),0)+X856*($C$19+$C$20+$C$21)+$C$22+$C$23)</f>
        <v/>
      </c>
      <c r="I856" s="138">
        <f>IF(B856="Working",MIN(MAX(D856-E856-F856-G856-H856,0),'Tax Assumptions'!$B$20),0)</f>
        <v/>
      </c>
      <c r="J856" s="138">
        <f>IF(B856="Working",D856-E856-F856-I856-G856-H856,-L856)</f>
        <v/>
      </c>
      <c r="K856" s="141">
        <f>IF(B856="Retired",$N$240+G856+H856,0)</f>
        <v/>
      </c>
      <c r="L856" s="141">
        <f>M856+N856+O856+P856</f>
        <v/>
      </c>
      <c r="M856" s="141">
        <f>IF(B856="Retired",MIN(((Q855)*(1+$C$10)+IF(B856="Working",J856,0)),K856),0)</f>
        <v/>
      </c>
      <c r="N856" s="141">
        <f>IF(B856="Retired",MIN(MAX(K856-M856,0),((R855)*(1+$C$10)+IF(B856="Working",E107,0))),0)</f>
        <v/>
      </c>
      <c r="O856" s="141">
        <f>IF(B856="Retired",MIN(MAX(K856-M856-N856,0),((S855)*(1+$C$10)+IF(B856="Working",I856,0))),0)</f>
        <v/>
      </c>
      <c r="P856" s="141">
        <f>IF(B856="Retired",MIN(MAX(K856-M856-N856-O856,0),((T855)*(1+$C$10)+IF(B856="Working",F107,0))),0)</f>
        <v/>
      </c>
      <c r="Q856" s="138">
        <f>MAX(((Q855)*(1+$C$10)+IF(B856="Working",J856,0))-M856,0)</f>
        <v/>
      </c>
      <c r="R856" s="138">
        <f>MAX(((R855)*(1+$C$10)+IF(B856="Working",E107,0))-N856,0)</f>
        <v/>
      </c>
      <c r="S856" s="138">
        <f>MAX(((S855)*(1+$C$10)+IF(B856="Working",I856,0))-O856,0)</f>
        <v/>
      </c>
      <c r="T856" s="138">
        <f>MAX(((T855)*(1+$C$10)+IF(B856="Working",F107,0))-P856,0)</f>
        <v/>
      </c>
      <c r="U856" s="138">
        <f>Q856+R856+S856+T856</f>
        <v/>
      </c>
      <c r="V856" s="138">
        <f>IF(B856="Working",MAX(-(((Q855)*(1+$C$10)+IF(B856="Working",J856,0))),0),MAX(K856-L856,0))</f>
        <v/>
      </c>
      <c r="W856" s="138">
        <f>IF(OR(A856&gt;=$C$13,B856="Retired"),IF(V856&gt;0,-V856,U856-'Model Inputs'!$B$18),"")</f>
        <v/>
      </c>
      <c r="X856" s="138">
        <f>IF(AND($L$240&gt;0,A856&gt;=$C$13),$L$240*(1+$C$25)^(A856-$C$13),0)</f>
        <v/>
      </c>
      <c r="Y856" s="138">
        <f>IF(OR($L$240&lt;=0,$C$17&lt;=0,A856&lt;$C$13,MIN(MAX((A856-$C$13+1)*12,0),$C$17*12)&gt;=$C$17*12),0,IF($C$16=0,MAX(MAX($L$240*(1-$C$15),0)-(IF($C$17&lt;=0,0,IF($C$16=0,MAX($L$240*(1-$C$15),0)/$C$17,-PMT($C$16/12,$C$17*12,MAX($L$240*(1-$C$15),0))*12))/12)*MIN(MAX((A856-$C$13+1)*12,0),$C$17*12),0),MAX(MAX($L$240*(1-$C$15),0)*(1+$C$16/12)^MIN(MAX((A856-$C$13+1)*12,0),$C$17*12)-(IF($C$17&lt;=0,0,IF($C$16=0,MAX($L$240*(1-$C$15),0)/$C$17,-PMT($C$16/12,$C$17*12,MAX($L$240*(1-$C$15),0))*12))/12)*(((1+$C$16/12)^MIN(MAX((A856-$C$13+1)*12,0),$C$17*12)-1)/($C$16/12)),0)))</f>
        <v/>
      </c>
      <c r="Z856" s="138">
        <f>MAX(X856-Y856,0)</f>
        <v/>
      </c>
      <c r="AA856" s="142">
        <f>U856+Z856</f>
        <v/>
      </c>
      <c r="AB856" s="5" t="n"/>
      <c r="AC856" s="5" t="n"/>
      <c r="AD856" s="5" t="n"/>
      <c r="AE856" s="5" t="n"/>
      <c r="AF856" s="5" t="n"/>
      <c r="AG856" s="5" t="n"/>
    </row>
    <row r="857" outlineLevel="1" s="326">
      <c r="A857" s="136" t="n">
        <v>29</v>
      </c>
      <c r="B857" s="72">
        <f>B108</f>
        <v/>
      </c>
      <c r="C857" s="137">
        <f>D108</f>
        <v/>
      </c>
      <c r="D857" s="137">
        <f>I108</f>
        <v/>
      </c>
      <c r="E857" s="137">
        <f>J108</f>
        <v/>
      </c>
      <c r="F857" s="137">
        <f>K108</f>
        <v/>
      </c>
      <c r="G857" s="138">
        <f>IF(AND($L$240&gt;0,A857=$C$13),$L$240*($C$15+$C$18),0)+IF(AND($L$240&gt;0,A857=$C$13),$C$24,0)</f>
        <v/>
      </c>
      <c r="H857" s="138">
        <f>IF(OR($L$240&lt;=0,A857&lt;$C$13),0,IF(AND($L$240&gt;0,$C$17&gt;0,A857&gt;=$C$13,A857&lt;($C$13+$C$17)),IF($C$17&lt;=0,0,IF($C$16=0,MAX($L$240*(1-$C$15),0)/$C$17,-PMT($C$16/12,$C$17*12,MAX($L$240*(1-$C$15),0))*12)),0)+X857*($C$19+$C$20+$C$21)+$C$22+$C$23)</f>
        <v/>
      </c>
      <c r="I857" s="138">
        <f>IF(B857="Working",MIN(MAX(D857-E857-F857-G857-H857,0),'Tax Assumptions'!$B$20),0)</f>
        <v/>
      </c>
      <c r="J857" s="138">
        <f>IF(B857="Working",D857-E857-F857-I857-G857-H857,-L857)</f>
        <v/>
      </c>
      <c r="K857" s="137">
        <f>IF(B857="Retired",$N$240+G857+H857,0)</f>
        <v/>
      </c>
      <c r="L857" s="137">
        <f>M857+N857+O857+P857</f>
        <v/>
      </c>
      <c r="M857" s="137">
        <f>IF(B857="Retired",MIN(((Q856)*(1+$C$10)+IF(B857="Working",J857,0)),K857),0)</f>
        <v/>
      </c>
      <c r="N857" s="137">
        <f>IF(B857="Retired",MIN(MAX(K857-M857,0),((R856)*(1+$C$10)+IF(B857="Working",E108,0))),0)</f>
        <v/>
      </c>
      <c r="O857" s="137">
        <f>IF(B857="Retired",MIN(MAX(K857-M857-N857,0),((S856)*(1+$C$10)+IF(B857="Working",I857,0))),0)</f>
        <v/>
      </c>
      <c r="P857" s="137">
        <f>IF(B857="Retired",MIN(MAX(K857-M857-N857-O857,0),((T856)*(1+$C$10)+IF(B857="Working",F108,0))),0)</f>
        <v/>
      </c>
      <c r="Q857" s="138">
        <f>MAX(((Q856)*(1+$C$10)+IF(B857="Working",J857,0))-M857,0)</f>
        <v/>
      </c>
      <c r="R857" s="138">
        <f>MAX(((R856)*(1+$C$10)+IF(B857="Working",E108,0))-N857,0)</f>
        <v/>
      </c>
      <c r="S857" s="138">
        <f>MAX(((S856)*(1+$C$10)+IF(B857="Working",I857,0))-O857,0)</f>
        <v/>
      </c>
      <c r="T857" s="138">
        <f>MAX(((T856)*(1+$C$10)+IF(B857="Working",F108,0))-P857,0)</f>
        <v/>
      </c>
      <c r="U857" s="138">
        <f>Q857+R857+S857+T857</f>
        <v/>
      </c>
      <c r="V857" s="138">
        <f>IF(B857="Working",MAX(-(((Q856)*(1+$C$10)+IF(B857="Working",J857,0))),0),MAX(K857-L857,0))</f>
        <v/>
      </c>
      <c r="W857" s="138">
        <f>IF(OR(A857&gt;=$C$13,B857="Retired"),IF(V857&gt;0,-V857,U857-'Model Inputs'!$B$18),"")</f>
        <v/>
      </c>
      <c r="X857" s="138">
        <f>IF(AND($L$240&gt;0,A857&gt;=$C$13),$L$240*(1+$C$25)^(A857-$C$13),0)</f>
        <v/>
      </c>
      <c r="Y857" s="138">
        <f>IF(OR($L$240&lt;=0,$C$17&lt;=0,A857&lt;$C$13,MIN(MAX((A857-$C$13+1)*12,0),$C$17*12)&gt;=$C$17*12),0,IF($C$16=0,MAX(MAX($L$240*(1-$C$15),0)-(IF($C$17&lt;=0,0,IF($C$16=0,MAX($L$240*(1-$C$15),0)/$C$17,-PMT($C$16/12,$C$17*12,MAX($L$240*(1-$C$15),0))*12))/12)*MIN(MAX((A857-$C$13+1)*12,0),$C$17*12),0),MAX(MAX($L$240*(1-$C$15),0)*(1+$C$16/12)^MIN(MAX((A857-$C$13+1)*12,0),$C$17*12)-(IF($C$17&lt;=0,0,IF($C$16=0,MAX($L$240*(1-$C$15),0)/$C$17,-PMT($C$16/12,$C$17*12,MAX($L$240*(1-$C$15),0))*12))/12)*(((1+$C$16/12)^MIN(MAX((A857-$C$13+1)*12,0),$C$17*12)-1)/($C$16/12)),0)))</f>
        <v/>
      </c>
      <c r="Z857" s="138">
        <f>MAX(X857-Y857,0)</f>
        <v/>
      </c>
      <c r="AA857" s="139">
        <f>U857+Z857</f>
        <v/>
      </c>
      <c r="AB857" s="5" t="n"/>
      <c r="AC857" s="5" t="n"/>
      <c r="AD857" s="5" t="n"/>
      <c r="AE857" s="5" t="n"/>
      <c r="AF857" s="5" t="n"/>
      <c r="AG857" s="5" t="n"/>
    </row>
    <row r="858" outlineLevel="1" s="326">
      <c r="A858" s="140" t="n">
        <v>30</v>
      </c>
      <c r="B858" s="40">
        <f>B109</f>
        <v/>
      </c>
      <c r="C858" s="141">
        <f>D109</f>
        <v/>
      </c>
      <c r="D858" s="141">
        <f>I109</f>
        <v/>
      </c>
      <c r="E858" s="141">
        <f>J109</f>
        <v/>
      </c>
      <c r="F858" s="141">
        <f>K109</f>
        <v/>
      </c>
      <c r="G858" s="138">
        <f>IF(AND($L$240&gt;0,A858=$C$13),$L$240*($C$15+$C$18),0)+IF(AND($L$240&gt;0,A858=$C$13),$C$24,0)</f>
        <v/>
      </c>
      <c r="H858" s="138">
        <f>IF(OR($L$240&lt;=0,A858&lt;$C$13),0,IF(AND($L$240&gt;0,$C$17&gt;0,A858&gt;=$C$13,A858&lt;($C$13+$C$17)),IF($C$17&lt;=0,0,IF($C$16=0,MAX($L$240*(1-$C$15),0)/$C$17,-PMT($C$16/12,$C$17*12,MAX($L$240*(1-$C$15),0))*12)),0)+X858*($C$19+$C$20+$C$21)+$C$22+$C$23)</f>
        <v/>
      </c>
      <c r="I858" s="138">
        <f>IF(B858="Working",MIN(MAX(D858-E858-F858-G858-H858,0),'Tax Assumptions'!$B$20),0)</f>
        <v/>
      </c>
      <c r="J858" s="138">
        <f>IF(B858="Working",D858-E858-F858-I858-G858-H858,-L858)</f>
        <v/>
      </c>
      <c r="K858" s="141">
        <f>IF(B858="Retired",$N$240+G858+H858,0)</f>
        <v/>
      </c>
      <c r="L858" s="141">
        <f>M858+N858+O858+P858</f>
        <v/>
      </c>
      <c r="M858" s="141">
        <f>IF(B858="Retired",MIN(((Q857)*(1+$C$10)+IF(B858="Working",J858,0)),K858),0)</f>
        <v/>
      </c>
      <c r="N858" s="141">
        <f>IF(B858="Retired",MIN(MAX(K858-M858,0),((R857)*(1+$C$10)+IF(B858="Working",E109,0))),0)</f>
        <v/>
      </c>
      <c r="O858" s="141">
        <f>IF(B858="Retired",MIN(MAX(K858-M858-N858,0),((S857)*(1+$C$10)+IF(B858="Working",I858,0))),0)</f>
        <v/>
      </c>
      <c r="P858" s="141">
        <f>IF(B858="Retired",MIN(MAX(K858-M858-N858-O858,0),((T857)*(1+$C$10)+IF(B858="Working",F109,0))),0)</f>
        <v/>
      </c>
      <c r="Q858" s="138">
        <f>MAX(((Q857)*(1+$C$10)+IF(B858="Working",J858,0))-M858,0)</f>
        <v/>
      </c>
      <c r="R858" s="138">
        <f>MAX(((R857)*(1+$C$10)+IF(B858="Working",E109,0))-N858,0)</f>
        <v/>
      </c>
      <c r="S858" s="138">
        <f>MAX(((S857)*(1+$C$10)+IF(B858="Working",I858,0))-O858,0)</f>
        <v/>
      </c>
      <c r="T858" s="138">
        <f>MAX(((T857)*(1+$C$10)+IF(B858="Working",F109,0))-P858,0)</f>
        <v/>
      </c>
      <c r="U858" s="138">
        <f>Q858+R858+S858+T858</f>
        <v/>
      </c>
      <c r="V858" s="138">
        <f>IF(B858="Working",MAX(-(((Q857)*(1+$C$10)+IF(B858="Working",J858,0))),0),MAX(K858-L858,0))</f>
        <v/>
      </c>
      <c r="W858" s="138">
        <f>IF(OR(A858&gt;=$C$13,B858="Retired"),IF(V858&gt;0,-V858,U858-'Model Inputs'!$B$18),"")</f>
        <v/>
      </c>
      <c r="X858" s="138">
        <f>IF(AND($L$240&gt;0,A858&gt;=$C$13),$L$240*(1+$C$25)^(A858-$C$13),0)</f>
        <v/>
      </c>
      <c r="Y858" s="138">
        <f>IF(OR($L$240&lt;=0,$C$17&lt;=0,A858&lt;$C$13,MIN(MAX((A858-$C$13+1)*12,0),$C$17*12)&gt;=$C$17*12),0,IF($C$16=0,MAX(MAX($L$240*(1-$C$15),0)-(IF($C$17&lt;=0,0,IF($C$16=0,MAX($L$240*(1-$C$15),0)/$C$17,-PMT($C$16/12,$C$17*12,MAX($L$240*(1-$C$15),0))*12))/12)*MIN(MAX((A858-$C$13+1)*12,0),$C$17*12),0),MAX(MAX($L$240*(1-$C$15),0)*(1+$C$16/12)^MIN(MAX((A858-$C$13+1)*12,0),$C$17*12)-(IF($C$17&lt;=0,0,IF($C$16=0,MAX($L$240*(1-$C$15),0)/$C$17,-PMT($C$16/12,$C$17*12,MAX($L$240*(1-$C$15),0))*12))/12)*(((1+$C$16/12)^MIN(MAX((A858-$C$13+1)*12,0),$C$17*12)-1)/($C$16/12)),0)))</f>
        <v/>
      </c>
      <c r="Z858" s="138">
        <f>MAX(X858-Y858,0)</f>
        <v/>
      </c>
      <c r="AA858" s="142">
        <f>U858+Z858</f>
        <v/>
      </c>
      <c r="AB858" s="5" t="n"/>
      <c r="AC858" s="5" t="n"/>
      <c r="AD858" s="5" t="n"/>
      <c r="AE858" s="5" t="n"/>
      <c r="AF858" s="5" t="n"/>
      <c r="AG858" s="5" t="n"/>
    </row>
    <row r="859" outlineLevel="1" s="326">
      <c r="A859" s="136" t="n">
        <v>31</v>
      </c>
      <c r="B859" s="72">
        <f>B110</f>
        <v/>
      </c>
      <c r="C859" s="137">
        <f>D110</f>
        <v/>
      </c>
      <c r="D859" s="137">
        <f>I110</f>
        <v/>
      </c>
      <c r="E859" s="137">
        <f>J110</f>
        <v/>
      </c>
      <c r="F859" s="137">
        <f>K110</f>
        <v/>
      </c>
      <c r="G859" s="138">
        <f>IF(AND($L$240&gt;0,A859=$C$13),$L$240*($C$15+$C$18),0)+IF(AND($L$240&gt;0,A859=$C$13),$C$24,0)</f>
        <v/>
      </c>
      <c r="H859" s="138">
        <f>IF(OR($L$240&lt;=0,A859&lt;$C$13),0,IF(AND($L$240&gt;0,$C$17&gt;0,A859&gt;=$C$13,A859&lt;($C$13+$C$17)),IF($C$17&lt;=0,0,IF($C$16=0,MAX($L$240*(1-$C$15),0)/$C$17,-PMT($C$16/12,$C$17*12,MAX($L$240*(1-$C$15),0))*12)),0)+X859*($C$19+$C$20+$C$21)+$C$22+$C$23)</f>
        <v/>
      </c>
      <c r="I859" s="138">
        <f>IF(B859="Working",MIN(MAX(D859-E859-F859-G859-H859,0),'Tax Assumptions'!$B$20),0)</f>
        <v/>
      </c>
      <c r="J859" s="138">
        <f>IF(B859="Working",D859-E859-F859-I859-G859-H859,-L859)</f>
        <v/>
      </c>
      <c r="K859" s="137">
        <f>IF(B859="Retired",$N$240+G859+H859,0)</f>
        <v/>
      </c>
      <c r="L859" s="137">
        <f>M859+N859+O859+P859</f>
        <v/>
      </c>
      <c r="M859" s="137">
        <f>IF(B859="Retired",MIN(((Q858)*(1+$C$10)+IF(B859="Working",J859,0)),K859),0)</f>
        <v/>
      </c>
      <c r="N859" s="137">
        <f>IF(B859="Retired",MIN(MAX(K859-M859,0),((R858)*(1+$C$10)+IF(B859="Working",E110,0))),0)</f>
        <v/>
      </c>
      <c r="O859" s="137">
        <f>IF(B859="Retired",MIN(MAX(K859-M859-N859,0),((S858)*(1+$C$10)+IF(B859="Working",I859,0))),0)</f>
        <v/>
      </c>
      <c r="P859" s="137">
        <f>IF(B859="Retired",MIN(MAX(K859-M859-N859-O859,0),((T858)*(1+$C$10)+IF(B859="Working",F110,0))),0)</f>
        <v/>
      </c>
      <c r="Q859" s="138">
        <f>MAX(((Q858)*(1+$C$10)+IF(B859="Working",J859,0))-M859,0)</f>
        <v/>
      </c>
      <c r="R859" s="138">
        <f>MAX(((R858)*(1+$C$10)+IF(B859="Working",E110,0))-N859,0)</f>
        <v/>
      </c>
      <c r="S859" s="138">
        <f>MAX(((S858)*(1+$C$10)+IF(B859="Working",I859,0))-O859,0)</f>
        <v/>
      </c>
      <c r="T859" s="138">
        <f>MAX(((T858)*(1+$C$10)+IF(B859="Working",F110,0))-P859,0)</f>
        <v/>
      </c>
      <c r="U859" s="138">
        <f>Q859+R859+S859+T859</f>
        <v/>
      </c>
      <c r="V859" s="138">
        <f>IF(B859="Working",MAX(-(((Q858)*(1+$C$10)+IF(B859="Working",J859,0))),0),MAX(K859-L859,0))</f>
        <v/>
      </c>
      <c r="W859" s="138">
        <f>IF(OR(A859&gt;=$C$13,B859="Retired"),IF(V859&gt;0,-V859,U859-'Model Inputs'!$B$18),"")</f>
        <v/>
      </c>
      <c r="X859" s="138">
        <f>IF(AND($L$240&gt;0,A859&gt;=$C$13),$L$240*(1+$C$25)^(A859-$C$13),0)</f>
        <v/>
      </c>
      <c r="Y859" s="138">
        <f>IF(OR($L$240&lt;=0,$C$17&lt;=0,A859&lt;$C$13,MIN(MAX((A859-$C$13+1)*12,0),$C$17*12)&gt;=$C$17*12),0,IF($C$16=0,MAX(MAX($L$240*(1-$C$15),0)-(IF($C$17&lt;=0,0,IF($C$16=0,MAX($L$240*(1-$C$15),0)/$C$17,-PMT($C$16/12,$C$17*12,MAX($L$240*(1-$C$15),0))*12))/12)*MIN(MAX((A859-$C$13+1)*12,0),$C$17*12),0),MAX(MAX($L$240*(1-$C$15),0)*(1+$C$16/12)^MIN(MAX((A859-$C$13+1)*12,0),$C$17*12)-(IF($C$17&lt;=0,0,IF($C$16=0,MAX($L$240*(1-$C$15),0)/$C$17,-PMT($C$16/12,$C$17*12,MAX($L$240*(1-$C$15),0))*12))/12)*(((1+$C$16/12)^MIN(MAX((A859-$C$13+1)*12,0),$C$17*12)-1)/($C$16/12)),0)))</f>
        <v/>
      </c>
      <c r="Z859" s="138">
        <f>MAX(X859-Y859,0)</f>
        <v/>
      </c>
      <c r="AA859" s="139">
        <f>U859+Z859</f>
        <v/>
      </c>
      <c r="AB859" s="5" t="n"/>
      <c r="AC859" s="5" t="n"/>
      <c r="AD859" s="5" t="n"/>
      <c r="AE859" s="5" t="n"/>
      <c r="AF859" s="5" t="n"/>
      <c r="AG859" s="5" t="n"/>
    </row>
    <row r="860" outlineLevel="1" s="326">
      <c r="A860" s="140" t="n">
        <v>32</v>
      </c>
      <c r="B860" s="40">
        <f>B111</f>
        <v/>
      </c>
      <c r="C860" s="141">
        <f>D111</f>
        <v/>
      </c>
      <c r="D860" s="141">
        <f>I111</f>
        <v/>
      </c>
      <c r="E860" s="141">
        <f>J111</f>
        <v/>
      </c>
      <c r="F860" s="141">
        <f>K111</f>
        <v/>
      </c>
      <c r="G860" s="138">
        <f>IF(AND($L$240&gt;0,A860=$C$13),$L$240*($C$15+$C$18),0)+IF(AND($L$240&gt;0,A860=$C$13),$C$24,0)</f>
        <v/>
      </c>
      <c r="H860" s="138">
        <f>IF(OR($L$240&lt;=0,A860&lt;$C$13),0,IF(AND($L$240&gt;0,$C$17&gt;0,A860&gt;=$C$13,A860&lt;($C$13+$C$17)),IF($C$17&lt;=0,0,IF($C$16=0,MAX($L$240*(1-$C$15),0)/$C$17,-PMT($C$16/12,$C$17*12,MAX($L$240*(1-$C$15),0))*12)),0)+X860*($C$19+$C$20+$C$21)+$C$22+$C$23)</f>
        <v/>
      </c>
      <c r="I860" s="138">
        <f>IF(B860="Working",MIN(MAX(D860-E860-F860-G860-H860,0),'Tax Assumptions'!$B$20),0)</f>
        <v/>
      </c>
      <c r="J860" s="138">
        <f>IF(B860="Working",D860-E860-F860-I860-G860-H860,-L860)</f>
        <v/>
      </c>
      <c r="K860" s="141">
        <f>IF(B860="Retired",$N$240+G860+H860,0)</f>
        <v/>
      </c>
      <c r="L860" s="141">
        <f>M860+N860+O860+P860</f>
        <v/>
      </c>
      <c r="M860" s="141">
        <f>IF(B860="Retired",MIN(((Q859)*(1+$C$10)+IF(B860="Working",J860,0)),K860),0)</f>
        <v/>
      </c>
      <c r="N860" s="141">
        <f>IF(B860="Retired",MIN(MAX(K860-M860,0),((R859)*(1+$C$10)+IF(B860="Working",E111,0))),0)</f>
        <v/>
      </c>
      <c r="O860" s="141">
        <f>IF(B860="Retired",MIN(MAX(K860-M860-N860,0),((S859)*(1+$C$10)+IF(B860="Working",I860,0))),0)</f>
        <v/>
      </c>
      <c r="P860" s="141">
        <f>IF(B860="Retired",MIN(MAX(K860-M860-N860-O860,0),((T859)*(1+$C$10)+IF(B860="Working",F111,0))),0)</f>
        <v/>
      </c>
      <c r="Q860" s="138">
        <f>MAX(((Q859)*(1+$C$10)+IF(B860="Working",J860,0))-M860,0)</f>
        <v/>
      </c>
      <c r="R860" s="138">
        <f>MAX(((R859)*(1+$C$10)+IF(B860="Working",E111,0))-N860,0)</f>
        <v/>
      </c>
      <c r="S860" s="138">
        <f>MAX(((S859)*(1+$C$10)+IF(B860="Working",I860,0))-O860,0)</f>
        <v/>
      </c>
      <c r="T860" s="138">
        <f>MAX(((T859)*(1+$C$10)+IF(B860="Working",F111,0))-P860,0)</f>
        <v/>
      </c>
      <c r="U860" s="138">
        <f>Q860+R860+S860+T860</f>
        <v/>
      </c>
      <c r="V860" s="138">
        <f>IF(B860="Working",MAX(-(((Q859)*(1+$C$10)+IF(B860="Working",J860,0))),0),MAX(K860-L860,0))</f>
        <v/>
      </c>
      <c r="W860" s="138">
        <f>IF(OR(A860&gt;=$C$13,B860="Retired"),IF(V860&gt;0,-V860,U860-'Model Inputs'!$B$18),"")</f>
        <v/>
      </c>
      <c r="X860" s="138">
        <f>IF(AND($L$240&gt;0,A860&gt;=$C$13),$L$240*(1+$C$25)^(A860-$C$13),0)</f>
        <v/>
      </c>
      <c r="Y860" s="138">
        <f>IF(OR($L$240&lt;=0,$C$17&lt;=0,A860&lt;$C$13,MIN(MAX((A860-$C$13+1)*12,0),$C$17*12)&gt;=$C$17*12),0,IF($C$16=0,MAX(MAX($L$240*(1-$C$15),0)-(IF($C$17&lt;=0,0,IF($C$16=0,MAX($L$240*(1-$C$15),0)/$C$17,-PMT($C$16/12,$C$17*12,MAX($L$240*(1-$C$15),0))*12))/12)*MIN(MAX((A860-$C$13+1)*12,0),$C$17*12),0),MAX(MAX($L$240*(1-$C$15),0)*(1+$C$16/12)^MIN(MAX((A860-$C$13+1)*12,0),$C$17*12)-(IF($C$17&lt;=0,0,IF($C$16=0,MAX($L$240*(1-$C$15),0)/$C$17,-PMT($C$16/12,$C$17*12,MAX($L$240*(1-$C$15),0))*12))/12)*(((1+$C$16/12)^MIN(MAX((A860-$C$13+1)*12,0),$C$17*12)-1)/($C$16/12)),0)))</f>
        <v/>
      </c>
      <c r="Z860" s="138">
        <f>MAX(X860-Y860,0)</f>
        <v/>
      </c>
      <c r="AA860" s="142">
        <f>U860+Z860</f>
        <v/>
      </c>
      <c r="AB860" s="5" t="n"/>
      <c r="AC860" s="5" t="n"/>
      <c r="AD860" s="5" t="n"/>
      <c r="AE860" s="5" t="n"/>
      <c r="AF860" s="5" t="n"/>
      <c r="AG860" s="5" t="n"/>
    </row>
    <row r="861" outlineLevel="1" s="326">
      <c r="A861" s="136" t="n">
        <v>33</v>
      </c>
      <c r="B861" s="72">
        <f>B112</f>
        <v/>
      </c>
      <c r="C861" s="137">
        <f>D112</f>
        <v/>
      </c>
      <c r="D861" s="137">
        <f>I112</f>
        <v/>
      </c>
      <c r="E861" s="137">
        <f>J112</f>
        <v/>
      </c>
      <c r="F861" s="137">
        <f>K112</f>
        <v/>
      </c>
      <c r="G861" s="138">
        <f>IF(AND($L$240&gt;0,A861=$C$13),$L$240*($C$15+$C$18),0)+IF(AND($L$240&gt;0,A861=$C$13),$C$24,0)</f>
        <v/>
      </c>
      <c r="H861" s="138">
        <f>IF(OR($L$240&lt;=0,A861&lt;$C$13),0,IF(AND($L$240&gt;0,$C$17&gt;0,A861&gt;=$C$13,A861&lt;($C$13+$C$17)),IF($C$17&lt;=0,0,IF($C$16=0,MAX($L$240*(1-$C$15),0)/$C$17,-PMT($C$16/12,$C$17*12,MAX($L$240*(1-$C$15),0))*12)),0)+X861*($C$19+$C$20+$C$21)+$C$22+$C$23)</f>
        <v/>
      </c>
      <c r="I861" s="138">
        <f>IF(B861="Working",MIN(MAX(D861-E861-F861-G861-H861,0),'Tax Assumptions'!$B$20),0)</f>
        <v/>
      </c>
      <c r="J861" s="138">
        <f>IF(B861="Working",D861-E861-F861-I861-G861-H861,-L861)</f>
        <v/>
      </c>
      <c r="K861" s="137">
        <f>IF(B861="Retired",$N$240+G861+H861,0)</f>
        <v/>
      </c>
      <c r="L861" s="137">
        <f>M861+N861+O861+P861</f>
        <v/>
      </c>
      <c r="M861" s="137">
        <f>IF(B861="Retired",MIN(((Q860)*(1+$C$10)+IF(B861="Working",J861,0)),K861),0)</f>
        <v/>
      </c>
      <c r="N861" s="137">
        <f>IF(B861="Retired",MIN(MAX(K861-M861,0),((R860)*(1+$C$10)+IF(B861="Working",E112,0))),0)</f>
        <v/>
      </c>
      <c r="O861" s="137">
        <f>IF(B861="Retired",MIN(MAX(K861-M861-N861,0),((S860)*(1+$C$10)+IF(B861="Working",I861,0))),0)</f>
        <v/>
      </c>
      <c r="P861" s="137">
        <f>IF(B861="Retired",MIN(MAX(K861-M861-N861-O861,0),((T860)*(1+$C$10)+IF(B861="Working",F112,0))),0)</f>
        <v/>
      </c>
      <c r="Q861" s="138">
        <f>MAX(((Q860)*(1+$C$10)+IF(B861="Working",J861,0))-M861,0)</f>
        <v/>
      </c>
      <c r="R861" s="138">
        <f>MAX(((R860)*(1+$C$10)+IF(B861="Working",E112,0))-N861,0)</f>
        <v/>
      </c>
      <c r="S861" s="138">
        <f>MAX(((S860)*(1+$C$10)+IF(B861="Working",I861,0))-O861,0)</f>
        <v/>
      </c>
      <c r="T861" s="138">
        <f>MAX(((T860)*(1+$C$10)+IF(B861="Working",F112,0))-P861,0)</f>
        <v/>
      </c>
      <c r="U861" s="138">
        <f>Q861+R861+S861+T861</f>
        <v/>
      </c>
      <c r="V861" s="138">
        <f>IF(B861="Working",MAX(-(((Q860)*(1+$C$10)+IF(B861="Working",J861,0))),0),MAX(K861-L861,0))</f>
        <v/>
      </c>
      <c r="W861" s="138">
        <f>IF(OR(A861&gt;=$C$13,B861="Retired"),IF(V861&gt;0,-V861,U861-'Model Inputs'!$B$18),"")</f>
        <v/>
      </c>
      <c r="X861" s="138">
        <f>IF(AND($L$240&gt;0,A861&gt;=$C$13),$L$240*(1+$C$25)^(A861-$C$13),0)</f>
        <v/>
      </c>
      <c r="Y861" s="138">
        <f>IF(OR($L$240&lt;=0,$C$17&lt;=0,A861&lt;$C$13,MIN(MAX((A861-$C$13+1)*12,0),$C$17*12)&gt;=$C$17*12),0,IF($C$16=0,MAX(MAX($L$240*(1-$C$15),0)-(IF($C$17&lt;=0,0,IF($C$16=0,MAX($L$240*(1-$C$15),0)/$C$17,-PMT($C$16/12,$C$17*12,MAX($L$240*(1-$C$15),0))*12))/12)*MIN(MAX((A861-$C$13+1)*12,0),$C$17*12),0),MAX(MAX($L$240*(1-$C$15),0)*(1+$C$16/12)^MIN(MAX((A861-$C$13+1)*12,0),$C$17*12)-(IF($C$17&lt;=0,0,IF($C$16=0,MAX($L$240*(1-$C$15),0)/$C$17,-PMT($C$16/12,$C$17*12,MAX($L$240*(1-$C$15),0))*12))/12)*(((1+$C$16/12)^MIN(MAX((A861-$C$13+1)*12,0),$C$17*12)-1)/($C$16/12)),0)))</f>
        <v/>
      </c>
      <c r="Z861" s="138">
        <f>MAX(X861-Y861,0)</f>
        <v/>
      </c>
      <c r="AA861" s="139">
        <f>U861+Z861</f>
        <v/>
      </c>
      <c r="AB861" s="5" t="n"/>
      <c r="AC861" s="5" t="n"/>
      <c r="AD861" s="5" t="n"/>
      <c r="AE861" s="5" t="n"/>
      <c r="AF861" s="5" t="n"/>
      <c r="AG861" s="5" t="n"/>
    </row>
    <row r="862" outlineLevel="1" s="326">
      <c r="A862" s="140" t="n">
        <v>34</v>
      </c>
      <c r="B862" s="40">
        <f>B113</f>
        <v/>
      </c>
      <c r="C862" s="141">
        <f>D113</f>
        <v/>
      </c>
      <c r="D862" s="141">
        <f>I113</f>
        <v/>
      </c>
      <c r="E862" s="141">
        <f>J113</f>
        <v/>
      </c>
      <c r="F862" s="141">
        <f>K113</f>
        <v/>
      </c>
      <c r="G862" s="138">
        <f>IF(AND($L$240&gt;0,A862=$C$13),$L$240*($C$15+$C$18),0)+IF(AND($L$240&gt;0,A862=$C$13),$C$24,0)</f>
        <v/>
      </c>
      <c r="H862" s="138">
        <f>IF(OR($L$240&lt;=0,A862&lt;$C$13),0,IF(AND($L$240&gt;0,$C$17&gt;0,A862&gt;=$C$13,A862&lt;($C$13+$C$17)),IF($C$17&lt;=0,0,IF($C$16=0,MAX($L$240*(1-$C$15),0)/$C$17,-PMT($C$16/12,$C$17*12,MAX($L$240*(1-$C$15),0))*12)),0)+X862*($C$19+$C$20+$C$21)+$C$22+$C$23)</f>
        <v/>
      </c>
      <c r="I862" s="138">
        <f>IF(B862="Working",MIN(MAX(D862-E862-F862-G862-H862,0),'Tax Assumptions'!$B$20),0)</f>
        <v/>
      </c>
      <c r="J862" s="138">
        <f>IF(B862="Working",D862-E862-F862-I862-G862-H862,-L862)</f>
        <v/>
      </c>
      <c r="K862" s="141">
        <f>IF(B862="Retired",$N$240+G862+H862,0)</f>
        <v/>
      </c>
      <c r="L862" s="141">
        <f>M862+N862+O862+P862</f>
        <v/>
      </c>
      <c r="M862" s="141">
        <f>IF(B862="Retired",MIN(((Q861)*(1+$C$10)+IF(B862="Working",J862,0)),K862),0)</f>
        <v/>
      </c>
      <c r="N862" s="141">
        <f>IF(B862="Retired",MIN(MAX(K862-M862,0),((R861)*(1+$C$10)+IF(B862="Working",E113,0))),0)</f>
        <v/>
      </c>
      <c r="O862" s="141">
        <f>IF(B862="Retired",MIN(MAX(K862-M862-N862,0),((S861)*(1+$C$10)+IF(B862="Working",I862,0))),0)</f>
        <v/>
      </c>
      <c r="P862" s="141">
        <f>IF(B862="Retired",MIN(MAX(K862-M862-N862-O862,0),((T861)*(1+$C$10)+IF(B862="Working",F113,0))),0)</f>
        <v/>
      </c>
      <c r="Q862" s="138">
        <f>MAX(((Q861)*(1+$C$10)+IF(B862="Working",J862,0))-M862,0)</f>
        <v/>
      </c>
      <c r="R862" s="138">
        <f>MAX(((R861)*(1+$C$10)+IF(B862="Working",E113,0))-N862,0)</f>
        <v/>
      </c>
      <c r="S862" s="138">
        <f>MAX(((S861)*(1+$C$10)+IF(B862="Working",I862,0))-O862,0)</f>
        <v/>
      </c>
      <c r="T862" s="138">
        <f>MAX(((T861)*(1+$C$10)+IF(B862="Working",F113,0))-P862,0)</f>
        <v/>
      </c>
      <c r="U862" s="138">
        <f>Q862+R862+S862+T862</f>
        <v/>
      </c>
      <c r="V862" s="138">
        <f>IF(B862="Working",MAX(-(((Q861)*(1+$C$10)+IF(B862="Working",J862,0))),0),MAX(K862-L862,0))</f>
        <v/>
      </c>
      <c r="W862" s="138">
        <f>IF(OR(A862&gt;=$C$13,B862="Retired"),IF(V862&gt;0,-V862,U862-'Model Inputs'!$B$18),"")</f>
        <v/>
      </c>
      <c r="X862" s="138">
        <f>IF(AND($L$240&gt;0,A862&gt;=$C$13),$L$240*(1+$C$25)^(A862-$C$13),0)</f>
        <v/>
      </c>
      <c r="Y862" s="138">
        <f>IF(OR($L$240&lt;=0,$C$17&lt;=0,A862&lt;$C$13,MIN(MAX((A862-$C$13+1)*12,0),$C$17*12)&gt;=$C$17*12),0,IF($C$16=0,MAX(MAX($L$240*(1-$C$15),0)-(IF($C$17&lt;=0,0,IF($C$16=0,MAX($L$240*(1-$C$15),0)/$C$17,-PMT($C$16/12,$C$17*12,MAX($L$240*(1-$C$15),0))*12))/12)*MIN(MAX((A862-$C$13+1)*12,0),$C$17*12),0),MAX(MAX($L$240*(1-$C$15),0)*(1+$C$16/12)^MIN(MAX((A862-$C$13+1)*12,0),$C$17*12)-(IF($C$17&lt;=0,0,IF($C$16=0,MAX($L$240*(1-$C$15),0)/$C$17,-PMT($C$16/12,$C$17*12,MAX($L$240*(1-$C$15),0))*12))/12)*(((1+$C$16/12)^MIN(MAX((A862-$C$13+1)*12,0),$C$17*12)-1)/($C$16/12)),0)))</f>
        <v/>
      </c>
      <c r="Z862" s="138">
        <f>MAX(X862-Y862,0)</f>
        <v/>
      </c>
      <c r="AA862" s="142">
        <f>U862+Z862</f>
        <v/>
      </c>
      <c r="AB862" s="5" t="n"/>
      <c r="AC862" s="5" t="n"/>
      <c r="AD862" s="5" t="n"/>
      <c r="AE862" s="5" t="n"/>
      <c r="AF862" s="5" t="n"/>
      <c r="AG862" s="5" t="n"/>
    </row>
    <row r="863" outlineLevel="1" s="326">
      <c r="A863" s="136" t="n">
        <v>35</v>
      </c>
      <c r="B863" s="72">
        <f>B114</f>
        <v/>
      </c>
      <c r="C863" s="137">
        <f>D114</f>
        <v/>
      </c>
      <c r="D863" s="137">
        <f>I114</f>
        <v/>
      </c>
      <c r="E863" s="137">
        <f>J114</f>
        <v/>
      </c>
      <c r="F863" s="137">
        <f>K114</f>
        <v/>
      </c>
      <c r="G863" s="138">
        <f>IF(AND($L$240&gt;0,A863=$C$13),$L$240*($C$15+$C$18),0)+IF(AND($L$240&gt;0,A863=$C$13),$C$24,0)</f>
        <v/>
      </c>
      <c r="H863" s="138">
        <f>IF(OR($L$240&lt;=0,A863&lt;$C$13),0,IF(AND($L$240&gt;0,$C$17&gt;0,A863&gt;=$C$13,A863&lt;($C$13+$C$17)),IF($C$17&lt;=0,0,IF($C$16=0,MAX($L$240*(1-$C$15),0)/$C$17,-PMT($C$16/12,$C$17*12,MAX($L$240*(1-$C$15),0))*12)),0)+X863*($C$19+$C$20+$C$21)+$C$22+$C$23)</f>
        <v/>
      </c>
      <c r="I863" s="138">
        <f>IF(B863="Working",MIN(MAX(D863-E863-F863-G863-H863,0),'Tax Assumptions'!$B$20),0)</f>
        <v/>
      </c>
      <c r="J863" s="138">
        <f>IF(B863="Working",D863-E863-F863-I863-G863-H863,-L863)</f>
        <v/>
      </c>
      <c r="K863" s="137">
        <f>IF(B863="Retired",$N$240+G863+H863,0)</f>
        <v/>
      </c>
      <c r="L863" s="137">
        <f>M863+N863+O863+P863</f>
        <v/>
      </c>
      <c r="M863" s="137">
        <f>IF(B863="Retired",MIN(((Q862)*(1+$C$10)+IF(B863="Working",J863,0)),K863),0)</f>
        <v/>
      </c>
      <c r="N863" s="137">
        <f>IF(B863="Retired",MIN(MAX(K863-M863,0),((R862)*(1+$C$10)+IF(B863="Working",E114,0))),0)</f>
        <v/>
      </c>
      <c r="O863" s="137">
        <f>IF(B863="Retired",MIN(MAX(K863-M863-N863,0),((S862)*(1+$C$10)+IF(B863="Working",I863,0))),0)</f>
        <v/>
      </c>
      <c r="P863" s="137">
        <f>IF(B863="Retired",MIN(MAX(K863-M863-N863-O863,0),((T862)*(1+$C$10)+IF(B863="Working",F114,0))),0)</f>
        <v/>
      </c>
      <c r="Q863" s="138">
        <f>MAX(((Q862)*(1+$C$10)+IF(B863="Working",J863,0))-M863,0)</f>
        <v/>
      </c>
      <c r="R863" s="138">
        <f>MAX(((R862)*(1+$C$10)+IF(B863="Working",E114,0))-N863,0)</f>
        <v/>
      </c>
      <c r="S863" s="138">
        <f>MAX(((S862)*(1+$C$10)+IF(B863="Working",I863,0))-O863,0)</f>
        <v/>
      </c>
      <c r="T863" s="138">
        <f>MAX(((T862)*(1+$C$10)+IF(B863="Working",F114,0))-P863,0)</f>
        <v/>
      </c>
      <c r="U863" s="138">
        <f>Q863+R863+S863+T863</f>
        <v/>
      </c>
      <c r="V863" s="138">
        <f>IF(B863="Working",MAX(-(((Q862)*(1+$C$10)+IF(B863="Working",J863,0))),0),MAX(K863-L863,0))</f>
        <v/>
      </c>
      <c r="W863" s="138">
        <f>IF(OR(A863&gt;=$C$13,B863="Retired"),IF(V863&gt;0,-V863,U863-'Model Inputs'!$B$18),"")</f>
        <v/>
      </c>
      <c r="X863" s="138">
        <f>IF(AND($L$240&gt;0,A863&gt;=$C$13),$L$240*(1+$C$25)^(A863-$C$13),0)</f>
        <v/>
      </c>
      <c r="Y863" s="138">
        <f>IF(OR($L$240&lt;=0,$C$17&lt;=0,A863&lt;$C$13,MIN(MAX((A863-$C$13+1)*12,0),$C$17*12)&gt;=$C$17*12),0,IF($C$16=0,MAX(MAX($L$240*(1-$C$15),0)-(IF($C$17&lt;=0,0,IF($C$16=0,MAX($L$240*(1-$C$15),0)/$C$17,-PMT($C$16/12,$C$17*12,MAX($L$240*(1-$C$15),0))*12))/12)*MIN(MAX((A863-$C$13+1)*12,0),$C$17*12),0),MAX(MAX($L$240*(1-$C$15),0)*(1+$C$16/12)^MIN(MAX((A863-$C$13+1)*12,0),$C$17*12)-(IF($C$17&lt;=0,0,IF($C$16=0,MAX($L$240*(1-$C$15),0)/$C$17,-PMT($C$16/12,$C$17*12,MAX($L$240*(1-$C$15),0))*12))/12)*(((1+$C$16/12)^MIN(MAX((A863-$C$13+1)*12,0),$C$17*12)-1)/($C$16/12)),0)))</f>
        <v/>
      </c>
      <c r="Z863" s="138">
        <f>MAX(X863-Y863,0)</f>
        <v/>
      </c>
      <c r="AA863" s="139">
        <f>U863+Z863</f>
        <v/>
      </c>
      <c r="AB863" s="5" t="n"/>
      <c r="AC863" s="5" t="n"/>
      <c r="AD863" s="5" t="n"/>
      <c r="AE863" s="5" t="n"/>
      <c r="AF863" s="5" t="n"/>
      <c r="AG863" s="5" t="n"/>
    </row>
    <row r="864" outlineLevel="1" s="326">
      <c r="A864" s="140" t="n">
        <v>36</v>
      </c>
      <c r="B864" s="40">
        <f>B115</f>
        <v/>
      </c>
      <c r="C864" s="141">
        <f>D115</f>
        <v/>
      </c>
      <c r="D864" s="141">
        <f>I115</f>
        <v/>
      </c>
      <c r="E864" s="141">
        <f>J115</f>
        <v/>
      </c>
      <c r="F864" s="141">
        <f>K115</f>
        <v/>
      </c>
      <c r="G864" s="138">
        <f>IF(AND($L$240&gt;0,A864=$C$13),$L$240*($C$15+$C$18),0)+IF(AND($L$240&gt;0,A864=$C$13),$C$24,0)</f>
        <v/>
      </c>
      <c r="H864" s="138">
        <f>IF(OR($L$240&lt;=0,A864&lt;$C$13),0,IF(AND($L$240&gt;0,$C$17&gt;0,A864&gt;=$C$13,A864&lt;($C$13+$C$17)),IF($C$17&lt;=0,0,IF($C$16=0,MAX($L$240*(1-$C$15),0)/$C$17,-PMT($C$16/12,$C$17*12,MAX($L$240*(1-$C$15),0))*12)),0)+X864*($C$19+$C$20+$C$21)+$C$22+$C$23)</f>
        <v/>
      </c>
      <c r="I864" s="138">
        <f>IF(B864="Working",MIN(MAX(D864-E864-F864-G864-H864,0),'Tax Assumptions'!$B$20),0)</f>
        <v/>
      </c>
      <c r="J864" s="138">
        <f>IF(B864="Working",D864-E864-F864-I864-G864-H864,-L864)</f>
        <v/>
      </c>
      <c r="K864" s="141">
        <f>IF(B864="Retired",$N$240+G864+H864,0)</f>
        <v/>
      </c>
      <c r="L864" s="141">
        <f>M864+N864+O864+P864</f>
        <v/>
      </c>
      <c r="M864" s="141">
        <f>IF(B864="Retired",MIN(((Q863)*(1+$C$10)+IF(B864="Working",J864,0)),K864),0)</f>
        <v/>
      </c>
      <c r="N864" s="141">
        <f>IF(B864="Retired",MIN(MAX(K864-M864,0),((R863)*(1+$C$10)+IF(B864="Working",E115,0))),0)</f>
        <v/>
      </c>
      <c r="O864" s="141">
        <f>IF(B864="Retired",MIN(MAX(K864-M864-N864,0),((S863)*(1+$C$10)+IF(B864="Working",I864,0))),0)</f>
        <v/>
      </c>
      <c r="P864" s="141">
        <f>IF(B864="Retired",MIN(MAX(K864-M864-N864-O864,0),((T863)*(1+$C$10)+IF(B864="Working",F115,0))),0)</f>
        <v/>
      </c>
      <c r="Q864" s="138">
        <f>MAX(((Q863)*(1+$C$10)+IF(B864="Working",J864,0))-M864,0)</f>
        <v/>
      </c>
      <c r="R864" s="138">
        <f>MAX(((R863)*(1+$C$10)+IF(B864="Working",E115,0))-N864,0)</f>
        <v/>
      </c>
      <c r="S864" s="138">
        <f>MAX(((S863)*(1+$C$10)+IF(B864="Working",I864,0))-O864,0)</f>
        <v/>
      </c>
      <c r="T864" s="138">
        <f>MAX(((T863)*(1+$C$10)+IF(B864="Working",F115,0))-P864,0)</f>
        <v/>
      </c>
      <c r="U864" s="138">
        <f>Q864+R864+S864+T864</f>
        <v/>
      </c>
      <c r="V864" s="138">
        <f>IF(B864="Working",MAX(-(((Q863)*(1+$C$10)+IF(B864="Working",J864,0))),0),MAX(K864-L864,0))</f>
        <v/>
      </c>
      <c r="W864" s="138">
        <f>IF(OR(A864&gt;=$C$13,B864="Retired"),IF(V864&gt;0,-V864,U864-'Model Inputs'!$B$18),"")</f>
        <v/>
      </c>
      <c r="X864" s="138">
        <f>IF(AND($L$240&gt;0,A864&gt;=$C$13),$L$240*(1+$C$25)^(A864-$C$13),0)</f>
        <v/>
      </c>
      <c r="Y864" s="138">
        <f>IF(OR($L$240&lt;=0,$C$17&lt;=0,A864&lt;$C$13,MIN(MAX((A864-$C$13+1)*12,0),$C$17*12)&gt;=$C$17*12),0,IF($C$16=0,MAX(MAX($L$240*(1-$C$15),0)-(IF($C$17&lt;=0,0,IF($C$16=0,MAX($L$240*(1-$C$15),0)/$C$17,-PMT($C$16/12,$C$17*12,MAX($L$240*(1-$C$15),0))*12))/12)*MIN(MAX((A864-$C$13+1)*12,0),$C$17*12),0),MAX(MAX($L$240*(1-$C$15),0)*(1+$C$16/12)^MIN(MAX((A864-$C$13+1)*12,0),$C$17*12)-(IF($C$17&lt;=0,0,IF($C$16=0,MAX($L$240*(1-$C$15),0)/$C$17,-PMT($C$16/12,$C$17*12,MAX($L$240*(1-$C$15),0))*12))/12)*(((1+$C$16/12)^MIN(MAX((A864-$C$13+1)*12,0),$C$17*12)-1)/($C$16/12)),0)))</f>
        <v/>
      </c>
      <c r="Z864" s="138">
        <f>MAX(X864-Y864,0)</f>
        <v/>
      </c>
      <c r="AA864" s="142">
        <f>U864+Z864</f>
        <v/>
      </c>
      <c r="AB864" s="5" t="n"/>
      <c r="AC864" s="5" t="n"/>
      <c r="AD864" s="5" t="n"/>
      <c r="AE864" s="5" t="n"/>
      <c r="AF864" s="5" t="n"/>
      <c r="AG864" s="5" t="n"/>
    </row>
    <row r="865" outlineLevel="1" s="326">
      <c r="A865" s="136" t="n">
        <v>37</v>
      </c>
      <c r="B865" s="72">
        <f>B116</f>
        <v/>
      </c>
      <c r="C865" s="137">
        <f>D116</f>
        <v/>
      </c>
      <c r="D865" s="137">
        <f>I116</f>
        <v/>
      </c>
      <c r="E865" s="137">
        <f>J116</f>
        <v/>
      </c>
      <c r="F865" s="137">
        <f>K116</f>
        <v/>
      </c>
      <c r="G865" s="138">
        <f>IF(AND($L$240&gt;0,A865=$C$13),$L$240*($C$15+$C$18),0)+IF(AND($L$240&gt;0,A865=$C$13),$C$24,0)</f>
        <v/>
      </c>
      <c r="H865" s="138">
        <f>IF(OR($L$240&lt;=0,A865&lt;$C$13),0,IF(AND($L$240&gt;0,$C$17&gt;0,A865&gt;=$C$13,A865&lt;($C$13+$C$17)),IF($C$17&lt;=0,0,IF($C$16=0,MAX($L$240*(1-$C$15),0)/$C$17,-PMT($C$16/12,$C$17*12,MAX($L$240*(1-$C$15),0))*12)),0)+X865*($C$19+$C$20+$C$21)+$C$22+$C$23)</f>
        <v/>
      </c>
      <c r="I865" s="138">
        <f>IF(B865="Working",MIN(MAX(D865-E865-F865-G865-H865,0),'Tax Assumptions'!$B$20),0)</f>
        <v/>
      </c>
      <c r="J865" s="138">
        <f>IF(B865="Working",D865-E865-F865-I865-G865-H865,-L865)</f>
        <v/>
      </c>
      <c r="K865" s="137">
        <f>IF(B865="Retired",$N$240+G865+H865,0)</f>
        <v/>
      </c>
      <c r="L865" s="137">
        <f>M865+N865+O865+P865</f>
        <v/>
      </c>
      <c r="M865" s="137">
        <f>IF(B865="Retired",MIN(((Q864)*(1+$C$10)+IF(B865="Working",J865,0)),K865),0)</f>
        <v/>
      </c>
      <c r="N865" s="137">
        <f>IF(B865="Retired",MIN(MAX(K865-M865,0),((R864)*(1+$C$10)+IF(B865="Working",E116,0))),0)</f>
        <v/>
      </c>
      <c r="O865" s="137">
        <f>IF(B865="Retired",MIN(MAX(K865-M865-N865,0),((S864)*(1+$C$10)+IF(B865="Working",I865,0))),0)</f>
        <v/>
      </c>
      <c r="P865" s="137">
        <f>IF(B865="Retired",MIN(MAX(K865-M865-N865-O865,0),((T864)*(1+$C$10)+IF(B865="Working",F116,0))),0)</f>
        <v/>
      </c>
      <c r="Q865" s="138">
        <f>MAX(((Q864)*(1+$C$10)+IF(B865="Working",J865,0))-M865,0)</f>
        <v/>
      </c>
      <c r="R865" s="138">
        <f>MAX(((R864)*(1+$C$10)+IF(B865="Working",E116,0))-N865,0)</f>
        <v/>
      </c>
      <c r="S865" s="138">
        <f>MAX(((S864)*(1+$C$10)+IF(B865="Working",I865,0))-O865,0)</f>
        <v/>
      </c>
      <c r="T865" s="138">
        <f>MAX(((T864)*(1+$C$10)+IF(B865="Working",F116,0))-P865,0)</f>
        <v/>
      </c>
      <c r="U865" s="138">
        <f>Q865+R865+S865+T865</f>
        <v/>
      </c>
      <c r="V865" s="138">
        <f>IF(B865="Working",MAX(-(((Q864)*(1+$C$10)+IF(B865="Working",J865,0))),0),MAX(K865-L865,0))</f>
        <v/>
      </c>
      <c r="W865" s="138">
        <f>IF(OR(A865&gt;=$C$13,B865="Retired"),IF(V865&gt;0,-V865,U865-'Model Inputs'!$B$18),"")</f>
        <v/>
      </c>
      <c r="X865" s="138">
        <f>IF(AND($L$240&gt;0,A865&gt;=$C$13),$L$240*(1+$C$25)^(A865-$C$13),0)</f>
        <v/>
      </c>
      <c r="Y865" s="138">
        <f>IF(OR($L$240&lt;=0,$C$17&lt;=0,A865&lt;$C$13,MIN(MAX((A865-$C$13+1)*12,0),$C$17*12)&gt;=$C$17*12),0,IF($C$16=0,MAX(MAX($L$240*(1-$C$15),0)-(IF($C$17&lt;=0,0,IF($C$16=0,MAX($L$240*(1-$C$15),0)/$C$17,-PMT($C$16/12,$C$17*12,MAX($L$240*(1-$C$15),0))*12))/12)*MIN(MAX((A865-$C$13+1)*12,0),$C$17*12),0),MAX(MAX($L$240*(1-$C$15),0)*(1+$C$16/12)^MIN(MAX((A865-$C$13+1)*12,0),$C$17*12)-(IF($C$17&lt;=0,0,IF($C$16=0,MAX($L$240*(1-$C$15),0)/$C$17,-PMT($C$16/12,$C$17*12,MAX($L$240*(1-$C$15),0))*12))/12)*(((1+$C$16/12)^MIN(MAX((A865-$C$13+1)*12,0),$C$17*12)-1)/($C$16/12)),0)))</f>
        <v/>
      </c>
      <c r="Z865" s="138">
        <f>MAX(X865-Y865,0)</f>
        <v/>
      </c>
      <c r="AA865" s="139">
        <f>U865+Z865</f>
        <v/>
      </c>
      <c r="AB865" s="5" t="n"/>
      <c r="AC865" s="5" t="n"/>
      <c r="AD865" s="5" t="n"/>
      <c r="AE865" s="5" t="n"/>
      <c r="AF865" s="5" t="n"/>
      <c r="AG865" s="5" t="n"/>
    </row>
    <row r="866" outlineLevel="1" s="326">
      <c r="A866" s="140" t="n">
        <v>38</v>
      </c>
      <c r="B866" s="40">
        <f>B117</f>
        <v/>
      </c>
      <c r="C866" s="141">
        <f>D117</f>
        <v/>
      </c>
      <c r="D866" s="141">
        <f>I117</f>
        <v/>
      </c>
      <c r="E866" s="141">
        <f>J117</f>
        <v/>
      </c>
      <c r="F866" s="141">
        <f>K117</f>
        <v/>
      </c>
      <c r="G866" s="138">
        <f>IF(AND($L$240&gt;0,A866=$C$13),$L$240*($C$15+$C$18),0)+IF(AND($L$240&gt;0,A866=$C$13),$C$24,0)</f>
        <v/>
      </c>
      <c r="H866" s="138">
        <f>IF(OR($L$240&lt;=0,A866&lt;$C$13),0,IF(AND($L$240&gt;0,$C$17&gt;0,A866&gt;=$C$13,A866&lt;($C$13+$C$17)),IF($C$17&lt;=0,0,IF($C$16=0,MAX($L$240*(1-$C$15),0)/$C$17,-PMT($C$16/12,$C$17*12,MAX($L$240*(1-$C$15),0))*12)),0)+X866*($C$19+$C$20+$C$21)+$C$22+$C$23)</f>
        <v/>
      </c>
      <c r="I866" s="138">
        <f>IF(B866="Working",MIN(MAX(D866-E866-F866-G866-H866,0),'Tax Assumptions'!$B$20),0)</f>
        <v/>
      </c>
      <c r="J866" s="138">
        <f>IF(B866="Working",D866-E866-F866-I866-G866-H866,-L866)</f>
        <v/>
      </c>
      <c r="K866" s="141">
        <f>IF(B866="Retired",$N$240+G866+H866,0)</f>
        <v/>
      </c>
      <c r="L866" s="141">
        <f>M866+N866+O866+P866</f>
        <v/>
      </c>
      <c r="M866" s="141">
        <f>IF(B866="Retired",MIN(((Q865)*(1+$C$10)+IF(B866="Working",J866,0)),K866),0)</f>
        <v/>
      </c>
      <c r="N866" s="141">
        <f>IF(B866="Retired",MIN(MAX(K866-M866,0),((R865)*(1+$C$10)+IF(B866="Working",E117,0))),0)</f>
        <v/>
      </c>
      <c r="O866" s="141">
        <f>IF(B866="Retired",MIN(MAX(K866-M866-N866,0),((S865)*(1+$C$10)+IF(B866="Working",I866,0))),0)</f>
        <v/>
      </c>
      <c r="P866" s="141">
        <f>IF(B866="Retired",MIN(MAX(K866-M866-N866-O866,0),((T865)*(1+$C$10)+IF(B866="Working",F117,0))),0)</f>
        <v/>
      </c>
      <c r="Q866" s="138">
        <f>MAX(((Q865)*(1+$C$10)+IF(B866="Working",J866,0))-M866,0)</f>
        <v/>
      </c>
      <c r="R866" s="138">
        <f>MAX(((R865)*(1+$C$10)+IF(B866="Working",E117,0))-N866,0)</f>
        <v/>
      </c>
      <c r="S866" s="138">
        <f>MAX(((S865)*(1+$C$10)+IF(B866="Working",I866,0))-O866,0)</f>
        <v/>
      </c>
      <c r="T866" s="138">
        <f>MAX(((T865)*(1+$C$10)+IF(B866="Working",F117,0))-P866,0)</f>
        <v/>
      </c>
      <c r="U866" s="138">
        <f>Q866+R866+S866+T866</f>
        <v/>
      </c>
      <c r="V866" s="138">
        <f>IF(B866="Working",MAX(-(((Q865)*(1+$C$10)+IF(B866="Working",J866,0))),0),MAX(K866-L866,0))</f>
        <v/>
      </c>
      <c r="W866" s="138">
        <f>IF(OR(A866&gt;=$C$13,B866="Retired"),IF(V866&gt;0,-V866,U866-'Model Inputs'!$B$18),"")</f>
        <v/>
      </c>
      <c r="X866" s="138">
        <f>IF(AND($L$240&gt;0,A866&gt;=$C$13),$L$240*(1+$C$25)^(A866-$C$13),0)</f>
        <v/>
      </c>
      <c r="Y866" s="138">
        <f>IF(OR($L$240&lt;=0,$C$17&lt;=0,A866&lt;$C$13,MIN(MAX((A866-$C$13+1)*12,0),$C$17*12)&gt;=$C$17*12),0,IF($C$16=0,MAX(MAX($L$240*(1-$C$15),0)-(IF($C$17&lt;=0,0,IF($C$16=0,MAX($L$240*(1-$C$15),0)/$C$17,-PMT($C$16/12,$C$17*12,MAX($L$240*(1-$C$15),0))*12))/12)*MIN(MAX((A866-$C$13+1)*12,0),$C$17*12),0),MAX(MAX($L$240*(1-$C$15),0)*(1+$C$16/12)^MIN(MAX((A866-$C$13+1)*12,0),$C$17*12)-(IF($C$17&lt;=0,0,IF($C$16=0,MAX($L$240*(1-$C$15),0)/$C$17,-PMT($C$16/12,$C$17*12,MAX($L$240*(1-$C$15),0))*12))/12)*(((1+$C$16/12)^MIN(MAX((A866-$C$13+1)*12,0),$C$17*12)-1)/($C$16/12)),0)))</f>
        <v/>
      </c>
      <c r="Z866" s="138">
        <f>MAX(X866-Y866,0)</f>
        <v/>
      </c>
      <c r="AA866" s="142">
        <f>U866+Z866</f>
        <v/>
      </c>
      <c r="AB866" s="5" t="n"/>
      <c r="AC866" s="5" t="n"/>
      <c r="AD866" s="5" t="n"/>
      <c r="AE866" s="5" t="n"/>
      <c r="AF866" s="5" t="n"/>
      <c r="AG866" s="5" t="n"/>
    </row>
    <row r="867" outlineLevel="1" s="326">
      <c r="A867" s="136" t="n">
        <v>39</v>
      </c>
      <c r="B867" s="72">
        <f>B118</f>
        <v/>
      </c>
      <c r="C867" s="137">
        <f>D118</f>
        <v/>
      </c>
      <c r="D867" s="137">
        <f>I118</f>
        <v/>
      </c>
      <c r="E867" s="137">
        <f>J118</f>
        <v/>
      </c>
      <c r="F867" s="137">
        <f>K118</f>
        <v/>
      </c>
      <c r="G867" s="138">
        <f>IF(AND($L$240&gt;0,A867=$C$13),$L$240*($C$15+$C$18),0)+IF(AND($L$240&gt;0,A867=$C$13),$C$24,0)</f>
        <v/>
      </c>
      <c r="H867" s="138">
        <f>IF(OR($L$240&lt;=0,A867&lt;$C$13),0,IF(AND($L$240&gt;0,$C$17&gt;0,A867&gt;=$C$13,A867&lt;($C$13+$C$17)),IF($C$17&lt;=0,0,IF($C$16=0,MAX($L$240*(1-$C$15),0)/$C$17,-PMT($C$16/12,$C$17*12,MAX($L$240*(1-$C$15),0))*12)),0)+X867*($C$19+$C$20+$C$21)+$C$22+$C$23)</f>
        <v/>
      </c>
      <c r="I867" s="138">
        <f>IF(B867="Working",MIN(MAX(D867-E867-F867-G867-H867,0),'Tax Assumptions'!$B$20),0)</f>
        <v/>
      </c>
      <c r="J867" s="138">
        <f>IF(B867="Working",D867-E867-F867-I867-G867-H867,-L867)</f>
        <v/>
      </c>
      <c r="K867" s="137">
        <f>IF(B867="Retired",$N$240+G867+H867,0)</f>
        <v/>
      </c>
      <c r="L867" s="137">
        <f>M867+N867+O867+P867</f>
        <v/>
      </c>
      <c r="M867" s="137">
        <f>IF(B867="Retired",MIN(((Q866)*(1+$C$10)+IF(B867="Working",J867,0)),K867),0)</f>
        <v/>
      </c>
      <c r="N867" s="137">
        <f>IF(B867="Retired",MIN(MAX(K867-M867,0),((R866)*(1+$C$10)+IF(B867="Working",E118,0))),0)</f>
        <v/>
      </c>
      <c r="O867" s="137">
        <f>IF(B867="Retired",MIN(MAX(K867-M867-N867,0),((S866)*(1+$C$10)+IF(B867="Working",I867,0))),0)</f>
        <v/>
      </c>
      <c r="P867" s="137">
        <f>IF(B867="Retired",MIN(MAX(K867-M867-N867-O867,0),((T866)*(1+$C$10)+IF(B867="Working",F118,0))),0)</f>
        <v/>
      </c>
      <c r="Q867" s="138">
        <f>MAX(((Q866)*(1+$C$10)+IF(B867="Working",J867,0))-M867,0)</f>
        <v/>
      </c>
      <c r="R867" s="138">
        <f>MAX(((R866)*(1+$C$10)+IF(B867="Working",E118,0))-N867,0)</f>
        <v/>
      </c>
      <c r="S867" s="138">
        <f>MAX(((S866)*(1+$C$10)+IF(B867="Working",I867,0))-O867,0)</f>
        <v/>
      </c>
      <c r="T867" s="138">
        <f>MAX(((T866)*(1+$C$10)+IF(B867="Working",F118,0))-P867,0)</f>
        <v/>
      </c>
      <c r="U867" s="138">
        <f>Q867+R867+S867+T867</f>
        <v/>
      </c>
      <c r="V867" s="138">
        <f>IF(B867="Working",MAX(-(((Q866)*(1+$C$10)+IF(B867="Working",J867,0))),0),MAX(K867-L867,0))</f>
        <v/>
      </c>
      <c r="W867" s="138">
        <f>IF(OR(A867&gt;=$C$13,B867="Retired"),IF(V867&gt;0,-V867,U867-'Model Inputs'!$B$18),"")</f>
        <v/>
      </c>
      <c r="X867" s="138">
        <f>IF(AND($L$240&gt;0,A867&gt;=$C$13),$L$240*(1+$C$25)^(A867-$C$13),0)</f>
        <v/>
      </c>
      <c r="Y867" s="138">
        <f>IF(OR($L$240&lt;=0,$C$17&lt;=0,A867&lt;$C$13,MIN(MAX((A867-$C$13+1)*12,0),$C$17*12)&gt;=$C$17*12),0,IF($C$16=0,MAX(MAX($L$240*(1-$C$15),0)-(IF($C$17&lt;=0,0,IF($C$16=0,MAX($L$240*(1-$C$15),0)/$C$17,-PMT($C$16/12,$C$17*12,MAX($L$240*(1-$C$15),0))*12))/12)*MIN(MAX((A867-$C$13+1)*12,0),$C$17*12),0),MAX(MAX($L$240*(1-$C$15),0)*(1+$C$16/12)^MIN(MAX((A867-$C$13+1)*12,0),$C$17*12)-(IF($C$17&lt;=0,0,IF($C$16=0,MAX($L$240*(1-$C$15),0)/$C$17,-PMT($C$16/12,$C$17*12,MAX($L$240*(1-$C$15),0))*12))/12)*(((1+$C$16/12)^MIN(MAX((A867-$C$13+1)*12,0),$C$17*12)-1)/($C$16/12)),0)))</f>
        <v/>
      </c>
      <c r="Z867" s="138">
        <f>MAX(X867-Y867,0)</f>
        <v/>
      </c>
      <c r="AA867" s="139">
        <f>U867+Z867</f>
        <v/>
      </c>
      <c r="AB867" s="5" t="n"/>
      <c r="AC867" s="5" t="n"/>
      <c r="AD867" s="5" t="n"/>
      <c r="AE867" s="5" t="n"/>
      <c r="AF867" s="5" t="n"/>
      <c r="AG867" s="5" t="n"/>
    </row>
    <row r="868" outlineLevel="1" s="326">
      <c r="A868" s="140" t="n">
        <v>40</v>
      </c>
      <c r="B868" s="40">
        <f>B119</f>
        <v/>
      </c>
      <c r="C868" s="141">
        <f>D119</f>
        <v/>
      </c>
      <c r="D868" s="141">
        <f>I119</f>
        <v/>
      </c>
      <c r="E868" s="141">
        <f>J119</f>
        <v/>
      </c>
      <c r="F868" s="141">
        <f>K119</f>
        <v/>
      </c>
      <c r="G868" s="138">
        <f>IF(AND($L$240&gt;0,A868=$C$13),$L$240*($C$15+$C$18),0)+IF(AND($L$240&gt;0,A868=$C$13),$C$24,0)</f>
        <v/>
      </c>
      <c r="H868" s="138">
        <f>IF(OR($L$240&lt;=0,A868&lt;$C$13),0,IF(AND($L$240&gt;0,$C$17&gt;0,A868&gt;=$C$13,A868&lt;($C$13+$C$17)),IF($C$17&lt;=0,0,IF($C$16=0,MAX($L$240*(1-$C$15),0)/$C$17,-PMT($C$16/12,$C$17*12,MAX($L$240*(1-$C$15),0))*12)),0)+X868*($C$19+$C$20+$C$21)+$C$22+$C$23)</f>
        <v/>
      </c>
      <c r="I868" s="138">
        <f>IF(B868="Working",MIN(MAX(D868-E868-F868-G868-H868,0),'Tax Assumptions'!$B$20),0)</f>
        <v/>
      </c>
      <c r="J868" s="138">
        <f>IF(B868="Working",D868-E868-F868-I868-G868-H868,-L868)</f>
        <v/>
      </c>
      <c r="K868" s="141">
        <f>IF(B868="Retired",$N$240+G868+H868,0)</f>
        <v/>
      </c>
      <c r="L868" s="141">
        <f>M868+N868+O868+P868</f>
        <v/>
      </c>
      <c r="M868" s="141">
        <f>IF(B868="Retired",MIN(((Q867)*(1+$C$10)+IF(B868="Working",J868,0)),K868),0)</f>
        <v/>
      </c>
      <c r="N868" s="141">
        <f>IF(B868="Retired",MIN(MAX(K868-M868,0),((R867)*(1+$C$10)+IF(B868="Working",E119,0))),0)</f>
        <v/>
      </c>
      <c r="O868" s="141">
        <f>IF(B868="Retired",MIN(MAX(K868-M868-N868,0),((S867)*(1+$C$10)+IF(B868="Working",I868,0))),0)</f>
        <v/>
      </c>
      <c r="P868" s="141">
        <f>IF(B868="Retired",MIN(MAX(K868-M868-N868-O868,0),((T867)*(1+$C$10)+IF(B868="Working",F119,0))),0)</f>
        <v/>
      </c>
      <c r="Q868" s="138">
        <f>MAX(((Q867)*(1+$C$10)+IF(B868="Working",J868,0))-M868,0)</f>
        <v/>
      </c>
      <c r="R868" s="138">
        <f>MAX(((R867)*(1+$C$10)+IF(B868="Working",E119,0))-N868,0)</f>
        <v/>
      </c>
      <c r="S868" s="138">
        <f>MAX(((S867)*(1+$C$10)+IF(B868="Working",I868,0))-O868,0)</f>
        <v/>
      </c>
      <c r="T868" s="138">
        <f>MAX(((T867)*(1+$C$10)+IF(B868="Working",F119,0))-P868,0)</f>
        <v/>
      </c>
      <c r="U868" s="138">
        <f>Q868+R868+S868+T868</f>
        <v/>
      </c>
      <c r="V868" s="138">
        <f>IF(B868="Working",MAX(-(((Q867)*(1+$C$10)+IF(B868="Working",J868,0))),0),MAX(K868-L868,0))</f>
        <v/>
      </c>
      <c r="W868" s="138">
        <f>IF(OR(A868&gt;=$C$13,B868="Retired"),IF(V868&gt;0,-V868,U868-'Model Inputs'!$B$18),"")</f>
        <v/>
      </c>
      <c r="X868" s="138">
        <f>IF(AND($L$240&gt;0,A868&gt;=$C$13),$L$240*(1+$C$25)^(A868-$C$13),0)</f>
        <v/>
      </c>
      <c r="Y868" s="138">
        <f>IF(OR($L$240&lt;=0,$C$17&lt;=0,A868&lt;$C$13,MIN(MAX((A868-$C$13+1)*12,0),$C$17*12)&gt;=$C$17*12),0,IF($C$16=0,MAX(MAX($L$240*(1-$C$15),0)-(IF($C$17&lt;=0,0,IF($C$16=0,MAX($L$240*(1-$C$15),0)/$C$17,-PMT($C$16/12,$C$17*12,MAX($L$240*(1-$C$15),0))*12))/12)*MIN(MAX((A868-$C$13+1)*12,0),$C$17*12),0),MAX(MAX($L$240*(1-$C$15),0)*(1+$C$16/12)^MIN(MAX((A868-$C$13+1)*12,0),$C$17*12)-(IF($C$17&lt;=0,0,IF($C$16=0,MAX($L$240*(1-$C$15),0)/$C$17,-PMT($C$16/12,$C$17*12,MAX($L$240*(1-$C$15),0))*12))/12)*(((1+$C$16/12)^MIN(MAX((A868-$C$13+1)*12,0),$C$17*12)-1)/($C$16/12)),0)))</f>
        <v/>
      </c>
      <c r="Z868" s="138">
        <f>MAX(X868-Y868,0)</f>
        <v/>
      </c>
      <c r="AA868" s="142">
        <f>U868+Z868</f>
        <v/>
      </c>
      <c r="AB868" s="5" t="n"/>
      <c r="AC868" s="5" t="n"/>
      <c r="AD868" s="5" t="n"/>
      <c r="AE868" s="5" t="n"/>
      <c r="AF868" s="5" t="n"/>
      <c r="AG868" s="5" t="n"/>
    </row>
    <row r="869" outlineLevel="1" s="326">
      <c r="A869" s="143" t="inlineStr">
        <is>
          <t>Case Summary</t>
        </is>
      </c>
      <c r="B869" s="144" t="n"/>
      <c r="C869" s="144" t="n"/>
      <c r="D869" s="144" t="n"/>
      <c r="E869" s="144" t="n"/>
      <c r="F869" s="144" t="n"/>
      <c r="G869" s="145">
        <f>SUM(G829:G868)</f>
        <v/>
      </c>
      <c r="H869" s="145">
        <f>SUM(H829:H868)</f>
        <v/>
      </c>
      <c r="I869" s="145">
        <f>SUM(I829:I868)</f>
        <v/>
      </c>
      <c r="J869" s="145">
        <f>SUM(J829:J868)</f>
        <v/>
      </c>
      <c r="K869" s="145">
        <f>SUM(K829:K868)</f>
        <v/>
      </c>
      <c r="L869" s="145">
        <f>SUM(L829:L868)</f>
        <v/>
      </c>
      <c r="M869" s="145">
        <f>SUM(M829:M868)</f>
        <v/>
      </c>
      <c r="N869" s="145">
        <f>SUM(N829:N868)</f>
        <v/>
      </c>
      <c r="O869" s="145">
        <f>SUM(O829:O868)</f>
        <v/>
      </c>
      <c r="P869" s="145">
        <f>SUM(P829:P868)</f>
        <v/>
      </c>
      <c r="Q869" s="145">
        <f>Q868</f>
        <v/>
      </c>
      <c r="R869" s="145">
        <f>R868</f>
        <v/>
      </c>
      <c r="S869" s="145">
        <f>S868</f>
        <v/>
      </c>
      <c r="T869" s="145">
        <f>T868</f>
        <v/>
      </c>
      <c r="U869" s="145">
        <f>U868</f>
        <v/>
      </c>
      <c r="V869" s="145">
        <f>SUM(V829:V868)</f>
        <v/>
      </c>
      <c r="W869" s="145">
        <f>MIN(W829:W868)</f>
        <v/>
      </c>
      <c r="X869" s="145">
        <f>X868</f>
        <v/>
      </c>
      <c r="Y869" s="145">
        <f>Y868</f>
        <v/>
      </c>
      <c r="Z869" s="145">
        <f>Z868</f>
        <v/>
      </c>
      <c r="AA869" s="146">
        <f>AA868</f>
        <v/>
      </c>
      <c r="AB869" s="5" t="n"/>
      <c r="AC869" s="5" t="n"/>
      <c r="AD869" s="5" t="n"/>
      <c r="AE869" s="5" t="n"/>
      <c r="AF869" s="5" t="n"/>
      <c r="AG869" s="5" t="n"/>
    </row>
    <row r="870" outlineLevel="1" s="326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</row>
    <row r="871" outlineLevel="1" s="326">
      <c r="A871" s="387">
        <f>J241&amp;" | House "&amp;TEXT($L$241,"$#,##0")&amp;" | Spend "&amp;TEXT($N$241,"$#,##0")</f>
        <v/>
      </c>
      <c r="B871" s="345" t="n"/>
      <c r="C871" s="345" t="n"/>
      <c r="D871" s="345" t="n"/>
      <c r="E871" s="345" t="n"/>
      <c r="F871" s="345" t="n"/>
      <c r="G871" s="345" t="n"/>
      <c r="H871" s="345" t="n"/>
      <c r="I871" s="345" t="n"/>
      <c r="J871" s="345" t="n"/>
      <c r="K871" s="345" t="n"/>
      <c r="L871" s="345" t="n"/>
      <c r="M871" s="345" t="n"/>
      <c r="N871" s="345" t="n"/>
      <c r="O871" s="345" t="n"/>
      <c r="P871" s="345" t="n"/>
      <c r="Q871" s="345" t="n"/>
      <c r="R871" s="345" t="n"/>
      <c r="S871" s="345" t="n"/>
      <c r="T871" s="345" t="n"/>
      <c r="U871" s="345" t="n"/>
      <c r="V871" s="345" t="n"/>
      <c r="W871" s="345" t="n"/>
      <c r="X871" s="345" t="n"/>
      <c r="Y871" s="345" t="n"/>
      <c r="Z871" s="345" t="n"/>
      <c r="AA871" s="346" t="n"/>
      <c r="AB871" s="5" t="n"/>
      <c r="AC871" s="5" t="n"/>
      <c r="AD871" s="5" t="n"/>
      <c r="AE871" s="5" t="n"/>
      <c r="AF871" s="5" t="n"/>
      <c r="AG871" s="5" t="n"/>
    </row>
    <row r="872" outlineLevel="1" ht="34" customHeight="1" s="326">
      <c r="A872" s="134" t="inlineStr">
        <is>
          <t>Year</t>
        </is>
      </c>
      <c r="B872" s="83" t="inlineStr">
        <is>
          <t>Phase</t>
        </is>
      </c>
      <c r="C872" s="83" t="inlineStr">
        <is>
          <t>Gross</t>
        </is>
      </c>
      <c r="D872" s="83" t="inlineStr">
        <is>
          <t>Post-Tax Cash</t>
        </is>
      </c>
      <c r="E872" s="83" t="inlineStr">
        <is>
          <t>Rent</t>
        </is>
      </c>
      <c r="F872" s="83" t="inlineStr">
        <is>
          <t>Living</t>
        </is>
      </c>
      <c r="G872" s="83" t="inlineStr">
        <is>
          <t>House Cash</t>
        </is>
      </c>
      <c r="H872" s="83" t="inlineStr">
        <is>
          <t>Housing Carry</t>
        </is>
      </c>
      <c r="I872" s="83" t="inlineStr">
        <is>
          <t>Roth</t>
        </is>
      </c>
      <c r="J872" s="83" t="inlineStr">
        <is>
          <t>Taxable Sav / (Draw)</t>
        </is>
      </c>
      <c r="K872" s="83" t="inlineStr">
        <is>
          <t>Planned Need</t>
        </is>
      </c>
      <c r="L872" s="83" t="inlineStr">
        <is>
          <t>Actual W/D</t>
        </is>
      </c>
      <c r="M872" s="83" t="inlineStr">
        <is>
          <t>Taxable Draw</t>
        </is>
      </c>
      <c r="N872" s="83" t="inlineStr">
        <is>
          <t>401(k) Draw</t>
        </is>
      </c>
      <c r="O872" s="83" t="inlineStr">
        <is>
          <t>Roth Draw</t>
        </is>
      </c>
      <c r="P872" s="83" t="inlineStr">
        <is>
          <t>HSA Draw</t>
        </is>
      </c>
      <c r="Q872" s="83" t="inlineStr">
        <is>
          <t>Taxable Bal</t>
        </is>
      </c>
      <c r="R872" s="83" t="inlineStr">
        <is>
          <t>401(k) Bal</t>
        </is>
      </c>
      <c r="S872" s="83" t="inlineStr">
        <is>
          <t>Roth Bal</t>
        </is>
      </c>
      <c r="T872" s="83" t="inlineStr">
        <is>
          <t>HSA Bal</t>
        </is>
      </c>
      <c r="U872" s="83" t="inlineStr">
        <is>
          <t>Liquid Wealth</t>
        </is>
      </c>
      <c r="V872" s="83" t="inlineStr">
        <is>
          <t>Funding Gap</t>
        </is>
      </c>
      <c r="W872" s="83" t="inlineStr">
        <is>
          <t>Margin vs Reserve</t>
        </is>
      </c>
      <c r="X872" s="83" t="inlineStr">
        <is>
          <t>House Value</t>
        </is>
      </c>
      <c r="Y872" s="83" t="inlineStr">
        <is>
          <t>Mortgage Balance</t>
        </is>
      </c>
      <c r="Z872" s="83" t="inlineStr">
        <is>
          <t>Home Equity</t>
        </is>
      </c>
      <c r="AA872" s="135" t="inlineStr">
        <is>
          <t>Net Worth</t>
        </is>
      </c>
      <c r="AB872" s="5" t="n"/>
      <c r="AC872" s="5" t="n"/>
      <c r="AD872" s="5" t="n"/>
      <c r="AE872" s="5" t="n"/>
      <c r="AF872" s="5" t="n"/>
      <c r="AG872" s="5" t="n"/>
    </row>
    <row r="873" outlineLevel="1" s="326">
      <c r="A873" s="136" t="n">
        <v>1</v>
      </c>
      <c r="B873" s="72">
        <f>B80</f>
        <v/>
      </c>
      <c r="C873" s="137">
        <f>D80</f>
        <v/>
      </c>
      <c r="D873" s="137">
        <f>I80</f>
        <v/>
      </c>
      <c r="E873" s="137">
        <f>J80</f>
        <v/>
      </c>
      <c r="F873" s="137">
        <f>K80</f>
        <v/>
      </c>
      <c r="G873" s="138">
        <f>IF(AND($L$241&gt;0,A873=$C$13),$L$241*($C$15+$C$18),0)+IF(AND($L$241&gt;0,A873=$C$13),$C$24,0)</f>
        <v/>
      </c>
      <c r="H873" s="138">
        <f>IF(OR($L$241&lt;=0,A873&lt;$C$13),0,IF(AND($L$241&gt;0,$C$17&gt;0,A873&gt;=$C$13,A873&lt;($C$13+$C$17)),IF($C$17&lt;=0,0,IF($C$16=0,MAX($L$241*(1-$C$15),0)/$C$17,-PMT($C$16/12,$C$17*12,MAX($L$241*(1-$C$15),0))*12)),0)+X873*($C$19+$C$20+$C$21)+$C$22+$C$23)</f>
        <v/>
      </c>
      <c r="I873" s="138">
        <f>IF(B873="Working",MIN(MAX(D873-E873-F873-G873-H873,0),'Tax Assumptions'!$B$20),0)</f>
        <v/>
      </c>
      <c r="J873" s="138">
        <f>IF(B873="Working",D873-E873-F873-I873-G873-H873,-L873)</f>
        <v/>
      </c>
      <c r="K873" s="137">
        <f>IF(B873="Retired",$N$241+G873+H873,0)</f>
        <v/>
      </c>
      <c r="L873" s="137">
        <f>M873+N873+O873+P873</f>
        <v/>
      </c>
      <c r="M873" s="137">
        <f>IF(B873="Retired",MIN((('Savings Projection'!$B$7)*(1+$C$10)+IF(B873="Working",J873,0)),K873),0)</f>
        <v/>
      </c>
      <c r="N873" s="137">
        <f>IF(B873="Retired",MIN(MAX(K873-M873,0),(('Savings Projection'!$B$8)*(1+$C$10)+IF(B873="Working",E80,0))),0)</f>
        <v/>
      </c>
      <c r="O873" s="137">
        <f>IF(B873="Retired",MIN(MAX(K873-M873-N873,0),(('Savings Projection'!$B$9)*(1+$C$10)+IF(B873="Working",I873,0))),0)</f>
        <v/>
      </c>
      <c r="P873" s="137">
        <f>IF(B873="Retired",MIN(MAX(K873-M873-N873-O873,0),(('Savings Projection'!$B$10)*(1+$C$10)+IF(B873="Working",F80,0))),0)</f>
        <v/>
      </c>
      <c r="Q873" s="138">
        <f>MAX((('Savings Projection'!$B$7)*(1+$C$10)+IF(B873="Working",J873,0))-M873,0)</f>
        <v/>
      </c>
      <c r="R873" s="138">
        <f>MAX((('Savings Projection'!$B$8)*(1+$C$10)+IF(B873="Working",E80,0))-N873,0)</f>
        <v/>
      </c>
      <c r="S873" s="138">
        <f>MAX((('Savings Projection'!$B$9)*(1+$C$10)+IF(B873="Working",I873,0))-O873,0)</f>
        <v/>
      </c>
      <c r="T873" s="138">
        <f>MAX((('Savings Projection'!$B$10)*(1+$C$10)+IF(B873="Working",F80,0))-P873,0)</f>
        <v/>
      </c>
      <c r="U873" s="138">
        <f>Q873+R873+S873+T873</f>
        <v/>
      </c>
      <c r="V873" s="138">
        <f>IF(B873="Working",MAX(-((('Savings Projection'!$B$7)*(1+$C$10)+IF(B873="Working",J873,0))),0),MAX(K873-L873,0))</f>
        <v/>
      </c>
      <c r="W873" s="138">
        <f>IF(OR(A873&gt;=$C$13,B873="Retired"),IF(V873&gt;0,-V873,U873-'Model Inputs'!$B$18),"")</f>
        <v/>
      </c>
      <c r="X873" s="138">
        <f>IF(AND($L$241&gt;0,A873&gt;=$C$13),$L$241*(1+$C$25)^(A873-$C$13),0)</f>
        <v/>
      </c>
      <c r="Y873" s="138">
        <f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/>
      </c>
      <c r="Z873" s="138">
        <f>MAX(X873-Y873,0)</f>
        <v/>
      </c>
      <c r="AA873" s="139">
        <f>U873+Z873</f>
        <v/>
      </c>
      <c r="AB873" s="5" t="n"/>
      <c r="AC873" s="5" t="n"/>
      <c r="AD873" s="5" t="n"/>
      <c r="AE873" s="5" t="n"/>
      <c r="AF873" s="5" t="n"/>
      <c r="AG873" s="5" t="n"/>
    </row>
    <row r="874" outlineLevel="1" s="326">
      <c r="A874" s="140" t="n">
        <v>2</v>
      </c>
      <c r="B874" s="40">
        <f>B81</f>
        <v/>
      </c>
      <c r="C874" s="141">
        <f>D81</f>
        <v/>
      </c>
      <c r="D874" s="141">
        <f>I81</f>
        <v/>
      </c>
      <c r="E874" s="141">
        <f>J81</f>
        <v/>
      </c>
      <c r="F874" s="141">
        <f>K81</f>
        <v/>
      </c>
      <c r="G874" s="138">
        <f>IF(AND($L$241&gt;0,A874=$C$13),$L$241*($C$15+$C$18),0)+IF(AND($L$241&gt;0,A874=$C$13),$C$24,0)</f>
        <v/>
      </c>
      <c r="H874" s="138">
        <f>IF(OR($L$241&lt;=0,A874&lt;$C$13),0,IF(AND($L$241&gt;0,$C$17&gt;0,A874&gt;=$C$13,A874&lt;($C$13+$C$17)),IF($C$17&lt;=0,0,IF($C$16=0,MAX($L$241*(1-$C$15),0)/$C$17,-PMT($C$16/12,$C$17*12,MAX($L$241*(1-$C$15),0))*12)),0)+X874*($C$19+$C$20+$C$21)+$C$22+$C$23)</f>
        <v/>
      </c>
      <c r="I874" s="138">
        <f>IF(B874="Working",MIN(MAX(D874-E874-F874-G874-H874,0),'Tax Assumptions'!$B$20),0)</f>
        <v/>
      </c>
      <c r="J874" s="138">
        <f>IF(B874="Working",D874-E874-F874-I874-G874-H874,-L874)</f>
        <v/>
      </c>
      <c r="K874" s="141">
        <f>IF(B874="Retired",$N$241+G874+H874,0)</f>
        <v/>
      </c>
      <c r="L874" s="141">
        <f>M874+N874+O874+P874</f>
        <v/>
      </c>
      <c r="M874" s="141">
        <f>IF(B874="Retired",MIN(((Q873)*(1+$C$10)+IF(B874="Working",J874,0)),K874),0)</f>
        <v/>
      </c>
      <c r="N874" s="141">
        <f>IF(B874="Retired",MIN(MAX(K874-M874,0),((R873)*(1+$C$10)+IF(B874="Working",E81,0))),0)</f>
        <v/>
      </c>
      <c r="O874" s="141">
        <f>IF(B874="Retired",MIN(MAX(K874-M874-N874,0),((S873)*(1+$C$10)+IF(B874="Working",I874,0))),0)</f>
        <v/>
      </c>
      <c r="P874" s="141">
        <f>IF(B874="Retired",MIN(MAX(K874-M874-N874-O874,0),((T873)*(1+$C$10)+IF(B874="Working",F81,0))),0)</f>
        <v/>
      </c>
      <c r="Q874" s="138">
        <f>MAX(((Q873)*(1+$C$10)+IF(B874="Working",J874,0))-M874,0)</f>
        <v/>
      </c>
      <c r="R874" s="138">
        <f>MAX(((R873)*(1+$C$10)+IF(B874="Working",E81,0))-N874,0)</f>
        <v/>
      </c>
      <c r="S874" s="138">
        <f>MAX(((S873)*(1+$C$10)+IF(B874="Working",I874,0))-O874,0)</f>
        <v/>
      </c>
      <c r="T874" s="138">
        <f>MAX(((T873)*(1+$C$10)+IF(B874="Working",F81,0))-P874,0)</f>
        <v/>
      </c>
      <c r="U874" s="138">
        <f>Q874+R874+S874+T874</f>
        <v/>
      </c>
      <c r="V874" s="138">
        <f>IF(B874="Working",MAX(-(((Q873)*(1+$C$10)+IF(B874="Working",J874,0))),0),MAX(K874-L874,0))</f>
        <v/>
      </c>
      <c r="W874" s="138">
        <f>IF(OR(A874&gt;=$C$13,B874="Retired"),IF(V874&gt;0,-V874,U874-'Model Inputs'!$B$18),"")</f>
        <v/>
      </c>
      <c r="X874" s="138">
        <f>IF(AND($L$241&gt;0,A874&gt;=$C$13),$L$241*(1+$C$25)^(A874-$C$13),0)</f>
        <v/>
      </c>
      <c r="Y874" s="138">
        <f>IF(OR($L$241&lt;=0,$C$17&lt;=0,A874&lt;$C$13,MIN(MAX((A874-$C$13+1)*12,0),$C$17*12)&gt;=$C$17*12),0,IF($C$16=0,MAX(MAX($L$241*(1-$C$15),0)-(IF($C$17&lt;=0,0,IF($C$16=0,MAX($L$241*(1-$C$15),0)/$C$17,-PMT($C$16/12,$C$17*12,MAX($L$241*(1-$C$15),0))*12))/12)*MIN(MAX((A874-$C$13+1)*12,0),$C$17*12),0),MAX(MAX($L$241*(1-$C$15),0)*(1+$C$16/12)^MIN(MAX((A874-$C$13+1)*12,0),$C$17*12)-(IF($C$17&lt;=0,0,IF($C$16=0,MAX($L$241*(1-$C$15),0)/$C$17,-PMT($C$16/12,$C$17*12,MAX($L$241*(1-$C$15),0))*12))/12)*(((1+$C$16/12)^MIN(MAX((A874-$C$13+1)*12,0),$C$17*12)-1)/($C$16/12)),0)))</f>
        <v/>
      </c>
      <c r="Z874" s="138">
        <f>MAX(X874-Y874,0)</f>
        <v/>
      </c>
      <c r="AA874" s="142">
        <f>U874+Z874</f>
        <v/>
      </c>
      <c r="AB874" s="5" t="n"/>
      <c r="AC874" s="5" t="n"/>
      <c r="AD874" s="5" t="n"/>
      <c r="AE874" s="5" t="n"/>
      <c r="AF874" s="5" t="n"/>
      <c r="AG874" s="5" t="n"/>
    </row>
    <row r="875" outlineLevel="1" s="326">
      <c r="A875" s="136" t="n">
        <v>3</v>
      </c>
      <c r="B875" s="72">
        <f>B82</f>
        <v/>
      </c>
      <c r="C875" s="137">
        <f>D82</f>
        <v/>
      </c>
      <c r="D875" s="137">
        <f>I82</f>
        <v/>
      </c>
      <c r="E875" s="137">
        <f>J82</f>
        <v/>
      </c>
      <c r="F875" s="137">
        <f>K82</f>
        <v/>
      </c>
      <c r="G875" s="138">
        <f>IF(AND($L$241&gt;0,A875=$C$13),$L$241*($C$15+$C$18),0)+IF(AND($L$241&gt;0,A875=$C$13),$C$24,0)</f>
        <v/>
      </c>
      <c r="H875" s="138">
        <f>IF(OR($L$241&lt;=0,A875&lt;$C$13),0,IF(AND($L$241&gt;0,$C$17&gt;0,A875&gt;=$C$13,A875&lt;($C$13+$C$17)),IF($C$17&lt;=0,0,IF($C$16=0,MAX($L$241*(1-$C$15),0)/$C$17,-PMT($C$16/12,$C$17*12,MAX($L$241*(1-$C$15),0))*12)),0)+X875*($C$19+$C$20+$C$21)+$C$22+$C$23)</f>
        <v/>
      </c>
      <c r="I875" s="138">
        <f>IF(B875="Working",MIN(MAX(D875-E875-F875-G875-H875,0),'Tax Assumptions'!$B$20),0)</f>
        <v/>
      </c>
      <c r="J875" s="138">
        <f>IF(B875="Working",D875-E875-F875-I875-G875-H875,-L875)</f>
        <v/>
      </c>
      <c r="K875" s="137">
        <f>IF(B875="Retired",$N$241+G875+H875,0)</f>
        <v/>
      </c>
      <c r="L875" s="137">
        <f>M875+N875+O875+P875</f>
        <v/>
      </c>
      <c r="M875" s="137">
        <f>IF(B875="Retired",MIN(((Q874)*(1+$C$10)+IF(B875="Working",J875,0)),K875),0)</f>
        <v/>
      </c>
      <c r="N875" s="137">
        <f>IF(B875="Retired",MIN(MAX(K875-M875,0),((R874)*(1+$C$10)+IF(B875="Working",E82,0))),0)</f>
        <v/>
      </c>
      <c r="O875" s="137">
        <f>IF(B875="Retired",MIN(MAX(K875-M875-N875,0),((S874)*(1+$C$10)+IF(B875="Working",I875,0))),0)</f>
        <v/>
      </c>
      <c r="P875" s="137">
        <f>IF(B875="Retired",MIN(MAX(K875-M875-N875-O875,0),((T874)*(1+$C$10)+IF(B875="Working",F82,0))),0)</f>
        <v/>
      </c>
      <c r="Q875" s="138">
        <f>MAX(((Q874)*(1+$C$10)+IF(B875="Working",J875,0))-M875,0)</f>
        <v/>
      </c>
      <c r="R875" s="138">
        <f>MAX(((R874)*(1+$C$10)+IF(B875="Working",E82,0))-N875,0)</f>
        <v/>
      </c>
      <c r="S875" s="138">
        <f>MAX(((S874)*(1+$C$10)+IF(B875="Working",I875,0))-O875,0)</f>
        <v/>
      </c>
      <c r="T875" s="138">
        <f>MAX(((T874)*(1+$C$10)+IF(B875="Working",F82,0))-P875,0)</f>
        <v/>
      </c>
      <c r="U875" s="138">
        <f>Q875+R875+S875+T875</f>
        <v/>
      </c>
      <c r="V875" s="138">
        <f>IF(B875="Working",MAX(-(((Q874)*(1+$C$10)+IF(B875="Working",J875,0))),0),MAX(K875-L875,0))</f>
        <v/>
      </c>
      <c r="W875" s="138">
        <f>IF(OR(A875&gt;=$C$13,B875="Retired"),IF(V875&gt;0,-V875,U875-'Model Inputs'!$B$18),"")</f>
        <v/>
      </c>
      <c r="X875" s="138">
        <f>IF(AND($L$241&gt;0,A875&gt;=$C$13),$L$241*(1+$C$25)^(A875-$C$13),0)</f>
        <v/>
      </c>
      <c r="Y875" s="138">
        <f>IF(OR($L$241&lt;=0,$C$17&lt;=0,A875&lt;$C$13,MIN(MAX((A875-$C$13+1)*12,0),$C$17*12)&gt;=$C$17*12),0,IF($C$16=0,MAX(MAX($L$241*(1-$C$15),0)-(IF($C$17&lt;=0,0,IF($C$16=0,MAX($L$241*(1-$C$15),0)/$C$17,-PMT($C$16/12,$C$17*12,MAX($L$241*(1-$C$15),0))*12))/12)*MIN(MAX((A875-$C$13+1)*12,0),$C$17*12),0),MAX(MAX($L$241*(1-$C$15),0)*(1+$C$16/12)^MIN(MAX((A875-$C$13+1)*12,0),$C$17*12)-(IF($C$17&lt;=0,0,IF($C$16=0,MAX($L$241*(1-$C$15),0)/$C$17,-PMT($C$16/12,$C$17*12,MAX($L$241*(1-$C$15),0))*12))/12)*(((1+$C$16/12)^MIN(MAX((A875-$C$13+1)*12,0),$C$17*12)-1)/($C$16/12)),0)))</f>
        <v/>
      </c>
      <c r="Z875" s="138">
        <f>MAX(X875-Y875,0)</f>
        <v/>
      </c>
      <c r="AA875" s="139">
        <f>U875+Z875</f>
        <v/>
      </c>
      <c r="AB875" s="5" t="n"/>
      <c r="AC875" s="5" t="n"/>
      <c r="AD875" s="5" t="n"/>
      <c r="AE875" s="5" t="n"/>
      <c r="AF875" s="5" t="n"/>
      <c r="AG875" s="5" t="n"/>
    </row>
    <row r="876" outlineLevel="1" s="326">
      <c r="A876" s="140" t="n">
        <v>4</v>
      </c>
      <c r="B876" s="40">
        <f>B83</f>
        <v/>
      </c>
      <c r="C876" s="141">
        <f>D83</f>
        <v/>
      </c>
      <c r="D876" s="141">
        <f>I83</f>
        <v/>
      </c>
      <c r="E876" s="141">
        <f>J83</f>
        <v/>
      </c>
      <c r="F876" s="141">
        <f>K83</f>
        <v/>
      </c>
      <c r="G876" s="138">
        <f>IF(AND($L$241&gt;0,A876=$C$13),$L$241*($C$15+$C$18),0)+IF(AND($L$241&gt;0,A876=$C$13),$C$24,0)</f>
        <v/>
      </c>
      <c r="H876" s="138">
        <f>IF(OR($L$241&lt;=0,A876&lt;$C$13),0,IF(AND($L$241&gt;0,$C$17&gt;0,A876&gt;=$C$13,A876&lt;($C$13+$C$17)),IF($C$17&lt;=0,0,IF($C$16=0,MAX($L$241*(1-$C$15),0)/$C$17,-PMT($C$16/12,$C$17*12,MAX($L$241*(1-$C$15),0))*12)),0)+X876*($C$19+$C$20+$C$21)+$C$22+$C$23)</f>
        <v/>
      </c>
      <c r="I876" s="138">
        <f>IF(B876="Working",MIN(MAX(D876-E876-F876-G876-H876,0),'Tax Assumptions'!$B$20),0)</f>
        <v/>
      </c>
      <c r="J876" s="138">
        <f>IF(B876="Working",D876-E876-F876-I876-G876-H876,-L876)</f>
        <v/>
      </c>
      <c r="K876" s="141">
        <f>IF(B876="Retired",$N$241+G876+H876,0)</f>
        <v/>
      </c>
      <c r="L876" s="141">
        <f>M876+N876+O876+P876</f>
        <v/>
      </c>
      <c r="M876" s="141">
        <f>IF(B876="Retired",MIN(((Q875)*(1+$C$10)+IF(B876="Working",J876,0)),K876),0)</f>
        <v/>
      </c>
      <c r="N876" s="141">
        <f>IF(B876="Retired",MIN(MAX(K876-M876,0),((R875)*(1+$C$10)+IF(B876="Working",E83,0))),0)</f>
        <v/>
      </c>
      <c r="O876" s="141">
        <f>IF(B876="Retired",MIN(MAX(K876-M876-N876,0),((S875)*(1+$C$10)+IF(B876="Working",I876,0))),0)</f>
        <v/>
      </c>
      <c r="P876" s="141">
        <f>IF(B876="Retired",MIN(MAX(K876-M876-N876-O876,0),((T875)*(1+$C$10)+IF(B876="Working",F83,0))),0)</f>
        <v/>
      </c>
      <c r="Q876" s="138">
        <f>MAX(((Q875)*(1+$C$10)+IF(B876="Working",J876,0))-M876,0)</f>
        <v/>
      </c>
      <c r="R876" s="138">
        <f>MAX(((R875)*(1+$C$10)+IF(B876="Working",E83,0))-N876,0)</f>
        <v/>
      </c>
      <c r="S876" s="138">
        <f>MAX(((S875)*(1+$C$10)+IF(B876="Working",I876,0))-O876,0)</f>
        <v/>
      </c>
      <c r="T876" s="138">
        <f>MAX(((T875)*(1+$C$10)+IF(B876="Working",F83,0))-P876,0)</f>
        <v/>
      </c>
      <c r="U876" s="138">
        <f>Q876+R876+S876+T876</f>
        <v/>
      </c>
      <c r="V876" s="138">
        <f>IF(B876="Working",MAX(-(((Q875)*(1+$C$10)+IF(B876="Working",J876,0))),0),MAX(K876-L876,0))</f>
        <v/>
      </c>
      <c r="W876" s="138">
        <f>IF(OR(A876&gt;=$C$13,B876="Retired"),IF(V876&gt;0,-V876,U876-'Model Inputs'!$B$18),"")</f>
        <v/>
      </c>
      <c r="X876" s="138">
        <f>IF(AND($L$241&gt;0,A876&gt;=$C$13),$L$241*(1+$C$25)^(A876-$C$13),0)</f>
        <v/>
      </c>
      <c r="Y876" s="138">
        <f>IF(OR($L$241&lt;=0,$C$17&lt;=0,A876&lt;$C$13,MIN(MAX((A876-$C$13+1)*12,0),$C$17*12)&gt;=$C$17*12),0,IF($C$16=0,MAX(MAX($L$241*(1-$C$15),0)-(IF($C$17&lt;=0,0,IF($C$16=0,MAX($L$241*(1-$C$15),0)/$C$17,-PMT($C$16/12,$C$17*12,MAX($L$241*(1-$C$15),0))*12))/12)*MIN(MAX((A876-$C$13+1)*12,0),$C$17*12),0),MAX(MAX($L$241*(1-$C$15),0)*(1+$C$16/12)^MIN(MAX((A876-$C$13+1)*12,0),$C$17*12)-(IF($C$17&lt;=0,0,IF($C$16=0,MAX($L$241*(1-$C$15),0)/$C$17,-PMT($C$16/12,$C$17*12,MAX($L$241*(1-$C$15),0))*12))/12)*(((1+$C$16/12)^MIN(MAX((A876-$C$13+1)*12,0),$C$17*12)-1)/($C$16/12)),0)))</f>
        <v/>
      </c>
      <c r="Z876" s="138">
        <f>MAX(X876-Y876,0)</f>
        <v/>
      </c>
      <c r="AA876" s="142">
        <f>U876+Z876</f>
        <v/>
      </c>
      <c r="AB876" s="5" t="n"/>
      <c r="AC876" s="5" t="n"/>
      <c r="AD876" s="5" t="n"/>
      <c r="AE876" s="5" t="n"/>
      <c r="AF876" s="5" t="n"/>
      <c r="AG876" s="5" t="n"/>
    </row>
    <row r="877" outlineLevel="1" s="326">
      <c r="A877" s="136" t="n">
        <v>5</v>
      </c>
      <c r="B877" s="72">
        <f>B84</f>
        <v/>
      </c>
      <c r="C877" s="137">
        <f>D84</f>
        <v/>
      </c>
      <c r="D877" s="137">
        <f>I84</f>
        <v/>
      </c>
      <c r="E877" s="137">
        <f>J84</f>
        <v/>
      </c>
      <c r="F877" s="137">
        <f>K84</f>
        <v/>
      </c>
      <c r="G877" s="138">
        <f>IF(AND($L$241&gt;0,A877=$C$13),$L$241*($C$15+$C$18),0)+IF(AND($L$241&gt;0,A877=$C$13),$C$24,0)</f>
        <v/>
      </c>
      <c r="H877" s="138">
        <f>IF(OR($L$241&lt;=0,A877&lt;$C$13),0,IF(AND($L$241&gt;0,$C$17&gt;0,A877&gt;=$C$13,A877&lt;($C$13+$C$17)),IF($C$17&lt;=0,0,IF($C$16=0,MAX($L$241*(1-$C$15),0)/$C$17,-PMT($C$16/12,$C$17*12,MAX($L$241*(1-$C$15),0))*12)),0)+X877*($C$19+$C$20+$C$21)+$C$22+$C$23)</f>
        <v/>
      </c>
      <c r="I877" s="138">
        <f>IF(B877="Working",MIN(MAX(D877-E877-F877-G877-H877,0),'Tax Assumptions'!$B$20),0)</f>
        <v/>
      </c>
      <c r="J877" s="138">
        <f>IF(B877="Working",D877-E877-F877-I877-G877-H877,-L877)</f>
        <v/>
      </c>
      <c r="K877" s="137">
        <f>IF(B877="Retired",$N$241+G877+H877,0)</f>
        <v/>
      </c>
      <c r="L877" s="137">
        <f>M877+N877+O877+P877</f>
        <v/>
      </c>
      <c r="M877" s="137">
        <f>IF(B877="Retired",MIN(((Q876)*(1+$C$10)+IF(B877="Working",J877,0)),K877),0)</f>
        <v/>
      </c>
      <c r="N877" s="137">
        <f>IF(B877="Retired",MIN(MAX(K877-M877,0),((R876)*(1+$C$10)+IF(B877="Working",E84,0))),0)</f>
        <v/>
      </c>
      <c r="O877" s="137">
        <f>IF(B877="Retired",MIN(MAX(K877-M877-N877,0),((S876)*(1+$C$10)+IF(B877="Working",I877,0))),0)</f>
        <v/>
      </c>
      <c r="P877" s="137">
        <f>IF(B877="Retired",MIN(MAX(K877-M877-N877-O877,0),((T876)*(1+$C$10)+IF(B877="Working",F84,0))),0)</f>
        <v/>
      </c>
      <c r="Q877" s="138">
        <f>MAX(((Q876)*(1+$C$10)+IF(B877="Working",J877,0))-M877,0)</f>
        <v/>
      </c>
      <c r="R877" s="138">
        <f>MAX(((R876)*(1+$C$10)+IF(B877="Working",E84,0))-N877,0)</f>
        <v/>
      </c>
      <c r="S877" s="138">
        <f>MAX(((S876)*(1+$C$10)+IF(B877="Working",I877,0))-O877,0)</f>
        <v/>
      </c>
      <c r="T877" s="138">
        <f>MAX(((T876)*(1+$C$10)+IF(B877="Working",F84,0))-P877,0)</f>
        <v/>
      </c>
      <c r="U877" s="138">
        <f>Q877+R877+S877+T877</f>
        <v/>
      </c>
      <c r="V877" s="138">
        <f>IF(B877="Working",MAX(-(((Q876)*(1+$C$10)+IF(B877="Working",J877,0))),0),MAX(K877-L877,0))</f>
        <v/>
      </c>
      <c r="W877" s="138">
        <f>IF(OR(A877&gt;=$C$13,B877="Retired"),IF(V877&gt;0,-V877,U877-'Model Inputs'!$B$18),"")</f>
        <v/>
      </c>
      <c r="X877" s="138">
        <f>IF(AND($L$241&gt;0,A877&gt;=$C$13),$L$241*(1+$C$25)^(A877-$C$13),0)</f>
        <v/>
      </c>
      <c r="Y877" s="138">
        <f>IF(OR($L$241&lt;=0,$C$17&lt;=0,A877&lt;$C$13,MIN(MAX((A877-$C$13+1)*12,0),$C$17*12)&gt;=$C$17*12),0,IF($C$16=0,MAX(MAX($L$241*(1-$C$15),0)-(IF($C$17&lt;=0,0,IF($C$16=0,MAX($L$241*(1-$C$15),0)/$C$17,-PMT($C$16/12,$C$17*12,MAX($L$241*(1-$C$15),0))*12))/12)*MIN(MAX((A877-$C$13+1)*12,0),$C$17*12),0),MAX(MAX($L$241*(1-$C$15),0)*(1+$C$16/12)^MIN(MAX((A877-$C$13+1)*12,0),$C$17*12)-(IF($C$17&lt;=0,0,IF($C$16=0,MAX($L$241*(1-$C$15),0)/$C$17,-PMT($C$16/12,$C$17*12,MAX($L$241*(1-$C$15),0))*12))/12)*(((1+$C$16/12)^MIN(MAX((A877-$C$13+1)*12,0),$C$17*12)-1)/($C$16/12)),0)))</f>
        <v/>
      </c>
      <c r="Z877" s="138">
        <f>MAX(X877-Y877,0)</f>
        <v/>
      </c>
      <c r="AA877" s="139">
        <f>U877+Z877</f>
        <v/>
      </c>
      <c r="AB877" s="5" t="n"/>
      <c r="AC877" s="5" t="n"/>
      <c r="AD877" s="5" t="n"/>
      <c r="AE877" s="5" t="n"/>
      <c r="AF877" s="5" t="n"/>
      <c r="AG877" s="5" t="n"/>
    </row>
    <row r="878" outlineLevel="1" s="326">
      <c r="A878" s="140" t="n">
        <v>6</v>
      </c>
      <c r="B878" s="40">
        <f>B85</f>
        <v/>
      </c>
      <c r="C878" s="141">
        <f>D85</f>
        <v/>
      </c>
      <c r="D878" s="141">
        <f>I85</f>
        <v/>
      </c>
      <c r="E878" s="141">
        <f>J85</f>
        <v/>
      </c>
      <c r="F878" s="141">
        <f>K85</f>
        <v/>
      </c>
      <c r="G878" s="138">
        <f>IF(AND($L$241&gt;0,A878=$C$13),$L$241*($C$15+$C$18),0)+IF(AND($L$241&gt;0,A878=$C$13),$C$24,0)</f>
        <v/>
      </c>
      <c r="H878" s="138">
        <f>IF(OR($L$241&lt;=0,A878&lt;$C$13),0,IF(AND($L$241&gt;0,$C$17&gt;0,A878&gt;=$C$13,A878&lt;($C$13+$C$17)),IF($C$17&lt;=0,0,IF($C$16=0,MAX($L$241*(1-$C$15),0)/$C$17,-PMT($C$16/12,$C$17*12,MAX($L$241*(1-$C$15),0))*12)),0)+X878*($C$19+$C$20+$C$21)+$C$22+$C$23)</f>
        <v/>
      </c>
      <c r="I878" s="138">
        <f>IF(B878="Working",MIN(MAX(D878-E878-F878-G878-H878,0),'Tax Assumptions'!$B$20),0)</f>
        <v/>
      </c>
      <c r="J878" s="138">
        <f>IF(B878="Working",D878-E878-F878-I878-G878-H878,-L878)</f>
        <v/>
      </c>
      <c r="K878" s="141">
        <f>IF(B878="Retired",$N$241+G878+H878,0)</f>
        <v/>
      </c>
      <c r="L878" s="141">
        <f>M878+N878+O878+P878</f>
        <v/>
      </c>
      <c r="M878" s="141">
        <f>IF(B878="Retired",MIN(((Q877)*(1+$C$10)+IF(B878="Working",J878,0)),K878),0)</f>
        <v/>
      </c>
      <c r="N878" s="141">
        <f>IF(B878="Retired",MIN(MAX(K878-M878,0),((R877)*(1+$C$10)+IF(B878="Working",E85,0))),0)</f>
        <v/>
      </c>
      <c r="O878" s="141">
        <f>IF(B878="Retired",MIN(MAX(K878-M878-N878,0),((S877)*(1+$C$10)+IF(B878="Working",I878,0))),0)</f>
        <v/>
      </c>
      <c r="P878" s="141">
        <f>IF(B878="Retired",MIN(MAX(K878-M878-N878-O878,0),((T877)*(1+$C$10)+IF(B878="Working",F85,0))),0)</f>
        <v/>
      </c>
      <c r="Q878" s="138">
        <f>MAX(((Q877)*(1+$C$10)+IF(B878="Working",J878,0))-M878,0)</f>
        <v/>
      </c>
      <c r="R878" s="138">
        <f>MAX(((R877)*(1+$C$10)+IF(B878="Working",E85,0))-N878,0)</f>
        <v/>
      </c>
      <c r="S878" s="138">
        <f>MAX(((S877)*(1+$C$10)+IF(B878="Working",I878,0))-O878,0)</f>
        <v/>
      </c>
      <c r="T878" s="138">
        <f>MAX(((T877)*(1+$C$10)+IF(B878="Working",F85,0))-P878,0)</f>
        <v/>
      </c>
      <c r="U878" s="138">
        <f>Q878+R878+S878+T878</f>
        <v/>
      </c>
      <c r="V878" s="138">
        <f>IF(B878="Working",MAX(-(((Q877)*(1+$C$10)+IF(B878="Working",J878,0))),0),MAX(K878-L878,0))</f>
        <v/>
      </c>
      <c r="W878" s="138">
        <f>IF(OR(A878&gt;=$C$13,B878="Retired"),IF(V878&gt;0,-V878,U878-'Model Inputs'!$B$18),"")</f>
        <v/>
      </c>
      <c r="X878" s="138">
        <f>IF(AND($L$241&gt;0,A878&gt;=$C$13),$L$241*(1+$C$25)^(A878-$C$13),0)</f>
        <v/>
      </c>
      <c r="Y878" s="138">
        <f>IF(OR($L$241&lt;=0,$C$17&lt;=0,A878&lt;$C$13,MIN(MAX((A878-$C$13+1)*12,0),$C$17*12)&gt;=$C$17*12),0,IF($C$16=0,MAX(MAX($L$241*(1-$C$15),0)-(IF($C$17&lt;=0,0,IF($C$16=0,MAX($L$241*(1-$C$15),0)/$C$17,-PMT($C$16/12,$C$17*12,MAX($L$241*(1-$C$15),0))*12))/12)*MIN(MAX((A878-$C$13+1)*12,0),$C$17*12),0),MAX(MAX($L$241*(1-$C$15),0)*(1+$C$16/12)^MIN(MAX((A878-$C$13+1)*12,0),$C$17*12)-(IF($C$17&lt;=0,0,IF($C$16=0,MAX($L$241*(1-$C$15),0)/$C$17,-PMT($C$16/12,$C$17*12,MAX($L$241*(1-$C$15),0))*12))/12)*(((1+$C$16/12)^MIN(MAX((A878-$C$13+1)*12,0),$C$17*12)-1)/($C$16/12)),0)))</f>
        <v/>
      </c>
      <c r="Z878" s="138">
        <f>MAX(X878-Y878,0)</f>
        <v/>
      </c>
      <c r="AA878" s="142">
        <f>U878+Z878</f>
        <v/>
      </c>
      <c r="AB878" s="5" t="n"/>
      <c r="AC878" s="5" t="n"/>
      <c r="AD878" s="5" t="n"/>
      <c r="AE878" s="5" t="n"/>
      <c r="AF878" s="5" t="n"/>
      <c r="AG878" s="5" t="n"/>
    </row>
    <row r="879" outlineLevel="1" s="326">
      <c r="A879" s="136" t="n">
        <v>7</v>
      </c>
      <c r="B879" s="72">
        <f>B86</f>
        <v/>
      </c>
      <c r="C879" s="137">
        <f>D86</f>
        <v/>
      </c>
      <c r="D879" s="137">
        <f>I86</f>
        <v/>
      </c>
      <c r="E879" s="137">
        <f>J86</f>
        <v/>
      </c>
      <c r="F879" s="137">
        <f>K86</f>
        <v/>
      </c>
      <c r="G879" s="138">
        <f>IF(AND($L$241&gt;0,A879=$C$13),$L$241*($C$15+$C$18),0)+IF(AND($L$241&gt;0,A879=$C$13),$C$24,0)</f>
        <v/>
      </c>
      <c r="H879" s="138">
        <f>IF(OR($L$241&lt;=0,A879&lt;$C$13),0,IF(AND($L$241&gt;0,$C$17&gt;0,A879&gt;=$C$13,A879&lt;($C$13+$C$17)),IF($C$17&lt;=0,0,IF($C$16=0,MAX($L$241*(1-$C$15),0)/$C$17,-PMT($C$16/12,$C$17*12,MAX($L$241*(1-$C$15),0))*12)),0)+X879*($C$19+$C$20+$C$21)+$C$22+$C$23)</f>
        <v/>
      </c>
      <c r="I879" s="138">
        <f>IF(B879="Working",MIN(MAX(D879-E879-F879-G879-H879,0),'Tax Assumptions'!$B$20),0)</f>
        <v/>
      </c>
      <c r="J879" s="138">
        <f>IF(B879="Working",D879-E879-F879-I879-G879-H879,-L879)</f>
        <v/>
      </c>
      <c r="K879" s="137">
        <f>IF(B879="Retired",$N$241+G879+H879,0)</f>
        <v/>
      </c>
      <c r="L879" s="137">
        <f>M879+N879+O879+P879</f>
        <v/>
      </c>
      <c r="M879" s="137">
        <f>IF(B879="Retired",MIN(((Q878)*(1+$C$10)+IF(B879="Working",J879,0)),K879),0)</f>
        <v/>
      </c>
      <c r="N879" s="137">
        <f>IF(B879="Retired",MIN(MAX(K879-M879,0),((R878)*(1+$C$10)+IF(B879="Working",E86,0))),0)</f>
        <v/>
      </c>
      <c r="O879" s="137">
        <f>IF(B879="Retired",MIN(MAX(K879-M879-N879,0),((S878)*(1+$C$10)+IF(B879="Working",I879,0))),0)</f>
        <v/>
      </c>
      <c r="P879" s="137">
        <f>IF(B879="Retired",MIN(MAX(K879-M879-N879-O879,0),((T878)*(1+$C$10)+IF(B879="Working",F86,0))),0)</f>
        <v/>
      </c>
      <c r="Q879" s="138">
        <f>MAX(((Q878)*(1+$C$10)+IF(B879="Working",J879,0))-M879,0)</f>
        <v/>
      </c>
      <c r="R879" s="138">
        <f>MAX(((R878)*(1+$C$10)+IF(B879="Working",E86,0))-N879,0)</f>
        <v/>
      </c>
      <c r="S879" s="138">
        <f>MAX(((S878)*(1+$C$10)+IF(B879="Working",I879,0))-O879,0)</f>
        <v/>
      </c>
      <c r="T879" s="138">
        <f>MAX(((T878)*(1+$C$10)+IF(B879="Working",F86,0))-P879,0)</f>
        <v/>
      </c>
      <c r="U879" s="138">
        <f>Q879+R879+S879+T879</f>
        <v/>
      </c>
      <c r="V879" s="138">
        <f>IF(B879="Working",MAX(-(((Q878)*(1+$C$10)+IF(B879="Working",J879,0))),0),MAX(K879-L879,0))</f>
        <v/>
      </c>
      <c r="W879" s="138">
        <f>IF(OR(A879&gt;=$C$13,B879="Retired"),IF(V879&gt;0,-V879,U879-'Model Inputs'!$B$18),"")</f>
        <v/>
      </c>
      <c r="X879" s="138">
        <f>IF(AND($L$241&gt;0,A879&gt;=$C$13),$L$241*(1+$C$25)^(A879-$C$13),0)</f>
        <v/>
      </c>
      <c r="Y879" s="138">
        <f>IF(OR($L$241&lt;=0,$C$17&lt;=0,A879&lt;$C$13,MIN(MAX((A879-$C$13+1)*12,0),$C$17*12)&gt;=$C$17*12),0,IF($C$16=0,MAX(MAX($L$241*(1-$C$15),0)-(IF($C$17&lt;=0,0,IF($C$16=0,MAX($L$241*(1-$C$15),0)/$C$17,-PMT($C$16/12,$C$17*12,MAX($L$241*(1-$C$15),0))*12))/12)*MIN(MAX((A879-$C$13+1)*12,0),$C$17*12),0),MAX(MAX($L$241*(1-$C$15),0)*(1+$C$16/12)^MIN(MAX((A879-$C$13+1)*12,0),$C$17*12)-(IF($C$17&lt;=0,0,IF($C$16=0,MAX($L$241*(1-$C$15),0)/$C$17,-PMT($C$16/12,$C$17*12,MAX($L$241*(1-$C$15),0))*12))/12)*(((1+$C$16/12)^MIN(MAX((A879-$C$13+1)*12,0),$C$17*12)-1)/($C$16/12)),0)))</f>
        <v/>
      </c>
      <c r="Z879" s="138">
        <f>MAX(X879-Y879,0)</f>
        <v/>
      </c>
      <c r="AA879" s="139">
        <f>U879+Z879</f>
        <v/>
      </c>
      <c r="AB879" s="5" t="n"/>
      <c r="AC879" s="5" t="n"/>
      <c r="AD879" s="5" t="n"/>
      <c r="AE879" s="5" t="n"/>
      <c r="AF879" s="5" t="n"/>
      <c r="AG879" s="5" t="n"/>
    </row>
    <row r="880" outlineLevel="1" s="326">
      <c r="A880" s="140" t="n">
        <v>8</v>
      </c>
      <c r="B880" s="40">
        <f>B87</f>
        <v/>
      </c>
      <c r="C880" s="141">
        <f>D87</f>
        <v/>
      </c>
      <c r="D880" s="141">
        <f>I87</f>
        <v/>
      </c>
      <c r="E880" s="141">
        <f>J87</f>
        <v/>
      </c>
      <c r="F880" s="141">
        <f>K87</f>
        <v/>
      </c>
      <c r="G880" s="138">
        <f>IF(AND($L$241&gt;0,A880=$C$13),$L$241*($C$15+$C$18),0)+IF(AND($L$241&gt;0,A880=$C$13),$C$24,0)</f>
        <v/>
      </c>
      <c r="H880" s="138">
        <f>IF(OR($L$241&lt;=0,A880&lt;$C$13),0,IF(AND($L$241&gt;0,$C$17&gt;0,A880&gt;=$C$13,A880&lt;($C$13+$C$17)),IF($C$17&lt;=0,0,IF($C$16=0,MAX($L$241*(1-$C$15),0)/$C$17,-PMT($C$16/12,$C$17*12,MAX($L$241*(1-$C$15),0))*12)),0)+X880*($C$19+$C$20+$C$21)+$C$22+$C$23)</f>
        <v/>
      </c>
      <c r="I880" s="138">
        <f>IF(B880="Working",MIN(MAX(D880-E880-F880-G880-H880,0),'Tax Assumptions'!$B$20),0)</f>
        <v/>
      </c>
      <c r="J880" s="138">
        <f>IF(B880="Working",D880-E880-F880-I880-G880-H880,-L880)</f>
        <v/>
      </c>
      <c r="K880" s="141">
        <f>IF(B880="Retired",$N$241+G880+H880,0)</f>
        <v/>
      </c>
      <c r="L880" s="141">
        <f>M880+N880+O880+P880</f>
        <v/>
      </c>
      <c r="M880" s="141">
        <f>IF(B880="Retired",MIN(((Q879)*(1+$C$10)+IF(B880="Working",J880,0)),K880),0)</f>
        <v/>
      </c>
      <c r="N880" s="141">
        <f>IF(B880="Retired",MIN(MAX(K880-M880,0),((R879)*(1+$C$10)+IF(B880="Working",E87,0))),0)</f>
        <v/>
      </c>
      <c r="O880" s="141">
        <f>IF(B880="Retired",MIN(MAX(K880-M880-N880,0),((S879)*(1+$C$10)+IF(B880="Working",I880,0))),0)</f>
        <v/>
      </c>
      <c r="P880" s="141">
        <f>IF(B880="Retired",MIN(MAX(K880-M880-N880-O880,0),((T879)*(1+$C$10)+IF(B880="Working",F87,0))),0)</f>
        <v/>
      </c>
      <c r="Q880" s="138">
        <f>MAX(((Q879)*(1+$C$10)+IF(B880="Working",J880,0))-M880,0)</f>
        <v/>
      </c>
      <c r="R880" s="138">
        <f>MAX(((R879)*(1+$C$10)+IF(B880="Working",E87,0))-N880,0)</f>
        <v/>
      </c>
      <c r="S880" s="138">
        <f>MAX(((S879)*(1+$C$10)+IF(B880="Working",I880,0))-O880,0)</f>
        <v/>
      </c>
      <c r="T880" s="138">
        <f>MAX(((T879)*(1+$C$10)+IF(B880="Working",F87,0))-P880,0)</f>
        <v/>
      </c>
      <c r="U880" s="138">
        <f>Q880+R880+S880+T880</f>
        <v/>
      </c>
      <c r="V880" s="138">
        <f>IF(B880="Working",MAX(-(((Q879)*(1+$C$10)+IF(B880="Working",J880,0))),0),MAX(K880-L880,0))</f>
        <v/>
      </c>
      <c r="W880" s="138">
        <f>IF(OR(A880&gt;=$C$13,B880="Retired"),IF(V880&gt;0,-V880,U880-'Model Inputs'!$B$18),"")</f>
        <v/>
      </c>
      <c r="X880" s="138">
        <f>IF(AND($L$241&gt;0,A880&gt;=$C$13),$L$241*(1+$C$25)^(A880-$C$13),0)</f>
        <v/>
      </c>
      <c r="Y880" s="138">
        <f>IF(OR($L$241&lt;=0,$C$17&lt;=0,A880&lt;$C$13,MIN(MAX((A880-$C$13+1)*12,0),$C$17*12)&gt;=$C$17*12),0,IF($C$16=0,MAX(MAX($L$241*(1-$C$15),0)-(IF($C$17&lt;=0,0,IF($C$16=0,MAX($L$241*(1-$C$15),0)/$C$17,-PMT($C$16/12,$C$17*12,MAX($L$241*(1-$C$15),0))*12))/12)*MIN(MAX((A880-$C$13+1)*12,0),$C$17*12),0),MAX(MAX($L$241*(1-$C$15),0)*(1+$C$16/12)^MIN(MAX((A880-$C$13+1)*12,0),$C$17*12)-(IF($C$17&lt;=0,0,IF($C$16=0,MAX($L$241*(1-$C$15),0)/$C$17,-PMT($C$16/12,$C$17*12,MAX($L$241*(1-$C$15),0))*12))/12)*(((1+$C$16/12)^MIN(MAX((A880-$C$13+1)*12,0),$C$17*12)-1)/($C$16/12)),0)))</f>
        <v/>
      </c>
      <c r="Z880" s="138">
        <f>MAX(X880-Y880,0)</f>
        <v/>
      </c>
      <c r="AA880" s="142">
        <f>U880+Z880</f>
        <v/>
      </c>
      <c r="AB880" s="5" t="n"/>
      <c r="AC880" s="5" t="n"/>
      <c r="AD880" s="5" t="n"/>
      <c r="AE880" s="5" t="n"/>
      <c r="AF880" s="5" t="n"/>
      <c r="AG880" s="5" t="n"/>
    </row>
    <row r="881" outlineLevel="1" s="326">
      <c r="A881" s="136" t="n">
        <v>9</v>
      </c>
      <c r="B881" s="72">
        <f>B88</f>
        <v/>
      </c>
      <c r="C881" s="137">
        <f>D88</f>
        <v/>
      </c>
      <c r="D881" s="137">
        <f>I88</f>
        <v/>
      </c>
      <c r="E881" s="137">
        <f>J88</f>
        <v/>
      </c>
      <c r="F881" s="137">
        <f>K88</f>
        <v/>
      </c>
      <c r="G881" s="138">
        <f>IF(AND($L$241&gt;0,A881=$C$13),$L$241*($C$15+$C$18),0)+IF(AND($L$241&gt;0,A881=$C$13),$C$24,0)</f>
        <v/>
      </c>
      <c r="H881" s="138">
        <f>IF(OR($L$241&lt;=0,A881&lt;$C$13),0,IF(AND($L$241&gt;0,$C$17&gt;0,A881&gt;=$C$13,A881&lt;($C$13+$C$17)),IF($C$17&lt;=0,0,IF($C$16=0,MAX($L$241*(1-$C$15),0)/$C$17,-PMT($C$16/12,$C$17*12,MAX($L$241*(1-$C$15),0))*12)),0)+X881*($C$19+$C$20+$C$21)+$C$22+$C$23)</f>
        <v/>
      </c>
      <c r="I881" s="138">
        <f>IF(B881="Working",MIN(MAX(D881-E881-F881-G881-H881,0),'Tax Assumptions'!$B$20),0)</f>
        <v/>
      </c>
      <c r="J881" s="138">
        <f>IF(B881="Working",D881-E881-F881-I881-G881-H881,-L881)</f>
        <v/>
      </c>
      <c r="K881" s="137">
        <f>IF(B881="Retired",$N$241+G881+H881,0)</f>
        <v/>
      </c>
      <c r="L881" s="137">
        <f>M881+N881+O881+P881</f>
        <v/>
      </c>
      <c r="M881" s="137">
        <f>IF(B881="Retired",MIN(((Q880)*(1+$C$10)+IF(B881="Working",J881,0)),K881),0)</f>
        <v/>
      </c>
      <c r="N881" s="137">
        <f>IF(B881="Retired",MIN(MAX(K881-M881,0),((R880)*(1+$C$10)+IF(B881="Working",E88,0))),0)</f>
        <v/>
      </c>
      <c r="O881" s="137">
        <f>IF(B881="Retired",MIN(MAX(K881-M881-N881,0),((S880)*(1+$C$10)+IF(B881="Working",I881,0))),0)</f>
        <v/>
      </c>
      <c r="P881" s="137">
        <f>IF(B881="Retired",MIN(MAX(K881-M881-N881-O881,0),((T880)*(1+$C$10)+IF(B881="Working",F88,0))),0)</f>
        <v/>
      </c>
      <c r="Q881" s="138">
        <f>MAX(((Q880)*(1+$C$10)+IF(B881="Working",J881,0))-M881,0)</f>
        <v/>
      </c>
      <c r="R881" s="138">
        <f>MAX(((R880)*(1+$C$10)+IF(B881="Working",E88,0))-N881,0)</f>
        <v/>
      </c>
      <c r="S881" s="138">
        <f>MAX(((S880)*(1+$C$10)+IF(B881="Working",I881,0))-O881,0)</f>
        <v/>
      </c>
      <c r="T881" s="138">
        <f>MAX(((T880)*(1+$C$10)+IF(B881="Working",F88,0))-P881,0)</f>
        <v/>
      </c>
      <c r="U881" s="138">
        <f>Q881+R881+S881+T881</f>
        <v/>
      </c>
      <c r="V881" s="138">
        <f>IF(B881="Working",MAX(-(((Q880)*(1+$C$10)+IF(B881="Working",J881,0))),0),MAX(K881-L881,0))</f>
        <v/>
      </c>
      <c r="W881" s="138">
        <f>IF(OR(A881&gt;=$C$13,B881="Retired"),IF(V881&gt;0,-V881,U881-'Model Inputs'!$B$18),"")</f>
        <v/>
      </c>
      <c r="X881" s="138">
        <f>IF(AND($L$241&gt;0,A881&gt;=$C$13),$L$241*(1+$C$25)^(A881-$C$13),0)</f>
        <v/>
      </c>
      <c r="Y881" s="138">
        <f>IF(OR($L$241&lt;=0,$C$17&lt;=0,A881&lt;$C$13,MIN(MAX((A881-$C$13+1)*12,0),$C$17*12)&gt;=$C$17*12),0,IF($C$16=0,MAX(MAX($L$241*(1-$C$15),0)-(IF($C$17&lt;=0,0,IF($C$16=0,MAX($L$241*(1-$C$15),0)/$C$17,-PMT($C$16/12,$C$17*12,MAX($L$241*(1-$C$15),0))*12))/12)*MIN(MAX((A881-$C$13+1)*12,0),$C$17*12),0),MAX(MAX($L$241*(1-$C$15),0)*(1+$C$16/12)^MIN(MAX((A881-$C$13+1)*12,0),$C$17*12)-(IF($C$17&lt;=0,0,IF($C$16=0,MAX($L$241*(1-$C$15),0)/$C$17,-PMT($C$16/12,$C$17*12,MAX($L$241*(1-$C$15),0))*12))/12)*(((1+$C$16/12)^MIN(MAX((A881-$C$13+1)*12,0),$C$17*12)-1)/($C$16/12)),0)))</f>
        <v/>
      </c>
      <c r="Z881" s="138">
        <f>MAX(X881-Y881,0)</f>
        <v/>
      </c>
      <c r="AA881" s="139">
        <f>U881+Z881</f>
        <v/>
      </c>
      <c r="AB881" s="5" t="n"/>
      <c r="AC881" s="5" t="n"/>
      <c r="AD881" s="5" t="n"/>
      <c r="AE881" s="5" t="n"/>
      <c r="AF881" s="5" t="n"/>
      <c r="AG881" s="5" t="n"/>
    </row>
    <row r="882" outlineLevel="1" s="326">
      <c r="A882" s="140" t="n">
        <v>10</v>
      </c>
      <c r="B882" s="40">
        <f>B89</f>
        <v/>
      </c>
      <c r="C882" s="141">
        <f>D89</f>
        <v/>
      </c>
      <c r="D882" s="141">
        <f>I89</f>
        <v/>
      </c>
      <c r="E882" s="141">
        <f>J89</f>
        <v/>
      </c>
      <c r="F882" s="141">
        <f>K89</f>
        <v/>
      </c>
      <c r="G882" s="138">
        <f>IF(AND($L$241&gt;0,A882=$C$13),$L$241*($C$15+$C$18),0)+IF(AND($L$241&gt;0,A882=$C$13),$C$24,0)</f>
        <v/>
      </c>
      <c r="H882" s="138">
        <f>IF(OR($L$241&lt;=0,A882&lt;$C$13),0,IF(AND($L$241&gt;0,$C$17&gt;0,A882&gt;=$C$13,A882&lt;($C$13+$C$17)),IF($C$17&lt;=0,0,IF($C$16=0,MAX($L$241*(1-$C$15),0)/$C$17,-PMT($C$16/12,$C$17*12,MAX($L$241*(1-$C$15),0))*12)),0)+X882*($C$19+$C$20+$C$21)+$C$22+$C$23)</f>
        <v/>
      </c>
      <c r="I882" s="138">
        <f>IF(B882="Working",MIN(MAX(D882-E882-F882-G882-H882,0),'Tax Assumptions'!$B$20),0)</f>
        <v/>
      </c>
      <c r="J882" s="138">
        <f>IF(B882="Working",D882-E882-F882-I882-G882-H882,-L882)</f>
        <v/>
      </c>
      <c r="K882" s="141">
        <f>IF(B882="Retired",$N$241+G882+H882,0)</f>
        <v/>
      </c>
      <c r="L882" s="141">
        <f>M882+N882+O882+P882</f>
        <v/>
      </c>
      <c r="M882" s="141">
        <f>IF(B882="Retired",MIN(((Q881)*(1+$C$10)+IF(B882="Working",J882,0)),K882),0)</f>
        <v/>
      </c>
      <c r="N882" s="141">
        <f>IF(B882="Retired",MIN(MAX(K882-M882,0),((R881)*(1+$C$10)+IF(B882="Working",E89,0))),0)</f>
        <v/>
      </c>
      <c r="O882" s="141">
        <f>IF(B882="Retired",MIN(MAX(K882-M882-N882,0),((S881)*(1+$C$10)+IF(B882="Working",I882,0))),0)</f>
        <v/>
      </c>
      <c r="P882" s="141">
        <f>IF(B882="Retired",MIN(MAX(K882-M882-N882-O882,0),((T881)*(1+$C$10)+IF(B882="Working",F89,0))),0)</f>
        <v/>
      </c>
      <c r="Q882" s="138">
        <f>MAX(((Q881)*(1+$C$10)+IF(B882="Working",J882,0))-M882,0)</f>
        <v/>
      </c>
      <c r="R882" s="138">
        <f>MAX(((R881)*(1+$C$10)+IF(B882="Working",E89,0))-N882,0)</f>
        <v/>
      </c>
      <c r="S882" s="138">
        <f>MAX(((S881)*(1+$C$10)+IF(B882="Working",I882,0))-O882,0)</f>
        <v/>
      </c>
      <c r="T882" s="138">
        <f>MAX(((T881)*(1+$C$10)+IF(B882="Working",F89,0))-P882,0)</f>
        <v/>
      </c>
      <c r="U882" s="138">
        <f>Q882+R882+S882+T882</f>
        <v/>
      </c>
      <c r="V882" s="138">
        <f>IF(B882="Working",MAX(-(((Q881)*(1+$C$10)+IF(B882="Working",J882,0))),0),MAX(K882-L882,0))</f>
        <v/>
      </c>
      <c r="W882" s="138">
        <f>IF(OR(A882&gt;=$C$13,B882="Retired"),IF(V882&gt;0,-V882,U882-'Model Inputs'!$B$18),"")</f>
        <v/>
      </c>
      <c r="X882" s="138">
        <f>IF(AND($L$241&gt;0,A882&gt;=$C$13),$L$241*(1+$C$25)^(A882-$C$13),0)</f>
        <v/>
      </c>
      <c r="Y882" s="138">
        <f>IF(OR($L$241&lt;=0,$C$17&lt;=0,A882&lt;$C$13,MIN(MAX((A882-$C$13+1)*12,0),$C$17*12)&gt;=$C$17*12),0,IF($C$16=0,MAX(MAX($L$241*(1-$C$15),0)-(IF($C$17&lt;=0,0,IF($C$16=0,MAX($L$241*(1-$C$15),0)/$C$17,-PMT($C$16/12,$C$17*12,MAX($L$241*(1-$C$15),0))*12))/12)*MIN(MAX((A882-$C$13+1)*12,0),$C$17*12),0),MAX(MAX($L$241*(1-$C$15),0)*(1+$C$16/12)^MIN(MAX((A882-$C$13+1)*12,0),$C$17*12)-(IF($C$17&lt;=0,0,IF($C$16=0,MAX($L$241*(1-$C$15),0)/$C$17,-PMT($C$16/12,$C$17*12,MAX($L$241*(1-$C$15),0))*12))/12)*(((1+$C$16/12)^MIN(MAX((A882-$C$13+1)*12,0),$C$17*12)-1)/($C$16/12)),0)))</f>
        <v/>
      </c>
      <c r="Z882" s="138">
        <f>MAX(X882-Y882,0)</f>
        <v/>
      </c>
      <c r="AA882" s="142">
        <f>U882+Z882</f>
        <v/>
      </c>
      <c r="AB882" s="5" t="n"/>
      <c r="AC882" s="5" t="n"/>
      <c r="AD882" s="5" t="n"/>
      <c r="AE882" s="5" t="n"/>
      <c r="AF882" s="5" t="n"/>
      <c r="AG882" s="5" t="n"/>
    </row>
    <row r="883" outlineLevel="1" s="326">
      <c r="A883" s="136" t="n">
        <v>11</v>
      </c>
      <c r="B883" s="72">
        <f>B90</f>
        <v/>
      </c>
      <c r="C883" s="137">
        <f>D90</f>
        <v/>
      </c>
      <c r="D883" s="137">
        <f>I90</f>
        <v/>
      </c>
      <c r="E883" s="137">
        <f>J90</f>
        <v/>
      </c>
      <c r="F883" s="137">
        <f>K90</f>
        <v/>
      </c>
      <c r="G883" s="138">
        <f>IF(AND($L$241&gt;0,A883=$C$13),$L$241*($C$15+$C$18),0)+IF(AND($L$241&gt;0,A883=$C$13),$C$24,0)</f>
        <v/>
      </c>
      <c r="H883" s="138">
        <f>IF(OR($L$241&lt;=0,A883&lt;$C$13),0,IF(AND($L$241&gt;0,$C$17&gt;0,A883&gt;=$C$13,A883&lt;($C$13+$C$17)),IF($C$17&lt;=0,0,IF($C$16=0,MAX($L$241*(1-$C$15),0)/$C$17,-PMT($C$16/12,$C$17*12,MAX($L$241*(1-$C$15),0))*12)),0)+X883*($C$19+$C$20+$C$21)+$C$22+$C$23)</f>
        <v/>
      </c>
      <c r="I883" s="138">
        <f>IF(B883="Working",MIN(MAX(D883-E883-F883-G883-H883,0),'Tax Assumptions'!$B$20),0)</f>
        <v/>
      </c>
      <c r="J883" s="138">
        <f>IF(B883="Working",D883-E883-F883-I883-G883-H883,-L883)</f>
        <v/>
      </c>
      <c r="K883" s="137">
        <f>IF(B883="Retired",$N$241+G883+H883,0)</f>
        <v/>
      </c>
      <c r="L883" s="137">
        <f>M883+N883+O883+P883</f>
        <v/>
      </c>
      <c r="M883" s="137">
        <f>IF(B883="Retired",MIN(((Q882)*(1+$C$10)+IF(B883="Working",J883,0)),K883),0)</f>
        <v/>
      </c>
      <c r="N883" s="137">
        <f>IF(B883="Retired",MIN(MAX(K883-M883,0),((R882)*(1+$C$10)+IF(B883="Working",E90,0))),0)</f>
        <v/>
      </c>
      <c r="O883" s="137">
        <f>IF(B883="Retired",MIN(MAX(K883-M883-N883,0),((S882)*(1+$C$10)+IF(B883="Working",I883,0))),0)</f>
        <v/>
      </c>
      <c r="P883" s="137">
        <f>IF(B883="Retired",MIN(MAX(K883-M883-N883-O883,0),((T882)*(1+$C$10)+IF(B883="Working",F90,0))),0)</f>
        <v/>
      </c>
      <c r="Q883" s="138">
        <f>MAX(((Q882)*(1+$C$10)+IF(B883="Working",J883,0))-M883,0)</f>
        <v/>
      </c>
      <c r="R883" s="138">
        <f>MAX(((R882)*(1+$C$10)+IF(B883="Working",E90,0))-N883,0)</f>
        <v/>
      </c>
      <c r="S883" s="138">
        <f>MAX(((S882)*(1+$C$10)+IF(B883="Working",I883,0))-O883,0)</f>
        <v/>
      </c>
      <c r="T883" s="138">
        <f>MAX(((T882)*(1+$C$10)+IF(B883="Working",F90,0))-P883,0)</f>
        <v/>
      </c>
      <c r="U883" s="138">
        <f>Q883+R883+S883+T883</f>
        <v/>
      </c>
      <c r="V883" s="138">
        <f>IF(B883="Working",MAX(-(((Q882)*(1+$C$10)+IF(B883="Working",J883,0))),0),MAX(K883-L883,0))</f>
        <v/>
      </c>
      <c r="W883" s="138">
        <f>IF(OR(A883&gt;=$C$13,B883="Retired"),IF(V883&gt;0,-V883,U883-'Model Inputs'!$B$18),"")</f>
        <v/>
      </c>
      <c r="X883" s="138">
        <f>IF(AND($L$241&gt;0,A883&gt;=$C$13),$L$241*(1+$C$25)^(A883-$C$13),0)</f>
        <v/>
      </c>
      <c r="Y883" s="138">
        <f>IF(OR($L$241&lt;=0,$C$17&lt;=0,A883&lt;$C$13,MIN(MAX((A883-$C$13+1)*12,0),$C$17*12)&gt;=$C$17*12),0,IF($C$16=0,MAX(MAX($L$241*(1-$C$15),0)-(IF($C$17&lt;=0,0,IF($C$16=0,MAX($L$241*(1-$C$15),0)/$C$17,-PMT($C$16/12,$C$17*12,MAX($L$241*(1-$C$15),0))*12))/12)*MIN(MAX((A883-$C$13+1)*12,0),$C$17*12),0),MAX(MAX($L$241*(1-$C$15),0)*(1+$C$16/12)^MIN(MAX((A883-$C$13+1)*12,0),$C$17*12)-(IF($C$17&lt;=0,0,IF($C$16=0,MAX($L$241*(1-$C$15),0)/$C$17,-PMT($C$16/12,$C$17*12,MAX($L$241*(1-$C$15),0))*12))/12)*(((1+$C$16/12)^MIN(MAX((A883-$C$13+1)*12,0),$C$17*12)-1)/($C$16/12)),0)))</f>
        <v/>
      </c>
      <c r="Z883" s="138">
        <f>MAX(X883-Y883,0)</f>
        <v/>
      </c>
      <c r="AA883" s="139">
        <f>U883+Z883</f>
        <v/>
      </c>
      <c r="AB883" s="5" t="n"/>
      <c r="AC883" s="5" t="n"/>
      <c r="AD883" s="5" t="n"/>
      <c r="AE883" s="5" t="n"/>
      <c r="AF883" s="5" t="n"/>
      <c r="AG883" s="5" t="n"/>
    </row>
    <row r="884" outlineLevel="1" s="326">
      <c r="A884" s="140" t="n">
        <v>12</v>
      </c>
      <c r="B884" s="40">
        <f>B91</f>
        <v/>
      </c>
      <c r="C884" s="141">
        <f>D91</f>
        <v/>
      </c>
      <c r="D884" s="141">
        <f>I91</f>
        <v/>
      </c>
      <c r="E884" s="141">
        <f>J91</f>
        <v/>
      </c>
      <c r="F884" s="141">
        <f>K91</f>
        <v/>
      </c>
      <c r="G884" s="138">
        <f>IF(AND($L$241&gt;0,A884=$C$13),$L$241*($C$15+$C$18),0)+IF(AND($L$241&gt;0,A884=$C$13),$C$24,0)</f>
        <v/>
      </c>
      <c r="H884" s="138">
        <f>IF(OR($L$241&lt;=0,A884&lt;$C$13),0,IF(AND($L$241&gt;0,$C$17&gt;0,A884&gt;=$C$13,A884&lt;($C$13+$C$17)),IF($C$17&lt;=0,0,IF($C$16=0,MAX($L$241*(1-$C$15),0)/$C$17,-PMT($C$16/12,$C$17*12,MAX($L$241*(1-$C$15),0))*12)),0)+X884*($C$19+$C$20+$C$21)+$C$22+$C$23)</f>
        <v/>
      </c>
      <c r="I884" s="138">
        <f>IF(B884="Working",MIN(MAX(D884-E884-F884-G884-H884,0),'Tax Assumptions'!$B$20),0)</f>
        <v/>
      </c>
      <c r="J884" s="138">
        <f>IF(B884="Working",D884-E884-F884-I884-G884-H884,-L884)</f>
        <v/>
      </c>
      <c r="K884" s="141">
        <f>IF(B884="Retired",$N$241+G884+H884,0)</f>
        <v/>
      </c>
      <c r="L884" s="141">
        <f>M884+N884+O884+P884</f>
        <v/>
      </c>
      <c r="M884" s="141">
        <f>IF(B884="Retired",MIN(((Q883)*(1+$C$10)+IF(B884="Working",J884,0)),K884),0)</f>
        <v/>
      </c>
      <c r="N884" s="141">
        <f>IF(B884="Retired",MIN(MAX(K884-M884,0),((R883)*(1+$C$10)+IF(B884="Working",E91,0))),0)</f>
        <v/>
      </c>
      <c r="O884" s="141">
        <f>IF(B884="Retired",MIN(MAX(K884-M884-N884,0),((S883)*(1+$C$10)+IF(B884="Working",I884,0))),0)</f>
        <v/>
      </c>
      <c r="P884" s="141">
        <f>IF(B884="Retired",MIN(MAX(K884-M884-N884-O884,0),((T883)*(1+$C$10)+IF(B884="Working",F91,0))),0)</f>
        <v/>
      </c>
      <c r="Q884" s="138">
        <f>MAX(((Q883)*(1+$C$10)+IF(B884="Working",J884,0))-M884,0)</f>
        <v/>
      </c>
      <c r="R884" s="138">
        <f>MAX(((R883)*(1+$C$10)+IF(B884="Working",E91,0))-N884,0)</f>
        <v/>
      </c>
      <c r="S884" s="138">
        <f>MAX(((S883)*(1+$C$10)+IF(B884="Working",I884,0))-O884,0)</f>
        <v/>
      </c>
      <c r="T884" s="138">
        <f>MAX(((T883)*(1+$C$10)+IF(B884="Working",F91,0))-P884,0)</f>
        <v/>
      </c>
      <c r="U884" s="138">
        <f>Q884+R884+S884+T884</f>
        <v/>
      </c>
      <c r="V884" s="138">
        <f>IF(B884="Working",MAX(-(((Q883)*(1+$C$10)+IF(B884="Working",J884,0))),0),MAX(K884-L884,0))</f>
        <v/>
      </c>
      <c r="W884" s="138">
        <f>IF(OR(A884&gt;=$C$13,B884="Retired"),IF(V884&gt;0,-V884,U884-'Model Inputs'!$B$18),"")</f>
        <v/>
      </c>
      <c r="X884" s="138">
        <f>IF(AND($L$241&gt;0,A884&gt;=$C$13),$L$241*(1+$C$25)^(A884-$C$13),0)</f>
        <v/>
      </c>
      <c r="Y884" s="138">
        <f>IF(OR($L$241&lt;=0,$C$17&lt;=0,A884&lt;$C$13,MIN(MAX((A884-$C$13+1)*12,0),$C$17*12)&gt;=$C$17*12),0,IF($C$16=0,MAX(MAX($L$241*(1-$C$15),0)-(IF($C$17&lt;=0,0,IF($C$16=0,MAX($L$241*(1-$C$15),0)/$C$17,-PMT($C$16/12,$C$17*12,MAX($L$241*(1-$C$15),0))*12))/12)*MIN(MAX((A884-$C$13+1)*12,0),$C$17*12),0),MAX(MAX($L$241*(1-$C$15),0)*(1+$C$16/12)^MIN(MAX((A884-$C$13+1)*12,0),$C$17*12)-(IF($C$17&lt;=0,0,IF($C$16=0,MAX($L$241*(1-$C$15),0)/$C$17,-PMT($C$16/12,$C$17*12,MAX($L$241*(1-$C$15),0))*12))/12)*(((1+$C$16/12)^MIN(MAX((A884-$C$13+1)*12,0),$C$17*12)-1)/($C$16/12)),0)))</f>
        <v/>
      </c>
      <c r="Z884" s="138">
        <f>MAX(X884-Y884,0)</f>
        <v/>
      </c>
      <c r="AA884" s="142">
        <f>U884+Z884</f>
        <v/>
      </c>
      <c r="AB884" s="5" t="n"/>
      <c r="AC884" s="5" t="n"/>
      <c r="AD884" s="5" t="n"/>
      <c r="AE884" s="5" t="n"/>
      <c r="AF884" s="5" t="n"/>
      <c r="AG884" s="5" t="n"/>
    </row>
    <row r="885" outlineLevel="1" s="326">
      <c r="A885" s="136" t="n">
        <v>13</v>
      </c>
      <c r="B885" s="72">
        <f>B92</f>
        <v/>
      </c>
      <c r="C885" s="137">
        <f>D92</f>
        <v/>
      </c>
      <c r="D885" s="137">
        <f>I92</f>
        <v/>
      </c>
      <c r="E885" s="137">
        <f>J92</f>
        <v/>
      </c>
      <c r="F885" s="137">
        <f>K92</f>
        <v/>
      </c>
      <c r="G885" s="138">
        <f>IF(AND($L$241&gt;0,A885=$C$13),$L$241*($C$15+$C$18),0)+IF(AND($L$241&gt;0,A885=$C$13),$C$24,0)</f>
        <v/>
      </c>
      <c r="H885" s="138">
        <f>IF(OR($L$241&lt;=0,A885&lt;$C$13),0,IF(AND($L$241&gt;0,$C$17&gt;0,A885&gt;=$C$13,A885&lt;($C$13+$C$17)),IF($C$17&lt;=0,0,IF($C$16=0,MAX($L$241*(1-$C$15),0)/$C$17,-PMT($C$16/12,$C$17*12,MAX($L$241*(1-$C$15),0))*12)),0)+X885*($C$19+$C$20+$C$21)+$C$22+$C$23)</f>
        <v/>
      </c>
      <c r="I885" s="138">
        <f>IF(B885="Working",MIN(MAX(D885-E885-F885-G885-H885,0),'Tax Assumptions'!$B$20),0)</f>
        <v/>
      </c>
      <c r="J885" s="138">
        <f>IF(B885="Working",D885-E885-F885-I885-G885-H885,-L885)</f>
        <v/>
      </c>
      <c r="K885" s="137">
        <f>IF(B885="Retired",$N$241+G885+H885,0)</f>
        <v/>
      </c>
      <c r="L885" s="137">
        <f>M885+N885+O885+P885</f>
        <v/>
      </c>
      <c r="M885" s="137">
        <f>IF(B885="Retired",MIN(((Q884)*(1+$C$10)+IF(B885="Working",J885,0)),K885),0)</f>
        <v/>
      </c>
      <c r="N885" s="137">
        <f>IF(B885="Retired",MIN(MAX(K885-M885,0),((R884)*(1+$C$10)+IF(B885="Working",E92,0))),0)</f>
        <v/>
      </c>
      <c r="O885" s="137">
        <f>IF(B885="Retired",MIN(MAX(K885-M885-N885,0),((S884)*(1+$C$10)+IF(B885="Working",I885,0))),0)</f>
        <v/>
      </c>
      <c r="P885" s="137">
        <f>IF(B885="Retired",MIN(MAX(K885-M885-N885-O885,0),((T884)*(1+$C$10)+IF(B885="Working",F92,0))),0)</f>
        <v/>
      </c>
      <c r="Q885" s="138">
        <f>MAX(((Q884)*(1+$C$10)+IF(B885="Working",J885,0))-M885,0)</f>
        <v/>
      </c>
      <c r="R885" s="138">
        <f>MAX(((R884)*(1+$C$10)+IF(B885="Working",E92,0))-N885,0)</f>
        <v/>
      </c>
      <c r="S885" s="138">
        <f>MAX(((S884)*(1+$C$10)+IF(B885="Working",I885,0))-O885,0)</f>
        <v/>
      </c>
      <c r="T885" s="138">
        <f>MAX(((T884)*(1+$C$10)+IF(B885="Working",F92,0))-P885,0)</f>
        <v/>
      </c>
      <c r="U885" s="138">
        <f>Q885+R885+S885+T885</f>
        <v/>
      </c>
      <c r="V885" s="138">
        <f>IF(B885="Working",MAX(-(((Q884)*(1+$C$10)+IF(B885="Working",J885,0))),0),MAX(K885-L885,0))</f>
        <v/>
      </c>
      <c r="W885" s="138">
        <f>IF(OR(A885&gt;=$C$13,B885="Retired"),IF(V885&gt;0,-V885,U885-'Model Inputs'!$B$18),"")</f>
        <v/>
      </c>
      <c r="X885" s="138">
        <f>IF(AND($L$241&gt;0,A885&gt;=$C$13),$L$241*(1+$C$25)^(A885-$C$13),0)</f>
        <v/>
      </c>
      <c r="Y885" s="138">
        <f>IF(OR($L$241&lt;=0,$C$17&lt;=0,A885&lt;$C$13,MIN(MAX((A885-$C$13+1)*12,0),$C$17*12)&gt;=$C$17*12),0,IF($C$16=0,MAX(MAX($L$241*(1-$C$15),0)-(IF($C$17&lt;=0,0,IF($C$16=0,MAX($L$241*(1-$C$15),0)/$C$17,-PMT($C$16/12,$C$17*12,MAX($L$241*(1-$C$15),0))*12))/12)*MIN(MAX((A885-$C$13+1)*12,0),$C$17*12),0),MAX(MAX($L$241*(1-$C$15),0)*(1+$C$16/12)^MIN(MAX((A885-$C$13+1)*12,0),$C$17*12)-(IF($C$17&lt;=0,0,IF($C$16=0,MAX($L$241*(1-$C$15),0)/$C$17,-PMT($C$16/12,$C$17*12,MAX($L$241*(1-$C$15),0))*12))/12)*(((1+$C$16/12)^MIN(MAX((A885-$C$13+1)*12,0),$C$17*12)-1)/($C$16/12)),0)))</f>
        <v/>
      </c>
      <c r="Z885" s="138">
        <f>MAX(X885-Y885,0)</f>
        <v/>
      </c>
      <c r="AA885" s="139">
        <f>U885+Z885</f>
        <v/>
      </c>
      <c r="AB885" s="5" t="n"/>
      <c r="AC885" s="5" t="n"/>
      <c r="AD885" s="5" t="n"/>
      <c r="AE885" s="5" t="n"/>
      <c r="AF885" s="5" t="n"/>
      <c r="AG885" s="5" t="n"/>
    </row>
    <row r="886" outlineLevel="1" s="326">
      <c r="A886" s="140" t="n">
        <v>14</v>
      </c>
      <c r="B886" s="40">
        <f>B93</f>
        <v/>
      </c>
      <c r="C886" s="141">
        <f>D93</f>
        <v/>
      </c>
      <c r="D886" s="141">
        <f>I93</f>
        <v/>
      </c>
      <c r="E886" s="141">
        <f>J93</f>
        <v/>
      </c>
      <c r="F886" s="141">
        <f>K93</f>
        <v/>
      </c>
      <c r="G886" s="138">
        <f>IF(AND($L$241&gt;0,A886=$C$13),$L$241*($C$15+$C$18),0)+IF(AND($L$241&gt;0,A886=$C$13),$C$24,0)</f>
        <v/>
      </c>
      <c r="H886" s="138">
        <f>IF(OR($L$241&lt;=0,A886&lt;$C$13),0,IF(AND($L$241&gt;0,$C$17&gt;0,A886&gt;=$C$13,A886&lt;($C$13+$C$17)),IF($C$17&lt;=0,0,IF($C$16=0,MAX($L$241*(1-$C$15),0)/$C$17,-PMT($C$16/12,$C$17*12,MAX($L$241*(1-$C$15),0))*12)),0)+X886*($C$19+$C$20+$C$21)+$C$22+$C$23)</f>
        <v/>
      </c>
      <c r="I886" s="138">
        <f>IF(B886="Working",MIN(MAX(D886-E886-F886-G886-H886,0),'Tax Assumptions'!$B$20),0)</f>
        <v/>
      </c>
      <c r="J886" s="138">
        <f>IF(B886="Working",D886-E886-F886-I886-G886-H886,-L886)</f>
        <v/>
      </c>
      <c r="K886" s="141">
        <f>IF(B886="Retired",$N$241+G886+H886,0)</f>
        <v/>
      </c>
      <c r="L886" s="141">
        <f>M886+N886+O886+P886</f>
        <v/>
      </c>
      <c r="M886" s="141">
        <f>IF(B886="Retired",MIN(((Q885)*(1+$C$10)+IF(B886="Working",J886,0)),K886),0)</f>
        <v/>
      </c>
      <c r="N886" s="141">
        <f>IF(B886="Retired",MIN(MAX(K886-M886,0),((R885)*(1+$C$10)+IF(B886="Working",E93,0))),0)</f>
        <v/>
      </c>
      <c r="O886" s="141">
        <f>IF(B886="Retired",MIN(MAX(K886-M886-N886,0),((S885)*(1+$C$10)+IF(B886="Working",I886,0))),0)</f>
        <v/>
      </c>
      <c r="P886" s="141">
        <f>IF(B886="Retired",MIN(MAX(K886-M886-N886-O886,0),((T885)*(1+$C$10)+IF(B886="Working",F93,0))),0)</f>
        <v/>
      </c>
      <c r="Q886" s="138">
        <f>MAX(((Q885)*(1+$C$10)+IF(B886="Working",J886,0))-M886,0)</f>
        <v/>
      </c>
      <c r="R886" s="138">
        <f>MAX(((R885)*(1+$C$10)+IF(B886="Working",E93,0))-N886,0)</f>
        <v/>
      </c>
      <c r="S886" s="138">
        <f>MAX(((S885)*(1+$C$10)+IF(B886="Working",I886,0))-O886,0)</f>
        <v/>
      </c>
      <c r="T886" s="138">
        <f>MAX(((T885)*(1+$C$10)+IF(B886="Working",F93,0))-P886,0)</f>
        <v/>
      </c>
      <c r="U886" s="138">
        <f>Q886+R886+S886+T886</f>
        <v/>
      </c>
      <c r="V886" s="138">
        <f>IF(B886="Working",MAX(-(((Q885)*(1+$C$10)+IF(B886="Working",J886,0))),0),MAX(K886-L886,0))</f>
        <v/>
      </c>
      <c r="W886" s="138">
        <f>IF(OR(A886&gt;=$C$13,B886="Retired"),IF(V886&gt;0,-V886,U886-'Model Inputs'!$B$18),"")</f>
        <v/>
      </c>
      <c r="X886" s="138">
        <f>IF(AND($L$241&gt;0,A886&gt;=$C$13),$L$241*(1+$C$25)^(A886-$C$13),0)</f>
        <v/>
      </c>
      <c r="Y886" s="138">
        <f>IF(OR($L$241&lt;=0,$C$17&lt;=0,A886&lt;$C$13,MIN(MAX((A886-$C$13+1)*12,0),$C$17*12)&gt;=$C$17*12),0,IF($C$16=0,MAX(MAX($L$241*(1-$C$15),0)-(IF($C$17&lt;=0,0,IF($C$16=0,MAX($L$241*(1-$C$15),0)/$C$17,-PMT($C$16/12,$C$17*12,MAX($L$241*(1-$C$15),0))*12))/12)*MIN(MAX((A886-$C$13+1)*12,0),$C$17*12),0),MAX(MAX($L$241*(1-$C$15),0)*(1+$C$16/12)^MIN(MAX((A886-$C$13+1)*12,0),$C$17*12)-(IF($C$17&lt;=0,0,IF($C$16=0,MAX($L$241*(1-$C$15),0)/$C$17,-PMT($C$16/12,$C$17*12,MAX($L$241*(1-$C$15),0))*12))/12)*(((1+$C$16/12)^MIN(MAX((A886-$C$13+1)*12,0),$C$17*12)-1)/($C$16/12)),0)))</f>
        <v/>
      </c>
      <c r="Z886" s="138">
        <f>MAX(X886-Y886,0)</f>
        <v/>
      </c>
      <c r="AA886" s="142">
        <f>U886+Z886</f>
        <v/>
      </c>
      <c r="AB886" s="5" t="n"/>
      <c r="AC886" s="5" t="n"/>
      <c r="AD886" s="5" t="n"/>
      <c r="AE886" s="5" t="n"/>
      <c r="AF886" s="5" t="n"/>
      <c r="AG886" s="5" t="n"/>
    </row>
    <row r="887" outlineLevel="1" s="326">
      <c r="A887" s="136" t="n">
        <v>15</v>
      </c>
      <c r="B887" s="72">
        <f>B94</f>
        <v/>
      </c>
      <c r="C887" s="137">
        <f>D94</f>
        <v/>
      </c>
      <c r="D887" s="137">
        <f>I94</f>
        <v/>
      </c>
      <c r="E887" s="137">
        <f>J94</f>
        <v/>
      </c>
      <c r="F887" s="137">
        <f>K94</f>
        <v/>
      </c>
      <c r="G887" s="138">
        <f>IF(AND($L$241&gt;0,A887=$C$13),$L$241*($C$15+$C$18),0)+IF(AND($L$241&gt;0,A887=$C$13),$C$24,0)</f>
        <v/>
      </c>
      <c r="H887" s="138">
        <f>IF(OR($L$241&lt;=0,A887&lt;$C$13),0,IF(AND($L$241&gt;0,$C$17&gt;0,A887&gt;=$C$13,A887&lt;($C$13+$C$17)),IF($C$17&lt;=0,0,IF($C$16=0,MAX($L$241*(1-$C$15),0)/$C$17,-PMT($C$16/12,$C$17*12,MAX($L$241*(1-$C$15),0))*12)),0)+X887*($C$19+$C$20+$C$21)+$C$22+$C$23)</f>
        <v/>
      </c>
      <c r="I887" s="138">
        <f>IF(B887="Working",MIN(MAX(D887-E887-F887-G887-H887,0),'Tax Assumptions'!$B$20),0)</f>
        <v/>
      </c>
      <c r="J887" s="138">
        <f>IF(B887="Working",D887-E887-F887-I887-G887-H887,-L887)</f>
        <v/>
      </c>
      <c r="K887" s="137">
        <f>IF(B887="Retired",$N$241+G887+H887,0)</f>
        <v/>
      </c>
      <c r="L887" s="137">
        <f>M887+N887+O887+P887</f>
        <v/>
      </c>
      <c r="M887" s="137">
        <f>IF(B887="Retired",MIN(((Q886)*(1+$C$10)+IF(B887="Working",J887,0)),K887),0)</f>
        <v/>
      </c>
      <c r="N887" s="137">
        <f>IF(B887="Retired",MIN(MAX(K887-M887,0),((R886)*(1+$C$10)+IF(B887="Working",E94,0))),0)</f>
        <v/>
      </c>
      <c r="O887" s="137">
        <f>IF(B887="Retired",MIN(MAX(K887-M887-N887,0),((S886)*(1+$C$10)+IF(B887="Working",I887,0))),0)</f>
        <v/>
      </c>
      <c r="P887" s="137">
        <f>IF(B887="Retired",MIN(MAX(K887-M887-N887-O887,0),((T886)*(1+$C$10)+IF(B887="Working",F94,0))),0)</f>
        <v/>
      </c>
      <c r="Q887" s="138">
        <f>MAX(((Q886)*(1+$C$10)+IF(B887="Working",J887,0))-M887,0)</f>
        <v/>
      </c>
      <c r="R887" s="138">
        <f>MAX(((R886)*(1+$C$10)+IF(B887="Working",E94,0))-N887,0)</f>
        <v/>
      </c>
      <c r="S887" s="138">
        <f>MAX(((S886)*(1+$C$10)+IF(B887="Working",I887,0))-O887,0)</f>
        <v/>
      </c>
      <c r="T887" s="138">
        <f>MAX(((T886)*(1+$C$10)+IF(B887="Working",F94,0))-P887,0)</f>
        <v/>
      </c>
      <c r="U887" s="138">
        <f>Q887+R887+S887+T887</f>
        <v/>
      </c>
      <c r="V887" s="138">
        <f>IF(B887="Working",MAX(-(((Q886)*(1+$C$10)+IF(B887="Working",J887,0))),0),MAX(K887-L887,0))</f>
        <v/>
      </c>
      <c r="W887" s="138">
        <f>IF(OR(A887&gt;=$C$13,B887="Retired"),IF(V887&gt;0,-V887,U887-'Model Inputs'!$B$18),"")</f>
        <v/>
      </c>
      <c r="X887" s="138">
        <f>IF(AND($L$241&gt;0,A887&gt;=$C$13),$L$241*(1+$C$25)^(A887-$C$13),0)</f>
        <v/>
      </c>
      <c r="Y887" s="138">
        <f>IF(OR($L$241&lt;=0,$C$17&lt;=0,A887&lt;$C$13,MIN(MAX((A887-$C$13+1)*12,0),$C$17*12)&gt;=$C$17*12),0,IF($C$16=0,MAX(MAX($L$241*(1-$C$15),0)-(IF($C$17&lt;=0,0,IF($C$16=0,MAX($L$241*(1-$C$15),0)/$C$17,-PMT($C$16/12,$C$17*12,MAX($L$241*(1-$C$15),0))*12))/12)*MIN(MAX((A887-$C$13+1)*12,0),$C$17*12),0),MAX(MAX($L$241*(1-$C$15),0)*(1+$C$16/12)^MIN(MAX((A887-$C$13+1)*12,0),$C$17*12)-(IF($C$17&lt;=0,0,IF($C$16=0,MAX($L$241*(1-$C$15),0)/$C$17,-PMT($C$16/12,$C$17*12,MAX($L$241*(1-$C$15),0))*12))/12)*(((1+$C$16/12)^MIN(MAX((A887-$C$13+1)*12,0),$C$17*12)-1)/($C$16/12)),0)))</f>
        <v/>
      </c>
      <c r="Z887" s="138">
        <f>MAX(X887-Y887,0)</f>
        <v/>
      </c>
      <c r="AA887" s="139">
        <f>U887+Z887</f>
        <v/>
      </c>
      <c r="AB887" s="5" t="n"/>
      <c r="AC887" s="5" t="n"/>
      <c r="AD887" s="5" t="n"/>
      <c r="AE887" s="5" t="n"/>
      <c r="AF887" s="5" t="n"/>
      <c r="AG887" s="5" t="n"/>
    </row>
    <row r="888" outlineLevel="1" s="326">
      <c r="A888" s="140" t="n">
        <v>16</v>
      </c>
      <c r="B888" s="40">
        <f>B95</f>
        <v/>
      </c>
      <c r="C888" s="141">
        <f>D95</f>
        <v/>
      </c>
      <c r="D888" s="141">
        <f>I95</f>
        <v/>
      </c>
      <c r="E888" s="141">
        <f>J95</f>
        <v/>
      </c>
      <c r="F888" s="141">
        <f>K95</f>
        <v/>
      </c>
      <c r="G888" s="138">
        <f>IF(AND($L$241&gt;0,A888=$C$13),$L$241*($C$15+$C$18),0)+IF(AND($L$241&gt;0,A888=$C$13),$C$24,0)</f>
        <v/>
      </c>
      <c r="H888" s="138">
        <f>IF(OR($L$241&lt;=0,A888&lt;$C$13),0,IF(AND($L$241&gt;0,$C$17&gt;0,A888&gt;=$C$13,A888&lt;($C$13+$C$17)),IF($C$17&lt;=0,0,IF($C$16=0,MAX($L$241*(1-$C$15),0)/$C$17,-PMT($C$16/12,$C$17*12,MAX($L$241*(1-$C$15),0))*12)),0)+X888*($C$19+$C$20+$C$21)+$C$22+$C$23)</f>
        <v/>
      </c>
      <c r="I888" s="138">
        <f>IF(B888="Working",MIN(MAX(D888-E888-F888-G888-H888,0),'Tax Assumptions'!$B$20),0)</f>
        <v/>
      </c>
      <c r="J888" s="138">
        <f>IF(B888="Working",D888-E888-F888-I888-G888-H888,-L888)</f>
        <v/>
      </c>
      <c r="K888" s="141">
        <f>IF(B888="Retired",$N$241+G888+H888,0)</f>
        <v/>
      </c>
      <c r="L888" s="141">
        <f>M888+N888+O888+P888</f>
        <v/>
      </c>
      <c r="M888" s="141">
        <f>IF(B888="Retired",MIN(((Q887)*(1+$C$10)+IF(B888="Working",J888,0)),K888),0)</f>
        <v/>
      </c>
      <c r="N888" s="141">
        <f>IF(B888="Retired",MIN(MAX(K888-M888,0),((R887)*(1+$C$10)+IF(B888="Working",E95,0))),0)</f>
        <v/>
      </c>
      <c r="O888" s="141">
        <f>IF(B888="Retired",MIN(MAX(K888-M888-N888,0),((S887)*(1+$C$10)+IF(B888="Working",I888,0))),0)</f>
        <v/>
      </c>
      <c r="P888" s="141">
        <f>IF(B888="Retired",MIN(MAX(K888-M888-N888-O888,0),((T887)*(1+$C$10)+IF(B888="Working",F95,0))),0)</f>
        <v/>
      </c>
      <c r="Q888" s="138">
        <f>MAX(((Q887)*(1+$C$10)+IF(B888="Working",J888,0))-M888,0)</f>
        <v/>
      </c>
      <c r="R888" s="138">
        <f>MAX(((R887)*(1+$C$10)+IF(B888="Working",E95,0))-N888,0)</f>
        <v/>
      </c>
      <c r="S888" s="138">
        <f>MAX(((S887)*(1+$C$10)+IF(B888="Working",I888,0))-O888,0)</f>
        <v/>
      </c>
      <c r="T888" s="138">
        <f>MAX(((T887)*(1+$C$10)+IF(B888="Working",F95,0))-P888,0)</f>
        <v/>
      </c>
      <c r="U888" s="138">
        <f>Q888+R888+S888+T888</f>
        <v/>
      </c>
      <c r="V888" s="138">
        <f>IF(B888="Working",MAX(-(((Q887)*(1+$C$10)+IF(B888="Working",J888,0))),0),MAX(K888-L888,0))</f>
        <v/>
      </c>
      <c r="W888" s="138">
        <f>IF(OR(A888&gt;=$C$13,B888="Retired"),IF(V888&gt;0,-V888,U888-'Model Inputs'!$B$18),"")</f>
        <v/>
      </c>
      <c r="X888" s="138">
        <f>IF(AND($L$241&gt;0,A888&gt;=$C$13),$L$241*(1+$C$25)^(A888-$C$13),0)</f>
        <v/>
      </c>
      <c r="Y888" s="138">
        <f>IF(OR($L$241&lt;=0,$C$17&lt;=0,A888&lt;$C$13,MIN(MAX((A888-$C$13+1)*12,0),$C$17*12)&gt;=$C$17*12),0,IF($C$16=0,MAX(MAX($L$241*(1-$C$15),0)-(IF($C$17&lt;=0,0,IF($C$16=0,MAX($L$241*(1-$C$15),0)/$C$17,-PMT($C$16/12,$C$17*12,MAX($L$241*(1-$C$15),0))*12))/12)*MIN(MAX((A888-$C$13+1)*12,0),$C$17*12),0),MAX(MAX($L$241*(1-$C$15),0)*(1+$C$16/12)^MIN(MAX((A888-$C$13+1)*12,0),$C$17*12)-(IF($C$17&lt;=0,0,IF($C$16=0,MAX($L$241*(1-$C$15),0)/$C$17,-PMT($C$16/12,$C$17*12,MAX($L$241*(1-$C$15),0))*12))/12)*(((1+$C$16/12)^MIN(MAX((A888-$C$13+1)*12,0),$C$17*12)-1)/($C$16/12)),0)))</f>
        <v/>
      </c>
      <c r="Z888" s="138">
        <f>MAX(X888-Y888,0)</f>
        <v/>
      </c>
      <c r="AA888" s="142">
        <f>U888+Z888</f>
        <v/>
      </c>
      <c r="AB888" s="5" t="n"/>
      <c r="AC888" s="5" t="n"/>
      <c r="AD888" s="5" t="n"/>
      <c r="AE888" s="5" t="n"/>
      <c r="AF888" s="5" t="n"/>
      <c r="AG888" s="5" t="n"/>
    </row>
    <row r="889" outlineLevel="1" s="326">
      <c r="A889" s="136" t="n">
        <v>17</v>
      </c>
      <c r="B889" s="72">
        <f>B96</f>
        <v/>
      </c>
      <c r="C889" s="137">
        <f>D96</f>
        <v/>
      </c>
      <c r="D889" s="137">
        <f>I96</f>
        <v/>
      </c>
      <c r="E889" s="137">
        <f>J96</f>
        <v/>
      </c>
      <c r="F889" s="137">
        <f>K96</f>
        <v/>
      </c>
      <c r="G889" s="138">
        <f>IF(AND($L$241&gt;0,A889=$C$13),$L$241*($C$15+$C$18),0)+IF(AND($L$241&gt;0,A889=$C$13),$C$24,0)</f>
        <v/>
      </c>
      <c r="H889" s="138">
        <f>IF(OR($L$241&lt;=0,A889&lt;$C$13),0,IF(AND($L$241&gt;0,$C$17&gt;0,A889&gt;=$C$13,A889&lt;($C$13+$C$17)),IF($C$17&lt;=0,0,IF($C$16=0,MAX($L$241*(1-$C$15),0)/$C$17,-PMT($C$16/12,$C$17*12,MAX($L$241*(1-$C$15),0))*12)),0)+X889*($C$19+$C$20+$C$21)+$C$22+$C$23)</f>
        <v/>
      </c>
      <c r="I889" s="138">
        <f>IF(B889="Working",MIN(MAX(D889-E889-F889-G889-H889,0),'Tax Assumptions'!$B$20),0)</f>
        <v/>
      </c>
      <c r="J889" s="138">
        <f>IF(B889="Working",D889-E889-F889-I889-G889-H889,-L889)</f>
        <v/>
      </c>
      <c r="K889" s="137">
        <f>IF(B889="Retired",$N$241+G889+H889,0)</f>
        <v/>
      </c>
      <c r="L889" s="137">
        <f>M889+N889+O889+P889</f>
        <v/>
      </c>
      <c r="M889" s="137">
        <f>IF(B889="Retired",MIN(((Q888)*(1+$C$10)+IF(B889="Working",J889,0)),K889),0)</f>
        <v/>
      </c>
      <c r="N889" s="137">
        <f>IF(B889="Retired",MIN(MAX(K889-M889,0),((R888)*(1+$C$10)+IF(B889="Working",E96,0))),0)</f>
        <v/>
      </c>
      <c r="O889" s="137">
        <f>IF(B889="Retired",MIN(MAX(K889-M889-N889,0),((S888)*(1+$C$10)+IF(B889="Working",I889,0))),0)</f>
        <v/>
      </c>
      <c r="P889" s="137">
        <f>IF(B889="Retired",MIN(MAX(K889-M889-N889-O889,0),((T888)*(1+$C$10)+IF(B889="Working",F96,0))),0)</f>
        <v/>
      </c>
      <c r="Q889" s="138">
        <f>MAX(((Q888)*(1+$C$10)+IF(B889="Working",J889,0))-M889,0)</f>
        <v/>
      </c>
      <c r="R889" s="138">
        <f>MAX(((R888)*(1+$C$10)+IF(B889="Working",E96,0))-N889,0)</f>
        <v/>
      </c>
      <c r="S889" s="138">
        <f>MAX(((S888)*(1+$C$10)+IF(B889="Working",I889,0))-O889,0)</f>
        <v/>
      </c>
      <c r="T889" s="138">
        <f>MAX(((T888)*(1+$C$10)+IF(B889="Working",F96,0))-P889,0)</f>
        <v/>
      </c>
      <c r="U889" s="138">
        <f>Q889+R889+S889+T889</f>
        <v/>
      </c>
      <c r="V889" s="138">
        <f>IF(B889="Working",MAX(-(((Q888)*(1+$C$10)+IF(B889="Working",J889,0))),0),MAX(K889-L889,0))</f>
        <v/>
      </c>
      <c r="W889" s="138">
        <f>IF(OR(A889&gt;=$C$13,B889="Retired"),IF(V889&gt;0,-V889,U889-'Model Inputs'!$B$18),"")</f>
        <v/>
      </c>
      <c r="X889" s="138">
        <f>IF(AND($L$241&gt;0,A889&gt;=$C$13),$L$241*(1+$C$25)^(A889-$C$13),0)</f>
        <v/>
      </c>
      <c r="Y889" s="138">
        <f>IF(OR($L$241&lt;=0,$C$17&lt;=0,A889&lt;$C$13,MIN(MAX((A889-$C$13+1)*12,0),$C$17*12)&gt;=$C$17*12),0,IF($C$16=0,MAX(MAX($L$241*(1-$C$15),0)-(IF($C$17&lt;=0,0,IF($C$16=0,MAX($L$241*(1-$C$15),0)/$C$17,-PMT($C$16/12,$C$17*12,MAX($L$241*(1-$C$15),0))*12))/12)*MIN(MAX((A889-$C$13+1)*12,0),$C$17*12),0),MAX(MAX($L$241*(1-$C$15),0)*(1+$C$16/12)^MIN(MAX((A889-$C$13+1)*12,0),$C$17*12)-(IF($C$17&lt;=0,0,IF($C$16=0,MAX($L$241*(1-$C$15),0)/$C$17,-PMT($C$16/12,$C$17*12,MAX($L$241*(1-$C$15),0))*12))/12)*(((1+$C$16/12)^MIN(MAX((A889-$C$13+1)*12,0),$C$17*12)-1)/($C$16/12)),0)))</f>
        <v/>
      </c>
      <c r="Z889" s="138">
        <f>MAX(X889-Y889,0)</f>
        <v/>
      </c>
      <c r="AA889" s="139">
        <f>U889+Z889</f>
        <v/>
      </c>
      <c r="AB889" s="5" t="n"/>
      <c r="AC889" s="5" t="n"/>
      <c r="AD889" s="5" t="n"/>
      <c r="AE889" s="5" t="n"/>
      <c r="AF889" s="5" t="n"/>
      <c r="AG889" s="5" t="n"/>
    </row>
    <row r="890" outlineLevel="1" s="326">
      <c r="A890" s="140" t="n">
        <v>18</v>
      </c>
      <c r="B890" s="40">
        <f>B97</f>
        <v/>
      </c>
      <c r="C890" s="141">
        <f>D97</f>
        <v/>
      </c>
      <c r="D890" s="141">
        <f>I97</f>
        <v/>
      </c>
      <c r="E890" s="141">
        <f>J97</f>
        <v/>
      </c>
      <c r="F890" s="141">
        <f>K97</f>
        <v/>
      </c>
      <c r="G890" s="138">
        <f>IF(AND($L$241&gt;0,A890=$C$13),$L$241*($C$15+$C$18),0)+IF(AND($L$241&gt;0,A890=$C$13),$C$24,0)</f>
        <v/>
      </c>
      <c r="H890" s="138">
        <f>IF(OR($L$241&lt;=0,A890&lt;$C$13),0,IF(AND($L$241&gt;0,$C$17&gt;0,A890&gt;=$C$13,A890&lt;($C$13+$C$17)),IF($C$17&lt;=0,0,IF($C$16=0,MAX($L$241*(1-$C$15),0)/$C$17,-PMT($C$16/12,$C$17*12,MAX($L$241*(1-$C$15),0))*12)),0)+X890*($C$19+$C$20+$C$21)+$C$22+$C$23)</f>
        <v/>
      </c>
      <c r="I890" s="138">
        <f>IF(B890="Working",MIN(MAX(D890-E890-F890-G890-H890,0),'Tax Assumptions'!$B$20),0)</f>
        <v/>
      </c>
      <c r="J890" s="138">
        <f>IF(B890="Working",D890-E890-F890-I890-G890-H890,-L890)</f>
        <v/>
      </c>
      <c r="K890" s="141">
        <f>IF(B890="Retired",$N$241+G890+H890,0)</f>
        <v/>
      </c>
      <c r="L890" s="141">
        <f>M890+N890+O890+P890</f>
        <v/>
      </c>
      <c r="M890" s="141">
        <f>IF(B890="Retired",MIN(((Q889)*(1+$C$10)+IF(B890="Working",J890,0)),K890),0)</f>
        <v/>
      </c>
      <c r="N890" s="141">
        <f>IF(B890="Retired",MIN(MAX(K890-M890,0),((R889)*(1+$C$10)+IF(B890="Working",E97,0))),0)</f>
        <v/>
      </c>
      <c r="O890" s="141">
        <f>IF(B890="Retired",MIN(MAX(K890-M890-N890,0),((S889)*(1+$C$10)+IF(B890="Working",I890,0))),0)</f>
        <v/>
      </c>
      <c r="P890" s="141">
        <f>IF(B890="Retired",MIN(MAX(K890-M890-N890-O890,0),((T889)*(1+$C$10)+IF(B890="Working",F97,0))),0)</f>
        <v/>
      </c>
      <c r="Q890" s="138">
        <f>MAX(((Q889)*(1+$C$10)+IF(B890="Working",J890,0))-M890,0)</f>
        <v/>
      </c>
      <c r="R890" s="138">
        <f>MAX(((R889)*(1+$C$10)+IF(B890="Working",E97,0))-N890,0)</f>
        <v/>
      </c>
      <c r="S890" s="138">
        <f>MAX(((S889)*(1+$C$10)+IF(B890="Working",I890,0))-O890,0)</f>
        <v/>
      </c>
      <c r="T890" s="138">
        <f>MAX(((T889)*(1+$C$10)+IF(B890="Working",F97,0))-P890,0)</f>
        <v/>
      </c>
      <c r="U890" s="138">
        <f>Q890+R890+S890+T890</f>
        <v/>
      </c>
      <c r="V890" s="138">
        <f>IF(B890="Working",MAX(-(((Q889)*(1+$C$10)+IF(B890="Working",J890,0))),0),MAX(K890-L890,0))</f>
        <v/>
      </c>
      <c r="W890" s="138">
        <f>IF(OR(A890&gt;=$C$13,B890="Retired"),IF(V890&gt;0,-V890,U890-'Model Inputs'!$B$18),"")</f>
        <v/>
      </c>
      <c r="X890" s="138">
        <f>IF(AND($L$241&gt;0,A890&gt;=$C$13),$L$241*(1+$C$25)^(A890-$C$13),0)</f>
        <v/>
      </c>
      <c r="Y890" s="138">
        <f>IF(OR($L$241&lt;=0,$C$17&lt;=0,A890&lt;$C$13,MIN(MAX((A890-$C$13+1)*12,0),$C$17*12)&gt;=$C$17*12),0,IF($C$16=0,MAX(MAX($L$241*(1-$C$15),0)-(IF($C$17&lt;=0,0,IF($C$16=0,MAX($L$241*(1-$C$15),0)/$C$17,-PMT($C$16/12,$C$17*12,MAX($L$241*(1-$C$15),0))*12))/12)*MIN(MAX((A890-$C$13+1)*12,0),$C$17*12),0),MAX(MAX($L$241*(1-$C$15),0)*(1+$C$16/12)^MIN(MAX((A890-$C$13+1)*12,0),$C$17*12)-(IF($C$17&lt;=0,0,IF($C$16=0,MAX($L$241*(1-$C$15),0)/$C$17,-PMT($C$16/12,$C$17*12,MAX($L$241*(1-$C$15),0))*12))/12)*(((1+$C$16/12)^MIN(MAX((A890-$C$13+1)*12,0),$C$17*12)-1)/($C$16/12)),0)))</f>
        <v/>
      </c>
      <c r="Z890" s="138">
        <f>MAX(X890-Y890,0)</f>
        <v/>
      </c>
      <c r="AA890" s="142">
        <f>U890+Z890</f>
        <v/>
      </c>
      <c r="AB890" s="5" t="n"/>
      <c r="AC890" s="5" t="n"/>
      <c r="AD890" s="5" t="n"/>
      <c r="AE890" s="5" t="n"/>
      <c r="AF890" s="5" t="n"/>
      <c r="AG890" s="5" t="n"/>
    </row>
    <row r="891" outlineLevel="1" s="326">
      <c r="A891" s="136" t="n">
        <v>19</v>
      </c>
      <c r="B891" s="72">
        <f>B98</f>
        <v/>
      </c>
      <c r="C891" s="137">
        <f>D98</f>
        <v/>
      </c>
      <c r="D891" s="137">
        <f>I98</f>
        <v/>
      </c>
      <c r="E891" s="137">
        <f>J98</f>
        <v/>
      </c>
      <c r="F891" s="137">
        <f>K98</f>
        <v/>
      </c>
      <c r="G891" s="138">
        <f>IF(AND($L$241&gt;0,A891=$C$13),$L$241*($C$15+$C$18),0)+IF(AND($L$241&gt;0,A891=$C$13),$C$24,0)</f>
        <v/>
      </c>
      <c r="H891" s="138">
        <f>IF(OR($L$241&lt;=0,A891&lt;$C$13),0,IF(AND($L$241&gt;0,$C$17&gt;0,A891&gt;=$C$13,A891&lt;($C$13+$C$17)),IF($C$17&lt;=0,0,IF($C$16=0,MAX($L$241*(1-$C$15),0)/$C$17,-PMT($C$16/12,$C$17*12,MAX($L$241*(1-$C$15),0))*12)),0)+X891*($C$19+$C$20+$C$21)+$C$22+$C$23)</f>
        <v/>
      </c>
      <c r="I891" s="138">
        <f>IF(B891="Working",MIN(MAX(D891-E891-F891-G891-H891,0),'Tax Assumptions'!$B$20),0)</f>
        <v/>
      </c>
      <c r="J891" s="138">
        <f>IF(B891="Working",D891-E891-F891-I891-G891-H891,-L891)</f>
        <v/>
      </c>
      <c r="K891" s="137">
        <f>IF(B891="Retired",$N$241+G891+H891,0)</f>
        <v/>
      </c>
      <c r="L891" s="137">
        <f>M891+N891+O891+P891</f>
        <v/>
      </c>
      <c r="M891" s="137">
        <f>IF(B891="Retired",MIN(((Q890)*(1+$C$10)+IF(B891="Working",J891,0)),K891),0)</f>
        <v/>
      </c>
      <c r="N891" s="137">
        <f>IF(B891="Retired",MIN(MAX(K891-M891,0),((R890)*(1+$C$10)+IF(B891="Working",E98,0))),0)</f>
        <v/>
      </c>
      <c r="O891" s="137">
        <f>IF(B891="Retired",MIN(MAX(K891-M891-N891,0),((S890)*(1+$C$10)+IF(B891="Working",I891,0))),0)</f>
        <v/>
      </c>
      <c r="P891" s="137">
        <f>IF(B891="Retired",MIN(MAX(K891-M891-N891-O891,0),((T890)*(1+$C$10)+IF(B891="Working",F98,0))),0)</f>
        <v/>
      </c>
      <c r="Q891" s="138">
        <f>MAX(((Q890)*(1+$C$10)+IF(B891="Working",J891,0))-M891,0)</f>
        <v/>
      </c>
      <c r="R891" s="138">
        <f>MAX(((R890)*(1+$C$10)+IF(B891="Working",E98,0))-N891,0)</f>
        <v/>
      </c>
      <c r="S891" s="138">
        <f>MAX(((S890)*(1+$C$10)+IF(B891="Working",I891,0))-O891,0)</f>
        <v/>
      </c>
      <c r="T891" s="138">
        <f>MAX(((T890)*(1+$C$10)+IF(B891="Working",F98,0))-P891,0)</f>
        <v/>
      </c>
      <c r="U891" s="138">
        <f>Q891+R891+S891+T891</f>
        <v/>
      </c>
      <c r="V891" s="138">
        <f>IF(B891="Working",MAX(-(((Q890)*(1+$C$10)+IF(B891="Working",J891,0))),0),MAX(K891-L891,0))</f>
        <v/>
      </c>
      <c r="W891" s="138">
        <f>IF(OR(A891&gt;=$C$13,B891="Retired"),IF(V891&gt;0,-V891,U891-'Model Inputs'!$B$18),"")</f>
        <v/>
      </c>
      <c r="X891" s="138">
        <f>IF(AND($L$241&gt;0,A891&gt;=$C$13),$L$241*(1+$C$25)^(A891-$C$13),0)</f>
        <v/>
      </c>
      <c r="Y891" s="138">
        <f>IF(OR($L$241&lt;=0,$C$17&lt;=0,A891&lt;$C$13,MIN(MAX((A891-$C$13+1)*12,0),$C$17*12)&gt;=$C$17*12),0,IF($C$16=0,MAX(MAX($L$241*(1-$C$15),0)-(IF($C$17&lt;=0,0,IF($C$16=0,MAX($L$241*(1-$C$15),0)/$C$17,-PMT($C$16/12,$C$17*12,MAX($L$241*(1-$C$15),0))*12))/12)*MIN(MAX((A891-$C$13+1)*12,0),$C$17*12),0),MAX(MAX($L$241*(1-$C$15),0)*(1+$C$16/12)^MIN(MAX((A891-$C$13+1)*12,0),$C$17*12)-(IF($C$17&lt;=0,0,IF($C$16=0,MAX($L$241*(1-$C$15),0)/$C$17,-PMT($C$16/12,$C$17*12,MAX($L$241*(1-$C$15),0))*12))/12)*(((1+$C$16/12)^MIN(MAX((A891-$C$13+1)*12,0),$C$17*12)-1)/($C$16/12)),0)))</f>
        <v/>
      </c>
      <c r="Z891" s="138">
        <f>MAX(X891-Y891,0)</f>
        <v/>
      </c>
      <c r="AA891" s="139">
        <f>U891+Z891</f>
        <v/>
      </c>
      <c r="AB891" s="5" t="n"/>
      <c r="AC891" s="5" t="n"/>
      <c r="AD891" s="5" t="n"/>
      <c r="AE891" s="5" t="n"/>
      <c r="AF891" s="5" t="n"/>
      <c r="AG891" s="5" t="n"/>
    </row>
    <row r="892" outlineLevel="1" s="326">
      <c r="A892" s="140" t="n">
        <v>20</v>
      </c>
      <c r="B892" s="40">
        <f>B99</f>
        <v/>
      </c>
      <c r="C892" s="141">
        <f>D99</f>
        <v/>
      </c>
      <c r="D892" s="141">
        <f>I99</f>
        <v/>
      </c>
      <c r="E892" s="141">
        <f>J99</f>
        <v/>
      </c>
      <c r="F892" s="141">
        <f>K99</f>
        <v/>
      </c>
      <c r="G892" s="138">
        <f>IF(AND($L$241&gt;0,A892=$C$13),$L$241*($C$15+$C$18),0)+IF(AND($L$241&gt;0,A892=$C$13),$C$24,0)</f>
        <v/>
      </c>
      <c r="H892" s="138">
        <f>IF(OR($L$241&lt;=0,A892&lt;$C$13),0,IF(AND($L$241&gt;0,$C$17&gt;0,A892&gt;=$C$13,A892&lt;($C$13+$C$17)),IF($C$17&lt;=0,0,IF($C$16=0,MAX($L$241*(1-$C$15),0)/$C$17,-PMT($C$16/12,$C$17*12,MAX($L$241*(1-$C$15),0))*12)),0)+X892*($C$19+$C$20+$C$21)+$C$22+$C$23)</f>
        <v/>
      </c>
      <c r="I892" s="138">
        <f>IF(B892="Working",MIN(MAX(D892-E892-F892-G892-H892,0),'Tax Assumptions'!$B$20),0)</f>
        <v/>
      </c>
      <c r="J892" s="138">
        <f>IF(B892="Working",D892-E892-F892-I892-G892-H892,-L892)</f>
        <v/>
      </c>
      <c r="K892" s="141">
        <f>IF(B892="Retired",$N$241+G892+H892,0)</f>
        <v/>
      </c>
      <c r="L892" s="141">
        <f>M892+N892+O892+P892</f>
        <v/>
      </c>
      <c r="M892" s="141">
        <f>IF(B892="Retired",MIN(((Q891)*(1+$C$10)+IF(B892="Working",J892,0)),K892),0)</f>
        <v/>
      </c>
      <c r="N892" s="141">
        <f>IF(B892="Retired",MIN(MAX(K892-M892,0),((R891)*(1+$C$10)+IF(B892="Working",E99,0))),0)</f>
        <v/>
      </c>
      <c r="O892" s="141">
        <f>IF(B892="Retired",MIN(MAX(K892-M892-N892,0),((S891)*(1+$C$10)+IF(B892="Working",I892,0))),0)</f>
        <v/>
      </c>
      <c r="P892" s="141">
        <f>IF(B892="Retired",MIN(MAX(K892-M892-N892-O892,0),((T891)*(1+$C$10)+IF(B892="Working",F99,0))),0)</f>
        <v/>
      </c>
      <c r="Q892" s="138">
        <f>MAX(((Q891)*(1+$C$10)+IF(B892="Working",J892,0))-M892,0)</f>
        <v/>
      </c>
      <c r="R892" s="138">
        <f>MAX(((R891)*(1+$C$10)+IF(B892="Working",E99,0))-N892,0)</f>
        <v/>
      </c>
      <c r="S892" s="138">
        <f>MAX(((S891)*(1+$C$10)+IF(B892="Working",I892,0))-O892,0)</f>
        <v/>
      </c>
      <c r="T892" s="138">
        <f>MAX(((T891)*(1+$C$10)+IF(B892="Working",F99,0))-P892,0)</f>
        <v/>
      </c>
      <c r="U892" s="138">
        <f>Q892+R892+S892+T892</f>
        <v/>
      </c>
      <c r="V892" s="138">
        <f>IF(B892="Working",MAX(-(((Q891)*(1+$C$10)+IF(B892="Working",J892,0))),0),MAX(K892-L892,0))</f>
        <v/>
      </c>
      <c r="W892" s="138">
        <f>IF(OR(A892&gt;=$C$13,B892="Retired"),IF(V892&gt;0,-V892,U892-'Model Inputs'!$B$18),"")</f>
        <v/>
      </c>
      <c r="X892" s="138">
        <f>IF(AND($L$241&gt;0,A892&gt;=$C$13),$L$241*(1+$C$25)^(A892-$C$13),0)</f>
        <v/>
      </c>
      <c r="Y892" s="138">
        <f>IF(OR($L$241&lt;=0,$C$17&lt;=0,A892&lt;$C$13,MIN(MAX((A892-$C$13+1)*12,0),$C$17*12)&gt;=$C$17*12),0,IF($C$16=0,MAX(MAX($L$241*(1-$C$15),0)-(IF($C$17&lt;=0,0,IF($C$16=0,MAX($L$241*(1-$C$15),0)/$C$17,-PMT($C$16/12,$C$17*12,MAX($L$241*(1-$C$15),0))*12))/12)*MIN(MAX((A892-$C$13+1)*12,0),$C$17*12),0),MAX(MAX($L$241*(1-$C$15),0)*(1+$C$16/12)^MIN(MAX((A892-$C$13+1)*12,0),$C$17*12)-(IF($C$17&lt;=0,0,IF($C$16=0,MAX($L$241*(1-$C$15),0)/$C$17,-PMT($C$16/12,$C$17*12,MAX($L$241*(1-$C$15),0))*12))/12)*(((1+$C$16/12)^MIN(MAX((A892-$C$13+1)*12,0),$C$17*12)-1)/($C$16/12)),0)))</f>
        <v/>
      </c>
      <c r="Z892" s="138">
        <f>MAX(X892-Y892,0)</f>
        <v/>
      </c>
      <c r="AA892" s="142">
        <f>U892+Z892</f>
        <v/>
      </c>
      <c r="AB892" s="5" t="n"/>
      <c r="AC892" s="5" t="n"/>
      <c r="AD892" s="5" t="n"/>
      <c r="AE892" s="5" t="n"/>
      <c r="AF892" s="5" t="n"/>
      <c r="AG892" s="5" t="n"/>
    </row>
    <row r="893" outlineLevel="1" s="326">
      <c r="A893" s="136" t="n">
        <v>21</v>
      </c>
      <c r="B893" s="72">
        <f>B100</f>
        <v/>
      </c>
      <c r="C893" s="137">
        <f>D100</f>
        <v/>
      </c>
      <c r="D893" s="137">
        <f>I100</f>
        <v/>
      </c>
      <c r="E893" s="137">
        <f>J100</f>
        <v/>
      </c>
      <c r="F893" s="137">
        <f>K100</f>
        <v/>
      </c>
      <c r="G893" s="138">
        <f>IF(AND($L$241&gt;0,A893=$C$13),$L$241*($C$15+$C$18),0)+IF(AND($L$241&gt;0,A893=$C$13),$C$24,0)</f>
        <v/>
      </c>
      <c r="H893" s="138">
        <f>IF(OR($L$241&lt;=0,A893&lt;$C$13),0,IF(AND($L$241&gt;0,$C$17&gt;0,A893&gt;=$C$13,A893&lt;($C$13+$C$17)),IF($C$17&lt;=0,0,IF($C$16=0,MAX($L$241*(1-$C$15),0)/$C$17,-PMT($C$16/12,$C$17*12,MAX($L$241*(1-$C$15),0))*12)),0)+X893*($C$19+$C$20+$C$21)+$C$22+$C$23)</f>
        <v/>
      </c>
      <c r="I893" s="138">
        <f>IF(B893="Working",MIN(MAX(D893-E893-F893-G893-H893,0),'Tax Assumptions'!$B$20),0)</f>
        <v/>
      </c>
      <c r="J893" s="138">
        <f>IF(B893="Working",D893-E893-F893-I893-G893-H893,-L893)</f>
        <v/>
      </c>
      <c r="K893" s="137">
        <f>IF(B893="Retired",$N$241+G893+H893,0)</f>
        <v/>
      </c>
      <c r="L893" s="137">
        <f>M893+N893+O893+P893</f>
        <v/>
      </c>
      <c r="M893" s="137">
        <f>IF(B893="Retired",MIN(((Q892)*(1+$C$10)+IF(B893="Working",J893,0)),K893),0)</f>
        <v/>
      </c>
      <c r="N893" s="137">
        <f>IF(B893="Retired",MIN(MAX(K893-M893,0),((R892)*(1+$C$10)+IF(B893="Working",E100,0))),0)</f>
        <v/>
      </c>
      <c r="O893" s="137">
        <f>IF(B893="Retired",MIN(MAX(K893-M893-N893,0),((S892)*(1+$C$10)+IF(B893="Working",I893,0))),0)</f>
        <v/>
      </c>
      <c r="P893" s="137">
        <f>IF(B893="Retired",MIN(MAX(K893-M893-N893-O893,0),((T892)*(1+$C$10)+IF(B893="Working",F100,0))),0)</f>
        <v/>
      </c>
      <c r="Q893" s="138">
        <f>MAX(((Q892)*(1+$C$10)+IF(B893="Working",J893,0))-M893,0)</f>
        <v/>
      </c>
      <c r="R893" s="138">
        <f>MAX(((R892)*(1+$C$10)+IF(B893="Working",E100,0))-N893,0)</f>
        <v/>
      </c>
      <c r="S893" s="138">
        <f>MAX(((S892)*(1+$C$10)+IF(B893="Working",I893,0))-O893,0)</f>
        <v/>
      </c>
      <c r="T893" s="138">
        <f>MAX(((T892)*(1+$C$10)+IF(B893="Working",F100,0))-P893,0)</f>
        <v/>
      </c>
      <c r="U893" s="138">
        <f>Q893+R893+S893+T893</f>
        <v/>
      </c>
      <c r="V893" s="138">
        <f>IF(B893="Working",MAX(-(((Q892)*(1+$C$10)+IF(B893="Working",J893,0))),0),MAX(K893-L893,0))</f>
        <v/>
      </c>
      <c r="W893" s="138">
        <f>IF(OR(A893&gt;=$C$13,B893="Retired"),IF(V893&gt;0,-V893,U893-'Model Inputs'!$B$18),"")</f>
        <v/>
      </c>
      <c r="X893" s="138">
        <f>IF(AND($L$241&gt;0,A893&gt;=$C$13),$L$241*(1+$C$25)^(A893-$C$13),0)</f>
        <v/>
      </c>
      <c r="Y893" s="138">
        <f>IF(OR($L$241&lt;=0,$C$17&lt;=0,A893&lt;$C$13,MIN(MAX((A893-$C$13+1)*12,0),$C$17*12)&gt;=$C$17*12),0,IF($C$16=0,MAX(MAX($L$241*(1-$C$15),0)-(IF($C$17&lt;=0,0,IF($C$16=0,MAX($L$241*(1-$C$15),0)/$C$17,-PMT($C$16/12,$C$17*12,MAX($L$241*(1-$C$15),0))*12))/12)*MIN(MAX((A893-$C$13+1)*12,0),$C$17*12),0),MAX(MAX($L$241*(1-$C$15),0)*(1+$C$16/12)^MIN(MAX((A893-$C$13+1)*12,0),$C$17*12)-(IF($C$17&lt;=0,0,IF($C$16=0,MAX($L$241*(1-$C$15),0)/$C$17,-PMT($C$16/12,$C$17*12,MAX($L$241*(1-$C$15),0))*12))/12)*(((1+$C$16/12)^MIN(MAX((A893-$C$13+1)*12,0),$C$17*12)-1)/($C$16/12)),0)))</f>
        <v/>
      </c>
      <c r="Z893" s="138">
        <f>MAX(X893-Y893,0)</f>
        <v/>
      </c>
      <c r="AA893" s="139">
        <f>U893+Z893</f>
        <v/>
      </c>
      <c r="AB893" s="5" t="n"/>
      <c r="AC893" s="5" t="n"/>
      <c r="AD893" s="5" t="n"/>
      <c r="AE893" s="5" t="n"/>
      <c r="AF893" s="5" t="n"/>
      <c r="AG893" s="5" t="n"/>
    </row>
    <row r="894" outlineLevel="1" s="326">
      <c r="A894" s="140" t="n">
        <v>22</v>
      </c>
      <c r="B894" s="40">
        <f>B101</f>
        <v/>
      </c>
      <c r="C894" s="141">
        <f>D101</f>
        <v/>
      </c>
      <c r="D894" s="141">
        <f>I101</f>
        <v/>
      </c>
      <c r="E894" s="141">
        <f>J101</f>
        <v/>
      </c>
      <c r="F894" s="141">
        <f>K101</f>
        <v/>
      </c>
      <c r="G894" s="138">
        <f>IF(AND($L$241&gt;0,A894=$C$13),$L$241*($C$15+$C$18),0)+IF(AND($L$241&gt;0,A894=$C$13),$C$24,0)</f>
        <v/>
      </c>
      <c r="H894" s="138">
        <f>IF(OR($L$241&lt;=0,A894&lt;$C$13),0,IF(AND($L$241&gt;0,$C$17&gt;0,A894&gt;=$C$13,A894&lt;($C$13+$C$17)),IF($C$17&lt;=0,0,IF($C$16=0,MAX($L$241*(1-$C$15),0)/$C$17,-PMT($C$16/12,$C$17*12,MAX($L$241*(1-$C$15),0))*12)),0)+X894*($C$19+$C$20+$C$21)+$C$22+$C$23)</f>
        <v/>
      </c>
      <c r="I894" s="138">
        <f>IF(B894="Working",MIN(MAX(D894-E894-F894-G894-H894,0),'Tax Assumptions'!$B$20),0)</f>
        <v/>
      </c>
      <c r="J894" s="138">
        <f>IF(B894="Working",D894-E894-F894-I894-G894-H894,-L894)</f>
        <v/>
      </c>
      <c r="K894" s="141">
        <f>IF(B894="Retired",$N$241+G894+H894,0)</f>
        <v/>
      </c>
      <c r="L894" s="141">
        <f>M894+N894+O894+P894</f>
        <v/>
      </c>
      <c r="M894" s="141">
        <f>IF(B894="Retired",MIN(((Q893)*(1+$C$10)+IF(B894="Working",J894,0)),K894),0)</f>
        <v/>
      </c>
      <c r="N894" s="141">
        <f>IF(B894="Retired",MIN(MAX(K894-M894,0),((R893)*(1+$C$10)+IF(B894="Working",E101,0))),0)</f>
        <v/>
      </c>
      <c r="O894" s="141">
        <f>IF(B894="Retired",MIN(MAX(K894-M894-N894,0),((S893)*(1+$C$10)+IF(B894="Working",I894,0))),0)</f>
        <v/>
      </c>
      <c r="P894" s="141">
        <f>IF(B894="Retired",MIN(MAX(K894-M894-N894-O894,0),((T893)*(1+$C$10)+IF(B894="Working",F101,0))),0)</f>
        <v/>
      </c>
      <c r="Q894" s="138">
        <f>MAX(((Q893)*(1+$C$10)+IF(B894="Working",J894,0))-M894,0)</f>
        <v/>
      </c>
      <c r="R894" s="138">
        <f>MAX(((R893)*(1+$C$10)+IF(B894="Working",E101,0))-N894,0)</f>
        <v/>
      </c>
      <c r="S894" s="138">
        <f>MAX(((S893)*(1+$C$10)+IF(B894="Working",I894,0))-O894,0)</f>
        <v/>
      </c>
      <c r="T894" s="138">
        <f>MAX(((T893)*(1+$C$10)+IF(B894="Working",F101,0))-P894,0)</f>
        <v/>
      </c>
      <c r="U894" s="138">
        <f>Q894+R894+S894+T894</f>
        <v/>
      </c>
      <c r="V894" s="138">
        <f>IF(B894="Working",MAX(-(((Q893)*(1+$C$10)+IF(B894="Working",J894,0))),0),MAX(K894-L894,0))</f>
        <v/>
      </c>
      <c r="W894" s="138">
        <f>IF(OR(A894&gt;=$C$13,B894="Retired"),IF(V894&gt;0,-V894,U894-'Model Inputs'!$B$18),"")</f>
        <v/>
      </c>
      <c r="X894" s="138">
        <f>IF(AND($L$241&gt;0,A894&gt;=$C$13),$L$241*(1+$C$25)^(A894-$C$13),0)</f>
        <v/>
      </c>
      <c r="Y894" s="138">
        <f>IF(OR($L$241&lt;=0,$C$17&lt;=0,A894&lt;$C$13,MIN(MAX((A894-$C$13+1)*12,0),$C$17*12)&gt;=$C$17*12),0,IF($C$16=0,MAX(MAX($L$241*(1-$C$15),0)-(IF($C$17&lt;=0,0,IF($C$16=0,MAX($L$241*(1-$C$15),0)/$C$17,-PMT($C$16/12,$C$17*12,MAX($L$241*(1-$C$15),0))*12))/12)*MIN(MAX((A894-$C$13+1)*12,0),$C$17*12),0),MAX(MAX($L$241*(1-$C$15),0)*(1+$C$16/12)^MIN(MAX((A894-$C$13+1)*12,0),$C$17*12)-(IF($C$17&lt;=0,0,IF($C$16=0,MAX($L$241*(1-$C$15),0)/$C$17,-PMT($C$16/12,$C$17*12,MAX($L$241*(1-$C$15),0))*12))/12)*(((1+$C$16/12)^MIN(MAX((A894-$C$13+1)*12,0),$C$17*12)-1)/($C$16/12)),0)))</f>
        <v/>
      </c>
      <c r="Z894" s="138">
        <f>MAX(X894-Y894,0)</f>
        <v/>
      </c>
      <c r="AA894" s="142">
        <f>U894+Z894</f>
        <v/>
      </c>
      <c r="AB894" s="5" t="n"/>
      <c r="AC894" s="5" t="n"/>
      <c r="AD894" s="5" t="n"/>
      <c r="AE894" s="5" t="n"/>
      <c r="AF894" s="5" t="n"/>
      <c r="AG894" s="5" t="n"/>
    </row>
    <row r="895" outlineLevel="1" s="326">
      <c r="A895" s="136" t="n">
        <v>23</v>
      </c>
      <c r="B895" s="72">
        <f>B102</f>
        <v/>
      </c>
      <c r="C895" s="137">
        <f>D102</f>
        <v/>
      </c>
      <c r="D895" s="137">
        <f>I102</f>
        <v/>
      </c>
      <c r="E895" s="137">
        <f>J102</f>
        <v/>
      </c>
      <c r="F895" s="137">
        <f>K102</f>
        <v/>
      </c>
      <c r="G895" s="138">
        <f>IF(AND($L$241&gt;0,A895=$C$13),$L$241*($C$15+$C$18),0)+IF(AND($L$241&gt;0,A895=$C$13),$C$24,0)</f>
        <v/>
      </c>
      <c r="H895" s="138">
        <f>IF(OR($L$241&lt;=0,A895&lt;$C$13),0,IF(AND($L$241&gt;0,$C$17&gt;0,A895&gt;=$C$13,A895&lt;($C$13+$C$17)),IF($C$17&lt;=0,0,IF($C$16=0,MAX($L$241*(1-$C$15),0)/$C$17,-PMT($C$16/12,$C$17*12,MAX($L$241*(1-$C$15),0))*12)),0)+X895*($C$19+$C$20+$C$21)+$C$22+$C$23)</f>
        <v/>
      </c>
      <c r="I895" s="138">
        <f>IF(B895="Working",MIN(MAX(D895-E895-F895-G895-H895,0),'Tax Assumptions'!$B$20),0)</f>
        <v/>
      </c>
      <c r="J895" s="138">
        <f>IF(B895="Working",D895-E895-F895-I895-G895-H895,-L895)</f>
        <v/>
      </c>
      <c r="K895" s="137">
        <f>IF(B895="Retired",$N$241+G895+H895,0)</f>
        <v/>
      </c>
      <c r="L895" s="137">
        <f>M895+N895+O895+P895</f>
        <v/>
      </c>
      <c r="M895" s="137">
        <f>IF(B895="Retired",MIN(((Q894)*(1+$C$10)+IF(B895="Working",J895,0)),K895),0)</f>
        <v/>
      </c>
      <c r="N895" s="137">
        <f>IF(B895="Retired",MIN(MAX(K895-M895,0),((R894)*(1+$C$10)+IF(B895="Working",E102,0))),0)</f>
        <v/>
      </c>
      <c r="O895" s="137">
        <f>IF(B895="Retired",MIN(MAX(K895-M895-N895,0),((S894)*(1+$C$10)+IF(B895="Working",I895,0))),0)</f>
        <v/>
      </c>
      <c r="P895" s="137">
        <f>IF(B895="Retired",MIN(MAX(K895-M895-N895-O895,0),((T894)*(1+$C$10)+IF(B895="Working",F102,0))),0)</f>
        <v/>
      </c>
      <c r="Q895" s="138">
        <f>MAX(((Q894)*(1+$C$10)+IF(B895="Working",J895,0))-M895,0)</f>
        <v/>
      </c>
      <c r="R895" s="138">
        <f>MAX(((R894)*(1+$C$10)+IF(B895="Working",E102,0))-N895,0)</f>
        <v/>
      </c>
      <c r="S895" s="138">
        <f>MAX(((S894)*(1+$C$10)+IF(B895="Working",I895,0))-O895,0)</f>
        <v/>
      </c>
      <c r="T895" s="138">
        <f>MAX(((T894)*(1+$C$10)+IF(B895="Working",F102,0))-P895,0)</f>
        <v/>
      </c>
      <c r="U895" s="138">
        <f>Q895+R895+S895+T895</f>
        <v/>
      </c>
      <c r="V895" s="138">
        <f>IF(B895="Working",MAX(-(((Q894)*(1+$C$10)+IF(B895="Working",J895,0))),0),MAX(K895-L895,0))</f>
        <v/>
      </c>
      <c r="W895" s="138">
        <f>IF(OR(A895&gt;=$C$13,B895="Retired"),IF(V895&gt;0,-V895,U895-'Model Inputs'!$B$18),"")</f>
        <v/>
      </c>
      <c r="X895" s="138">
        <f>IF(AND($L$241&gt;0,A895&gt;=$C$13),$L$241*(1+$C$25)^(A895-$C$13),0)</f>
        <v/>
      </c>
      <c r="Y895" s="138">
        <f>IF(OR($L$241&lt;=0,$C$17&lt;=0,A895&lt;$C$13,MIN(MAX((A895-$C$13+1)*12,0),$C$17*12)&gt;=$C$17*12),0,IF($C$16=0,MAX(MAX($L$241*(1-$C$15),0)-(IF($C$17&lt;=0,0,IF($C$16=0,MAX($L$241*(1-$C$15),0)/$C$17,-PMT($C$16/12,$C$17*12,MAX($L$241*(1-$C$15),0))*12))/12)*MIN(MAX((A895-$C$13+1)*12,0),$C$17*12),0),MAX(MAX($L$241*(1-$C$15),0)*(1+$C$16/12)^MIN(MAX((A895-$C$13+1)*12,0),$C$17*12)-(IF($C$17&lt;=0,0,IF($C$16=0,MAX($L$241*(1-$C$15),0)/$C$17,-PMT($C$16/12,$C$17*12,MAX($L$241*(1-$C$15),0))*12))/12)*(((1+$C$16/12)^MIN(MAX((A895-$C$13+1)*12,0),$C$17*12)-1)/($C$16/12)),0)))</f>
        <v/>
      </c>
      <c r="Z895" s="138">
        <f>MAX(X895-Y895,0)</f>
        <v/>
      </c>
      <c r="AA895" s="139">
        <f>U895+Z895</f>
        <v/>
      </c>
      <c r="AB895" s="5" t="n"/>
      <c r="AC895" s="5" t="n"/>
      <c r="AD895" s="5" t="n"/>
      <c r="AE895" s="5" t="n"/>
      <c r="AF895" s="5" t="n"/>
      <c r="AG895" s="5" t="n"/>
    </row>
    <row r="896" outlineLevel="1" s="326">
      <c r="A896" s="140" t="n">
        <v>24</v>
      </c>
      <c r="B896" s="40">
        <f>B103</f>
        <v/>
      </c>
      <c r="C896" s="141">
        <f>D103</f>
        <v/>
      </c>
      <c r="D896" s="141">
        <f>I103</f>
        <v/>
      </c>
      <c r="E896" s="141">
        <f>J103</f>
        <v/>
      </c>
      <c r="F896" s="141">
        <f>K103</f>
        <v/>
      </c>
      <c r="G896" s="138">
        <f>IF(AND($L$241&gt;0,A896=$C$13),$L$241*($C$15+$C$18),0)+IF(AND($L$241&gt;0,A896=$C$13),$C$24,0)</f>
        <v/>
      </c>
      <c r="H896" s="138">
        <f>IF(OR($L$241&lt;=0,A896&lt;$C$13),0,IF(AND($L$241&gt;0,$C$17&gt;0,A896&gt;=$C$13,A896&lt;($C$13+$C$17)),IF($C$17&lt;=0,0,IF($C$16=0,MAX($L$241*(1-$C$15),0)/$C$17,-PMT($C$16/12,$C$17*12,MAX($L$241*(1-$C$15),0))*12)),0)+X896*($C$19+$C$20+$C$21)+$C$22+$C$23)</f>
        <v/>
      </c>
      <c r="I896" s="138">
        <f>IF(B896="Working",MIN(MAX(D896-E896-F896-G896-H896,0),'Tax Assumptions'!$B$20),0)</f>
        <v/>
      </c>
      <c r="J896" s="138">
        <f>IF(B896="Working",D896-E896-F896-I896-G896-H896,-L896)</f>
        <v/>
      </c>
      <c r="K896" s="141">
        <f>IF(B896="Retired",$N$241+G896+H896,0)</f>
        <v/>
      </c>
      <c r="L896" s="141">
        <f>M896+N896+O896+P896</f>
        <v/>
      </c>
      <c r="M896" s="141">
        <f>IF(B896="Retired",MIN(((Q895)*(1+$C$10)+IF(B896="Working",J896,0)),K896),0)</f>
        <v/>
      </c>
      <c r="N896" s="141">
        <f>IF(B896="Retired",MIN(MAX(K896-M896,0),((R895)*(1+$C$10)+IF(B896="Working",E103,0))),0)</f>
        <v/>
      </c>
      <c r="O896" s="141">
        <f>IF(B896="Retired",MIN(MAX(K896-M896-N896,0),((S895)*(1+$C$10)+IF(B896="Working",I896,0))),0)</f>
        <v/>
      </c>
      <c r="P896" s="141">
        <f>IF(B896="Retired",MIN(MAX(K896-M896-N896-O896,0),((T895)*(1+$C$10)+IF(B896="Working",F103,0))),0)</f>
        <v/>
      </c>
      <c r="Q896" s="138">
        <f>MAX(((Q895)*(1+$C$10)+IF(B896="Working",J896,0))-M896,0)</f>
        <v/>
      </c>
      <c r="R896" s="138">
        <f>MAX(((R895)*(1+$C$10)+IF(B896="Working",E103,0))-N896,0)</f>
        <v/>
      </c>
      <c r="S896" s="138">
        <f>MAX(((S895)*(1+$C$10)+IF(B896="Working",I896,0))-O896,0)</f>
        <v/>
      </c>
      <c r="T896" s="138">
        <f>MAX(((T895)*(1+$C$10)+IF(B896="Working",F103,0))-P896,0)</f>
        <v/>
      </c>
      <c r="U896" s="138">
        <f>Q896+R896+S896+T896</f>
        <v/>
      </c>
      <c r="V896" s="138">
        <f>IF(B896="Working",MAX(-(((Q895)*(1+$C$10)+IF(B896="Working",J896,0))),0),MAX(K896-L896,0))</f>
        <v/>
      </c>
      <c r="W896" s="138">
        <f>IF(OR(A896&gt;=$C$13,B896="Retired"),IF(V896&gt;0,-V896,U896-'Model Inputs'!$B$18),"")</f>
        <v/>
      </c>
      <c r="X896" s="138">
        <f>IF(AND($L$241&gt;0,A896&gt;=$C$13),$L$241*(1+$C$25)^(A896-$C$13),0)</f>
        <v/>
      </c>
      <c r="Y896" s="138">
        <f>IF(OR($L$241&lt;=0,$C$17&lt;=0,A896&lt;$C$13,MIN(MAX((A896-$C$13+1)*12,0),$C$17*12)&gt;=$C$17*12),0,IF($C$16=0,MAX(MAX($L$241*(1-$C$15),0)-(IF($C$17&lt;=0,0,IF($C$16=0,MAX($L$241*(1-$C$15),0)/$C$17,-PMT($C$16/12,$C$17*12,MAX($L$241*(1-$C$15),0))*12))/12)*MIN(MAX((A896-$C$13+1)*12,0),$C$17*12),0),MAX(MAX($L$241*(1-$C$15),0)*(1+$C$16/12)^MIN(MAX((A896-$C$13+1)*12,0),$C$17*12)-(IF($C$17&lt;=0,0,IF($C$16=0,MAX($L$241*(1-$C$15),0)/$C$17,-PMT($C$16/12,$C$17*12,MAX($L$241*(1-$C$15),0))*12))/12)*(((1+$C$16/12)^MIN(MAX((A896-$C$13+1)*12,0),$C$17*12)-1)/($C$16/12)),0)))</f>
        <v/>
      </c>
      <c r="Z896" s="138">
        <f>MAX(X896-Y896,0)</f>
        <v/>
      </c>
      <c r="AA896" s="142">
        <f>U896+Z896</f>
        <v/>
      </c>
      <c r="AB896" s="5" t="n"/>
      <c r="AC896" s="5" t="n"/>
      <c r="AD896" s="5" t="n"/>
      <c r="AE896" s="5" t="n"/>
      <c r="AF896" s="5" t="n"/>
      <c r="AG896" s="5" t="n"/>
    </row>
    <row r="897" outlineLevel="1" s="326">
      <c r="A897" s="136" t="n">
        <v>25</v>
      </c>
      <c r="B897" s="72">
        <f>B104</f>
        <v/>
      </c>
      <c r="C897" s="137">
        <f>D104</f>
        <v/>
      </c>
      <c r="D897" s="137">
        <f>I104</f>
        <v/>
      </c>
      <c r="E897" s="137">
        <f>J104</f>
        <v/>
      </c>
      <c r="F897" s="137">
        <f>K104</f>
        <v/>
      </c>
      <c r="G897" s="138">
        <f>IF(AND($L$241&gt;0,A897=$C$13),$L$241*($C$15+$C$18),0)+IF(AND($L$241&gt;0,A897=$C$13),$C$24,0)</f>
        <v/>
      </c>
      <c r="H897" s="138">
        <f>IF(OR($L$241&lt;=0,A897&lt;$C$13),0,IF(AND($L$241&gt;0,$C$17&gt;0,A897&gt;=$C$13,A897&lt;($C$13+$C$17)),IF($C$17&lt;=0,0,IF($C$16=0,MAX($L$241*(1-$C$15),0)/$C$17,-PMT($C$16/12,$C$17*12,MAX($L$241*(1-$C$15),0))*12)),0)+X897*($C$19+$C$20+$C$21)+$C$22+$C$23)</f>
        <v/>
      </c>
      <c r="I897" s="138">
        <f>IF(B897="Working",MIN(MAX(D897-E897-F897-G897-H897,0),'Tax Assumptions'!$B$20),0)</f>
        <v/>
      </c>
      <c r="J897" s="138">
        <f>IF(B897="Working",D897-E897-F897-I897-G897-H897,-L897)</f>
        <v/>
      </c>
      <c r="K897" s="137">
        <f>IF(B897="Retired",$N$241+G897+H897,0)</f>
        <v/>
      </c>
      <c r="L897" s="137">
        <f>M897+N897+O897+P897</f>
        <v/>
      </c>
      <c r="M897" s="137">
        <f>IF(B897="Retired",MIN(((Q896)*(1+$C$10)+IF(B897="Working",J897,0)),K897),0)</f>
        <v/>
      </c>
      <c r="N897" s="137">
        <f>IF(B897="Retired",MIN(MAX(K897-M897,0),((R896)*(1+$C$10)+IF(B897="Working",E104,0))),0)</f>
        <v/>
      </c>
      <c r="O897" s="137">
        <f>IF(B897="Retired",MIN(MAX(K897-M897-N897,0),((S896)*(1+$C$10)+IF(B897="Working",I897,0))),0)</f>
        <v/>
      </c>
      <c r="P897" s="137">
        <f>IF(B897="Retired",MIN(MAX(K897-M897-N897-O897,0),((T896)*(1+$C$10)+IF(B897="Working",F104,0))),0)</f>
        <v/>
      </c>
      <c r="Q897" s="138">
        <f>MAX(((Q896)*(1+$C$10)+IF(B897="Working",J897,0))-M897,0)</f>
        <v/>
      </c>
      <c r="R897" s="138">
        <f>MAX(((R896)*(1+$C$10)+IF(B897="Working",E104,0))-N897,0)</f>
        <v/>
      </c>
      <c r="S897" s="138">
        <f>MAX(((S896)*(1+$C$10)+IF(B897="Working",I897,0))-O897,0)</f>
        <v/>
      </c>
      <c r="T897" s="138">
        <f>MAX(((T896)*(1+$C$10)+IF(B897="Working",F104,0))-P897,0)</f>
        <v/>
      </c>
      <c r="U897" s="138">
        <f>Q897+R897+S897+T897</f>
        <v/>
      </c>
      <c r="V897" s="138">
        <f>IF(B897="Working",MAX(-(((Q896)*(1+$C$10)+IF(B897="Working",J897,0))),0),MAX(K897-L897,0))</f>
        <v/>
      </c>
      <c r="W897" s="138">
        <f>IF(OR(A897&gt;=$C$13,B897="Retired"),IF(V897&gt;0,-V897,U897-'Model Inputs'!$B$18),"")</f>
        <v/>
      </c>
      <c r="X897" s="138">
        <f>IF(AND($L$241&gt;0,A897&gt;=$C$13),$L$241*(1+$C$25)^(A897-$C$13),0)</f>
        <v/>
      </c>
      <c r="Y897" s="138">
        <f>IF(OR($L$241&lt;=0,$C$17&lt;=0,A897&lt;$C$13,MIN(MAX((A897-$C$13+1)*12,0),$C$17*12)&gt;=$C$17*12),0,IF($C$16=0,MAX(MAX($L$241*(1-$C$15),0)-(IF($C$17&lt;=0,0,IF($C$16=0,MAX($L$241*(1-$C$15),0)/$C$17,-PMT($C$16/12,$C$17*12,MAX($L$241*(1-$C$15),0))*12))/12)*MIN(MAX((A897-$C$13+1)*12,0),$C$17*12),0),MAX(MAX($L$241*(1-$C$15),0)*(1+$C$16/12)^MIN(MAX((A897-$C$13+1)*12,0),$C$17*12)-(IF($C$17&lt;=0,0,IF($C$16=0,MAX($L$241*(1-$C$15),0)/$C$17,-PMT($C$16/12,$C$17*12,MAX($L$241*(1-$C$15),0))*12))/12)*(((1+$C$16/12)^MIN(MAX((A897-$C$13+1)*12,0),$C$17*12)-1)/($C$16/12)),0)))</f>
        <v/>
      </c>
      <c r="Z897" s="138">
        <f>MAX(X897-Y897,0)</f>
        <v/>
      </c>
      <c r="AA897" s="139">
        <f>U897+Z897</f>
        <v/>
      </c>
      <c r="AB897" s="5" t="n"/>
      <c r="AC897" s="5" t="n"/>
      <c r="AD897" s="5" t="n"/>
      <c r="AE897" s="5" t="n"/>
      <c r="AF897" s="5" t="n"/>
      <c r="AG897" s="5" t="n"/>
    </row>
    <row r="898" outlineLevel="1" s="326">
      <c r="A898" s="140" t="n">
        <v>26</v>
      </c>
      <c r="B898" s="40">
        <f>B105</f>
        <v/>
      </c>
      <c r="C898" s="141">
        <f>D105</f>
        <v/>
      </c>
      <c r="D898" s="141">
        <f>I105</f>
        <v/>
      </c>
      <c r="E898" s="141">
        <f>J105</f>
        <v/>
      </c>
      <c r="F898" s="141">
        <f>K105</f>
        <v/>
      </c>
      <c r="G898" s="138">
        <f>IF(AND($L$241&gt;0,A898=$C$13),$L$241*($C$15+$C$18),0)+IF(AND($L$241&gt;0,A898=$C$13),$C$24,0)</f>
        <v/>
      </c>
      <c r="H898" s="138">
        <f>IF(OR($L$241&lt;=0,A898&lt;$C$13),0,IF(AND($L$241&gt;0,$C$17&gt;0,A898&gt;=$C$13,A898&lt;($C$13+$C$17)),IF($C$17&lt;=0,0,IF($C$16=0,MAX($L$241*(1-$C$15),0)/$C$17,-PMT($C$16/12,$C$17*12,MAX($L$241*(1-$C$15),0))*12)),0)+X898*($C$19+$C$20+$C$21)+$C$22+$C$23)</f>
        <v/>
      </c>
      <c r="I898" s="138">
        <f>IF(B898="Working",MIN(MAX(D898-E898-F898-G898-H898,0),'Tax Assumptions'!$B$20),0)</f>
        <v/>
      </c>
      <c r="J898" s="138">
        <f>IF(B898="Working",D898-E898-F898-I898-G898-H898,-L898)</f>
        <v/>
      </c>
      <c r="K898" s="141">
        <f>IF(B898="Retired",$N$241+G898+H898,0)</f>
        <v/>
      </c>
      <c r="L898" s="141">
        <f>M898+N898+O898+P898</f>
        <v/>
      </c>
      <c r="M898" s="141">
        <f>IF(B898="Retired",MIN(((Q897)*(1+$C$10)+IF(B898="Working",J898,0)),K898),0)</f>
        <v/>
      </c>
      <c r="N898" s="141">
        <f>IF(B898="Retired",MIN(MAX(K898-M898,0),((R897)*(1+$C$10)+IF(B898="Working",E105,0))),0)</f>
        <v/>
      </c>
      <c r="O898" s="141">
        <f>IF(B898="Retired",MIN(MAX(K898-M898-N898,0),((S897)*(1+$C$10)+IF(B898="Working",I898,0))),0)</f>
        <v/>
      </c>
      <c r="P898" s="141">
        <f>IF(B898="Retired",MIN(MAX(K898-M898-N898-O898,0),((T897)*(1+$C$10)+IF(B898="Working",F105,0))),0)</f>
        <v/>
      </c>
      <c r="Q898" s="138">
        <f>MAX(((Q897)*(1+$C$10)+IF(B898="Working",J898,0))-M898,0)</f>
        <v/>
      </c>
      <c r="R898" s="138">
        <f>MAX(((R897)*(1+$C$10)+IF(B898="Working",E105,0))-N898,0)</f>
        <v/>
      </c>
      <c r="S898" s="138">
        <f>MAX(((S897)*(1+$C$10)+IF(B898="Working",I898,0))-O898,0)</f>
        <v/>
      </c>
      <c r="T898" s="138">
        <f>MAX(((T897)*(1+$C$10)+IF(B898="Working",F105,0))-P898,0)</f>
        <v/>
      </c>
      <c r="U898" s="138">
        <f>Q898+R898+S898+T898</f>
        <v/>
      </c>
      <c r="V898" s="138">
        <f>IF(B898="Working",MAX(-(((Q897)*(1+$C$10)+IF(B898="Working",J898,0))),0),MAX(K898-L898,0))</f>
        <v/>
      </c>
      <c r="W898" s="138">
        <f>IF(OR(A898&gt;=$C$13,B898="Retired"),IF(V898&gt;0,-V898,U898-'Model Inputs'!$B$18),"")</f>
        <v/>
      </c>
      <c r="X898" s="138">
        <f>IF(AND($L$241&gt;0,A898&gt;=$C$13),$L$241*(1+$C$25)^(A898-$C$13),0)</f>
        <v/>
      </c>
      <c r="Y898" s="138">
        <f>IF(OR($L$241&lt;=0,$C$17&lt;=0,A898&lt;$C$13,MIN(MAX((A898-$C$13+1)*12,0),$C$17*12)&gt;=$C$17*12),0,IF($C$16=0,MAX(MAX($L$241*(1-$C$15),0)-(IF($C$17&lt;=0,0,IF($C$16=0,MAX($L$241*(1-$C$15),0)/$C$17,-PMT($C$16/12,$C$17*12,MAX($L$241*(1-$C$15),0))*12))/12)*MIN(MAX((A898-$C$13+1)*12,0),$C$17*12),0),MAX(MAX($L$241*(1-$C$15),0)*(1+$C$16/12)^MIN(MAX((A898-$C$13+1)*12,0),$C$17*12)-(IF($C$17&lt;=0,0,IF($C$16=0,MAX($L$241*(1-$C$15),0)/$C$17,-PMT($C$16/12,$C$17*12,MAX($L$241*(1-$C$15),0))*12))/12)*(((1+$C$16/12)^MIN(MAX((A898-$C$13+1)*12,0),$C$17*12)-1)/($C$16/12)),0)))</f>
        <v/>
      </c>
      <c r="Z898" s="138">
        <f>MAX(X898-Y898,0)</f>
        <v/>
      </c>
      <c r="AA898" s="142">
        <f>U898+Z898</f>
        <v/>
      </c>
      <c r="AB898" s="5" t="n"/>
      <c r="AC898" s="5" t="n"/>
      <c r="AD898" s="5" t="n"/>
      <c r="AE898" s="5" t="n"/>
      <c r="AF898" s="5" t="n"/>
      <c r="AG898" s="5" t="n"/>
    </row>
    <row r="899" outlineLevel="1" s="326">
      <c r="A899" s="136" t="n">
        <v>27</v>
      </c>
      <c r="B899" s="72">
        <f>B106</f>
        <v/>
      </c>
      <c r="C899" s="137">
        <f>D106</f>
        <v/>
      </c>
      <c r="D899" s="137">
        <f>I106</f>
        <v/>
      </c>
      <c r="E899" s="137">
        <f>J106</f>
        <v/>
      </c>
      <c r="F899" s="137">
        <f>K106</f>
        <v/>
      </c>
      <c r="G899" s="138">
        <f>IF(AND($L$241&gt;0,A899=$C$13),$L$241*($C$15+$C$18),0)+IF(AND($L$241&gt;0,A899=$C$13),$C$24,0)</f>
        <v/>
      </c>
      <c r="H899" s="138">
        <f>IF(OR($L$241&lt;=0,A899&lt;$C$13),0,IF(AND($L$241&gt;0,$C$17&gt;0,A899&gt;=$C$13,A899&lt;($C$13+$C$17)),IF($C$17&lt;=0,0,IF($C$16=0,MAX($L$241*(1-$C$15),0)/$C$17,-PMT($C$16/12,$C$17*12,MAX($L$241*(1-$C$15),0))*12)),0)+X899*($C$19+$C$20+$C$21)+$C$22+$C$23)</f>
        <v/>
      </c>
      <c r="I899" s="138">
        <f>IF(B899="Working",MIN(MAX(D899-E899-F899-G899-H899,0),'Tax Assumptions'!$B$20),0)</f>
        <v/>
      </c>
      <c r="J899" s="138">
        <f>IF(B899="Working",D899-E899-F899-I899-G899-H899,-L899)</f>
        <v/>
      </c>
      <c r="K899" s="137">
        <f>IF(B899="Retired",$N$241+G899+H899,0)</f>
        <v/>
      </c>
      <c r="L899" s="137">
        <f>M899+N899+O899+P899</f>
        <v/>
      </c>
      <c r="M899" s="137">
        <f>IF(B899="Retired",MIN(((Q898)*(1+$C$10)+IF(B899="Working",J899,0)),K899),0)</f>
        <v/>
      </c>
      <c r="N899" s="137">
        <f>IF(B899="Retired",MIN(MAX(K899-M899,0),((R898)*(1+$C$10)+IF(B899="Working",E106,0))),0)</f>
        <v/>
      </c>
      <c r="O899" s="137">
        <f>IF(B899="Retired",MIN(MAX(K899-M899-N899,0),((S898)*(1+$C$10)+IF(B899="Working",I899,0))),0)</f>
        <v/>
      </c>
      <c r="P899" s="137">
        <f>IF(B899="Retired",MIN(MAX(K899-M899-N899-O899,0),((T898)*(1+$C$10)+IF(B899="Working",F106,0))),0)</f>
        <v/>
      </c>
      <c r="Q899" s="138">
        <f>MAX(((Q898)*(1+$C$10)+IF(B899="Working",J899,0))-M899,0)</f>
        <v/>
      </c>
      <c r="R899" s="138">
        <f>MAX(((R898)*(1+$C$10)+IF(B899="Working",E106,0))-N899,0)</f>
        <v/>
      </c>
      <c r="S899" s="138">
        <f>MAX(((S898)*(1+$C$10)+IF(B899="Working",I899,0))-O899,0)</f>
        <v/>
      </c>
      <c r="T899" s="138">
        <f>MAX(((T898)*(1+$C$10)+IF(B899="Working",F106,0))-P899,0)</f>
        <v/>
      </c>
      <c r="U899" s="138">
        <f>Q899+R899+S899+T899</f>
        <v/>
      </c>
      <c r="V899" s="138">
        <f>IF(B899="Working",MAX(-(((Q898)*(1+$C$10)+IF(B899="Working",J899,0))),0),MAX(K899-L899,0))</f>
        <v/>
      </c>
      <c r="W899" s="138">
        <f>IF(OR(A899&gt;=$C$13,B899="Retired"),IF(V899&gt;0,-V899,U899-'Model Inputs'!$B$18),"")</f>
        <v/>
      </c>
      <c r="X899" s="138">
        <f>IF(AND($L$241&gt;0,A899&gt;=$C$13),$L$241*(1+$C$25)^(A899-$C$13),0)</f>
        <v/>
      </c>
      <c r="Y899" s="138">
        <f>IF(OR($L$241&lt;=0,$C$17&lt;=0,A899&lt;$C$13,MIN(MAX((A899-$C$13+1)*12,0),$C$17*12)&gt;=$C$17*12),0,IF($C$16=0,MAX(MAX($L$241*(1-$C$15),0)-(IF($C$17&lt;=0,0,IF($C$16=0,MAX($L$241*(1-$C$15),0)/$C$17,-PMT($C$16/12,$C$17*12,MAX($L$241*(1-$C$15),0))*12))/12)*MIN(MAX((A899-$C$13+1)*12,0),$C$17*12),0),MAX(MAX($L$241*(1-$C$15),0)*(1+$C$16/12)^MIN(MAX((A899-$C$13+1)*12,0),$C$17*12)-(IF($C$17&lt;=0,0,IF($C$16=0,MAX($L$241*(1-$C$15),0)/$C$17,-PMT($C$16/12,$C$17*12,MAX($L$241*(1-$C$15),0))*12))/12)*(((1+$C$16/12)^MIN(MAX((A899-$C$13+1)*12,0),$C$17*12)-1)/($C$16/12)),0)))</f>
        <v/>
      </c>
      <c r="Z899" s="138">
        <f>MAX(X899-Y899,0)</f>
        <v/>
      </c>
      <c r="AA899" s="139">
        <f>U899+Z899</f>
        <v/>
      </c>
      <c r="AB899" s="5" t="n"/>
      <c r="AC899" s="5" t="n"/>
      <c r="AD899" s="5" t="n"/>
      <c r="AE899" s="5" t="n"/>
      <c r="AF899" s="5" t="n"/>
      <c r="AG899" s="5" t="n"/>
    </row>
    <row r="900" outlineLevel="1" s="326">
      <c r="A900" s="140" t="n">
        <v>28</v>
      </c>
      <c r="B900" s="40">
        <f>B107</f>
        <v/>
      </c>
      <c r="C900" s="141">
        <f>D107</f>
        <v/>
      </c>
      <c r="D900" s="141">
        <f>I107</f>
        <v/>
      </c>
      <c r="E900" s="141">
        <f>J107</f>
        <v/>
      </c>
      <c r="F900" s="141">
        <f>K107</f>
        <v/>
      </c>
      <c r="G900" s="138">
        <f>IF(AND($L$241&gt;0,A900=$C$13),$L$241*($C$15+$C$18),0)+IF(AND($L$241&gt;0,A900=$C$13),$C$24,0)</f>
        <v/>
      </c>
      <c r="H900" s="138">
        <f>IF(OR($L$241&lt;=0,A900&lt;$C$13),0,IF(AND($L$241&gt;0,$C$17&gt;0,A900&gt;=$C$13,A900&lt;($C$13+$C$17)),IF($C$17&lt;=0,0,IF($C$16=0,MAX($L$241*(1-$C$15),0)/$C$17,-PMT($C$16/12,$C$17*12,MAX($L$241*(1-$C$15),0))*12)),0)+X900*($C$19+$C$20+$C$21)+$C$22+$C$23)</f>
        <v/>
      </c>
      <c r="I900" s="138">
        <f>IF(B900="Working",MIN(MAX(D900-E900-F900-G900-H900,0),'Tax Assumptions'!$B$20),0)</f>
        <v/>
      </c>
      <c r="J900" s="138">
        <f>IF(B900="Working",D900-E900-F900-I900-G900-H900,-L900)</f>
        <v/>
      </c>
      <c r="K900" s="141">
        <f>IF(B900="Retired",$N$241+G900+H900,0)</f>
        <v/>
      </c>
      <c r="L900" s="141">
        <f>M900+N900+O900+P900</f>
        <v/>
      </c>
      <c r="M900" s="141">
        <f>IF(B900="Retired",MIN(((Q899)*(1+$C$10)+IF(B900="Working",J900,0)),K900),0)</f>
        <v/>
      </c>
      <c r="N900" s="141">
        <f>IF(B900="Retired",MIN(MAX(K900-M900,0),((R899)*(1+$C$10)+IF(B900="Working",E107,0))),0)</f>
        <v/>
      </c>
      <c r="O900" s="141">
        <f>IF(B900="Retired",MIN(MAX(K900-M900-N900,0),((S899)*(1+$C$10)+IF(B900="Working",I900,0))),0)</f>
        <v/>
      </c>
      <c r="P900" s="141">
        <f>IF(B900="Retired",MIN(MAX(K900-M900-N900-O900,0),((T899)*(1+$C$10)+IF(B900="Working",F107,0))),0)</f>
        <v/>
      </c>
      <c r="Q900" s="138">
        <f>MAX(((Q899)*(1+$C$10)+IF(B900="Working",J900,0))-M900,0)</f>
        <v/>
      </c>
      <c r="R900" s="138">
        <f>MAX(((R899)*(1+$C$10)+IF(B900="Working",E107,0))-N900,0)</f>
        <v/>
      </c>
      <c r="S900" s="138">
        <f>MAX(((S899)*(1+$C$10)+IF(B900="Working",I900,0))-O900,0)</f>
        <v/>
      </c>
      <c r="T900" s="138">
        <f>MAX(((T899)*(1+$C$10)+IF(B900="Working",F107,0))-P900,0)</f>
        <v/>
      </c>
      <c r="U900" s="138">
        <f>Q900+R900+S900+T900</f>
        <v/>
      </c>
      <c r="V900" s="138">
        <f>IF(B900="Working",MAX(-(((Q899)*(1+$C$10)+IF(B900="Working",J900,0))),0),MAX(K900-L900,0))</f>
        <v/>
      </c>
      <c r="W900" s="138">
        <f>IF(OR(A900&gt;=$C$13,B900="Retired"),IF(V900&gt;0,-V900,U900-'Model Inputs'!$B$18),"")</f>
        <v/>
      </c>
      <c r="X900" s="138">
        <f>IF(AND($L$241&gt;0,A900&gt;=$C$13),$L$241*(1+$C$25)^(A900-$C$13),0)</f>
        <v/>
      </c>
      <c r="Y900" s="138">
        <f>IF(OR($L$241&lt;=0,$C$17&lt;=0,A900&lt;$C$13,MIN(MAX((A900-$C$13+1)*12,0),$C$17*12)&gt;=$C$17*12),0,IF($C$16=0,MAX(MAX($L$241*(1-$C$15),0)-(IF($C$17&lt;=0,0,IF($C$16=0,MAX($L$241*(1-$C$15),0)/$C$17,-PMT($C$16/12,$C$17*12,MAX($L$241*(1-$C$15),0))*12))/12)*MIN(MAX((A900-$C$13+1)*12,0),$C$17*12),0),MAX(MAX($L$241*(1-$C$15),0)*(1+$C$16/12)^MIN(MAX((A900-$C$13+1)*12,0),$C$17*12)-(IF($C$17&lt;=0,0,IF($C$16=0,MAX($L$241*(1-$C$15),0)/$C$17,-PMT($C$16/12,$C$17*12,MAX($L$241*(1-$C$15),0))*12))/12)*(((1+$C$16/12)^MIN(MAX((A900-$C$13+1)*12,0),$C$17*12)-1)/($C$16/12)),0)))</f>
        <v/>
      </c>
      <c r="Z900" s="138">
        <f>MAX(X900-Y900,0)</f>
        <v/>
      </c>
      <c r="AA900" s="142">
        <f>U900+Z900</f>
        <v/>
      </c>
      <c r="AB900" s="5" t="n"/>
      <c r="AC900" s="5" t="n"/>
      <c r="AD900" s="5" t="n"/>
      <c r="AE900" s="5" t="n"/>
      <c r="AF900" s="5" t="n"/>
      <c r="AG900" s="5" t="n"/>
    </row>
    <row r="901" outlineLevel="1" s="326">
      <c r="A901" s="136" t="n">
        <v>29</v>
      </c>
      <c r="B901" s="72">
        <f>B108</f>
        <v/>
      </c>
      <c r="C901" s="137">
        <f>D108</f>
        <v/>
      </c>
      <c r="D901" s="137">
        <f>I108</f>
        <v/>
      </c>
      <c r="E901" s="137">
        <f>J108</f>
        <v/>
      </c>
      <c r="F901" s="137">
        <f>K108</f>
        <v/>
      </c>
      <c r="G901" s="138">
        <f>IF(AND($L$241&gt;0,A901=$C$13),$L$241*($C$15+$C$18),0)+IF(AND($L$241&gt;0,A901=$C$13),$C$24,0)</f>
        <v/>
      </c>
      <c r="H901" s="138">
        <f>IF(OR($L$241&lt;=0,A901&lt;$C$13),0,IF(AND($L$241&gt;0,$C$17&gt;0,A901&gt;=$C$13,A901&lt;($C$13+$C$17)),IF($C$17&lt;=0,0,IF($C$16=0,MAX($L$241*(1-$C$15),0)/$C$17,-PMT($C$16/12,$C$17*12,MAX($L$241*(1-$C$15),0))*12)),0)+X901*($C$19+$C$20+$C$21)+$C$22+$C$23)</f>
        <v/>
      </c>
      <c r="I901" s="138">
        <f>IF(B901="Working",MIN(MAX(D901-E901-F901-G901-H901,0),'Tax Assumptions'!$B$20),0)</f>
        <v/>
      </c>
      <c r="J901" s="138">
        <f>IF(B901="Working",D901-E901-F901-I901-G901-H901,-L901)</f>
        <v/>
      </c>
      <c r="K901" s="137">
        <f>IF(B901="Retired",$N$241+G901+H901,0)</f>
        <v/>
      </c>
      <c r="L901" s="137">
        <f>M901+N901+O901+P901</f>
        <v/>
      </c>
      <c r="M901" s="137">
        <f>IF(B901="Retired",MIN(((Q900)*(1+$C$10)+IF(B901="Working",J901,0)),K901),0)</f>
        <v/>
      </c>
      <c r="N901" s="137">
        <f>IF(B901="Retired",MIN(MAX(K901-M901,0),((R900)*(1+$C$10)+IF(B901="Working",E108,0))),0)</f>
        <v/>
      </c>
      <c r="O901" s="137">
        <f>IF(B901="Retired",MIN(MAX(K901-M901-N901,0),((S900)*(1+$C$10)+IF(B901="Working",I901,0))),0)</f>
        <v/>
      </c>
      <c r="P901" s="137">
        <f>IF(B901="Retired",MIN(MAX(K901-M901-N901-O901,0),((T900)*(1+$C$10)+IF(B901="Working",F108,0))),0)</f>
        <v/>
      </c>
      <c r="Q901" s="138">
        <f>MAX(((Q900)*(1+$C$10)+IF(B901="Working",J901,0))-M901,0)</f>
        <v/>
      </c>
      <c r="R901" s="138">
        <f>MAX(((R900)*(1+$C$10)+IF(B901="Working",E108,0))-N901,0)</f>
        <v/>
      </c>
      <c r="S901" s="138">
        <f>MAX(((S900)*(1+$C$10)+IF(B901="Working",I901,0))-O901,0)</f>
        <v/>
      </c>
      <c r="T901" s="138">
        <f>MAX(((T900)*(1+$C$10)+IF(B901="Working",F108,0))-P901,0)</f>
        <v/>
      </c>
      <c r="U901" s="138">
        <f>Q901+R901+S901+T901</f>
        <v/>
      </c>
      <c r="V901" s="138">
        <f>IF(B901="Working",MAX(-(((Q900)*(1+$C$10)+IF(B901="Working",J901,0))),0),MAX(K901-L901,0))</f>
        <v/>
      </c>
      <c r="W901" s="138">
        <f>IF(OR(A901&gt;=$C$13,B901="Retired"),IF(V901&gt;0,-V901,U901-'Model Inputs'!$B$18),"")</f>
        <v/>
      </c>
      <c r="X901" s="138">
        <f>IF(AND($L$241&gt;0,A901&gt;=$C$13),$L$241*(1+$C$25)^(A901-$C$13),0)</f>
        <v/>
      </c>
      <c r="Y901" s="138">
        <f>IF(OR($L$241&lt;=0,$C$17&lt;=0,A901&lt;$C$13,MIN(MAX((A901-$C$13+1)*12,0),$C$17*12)&gt;=$C$17*12),0,IF($C$16=0,MAX(MAX($L$241*(1-$C$15),0)-(IF($C$17&lt;=0,0,IF($C$16=0,MAX($L$241*(1-$C$15),0)/$C$17,-PMT($C$16/12,$C$17*12,MAX($L$241*(1-$C$15),0))*12))/12)*MIN(MAX((A901-$C$13+1)*12,0),$C$17*12),0),MAX(MAX($L$241*(1-$C$15),0)*(1+$C$16/12)^MIN(MAX((A901-$C$13+1)*12,0),$C$17*12)-(IF($C$17&lt;=0,0,IF($C$16=0,MAX($L$241*(1-$C$15),0)/$C$17,-PMT($C$16/12,$C$17*12,MAX($L$241*(1-$C$15),0))*12))/12)*(((1+$C$16/12)^MIN(MAX((A901-$C$13+1)*12,0),$C$17*12)-1)/($C$16/12)),0)))</f>
        <v/>
      </c>
      <c r="Z901" s="138">
        <f>MAX(X901-Y901,0)</f>
        <v/>
      </c>
      <c r="AA901" s="139">
        <f>U901+Z901</f>
        <v/>
      </c>
      <c r="AB901" s="5" t="n"/>
      <c r="AC901" s="5" t="n"/>
      <c r="AD901" s="5" t="n"/>
      <c r="AE901" s="5" t="n"/>
      <c r="AF901" s="5" t="n"/>
      <c r="AG901" s="5" t="n"/>
    </row>
    <row r="902" outlineLevel="1" s="326">
      <c r="A902" s="140" t="n">
        <v>30</v>
      </c>
      <c r="B902" s="40">
        <f>B109</f>
        <v/>
      </c>
      <c r="C902" s="141">
        <f>D109</f>
        <v/>
      </c>
      <c r="D902" s="141">
        <f>I109</f>
        <v/>
      </c>
      <c r="E902" s="141">
        <f>J109</f>
        <v/>
      </c>
      <c r="F902" s="141">
        <f>K109</f>
        <v/>
      </c>
      <c r="G902" s="138">
        <f>IF(AND($L$241&gt;0,A902=$C$13),$L$241*($C$15+$C$18),0)+IF(AND($L$241&gt;0,A902=$C$13),$C$24,0)</f>
        <v/>
      </c>
      <c r="H902" s="138">
        <f>IF(OR($L$241&lt;=0,A902&lt;$C$13),0,IF(AND($L$241&gt;0,$C$17&gt;0,A902&gt;=$C$13,A902&lt;($C$13+$C$17)),IF($C$17&lt;=0,0,IF($C$16=0,MAX($L$241*(1-$C$15),0)/$C$17,-PMT($C$16/12,$C$17*12,MAX($L$241*(1-$C$15),0))*12)),0)+X902*($C$19+$C$20+$C$21)+$C$22+$C$23)</f>
        <v/>
      </c>
      <c r="I902" s="138">
        <f>IF(B902="Working",MIN(MAX(D902-E902-F902-G902-H902,0),'Tax Assumptions'!$B$20),0)</f>
        <v/>
      </c>
      <c r="J902" s="138">
        <f>IF(B902="Working",D902-E902-F902-I902-G902-H902,-L902)</f>
        <v/>
      </c>
      <c r="K902" s="141">
        <f>IF(B902="Retired",$N$241+G902+H902,0)</f>
        <v/>
      </c>
      <c r="L902" s="141">
        <f>M902+N902+O902+P902</f>
        <v/>
      </c>
      <c r="M902" s="141">
        <f>IF(B902="Retired",MIN(((Q901)*(1+$C$10)+IF(B902="Working",J902,0)),K902),0)</f>
        <v/>
      </c>
      <c r="N902" s="141">
        <f>IF(B902="Retired",MIN(MAX(K902-M902,0),((R901)*(1+$C$10)+IF(B902="Working",E109,0))),0)</f>
        <v/>
      </c>
      <c r="O902" s="141">
        <f>IF(B902="Retired",MIN(MAX(K902-M902-N902,0),((S901)*(1+$C$10)+IF(B902="Working",I902,0))),0)</f>
        <v/>
      </c>
      <c r="P902" s="141">
        <f>IF(B902="Retired",MIN(MAX(K902-M902-N902-O902,0),((T901)*(1+$C$10)+IF(B902="Working",F109,0))),0)</f>
        <v/>
      </c>
      <c r="Q902" s="138">
        <f>MAX(((Q901)*(1+$C$10)+IF(B902="Working",J902,0))-M902,0)</f>
        <v/>
      </c>
      <c r="R902" s="138">
        <f>MAX(((R901)*(1+$C$10)+IF(B902="Working",E109,0))-N902,0)</f>
        <v/>
      </c>
      <c r="S902" s="138">
        <f>MAX(((S901)*(1+$C$10)+IF(B902="Working",I902,0))-O902,0)</f>
        <v/>
      </c>
      <c r="T902" s="138">
        <f>MAX(((T901)*(1+$C$10)+IF(B902="Working",F109,0))-P902,0)</f>
        <v/>
      </c>
      <c r="U902" s="138">
        <f>Q902+R902+S902+T902</f>
        <v/>
      </c>
      <c r="V902" s="138">
        <f>IF(B902="Working",MAX(-(((Q901)*(1+$C$10)+IF(B902="Working",J902,0))),0),MAX(K902-L902,0))</f>
        <v/>
      </c>
      <c r="W902" s="138">
        <f>IF(OR(A902&gt;=$C$13,B902="Retired"),IF(V902&gt;0,-V902,U902-'Model Inputs'!$B$18),"")</f>
        <v/>
      </c>
      <c r="X902" s="138">
        <f>IF(AND($L$241&gt;0,A902&gt;=$C$13),$L$241*(1+$C$25)^(A902-$C$13),0)</f>
        <v/>
      </c>
      <c r="Y902" s="138">
        <f>IF(OR($L$241&lt;=0,$C$17&lt;=0,A902&lt;$C$13,MIN(MAX((A902-$C$13+1)*12,0),$C$17*12)&gt;=$C$17*12),0,IF($C$16=0,MAX(MAX($L$241*(1-$C$15),0)-(IF($C$17&lt;=0,0,IF($C$16=0,MAX($L$241*(1-$C$15),0)/$C$17,-PMT($C$16/12,$C$17*12,MAX($L$241*(1-$C$15),0))*12))/12)*MIN(MAX((A902-$C$13+1)*12,0),$C$17*12),0),MAX(MAX($L$241*(1-$C$15),0)*(1+$C$16/12)^MIN(MAX((A902-$C$13+1)*12,0),$C$17*12)-(IF($C$17&lt;=0,0,IF($C$16=0,MAX($L$241*(1-$C$15),0)/$C$17,-PMT($C$16/12,$C$17*12,MAX($L$241*(1-$C$15),0))*12))/12)*(((1+$C$16/12)^MIN(MAX((A902-$C$13+1)*12,0),$C$17*12)-1)/($C$16/12)),0)))</f>
        <v/>
      </c>
      <c r="Z902" s="138">
        <f>MAX(X902-Y902,0)</f>
        <v/>
      </c>
      <c r="AA902" s="142">
        <f>U902+Z902</f>
        <v/>
      </c>
      <c r="AB902" s="5" t="n"/>
      <c r="AC902" s="5" t="n"/>
      <c r="AD902" s="5" t="n"/>
      <c r="AE902" s="5" t="n"/>
      <c r="AF902" s="5" t="n"/>
      <c r="AG902" s="5" t="n"/>
    </row>
    <row r="903" outlineLevel="1" s="326">
      <c r="A903" s="136" t="n">
        <v>31</v>
      </c>
      <c r="B903" s="72">
        <f>B110</f>
        <v/>
      </c>
      <c r="C903" s="137">
        <f>D110</f>
        <v/>
      </c>
      <c r="D903" s="137">
        <f>I110</f>
        <v/>
      </c>
      <c r="E903" s="137">
        <f>J110</f>
        <v/>
      </c>
      <c r="F903" s="137">
        <f>K110</f>
        <v/>
      </c>
      <c r="G903" s="138">
        <f>IF(AND($L$241&gt;0,A903=$C$13),$L$241*($C$15+$C$18),0)+IF(AND($L$241&gt;0,A903=$C$13),$C$24,0)</f>
        <v/>
      </c>
      <c r="H903" s="138">
        <f>IF(OR($L$241&lt;=0,A903&lt;$C$13),0,IF(AND($L$241&gt;0,$C$17&gt;0,A903&gt;=$C$13,A903&lt;($C$13+$C$17)),IF($C$17&lt;=0,0,IF($C$16=0,MAX($L$241*(1-$C$15),0)/$C$17,-PMT($C$16/12,$C$17*12,MAX($L$241*(1-$C$15),0))*12)),0)+X903*($C$19+$C$20+$C$21)+$C$22+$C$23)</f>
        <v/>
      </c>
      <c r="I903" s="138">
        <f>IF(B903="Working",MIN(MAX(D903-E903-F903-G903-H903,0),'Tax Assumptions'!$B$20),0)</f>
        <v/>
      </c>
      <c r="J903" s="138">
        <f>IF(B903="Working",D903-E903-F903-I903-G903-H903,-L903)</f>
        <v/>
      </c>
      <c r="K903" s="137">
        <f>IF(B903="Retired",$N$241+G903+H903,0)</f>
        <v/>
      </c>
      <c r="L903" s="137">
        <f>M903+N903+O903+P903</f>
        <v/>
      </c>
      <c r="M903" s="137">
        <f>IF(B903="Retired",MIN(((Q902)*(1+$C$10)+IF(B903="Working",J903,0)),K903),0)</f>
        <v/>
      </c>
      <c r="N903" s="137">
        <f>IF(B903="Retired",MIN(MAX(K903-M903,0),((R902)*(1+$C$10)+IF(B903="Working",E110,0))),0)</f>
        <v/>
      </c>
      <c r="O903" s="137">
        <f>IF(B903="Retired",MIN(MAX(K903-M903-N903,0),((S902)*(1+$C$10)+IF(B903="Working",I903,0))),0)</f>
        <v/>
      </c>
      <c r="P903" s="137">
        <f>IF(B903="Retired",MIN(MAX(K903-M903-N903-O903,0),((T902)*(1+$C$10)+IF(B903="Working",F110,0))),0)</f>
        <v/>
      </c>
      <c r="Q903" s="138">
        <f>MAX(((Q902)*(1+$C$10)+IF(B903="Working",J903,0))-M903,0)</f>
        <v/>
      </c>
      <c r="R903" s="138">
        <f>MAX(((R902)*(1+$C$10)+IF(B903="Working",E110,0))-N903,0)</f>
        <v/>
      </c>
      <c r="S903" s="138">
        <f>MAX(((S902)*(1+$C$10)+IF(B903="Working",I903,0))-O903,0)</f>
        <v/>
      </c>
      <c r="T903" s="138">
        <f>MAX(((T902)*(1+$C$10)+IF(B903="Working",F110,0))-P903,0)</f>
        <v/>
      </c>
      <c r="U903" s="138">
        <f>Q903+R903+S903+T903</f>
        <v/>
      </c>
      <c r="V903" s="138">
        <f>IF(B903="Working",MAX(-(((Q902)*(1+$C$10)+IF(B903="Working",J903,0))),0),MAX(K903-L903,0))</f>
        <v/>
      </c>
      <c r="W903" s="138">
        <f>IF(OR(A903&gt;=$C$13,B903="Retired"),IF(V903&gt;0,-V903,U903-'Model Inputs'!$B$18),"")</f>
        <v/>
      </c>
      <c r="X903" s="138">
        <f>IF(AND($L$241&gt;0,A903&gt;=$C$13),$L$241*(1+$C$25)^(A903-$C$13),0)</f>
        <v/>
      </c>
      <c r="Y903" s="138">
        <f>IF(OR($L$241&lt;=0,$C$17&lt;=0,A903&lt;$C$13,MIN(MAX((A903-$C$13+1)*12,0),$C$17*12)&gt;=$C$17*12),0,IF($C$16=0,MAX(MAX($L$241*(1-$C$15),0)-(IF($C$17&lt;=0,0,IF($C$16=0,MAX($L$241*(1-$C$15),0)/$C$17,-PMT($C$16/12,$C$17*12,MAX($L$241*(1-$C$15),0))*12))/12)*MIN(MAX((A903-$C$13+1)*12,0),$C$17*12),0),MAX(MAX($L$241*(1-$C$15),0)*(1+$C$16/12)^MIN(MAX((A903-$C$13+1)*12,0),$C$17*12)-(IF($C$17&lt;=0,0,IF($C$16=0,MAX($L$241*(1-$C$15),0)/$C$17,-PMT($C$16/12,$C$17*12,MAX($L$241*(1-$C$15),0))*12))/12)*(((1+$C$16/12)^MIN(MAX((A903-$C$13+1)*12,0),$C$17*12)-1)/($C$16/12)),0)))</f>
        <v/>
      </c>
      <c r="Z903" s="138">
        <f>MAX(X903-Y903,0)</f>
        <v/>
      </c>
      <c r="AA903" s="139">
        <f>U903+Z903</f>
        <v/>
      </c>
      <c r="AB903" s="5" t="n"/>
      <c r="AC903" s="5" t="n"/>
      <c r="AD903" s="5" t="n"/>
      <c r="AE903" s="5" t="n"/>
      <c r="AF903" s="5" t="n"/>
      <c r="AG903" s="5" t="n"/>
    </row>
    <row r="904" outlineLevel="1" s="326">
      <c r="A904" s="140" t="n">
        <v>32</v>
      </c>
      <c r="B904" s="40">
        <f>B111</f>
        <v/>
      </c>
      <c r="C904" s="141">
        <f>D111</f>
        <v/>
      </c>
      <c r="D904" s="141">
        <f>I111</f>
        <v/>
      </c>
      <c r="E904" s="141">
        <f>J111</f>
        <v/>
      </c>
      <c r="F904" s="141">
        <f>K111</f>
        <v/>
      </c>
      <c r="G904" s="138">
        <f>IF(AND($L$241&gt;0,A904=$C$13),$L$241*($C$15+$C$18),0)+IF(AND($L$241&gt;0,A904=$C$13),$C$24,0)</f>
        <v/>
      </c>
      <c r="H904" s="138">
        <f>IF(OR($L$241&lt;=0,A904&lt;$C$13),0,IF(AND($L$241&gt;0,$C$17&gt;0,A904&gt;=$C$13,A904&lt;($C$13+$C$17)),IF($C$17&lt;=0,0,IF($C$16=0,MAX($L$241*(1-$C$15),0)/$C$17,-PMT($C$16/12,$C$17*12,MAX($L$241*(1-$C$15),0))*12)),0)+X904*($C$19+$C$20+$C$21)+$C$22+$C$23)</f>
        <v/>
      </c>
      <c r="I904" s="138">
        <f>IF(B904="Working",MIN(MAX(D904-E904-F904-G904-H904,0),'Tax Assumptions'!$B$20),0)</f>
        <v/>
      </c>
      <c r="J904" s="138">
        <f>IF(B904="Working",D904-E904-F904-I904-G904-H904,-L904)</f>
        <v/>
      </c>
      <c r="K904" s="141">
        <f>IF(B904="Retired",$N$241+G904+H904,0)</f>
        <v/>
      </c>
      <c r="L904" s="141">
        <f>M904+N904+O904+P904</f>
        <v/>
      </c>
      <c r="M904" s="141">
        <f>IF(B904="Retired",MIN(((Q903)*(1+$C$10)+IF(B904="Working",J904,0)),K904),0)</f>
        <v/>
      </c>
      <c r="N904" s="141">
        <f>IF(B904="Retired",MIN(MAX(K904-M904,0),((R903)*(1+$C$10)+IF(B904="Working",E111,0))),0)</f>
        <v/>
      </c>
      <c r="O904" s="141">
        <f>IF(B904="Retired",MIN(MAX(K904-M904-N904,0),((S903)*(1+$C$10)+IF(B904="Working",I904,0))),0)</f>
        <v/>
      </c>
      <c r="P904" s="141">
        <f>IF(B904="Retired",MIN(MAX(K904-M904-N904-O904,0),((T903)*(1+$C$10)+IF(B904="Working",F111,0))),0)</f>
        <v/>
      </c>
      <c r="Q904" s="138">
        <f>MAX(((Q903)*(1+$C$10)+IF(B904="Working",J904,0))-M904,0)</f>
        <v/>
      </c>
      <c r="R904" s="138">
        <f>MAX(((R903)*(1+$C$10)+IF(B904="Working",E111,0))-N904,0)</f>
        <v/>
      </c>
      <c r="S904" s="138">
        <f>MAX(((S903)*(1+$C$10)+IF(B904="Working",I904,0))-O904,0)</f>
        <v/>
      </c>
      <c r="T904" s="138">
        <f>MAX(((T903)*(1+$C$10)+IF(B904="Working",F111,0))-P904,0)</f>
        <v/>
      </c>
      <c r="U904" s="138">
        <f>Q904+R904+S904+T904</f>
        <v/>
      </c>
      <c r="V904" s="138">
        <f>IF(B904="Working",MAX(-(((Q903)*(1+$C$10)+IF(B904="Working",J904,0))),0),MAX(K904-L904,0))</f>
        <v/>
      </c>
      <c r="W904" s="138">
        <f>IF(OR(A904&gt;=$C$13,B904="Retired"),IF(V904&gt;0,-V904,U904-'Model Inputs'!$B$18),"")</f>
        <v/>
      </c>
      <c r="X904" s="138">
        <f>IF(AND($L$241&gt;0,A904&gt;=$C$13),$L$241*(1+$C$25)^(A904-$C$13),0)</f>
        <v/>
      </c>
      <c r="Y904" s="138">
        <f>IF(OR($L$241&lt;=0,$C$17&lt;=0,A904&lt;$C$13,MIN(MAX((A904-$C$13+1)*12,0),$C$17*12)&gt;=$C$17*12),0,IF($C$16=0,MAX(MAX($L$241*(1-$C$15),0)-(IF($C$17&lt;=0,0,IF($C$16=0,MAX($L$241*(1-$C$15),0)/$C$17,-PMT($C$16/12,$C$17*12,MAX($L$241*(1-$C$15),0))*12))/12)*MIN(MAX((A904-$C$13+1)*12,0),$C$17*12),0),MAX(MAX($L$241*(1-$C$15),0)*(1+$C$16/12)^MIN(MAX((A904-$C$13+1)*12,0),$C$17*12)-(IF($C$17&lt;=0,0,IF($C$16=0,MAX($L$241*(1-$C$15),0)/$C$17,-PMT($C$16/12,$C$17*12,MAX($L$241*(1-$C$15),0))*12))/12)*(((1+$C$16/12)^MIN(MAX((A904-$C$13+1)*12,0),$C$17*12)-1)/($C$16/12)),0)))</f>
        <v/>
      </c>
      <c r="Z904" s="138">
        <f>MAX(X904-Y904,0)</f>
        <v/>
      </c>
      <c r="AA904" s="142">
        <f>U904+Z904</f>
        <v/>
      </c>
      <c r="AB904" s="5" t="n"/>
      <c r="AC904" s="5" t="n"/>
      <c r="AD904" s="5" t="n"/>
      <c r="AE904" s="5" t="n"/>
      <c r="AF904" s="5" t="n"/>
      <c r="AG904" s="5" t="n"/>
    </row>
    <row r="905" outlineLevel="1" s="326">
      <c r="A905" s="136" t="n">
        <v>33</v>
      </c>
      <c r="B905" s="72">
        <f>B112</f>
        <v/>
      </c>
      <c r="C905" s="137">
        <f>D112</f>
        <v/>
      </c>
      <c r="D905" s="137">
        <f>I112</f>
        <v/>
      </c>
      <c r="E905" s="137">
        <f>J112</f>
        <v/>
      </c>
      <c r="F905" s="137">
        <f>K112</f>
        <v/>
      </c>
      <c r="G905" s="138">
        <f>IF(AND($L$241&gt;0,A905=$C$13),$L$241*($C$15+$C$18),0)+IF(AND($L$241&gt;0,A905=$C$13),$C$24,0)</f>
        <v/>
      </c>
      <c r="H905" s="138">
        <f>IF(OR($L$241&lt;=0,A905&lt;$C$13),0,IF(AND($L$241&gt;0,$C$17&gt;0,A905&gt;=$C$13,A905&lt;($C$13+$C$17)),IF($C$17&lt;=0,0,IF($C$16=0,MAX($L$241*(1-$C$15),0)/$C$17,-PMT($C$16/12,$C$17*12,MAX($L$241*(1-$C$15),0))*12)),0)+X905*($C$19+$C$20+$C$21)+$C$22+$C$23)</f>
        <v/>
      </c>
      <c r="I905" s="138">
        <f>IF(B905="Working",MIN(MAX(D905-E905-F905-G905-H905,0),'Tax Assumptions'!$B$20),0)</f>
        <v/>
      </c>
      <c r="J905" s="138">
        <f>IF(B905="Working",D905-E905-F905-I905-G905-H905,-L905)</f>
        <v/>
      </c>
      <c r="K905" s="137">
        <f>IF(B905="Retired",$N$241+G905+H905,0)</f>
        <v/>
      </c>
      <c r="L905" s="137">
        <f>M905+N905+O905+P905</f>
        <v/>
      </c>
      <c r="M905" s="137">
        <f>IF(B905="Retired",MIN(((Q904)*(1+$C$10)+IF(B905="Working",J905,0)),K905),0)</f>
        <v/>
      </c>
      <c r="N905" s="137">
        <f>IF(B905="Retired",MIN(MAX(K905-M905,0),((R904)*(1+$C$10)+IF(B905="Working",E112,0))),0)</f>
        <v/>
      </c>
      <c r="O905" s="137">
        <f>IF(B905="Retired",MIN(MAX(K905-M905-N905,0),((S904)*(1+$C$10)+IF(B905="Working",I905,0))),0)</f>
        <v/>
      </c>
      <c r="P905" s="137">
        <f>IF(B905="Retired",MIN(MAX(K905-M905-N905-O905,0),((T904)*(1+$C$10)+IF(B905="Working",F112,0))),0)</f>
        <v/>
      </c>
      <c r="Q905" s="138">
        <f>MAX(((Q904)*(1+$C$10)+IF(B905="Working",J905,0))-M905,0)</f>
        <v/>
      </c>
      <c r="R905" s="138">
        <f>MAX(((R904)*(1+$C$10)+IF(B905="Working",E112,0))-N905,0)</f>
        <v/>
      </c>
      <c r="S905" s="138">
        <f>MAX(((S904)*(1+$C$10)+IF(B905="Working",I905,0))-O905,0)</f>
        <v/>
      </c>
      <c r="T905" s="138">
        <f>MAX(((T904)*(1+$C$10)+IF(B905="Working",F112,0))-P905,0)</f>
        <v/>
      </c>
      <c r="U905" s="138">
        <f>Q905+R905+S905+T905</f>
        <v/>
      </c>
      <c r="V905" s="138">
        <f>IF(B905="Working",MAX(-(((Q904)*(1+$C$10)+IF(B905="Working",J905,0))),0),MAX(K905-L905,0))</f>
        <v/>
      </c>
      <c r="W905" s="138">
        <f>IF(OR(A905&gt;=$C$13,B905="Retired"),IF(V905&gt;0,-V905,U905-'Model Inputs'!$B$18),"")</f>
        <v/>
      </c>
      <c r="X905" s="138">
        <f>IF(AND($L$241&gt;0,A905&gt;=$C$13),$L$241*(1+$C$25)^(A905-$C$13),0)</f>
        <v/>
      </c>
      <c r="Y905" s="138">
        <f>IF(OR($L$241&lt;=0,$C$17&lt;=0,A905&lt;$C$13,MIN(MAX((A905-$C$13+1)*12,0),$C$17*12)&gt;=$C$17*12),0,IF($C$16=0,MAX(MAX($L$241*(1-$C$15),0)-(IF($C$17&lt;=0,0,IF($C$16=0,MAX($L$241*(1-$C$15),0)/$C$17,-PMT($C$16/12,$C$17*12,MAX($L$241*(1-$C$15),0))*12))/12)*MIN(MAX((A905-$C$13+1)*12,0),$C$17*12),0),MAX(MAX($L$241*(1-$C$15),0)*(1+$C$16/12)^MIN(MAX((A905-$C$13+1)*12,0),$C$17*12)-(IF($C$17&lt;=0,0,IF($C$16=0,MAX($L$241*(1-$C$15),0)/$C$17,-PMT($C$16/12,$C$17*12,MAX($L$241*(1-$C$15),0))*12))/12)*(((1+$C$16/12)^MIN(MAX((A905-$C$13+1)*12,0),$C$17*12)-1)/($C$16/12)),0)))</f>
        <v/>
      </c>
      <c r="Z905" s="138">
        <f>MAX(X905-Y905,0)</f>
        <v/>
      </c>
      <c r="AA905" s="139">
        <f>U905+Z905</f>
        <v/>
      </c>
      <c r="AB905" s="5" t="n"/>
      <c r="AC905" s="5" t="n"/>
      <c r="AD905" s="5" t="n"/>
      <c r="AE905" s="5" t="n"/>
      <c r="AF905" s="5" t="n"/>
      <c r="AG905" s="5" t="n"/>
    </row>
    <row r="906" outlineLevel="1" s="326">
      <c r="A906" s="140" t="n">
        <v>34</v>
      </c>
      <c r="B906" s="40">
        <f>B113</f>
        <v/>
      </c>
      <c r="C906" s="141">
        <f>D113</f>
        <v/>
      </c>
      <c r="D906" s="141">
        <f>I113</f>
        <v/>
      </c>
      <c r="E906" s="141">
        <f>J113</f>
        <v/>
      </c>
      <c r="F906" s="141">
        <f>K113</f>
        <v/>
      </c>
      <c r="G906" s="138">
        <f>IF(AND($L$241&gt;0,A906=$C$13),$L$241*($C$15+$C$18),0)+IF(AND($L$241&gt;0,A906=$C$13),$C$24,0)</f>
        <v/>
      </c>
      <c r="H906" s="138">
        <f>IF(OR($L$241&lt;=0,A906&lt;$C$13),0,IF(AND($L$241&gt;0,$C$17&gt;0,A906&gt;=$C$13,A906&lt;($C$13+$C$17)),IF($C$17&lt;=0,0,IF($C$16=0,MAX($L$241*(1-$C$15),0)/$C$17,-PMT($C$16/12,$C$17*12,MAX($L$241*(1-$C$15),0))*12)),0)+X906*($C$19+$C$20+$C$21)+$C$22+$C$23)</f>
        <v/>
      </c>
      <c r="I906" s="138">
        <f>IF(B906="Working",MIN(MAX(D906-E906-F906-G906-H906,0),'Tax Assumptions'!$B$20),0)</f>
        <v/>
      </c>
      <c r="J906" s="138">
        <f>IF(B906="Working",D906-E906-F906-I906-G906-H906,-L906)</f>
        <v/>
      </c>
      <c r="K906" s="141">
        <f>IF(B906="Retired",$N$241+G906+H906,0)</f>
        <v/>
      </c>
      <c r="L906" s="141">
        <f>M906+N906+O906+P906</f>
        <v/>
      </c>
      <c r="M906" s="141">
        <f>IF(B906="Retired",MIN(((Q905)*(1+$C$10)+IF(B906="Working",J906,0)),K906),0)</f>
        <v/>
      </c>
      <c r="N906" s="141">
        <f>IF(B906="Retired",MIN(MAX(K906-M906,0),((R905)*(1+$C$10)+IF(B906="Working",E113,0))),0)</f>
        <v/>
      </c>
      <c r="O906" s="141">
        <f>IF(B906="Retired",MIN(MAX(K906-M906-N906,0),((S905)*(1+$C$10)+IF(B906="Working",I906,0))),0)</f>
        <v/>
      </c>
      <c r="P906" s="141">
        <f>IF(B906="Retired",MIN(MAX(K906-M906-N906-O906,0),((T905)*(1+$C$10)+IF(B906="Working",F113,0))),0)</f>
        <v/>
      </c>
      <c r="Q906" s="138">
        <f>MAX(((Q905)*(1+$C$10)+IF(B906="Working",J906,0))-M906,0)</f>
        <v/>
      </c>
      <c r="R906" s="138">
        <f>MAX(((R905)*(1+$C$10)+IF(B906="Working",E113,0))-N906,0)</f>
        <v/>
      </c>
      <c r="S906" s="138">
        <f>MAX(((S905)*(1+$C$10)+IF(B906="Working",I906,0))-O906,0)</f>
        <v/>
      </c>
      <c r="T906" s="138">
        <f>MAX(((T905)*(1+$C$10)+IF(B906="Working",F113,0))-P906,0)</f>
        <v/>
      </c>
      <c r="U906" s="138">
        <f>Q906+R906+S906+T906</f>
        <v/>
      </c>
      <c r="V906" s="138">
        <f>IF(B906="Working",MAX(-(((Q905)*(1+$C$10)+IF(B906="Working",J906,0))),0),MAX(K906-L906,0))</f>
        <v/>
      </c>
      <c r="W906" s="138">
        <f>IF(OR(A906&gt;=$C$13,B906="Retired"),IF(V906&gt;0,-V906,U906-'Model Inputs'!$B$18),"")</f>
        <v/>
      </c>
      <c r="X906" s="138">
        <f>IF(AND($L$241&gt;0,A906&gt;=$C$13),$L$241*(1+$C$25)^(A906-$C$13),0)</f>
        <v/>
      </c>
      <c r="Y906" s="138">
        <f>IF(OR($L$241&lt;=0,$C$17&lt;=0,A906&lt;$C$13,MIN(MAX((A906-$C$13+1)*12,0),$C$17*12)&gt;=$C$17*12),0,IF($C$16=0,MAX(MAX($L$241*(1-$C$15),0)-(IF($C$17&lt;=0,0,IF($C$16=0,MAX($L$241*(1-$C$15),0)/$C$17,-PMT($C$16/12,$C$17*12,MAX($L$241*(1-$C$15),0))*12))/12)*MIN(MAX((A906-$C$13+1)*12,0),$C$17*12),0),MAX(MAX($L$241*(1-$C$15),0)*(1+$C$16/12)^MIN(MAX((A906-$C$13+1)*12,0),$C$17*12)-(IF($C$17&lt;=0,0,IF($C$16=0,MAX($L$241*(1-$C$15),0)/$C$17,-PMT($C$16/12,$C$17*12,MAX($L$241*(1-$C$15),0))*12))/12)*(((1+$C$16/12)^MIN(MAX((A906-$C$13+1)*12,0),$C$17*12)-1)/($C$16/12)),0)))</f>
        <v/>
      </c>
      <c r="Z906" s="138">
        <f>MAX(X906-Y906,0)</f>
        <v/>
      </c>
      <c r="AA906" s="142">
        <f>U906+Z906</f>
        <v/>
      </c>
      <c r="AB906" s="5" t="n"/>
      <c r="AC906" s="5" t="n"/>
      <c r="AD906" s="5" t="n"/>
      <c r="AE906" s="5" t="n"/>
      <c r="AF906" s="5" t="n"/>
      <c r="AG906" s="5" t="n"/>
    </row>
    <row r="907" outlineLevel="1" s="326">
      <c r="A907" s="136" t="n">
        <v>35</v>
      </c>
      <c r="B907" s="72">
        <f>B114</f>
        <v/>
      </c>
      <c r="C907" s="137">
        <f>D114</f>
        <v/>
      </c>
      <c r="D907" s="137">
        <f>I114</f>
        <v/>
      </c>
      <c r="E907" s="137">
        <f>J114</f>
        <v/>
      </c>
      <c r="F907" s="137">
        <f>K114</f>
        <v/>
      </c>
      <c r="G907" s="138">
        <f>IF(AND($L$241&gt;0,A907=$C$13),$L$241*($C$15+$C$18),0)+IF(AND($L$241&gt;0,A907=$C$13),$C$24,0)</f>
        <v/>
      </c>
      <c r="H907" s="138">
        <f>IF(OR($L$241&lt;=0,A907&lt;$C$13),0,IF(AND($L$241&gt;0,$C$17&gt;0,A907&gt;=$C$13,A907&lt;($C$13+$C$17)),IF($C$17&lt;=0,0,IF($C$16=0,MAX($L$241*(1-$C$15),0)/$C$17,-PMT($C$16/12,$C$17*12,MAX($L$241*(1-$C$15),0))*12)),0)+X907*($C$19+$C$20+$C$21)+$C$22+$C$23)</f>
        <v/>
      </c>
      <c r="I907" s="138">
        <f>IF(B907="Working",MIN(MAX(D907-E907-F907-G907-H907,0),'Tax Assumptions'!$B$20),0)</f>
        <v/>
      </c>
      <c r="J907" s="138">
        <f>IF(B907="Working",D907-E907-F907-I907-G907-H907,-L907)</f>
        <v/>
      </c>
      <c r="K907" s="137">
        <f>IF(B907="Retired",$N$241+G907+H907,0)</f>
        <v/>
      </c>
      <c r="L907" s="137">
        <f>M907+N907+O907+P907</f>
        <v/>
      </c>
      <c r="M907" s="137">
        <f>IF(B907="Retired",MIN(((Q906)*(1+$C$10)+IF(B907="Working",J907,0)),K907),0)</f>
        <v/>
      </c>
      <c r="N907" s="137">
        <f>IF(B907="Retired",MIN(MAX(K907-M907,0),((R906)*(1+$C$10)+IF(B907="Working",E114,0))),0)</f>
        <v/>
      </c>
      <c r="O907" s="137">
        <f>IF(B907="Retired",MIN(MAX(K907-M907-N907,0),((S906)*(1+$C$10)+IF(B907="Working",I907,0))),0)</f>
        <v/>
      </c>
      <c r="P907" s="137">
        <f>IF(B907="Retired",MIN(MAX(K907-M907-N907-O907,0),((T906)*(1+$C$10)+IF(B907="Working",F114,0))),0)</f>
        <v/>
      </c>
      <c r="Q907" s="138">
        <f>MAX(((Q906)*(1+$C$10)+IF(B907="Working",J907,0))-M907,0)</f>
        <v/>
      </c>
      <c r="R907" s="138">
        <f>MAX(((R906)*(1+$C$10)+IF(B907="Working",E114,0))-N907,0)</f>
        <v/>
      </c>
      <c r="S907" s="138">
        <f>MAX(((S906)*(1+$C$10)+IF(B907="Working",I907,0))-O907,0)</f>
        <v/>
      </c>
      <c r="T907" s="138">
        <f>MAX(((T906)*(1+$C$10)+IF(B907="Working",F114,0))-P907,0)</f>
        <v/>
      </c>
      <c r="U907" s="138">
        <f>Q907+R907+S907+T907</f>
        <v/>
      </c>
      <c r="V907" s="138">
        <f>IF(B907="Working",MAX(-(((Q906)*(1+$C$10)+IF(B907="Working",J907,0))),0),MAX(K907-L907,0))</f>
        <v/>
      </c>
      <c r="W907" s="138">
        <f>IF(OR(A907&gt;=$C$13,B907="Retired"),IF(V907&gt;0,-V907,U907-'Model Inputs'!$B$18),"")</f>
        <v/>
      </c>
      <c r="X907" s="138">
        <f>IF(AND($L$241&gt;0,A907&gt;=$C$13),$L$241*(1+$C$25)^(A907-$C$13),0)</f>
        <v/>
      </c>
      <c r="Y907" s="138">
        <f>IF(OR($L$241&lt;=0,$C$17&lt;=0,A907&lt;$C$13,MIN(MAX((A907-$C$13+1)*12,0),$C$17*12)&gt;=$C$17*12),0,IF($C$16=0,MAX(MAX($L$241*(1-$C$15),0)-(IF($C$17&lt;=0,0,IF($C$16=0,MAX($L$241*(1-$C$15),0)/$C$17,-PMT($C$16/12,$C$17*12,MAX($L$241*(1-$C$15),0))*12))/12)*MIN(MAX((A907-$C$13+1)*12,0),$C$17*12),0),MAX(MAX($L$241*(1-$C$15),0)*(1+$C$16/12)^MIN(MAX((A907-$C$13+1)*12,0),$C$17*12)-(IF($C$17&lt;=0,0,IF($C$16=0,MAX($L$241*(1-$C$15),0)/$C$17,-PMT($C$16/12,$C$17*12,MAX($L$241*(1-$C$15),0))*12))/12)*(((1+$C$16/12)^MIN(MAX((A907-$C$13+1)*12,0),$C$17*12)-1)/($C$16/12)),0)))</f>
        <v/>
      </c>
      <c r="Z907" s="138">
        <f>MAX(X907-Y907,0)</f>
        <v/>
      </c>
      <c r="AA907" s="139">
        <f>U907+Z907</f>
        <v/>
      </c>
      <c r="AB907" s="5" t="n"/>
      <c r="AC907" s="5" t="n"/>
      <c r="AD907" s="5" t="n"/>
      <c r="AE907" s="5" t="n"/>
      <c r="AF907" s="5" t="n"/>
      <c r="AG907" s="5" t="n"/>
    </row>
    <row r="908" outlineLevel="1" s="326">
      <c r="A908" s="140" t="n">
        <v>36</v>
      </c>
      <c r="B908" s="40">
        <f>B115</f>
        <v/>
      </c>
      <c r="C908" s="141">
        <f>D115</f>
        <v/>
      </c>
      <c r="D908" s="141">
        <f>I115</f>
        <v/>
      </c>
      <c r="E908" s="141">
        <f>J115</f>
        <v/>
      </c>
      <c r="F908" s="141">
        <f>K115</f>
        <v/>
      </c>
      <c r="G908" s="138">
        <f>IF(AND($L$241&gt;0,A908=$C$13),$L$241*($C$15+$C$18),0)+IF(AND($L$241&gt;0,A908=$C$13),$C$24,0)</f>
        <v/>
      </c>
      <c r="H908" s="138">
        <f>IF(OR($L$241&lt;=0,A908&lt;$C$13),0,IF(AND($L$241&gt;0,$C$17&gt;0,A908&gt;=$C$13,A908&lt;($C$13+$C$17)),IF($C$17&lt;=0,0,IF($C$16=0,MAX($L$241*(1-$C$15),0)/$C$17,-PMT($C$16/12,$C$17*12,MAX($L$241*(1-$C$15),0))*12)),0)+X908*($C$19+$C$20+$C$21)+$C$22+$C$23)</f>
        <v/>
      </c>
      <c r="I908" s="138">
        <f>IF(B908="Working",MIN(MAX(D908-E908-F908-G908-H908,0),'Tax Assumptions'!$B$20),0)</f>
        <v/>
      </c>
      <c r="J908" s="138">
        <f>IF(B908="Working",D908-E908-F908-I908-G908-H908,-L908)</f>
        <v/>
      </c>
      <c r="K908" s="141">
        <f>IF(B908="Retired",$N$241+G908+H908,0)</f>
        <v/>
      </c>
      <c r="L908" s="141">
        <f>M908+N908+O908+P908</f>
        <v/>
      </c>
      <c r="M908" s="141">
        <f>IF(B908="Retired",MIN(((Q907)*(1+$C$10)+IF(B908="Working",J908,0)),K908),0)</f>
        <v/>
      </c>
      <c r="N908" s="141">
        <f>IF(B908="Retired",MIN(MAX(K908-M908,0),((R907)*(1+$C$10)+IF(B908="Working",E115,0))),0)</f>
        <v/>
      </c>
      <c r="O908" s="141">
        <f>IF(B908="Retired",MIN(MAX(K908-M908-N908,0),((S907)*(1+$C$10)+IF(B908="Working",I908,0))),0)</f>
        <v/>
      </c>
      <c r="P908" s="141">
        <f>IF(B908="Retired",MIN(MAX(K908-M908-N908-O908,0),((T907)*(1+$C$10)+IF(B908="Working",F115,0))),0)</f>
        <v/>
      </c>
      <c r="Q908" s="138">
        <f>MAX(((Q907)*(1+$C$10)+IF(B908="Working",J908,0))-M908,0)</f>
        <v/>
      </c>
      <c r="R908" s="138">
        <f>MAX(((R907)*(1+$C$10)+IF(B908="Working",E115,0))-N908,0)</f>
        <v/>
      </c>
      <c r="S908" s="138">
        <f>MAX(((S907)*(1+$C$10)+IF(B908="Working",I908,0))-O908,0)</f>
        <v/>
      </c>
      <c r="T908" s="138">
        <f>MAX(((T907)*(1+$C$10)+IF(B908="Working",F115,0))-P908,0)</f>
        <v/>
      </c>
      <c r="U908" s="138">
        <f>Q908+R908+S908+T908</f>
        <v/>
      </c>
      <c r="V908" s="138">
        <f>IF(B908="Working",MAX(-(((Q907)*(1+$C$10)+IF(B908="Working",J908,0))),0),MAX(K908-L908,0))</f>
        <v/>
      </c>
      <c r="W908" s="138">
        <f>IF(OR(A908&gt;=$C$13,B908="Retired"),IF(V908&gt;0,-V908,U908-'Model Inputs'!$B$18),"")</f>
        <v/>
      </c>
      <c r="X908" s="138">
        <f>IF(AND($L$241&gt;0,A908&gt;=$C$13),$L$241*(1+$C$25)^(A908-$C$13),0)</f>
        <v/>
      </c>
      <c r="Y908" s="138">
        <f>IF(OR($L$241&lt;=0,$C$17&lt;=0,A908&lt;$C$13,MIN(MAX((A908-$C$13+1)*12,0),$C$17*12)&gt;=$C$17*12),0,IF($C$16=0,MAX(MAX($L$241*(1-$C$15),0)-(IF($C$17&lt;=0,0,IF($C$16=0,MAX($L$241*(1-$C$15),0)/$C$17,-PMT($C$16/12,$C$17*12,MAX($L$241*(1-$C$15),0))*12))/12)*MIN(MAX((A908-$C$13+1)*12,0),$C$17*12),0),MAX(MAX($L$241*(1-$C$15),0)*(1+$C$16/12)^MIN(MAX((A908-$C$13+1)*12,0),$C$17*12)-(IF($C$17&lt;=0,0,IF($C$16=0,MAX($L$241*(1-$C$15),0)/$C$17,-PMT($C$16/12,$C$17*12,MAX($L$241*(1-$C$15),0))*12))/12)*(((1+$C$16/12)^MIN(MAX((A908-$C$13+1)*12,0),$C$17*12)-1)/($C$16/12)),0)))</f>
        <v/>
      </c>
      <c r="Z908" s="138">
        <f>MAX(X908-Y908,0)</f>
        <v/>
      </c>
      <c r="AA908" s="142">
        <f>U908+Z908</f>
        <v/>
      </c>
      <c r="AB908" s="5" t="n"/>
      <c r="AC908" s="5" t="n"/>
      <c r="AD908" s="5" t="n"/>
      <c r="AE908" s="5" t="n"/>
      <c r="AF908" s="5" t="n"/>
      <c r="AG908" s="5" t="n"/>
    </row>
    <row r="909" outlineLevel="1" s="326">
      <c r="A909" s="136" t="n">
        <v>37</v>
      </c>
      <c r="B909" s="72">
        <f>B116</f>
        <v/>
      </c>
      <c r="C909" s="137">
        <f>D116</f>
        <v/>
      </c>
      <c r="D909" s="137">
        <f>I116</f>
        <v/>
      </c>
      <c r="E909" s="137">
        <f>J116</f>
        <v/>
      </c>
      <c r="F909" s="137">
        <f>K116</f>
        <v/>
      </c>
      <c r="G909" s="138">
        <f>IF(AND($L$241&gt;0,A909=$C$13),$L$241*($C$15+$C$18),0)+IF(AND($L$241&gt;0,A909=$C$13),$C$24,0)</f>
        <v/>
      </c>
      <c r="H909" s="138">
        <f>IF(OR($L$241&lt;=0,A909&lt;$C$13),0,IF(AND($L$241&gt;0,$C$17&gt;0,A909&gt;=$C$13,A909&lt;($C$13+$C$17)),IF($C$17&lt;=0,0,IF($C$16=0,MAX($L$241*(1-$C$15),0)/$C$17,-PMT($C$16/12,$C$17*12,MAX($L$241*(1-$C$15),0))*12)),0)+X909*($C$19+$C$20+$C$21)+$C$22+$C$23)</f>
        <v/>
      </c>
      <c r="I909" s="138">
        <f>IF(B909="Working",MIN(MAX(D909-E909-F909-G909-H909,0),'Tax Assumptions'!$B$20),0)</f>
        <v/>
      </c>
      <c r="J909" s="138">
        <f>IF(B909="Working",D909-E909-F909-I909-G909-H909,-L909)</f>
        <v/>
      </c>
      <c r="K909" s="137">
        <f>IF(B909="Retired",$N$241+G909+H909,0)</f>
        <v/>
      </c>
      <c r="L909" s="137">
        <f>M909+N909+O909+P909</f>
        <v/>
      </c>
      <c r="M909" s="137">
        <f>IF(B909="Retired",MIN(((Q908)*(1+$C$10)+IF(B909="Working",J909,0)),K909),0)</f>
        <v/>
      </c>
      <c r="N909" s="137">
        <f>IF(B909="Retired",MIN(MAX(K909-M909,0),((R908)*(1+$C$10)+IF(B909="Working",E116,0))),0)</f>
        <v/>
      </c>
      <c r="O909" s="137">
        <f>IF(B909="Retired",MIN(MAX(K909-M909-N909,0),((S908)*(1+$C$10)+IF(B909="Working",I909,0))),0)</f>
        <v/>
      </c>
      <c r="P909" s="137">
        <f>IF(B909="Retired",MIN(MAX(K909-M909-N909-O909,0),((T908)*(1+$C$10)+IF(B909="Working",F116,0))),0)</f>
        <v/>
      </c>
      <c r="Q909" s="138">
        <f>MAX(((Q908)*(1+$C$10)+IF(B909="Working",J909,0))-M909,0)</f>
        <v/>
      </c>
      <c r="R909" s="138">
        <f>MAX(((R908)*(1+$C$10)+IF(B909="Working",E116,0))-N909,0)</f>
        <v/>
      </c>
      <c r="S909" s="138">
        <f>MAX(((S908)*(1+$C$10)+IF(B909="Working",I909,0))-O909,0)</f>
        <v/>
      </c>
      <c r="T909" s="138">
        <f>MAX(((T908)*(1+$C$10)+IF(B909="Working",F116,0))-P909,0)</f>
        <v/>
      </c>
      <c r="U909" s="138">
        <f>Q909+R909+S909+T909</f>
        <v/>
      </c>
      <c r="V909" s="138">
        <f>IF(B909="Working",MAX(-(((Q908)*(1+$C$10)+IF(B909="Working",J909,0))),0),MAX(K909-L909,0))</f>
        <v/>
      </c>
      <c r="W909" s="138">
        <f>IF(OR(A909&gt;=$C$13,B909="Retired"),IF(V909&gt;0,-V909,U909-'Model Inputs'!$B$18),"")</f>
        <v/>
      </c>
      <c r="X909" s="138">
        <f>IF(AND($L$241&gt;0,A909&gt;=$C$13),$L$241*(1+$C$25)^(A909-$C$13),0)</f>
        <v/>
      </c>
      <c r="Y909" s="138">
        <f>IF(OR($L$241&lt;=0,$C$17&lt;=0,A909&lt;$C$13,MIN(MAX((A909-$C$13+1)*12,0),$C$17*12)&gt;=$C$17*12),0,IF($C$16=0,MAX(MAX($L$241*(1-$C$15),0)-(IF($C$17&lt;=0,0,IF($C$16=0,MAX($L$241*(1-$C$15),0)/$C$17,-PMT($C$16/12,$C$17*12,MAX($L$241*(1-$C$15),0))*12))/12)*MIN(MAX((A909-$C$13+1)*12,0),$C$17*12),0),MAX(MAX($L$241*(1-$C$15),0)*(1+$C$16/12)^MIN(MAX((A909-$C$13+1)*12,0),$C$17*12)-(IF($C$17&lt;=0,0,IF($C$16=0,MAX($L$241*(1-$C$15),0)/$C$17,-PMT($C$16/12,$C$17*12,MAX($L$241*(1-$C$15),0))*12))/12)*(((1+$C$16/12)^MIN(MAX((A909-$C$13+1)*12,0),$C$17*12)-1)/($C$16/12)),0)))</f>
        <v/>
      </c>
      <c r="Z909" s="138">
        <f>MAX(X909-Y909,0)</f>
        <v/>
      </c>
      <c r="AA909" s="139">
        <f>U909+Z909</f>
        <v/>
      </c>
      <c r="AB909" s="5" t="n"/>
      <c r="AC909" s="5" t="n"/>
      <c r="AD909" s="5" t="n"/>
      <c r="AE909" s="5" t="n"/>
      <c r="AF909" s="5" t="n"/>
      <c r="AG909" s="5" t="n"/>
    </row>
    <row r="910" outlineLevel="1" s="326">
      <c r="A910" s="140" t="n">
        <v>38</v>
      </c>
      <c r="B910" s="40">
        <f>B117</f>
        <v/>
      </c>
      <c r="C910" s="141">
        <f>D117</f>
        <v/>
      </c>
      <c r="D910" s="141">
        <f>I117</f>
        <v/>
      </c>
      <c r="E910" s="141">
        <f>J117</f>
        <v/>
      </c>
      <c r="F910" s="141">
        <f>K117</f>
        <v/>
      </c>
      <c r="G910" s="138">
        <f>IF(AND($L$241&gt;0,A910=$C$13),$L$241*($C$15+$C$18),0)+IF(AND($L$241&gt;0,A910=$C$13),$C$24,0)</f>
        <v/>
      </c>
      <c r="H910" s="138">
        <f>IF(OR($L$241&lt;=0,A910&lt;$C$13),0,IF(AND($L$241&gt;0,$C$17&gt;0,A910&gt;=$C$13,A910&lt;($C$13+$C$17)),IF($C$17&lt;=0,0,IF($C$16=0,MAX($L$241*(1-$C$15),0)/$C$17,-PMT($C$16/12,$C$17*12,MAX($L$241*(1-$C$15),0))*12)),0)+X910*($C$19+$C$20+$C$21)+$C$22+$C$23)</f>
        <v/>
      </c>
      <c r="I910" s="138">
        <f>IF(B910="Working",MIN(MAX(D910-E910-F910-G910-H910,0),'Tax Assumptions'!$B$20),0)</f>
        <v/>
      </c>
      <c r="J910" s="138">
        <f>IF(B910="Working",D910-E910-F910-I910-G910-H910,-L910)</f>
        <v/>
      </c>
      <c r="K910" s="141">
        <f>IF(B910="Retired",$N$241+G910+H910,0)</f>
        <v/>
      </c>
      <c r="L910" s="141">
        <f>M910+N910+O910+P910</f>
        <v/>
      </c>
      <c r="M910" s="141">
        <f>IF(B910="Retired",MIN(((Q909)*(1+$C$10)+IF(B910="Working",J910,0)),K910),0)</f>
        <v/>
      </c>
      <c r="N910" s="141">
        <f>IF(B910="Retired",MIN(MAX(K910-M910,0),((R909)*(1+$C$10)+IF(B910="Working",E117,0))),0)</f>
        <v/>
      </c>
      <c r="O910" s="141">
        <f>IF(B910="Retired",MIN(MAX(K910-M910-N910,0),((S909)*(1+$C$10)+IF(B910="Working",I910,0))),0)</f>
        <v/>
      </c>
      <c r="P910" s="141">
        <f>IF(B910="Retired",MIN(MAX(K910-M910-N910-O910,0),((T909)*(1+$C$10)+IF(B910="Working",F117,0))),0)</f>
        <v/>
      </c>
      <c r="Q910" s="138">
        <f>MAX(((Q909)*(1+$C$10)+IF(B910="Working",J910,0))-M910,0)</f>
        <v/>
      </c>
      <c r="R910" s="138">
        <f>MAX(((R909)*(1+$C$10)+IF(B910="Working",E117,0))-N910,0)</f>
        <v/>
      </c>
      <c r="S910" s="138">
        <f>MAX(((S909)*(1+$C$10)+IF(B910="Working",I910,0))-O910,0)</f>
        <v/>
      </c>
      <c r="T910" s="138">
        <f>MAX(((T909)*(1+$C$10)+IF(B910="Working",F117,0))-P910,0)</f>
        <v/>
      </c>
      <c r="U910" s="138">
        <f>Q910+R910+S910+T910</f>
        <v/>
      </c>
      <c r="V910" s="138">
        <f>IF(B910="Working",MAX(-(((Q909)*(1+$C$10)+IF(B910="Working",J910,0))),0),MAX(K910-L910,0))</f>
        <v/>
      </c>
      <c r="W910" s="138">
        <f>IF(OR(A910&gt;=$C$13,B910="Retired"),IF(V910&gt;0,-V910,U910-'Model Inputs'!$B$18),"")</f>
        <v/>
      </c>
      <c r="X910" s="138">
        <f>IF(AND($L$241&gt;0,A910&gt;=$C$13),$L$241*(1+$C$25)^(A910-$C$13),0)</f>
        <v/>
      </c>
      <c r="Y910" s="138">
        <f>IF(OR($L$241&lt;=0,$C$17&lt;=0,A910&lt;$C$13,MIN(MAX((A910-$C$13+1)*12,0),$C$17*12)&gt;=$C$17*12),0,IF($C$16=0,MAX(MAX($L$241*(1-$C$15),0)-(IF($C$17&lt;=0,0,IF($C$16=0,MAX($L$241*(1-$C$15),0)/$C$17,-PMT($C$16/12,$C$17*12,MAX($L$241*(1-$C$15),0))*12))/12)*MIN(MAX((A910-$C$13+1)*12,0),$C$17*12),0),MAX(MAX($L$241*(1-$C$15),0)*(1+$C$16/12)^MIN(MAX((A910-$C$13+1)*12,0),$C$17*12)-(IF($C$17&lt;=0,0,IF($C$16=0,MAX($L$241*(1-$C$15),0)/$C$17,-PMT($C$16/12,$C$17*12,MAX($L$241*(1-$C$15),0))*12))/12)*(((1+$C$16/12)^MIN(MAX((A910-$C$13+1)*12,0),$C$17*12)-1)/($C$16/12)),0)))</f>
        <v/>
      </c>
      <c r="Z910" s="138">
        <f>MAX(X910-Y910,0)</f>
        <v/>
      </c>
      <c r="AA910" s="142">
        <f>U910+Z910</f>
        <v/>
      </c>
      <c r="AB910" s="5" t="n"/>
      <c r="AC910" s="5" t="n"/>
      <c r="AD910" s="5" t="n"/>
      <c r="AE910" s="5" t="n"/>
      <c r="AF910" s="5" t="n"/>
      <c r="AG910" s="5" t="n"/>
    </row>
    <row r="911" outlineLevel="1" s="326">
      <c r="A911" s="136" t="n">
        <v>39</v>
      </c>
      <c r="B911" s="72">
        <f>B118</f>
        <v/>
      </c>
      <c r="C911" s="137">
        <f>D118</f>
        <v/>
      </c>
      <c r="D911" s="137">
        <f>I118</f>
        <v/>
      </c>
      <c r="E911" s="137">
        <f>J118</f>
        <v/>
      </c>
      <c r="F911" s="137">
        <f>K118</f>
        <v/>
      </c>
      <c r="G911" s="138">
        <f>IF(AND($L$241&gt;0,A911=$C$13),$L$241*($C$15+$C$18),0)+IF(AND($L$241&gt;0,A911=$C$13),$C$24,0)</f>
        <v/>
      </c>
      <c r="H911" s="138">
        <f>IF(OR($L$241&lt;=0,A911&lt;$C$13),0,IF(AND($L$241&gt;0,$C$17&gt;0,A911&gt;=$C$13,A911&lt;($C$13+$C$17)),IF($C$17&lt;=0,0,IF($C$16=0,MAX($L$241*(1-$C$15),0)/$C$17,-PMT($C$16/12,$C$17*12,MAX($L$241*(1-$C$15),0))*12)),0)+X911*($C$19+$C$20+$C$21)+$C$22+$C$23)</f>
        <v/>
      </c>
      <c r="I911" s="138">
        <f>IF(B911="Working",MIN(MAX(D911-E911-F911-G911-H911,0),'Tax Assumptions'!$B$20),0)</f>
        <v/>
      </c>
      <c r="J911" s="138">
        <f>IF(B911="Working",D911-E911-F911-I911-G911-H911,-L911)</f>
        <v/>
      </c>
      <c r="K911" s="137">
        <f>IF(B911="Retired",$N$241+G911+H911,0)</f>
        <v/>
      </c>
      <c r="L911" s="137">
        <f>M911+N911+O911+P911</f>
        <v/>
      </c>
      <c r="M911" s="137">
        <f>IF(B911="Retired",MIN(((Q910)*(1+$C$10)+IF(B911="Working",J911,0)),K911),0)</f>
        <v/>
      </c>
      <c r="N911" s="137">
        <f>IF(B911="Retired",MIN(MAX(K911-M911,0),((R910)*(1+$C$10)+IF(B911="Working",E118,0))),0)</f>
        <v/>
      </c>
      <c r="O911" s="137">
        <f>IF(B911="Retired",MIN(MAX(K911-M911-N911,0),((S910)*(1+$C$10)+IF(B911="Working",I911,0))),0)</f>
        <v/>
      </c>
      <c r="P911" s="137">
        <f>IF(B911="Retired",MIN(MAX(K911-M911-N911-O911,0),((T910)*(1+$C$10)+IF(B911="Working",F118,0))),0)</f>
        <v/>
      </c>
      <c r="Q911" s="138">
        <f>MAX(((Q910)*(1+$C$10)+IF(B911="Working",J911,0))-M911,0)</f>
        <v/>
      </c>
      <c r="R911" s="138">
        <f>MAX(((R910)*(1+$C$10)+IF(B911="Working",E118,0))-N911,0)</f>
        <v/>
      </c>
      <c r="S911" s="138">
        <f>MAX(((S910)*(1+$C$10)+IF(B911="Working",I911,0))-O911,0)</f>
        <v/>
      </c>
      <c r="T911" s="138">
        <f>MAX(((T910)*(1+$C$10)+IF(B911="Working",F118,0))-P911,0)</f>
        <v/>
      </c>
      <c r="U911" s="138">
        <f>Q911+R911+S911+T911</f>
        <v/>
      </c>
      <c r="V911" s="138">
        <f>IF(B911="Working",MAX(-(((Q910)*(1+$C$10)+IF(B911="Working",J911,0))),0),MAX(K911-L911,0))</f>
        <v/>
      </c>
      <c r="W911" s="138">
        <f>IF(OR(A911&gt;=$C$13,B911="Retired"),IF(V911&gt;0,-V911,U911-'Model Inputs'!$B$18),"")</f>
        <v/>
      </c>
      <c r="X911" s="138">
        <f>IF(AND($L$241&gt;0,A911&gt;=$C$13),$L$241*(1+$C$25)^(A911-$C$13),0)</f>
        <v/>
      </c>
      <c r="Y911" s="138">
        <f>IF(OR($L$241&lt;=0,$C$17&lt;=0,A911&lt;$C$13,MIN(MAX((A911-$C$13+1)*12,0),$C$17*12)&gt;=$C$17*12),0,IF($C$16=0,MAX(MAX($L$241*(1-$C$15),0)-(IF($C$17&lt;=0,0,IF($C$16=0,MAX($L$241*(1-$C$15),0)/$C$17,-PMT($C$16/12,$C$17*12,MAX($L$241*(1-$C$15),0))*12))/12)*MIN(MAX((A911-$C$13+1)*12,0),$C$17*12),0),MAX(MAX($L$241*(1-$C$15),0)*(1+$C$16/12)^MIN(MAX((A911-$C$13+1)*12,0),$C$17*12)-(IF($C$17&lt;=0,0,IF($C$16=0,MAX($L$241*(1-$C$15),0)/$C$17,-PMT($C$16/12,$C$17*12,MAX($L$241*(1-$C$15),0))*12))/12)*(((1+$C$16/12)^MIN(MAX((A911-$C$13+1)*12,0),$C$17*12)-1)/($C$16/12)),0)))</f>
        <v/>
      </c>
      <c r="Z911" s="138">
        <f>MAX(X911-Y911,0)</f>
        <v/>
      </c>
      <c r="AA911" s="139">
        <f>U911+Z911</f>
        <v/>
      </c>
      <c r="AB911" s="5" t="n"/>
      <c r="AC911" s="5" t="n"/>
      <c r="AD911" s="5" t="n"/>
      <c r="AE911" s="5" t="n"/>
      <c r="AF911" s="5" t="n"/>
      <c r="AG911" s="5" t="n"/>
    </row>
    <row r="912" outlineLevel="1" s="326">
      <c r="A912" s="140" t="n">
        <v>40</v>
      </c>
      <c r="B912" s="40">
        <f>B119</f>
        <v/>
      </c>
      <c r="C912" s="141">
        <f>D119</f>
        <v/>
      </c>
      <c r="D912" s="141">
        <f>I119</f>
        <v/>
      </c>
      <c r="E912" s="141">
        <f>J119</f>
        <v/>
      </c>
      <c r="F912" s="141">
        <f>K119</f>
        <v/>
      </c>
      <c r="G912" s="138">
        <f>IF(AND($L$241&gt;0,A912=$C$13),$L$241*($C$15+$C$18),0)+IF(AND($L$241&gt;0,A912=$C$13),$C$24,0)</f>
        <v/>
      </c>
      <c r="H912" s="138">
        <f>IF(OR($L$241&lt;=0,A912&lt;$C$13),0,IF(AND($L$241&gt;0,$C$17&gt;0,A912&gt;=$C$13,A912&lt;($C$13+$C$17)),IF($C$17&lt;=0,0,IF($C$16=0,MAX($L$241*(1-$C$15),0)/$C$17,-PMT($C$16/12,$C$17*12,MAX($L$241*(1-$C$15),0))*12)),0)+X912*($C$19+$C$20+$C$21)+$C$22+$C$23)</f>
        <v/>
      </c>
      <c r="I912" s="138">
        <f>IF(B912="Working",MIN(MAX(D912-E912-F912-G912-H912,0),'Tax Assumptions'!$B$20),0)</f>
        <v/>
      </c>
      <c r="J912" s="138">
        <f>IF(B912="Working",D912-E912-F912-I912-G912-H912,-L912)</f>
        <v/>
      </c>
      <c r="K912" s="141">
        <f>IF(B912="Retired",$N$241+G912+H912,0)</f>
        <v/>
      </c>
      <c r="L912" s="141">
        <f>M912+N912+O912+P912</f>
        <v/>
      </c>
      <c r="M912" s="141">
        <f>IF(B912="Retired",MIN(((Q911)*(1+$C$10)+IF(B912="Working",J912,0)),K912),0)</f>
        <v/>
      </c>
      <c r="N912" s="141">
        <f>IF(B912="Retired",MIN(MAX(K912-M912,0),((R911)*(1+$C$10)+IF(B912="Working",E119,0))),0)</f>
        <v/>
      </c>
      <c r="O912" s="141">
        <f>IF(B912="Retired",MIN(MAX(K912-M912-N912,0),((S911)*(1+$C$10)+IF(B912="Working",I912,0))),0)</f>
        <v/>
      </c>
      <c r="P912" s="141">
        <f>IF(B912="Retired",MIN(MAX(K912-M912-N912-O912,0),((T911)*(1+$C$10)+IF(B912="Working",F119,0))),0)</f>
        <v/>
      </c>
      <c r="Q912" s="138">
        <f>MAX(((Q911)*(1+$C$10)+IF(B912="Working",J912,0))-M912,0)</f>
        <v/>
      </c>
      <c r="R912" s="138">
        <f>MAX(((R911)*(1+$C$10)+IF(B912="Working",E119,0))-N912,0)</f>
        <v/>
      </c>
      <c r="S912" s="138">
        <f>MAX(((S911)*(1+$C$10)+IF(B912="Working",I912,0))-O912,0)</f>
        <v/>
      </c>
      <c r="T912" s="138">
        <f>MAX(((T911)*(1+$C$10)+IF(B912="Working",F119,0))-P912,0)</f>
        <v/>
      </c>
      <c r="U912" s="138">
        <f>Q912+R912+S912+T912</f>
        <v/>
      </c>
      <c r="V912" s="138">
        <f>IF(B912="Working",MAX(-(((Q911)*(1+$C$10)+IF(B912="Working",J912,0))),0),MAX(K912-L912,0))</f>
        <v/>
      </c>
      <c r="W912" s="138">
        <f>IF(OR(A912&gt;=$C$13,B912="Retired"),IF(V912&gt;0,-V912,U912-'Model Inputs'!$B$18),"")</f>
        <v/>
      </c>
      <c r="X912" s="138">
        <f>IF(AND($L$241&gt;0,A912&gt;=$C$13),$L$241*(1+$C$25)^(A912-$C$13),0)</f>
        <v/>
      </c>
      <c r="Y912" s="138">
        <f>IF(OR($L$241&lt;=0,$C$17&lt;=0,A912&lt;$C$13,MIN(MAX((A912-$C$13+1)*12,0),$C$17*12)&gt;=$C$17*12),0,IF($C$16=0,MAX(MAX($L$241*(1-$C$15),0)-(IF($C$17&lt;=0,0,IF($C$16=0,MAX($L$241*(1-$C$15),0)/$C$17,-PMT($C$16/12,$C$17*12,MAX($L$241*(1-$C$15),0))*12))/12)*MIN(MAX((A912-$C$13+1)*12,0),$C$17*12),0),MAX(MAX($L$241*(1-$C$15),0)*(1+$C$16/12)^MIN(MAX((A912-$C$13+1)*12,0),$C$17*12)-(IF($C$17&lt;=0,0,IF($C$16=0,MAX($L$241*(1-$C$15),0)/$C$17,-PMT($C$16/12,$C$17*12,MAX($L$241*(1-$C$15),0))*12))/12)*(((1+$C$16/12)^MIN(MAX((A912-$C$13+1)*12,0),$C$17*12)-1)/($C$16/12)),0)))</f>
        <v/>
      </c>
      <c r="Z912" s="138">
        <f>MAX(X912-Y912,0)</f>
        <v/>
      </c>
      <c r="AA912" s="142">
        <f>U912+Z912</f>
        <v/>
      </c>
      <c r="AB912" s="5" t="n"/>
      <c r="AC912" s="5" t="n"/>
      <c r="AD912" s="5" t="n"/>
      <c r="AE912" s="5" t="n"/>
      <c r="AF912" s="5" t="n"/>
      <c r="AG912" s="5" t="n"/>
    </row>
    <row r="913" outlineLevel="1" s="326">
      <c r="A913" s="143" t="inlineStr">
        <is>
          <t>Case Summary</t>
        </is>
      </c>
      <c r="B913" s="144" t="n"/>
      <c r="C913" s="144" t="n"/>
      <c r="D913" s="144" t="n"/>
      <c r="E913" s="144" t="n"/>
      <c r="F913" s="144" t="n"/>
      <c r="G913" s="145">
        <f>SUM(G873:G912)</f>
        <v/>
      </c>
      <c r="H913" s="145">
        <f>SUM(H873:H912)</f>
        <v/>
      </c>
      <c r="I913" s="145">
        <f>SUM(I873:I912)</f>
        <v/>
      </c>
      <c r="J913" s="145">
        <f>SUM(J873:J912)</f>
        <v/>
      </c>
      <c r="K913" s="145">
        <f>SUM(K873:K912)</f>
        <v/>
      </c>
      <c r="L913" s="145">
        <f>SUM(L873:L912)</f>
        <v/>
      </c>
      <c r="M913" s="145">
        <f>SUM(M873:M912)</f>
        <v/>
      </c>
      <c r="N913" s="145">
        <f>SUM(N873:N912)</f>
        <v/>
      </c>
      <c r="O913" s="145">
        <f>SUM(O873:O912)</f>
        <v/>
      </c>
      <c r="P913" s="145">
        <f>SUM(P873:P912)</f>
        <v/>
      </c>
      <c r="Q913" s="145">
        <f>Q912</f>
        <v/>
      </c>
      <c r="R913" s="145">
        <f>R912</f>
        <v/>
      </c>
      <c r="S913" s="145">
        <f>S912</f>
        <v/>
      </c>
      <c r="T913" s="145">
        <f>T912</f>
        <v/>
      </c>
      <c r="U913" s="145">
        <f>U912</f>
        <v/>
      </c>
      <c r="V913" s="145">
        <f>SUM(V873:V912)</f>
        <v/>
      </c>
      <c r="W913" s="145">
        <f>MIN(W873:W912)</f>
        <v/>
      </c>
      <c r="X913" s="145">
        <f>X912</f>
        <v/>
      </c>
      <c r="Y913" s="145">
        <f>Y912</f>
        <v/>
      </c>
      <c r="Z913" s="145">
        <f>Z912</f>
        <v/>
      </c>
      <c r="AA913" s="146">
        <f>AA912</f>
        <v/>
      </c>
      <c r="AB913" s="5" t="n"/>
      <c r="AC913" s="5" t="n"/>
      <c r="AD913" s="5" t="n"/>
      <c r="AE913" s="5" t="n"/>
      <c r="AF913" s="5" t="n"/>
      <c r="AG913" s="5" t="n"/>
    </row>
    <row r="914" outlineLevel="1" s="326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</row>
    <row r="915" outlineLevel="1" s="326">
      <c r="A915" s="387">
        <f>J242&amp;" | House "&amp;TEXT($L$242,"$#,##0")&amp;" | Spend "&amp;TEXT($N$242,"$#,##0")</f>
        <v/>
      </c>
      <c r="B915" s="345" t="n"/>
      <c r="C915" s="345" t="n"/>
      <c r="D915" s="345" t="n"/>
      <c r="E915" s="345" t="n"/>
      <c r="F915" s="345" t="n"/>
      <c r="G915" s="345" t="n"/>
      <c r="H915" s="345" t="n"/>
      <c r="I915" s="345" t="n"/>
      <c r="J915" s="345" t="n"/>
      <c r="K915" s="345" t="n"/>
      <c r="L915" s="345" t="n"/>
      <c r="M915" s="345" t="n"/>
      <c r="N915" s="345" t="n"/>
      <c r="O915" s="345" t="n"/>
      <c r="P915" s="345" t="n"/>
      <c r="Q915" s="345" t="n"/>
      <c r="R915" s="345" t="n"/>
      <c r="S915" s="345" t="n"/>
      <c r="T915" s="345" t="n"/>
      <c r="U915" s="345" t="n"/>
      <c r="V915" s="345" t="n"/>
      <c r="W915" s="345" t="n"/>
      <c r="X915" s="345" t="n"/>
      <c r="Y915" s="345" t="n"/>
      <c r="Z915" s="345" t="n"/>
      <c r="AA915" s="346" t="n"/>
      <c r="AB915" s="5" t="n"/>
      <c r="AC915" s="5" t="n"/>
      <c r="AD915" s="5" t="n"/>
      <c r="AE915" s="5" t="n"/>
      <c r="AF915" s="5" t="n"/>
      <c r="AG915" s="5" t="n"/>
    </row>
    <row r="916" outlineLevel="1" ht="34" customHeight="1" s="326">
      <c r="A916" s="134" t="inlineStr">
        <is>
          <t>Year</t>
        </is>
      </c>
      <c r="B916" s="83" t="inlineStr">
        <is>
          <t>Phase</t>
        </is>
      </c>
      <c r="C916" s="83" t="inlineStr">
        <is>
          <t>Gross</t>
        </is>
      </c>
      <c r="D916" s="83" t="inlineStr">
        <is>
          <t>Post-Tax Cash</t>
        </is>
      </c>
      <c r="E916" s="83" t="inlineStr">
        <is>
          <t>Rent</t>
        </is>
      </c>
      <c r="F916" s="83" t="inlineStr">
        <is>
          <t>Living</t>
        </is>
      </c>
      <c r="G916" s="83" t="inlineStr">
        <is>
          <t>House Cash</t>
        </is>
      </c>
      <c r="H916" s="83" t="inlineStr">
        <is>
          <t>Housing Carry</t>
        </is>
      </c>
      <c r="I916" s="83" t="inlineStr">
        <is>
          <t>Roth</t>
        </is>
      </c>
      <c r="J916" s="83" t="inlineStr">
        <is>
          <t>Taxable Sav / (Draw)</t>
        </is>
      </c>
      <c r="K916" s="83" t="inlineStr">
        <is>
          <t>Planned Need</t>
        </is>
      </c>
      <c r="L916" s="83" t="inlineStr">
        <is>
          <t>Actual W/D</t>
        </is>
      </c>
      <c r="M916" s="83" t="inlineStr">
        <is>
          <t>Taxable Draw</t>
        </is>
      </c>
      <c r="N916" s="83" t="inlineStr">
        <is>
          <t>401(k) Draw</t>
        </is>
      </c>
      <c r="O916" s="83" t="inlineStr">
        <is>
          <t>Roth Draw</t>
        </is>
      </c>
      <c r="P916" s="83" t="inlineStr">
        <is>
          <t>HSA Draw</t>
        </is>
      </c>
      <c r="Q916" s="83" t="inlineStr">
        <is>
          <t>Taxable Bal</t>
        </is>
      </c>
      <c r="R916" s="83" t="inlineStr">
        <is>
          <t>401(k) Bal</t>
        </is>
      </c>
      <c r="S916" s="83" t="inlineStr">
        <is>
          <t>Roth Bal</t>
        </is>
      </c>
      <c r="T916" s="83" t="inlineStr">
        <is>
          <t>HSA Bal</t>
        </is>
      </c>
      <c r="U916" s="83" t="inlineStr">
        <is>
          <t>Liquid Wealth</t>
        </is>
      </c>
      <c r="V916" s="83" t="inlineStr">
        <is>
          <t>Funding Gap</t>
        </is>
      </c>
      <c r="W916" s="83" t="inlineStr">
        <is>
          <t>Margin vs Reserve</t>
        </is>
      </c>
      <c r="X916" s="83" t="inlineStr">
        <is>
          <t>House Value</t>
        </is>
      </c>
      <c r="Y916" s="83" t="inlineStr">
        <is>
          <t>Mortgage Balance</t>
        </is>
      </c>
      <c r="Z916" s="83" t="inlineStr">
        <is>
          <t>Home Equity</t>
        </is>
      </c>
      <c r="AA916" s="135" t="inlineStr">
        <is>
          <t>Net Worth</t>
        </is>
      </c>
      <c r="AB916" s="5" t="n"/>
      <c r="AC916" s="5" t="n"/>
      <c r="AD916" s="5" t="n"/>
      <c r="AE916" s="5" t="n"/>
      <c r="AF916" s="5" t="n"/>
      <c r="AG916" s="5" t="n"/>
    </row>
    <row r="917" outlineLevel="1" s="326">
      <c r="A917" s="136" t="n">
        <v>1</v>
      </c>
      <c r="B917" s="72">
        <f>B80</f>
        <v/>
      </c>
      <c r="C917" s="137">
        <f>D80</f>
        <v/>
      </c>
      <c r="D917" s="137">
        <f>I80</f>
        <v/>
      </c>
      <c r="E917" s="137">
        <f>J80</f>
        <v/>
      </c>
      <c r="F917" s="137">
        <f>K80</f>
        <v/>
      </c>
      <c r="G917" s="138">
        <f>IF(AND($L$242&gt;0,A917=$C$13),$L$242*($C$15+$C$18),0)+IF(AND($L$242&gt;0,A917=$C$13),$C$24,0)</f>
        <v/>
      </c>
      <c r="H917" s="138">
        <f>IF(OR($L$242&lt;=0,A917&lt;$C$13),0,IF(AND($L$242&gt;0,$C$17&gt;0,A917&gt;=$C$13,A917&lt;($C$13+$C$17)),IF($C$17&lt;=0,0,IF($C$16=0,MAX($L$242*(1-$C$15),0)/$C$17,-PMT($C$16/12,$C$17*12,MAX($L$242*(1-$C$15),0))*12)),0)+X917*($C$19+$C$20+$C$21)+$C$22+$C$23)</f>
        <v/>
      </c>
      <c r="I917" s="138">
        <f>IF(B917="Working",MIN(MAX(D917-E917-F917-G917-H917,0),'Tax Assumptions'!$B$20),0)</f>
        <v/>
      </c>
      <c r="J917" s="138">
        <f>IF(B917="Working",D917-E917-F917-I917-G917-H917,-L917)</f>
        <v/>
      </c>
      <c r="K917" s="137">
        <f>IF(B917="Retired",$N$242+G917+H917,0)</f>
        <v/>
      </c>
      <c r="L917" s="137">
        <f>M917+N917+O917+P917</f>
        <v/>
      </c>
      <c r="M917" s="137">
        <f>IF(B917="Retired",MIN((('Savings Projection'!$B$7)*(1+$C$10)+IF(B917="Working",J917,0)),K917),0)</f>
        <v/>
      </c>
      <c r="N917" s="137">
        <f>IF(B917="Retired",MIN(MAX(K917-M917,0),(('Savings Projection'!$B$8)*(1+$C$10)+IF(B917="Working",E80,0))),0)</f>
        <v/>
      </c>
      <c r="O917" s="137">
        <f>IF(B917="Retired",MIN(MAX(K917-M917-N917,0),(('Savings Projection'!$B$9)*(1+$C$10)+IF(B917="Working",I917,0))),0)</f>
        <v/>
      </c>
      <c r="P917" s="137">
        <f>IF(B917="Retired",MIN(MAX(K917-M917-N917-O917,0),(('Savings Projection'!$B$10)*(1+$C$10)+IF(B917="Working",F80,0))),0)</f>
        <v/>
      </c>
      <c r="Q917" s="138">
        <f>MAX((('Savings Projection'!$B$7)*(1+$C$10)+IF(B917="Working",J917,0))-M917,0)</f>
        <v/>
      </c>
      <c r="R917" s="138">
        <f>MAX((('Savings Projection'!$B$8)*(1+$C$10)+IF(B917="Working",E80,0))-N917,0)</f>
        <v/>
      </c>
      <c r="S917" s="138">
        <f>MAX((('Savings Projection'!$B$9)*(1+$C$10)+IF(B917="Working",I917,0))-O917,0)</f>
        <v/>
      </c>
      <c r="T917" s="138">
        <f>MAX((('Savings Projection'!$B$10)*(1+$C$10)+IF(B917="Working",F80,0))-P917,0)</f>
        <v/>
      </c>
      <c r="U917" s="138">
        <f>Q917+R917+S917+T917</f>
        <v/>
      </c>
      <c r="V917" s="138">
        <f>IF(B917="Working",MAX(-((('Savings Projection'!$B$7)*(1+$C$10)+IF(B917="Working",J917,0))),0),MAX(K917-L917,0))</f>
        <v/>
      </c>
      <c r="W917" s="138">
        <f>IF(OR(A917&gt;=$C$13,B917="Retired"),IF(V917&gt;0,-V917,U917-'Model Inputs'!$B$18),"")</f>
        <v/>
      </c>
      <c r="X917" s="138">
        <f>IF(AND($L$242&gt;0,A917&gt;=$C$13),$L$242*(1+$C$25)^(A917-$C$13),0)</f>
        <v/>
      </c>
      <c r="Y917" s="138">
        <f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/>
      </c>
      <c r="Z917" s="138">
        <f>MAX(X917-Y917,0)</f>
        <v/>
      </c>
      <c r="AA917" s="139">
        <f>U917+Z917</f>
        <v/>
      </c>
      <c r="AB917" s="5" t="n"/>
      <c r="AC917" s="5" t="n"/>
      <c r="AD917" s="5" t="n"/>
      <c r="AE917" s="5" t="n"/>
      <c r="AF917" s="5" t="n"/>
      <c r="AG917" s="5" t="n"/>
    </row>
    <row r="918" outlineLevel="1" s="326">
      <c r="A918" s="140" t="n">
        <v>2</v>
      </c>
      <c r="B918" s="40">
        <f>B81</f>
        <v/>
      </c>
      <c r="C918" s="141">
        <f>D81</f>
        <v/>
      </c>
      <c r="D918" s="141">
        <f>I81</f>
        <v/>
      </c>
      <c r="E918" s="141">
        <f>J81</f>
        <v/>
      </c>
      <c r="F918" s="141">
        <f>K81</f>
        <v/>
      </c>
      <c r="G918" s="138">
        <f>IF(AND($L$242&gt;0,A918=$C$13),$L$242*($C$15+$C$18),0)+IF(AND($L$242&gt;0,A918=$C$13),$C$24,0)</f>
        <v/>
      </c>
      <c r="H918" s="138">
        <f>IF(OR($L$242&lt;=0,A918&lt;$C$13),0,IF(AND($L$242&gt;0,$C$17&gt;0,A918&gt;=$C$13,A918&lt;($C$13+$C$17)),IF($C$17&lt;=0,0,IF($C$16=0,MAX($L$242*(1-$C$15),0)/$C$17,-PMT($C$16/12,$C$17*12,MAX($L$242*(1-$C$15),0))*12)),0)+X918*($C$19+$C$20+$C$21)+$C$22+$C$23)</f>
        <v/>
      </c>
      <c r="I918" s="138">
        <f>IF(B918="Working",MIN(MAX(D918-E918-F918-G918-H918,0),'Tax Assumptions'!$B$20),0)</f>
        <v/>
      </c>
      <c r="J918" s="138">
        <f>IF(B918="Working",D918-E918-F918-I918-G918-H918,-L918)</f>
        <v/>
      </c>
      <c r="K918" s="141">
        <f>IF(B918="Retired",$N$242+G918+H918,0)</f>
        <v/>
      </c>
      <c r="L918" s="141">
        <f>M918+N918+O918+P918</f>
        <v/>
      </c>
      <c r="M918" s="141">
        <f>IF(B918="Retired",MIN(((Q917)*(1+$C$10)+IF(B918="Working",J918,0)),K918),0)</f>
        <v/>
      </c>
      <c r="N918" s="141">
        <f>IF(B918="Retired",MIN(MAX(K918-M918,0),((R917)*(1+$C$10)+IF(B918="Working",E81,0))),0)</f>
        <v/>
      </c>
      <c r="O918" s="141">
        <f>IF(B918="Retired",MIN(MAX(K918-M918-N918,0),((S917)*(1+$C$10)+IF(B918="Working",I918,0))),0)</f>
        <v/>
      </c>
      <c r="P918" s="141">
        <f>IF(B918="Retired",MIN(MAX(K918-M918-N918-O918,0),((T917)*(1+$C$10)+IF(B918="Working",F81,0))),0)</f>
        <v/>
      </c>
      <c r="Q918" s="138">
        <f>MAX(((Q917)*(1+$C$10)+IF(B918="Working",J918,0))-M918,0)</f>
        <v/>
      </c>
      <c r="R918" s="138">
        <f>MAX(((R917)*(1+$C$10)+IF(B918="Working",E81,0))-N918,0)</f>
        <v/>
      </c>
      <c r="S918" s="138">
        <f>MAX(((S917)*(1+$C$10)+IF(B918="Working",I918,0))-O918,0)</f>
        <v/>
      </c>
      <c r="T918" s="138">
        <f>MAX(((T917)*(1+$C$10)+IF(B918="Working",F81,0))-P918,0)</f>
        <v/>
      </c>
      <c r="U918" s="138">
        <f>Q918+R918+S918+T918</f>
        <v/>
      </c>
      <c r="V918" s="138">
        <f>IF(B918="Working",MAX(-(((Q917)*(1+$C$10)+IF(B918="Working",J918,0))),0),MAX(K918-L918,0))</f>
        <v/>
      </c>
      <c r="W918" s="138">
        <f>IF(OR(A918&gt;=$C$13,B918="Retired"),IF(V918&gt;0,-V918,U918-'Model Inputs'!$B$18),"")</f>
        <v/>
      </c>
      <c r="X918" s="138">
        <f>IF(AND($L$242&gt;0,A918&gt;=$C$13),$L$242*(1+$C$25)^(A918-$C$13),0)</f>
        <v/>
      </c>
      <c r="Y918" s="138">
        <f>IF(OR($L$242&lt;=0,$C$17&lt;=0,A918&lt;$C$13,MIN(MAX((A918-$C$13+1)*12,0),$C$17*12)&gt;=$C$17*12),0,IF($C$16=0,MAX(MAX($L$242*(1-$C$15),0)-(IF($C$17&lt;=0,0,IF($C$16=0,MAX($L$242*(1-$C$15),0)/$C$17,-PMT($C$16/12,$C$17*12,MAX($L$242*(1-$C$15),0))*12))/12)*MIN(MAX((A918-$C$13+1)*12,0),$C$17*12),0),MAX(MAX($L$242*(1-$C$15),0)*(1+$C$16/12)^MIN(MAX((A918-$C$13+1)*12,0),$C$17*12)-(IF($C$17&lt;=0,0,IF($C$16=0,MAX($L$242*(1-$C$15),0)/$C$17,-PMT($C$16/12,$C$17*12,MAX($L$242*(1-$C$15),0))*12))/12)*(((1+$C$16/12)^MIN(MAX((A918-$C$13+1)*12,0),$C$17*12)-1)/($C$16/12)),0)))</f>
        <v/>
      </c>
      <c r="Z918" s="138">
        <f>MAX(X918-Y918,0)</f>
        <v/>
      </c>
      <c r="AA918" s="142">
        <f>U918+Z918</f>
        <v/>
      </c>
      <c r="AB918" s="5" t="n"/>
      <c r="AC918" s="5" t="n"/>
      <c r="AD918" s="5" t="n"/>
      <c r="AE918" s="5" t="n"/>
      <c r="AF918" s="5" t="n"/>
      <c r="AG918" s="5" t="n"/>
    </row>
    <row r="919" outlineLevel="1" s="326">
      <c r="A919" s="136" t="n">
        <v>3</v>
      </c>
      <c r="B919" s="72">
        <f>B82</f>
        <v/>
      </c>
      <c r="C919" s="137">
        <f>D82</f>
        <v/>
      </c>
      <c r="D919" s="137">
        <f>I82</f>
        <v/>
      </c>
      <c r="E919" s="137">
        <f>J82</f>
        <v/>
      </c>
      <c r="F919" s="137">
        <f>K82</f>
        <v/>
      </c>
      <c r="G919" s="138">
        <f>IF(AND($L$242&gt;0,A919=$C$13),$L$242*($C$15+$C$18),0)+IF(AND($L$242&gt;0,A919=$C$13),$C$24,0)</f>
        <v/>
      </c>
      <c r="H919" s="138">
        <f>IF(OR($L$242&lt;=0,A919&lt;$C$13),0,IF(AND($L$242&gt;0,$C$17&gt;0,A919&gt;=$C$13,A919&lt;($C$13+$C$17)),IF($C$17&lt;=0,0,IF($C$16=0,MAX($L$242*(1-$C$15),0)/$C$17,-PMT($C$16/12,$C$17*12,MAX($L$242*(1-$C$15),0))*12)),0)+X919*($C$19+$C$20+$C$21)+$C$22+$C$23)</f>
        <v/>
      </c>
      <c r="I919" s="138">
        <f>IF(B919="Working",MIN(MAX(D919-E919-F919-G919-H919,0),'Tax Assumptions'!$B$20),0)</f>
        <v/>
      </c>
      <c r="J919" s="138">
        <f>IF(B919="Working",D919-E919-F919-I919-G919-H919,-L919)</f>
        <v/>
      </c>
      <c r="K919" s="137">
        <f>IF(B919="Retired",$N$242+G919+H919,0)</f>
        <v/>
      </c>
      <c r="L919" s="137">
        <f>M919+N919+O919+P919</f>
        <v/>
      </c>
      <c r="M919" s="137">
        <f>IF(B919="Retired",MIN(((Q918)*(1+$C$10)+IF(B919="Working",J919,0)),K919),0)</f>
        <v/>
      </c>
      <c r="N919" s="137">
        <f>IF(B919="Retired",MIN(MAX(K919-M919,0),((R918)*(1+$C$10)+IF(B919="Working",E82,0))),0)</f>
        <v/>
      </c>
      <c r="O919" s="137">
        <f>IF(B919="Retired",MIN(MAX(K919-M919-N919,0),((S918)*(1+$C$10)+IF(B919="Working",I919,0))),0)</f>
        <v/>
      </c>
      <c r="P919" s="137">
        <f>IF(B919="Retired",MIN(MAX(K919-M919-N919-O919,0),((T918)*(1+$C$10)+IF(B919="Working",F82,0))),0)</f>
        <v/>
      </c>
      <c r="Q919" s="138">
        <f>MAX(((Q918)*(1+$C$10)+IF(B919="Working",J919,0))-M919,0)</f>
        <v/>
      </c>
      <c r="R919" s="138">
        <f>MAX(((R918)*(1+$C$10)+IF(B919="Working",E82,0))-N919,0)</f>
        <v/>
      </c>
      <c r="S919" s="138">
        <f>MAX(((S918)*(1+$C$10)+IF(B919="Working",I919,0))-O919,0)</f>
        <v/>
      </c>
      <c r="T919" s="138">
        <f>MAX(((T918)*(1+$C$10)+IF(B919="Working",F82,0))-P919,0)</f>
        <v/>
      </c>
      <c r="U919" s="138">
        <f>Q919+R919+S919+T919</f>
        <v/>
      </c>
      <c r="V919" s="138">
        <f>IF(B919="Working",MAX(-(((Q918)*(1+$C$10)+IF(B919="Working",J919,0))),0),MAX(K919-L919,0))</f>
        <v/>
      </c>
      <c r="W919" s="138">
        <f>IF(OR(A919&gt;=$C$13,B919="Retired"),IF(V919&gt;0,-V919,U919-'Model Inputs'!$B$18),"")</f>
        <v/>
      </c>
      <c r="X919" s="138">
        <f>IF(AND($L$242&gt;0,A919&gt;=$C$13),$L$242*(1+$C$25)^(A919-$C$13),0)</f>
        <v/>
      </c>
      <c r="Y919" s="138">
        <f>IF(OR($L$242&lt;=0,$C$17&lt;=0,A919&lt;$C$13,MIN(MAX((A919-$C$13+1)*12,0),$C$17*12)&gt;=$C$17*12),0,IF($C$16=0,MAX(MAX($L$242*(1-$C$15),0)-(IF($C$17&lt;=0,0,IF($C$16=0,MAX($L$242*(1-$C$15),0)/$C$17,-PMT($C$16/12,$C$17*12,MAX($L$242*(1-$C$15),0))*12))/12)*MIN(MAX((A919-$C$13+1)*12,0),$C$17*12),0),MAX(MAX($L$242*(1-$C$15),0)*(1+$C$16/12)^MIN(MAX((A919-$C$13+1)*12,0),$C$17*12)-(IF($C$17&lt;=0,0,IF($C$16=0,MAX($L$242*(1-$C$15),0)/$C$17,-PMT($C$16/12,$C$17*12,MAX($L$242*(1-$C$15),0))*12))/12)*(((1+$C$16/12)^MIN(MAX((A919-$C$13+1)*12,0),$C$17*12)-1)/($C$16/12)),0)))</f>
        <v/>
      </c>
      <c r="Z919" s="138">
        <f>MAX(X919-Y919,0)</f>
        <v/>
      </c>
      <c r="AA919" s="139">
        <f>U919+Z919</f>
        <v/>
      </c>
      <c r="AB919" s="5" t="n"/>
      <c r="AC919" s="5" t="n"/>
      <c r="AD919" s="5" t="n"/>
      <c r="AE919" s="5" t="n"/>
      <c r="AF919" s="5" t="n"/>
      <c r="AG919" s="5" t="n"/>
    </row>
    <row r="920" outlineLevel="1" s="326">
      <c r="A920" s="140" t="n">
        <v>4</v>
      </c>
      <c r="B920" s="40">
        <f>B83</f>
        <v/>
      </c>
      <c r="C920" s="141">
        <f>D83</f>
        <v/>
      </c>
      <c r="D920" s="141">
        <f>I83</f>
        <v/>
      </c>
      <c r="E920" s="141">
        <f>J83</f>
        <v/>
      </c>
      <c r="F920" s="141">
        <f>K83</f>
        <v/>
      </c>
      <c r="G920" s="138">
        <f>IF(AND($L$242&gt;0,A920=$C$13),$L$242*($C$15+$C$18),0)+IF(AND($L$242&gt;0,A920=$C$13),$C$24,0)</f>
        <v/>
      </c>
      <c r="H920" s="138">
        <f>IF(OR($L$242&lt;=0,A920&lt;$C$13),0,IF(AND($L$242&gt;0,$C$17&gt;0,A920&gt;=$C$13,A920&lt;($C$13+$C$17)),IF($C$17&lt;=0,0,IF($C$16=0,MAX($L$242*(1-$C$15),0)/$C$17,-PMT($C$16/12,$C$17*12,MAX($L$242*(1-$C$15),0))*12)),0)+X920*($C$19+$C$20+$C$21)+$C$22+$C$23)</f>
        <v/>
      </c>
      <c r="I920" s="138">
        <f>IF(B920="Working",MIN(MAX(D920-E920-F920-G920-H920,0),'Tax Assumptions'!$B$20),0)</f>
        <v/>
      </c>
      <c r="J920" s="138">
        <f>IF(B920="Working",D920-E920-F920-I920-G920-H920,-L920)</f>
        <v/>
      </c>
      <c r="K920" s="141">
        <f>IF(B920="Retired",$N$242+G920+H920,0)</f>
        <v/>
      </c>
      <c r="L920" s="141">
        <f>M920+N920+O920+P920</f>
        <v/>
      </c>
      <c r="M920" s="141">
        <f>IF(B920="Retired",MIN(((Q919)*(1+$C$10)+IF(B920="Working",J920,0)),K920),0)</f>
        <v/>
      </c>
      <c r="N920" s="141">
        <f>IF(B920="Retired",MIN(MAX(K920-M920,0),((R919)*(1+$C$10)+IF(B920="Working",E83,0))),0)</f>
        <v/>
      </c>
      <c r="O920" s="141">
        <f>IF(B920="Retired",MIN(MAX(K920-M920-N920,0),((S919)*(1+$C$10)+IF(B920="Working",I920,0))),0)</f>
        <v/>
      </c>
      <c r="P920" s="141">
        <f>IF(B920="Retired",MIN(MAX(K920-M920-N920-O920,0),((T919)*(1+$C$10)+IF(B920="Working",F83,0))),0)</f>
        <v/>
      </c>
      <c r="Q920" s="138">
        <f>MAX(((Q919)*(1+$C$10)+IF(B920="Working",J920,0))-M920,0)</f>
        <v/>
      </c>
      <c r="R920" s="138">
        <f>MAX(((R919)*(1+$C$10)+IF(B920="Working",E83,0))-N920,0)</f>
        <v/>
      </c>
      <c r="S920" s="138">
        <f>MAX(((S919)*(1+$C$10)+IF(B920="Working",I920,0))-O920,0)</f>
        <v/>
      </c>
      <c r="T920" s="138">
        <f>MAX(((T919)*(1+$C$10)+IF(B920="Working",F83,0))-P920,0)</f>
        <v/>
      </c>
      <c r="U920" s="138">
        <f>Q920+R920+S920+T920</f>
        <v/>
      </c>
      <c r="V920" s="138">
        <f>IF(B920="Working",MAX(-(((Q919)*(1+$C$10)+IF(B920="Working",J920,0))),0),MAX(K920-L920,0))</f>
        <v/>
      </c>
      <c r="W920" s="138">
        <f>IF(OR(A920&gt;=$C$13,B920="Retired"),IF(V920&gt;0,-V920,U920-'Model Inputs'!$B$18),"")</f>
        <v/>
      </c>
      <c r="X920" s="138">
        <f>IF(AND($L$242&gt;0,A920&gt;=$C$13),$L$242*(1+$C$25)^(A920-$C$13),0)</f>
        <v/>
      </c>
      <c r="Y920" s="138">
        <f>IF(OR($L$242&lt;=0,$C$17&lt;=0,A920&lt;$C$13,MIN(MAX((A920-$C$13+1)*12,0),$C$17*12)&gt;=$C$17*12),0,IF($C$16=0,MAX(MAX($L$242*(1-$C$15),0)-(IF($C$17&lt;=0,0,IF($C$16=0,MAX($L$242*(1-$C$15),0)/$C$17,-PMT($C$16/12,$C$17*12,MAX($L$242*(1-$C$15),0))*12))/12)*MIN(MAX((A920-$C$13+1)*12,0),$C$17*12),0),MAX(MAX($L$242*(1-$C$15),0)*(1+$C$16/12)^MIN(MAX((A920-$C$13+1)*12,0),$C$17*12)-(IF($C$17&lt;=0,0,IF($C$16=0,MAX($L$242*(1-$C$15),0)/$C$17,-PMT($C$16/12,$C$17*12,MAX($L$242*(1-$C$15),0))*12))/12)*(((1+$C$16/12)^MIN(MAX((A920-$C$13+1)*12,0),$C$17*12)-1)/($C$16/12)),0)))</f>
        <v/>
      </c>
      <c r="Z920" s="138">
        <f>MAX(X920-Y920,0)</f>
        <v/>
      </c>
      <c r="AA920" s="142">
        <f>U920+Z920</f>
        <v/>
      </c>
      <c r="AB920" s="5" t="n"/>
      <c r="AC920" s="5" t="n"/>
      <c r="AD920" s="5" t="n"/>
      <c r="AE920" s="5" t="n"/>
      <c r="AF920" s="5" t="n"/>
      <c r="AG920" s="5" t="n"/>
    </row>
    <row r="921" outlineLevel="1" s="326">
      <c r="A921" s="136" t="n">
        <v>5</v>
      </c>
      <c r="B921" s="72">
        <f>B84</f>
        <v/>
      </c>
      <c r="C921" s="137">
        <f>D84</f>
        <v/>
      </c>
      <c r="D921" s="137">
        <f>I84</f>
        <v/>
      </c>
      <c r="E921" s="137">
        <f>J84</f>
        <v/>
      </c>
      <c r="F921" s="137">
        <f>K84</f>
        <v/>
      </c>
      <c r="G921" s="138">
        <f>IF(AND($L$242&gt;0,A921=$C$13),$L$242*($C$15+$C$18),0)+IF(AND($L$242&gt;0,A921=$C$13),$C$24,0)</f>
        <v/>
      </c>
      <c r="H921" s="138">
        <f>IF(OR($L$242&lt;=0,A921&lt;$C$13),0,IF(AND($L$242&gt;0,$C$17&gt;0,A921&gt;=$C$13,A921&lt;($C$13+$C$17)),IF($C$17&lt;=0,0,IF($C$16=0,MAX($L$242*(1-$C$15),0)/$C$17,-PMT($C$16/12,$C$17*12,MAX($L$242*(1-$C$15),0))*12)),0)+X921*($C$19+$C$20+$C$21)+$C$22+$C$23)</f>
        <v/>
      </c>
      <c r="I921" s="138">
        <f>IF(B921="Working",MIN(MAX(D921-E921-F921-G921-H921,0),'Tax Assumptions'!$B$20),0)</f>
        <v/>
      </c>
      <c r="J921" s="138">
        <f>IF(B921="Working",D921-E921-F921-I921-G921-H921,-L921)</f>
        <v/>
      </c>
      <c r="K921" s="137">
        <f>IF(B921="Retired",$N$242+G921+H921,0)</f>
        <v/>
      </c>
      <c r="L921" s="137">
        <f>M921+N921+O921+P921</f>
        <v/>
      </c>
      <c r="M921" s="137">
        <f>IF(B921="Retired",MIN(((Q920)*(1+$C$10)+IF(B921="Working",J921,0)),K921),0)</f>
        <v/>
      </c>
      <c r="N921" s="137">
        <f>IF(B921="Retired",MIN(MAX(K921-M921,0),((R920)*(1+$C$10)+IF(B921="Working",E84,0))),0)</f>
        <v/>
      </c>
      <c r="O921" s="137">
        <f>IF(B921="Retired",MIN(MAX(K921-M921-N921,0),((S920)*(1+$C$10)+IF(B921="Working",I921,0))),0)</f>
        <v/>
      </c>
      <c r="P921" s="137">
        <f>IF(B921="Retired",MIN(MAX(K921-M921-N921-O921,0),((T920)*(1+$C$10)+IF(B921="Working",F84,0))),0)</f>
        <v/>
      </c>
      <c r="Q921" s="138">
        <f>MAX(((Q920)*(1+$C$10)+IF(B921="Working",J921,0))-M921,0)</f>
        <v/>
      </c>
      <c r="R921" s="138">
        <f>MAX(((R920)*(1+$C$10)+IF(B921="Working",E84,0))-N921,0)</f>
        <v/>
      </c>
      <c r="S921" s="138">
        <f>MAX(((S920)*(1+$C$10)+IF(B921="Working",I921,0))-O921,0)</f>
        <v/>
      </c>
      <c r="T921" s="138">
        <f>MAX(((T920)*(1+$C$10)+IF(B921="Working",F84,0))-P921,0)</f>
        <v/>
      </c>
      <c r="U921" s="138">
        <f>Q921+R921+S921+T921</f>
        <v/>
      </c>
      <c r="V921" s="138">
        <f>IF(B921="Working",MAX(-(((Q920)*(1+$C$10)+IF(B921="Working",J921,0))),0),MAX(K921-L921,0))</f>
        <v/>
      </c>
      <c r="W921" s="138">
        <f>IF(OR(A921&gt;=$C$13,B921="Retired"),IF(V921&gt;0,-V921,U921-'Model Inputs'!$B$18),"")</f>
        <v/>
      </c>
      <c r="X921" s="138">
        <f>IF(AND($L$242&gt;0,A921&gt;=$C$13),$L$242*(1+$C$25)^(A921-$C$13),0)</f>
        <v/>
      </c>
      <c r="Y921" s="138">
        <f>IF(OR($L$242&lt;=0,$C$17&lt;=0,A921&lt;$C$13,MIN(MAX((A921-$C$13+1)*12,0),$C$17*12)&gt;=$C$17*12),0,IF($C$16=0,MAX(MAX($L$242*(1-$C$15),0)-(IF($C$17&lt;=0,0,IF($C$16=0,MAX($L$242*(1-$C$15),0)/$C$17,-PMT($C$16/12,$C$17*12,MAX($L$242*(1-$C$15),0))*12))/12)*MIN(MAX((A921-$C$13+1)*12,0),$C$17*12),0),MAX(MAX($L$242*(1-$C$15),0)*(1+$C$16/12)^MIN(MAX((A921-$C$13+1)*12,0),$C$17*12)-(IF($C$17&lt;=0,0,IF($C$16=0,MAX($L$242*(1-$C$15),0)/$C$17,-PMT($C$16/12,$C$17*12,MAX($L$242*(1-$C$15),0))*12))/12)*(((1+$C$16/12)^MIN(MAX((A921-$C$13+1)*12,0),$C$17*12)-1)/($C$16/12)),0)))</f>
        <v/>
      </c>
      <c r="Z921" s="138">
        <f>MAX(X921-Y921,0)</f>
        <v/>
      </c>
      <c r="AA921" s="139">
        <f>U921+Z921</f>
        <v/>
      </c>
      <c r="AB921" s="5" t="n"/>
      <c r="AC921" s="5" t="n"/>
      <c r="AD921" s="5" t="n"/>
      <c r="AE921" s="5" t="n"/>
      <c r="AF921" s="5" t="n"/>
      <c r="AG921" s="5" t="n"/>
    </row>
    <row r="922" outlineLevel="1" s="326">
      <c r="A922" s="140" t="n">
        <v>6</v>
      </c>
      <c r="B922" s="40">
        <f>B85</f>
        <v/>
      </c>
      <c r="C922" s="141">
        <f>D85</f>
        <v/>
      </c>
      <c r="D922" s="141">
        <f>I85</f>
        <v/>
      </c>
      <c r="E922" s="141">
        <f>J85</f>
        <v/>
      </c>
      <c r="F922" s="141">
        <f>K85</f>
        <v/>
      </c>
      <c r="G922" s="138">
        <f>IF(AND($L$242&gt;0,A922=$C$13),$L$242*($C$15+$C$18),0)+IF(AND($L$242&gt;0,A922=$C$13),$C$24,0)</f>
        <v/>
      </c>
      <c r="H922" s="138">
        <f>IF(OR($L$242&lt;=0,A922&lt;$C$13),0,IF(AND($L$242&gt;0,$C$17&gt;0,A922&gt;=$C$13,A922&lt;($C$13+$C$17)),IF($C$17&lt;=0,0,IF($C$16=0,MAX($L$242*(1-$C$15),0)/$C$17,-PMT($C$16/12,$C$17*12,MAX($L$242*(1-$C$15),0))*12)),0)+X922*($C$19+$C$20+$C$21)+$C$22+$C$23)</f>
        <v/>
      </c>
      <c r="I922" s="138">
        <f>IF(B922="Working",MIN(MAX(D922-E922-F922-G922-H922,0),'Tax Assumptions'!$B$20),0)</f>
        <v/>
      </c>
      <c r="J922" s="138">
        <f>IF(B922="Working",D922-E922-F922-I922-G922-H922,-L922)</f>
        <v/>
      </c>
      <c r="K922" s="141">
        <f>IF(B922="Retired",$N$242+G922+H922,0)</f>
        <v/>
      </c>
      <c r="L922" s="141">
        <f>M922+N922+O922+P922</f>
        <v/>
      </c>
      <c r="M922" s="141">
        <f>IF(B922="Retired",MIN(((Q921)*(1+$C$10)+IF(B922="Working",J922,0)),K922),0)</f>
        <v/>
      </c>
      <c r="N922" s="141">
        <f>IF(B922="Retired",MIN(MAX(K922-M922,0),((R921)*(1+$C$10)+IF(B922="Working",E85,0))),0)</f>
        <v/>
      </c>
      <c r="O922" s="141">
        <f>IF(B922="Retired",MIN(MAX(K922-M922-N922,0),((S921)*(1+$C$10)+IF(B922="Working",I922,0))),0)</f>
        <v/>
      </c>
      <c r="P922" s="141">
        <f>IF(B922="Retired",MIN(MAX(K922-M922-N922-O922,0),((T921)*(1+$C$10)+IF(B922="Working",F85,0))),0)</f>
        <v/>
      </c>
      <c r="Q922" s="138">
        <f>MAX(((Q921)*(1+$C$10)+IF(B922="Working",J922,0))-M922,0)</f>
        <v/>
      </c>
      <c r="R922" s="138">
        <f>MAX(((R921)*(1+$C$10)+IF(B922="Working",E85,0))-N922,0)</f>
        <v/>
      </c>
      <c r="S922" s="138">
        <f>MAX(((S921)*(1+$C$10)+IF(B922="Working",I922,0))-O922,0)</f>
        <v/>
      </c>
      <c r="T922" s="138">
        <f>MAX(((T921)*(1+$C$10)+IF(B922="Working",F85,0))-P922,0)</f>
        <v/>
      </c>
      <c r="U922" s="138">
        <f>Q922+R922+S922+T922</f>
        <v/>
      </c>
      <c r="V922" s="138">
        <f>IF(B922="Working",MAX(-(((Q921)*(1+$C$10)+IF(B922="Working",J922,0))),0),MAX(K922-L922,0))</f>
        <v/>
      </c>
      <c r="W922" s="138">
        <f>IF(OR(A922&gt;=$C$13,B922="Retired"),IF(V922&gt;0,-V922,U922-'Model Inputs'!$B$18),"")</f>
        <v/>
      </c>
      <c r="X922" s="138">
        <f>IF(AND($L$242&gt;0,A922&gt;=$C$13),$L$242*(1+$C$25)^(A922-$C$13),0)</f>
        <v/>
      </c>
      <c r="Y922" s="138">
        <f>IF(OR($L$242&lt;=0,$C$17&lt;=0,A922&lt;$C$13,MIN(MAX((A922-$C$13+1)*12,0),$C$17*12)&gt;=$C$17*12),0,IF($C$16=0,MAX(MAX($L$242*(1-$C$15),0)-(IF($C$17&lt;=0,0,IF($C$16=0,MAX($L$242*(1-$C$15),0)/$C$17,-PMT($C$16/12,$C$17*12,MAX($L$242*(1-$C$15),0))*12))/12)*MIN(MAX((A922-$C$13+1)*12,0),$C$17*12),0),MAX(MAX($L$242*(1-$C$15),0)*(1+$C$16/12)^MIN(MAX((A922-$C$13+1)*12,0),$C$17*12)-(IF($C$17&lt;=0,0,IF($C$16=0,MAX($L$242*(1-$C$15),0)/$C$17,-PMT($C$16/12,$C$17*12,MAX($L$242*(1-$C$15),0))*12))/12)*(((1+$C$16/12)^MIN(MAX((A922-$C$13+1)*12,0),$C$17*12)-1)/($C$16/12)),0)))</f>
        <v/>
      </c>
      <c r="Z922" s="138">
        <f>MAX(X922-Y922,0)</f>
        <v/>
      </c>
      <c r="AA922" s="142">
        <f>U922+Z922</f>
        <v/>
      </c>
      <c r="AB922" s="5" t="n"/>
      <c r="AC922" s="5" t="n"/>
      <c r="AD922" s="5" t="n"/>
      <c r="AE922" s="5" t="n"/>
      <c r="AF922" s="5" t="n"/>
      <c r="AG922" s="5" t="n"/>
    </row>
    <row r="923" outlineLevel="1" s="326">
      <c r="A923" s="136" t="n">
        <v>7</v>
      </c>
      <c r="B923" s="72">
        <f>B86</f>
        <v/>
      </c>
      <c r="C923" s="137">
        <f>D86</f>
        <v/>
      </c>
      <c r="D923" s="137">
        <f>I86</f>
        <v/>
      </c>
      <c r="E923" s="137">
        <f>J86</f>
        <v/>
      </c>
      <c r="F923" s="137">
        <f>K86</f>
        <v/>
      </c>
      <c r="G923" s="138">
        <f>IF(AND($L$242&gt;0,A923=$C$13),$L$242*($C$15+$C$18),0)+IF(AND($L$242&gt;0,A923=$C$13),$C$24,0)</f>
        <v/>
      </c>
      <c r="H923" s="138">
        <f>IF(OR($L$242&lt;=0,A923&lt;$C$13),0,IF(AND($L$242&gt;0,$C$17&gt;0,A923&gt;=$C$13,A923&lt;($C$13+$C$17)),IF($C$17&lt;=0,0,IF($C$16=0,MAX($L$242*(1-$C$15),0)/$C$17,-PMT($C$16/12,$C$17*12,MAX($L$242*(1-$C$15),0))*12)),0)+X923*($C$19+$C$20+$C$21)+$C$22+$C$23)</f>
        <v/>
      </c>
      <c r="I923" s="138">
        <f>IF(B923="Working",MIN(MAX(D923-E923-F923-G923-H923,0),'Tax Assumptions'!$B$20),0)</f>
        <v/>
      </c>
      <c r="J923" s="138">
        <f>IF(B923="Working",D923-E923-F923-I923-G923-H923,-L923)</f>
        <v/>
      </c>
      <c r="K923" s="137">
        <f>IF(B923="Retired",$N$242+G923+H923,0)</f>
        <v/>
      </c>
      <c r="L923" s="137">
        <f>M923+N923+O923+P923</f>
        <v/>
      </c>
      <c r="M923" s="137">
        <f>IF(B923="Retired",MIN(((Q922)*(1+$C$10)+IF(B923="Working",J923,0)),K923),0)</f>
        <v/>
      </c>
      <c r="N923" s="137">
        <f>IF(B923="Retired",MIN(MAX(K923-M923,0),((R922)*(1+$C$10)+IF(B923="Working",E86,0))),0)</f>
        <v/>
      </c>
      <c r="O923" s="137">
        <f>IF(B923="Retired",MIN(MAX(K923-M923-N923,0),((S922)*(1+$C$10)+IF(B923="Working",I923,0))),0)</f>
        <v/>
      </c>
      <c r="P923" s="137">
        <f>IF(B923="Retired",MIN(MAX(K923-M923-N923-O923,0),((T922)*(1+$C$10)+IF(B923="Working",F86,0))),0)</f>
        <v/>
      </c>
      <c r="Q923" s="138">
        <f>MAX(((Q922)*(1+$C$10)+IF(B923="Working",J923,0))-M923,0)</f>
        <v/>
      </c>
      <c r="R923" s="138">
        <f>MAX(((R922)*(1+$C$10)+IF(B923="Working",E86,0))-N923,0)</f>
        <v/>
      </c>
      <c r="S923" s="138">
        <f>MAX(((S922)*(1+$C$10)+IF(B923="Working",I923,0))-O923,0)</f>
        <v/>
      </c>
      <c r="T923" s="138">
        <f>MAX(((T922)*(1+$C$10)+IF(B923="Working",F86,0))-P923,0)</f>
        <v/>
      </c>
      <c r="U923" s="138">
        <f>Q923+R923+S923+T923</f>
        <v/>
      </c>
      <c r="V923" s="138">
        <f>IF(B923="Working",MAX(-(((Q922)*(1+$C$10)+IF(B923="Working",J923,0))),0),MAX(K923-L923,0))</f>
        <v/>
      </c>
      <c r="W923" s="138">
        <f>IF(OR(A923&gt;=$C$13,B923="Retired"),IF(V923&gt;0,-V923,U923-'Model Inputs'!$B$18),"")</f>
        <v/>
      </c>
      <c r="X923" s="138">
        <f>IF(AND($L$242&gt;0,A923&gt;=$C$13),$L$242*(1+$C$25)^(A923-$C$13),0)</f>
        <v/>
      </c>
      <c r="Y923" s="138">
        <f>IF(OR($L$242&lt;=0,$C$17&lt;=0,A923&lt;$C$13,MIN(MAX((A923-$C$13+1)*12,0),$C$17*12)&gt;=$C$17*12),0,IF($C$16=0,MAX(MAX($L$242*(1-$C$15),0)-(IF($C$17&lt;=0,0,IF($C$16=0,MAX($L$242*(1-$C$15),0)/$C$17,-PMT($C$16/12,$C$17*12,MAX($L$242*(1-$C$15),0))*12))/12)*MIN(MAX((A923-$C$13+1)*12,0),$C$17*12),0),MAX(MAX($L$242*(1-$C$15),0)*(1+$C$16/12)^MIN(MAX((A923-$C$13+1)*12,0),$C$17*12)-(IF($C$17&lt;=0,0,IF($C$16=0,MAX($L$242*(1-$C$15),0)/$C$17,-PMT($C$16/12,$C$17*12,MAX($L$242*(1-$C$15),0))*12))/12)*(((1+$C$16/12)^MIN(MAX((A923-$C$13+1)*12,0),$C$17*12)-1)/($C$16/12)),0)))</f>
        <v/>
      </c>
      <c r="Z923" s="138">
        <f>MAX(X923-Y923,0)</f>
        <v/>
      </c>
      <c r="AA923" s="139">
        <f>U923+Z923</f>
        <v/>
      </c>
      <c r="AB923" s="5" t="n"/>
      <c r="AC923" s="5" t="n"/>
      <c r="AD923" s="5" t="n"/>
      <c r="AE923" s="5" t="n"/>
      <c r="AF923" s="5" t="n"/>
      <c r="AG923" s="5" t="n"/>
    </row>
    <row r="924" outlineLevel="1" s="326">
      <c r="A924" s="140" t="n">
        <v>8</v>
      </c>
      <c r="B924" s="40">
        <f>B87</f>
        <v/>
      </c>
      <c r="C924" s="141">
        <f>D87</f>
        <v/>
      </c>
      <c r="D924" s="141">
        <f>I87</f>
        <v/>
      </c>
      <c r="E924" s="141">
        <f>J87</f>
        <v/>
      </c>
      <c r="F924" s="141">
        <f>K87</f>
        <v/>
      </c>
      <c r="G924" s="138">
        <f>IF(AND($L$242&gt;0,A924=$C$13),$L$242*($C$15+$C$18),0)+IF(AND($L$242&gt;0,A924=$C$13),$C$24,0)</f>
        <v/>
      </c>
      <c r="H924" s="138">
        <f>IF(OR($L$242&lt;=0,A924&lt;$C$13),0,IF(AND($L$242&gt;0,$C$17&gt;0,A924&gt;=$C$13,A924&lt;($C$13+$C$17)),IF($C$17&lt;=0,0,IF($C$16=0,MAX($L$242*(1-$C$15),0)/$C$17,-PMT($C$16/12,$C$17*12,MAX($L$242*(1-$C$15),0))*12)),0)+X924*($C$19+$C$20+$C$21)+$C$22+$C$23)</f>
        <v/>
      </c>
      <c r="I924" s="138">
        <f>IF(B924="Working",MIN(MAX(D924-E924-F924-G924-H924,0),'Tax Assumptions'!$B$20),0)</f>
        <v/>
      </c>
      <c r="J924" s="138">
        <f>IF(B924="Working",D924-E924-F924-I924-G924-H924,-L924)</f>
        <v/>
      </c>
      <c r="K924" s="141">
        <f>IF(B924="Retired",$N$242+G924+H924,0)</f>
        <v/>
      </c>
      <c r="L924" s="141">
        <f>M924+N924+O924+P924</f>
        <v/>
      </c>
      <c r="M924" s="141">
        <f>IF(B924="Retired",MIN(((Q923)*(1+$C$10)+IF(B924="Working",J924,0)),K924),0)</f>
        <v/>
      </c>
      <c r="N924" s="141">
        <f>IF(B924="Retired",MIN(MAX(K924-M924,0),((R923)*(1+$C$10)+IF(B924="Working",E87,0))),0)</f>
        <v/>
      </c>
      <c r="O924" s="141">
        <f>IF(B924="Retired",MIN(MAX(K924-M924-N924,0),((S923)*(1+$C$10)+IF(B924="Working",I924,0))),0)</f>
        <v/>
      </c>
      <c r="P924" s="141">
        <f>IF(B924="Retired",MIN(MAX(K924-M924-N924-O924,0),((T923)*(1+$C$10)+IF(B924="Working",F87,0))),0)</f>
        <v/>
      </c>
      <c r="Q924" s="138">
        <f>MAX(((Q923)*(1+$C$10)+IF(B924="Working",J924,0))-M924,0)</f>
        <v/>
      </c>
      <c r="R924" s="138">
        <f>MAX(((R923)*(1+$C$10)+IF(B924="Working",E87,0))-N924,0)</f>
        <v/>
      </c>
      <c r="S924" s="138">
        <f>MAX(((S923)*(1+$C$10)+IF(B924="Working",I924,0))-O924,0)</f>
        <v/>
      </c>
      <c r="T924" s="138">
        <f>MAX(((T923)*(1+$C$10)+IF(B924="Working",F87,0))-P924,0)</f>
        <v/>
      </c>
      <c r="U924" s="138">
        <f>Q924+R924+S924+T924</f>
        <v/>
      </c>
      <c r="V924" s="138">
        <f>IF(B924="Working",MAX(-(((Q923)*(1+$C$10)+IF(B924="Working",J924,0))),0),MAX(K924-L924,0))</f>
        <v/>
      </c>
      <c r="W924" s="138">
        <f>IF(OR(A924&gt;=$C$13,B924="Retired"),IF(V924&gt;0,-V924,U924-'Model Inputs'!$B$18),"")</f>
        <v/>
      </c>
      <c r="X924" s="138">
        <f>IF(AND($L$242&gt;0,A924&gt;=$C$13),$L$242*(1+$C$25)^(A924-$C$13),0)</f>
        <v/>
      </c>
      <c r="Y924" s="138">
        <f>IF(OR($L$242&lt;=0,$C$17&lt;=0,A924&lt;$C$13,MIN(MAX((A924-$C$13+1)*12,0),$C$17*12)&gt;=$C$17*12),0,IF($C$16=0,MAX(MAX($L$242*(1-$C$15),0)-(IF($C$17&lt;=0,0,IF($C$16=0,MAX($L$242*(1-$C$15),0)/$C$17,-PMT($C$16/12,$C$17*12,MAX($L$242*(1-$C$15),0))*12))/12)*MIN(MAX((A924-$C$13+1)*12,0),$C$17*12),0),MAX(MAX($L$242*(1-$C$15),0)*(1+$C$16/12)^MIN(MAX((A924-$C$13+1)*12,0),$C$17*12)-(IF($C$17&lt;=0,0,IF($C$16=0,MAX($L$242*(1-$C$15),0)/$C$17,-PMT($C$16/12,$C$17*12,MAX($L$242*(1-$C$15),0))*12))/12)*(((1+$C$16/12)^MIN(MAX((A924-$C$13+1)*12,0),$C$17*12)-1)/($C$16/12)),0)))</f>
        <v/>
      </c>
      <c r="Z924" s="138">
        <f>MAX(X924-Y924,0)</f>
        <v/>
      </c>
      <c r="AA924" s="142">
        <f>U924+Z924</f>
        <v/>
      </c>
      <c r="AB924" s="5" t="n"/>
      <c r="AC924" s="5" t="n"/>
      <c r="AD924" s="5" t="n"/>
      <c r="AE924" s="5" t="n"/>
      <c r="AF924" s="5" t="n"/>
      <c r="AG924" s="5" t="n"/>
    </row>
    <row r="925" outlineLevel="1" s="326">
      <c r="A925" s="136" t="n">
        <v>9</v>
      </c>
      <c r="B925" s="72">
        <f>B88</f>
        <v/>
      </c>
      <c r="C925" s="137">
        <f>D88</f>
        <v/>
      </c>
      <c r="D925" s="137">
        <f>I88</f>
        <v/>
      </c>
      <c r="E925" s="137">
        <f>J88</f>
        <v/>
      </c>
      <c r="F925" s="137">
        <f>K88</f>
        <v/>
      </c>
      <c r="G925" s="138">
        <f>IF(AND($L$242&gt;0,A925=$C$13),$L$242*($C$15+$C$18),0)+IF(AND($L$242&gt;0,A925=$C$13),$C$24,0)</f>
        <v/>
      </c>
      <c r="H925" s="138">
        <f>IF(OR($L$242&lt;=0,A925&lt;$C$13),0,IF(AND($L$242&gt;0,$C$17&gt;0,A925&gt;=$C$13,A925&lt;($C$13+$C$17)),IF($C$17&lt;=0,0,IF($C$16=0,MAX($L$242*(1-$C$15),0)/$C$17,-PMT($C$16/12,$C$17*12,MAX($L$242*(1-$C$15),0))*12)),0)+X925*($C$19+$C$20+$C$21)+$C$22+$C$23)</f>
        <v/>
      </c>
      <c r="I925" s="138">
        <f>IF(B925="Working",MIN(MAX(D925-E925-F925-G925-H925,0),'Tax Assumptions'!$B$20),0)</f>
        <v/>
      </c>
      <c r="J925" s="138">
        <f>IF(B925="Working",D925-E925-F925-I925-G925-H925,-L925)</f>
        <v/>
      </c>
      <c r="K925" s="137">
        <f>IF(B925="Retired",$N$242+G925+H925,0)</f>
        <v/>
      </c>
      <c r="L925" s="137">
        <f>M925+N925+O925+P925</f>
        <v/>
      </c>
      <c r="M925" s="137">
        <f>IF(B925="Retired",MIN(((Q924)*(1+$C$10)+IF(B925="Working",J925,0)),K925),0)</f>
        <v/>
      </c>
      <c r="N925" s="137">
        <f>IF(B925="Retired",MIN(MAX(K925-M925,0),((R924)*(1+$C$10)+IF(B925="Working",E88,0))),0)</f>
        <v/>
      </c>
      <c r="O925" s="137">
        <f>IF(B925="Retired",MIN(MAX(K925-M925-N925,0),((S924)*(1+$C$10)+IF(B925="Working",I925,0))),0)</f>
        <v/>
      </c>
      <c r="P925" s="137">
        <f>IF(B925="Retired",MIN(MAX(K925-M925-N925-O925,0),((T924)*(1+$C$10)+IF(B925="Working",F88,0))),0)</f>
        <v/>
      </c>
      <c r="Q925" s="138">
        <f>MAX(((Q924)*(1+$C$10)+IF(B925="Working",J925,0))-M925,0)</f>
        <v/>
      </c>
      <c r="R925" s="138">
        <f>MAX(((R924)*(1+$C$10)+IF(B925="Working",E88,0))-N925,0)</f>
        <v/>
      </c>
      <c r="S925" s="138">
        <f>MAX(((S924)*(1+$C$10)+IF(B925="Working",I925,0))-O925,0)</f>
        <v/>
      </c>
      <c r="T925" s="138">
        <f>MAX(((T924)*(1+$C$10)+IF(B925="Working",F88,0))-P925,0)</f>
        <v/>
      </c>
      <c r="U925" s="138">
        <f>Q925+R925+S925+T925</f>
        <v/>
      </c>
      <c r="V925" s="138">
        <f>IF(B925="Working",MAX(-(((Q924)*(1+$C$10)+IF(B925="Working",J925,0))),0),MAX(K925-L925,0))</f>
        <v/>
      </c>
      <c r="W925" s="138">
        <f>IF(OR(A925&gt;=$C$13,B925="Retired"),IF(V925&gt;0,-V925,U925-'Model Inputs'!$B$18),"")</f>
        <v/>
      </c>
      <c r="X925" s="138">
        <f>IF(AND($L$242&gt;0,A925&gt;=$C$13),$L$242*(1+$C$25)^(A925-$C$13),0)</f>
        <v/>
      </c>
      <c r="Y925" s="138">
        <f>IF(OR($L$242&lt;=0,$C$17&lt;=0,A925&lt;$C$13,MIN(MAX((A925-$C$13+1)*12,0),$C$17*12)&gt;=$C$17*12),0,IF($C$16=0,MAX(MAX($L$242*(1-$C$15),0)-(IF($C$17&lt;=0,0,IF($C$16=0,MAX($L$242*(1-$C$15),0)/$C$17,-PMT($C$16/12,$C$17*12,MAX($L$242*(1-$C$15),0))*12))/12)*MIN(MAX((A925-$C$13+1)*12,0),$C$17*12),0),MAX(MAX($L$242*(1-$C$15),0)*(1+$C$16/12)^MIN(MAX((A925-$C$13+1)*12,0),$C$17*12)-(IF($C$17&lt;=0,0,IF($C$16=0,MAX($L$242*(1-$C$15),0)/$C$17,-PMT($C$16/12,$C$17*12,MAX($L$242*(1-$C$15),0))*12))/12)*(((1+$C$16/12)^MIN(MAX((A925-$C$13+1)*12,0),$C$17*12)-1)/($C$16/12)),0)))</f>
        <v/>
      </c>
      <c r="Z925" s="138">
        <f>MAX(X925-Y925,0)</f>
        <v/>
      </c>
      <c r="AA925" s="139">
        <f>U925+Z925</f>
        <v/>
      </c>
      <c r="AB925" s="5" t="n"/>
      <c r="AC925" s="5" t="n"/>
      <c r="AD925" s="5" t="n"/>
      <c r="AE925" s="5" t="n"/>
      <c r="AF925" s="5" t="n"/>
      <c r="AG925" s="5" t="n"/>
    </row>
    <row r="926" outlineLevel="1" s="326">
      <c r="A926" s="140" t="n">
        <v>10</v>
      </c>
      <c r="B926" s="40">
        <f>B89</f>
        <v/>
      </c>
      <c r="C926" s="141">
        <f>D89</f>
        <v/>
      </c>
      <c r="D926" s="141">
        <f>I89</f>
        <v/>
      </c>
      <c r="E926" s="141">
        <f>J89</f>
        <v/>
      </c>
      <c r="F926" s="141">
        <f>K89</f>
        <v/>
      </c>
      <c r="G926" s="138">
        <f>IF(AND($L$242&gt;0,A926=$C$13),$L$242*($C$15+$C$18),0)+IF(AND($L$242&gt;0,A926=$C$13),$C$24,0)</f>
        <v/>
      </c>
      <c r="H926" s="138">
        <f>IF(OR($L$242&lt;=0,A926&lt;$C$13),0,IF(AND($L$242&gt;0,$C$17&gt;0,A926&gt;=$C$13,A926&lt;($C$13+$C$17)),IF($C$17&lt;=0,0,IF($C$16=0,MAX($L$242*(1-$C$15),0)/$C$17,-PMT($C$16/12,$C$17*12,MAX($L$242*(1-$C$15),0))*12)),0)+X926*($C$19+$C$20+$C$21)+$C$22+$C$23)</f>
        <v/>
      </c>
      <c r="I926" s="138">
        <f>IF(B926="Working",MIN(MAX(D926-E926-F926-G926-H926,0),'Tax Assumptions'!$B$20),0)</f>
        <v/>
      </c>
      <c r="J926" s="138">
        <f>IF(B926="Working",D926-E926-F926-I926-G926-H926,-L926)</f>
        <v/>
      </c>
      <c r="K926" s="141">
        <f>IF(B926="Retired",$N$242+G926+H926,0)</f>
        <v/>
      </c>
      <c r="L926" s="141">
        <f>M926+N926+O926+P926</f>
        <v/>
      </c>
      <c r="M926" s="141">
        <f>IF(B926="Retired",MIN(((Q925)*(1+$C$10)+IF(B926="Working",J926,0)),K926),0)</f>
        <v/>
      </c>
      <c r="N926" s="141">
        <f>IF(B926="Retired",MIN(MAX(K926-M926,0),((R925)*(1+$C$10)+IF(B926="Working",E89,0))),0)</f>
        <v/>
      </c>
      <c r="O926" s="141">
        <f>IF(B926="Retired",MIN(MAX(K926-M926-N926,0),((S925)*(1+$C$10)+IF(B926="Working",I926,0))),0)</f>
        <v/>
      </c>
      <c r="P926" s="141">
        <f>IF(B926="Retired",MIN(MAX(K926-M926-N926-O926,0),((T925)*(1+$C$10)+IF(B926="Working",F89,0))),0)</f>
        <v/>
      </c>
      <c r="Q926" s="138">
        <f>MAX(((Q925)*(1+$C$10)+IF(B926="Working",J926,0))-M926,0)</f>
        <v/>
      </c>
      <c r="R926" s="138">
        <f>MAX(((R925)*(1+$C$10)+IF(B926="Working",E89,0))-N926,0)</f>
        <v/>
      </c>
      <c r="S926" s="138">
        <f>MAX(((S925)*(1+$C$10)+IF(B926="Working",I926,0))-O926,0)</f>
        <v/>
      </c>
      <c r="T926" s="138">
        <f>MAX(((T925)*(1+$C$10)+IF(B926="Working",F89,0))-P926,0)</f>
        <v/>
      </c>
      <c r="U926" s="138">
        <f>Q926+R926+S926+T926</f>
        <v/>
      </c>
      <c r="V926" s="138">
        <f>IF(B926="Working",MAX(-(((Q925)*(1+$C$10)+IF(B926="Working",J926,0))),0),MAX(K926-L926,0))</f>
        <v/>
      </c>
      <c r="W926" s="138">
        <f>IF(OR(A926&gt;=$C$13,B926="Retired"),IF(V926&gt;0,-V926,U926-'Model Inputs'!$B$18),"")</f>
        <v/>
      </c>
      <c r="X926" s="138">
        <f>IF(AND($L$242&gt;0,A926&gt;=$C$13),$L$242*(1+$C$25)^(A926-$C$13),0)</f>
        <v/>
      </c>
      <c r="Y926" s="138">
        <f>IF(OR($L$242&lt;=0,$C$17&lt;=0,A926&lt;$C$13,MIN(MAX((A926-$C$13+1)*12,0),$C$17*12)&gt;=$C$17*12),0,IF($C$16=0,MAX(MAX($L$242*(1-$C$15),0)-(IF($C$17&lt;=0,0,IF($C$16=0,MAX($L$242*(1-$C$15),0)/$C$17,-PMT($C$16/12,$C$17*12,MAX($L$242*(1-$C$15),0))*12))/12)*MIN(MAX((A926-$C$13+1)*12,0),$C$17*12),0),MAX(MAX($L$242*(1-$C$15),0)*(1+$C$16/12)^MIN(MAX((A926-$C$13+1)*12,0),$C$17*12)-(IF($C$17&lt;=0,0,IF($C$16=0,MAX($L$242*(1-$C$15),0)/$C$17,-PMT($C$16/12,$C$17*12,MAX($L$242*(1-$C$15),0))*12))/12)*(((1+$C$16/12)^MIN(MAX((A926-$C$13+1)*12,0),$C$17*12)-1)/($C$16/12)),0)))</f>
        <v/>
      </c>
      <c r="Z926" s="138">
        <f>MAX(X926-Y926,0)</f>
        <v/>
      </c>
      <c r="AA926" s="142">
        <f>U926+Z926</f>
        <v/>
      </c>
      <c r="AB926" s="5" t="n"/>
      <c r="AC926" s="5" t="n"/>
      <c r="AD926" s="5" t="n"/>
      <c r="AE926" s="5" t="n"/>
      <c r="AF926" s="5" t="n"/>
      <c r="AG926" s="5" t="n"/>
    </row>
    <row r="927" outlineLevel="1" s="326">
      <c r="A927" s="136" t="n">
        <v>11</v>
      </c>
      <c r="B927" s="72">
        <f>B90</f>
        <v/>
      </c>
      <c r="C927" s="137">
        <f>D90</f>
        <v/>
      </c>
      <c r="D927" s="137">
        <f>I90</f>
        <v/>
      </c>
      <c r="E927" s="137">
        <f>J90</f>
        <v/>
      </c>
      <c r="F927" s="137">
        <f>K90</f>
        <v/>
      </c>
      <c r="G927" s="138">
        <f>IF(AND($L$242&gt;0,A927=$C$13),$L$242*($C$15+$C$18),0)+IF(AND($L$242&gt;0,A927=$C$13),$C$24,0)</f>
        <v/>
      </c>
      <c r="H927" s="138">
        <f>IF(OR($L$242&lt;=0,A927&lt;$C$13),0,IF(AND($L$242&gt;0,$C$17&gt;0,A927&gt;=$C$13,A927&lt;($C$13+$C$17)),IF($C$17&lt;=0,0,IF($C$16=0,MAX($L$242*(1-$C$15),0)/$C$17,-PMT($C$16/12,$C$17*12,MAX($L$242*(1-$C$15),0))*12)),0)+X927*($C$19+$C$20+$C$21)+$C$22+$C$23)</f>
        <v/>
      </c>
      <c r="I927" s="138">
        <f>IF(B927="Working",MIN(MAX(D927-E927-F927-G927-H927,0),'Tax Assumptions'!$B$20),0)</f>
        <v/>
      </c>
      <c r="J927" s="138">
        <f>IF(B927="Working",D927-E927-F927-I927-G927-H927,-L927)</f>
        <v/>
      </c>
      <c r="K927" s="137">
        <f>IF(B927="Retired",$N$242+G927+H927,0)</f>
        <v/>
      </c>
      <c r="L927" s="137">
        <f>M927+N927+O927+P927</f>
        <v/>
      </c>
      <c r="M927" s="137">
        <f>IF(B927="Retired",MIN(((Q926)*(1+$C$10)+IF(B927="Working",J927,0)),K927),0)</f>
        <v/>
      </c>
      <c r="N927" s="137">
        <f>IF(B927="Retired",MIN(MAX(K927-M927,0),((R926)*(1+$C$10)+IF(B927="Working",E90,0))),0)</f>
        <v/>
      </c>
      <c r="O927" s="137">
        <f>IF(B927="Retired",MIN(MAX(K927-M927-N927,0),((S926)*(1+$C$10)+IF(B927="Working",I927,0))),0)</f>
        <v/>
      </c>
      <c r="P927" s="137">
        <f>IF(B927="Retired",MIN(MAX(K927-M927-N927-O927,0),((T926)*(1+$C$10)+IF(B927="Working",F90,0))),0)</f>
        <v/>
      </c>
      <c r="Q927" s="138">
        <f>MAX(((Q926)*(1+$C$10)+IF(B927="Working",J927,0))-M927,0)</f>
        <v/>
      </c>
      <c r="R927" s="138">
        <f>MAX(((R926)*(1+$C$10)+IF(B927="Working",E90,0))-N927,0)</f>
        <v/>
      </c>
      <c r="S927" s="138">
        <f>MAX(((S926)*(1+$C$10)+IF(B927="Working",I927,0))-O927,0)</f>
        <v/>
      </c>
      <c r="T927" s="138">
        <f>MAX(((T926)*(1+$C$10)+IF(B927="Working",F90,0))-P927,0)</f>
        <v/>
      </c>
      <c r="U927" s="138">
        <f>Q927+R927+S927+T927</f>
        <v/>
      </c>
      <c r="V927" s="138">
        <f>IF(B927="Working",MAX(-(((Q926)*(1+$C$10)+IF(B927="Working",J927,0))),0),MAX(K927-L927,0))</f>
        <v/>
      </c>
      <c r="W927" s="138">
        <f>IF(OR(A927&gt;=$C$13,B927="Retired"),IF(V927&gt;0,-V927,U927-'Model Inputs'!$B$18),"")</f>
        <v/>
      </c>
      <c r="X927" s="138">
        <f>IF(AND($L$242&gt;0,A927&gt;=$C$13),$L$242*(1+$C$25)^(A927-$C$13),0)</f>
        <v/>
      </c>
      <c r="Y927" s="138">
        <f>IF(OR($L$242&lt;=0,$C$17&lt;=0,A927&lt;$C$13,MIN(MAX((A927-$C$13+1)*12,0),$C$17*12)&gt;=$C$17*12),0,IF($C$16=0,MAX(MAX($L$242*(1-$C$15),0)-(IF($C$17&lt;=0,0,IF($C$16=0,MAX($L$242*(1-$C$15),0)/$C$17,-PMT($C$16/12,$C$17*12,MAX($L$242*(1-$C$15),0))*12))/12)*MIN(MAX((A927-$C$13+1)*12,0),$C$17*12),0),MAX(MAX($L$242*(1-$C$15),0)*(1+$C$16/12)^MIN(MAX((A927-$C$13+1)*12,0),$C$17*12)-(IF($C$17&lt;=0,0,IF($C$16=0,MAX($L$242*(1-$C$15),0)/$C$17,-PMT($C$16/12,$C$17*12,MAX($L$242*(1-$C$15),0))*12))/12)*(((1+$C$16/12)^MIN(MAX((A927-$C$13+1)*12,0),$C$17*12)-1)/($C$16/12)),0)))</f>
        <v/>
      </c>
      <c r="Z927" s="138">
        <f>MAX(X927-Y927,0)</f>
        <v/>
      </c>
      <c r="AA927" s="139">
        <f>U927+Z927</f>
        <v/>
      </c>
      <c r="AB927" s="5" t="n"/>
      <c r="AC927" s="5" t="n"/>
      <c r="AD927" s="5" t="n"/>
      <c r="AE927" s="5" t="n"/>
      <c r="AF927" s="5" t="n"/>
      <c r="AG927" s="5" t="n"/>
    </row>
    <row r="928" outlineLevel="1" s="326">
      <c r="A928" s="140" t="n">
        <v>12</v>
      </c>
      <c r="B928" s="40">
        <f>B91</f>
        <v/>
      </c>
      <c r="C928" s="141">
        <f>D91</f>
        <v/>
      </c>
      <c r="D928" s="141">
        <f>I91</f>
        <v/>
      </c>
      <c r="E928" s="141">
        <f>J91</f>
        <v/>
      </c>
      <c r="F928" s="141">
        <f>K91</f>
        <v/>
      </c>
      <c r="G928" s="138">
        <f>IF(AND($L$242&gt;0,A928=$C$13),$L$242*($C$15+$C$18),0)+IF(AND($L$242&gt;0,A928=$C$13),$C$24,0)</f>
        <v/>
      </c>
      <c r="H928" s="138">
        <f>IF(OR($L$242&lt;=0,A928&lt;$C$13),0,IF(AND($L$242&gt;0,$C$17&gt;0,A928&gt;=$C$13,A928&lt;($C$13+$C$17)),IF($C$17&lt;=0,0,IF($C$16=0,MAX($L$242*(1-$C$15),0)/$C$17,-PMT($C$16/12,$C$17*12,MAX($L$242*(1-$C$15),0))*12)),0)+X928*($C$19+$C$20+$C$21)+$C$22+$C$23)</f>
        <v/>
      </c>
      <c r="I928" s="138">
        <f>IF(B928="Working",MIN(MAX(D928-E928-F928-G928-H928,0),'Tax Assumptions'!$B$20),0)</f>
        <v/>
      </c>
      <c r="J928" s="138">
        <f>IF(B928="Working",D928-E928-F928-I928-G928-H928,-L928)</f>
        <v/>
      </c>
      <c r="K928" s="141">
        <f>IF(B928="Retired",$N$242+G928+H928,0)</f>
        <v/>
      </c>
      <c r="L928" s="141">
        <f>M928+N928+O928+P928</f>
        <v/>
      </c>
      <c r="M928" s="141">
        <f>IF(B928="Retired",MIN(((Q927)*(1+$C$10)+IF(B928="Working",J928,0)),K928),0)</f>
        <v/>
      </c>
      <c r="N928" s="141">
        <f>IF(B928="Retired",MIN(MAX(K928-M928,0),((R927)*(1+$C$10)+IF(B928="Working",E91,0))),0)</f>
        <v/>
      </c>
      <c r="O928" s="141">
        <f>IF(B928="Retired",MIN(MAX(K928-M928-N928,0),((S927)*(1+$C$10)+IF(B928="Working",I928,0))),0)</f>
        <v/>
      </c>
      <c r="P928" s="141">
        <f>IF(B928="Retired",MIN(MAX(K928-M928-N928-O928,0),((T927)*(1+$C$10)+IF(B928="Working",F91,0))),0)</f>
        <v/>
      </c>
      <c r="Q928" s="138">
        <f>MAX(((Q927)*(1+$C$10)+IF(B928="Working",J928,0))-M928,0)</f>
        <v/>
      </c>
      <c r="R928" s="138">
        <f>MAX(((R927)*(1+$C$10)+IF(B928="Working",E91,0))-N928,0)</f>
        <v/>
      </c>
      <c r="S928" s="138">
        <f>MAX(((S927)*(1+$C$10)+IF(B928="Working",I928,0))-O928,0)</f>
        <v/>
      </c>
      <c r="T928" s="138">
        <f>MAX(((T927)*(1+$C$10)+IF(B928="Working",F91,0))-P928,0)</f>
        <v/>
      </c>
      <c r="U928" s="138">
        <f>Q928+R928+S928+T928</f>
        <v/>
      </c>
      <c r="V928" s="138">
        <f>IF(B928="Working",MAX(-(((Q927)*(1+$C$10)+IF(B928="Working",J928,0))),0),MAX(K928-L928,0))</f>
        <v/>
      </c>
      <c r="W928" s="138">
        <f>IF(OR(A928&gt;=$C$13,B928="Retired"),IF(V928&gt;0,-V928,U928-'Model Inputs'!$B$18),"")</f>
        <v/>
      </c>
      <c r="X928" s="138">
        <f>IF(AND($L$242&gt;0,A928&gt;=$C$13),$L$242*(1+$C$25)^(A928-$C$13),0)</f>
        <v/>
      </c>
      <c r="Y928" s="138">
        <f>IF(OR($L$242&lt;=0,$C$17&lt;=0,A928&lt;$C$13,MIN(MAX((A928-$C$13+1)*12,0),$C$17*12)&gt;=$C$17*12),0,IF($C$16=0,MAX(MAX($L$242*(1-$C$15),0)-(IF($C$17&lt;=0,0,IF($C$16=0,MAX($L$242*(1-$C$15),0)/$C$17,-PMT($C$16/12,$C$17*12,MAX($L$242*(1-$C$15),0))*12))/12)*MIN(MAX((A928-$C$13+1)*12,0),$C$17*12),0),MAX(MAX($L$242*(1-$C$15),0)*(1+$C$16/12)^MIN(MAX((A928-$C$13+1)*12,0),$C$17*12)-(IF($C$17&lt;=0,0,IF($C$16=0,MAX($L$242*(1-$C$15),0)/$C$17,-PMT($C$16/12,$C$17*12,MAX($L$242*(1-$C$15),0))*12))/12)*(((1+$C$16/12)^MIN(MAX((A928-$C$13+1)*12,0),$C$17*12)-1)/($C$16/12)),0)))</f>
        <v/>
      </c>
      <c r="Z928" s="138">
        <f>MAX(X928-Y928,0)</f>
        <v/>
      </c>
      <c r="AA928" s="142">
        <f>U928+Z928</f>
        <v/>
      </c>
      <c r="AB928" s="5" t="n"/>
      <c r="AC928" s="5" t="n"/>
      <c r="AD928" s="5" t="n"/>
      <c r="AE928" s="5" t="n"/>
      <c r="AF928" s="5" t="n"/>
      <c r="AG928" s="5" t="n"/>
    </row>
    <row r="929" outlineLevel="1" s="326">
      <c r="A929" s="136" t="n">
        <v>13</v>
      </c>
      <c r="B929" s="72">
        <f>B92</f>
        <v/>
      </c>
      <c r="C929" s="137">
        <f>D92</f>
        <v/>
      </c>
      <c r="D929" s="137">
        <f>I92</f>
        <v/>
      </c>
      <c r="E929" s="137">
        <f>J92</f>
        <v/>
      </c>
      <c r="F929" s="137">
        <f>K92</f>
        <v/>
      </c>
      <c r="G929" s="138">
        <f>IF(AND($L$242&gt;0,A929=$C$13),$L$242*($C$15+$C$18),0)+IF(AND($L$242&gt;0,A929=$C$13),$C$24,0)</f>
        <v/>
      </c>
      <c r="H929" s="138">
        <f>IF(OR($L$242&lt;=0,A929&lt;$C$13),0,IF(AND($L$242&gt;0,$C$17&gt;0,A929&gt;=$C$13,A929&lt;($C$13+$C$17)),IF($C$17&lt;=0,0,IF($C$16=0,MAX($L$242*(1-$C$15),0)/$C$17,-PMT($C$16/12,$C$17*12,MAX($L$242*(1-$C$15),0))*12)),0)+X929*($C$19+$C$20+$C$21)+$C$22+$C$23)</f>
        <v/>
      </c>
      <c r="I929" s="138">
        <f>IF(B929="Working",MIN(MAX(D929-E929-F929-G929-H929,0),'Tax Assumptions'!$B$20),0)</f>
        <v/>
      </c>
      <c r="J929" s="138">
        <f>IF(B929="Working",D929-E929-F929-I929-G929-H929,-L929)</f>
        <v/>
      </c>
      <c r="K929" s="137">
        <f>IF(B929="Retired",$N$242+G929+H929,0)</f>
        <v/>
      </c>
      <c r="L929" s="137">
        <f>M929+N929+O929+P929</f>
        <v/>
      </c>
      <c r="M929" s="137">
        <f>IF(B929="Retired",MIN(((Q928)*(1+$C$10)+IF(B929="Working",J929,0)),K929),0)</f>
        <v/>
      </c>
      <c r="N929" s="137">
        <f>IF(B929="Retired",MIN(MAX(K929-M929,0),((R928)*(1+$C$10)+IF(B929="Working",E92,0))),0)</f>
        <v/>
      </c>
      <c r="O929" s="137">
        <f>IF(B929="Retired",MIN(MAX(K929-M929-N929,0),((S928)*(1+$C$10)+IF(B929="Working",I929,0))),0)</f>
        <v/>
      </c>
      <c r="P929" s="137">
        <f>IF(B929="Retired",MIN(MAX(K929-M929-N929-O929,0),((T928)*(1+$C$10)+IF(B929="Working",F92,0))),0)</f>
        <v/>
      </c>
      <c r="Q929" s="138">
        <f>MAX(((Q928)*(1+$C$10)+IF(B929="Working",J929,0))-M929,0)</f>
        <v/>
      </c>
      <c r="R929" s="138">
        <f>MAX(((R928)*(1+$C$10)+IF(B929="Working",E92,0))-N929,0)</f>
        <v/>
      </c>
      <c r="S929" s="138">
        <f>MAX(((S928)*(1+$C$10)+IF(B929="Working",I929,0))-O929,0)</f>
        <v/>
      </c>
      <c r="T929" s="138">
        <f>MAX(((T928)*(1+$C$10)+IF(B929="Working",F92,0))-P929,0)</f>
        <v/>
      </c>
      <c r="U929" s="138">
        <f>Q929+R929+S929+T929</f>
        <v/>
      </c>
      <c r="V929" s="138">
        <f>IF(B929="Working",MAX(-(((Q928)*(1+$C$10)+IF(B929="Working",J929,0))),0),MAX(K929-L929,0))</f>
        <v/>
      </c>
      <c r="W929" s="138">
        <f>IF(OR(A929&gt;=$C$13,B929="Retired"),IF(V929&gt;0,-V929,U929-'Model Inputs'!$B$18),"")</f>
        <v/>
      </c>
      <c r="X929" s="138">
        <f>IF(AND($L$242&gt;0,A929&gt;=$C$13),$L$242*(1+$C$25)^(A929-$C$13),0)</f>
        <v/>
      </c>
      <c r="Y929" s="138">
        <f>IF(OR($L$242&lt;=0,$C$17&lt;=0,A929&lt;$C$13,MIN(MAX((A929-$C$13+1)*12,0),$C$17*12)&gt;=$C$17*12),0,IF($C$16=0,MAX(MAX($L$242*(1-$C$15),0)-(IF($C$17&lt;=0,0,IF($C$16=0,MAX($L$242*(1-$C$15),0)/$C$17,-PMT($C$16/12,$C$17*12,MAX($L$242*(1-$C$15),0))*12))/12)*MIN(MAX((A929-$C$13+1)*12,0),$C$17*12),0),MAX(MAX($L$242*(1-$C$15),0)*(1+$C$16/12)^MIN(MAX((A929-$C$13+1)*12,0),$C$17*12)-(IF($C$17&lt;=0,0,IF($C$16=0,MAX($L$242*(1-$C$15),0)/$C$17,-PMT($C$16/12,$C$17*12,MAX($L$242*(1-$C$15),0))*12))/12)*(((1+$C$16/12)^MIN(MAX((A929-$C$13+1)*12,0),$C$17*12)-1)/($C$16/12)),0)))</f>
        <v/>
      </c>
      <c r="Z929" s="138">
        <f>MAX(X929-Y929,0)</f>
        <v/>
      </c>
      <c r="AA929" s="139">
        <f>U929+Z929</f>
        <v/>
      </c>
      <c r="AB929" s="5" t="n"/>
      <c r="AC929" s="5" t="n"/>
      <c r="AD929" s="5" t="n"/>
      <c r="AE929" s="5" t="n"/>
      <c r="AF929" s="5" t="n"/>
      <c r="AG929" s="5" t="n"/>
    </row>
    <row r="930" outlineLevel="1" s="326">
      <c r="A930" s="140" t="n">
        <v>14</v>
      </c>
      <c r="B930" s="40">
        <f>B93</f>
        <v/>
      </c>
      <c r="C930" s="141">
        <f>D93</f>
        <v/>
      </c>
      <c r="D930" s="141">
        <f>I93</f>
        <v/>
      </c>
      <c r="E930" s="141">
        <f>J93</f>
        <v/>
      </c>
      <c r="F930" s="141">
        <f>K93</f>
        <v/>
      </c>
      <c r="G930" s="138">
        <f>IF(AND($L$242&gt;0,A930=$C$13),$L$242*($C$15+$C$18),0)+IF(AND($L$242&gt;0,A930=$C$13),$C$24,0)</f>
        <v/>
      </c>
      <c r="H930" s="138">
        <f>IF(OR($L$242&lt;=0,A930&lt;$C$13),0,IF(AND($L$242&gt;0,$C$17&gt;0,A930&gt;=$C$13,A930&lt;($C$13+$C$17)),IF($C$17&lt;=0,0,IF($C$16=0,MAX($L$242*(1-$C$15),0)/$C$17,-PMT($C$16/12,$C$17*12,MAX($L$242*(1-$C$15),0))*12)),0)+X930*($C$19+$C$20+$C$21)+$C$22+$C$23)</f>
        <v/>
      </c>
      <c r="I930" s="138">
        <f>IF(B930="Working",MIN(MAX(D930-E930-F930-G930-H930,0),'Tax Assumptions'!$B$20),0)</f>
        <v/>
      </c>
      <c r="J930" s="138">
        <f>IF(B930="Working",D930-E930-F930-I930-G930-H930,-L930)</f>
        <v/>
      </c>
      <c r="K930" s="141">
        <f>IF(B930="Retired",$N$242+G930+H930,0)</f>
        <v/>
      </c>
      <c r="L930" s="141">
        <f>M930+N930+O930+P930</f>
        <v/>
      </c>
      <c r="M930" s="141">
        <f>IF(B930="Retired",MIN(((Q929)*(1+$C$10)+IF(B930="Working",J930,0)),K930),0)</f>
        <v/>
      </c>
      <c r="N930" s="141">
        <f>IF(B930="Retired",MIN(MAX(K930-M930,0),((R929)*(1+$C$10)+IF(B930="Working",E93,0))),0)</f>
        <v/>
      </c>
      <c r="O930" s="141">
        <f>IF(B930="Retired",MIN(MAX(K930-M930-N930,0),((S929)*(1+$C$10)+IF(B930="Working",I930,0))),0)</f>
        <v/>
      </c>
      <c r="P930" s="141">
        <f>IF(B930="Retired",MIN(MAX(K930-M930-N930-O930,0),((T929)*(1+$C$10)+IF(B930="Working",F93,0))),0)</f>
        <v/>
      </c>
      <c r="Q930" s="138">
        <f>MAX(((Q929)*(1+$C$10)+IF(B930="Working",J930,0))-M930,0)</f>
        <v/>
      </c>
      <c r="R930" s="138">
        <f>MAX(((R929)*(1+$C$10)+IF(B930="Working",E93,0))-N930,0)</f>
        <v/>
      </c>
      <c r="S930" s="138">
        <f>MAX(((S929)*(1+$C$10)+IF(B930="Working",I930,0))-O930,0)</f>
        <v/>
      </c>
      <c r="T930" s="138">
        <f>MAX(((T929)*(1+$C$10)+IF(B930="Working",F93,0))-P930,0)</f>
        <v/>
      </c>
      <c r="U930" s="138">
        <f>Q930+R930+S930+T930</f>
        <v/>
      </c>
      <c r="V930" s="138">
        <f>IF(B930="Working",MAX(-(((Q929)*(1+$C$10)+IF(B930="Working",J930,0))),0),MAX(K930-L930,0))</f>
        <v/>
      </c>
      <c r="W930" s="138">
        <f>IF(OR(A930&gt;=$C$13,B930="Retired"),IF(V930&gt;0,-V930,U930-'Model Inputs'!$B$18),"")</f>
        <v/>
      </c>
      <c r="X930" s="138">
        <f>IF(AND($L$242&gt;0,A930&gt;=$C$13),$L$242*(1+$C$25)^(A930-$C$13),0)</f>
        <v/>
      </c>
      <c r="Y930" s="138">
        <f>IF(OR($L$242&lt;=0,$C$17&lt;=0,A930&lt;$C$13,MIN(MAX((A930-$C$13+1)*12,0),$C$17*12)&gt;=$C$17*12),0,IF($C$16=0,MAX(MAX($L$242*(1-$C$15),0)-(IF($C$17&lt;=0,0,IF($C$16=0,MAX($L$242*(1-$C$15),0)/$C$17,-PMT($C$16/12,$C$17*12,MAX($L$242*(1-$C$15),0))*12))/12)*MIN(MAX((A930-$C$13+1)*12,0),$C$17*12),0),MAX(MAX($L$242*(1-$C$15),0)*(1+$C$16/12)^MIN(MAX((A930-$C$13+1)*12,0),$C$17*12)-(IF($C$17&lt;=0,0,IF($C$16=0,MAX($L$242*(1-$C$15),0)/$C$17,-PMT($C$16/12,$C$17*12,MAX($L$242*(1-$C$15),0))*12))/12)*(((1+$C$16/12)^MIN(MAX((A930-$C$13+1)*12,0),$C$17*12)-1)/($C$16/12)),0)))</f>
        <v/>
      </c>
      <c r="Z930" s="138">
        <f>MAX(X930-Y930,0)</f>
        <v/>
      </c>
      <c r="AA930" s="142">
        <f>U930+Z930</f>
        <v/>
      </c>
      <c r="AB930" s="5" t="n"/>
      <c r="AC930" s="5" t="n"/>
      <c r="AD930" s="5" t="n"/>
      <c r="AE930" s="5" t="n"/>
      <c r="AF930" s="5" t="n"/>
      <c r="AG930" s="5" t="n"/>
    </row>
    <row r="931" outlineLevel="1" s="326">
      <c r="A931" s="136" t="n">
        <v>15</v>
      </c>
      <c r="B931" s="72">
        <f>B94</f>
        <v/>
      </c>
      <c r="C931" s="137">
        <f>D94</f>
        <v/>
      </c>
      <c r="D931" s="137">
        <f>I94</f>
        <v/>
      </c>
      <c r="E931" s="137">
        <f>J94</f>
        <v/>
      </c>
      <c r="F931" s="137">
        <f>K94</f>
        <v/>
      </c>
      <c r="G931" s="138">
        <f>IF(AND($L$242&gt;0,A931=$C$13),$L$242*($C$15+$C$18),0)+IF(AND($L$242&gt;0,A931=$C$13),$C$24,0)</f>
        <v/>
      </c>
      <c r="H931" s="138">
        <f>IF(OR($L$242&lt;=0,A931&lt;$C$13),0,IF(AND($L$242&gt;0,$C$17&gt;0,A931&gt;=$C$13,A931&lt;($C$13+$C$17)),IF($C$17&lt;=0,0,IF($C$16=0,MAX($L$242*(1-$C$15),0)/$C$17,-PMT($C$16/12,$C$17*12,MAX($L$242*(1-$C$15),0))*12)),0)+X931*($C$19+$C$20+$C$21)+$C$22+$C$23)</f>
        <v/>
      </c>
      <c r="I931" s="138">
        <f>IF(B931="Working",MIN(MAX(D931-E931-F931-G931-H931,0),'Tax Assumptions'!$B$20),0)</f>
        <v/>
      </c>
      <c r="J931" s="138">
        <f>IF(B931="Working",D931-E931-F931-I931-G931-H931,-L931)</f>
        <v/>
      </c>
      <c r="K931" s="137">
        <f>IF(B931="Retired",$N$242+G931+H931,0)</f>
        <v/>
      </c>
      <c r="L931" s="137">
        <f>M931+N931+O931+P931</f>
        <v/>
      </c>
      <c r="M931" s="137">
        <f>IF(B931="Retired",MIN(((Q930)*(1+$C$10)+IF(B931="Working",J931,0)),K931),0)</f>
        <v/>
      </c>
      <c r="N931" s="137">
        <f>IF(B931="Retired",MIN(MAX(K931-M931,0),((R930)*(1+$C$10)+IF(B931="Working",E94,0))),0)</f>
        <v/>
      </c>
      <c r="O931" s="137">
        <f>IF(B931="Retired",MIN(MAX(K931-M931-N931,0),((S930)*(1+$C$10)+IF(B931="Working",I931,0))),0)</f>
        <v/>
      </c>
      <c r="P931" s="137">
        <f>IF(B931="Retired",MIN(MAX(K931-M931-N931-O931,0),((T930)*(1+$C$10)+IF(B931="Working",F94,0))),0)</f>
        <v/>
      </c>
      <c r="Q931" s="138">
        <f>MAX(((Q930)*(1+$C$10)+IF(B931="Working",J931,0))-M931,0)</f>
        <v/>
      </c>
      <c r="R931" s="138">
        <f>MAX(((R930)*(1+$C$10)+IF(B931="Working",E94,0))-N931,0)</f>
        <v/>
      </c>
      <c r="S931" s="138">
        <f>MAX(((S930)*(1+$C$10)+IF(B931="Working",I931,0))-O931,0)</f>
        <v/>
      </c>
      <c r="T931" s="138">
        <f>MAX(((T930)*(1+$C$10)+IF(B931="Working",F94,0))-P931,0)</f>
        <v/>
      </c>
      <c r="U931" s="138">
        <f>Q931+R931+S931+T931</f>
        <v/>
      </c>
      <c r="V931" s="138">
        <f>IF(B931="Working",MAX(-(((Q930)*(1+$C$10)+IF(B931="Working",J931,0))),0),MAX(K931-L931,0))</f>
        <v/>
      </c>
      <c r="W931" s="138">
        <f>IF(OR(A931&gt;=$C$13,B931="Retired"),IF(V931&gt;0,-V931,U931-'Model Inputs'!$B$18),"")</f>
        <v/>
      </c>
      <c r="X931" s="138">
        <f>IF(AND($L$242&gt;0,A931&gt;=$C$13),$L$242*(1+$C$25)^(A931-$C$13),0)</f>
        <v/>
      </c>
      <c r="Y931" s="138">
        <f>IF(OR($L$242&lt;=0,$C$17&lt;=0,A931&lt;$C$13,MIN(MAX((A931-$C$13+1)*12,0),$C$17*12)&gt;=$C$17*12),0,IF($C$16=0,MAX(MAX($L$242*(1-$C$15),0)-(IF($C$17&lt;=0,0,IF($C$16=0,MAX($L$242*(1-$C$15),0)/$C$17,-PMT($C$16/12,$C$17*12,MAX($L$242*(1-$C$15),0))*12))/12)*MIN(MAX((A931-$C$13+1)*12,0),$C$17*12),0),MAX(MAX($L$242*(1-$C$15),0)*(1+$C$16/12)^MIN(MAX((A931-$C$13+1)*12,0),$C$17*12)-(IF($C$17&lt;=0,0,IF($C$16=0,MAX($L$242*(1-$C$15),0)/$C$17,-PMT($C$16/12,$C$17*12,MAX($L$242*(1-$C$15),0))*12))/12)*(((1+$C$16/12)^MIN(MAX((A931-$C$13+1)*12,0),$C$17*12)-1)/($C$16/12)),0)))</f>
        <v/>
      </c>
      <c r="Z931" s="138">
        <f>MAX(X931-Y931,0)</f>
        <v/>
      </c>
      <c r="AA931" s="139">
        <f>U931+Z931</f>
        <v/>
      </c>
      <c r="AB931" s="5" t="n"/>
      <c r="AC931" s="5" t="n"/>
      <c r="AD931" s="5" t="n"/>
      <c r="AE931" s="5" t="n"/>
      <c r="AF931" s="5" t="n"/>
      <c r="AG931" s="5" t="n"/>
    </row>
    <row r="932" outlineLevel="1" s="326">
      <c r="A932" s="140" t="n">
        <v>16</v>
      </c>
      <c r="B932" s="40">
        <f>B95</f>
        <v/>
      </c>
      <c r="C932" s="141">
        <f>D95</f>
        <v/>
      </c>
      <c r="D932" s="141">
        <f>I95</f>
        <v/>
      </c>
      <c r="E932" s="141">
        <f>J95</f>
        <v/>
      </c>
      <c r="F932" s="141">
        <f>K95</f>
        <v/>
      </c>
      <c r="G932" s="138">
        <f>IF(AND($L$242&gt;0,A932=$C$13),$L$242*($C$15+$C$18),0)+IF(AND($L$242&gt;0,A932=$C$13),$C$24,0)</f>
        <v/>
      </c>
      <c r="H932" s="138">
        <f>IF(OR($L$242&lt;=0,A932&lt;$C$13),0,IF(AND($L$242&gt;0,$C$17&gt;0,A932&gt;=$C$13,A932&lt;($C$13+$C$17)),IF($C$17&lt;=0,0,IF($C$16=0,MAX($L$242*(1-$C$15),0)/$C$17,-PMT($C$16/12,$C$17*12,MAX($L$242*(1-$C$15),0))*12)),0)+X932*($C$19+$C$20+$C$21)+$C$22+$C$23)</f>
        <v/>
      </c>
      <c r="I932" s="138">
        <f>IF(B932="Working",MIN(MAX(D932-E932-F932-G932-H932,0),'Tax Assumptions'!$B$20),0)</f>
        <v/>
      </c>
      <c r="J932" s="138">
        <f>IF(B932="Working",D932-E932-F932-I932-G932-H932,-L932)</f>
        <v/>
      </c>
      <c r="K932" s="141">
        <f>IF(B932="Retired",$N$242+G932+H932,0)</f>
        <v/>
      </c>
      <c r="L932" s="141">
        <f>M932+N932+O932+P932</f>
        <v/>
      </c>
      <c r="M932" s="141">
        <f>IF(B932="Retired",MIN(((Q931)*(1+$C$10)+IF(B932="Working",J932,0)),K932),0)</f>
        <v/>
      </c>
      <c r="N932" s="141">
        <f>IF(B932="Retired",MIN(MAX(K932-M932,0),((R931)*(1+$C$10)+IF(B932="Working",E95,0))),0)</f>
        <v/>
      </c>
      <c r="O932" s="141">
        <f>IF(B932="Retired",MIN(MAX(K932-M932-N932,0),((S931)*(1+$C$10)+IF(B932="Working",I932,0))),0)</f>
        <v/>
      </c>
      <c r="P932" s="141">
        <f>IF(B932="Retired",MIN(MAX(K932-M932-N932-O932,0),((T931)*(1+$C$10)+IF(B932="Working",F95,0))),0)</f>
        <v/>
      </c>
      <c r="Q932" s="138">
        <f>MAX(((Q931)*(1+$C$10)+IF(B932="Working",J932,0))-M932,0)</f>
        <v/>
      </c>
      <c r="R932" s="138">
        <f>MAX(((R931)*(1+$C$10)+IF(B932="Working",E95,0))-N932,0)</f>
        <v/>
      </c>
      <c r="S932" s="138">
        <f>MAX(((S931)*(1+$C$10)+IF(B932="Working",I932,0))-O932,0)</f>
        <v/>
      </c>
      <c r="T932" s="138">
        <f>MAX(((T931)*(1+$C$10)+IF(B932="Working",F95,0))-P932,0)</f>
        <v/>
      </c>
      <c r="U932" s="138">
        <f>Q932+R932+S932+T932</f>
        <v/>
      </c>
      <c r="V932" s="138">
        <f>IF(B932="Working",MAX(-(((Q931)*(1+$C$10)+IF(B932="Working",J932,0))),0),MAX(K932-L932,0))</f>
        <v/>
      </c>
      <c r="W932" s="138">
        <f>IF(OR(A932&gt;=$C$13,B932="Retired"),IF(V932&gt;0,-V932,U932-'Model Inputs'!$B$18),"")</f>
        <v/>
      </c>
      <c r="X932" s="138">
        <f>IF(AND($L$242&gt;0,A932&gt;=$C$13),$L$242*(1+$C$25)^(A932-$C$13),0)</f>
        <v/>
      </c>
      <c r="Y932" s="138">
        <f>IF(OR($L$242&lt;=0,$C$17&lt;=0,A932&lt;$C$13,MIN(MAX((A932-$C$13+1)*12,0),$C$17*12)&gt;=$C$17*12),0,IF($C$16=0,MAX(MAX($L$242*(1-$C$15),0)-(IF($C$17&lt;=0,0,IF($C$16=0,MAX($L$242*(1-$C$15),0)/$C$17,-PMT($C$16/12,$C$17*12,MAX($L$242*(1-$C$15),0))*12))/12)*MIN(MAX((A932-$C$13+1)*12,0),$C$17*12),0),MAX(MAX($L$242*(1-$C$15),0)*(1+$C$16/12)^MIN(MAX((A932-$C$13+1)*12,0),$C$17*12)-(IF($C$17&lt;=0,0,IF($C$16=0,MAX($L$242*(1-$C$15),0)/$C$17,-PMT($C$16/12,$C$17*12,MAX($L$242*(1-$C$15),0))*12))/12)*(((1+$C$16/12)^MIN(MAX((A932-$C$13+1)*12,0),$C$17*12)-1)/($C$16/12)),0)))</f>
        <v/>
      </c>
      <c r="Z932" s="138">
        <f>MAX(X932-Y932,0)</f>
        <v/>
      </c>
      <c r="AA932" s="142">
        <f>U932+Z932</f>
        <v/>
      </c>
      <c r="AB932" s="5" t="n"/>
      <c r="AC932" s="5" t="n"/>
      <c r="AD932" s="5" t="n"/>
      <c r="AE932" s="5" t="n"/>
      <c r="AF932" s="5" t="n"/>
      <c r="AG932" s="5" t="n"/>
    </row>
    <row r="933" outlineLevel="1" s="326">
      <c r="A933" s="136" t="n">
        <v>17</v>
      </c>
      <c r="B933" s="72">
        <f>B96</f>
        <v/>
      </c>
      <c r="C933" s="137">
        <f>D96</f>
        <v/>
      </c>
      <c r="D933" s="137">
        <f>I96</f>
        <v/>
      </c>
      <c r="E933" s="137">
        <f>J96</f>
        <v/>
      </c>
      <c r="F933" s="137">
        <f>K96</f>
        <v/>
      </c>
      <c r="G933" s="138">
        <f>IF(AND($L$242&gt;0,A933=$C$13),$L$242*($C$15+$C$18),0)+IF(AND($L$242&gt;0,A933=$C$13),$C$24,0)</f>
        <v/>
      </c>
      <c r="H933" s="138">
        <f>IF(OR($L$242&lt;=0,A933&lt;$C$13),0,IF(AND($L$242&gt;0,$C$17&gt;0,A933&gt;=$C$13,A933&lt;($C$13+$C$17)),IF($C$17&lt;=0,0,IF($C$16=0,MAX($L$242*(1-$C$15),0)/$C$17,-PMT($C$16/12,$C$17*12,MAX($L$242*(1-$C$15),0))*12)),0)+X933*($C$19+$C$20+$C$21)+$C$22+$C$23)</f>
        <v/>
      </c>
      <c r="I933" s="138">
        <f>IF(B933="Working",MIN(MAX(D933-E933-F933-G933-H933,0),'Tax Assumptions'!$B$20),0)</f>
        <v/>
      </c>
      <c r="J933" s="138">
        <f>IF(B933="Working",D933-E933-F933-I933-G933-H933,-L933)</f>
        <v/>
      </c>
      <c r="K933" s="137">
        <f>IF(B933="Retired",$N$242+G933+H933,0)</f>
        <v/>
      </c>
      <c r="L933" s="137">
        <f>M933+N933+O933+P933</f>
        <v/>
      </c>
      <c r="M933" s="137">
        <f>IF(B933="Retired",MIN(((Q932)*(1+$C$10)+IF(B933="Working",J933,0)),K933),0)</f>
        <v/>
      </c>
      <c r="N933" s="137">
        <f>IF(B933="Retired",MIN(MAX(K933-M933,0),((R932)*(1+$C$10)+IF(B933="Working",E96,0))),0)</f>
        <v/>
      </c>
      <c r="O933" s="137">
        <f>IF(B933="Retired",MIN(MAX(K933-M933-N933,0),((S932)*(1+$C$10)+IF(B933="Working",I933,0))),0)</f>
        <v/>
      </c>
      <c r="P933" s="137">
        <f>IF(B933="Retired",MIN(MAX(K933-M933-N933-O933,0),((T932)*(1+$C$10)+IF(B933="Working",F96,0))),0)</f>
        <v/>
      </c>
      <c r="Q933" s="138">
        <f>MAX(((Q932)*(1+$C$10)+IF(B933="Working",J933,0))-M933,0)</f>
        <v/>
      </c>
      <c r="R933" s="138">
        <f>MAX(((R932)*(1+$C$10)+IF(B933="Working",E96,0))-N933,0)</f>
        <v/>
      </c>
      <c r="S933" s="138">
        <f>MAX(((S932)*(1+$C$10)+IF(B933="Working",I933,0))-O933,0)</f>
        <v/>
      </c>
      <c r="T933" s="138">
        <f>MAX(((T932)*(1+$C$10)+IF(B933="Working",F96,0))-P933,0)</f>
        <v/>
      </c>
      <c r="U933" s="138">
        <f>Q933+R933+S933+T933</f>
        <v/>
      </c>
      <c r="V933" s="138">
        <f>IF(B933="Working",MAX(-(((Q932)*(1+$C$10)+IF(B933="Working",J933,0))),0),MAX(K933-L933,0))</f>
        <v/>
      </c>
      <c r="W933" s="138">
        <f>IF(OR(A933&gt;=$C$13,B933="Retired"),IF(V933&gt;0,-V933,U933-'Model Inputs'!$B$18),"")</f>
        <v/>
      </c>
      <c r="X933" s="138">
        <f>IF(AND($L$242&gt;0,A933&gt;=$C$13),$L$242*(1+$C$25)^(A933-$C$13),0)</f>
        <v/>
      </c>
      <c r="Y933" s="138">
        <f>IF(OR($L$242&lt;=0,$C$17&lt;=0,A933&lt;$C$13,MIN(MAX((A933-$C$13+1)*12,0),$C$17*12)&gt;=$C$17*12),0,IF($C$16=0,MAX(MAX($L$242*(1-$C$15),0)-(IF($C$17&lt;=0,0,IF($C$16=0,MAX($L$242*(1-$C$15),0)/$C$17,-PMT($C$16/12,$C$17*12,MAX($L$242*(1-$C$15),0))*12))/12)*MIN(MAX((A933-$C$13+1)*12,0),$C$17*12),0),MAX(MAX($L$242*(1-$C$15),0)*(1+$C$16/12)^MIN(MAX((A933-$C$13+1)*12,0),$C$17*12)-(IF($C$17&lt;=0,0,IF($C$16=0,MAX($L$242*(1-$C$15),0)/$C$17,-PMT($C$16/12,$C$17*12,MAX($L$242*(1-$C$15),0))*12))/12)*(((1+$C$16/12)^MIN(MAX((A933-$C$13+1)*12,0),$C$17*12)-1)/($C$16/12)),0)))</f>
        <v/>
      </c>
      <c r="Z933" s="138">
        <f>MAX(X933-Y933,0)</f>
        <v/>
      </c>
      <c r="AA933" s="139">
        <f>U933+Z933</f>
        <v/>
      </c>
      <c r="AB933" s="5" t="n"/>
      <c r="AC933" s="5" t="n"/>
      <c r="AD933" s="5" t="n"/>
      <c r="AE933" s="5" t="n"/>
      <c r="AF933" s="5" t="n"/>
      <c r="AG933" s="5" t="n"/>
    </row>
    <row r="934" outlineLevel="1" s="326">
      <c r="A934" s="140" t="n">
        <v>18</v>
      </c>
      <c r="B934" s="40">
        <f>B97</f>
        <v/>
      </c>
      <c r="C934" s="141">
        <f>D97</f>
        <v/>
      </c>
      <c r="D934" s="141">
        <f>I97</f>
        <v/>
      </c>
      <c r="E934" s="141">
        <f>J97</f>
        <v/>
      </c>
      <c r="F934" s="141">
        <f>K97</f>
        <v/>
      </c>
      <c r="G934" s="138">
        <f>IF(AND($L$242&gt;0,A934=$C$13),$L$242*($C$15+$C$18),0)+IF(AND($L$242&gt;0,A934=$C$13),$C$24,0)</f>
        <v/>
      </c>
      <c r="H934" s="138">
        <f>IF(OR($L$242&lt;=0,A934&lt;$C$13),0,IF(AND($L$242&gt;0,$C$17&gt;0,A934&gt;=$C$13,A934&lt;($C$13+$C$17)),IF($C$17&lt;=0,0,IF($C$16=0,MAX($L$242*(1-$C$15),0)/$C$17,-PMT($C$16/12,$C$17*12,MAX($L$242*(1-$C$15),0))*12)),0)+X934*($C$19+$C$20+$C$21)+$C$22+$C$23)</f>
        <v/>
      </c>
      <c r="I934" s="138">
        <f>IF(B934="Working",MIN(MAX(D934-E934-F934-G934-H934,0),'Tax Assumptions'!$B$20),0)</f>
        <v/>
      </c>
      <c r="J934" s="138">
        <f>IF(B934="Working",D934-E934-F934-I934-G934-H934,-L934)</f>
        <v/>
      </c>
      <c r="K934" s="141">
        <f>IF(B934="Retired",$N$242+G934+H934,0)</f>
        <v/>
      </c>
      <c r="L934" s="141">
        <f>M934+N934+O934+P934</f>
        <v/>
      </c>
      <c r="M934" s="141">
        <f>IF(B934="Retired",MIN(((Q933)*(1+$C$10)+IF(B934="Working",J934,0)),K934),0)</f>
        <v/>
      </c>
      <c r="N934" s="141">
        <f>IF(B934="Retired",MIN(MAX(K934-M934,0),((R933)*(1+$C$10)+IF(B934="Working",E97,0))),0)</f>
        <v/>
      </c>
      <c r="O934" s="141">
        <f>IF(B934="Retired",MIN(MAX(K934-M934-N934,0),((S933)*(1+$C$10)+IF(B934="Working",I934,0))),0)</f>
        <v/>
      </c>
      <c r="P934" s="141">
        <f>IF(B934="Retired",MIN(MAX(K934-M934-N934-O934,0),((T933)*(1+$C$10)+IF(B934="Working",F97,0))),0)</f>
        <v/>
      </c>
      <c r="Q934" s="138">
        <f>MAX(((Q933)*(1+$C$10)+IF(B934="Working",J934,0))-M934,0)</f>
        <v/>
      </c>
      <c r="R934" s="138">
        <f>MAX(((R933)*(1+$C$10)+IF(B934="Working",E97,0))-N934,0)</f>
        <v/>
      </c>
      <c r="S934" s="138">
        <f>MAX(((S933)*(1+$C$10)+IF(B934="Working",I934,0))-O934,0)</f>
        <v/>
      </c>
      <c r="T934" s="138">
        <f>MAX(((T933)*(1+$C$10)+IF(B934="Working",F97,0))-P934,0)</f>
        <v/>
      </c>
      <c r="U934" s="138">
        <f>Q934+R934+S934+T934</f>
        <v/>
      </c>
      <c r="V934" s="138">
        <f>IF(B934="Working",MAX(-(((Q933)*(1+$C$10)+IF(B934="Working",J934,0))),0),MAX(K934-L934,0))</f>
        <v/>
      </c>
      <c r="W934" s="138">
        <f>IF(OR(A934&gt;=$C$13,B934="Retired"),IF(V934&gt;0,-V934,U934-'Model Inputs'!$B$18),"")</f>
        <v/>
      </c>
      <c r="X934" s="138">
        <f>IF(AND($L$242&gt;0,A934&gt;=$C$13),$L$242*(1+$C$25)^(A934-$C$13),0)</f>
        <v/>
      </c>
      <c r="Y934" s="138">
        <f>IF(OR($L$242&lt;=0,$C$17&lt;=0,A934&lt;$C$13,MIN(MAX((A934-$C$13+1)*12,0),$C$17*12)&gt;=$C$17*12),0,IF($C$16=0,MAX(MAX($L$242*(1-$C$15),0)-(IF($C$17&lt;=0,0,IF($C$16=0,MAX($L$242*(1-$C$15),0)/$C$17,-PMT($C$16/12,$C$17*12,MAX($L$242*(1-$C$15),0))*12))/12)*MIN(MAX((A934-$C$13+1)*12,0),$C$17*12),0),MAX(MAX($L$242*(1-$C$15),0)*(1+$C$16/12)^MIN(MAX((A934-$C$13+1)*12,0),$C$17*12)-(IF($C$17&lt;=0,0,IF($C$16=0,MAX($L$242*(1-$C$15),0)/$C$17,-PMT($C$16/12,$C$17*12,MAX($L$242*(1-$C$15),0))*12))/12)*(((1+$C$16/12)^MIN(MAX((A934-$C$13+1)*12,0),$C$17*12)-1)/($C$16/12)),0)))</f>
        <v/>
      </c>
      <c r="Z934" s="138">
        <f>MAX(X934-Y934,0)</f>
        <v/>
      </c>
      <c r="AA934" s="142">
        <f>U934+Z934</f>
        <v/>
      </c>
      <c r="AB934" s="5" t="n"/>
      <c r="AC934" s="5" t="n"/>
      <c r="AD934" s="5" t="n"/>
      <c r="AE934" s="5" t="n"/>
      <c r="AF934" s="5" t="n"/>
      <c r="AG934" s="5" t="n"/>
    </row>
    <row r="935" outlineLevel="1" s="326">
      <c r="A935" s="136" t="n">
        <v>19</v>
      </c>
      <c r="B935" s="72">
        <f>B98</f>
        <v/>
      </c>
      <c r="C935" s="137">
        <f>D98</f>
        <v/>
      </c>
      <c r="D935" s="137">
        <f>I98</f>
        <v/>
      </c>
      <c r="E935" s="137">
        <f>J98</f>
        <v/>
      </c>
      <c r="F935" s="137">
        <f>K98</f>
        <v/>
      </c>
      <c r="G935" s="138">
        <f>IF(AND($L$242&gt;0,A935=$C$13),$L$242*($C$15+$C$18),0)+IF(AND($L$242&gt;0,A935=$C$13),$C$24,0)</f>
        <v/>
      </c>
      <c r="H935" s="138">
        <f>IF(OR($L$242&lt;=0,A935&lt;$C$13),0,IF(AND($L$242&gt;0,$C$17&gt;0,A935&gt;=$C$13,A935&lt;($C$13+$C$17)),IF($C$17&lt;=0,0,IF($C$16=0,MAX($L$242*(1-$C$15),0)/$C$17,-PMT($C$16/12,$C$17*12,MAX($L$242*(1-$C$15),0))*12)),0)+X935*($C$19+$C$20+$C$21)+$C$22+$C$23)</f>
        <v/>
      </c>
      <c r="I935" s="138">
        <f>IF(B935="Working",MIN(MAX(D935-E935-F935-G935-H935,0),'Tax Assumptions'!$B$20),0)</f>
        <v/>
      </c>
      <c r="J935" s="138">
        <f>IF(B935="Working",D935-E935-F935-I935-G935-H935,-L935)</f>
        <v/>
      </c>
      <c r="K935" s="137">
        <f>IF(B935="Retired",$N$242+G935+H935,0)</f>
        <v/>
      </c>
      <c r="L935" s="137">
        <f>M935+N935+O935+P935</f>
        <v/>
      </c>
      <c r="M935" s="137">
        <f>IF(B935="Retired",MIN(((Q934)*(1+$C$10)+IF(B935="Working",J935,0)),K935),0)</f>
        <v/>
      </c>
      <c r="N935" s="137">
        <f>IF(B935="Retired",MIN(MAX(K935-M935,0),((R934)*(1+$C$10)+IF(B935="Working",E98,0))),0)</f>
        <v/>
      </c>
      <c r="O935" s="137">
        <f>IF(B935="Retired",MIN(MAX(K935-M935-N935,0),((S934)*(1+$C$10)+IF(B935="Working",I935,0))),0)</f>
        <v/>
      </c>
      <c r="P935" s="137">
        <f>IF(B935="Retired",MIN(MAX(K935-M935-N935-O935,0),((T934)*(1+$C$10)+IF(B935="Working",F98,0))),0)</f>
        <v/>
      </c>
      <c r="Q935" s="138">
        <f>MAX(((Q934)*(1+$C$10)+IF(B935="Working",J935,0))-M935,0)</f>
        <v/>
      </c>
      <c r="R935" s="138">
        <f>MAX(((R934)*(1+$C$10)+IF(B935="Working",E98,0))-N935,0)</f>
        <v/>
      </c>
      <c r="S935" s="138">
        <f>MAX(((S934)*(1+$C$10)+IF(B935="Working",I935,0))-O935,0)</f>
        <v/>
      </c>
      <c r="T935" s="138">
        <f>MAX(((T934)*(1+$C$10)+IF(B935="Working",F98,0))-P935,0)</f>
        <v/>
      </c>
      <c r="U935" s="138">
        <f>Q935+R935+S935+T935</f>
        <v/>
      </c>
      <c r="V935" s="138">
        <f>IF(B935="Working",MAX(-(((Q934)*(1+$C$10)+IF(B935="Working",J935,0))),0),MAX(K935-L935,0))</f>
        <v/>
      </c>
      <c r="W935" s="138">
        <f>IF(OR(A935&gt;=$C$13,B935="Retired"),IF(V935&gt;0,-V935,U935-'Model Inputs'!$B$18),"")</f>
        <v/>
      </c>
      <c r="X935" s="138">
        <f>IF(AND($L$242&gt;0,A935&gt;=$C$13),$L$242*(1+$C$25)^(A935-$C$13),0)</f>
        <v/>
      </c>
      <c r="Y935" s="138">
        <f>IF(OR($L$242&lt;=0,$C$17&lt;=0,A935&lt;$C$13,MIN(MAX((A935-$C$13+1)*12,0),$C$17*12)&gt;=$C$17*12),0,IF($C$16=0,MAX(MAX($L$242*(1-$C$15),0)-(IF($C$17&lt;=0,0,IF($C$16=0,MAX($L$242*(1-$C$15),0)/$C$17,-PMT($C$16/12,$C$17*12,MAX($L$242*(1-$C$15),0))*12))/12)*MIN(MAX((A935-$C$13+1)*12,0),$C$17*12),0),MAX(MAX($L$242*(1-$C$15),0)*(1+$C$16/12)^MIN(MAX((A935-$C$13+1)*12,0),$C$17*12)-(IF($C$17&lt;=0,0,IF($C$16=0,MAX($L$242*(1-$C$15),0)/$C$17,-PMT($C$16/12,$C$17*12,MAX($L$242*(1-$C$15),0))*12))/12)*(((1+$C$16/12)^MIN(MAX((A935-$C$13+1)*12,0),$C$17*12)-1)/($C$16/12)),0)))</f>
        <v/>
      </c>
      <c r="Z935" s="138">
        <f>MAX(X935-Y935,0)</f>
        <v/>
      </c>
      <c r="AA935" s="139">
        <f>U935+Z935</f>
        <v/>
      </c>
      <c r="AB935" s="5" t="n"/>
      <c r="AC935" s="5" t="n"/>
      <c r="AD935" s="5" t="n"/>
      <c r="AE935" s="5" t="n"/>
      <c r="AF935" s="5" t="n"/>
      <c r="AG935" s="5" t="n"/>
    </row>
    <row r="936" outlineLevel="1" s="326">
      <c r="A936" s="140" t="n">
        <v>20</v>
      </c>
      <c r="B936" s="40">
        <f>B99</f>
        <v/>
      </c>
      <c r="C936" s="141">
        <f>D99</f>
        <v/>
      </c>
      <c r="D936" s="141">
        <f>I99</f>
        <v/>
      </c>
      <c r="E936" s="141">
        <f>J99</f>
        <v/>
      </c>
      <c r="F936" s="141">
        <f>K99</f>
        <v/>
      </c>
      <c r="G936" s="138">
        <f>IF(AND($L$242&gt;0,A936=$C$13),$L$242*($C$15+$C$18),0)+IF(AND($L$242&gt;0,A936=$C$13),$C$24,0)</f>
        <v/>
      </c>
      <c r="H936" s="138">
        <f>IF(OR($L$242&lt;=0,A936&lt;$C$13),0,IF(AND($L$242&gt;0,$C$17&gt;0,A936&gt;=$C$13,A936&lt;($C$13+$C$17)),IF($C$17&lt;=0,0,IF($C$16=0,MAX($L$242*(1-$C$15),0)/$C$17,-PMT($C$16/12,$C$17*12,MAX($L$242*(1-$C$15),0))*12)),0)+X936*($C$19+$C$20+$C$21)+$C$22+$C$23)</f>
        <v/>
      </c>
      <c r="I936" s="138">
        <f>IF(B936="Working",MIN(MAX(D936-E936-F936-G936-H936,0),'Tax Assumptions'!$B$20),0)</f>
        <v/>
      </c>
      <c r="J936" s="138">
        <f>IF(B936="Working",D936-E936-F936-I936-G936-H936,-L936)</f>
        <v/>
      </c>
      <c r="K936" s="141">
        <f>IF(B936="Retired",$N$242+G936+H936,0)</f>
        <v/>
      </c>
      <c r="L936" s="141">
        <f>M936+N936+O936+P936</f>
        <v/>
      </c>
      <c r="M936" s="141">
        <f>IF(B936="Retired",MIN(((Q935)*(1+$C$10)+IF(B936="Working",J936,0)),K936),0)</f>
        <v/>
      </c>
      <c r="N936" s="141">
        <f>IF(B936="Retired",MIN(MAX(K936-M936,0),((R935)*(1+$C$10)+IF(B936="Working",E99,0))),0)</f>
        <v/>
      </c>
      <c r="O936" s="141">
        <f>IF(B936="Retired",MIN(MAX(K936-M936-N936,0),((S935)*(1+$C$10)+IF(B936="Working",I936,0))),0)</f>
        <v/>
      </c>
      <c r="P936" s="141">
        <f>IF(B936="Retired",MIN(MAX(K936-M936-N936-O936,0),((T935)*(1+$C$10)+IF(B936="Working",F99,0))),0)</f>
        <v/>
      </c>
      <c r="Q936" s="138">
        <f>MAX(((Q935)*(1+$C$10)+IF(B936="Working",J936,0))-M936,0)</f>
        <v/>
      </c>
      <c r="R936" s="138">
        <f>MAX(((R935)*(1+$C$10)+IF(B936="Working",E99,0))-N936,0)</f>
        <v/>
      </c>
      <c r="S936" s="138">
        <f>MAX(((S935)*(1+$C$10)+IF(B936="Working",I936,0))-O936,0)</f>
        <v/>
      </c>
      <c r="T936" s="138">
        <f>MAX(((T935)*(1+$C$10)+IF(B936="Working",F99,0))-P936,0)</f>
        <v/>
      </c>
      <c r="U936" s="138">
        <f>Q936+R936+S936+T936</f>
        <v/>
      </c>
      <c r="V936" s="138">
        <f>IF(B936="Working",MAX(-(((Q935)*(1+$C$10)+IF(B936="Working",J936,0))),0),MAX(K936-L936,0))</f>
        <v/>
      </c>
      <c r="W936" s="138">
        <f>IF(OR(A936&gt;=$C$13,B936="Retired"),IF(V936&gt;0,-V936,U936-'Model Inputs'!$B$18),"")</f>
        <v/>
      </c>
      <c r="X936" s="138">
        <f>IF(AND($L$242&gt;0,A936&gt;=$C$13),$L$242*(1+$C$25)^(A936-$C$13),0)</f>
        <v/>
      </c>
      <c r="Y936" s="138">
        <f>IF(OR($L$242&lt;=0,$C$17&lt;=0,A936&lt;$C$13,MIN(MAX((A936-$C$13+1)*12,0),$C$17*12)&gt;=$C$17*12),0,IF($C$16=0,MAX(MAX($L$242*(1-$C$15),0)-(IF($C$17&lt;=0,0,IF($C$16=0,MAX($L$242*(1-$C$15),0)/$C$17,-PMT($C$16/12,$C$17*12,MAX($L$242*(1-$C$15),0))*12))/12)*MIN(MAX((A936-$C$13+1)*12,0),$C$17*12),0),MAX(MAX($L$242*(1-$C$15),0)*(1+$C$16/12)^MIN(MAX((A936-$C$13+1)*12,0),$C$17*12)-(IF($C$17&lt;=0,0,IF($C$16=0,MAX($L$242*(1-$C$15),0)/$C$17,-PMT($C$16/12,$C$17*12,MAX($L$242*(1-$C$15),0))*12))/12)*(((1+$C$16/12)^MIN(MAX((A936-$C$13+1)*12,0),$C$17*12)-1)/($C$16/12)),0)))</f>
        <v/>
      </c>
      <c r="Z936" s="138">
        <f>MAX(X936-Y936,0)</f>
        <v/>
      </c>
      <c r="AA936" s="142">
        <f>U936+Z936</f>
        <v/>
      </c>
      <c r="AB936" s="5" t="n"/>
      <c r="AC936" s="5" t="n"/>
      <c r="AD936" s="5" t="n"/>
      <c r="AE936" s="5" t="n"/>
      <c r="AF936" s="5" t="n"/>
      <c r="AG936" s="5" t="n"/>
    </row>
    <row r="937" outlineLevel="1" s="326">
      <c r="A937" s="136" t="n">
        <v>21</v>
      </c>
      <c r="B937" s="72">
        <f>B100</f>
        <v/>
      </c>
      <c r="C937" s="137">
        <f>D100</f>
        <v/>
      </c>
      <c r="D937" s="137">
        <f>I100</f>
        <v/>
      </c>
      <c r="E937" s="137">
        <f>J100</f>
        <v/>
      </c>
      <c r="F937" s="137">
        <f>K100</f>
        <v/>
      </c>
      <c r="G937" s="138">
        <f>IF(AND($L$242&gt;0,A937=$C$13),$L$242*($C$15+$C$18),0)+IF(AND($L$242&gt;0,A937=$C$13),$C$24,0)</f>
        <v/>
      </c>
      <c r="H937" s="138">
        <f>IF(OR($L$242&lt;=0,A937&lt;$C$13),0,IF(AND($L$242&gt;0,$C$17&gt;0,A937&gt;=$C$13,A937&lt;($C$13+$C$17)),IF($C$17&lt;=0,0,IF($C$16=0,MAX($L$242*(1-$C$15),0)/$C$17,-PMT($C$16/12,$C$17*12,MAX($L$242*(1-$C$15),0))*12)),0)+X937*($C$19+$C$20+$C$21)+$C$22+$C$23)</f>
        <v/>
      </c>
      <c r="I937" s="138">
        <f>IF(B937="Working",MIN(MAX(D937-E937-F937-G937-H937,0),'Tax Assumptions'!$B$20),0)</f>
        <v/>
      </c>
      <c r="J937" s="138">
        <f>IF(B937="Working",D937-E937-F937-I937-G937-H937,-L937)</f>
        <v/>
      </c>
      <c r="K937" s="137">
        <f>IF(B937="Retired",$N$242+G937+H937,0)</f>
        <v/>
      </c>
      <c r="L937" s="137">
        <f>M937+N937+O937+P937</f>
        <v/>
      </c>
      <c r="M937" s="137">
        <f>IF(B937="Retired",MIN(((Q936)*(1+$C$10)+IF(B937="Working",J937,0)),K937),0)</f>
        <v/>
      </c>
      <c r="N937" s="137">
        <f>IF(B937="Retired",MIN(MAX(K937-M937,0),((R936)*(1+$C$10)+IF(B937="Working",E100,0))),0)</f>
        <v/>
      </c>
      <c r="O937" s="137">
        <f>IF(B937="Retired",MIN(MAX(K937-M937-N937,0),((S936)*(1+$C$10)+IF(B937="Working",I937,0))),0)</f>
        <v/>
      </c>
      <c r="P937" s="137">
        <f>IF(B937="Retired",MIN(MAX(K937-M937-N937-O937,0),((T936)*(1+$C$10)+IF(B937="Working",F100,0))),0)</f>
        <v/>
      </c>
      <c r="Q937" s="138">
        <f>MAX(((Q936)*(1+$C$10)+IF(B937="Working",J937,0))-M937,0)</f>
        <v/>
      </c>
      <c r="R937" s="138">
        <f>MAX(((R936)*(1+$C$10)+IF(B937="Working",E100,0))-N937,0)</f>
        <v/>
      </c>
      <c r="S937" s="138">
        <f>MAX(((S936)*(1+$C$10)+IF(B937="Working",I937,0))-O937,0)</f>
        <v/>
      </c>
      <c r="T937" s="138">
        <f>MAX(((T936)*(1+$C$10)+IF(B937="Working",F100,0))-P937,0)</f>
        <v/>
      </c>
      <c r="U937" s="138">
        <f>Q937+R937+S937+T937</f>
        <v/>
      </c>
      <c r="V937" s="138">
        <f>IF(B937="Working",MAX(-(((Q936)*(1+$C$10)+IF(B937="Working",J937,0))),0),MAX(K937-L937,0))</f>
        <v/>
      </c>
      <c r="W937" s="138">
        <f>IF(OR(A937&gt;=$C$13,B937="Retired"),IF(V937&gt;0,-V937,U937-'Model Inputs'!$B$18),"")</f>
        <v/>
      </c>
      <c r="X937" s="138">
        <f>IF(AND($L$242&gt;0,A937&gt;=$C$13),$L$242*(1+$C$25)^(A937-$C$13),0)</f>
        <v/>
      </c>
      <c r="Y937" s="138">
        <f>IF(OR($L$242&lt;=0,$C$17&lt;=0,A937&lt;$C$13,MIN(MAX((A937-$C$13+1)*12,0),$C$17*12)&gt;=$C$17*12),0,IF($C$16=0,MAX(MAX($L$242*(1-$C$15),0)-(IF($C$17&lt;=0,0,IF($C$16=0,MAX($L$242*(1-$C$15),0)/$C$17,-PMT($C$16/12,$C$17*12,MAX($L$242*(1-$C$15),0))*12))/12)*MIN(MAX((A937-$C$13+1)*12,0),$C$17*12),0),MAX(MAX($L$242*(1-$C$15),0)*(1+$C$16/12)^MIN(MAX((A937-$C$13+1)*12,0),$C$17*12)-(IF($C$17&lt;=0,0,IF($C$16=0,MAX($L$242*(1-$C$15),0)/$C$17,-PMT($C$16/12,$C$17*12,MAX($L$242*(1-$C$15),0))*12))/12)*(((1+$C$16/12)^MIN(MAX((A937-$C$13+1)*12,0),$C$17*12)-1)/($C$16/12)),0)))</f>
        <v/>
      </c>
      <c r="Z937" s="138">
        <f>MAX(X937-Y937,0)</f>
        <v/>
      </c>
      <c r="AA937" s="139">
        <f>U937+Z937</f>
        <v/>
      </c>
      <c r="AB937" s="5" t="n"/>
      <c r="AC937" s="5" t="n"/>
      <c r="AD937" s="5" t="n"/>
      <c r="AE937" s="5" t="n"/>
      <c r="AF937" s="5" t="n"/>
      <c r="AG937" s="5" t="n"/>
    </row>
    <row r="938" outlineLevel="1" s="326">
      <c r="A938" s="140" t="n">
        <v>22</v>
      </c>
      <c r="B938" s="40">
        <f>B101</f>
        <v/>
      </c>
      <c r="C938" s="141">
        <f>D101</f>
        <v/>
      </c>
      <c r="D938" s="141">
        <f>I101</f>
        <v/>
      </c>
      <c r="E938" s="141">
        <f>J101</f>
        <v/>
      </c>
      <c r="F938" s="141">
        <f>K101</f>
        <v/>
      </c>
      <c r="G938" s="138">
        <f>IF(AND($L$242&gt;0,A938=$C$13),$L$242*($C$15+$C$18),0)+IF(AND($L$242&gt;0,A938=$C$13),$C$24,0)</f>
        <v/>
      </c>
      <c r="H938" s="138">
        <f>IF(OR($L$242&lt;=0,A938&lt;$C$13),0,IF(AND($L$242&gt;0,$C$17&gt;0,A938&gt;=$C$13,A938&lt;($C$13+$C$17)),IF($C$17&lt;=0,0,IF($C$16=0,MAX($L$242*(1-$C$15),0)/$C$17,-PMT($C$16/12,$C$17*12,MAX($L$242*(1-$C$15),0))*12)),0)+X938*($C$19+$C$20+$C$21)+$C$22+$C$23)</f>
        <v/>
      </c>
      <c r="I938" s="138">
        <f>IF(B938="Working",MIN(MAX(D938-E938-F938-G938-H938,0),'Tax Assumptions'!$B$20),0)</f>
        <v/>
      </c>
      <c r="J938" s="138">
        <f>IF(B938="Working",D938-E938-F938-I938-G938-H938,-L938)</f>
        <v/>
      </c>
      <c r="K938" s="141">
        <f>IF(B938="Retired",$N$242+G938+H938,0)</f>
        <v/>
      </c>
      <c r="L938" s="141">
        <f>M938+N938+O938+P938</f>
        <v/>
      </c>
      <c r="M938" s="141">
        <f>IF(B938="Retired",MIN(((Q937)*(1+$C$10)+IF(B938="Working",J938,0)),K938),0)</f>
        <v/>
      </c>
      <c r="N938" s="141">
        <f>IF(B938="Retired",MIN(MAX(K938-M938,0),((R937)*(1+$C$10)+IF(B938="Working",E101,0))),0)</f>
        <v/>
      </c>
      <c r="O938" s="141">
        <f>IF(B938="Retired",MIN(MAX(K938-M938-N938,0),((S937)*(1+$C$10)+IF(B938="Working",I938,0))),0)</f>
        <v/>
      </c>
      <c r="P938" s="141">
        <f>IF(B938="Retired",MIN(MAX(K938-M938-N938-O938,0),((T937)*(1+$C$10)+IF(B938="Working",F101,0))),0)</f>
        <v/>
      </c>
      <c r="Q938" s="138">
        <f>MAX(((Q937)*(1+$C$10)+IF(B938="Working",J938,0))-M938,0)</f>
        <v/>
      </c>
      <c r="R938" s="138">
        <f>MAX(((R937)*(1+$C$10)+IF(B938="Working",E101,0))-N938,0)</f>
        <v/>
      </c>
      <c r="S938" s="138">
        <f>MAX(((S937)*(1+$C$10)+IF(B938="Working",I938,0))-O938,0)</f>
        <v/>
      </c>
      <c r="T938" s="138">
        <f>MAX(((T937)*(1+$C$10)+IF(B938="Working",F101,0))-P938,0)</f>
        <v/>
      </c>
      <c r="U938" s="138">
        <f>Q938+R938+S938+T938</f>
        <v/>
      </c>
      <c r="V938" s="138">
        <f>IF(B938="Working",MAX(-(((Q937)*(1+$C$10)+IF(B938="Working",J938,0))),0),MAX(K938-L938,0))</f>
        <v/>
      </c>
      <c r="W938" s="138">
        <f>IF(OR(A938&gt;=$C$13,B938="Retired"),IF(V938&gt;0,-V938,U938-'Model Inputs'!$B$18),"")</f>
        <v/>
      </c>
      <c r="X938" s="138">
        <f>IF(AND($L$242&gt;0,A938&gt;=$C$13),$L$242*(1+$C$25)^(A938-$C$13),0)</f>
        <v/>
      </c>
      <c r="Y938" s="138">
        <f>IF(OR($L$242&lt;=0,$C$17&lt;=0,A938&lt;$C$13,MIN(MAX((A938-$C$13+1)*12,0),$C$17*12)&gt;=$C$17*12),0,IF($C$16=0,MAX(MAX($L$242*(1-$C$15),0)-(IF($C$17&lt;=0,0,IF($C$16=0,MAX($L$242*(1-$C$15),0)/$C$17,-PMT($C$16/12,$C$17*12,MAX($L$242*(1-$C$15),0))*12))/12)*MIN(MAX((A938-$C$13+1)*12,0),$C$17*12),0),MAX(MAX($L$242*(1-$C$15),0)*(1+$C$16/12)^MIN(MAX((A938-$C$13+1)*12,0),$C$17*12)-(IF($C$17&lt;=0,0,IF($C$16=0,MAX($L$242*(1-$C$15),0)/$C$17,-PMT($C$16/12,$C$17*12,MAX($L$242*(1-$C$15),0))*12))/12)*(((1+$C$16/12)^MIN(MAX((A938-$C$13+1)*12,0),$C$17*12)-1)/($C$16/12)),0)))</f>
        <v/>
      </c>
      <c r="Z938" s="138">
        <f>MAX(X938-Y938,0)</f>
        <v/>
      </c>
      <c r="AA938" s="142">
        <f>U938+Z938</f>
        <v/>
      </c>
      <c r="AB938" s="5" t="n"/>
      <c r="AC938" s="5" t="n"/>
      <c r="AD938" s="5" t="n"/>
      <c r="AE938" s="5" t="n"/>
      <c r="AF938" s="5" t="n"/>
      <c r="AG938" s="5" t="n"/>
    </row>
    <row r="939" outlineLevel="1" s="326">
      <c r="A939" s="136" t="n">
        <v>23</v>
      </c>
      <c r="B939" s="72">
        <f>B102</f>
        <v/>
      </c>
      <c r="C939" s="137">
        <f>D102</f>
        <v/>
      </c>
      <c r="D939" s="137">
        <f>I102</f>
        <v/>
      </c>
      <c r="E939" s="137">
        <f>J102</f>
        <v/>
      </c>
      <c r="F939" s="137">
        <f>K102</f>
        <v/>
      </c>
      <c r="G939" s="138">
        <f>IF(AND($L$242&gt;0,A939=$C$13),$L$242*($C$15+$C$18),0)+IF(AND($L$242&gt;0,A939=$C$13),$C$24,0)</f>
        <v/>
      </c>
      <c r="H939" s="138">
        <f>IF(OR($L$242&lt;=0,A939&lt;$C$13),0,IF(AND($L$242&gt;0,$C$17&gt;0,A939&gt;=$C$13,A939&lt;($C$13+$C$17)),IF($C$17&lt;=0,0,IF($C$16=0,MAX($L$242*(1-$C$15),0)/$C$17,-PMT($C$16/12,$C$17*12,MAX($L$242*(1-$C$15),0))*12)),0)+X939*($C$19+$C$20+$C$21)+$C$22+$C$23)</f>
        <v/>
      </c>
      <c r="I939" s="138">
        <f>IF(B939="Working",MIN(MAX(D939-E939-F939-G939-H939,0),'Tax Assumptions'!$B$20),0)</f>
        <v/>
      </c>
      <c r="J939" s="138">
        <f>IF(B939="Working",D939-E939-F939-I939-G939-H939,-L939)</f>
        <v/>
      </c>
      <c r="K939" s="137">
        <f>IF(B939="Retired",$N$242+G939+H939,0)</f>
        <v/>
      </c>
      <c r="L939" s="137">
        <f>M939+N939+O939+P939</f>
        <v/>
      </c>
      <c r="M939" s="137">
        <f>IF(B939="Retired",MIN(((Q938)*(1+$C$10)+IF(B939="Working",J939,0)),K939),0)</f>
        <v/>
      </c>
      <c r="N939" s="137">
        <f>IF(B939="Retired",MIN(MAX(K939-M939,0),((R938)*(1+$C$10)+IF(B939="Working",E102,0))),0)</f>
        <v/>
      </c>
      <c r="O939" s="137">
        <f>IF(B939="Retired",MIN(MAX(K939-M939-N939,0),((S938)*(1+$C$10)+IF(B939="Working",I939,0))),0)</f>
        <v/>
      </c>
      <c r="P939" s="137">
        <f>IF(B939="Retired",MIN(MAX(K939-M939-N939-O939,0),((T938)*(1+$C$10)+IF(B939="Working",F102,0))),0)</f>
        <v/>
      </c>
      <c r="Q939" s="138">
        <f>MAX(((Q938)*(1+$C$10)+IF(B939="Working",J939,0))-M939,0)</f>
        <v/>
      </c>
      <c r="R939" s="138">
        <f>MAX(((R938)*(1+$C$10)+IF(B939="Working",E102,0))-N939,0)</f>
        <v/>
      </c>
      <c r="S939" s="138">
        <f>MAX(((S938)*(1+$C$10)+IF(B939="Working",I939,0))-O939,0)</f>
        <v/>
      </c>
      <c r="T939" s="138">
        <f>MAX(((T938)*(1+$C$10)+IF(B939="Working",F102,0))-P939,0)</f>
        <v/>
      </c>
      <c r="U939" s="138">
        <f>Q939+R939+S939+T939</f>
        <v/>
      </c>
      <c r="V939" s="138">
        <f>IF(B939="Working",MAX(-(((Q938)*(1+$C$10)+IF(B939="Working",J939,0))),0),MAX(K939-L939,0))</f>
        <v/>
      </c>
      <c r="W939" s="138">
        <f>IF(OR(A939&gt;=$C$13,B939="Retired"),IF(V939&gt;0,-V939,U939-'Model Inputs'!$B$18),"")</f>
        <v/>
      </c>
      <c r="X939" s="138">
        <f>IF(AND($L$242&gt;0,A939&gt;=$C$13),$L$242*(1+$C$25)^(A939-$C$13),0)</f>
        <v/>
      </c>
      <c r="Y939" s="138">
        <f>IF(OR($L$242&lt;=0,$C$17&lt;=0,A939&lt;$C$13,MIN(MAX((A939-$C$13+1)*12,0),$C$17*12)&gt;=$C$17*12),0,IF($C$16=0,MAX(MAX($L$242*(1-$C$15),0)-(IF($C$17&lt;=0,0,IF($C$16=0,MAX($L$242*(1-$C$15),0)/$C$17,-PMT($C$16/12,$C$17*12,MAX($L$242*(1-$C$15),0))*12))/12)*MIN(MAX((A939-$C$13+1)*12,0),$C$17*12),0),MAX(MAX($L$242*(1-$C$15),0)*(1+$C$16/12)^MIN(MAX((A939-$C$13+1)*12,0),$C$17*12)-(IF($C$17&lt;=0,0,IF($C$16=0,MAX($L$242*(1-$C$15),0)/$C$17,-PMT($C$16/12,$C$17*12,MAX($L$242*(1-$C$15),0))*12))/12)*(((1+$C$16/12)^MIN(MAX((A939-$C$13+1)*12,0),$C$17*12)-1)/($C$16/12)),0)))</f>
        <v/>
      </c>
      <c r="Z939" s="138">
        <f>MAX(X939-Y939,0)</f>
        <v/>
      </c>
      <c r="AA939" s="139">
        <f>U939+Z939</f>
        <v/>
      </c>
      <c r="AB939" s="5" t="n"/>
      <c r="AC939" s="5" t="n"/>
      <c r="AD939" s="5" t="n"/>
      <c r="AE939" s="5" t="n"/>
      <c r="AF939" s="5" t="n"/>
      <c r="AG939" s="5" t="n"/>
    </row>
    <row r="940" outlineLevel="1" s="326">
      <c r="A940" s="140" t="n">
        <v>24</v>
      </c>
      <c r="B940" s="40">
        <f>B103</f>
        <v/>
      </c>
      <c r="C940" s="141">
        <f>D103</f>
        <v/>
      </c>
      <c r="D940" s="141">
        <f>I103</f>
        <v/>
      </c>
      <c r="E940" s="141">
        <f>J103</f>
        <v/>
      </c>
      <c r="F940" s="141">
        <f>K103</f>
        <v/>
      </c>
      <c r="G940" s="138">
        <f>IF(AND($L$242&gt;0,A940=$C$13),$L$242*($C$15+$C$18),0)+IF(AND($L$242&gt;0,A940=$C$13),$C$24,0)</f>
        <v/>
      </c>
      <c r="H940" s="138">
        <f>IF(OR($L$242&lt;=0,A940&lt;$C$13),0,IF(AND($L$242&gt;0,$C$17&gt;0,A940&gt;=$C$13,A940&lt;($C$13+$C$17)),IF($C$17&lt;=0,0,IF($C$16=0,MAX($L$242*(1-$C$15),0)/$C$17,-PMT($C$16/12,$C$17*12,MAX($L$242*(1-$C$15),0))*12)),0)+X940*($C$19+$C$20+$C$21)+$C$22+$C$23)</f>
        <v/>
      </c>
      <c r="I940" s="138">
        <f>IF(B940="Working",MIN(MAX(D940-E940-F940-G940-H940,0),'Tax Assumptions'!$B$20),0)</f>
        <v/>
      </c>
      <c r="J940" s="138">
        <f>IF(B940="Working",D940-E940-F940-I940-G940-H940,-L940)</f>
        <v/>
      </c>
      <c r="K940" s="141">
        <f>IF(B940="Retired",$N$242+G940+H940,0)</f>
        <v/>
      </c>
      <c r="L940" s="141">
        <f>M940+N940+O940+P940</f>
        <v/>
      </c>
      <c r="M940" s="141">
        <f>IF(B940="Retired",MIN(((Q939)*(1+$C$10)+IF(B940="Working",J940,0)),K940),0)</f>
        <v/>
      </c>
      <c r="N940" s="141">
        <f>IF(B940="Retired",MIN(MAX(K940-M940,0),((R939)*(1+$C$10)+IF(B940="Working",E103,0))),0)</f>
        <v/>
      </c>
      <c r="O940" s="141">
        <f>IF(B940="Retired",MIN(MAX(K940-M940-N940,0),((S939)*(1+$C$10)+IF(B940="Working",I940,0))),0)</f>
        <v/>
      </c>
      <c r="P940" s="141">
        <f>IF(B940="Retired",MIN(MAX(K940-M940-N940-O940,0),((T939)*(1+$C$10)+IF(B940="Working",F103,0))),0)</f>
        <v/>
      </c>
      <c r="Q940" s="138">
        <f>MAX(((Q939)*(1+$C$10)+IF(B940="Working",J940,0))-M940,0)</f>
        <v/>
      </c>
      <c r="R940" s="138">
        <f>MAX(((R939)*(1+$C$10)+IF(B940="Working",E103,0))-N940,0)</f>
        <v/>
      </c>
      <c r="S940" s="138">
        <f>MAX(((S939)*(1+$C$10)+IF(B940="Working",I940,0))-O940,0)</f>
        <v/>
      </c>
      <c r="T940" s="138">
        <f>MAX(((T939)*(1+$C$10)+IF(B940="Working",F103,0))-P940,0)</f>
        <v/>
      </c>
      <c r="U940" s="138">
        <f>Q940+R940+S940+T940</f>
        <v/>
      </c>
      <c r="V940" s="138">
        <f>IF(B940="Working",MAX(-(((Q939)*(1+$C$10)+IF(B940="Working",J940,0))),0),MAX(K940-L940,0))</f>
        <v/>
      </c>
      <c r="W940" s="138">
        <f>IF(OR(A940&gt;=$C$13,B940="Retired"),IF(V940&gt;0,-V940,U940-'Model Inputs'!$B$18),"")</f>
        <v/>
      </c>
      <c r="X940" s="138">
        <f>IF(AND($L$242&gt;0,A940&gt;=$C$13),$L$242*(1+$C$25)^(A940-$C$13),0)</f>
        <v/>
      </c>
      <c r="Y940" s="138">
        <f>IF(OR($L$242&lt;=0,$C$17&lt;=0,A940&lt;$C$13,MIN(MAX((A940-$C$13+1)*12,0),$C$17*12)&gt;=$C$17*12),0,IF($C$16=0,MAX(MAX($L$242*(1-$C$15),0)-(IF($C$17&lt;=0,0,IF($C$16=0,MAX($L$242*(1-$C$15),0)/$C$17,-PMT($C$16/12,$C$17*12,MAX($L$242*(1-$C$15),0))*12))/12)*MIN(MAX((A940-$C$13+1)*12,0),$C$17*12),0),MAX(MAX($L$242*(1-$C$15),0)*(1+$C$16/12)^MIN(MAX((A940-$C$13+1)*12,0),$C$17*12)-(IF($C$17&lt;=0,0,IF($C$16=0,MAX($L$242*(1-$C$15),0)/$C$17,-PMT($C$16/12,$C$17*12,MAX($L$242*(1-$C$15),0))*12))/12)*(((1+$C$16/12)^MIN(MAX((A940-$C$13+1)*12,0),$C$17*12)-1)/($C$16/12)),0)))</f>
        <v/>
      </c>
      <c r="Z940" s="138">
        <f>MAX(X940-Y940,0)</f>
        <v/>
      </c>
      <c r="AA940" s="142">
        <f>U940+Z940</f>
        <v/>
      </c>
      <c r="AB940" s="5" t="n"/>
      <c r="AC940" s="5" t="n"/>
      <c r="AD940" s="5" t="n"/>
      <c r="AE940" s="5" t="n"/>
      <c r="AF940" s="5" t="n"/>
      <c r="AG940" s="5" t="n"/>
    </row>
    <row r="941" outlineLevel="1" s="326">
      <c r="A941" s="136" t="n">
        <v>25</v>
      </c>
      <c r="B941" s="72">
        <f>B104</f>
        <v/>
      </c>
      <c r="C941" s="137">
        <f>D104</f>
        <v/>
      </c>
      <c r="D941" s="137">
        <f>I104</f>
        <v/>
      </c>
      <c r="E941" s="137">
        <f>J104</f>
        <v/>
      </c>
      <c r="F941" s="137">
        <f>K104</f>
        <v/>
      </c>
      <c r="G941" s="138">
        <f>IF(AND($L$242&gt;0,A941=$C$13),$L$242*($C$15+$C$18),0)+IF(AND($L$242&gt;0,A941=$C$13),$C$24,0)</f>
        <v/>
      </c>
      <c r="H941" s="138">
        <f>IF(OR($L$242&lt;=0,A941&lt;$C$13),0,IF(AND($L$242&gt;0,$C$17&gt;0,A941&gt;=$C$13,A941&lt;($C$13+$C$17)),IF($C$17&lt;=0,0,IF($C$16=0,MAX($L$242*(1-$C$15),0)/$C$17,-PMT($C$16/12,$C$17*12,MAX($L$242*(1-$C$15),0))*12)),0)+X941*($C$19+$C$20+$C$21)+$C$22+$C$23)</f>
        <v/>
      </c>
      <c r="I941" s="138">
        <f>IF(B941="Working",MIN(MAX(D941-E941-F941-G941-H941,0),'Tax Assumptions'!$B$20),0)</f>
        <v/>
      </c>
      <c r="J941" s="138">
        <f>IF(B941="Working",D941-E941-F941-I941-G941-H941,-L941)</f>
        <v/>
      </c>
      <c r="K941" s="137">
        <f>IF(B941="Retired",$N$242+G941+H941,0)</f>
        <v/>
      </c>
      <c r="L941" s="137">
        <f>M941+N941+O941+P941</f>
        <v/>
      </c>
      <c r="M941" s="137">
        <f>IF(B941="Retired",MIN(((Q940)*(1+$C$10)+IF(B941="Working",J941,0)),K941),0)</f>
        <v/>
      </c>
      <c r="N941" s="137">
        <f>IF(B941="Retired",MIN(MAX(K941-M941,0),((R940)*(1+$C$10)+IF(B941="Working",E104,0))),0)</f>
        <v/>
      </c>
      <c r="O941" s="137">
        <f>IF(B941="Retired",MIN(MAX(K941-M941-N941,0),((S940)*(1+$C$10)+IF(B941="Working",I941,0))),0)</f>
        <v/>
      </c>
      <c r="P941" s="137">
        <f>IF(B941="Retired",MIN(MAX(K941-M941-N941-O941,0),((T940)*(1+$C$10)+IF(B941="Working",F104,0))),0)</f>
        <v/>
      </c>
      <c r="Q941" s="138">
        <f>MAX(((Q940)*(1+$C$10)+IF(B941="Working",J941,0))-M941,0)</f>
        <v/>
      </c>
      <c r="R941" s="138">
        <f>MAX(((R940)*(1+$C$10)+IF(B941="Working",E104,0))-N941,0)</f>
        <v/>
      </c>
      <c r="S941" s="138">
        <f>MAX(((S940)*(1+$C$10)+IF(B941="Working",I941,0))-O941,0)</f>
        <v/>
      </c>
      <c r="T941" s="138">
        <f>MAX(((T940)*(1+$C$10)+IF(B941="Working",F104,0))-P941,0)</f>
        <v/>
      </c>
      <c r="U941" s="138">
        <f>Q941+R941+S941+T941</f>
        <v/>
      </c>
      <c r="V941" s="138">
        <f>IF(B941="Working",MAX(-(((Q940)*(1+$C$10)+IF(B941="Working",J941,0))),0),MAX(K941-L941,0))</f>
        <v/>
      </c>
      <c r="W941" s="138">
        <f>IF(OR(A941&gt;=$C$13,B941="Retired"),IF(V941&gt;0,-V941,U941-'Model Inputs'!$B$18),"")</f>
        <v/>
      </c>
      <c r="X941" s="138">
        <f>IF(AND($L$242&gt;0,A941&gt;=$C$13),$L$242*(1+$C$25)^(A941-$C$13),0)</f>
        <v/>
      </c>
      <c r="Y941" s="138">
        <f>IF(OR($L$242&lt;=0,$C$17&lt;=0,A941&lt;$C$13,MIN(MAX((A941-$C$13+1)*12,0),$C$17*12)&gt;=$C$17*12),0,IF($C$16=0,MAX(MAX($L$242*(1-$C$15),0)-(IF($C$17&lt;=0,0,IF($C$16=0,MAX($L$242*(1-$C$15),0)/$C$17,-PMT($C$16/12,$C$17*12,MAX($L$242*(1-$C$15),0))*12))/12)*MIN(MAX((A941-$C$13+1)*12,0),$C$17*12),0),MAX(MAX($L$242*(1-$C$15),0)*(1+$C$16/12)^MIN(MAX((A941-$C$13+1)*12,0),$C$17*12)-(IF($C$17&lt;=0,0,IF($C$16=0,MAX($L$242*(1-$C$15),0)/$C$17,-PMT($C$16/12,$C$17*12,MAX($L$242*(1-$C$15),0))*12))/12)*(((1+$C$16/12)^MIN(MAX((A941-$C$13+1)*12,0),$C$17*12)-1)/($C$16/12)),0)))</f>
        <v/>
      </c>
      <c r="Z941" s="138">
        <f>MAX(X941-Y941,0)</f>
        <v/>
      </c>
      <c r="AA941" s="139">
        <f>U941+Z941</f>
        <v/>
      </c>
      <c r="AB941" s="5" t="n"/>
      <c r="AC941" s="5" t="n"/>
      <c r="AD941" s="5" t="n"/>
      <c r="AE941" s="5" t="n"/>
      <c r="AF941" s="5" t="n"/>
      <c r="AG941" s="5" t="n"/>
    </row>
    <row r="942" outlineLevel="1" s="326">
      <c r="A942" s="140" t="n">
        <v>26</v>
      </c>
      <c r="B942" s="40">
        <f>B105</f>
        <v/>
      </c>
      <c r="C942" s="141">
        <f>D105</f>
        <v/>
      </c>
      <c r="D942" s="141">
        <f>I105</f>
        <v/>
      </c>
      <c r="E942" s="141">
        <f>J105</f>
        <v/>
      </c>
      <c r="F942" s="141">
        <f>K105</f>
        <v/>
      </c>
      <c r="G942" s="138">
        <f>IF(AND($L$242&gt;0,A942=$C$13),$L$242*($C$15+$C$18),0)+IF(AND($L$242&gt;0,A942=$C$13),$C$24,0)</f>
        <v/>
      </c>
      <c r="H942" s="138">
        <f>IF(OR($L$242&lt;=0,A942&lt;$C$13),0,IF(AND($L$242&gt;0,$C$17&gt;0,A942&gt;=$C$13,A942&lt;($C$13+$C$17)),IF($C$17&lt;=0,0,IF($C$16=0,MAX($L$242*(1-$C$15),0)/$C$17,-PMT($C$16/12,$C$17*12,MAX($L$242*(1-$C$15),0))*12)),0)+X942*($C$19+$C$20+$C$21)+$C$22+$C$23)</f>
        <v/>
      </c>
      <c r="I942" s="138">
        <f>IF(B942="Working",MIN(MAX(D942-E942-F942-G942-H942,0),'Tax Assumptions'!$B$20),0)</f>
        <v/>
      </c>
      <c r="J942" s="138">
        <f>IF(B942="Working",D942-E942-F942-I942-G942-H942,-L942)</f>
        <v/>
      </c>
      <c r="K942" s="141">
        <f>IF(B942="Retired",$N$242+G942+H942,0)</f>
        <v/>
      </c>
      <c r="L942" s="141">
        <f>M942+N942+O942+P942</f>
        <v/>
      </c>
      <c r="M942" s="141">
        <f>IF(B942="Retired",MIN(((Q941)*(1+$C$10)+IF(B942="Working",J942,0)),K942),0)</f>
        <v/>
      </c>
      <c r="N942" s="141">
        <f>IF(B942="Retired",MIN(MAX(K942-M942,0),((R941)*(1+$C$10)+IF(B942="Working",E105,0))),0)</f>
        <v/>
      </c>
      <c r="O942" s="141">
        <f>IF(B942="Retired",MIN(MAX(K942-M942-N942,0),((S941)*(1+$C$10)+IF(B942="Working",I942,0))),0)</f>
        <v/>
      </c>
      <c r="P942" s="141">
        <f>IF(B942="Retired",MIN(MAX(K942-M942-N942-O942,0),((T941)*(1+$C$10)+IF(B942="Working",F105,0))),0)</f>
        <v/>
      </c>
      <c r="Q942" s="138">
        <f>MAX(((Q941)*(1+$C$10)+IF(B942="Working",J942,0))-M942,0)</f>
        <v/>
      </c>
      <c r="R942" s="138">
        <f>MAX(((R941)*(1+$C$10)+IF(B942="Working",E105,0))-N942,0)</f>
        <v/>
      </c>
      <c r="S942" s="138">
        <f>MAX(((S941)*(1+$C$10)+IF(B942="Working",I942,0))-O942,0)</f>
        <v/>
      </c>
      <c r="T942" s="138">
        <f>MAX(((T941)*(1+$C$10)+IF(B942="Working",F105,0))-P942,0)</f>
        <v/>
      </c>
      <c r="U942" s="138">
        <f>Q942+R942+S942+T942</f>
        <v/>
      </c>
      <c r="V942" s="138">
        <f>IF(B942="Working",MAX(-(((Q941)*(1+$C$10)+IF(B942="Working",J942,0))),0),MAX(K942-L942,0))</f>
        <v/>
      </c>
      <c r="W942" s="138">
        <f>IF(OR(A942&gt;=$C$13,B942="Retired"),IF(V942&gt;0,-V942,U942-'Model Inputs'!$B$18),"")</f>
        <v/>
      </c>
      <c r="X942" s="138">
        <f>IF(AND($L$242&gt;0,A942&gt;=$C$13),$L$242*(1+$C$25)^(A942-$C$13),0)</f>
        <v/>
      </c>
      <c r="Y942" s="138">
        <f>IF(OR($L$242&lt;=0,$C$17&lt;=0,A942&lt;$C$13,MIN(MAX((A942-$C$13+1)*12,0),$C$17*12)&gt;=$C$17*12),0,IF($C$16=0,MAX(MAX($L$242*(1-$C$15),0)-(IF($C$17&lt;=0,0,IF($C$16=0,MAX($L$242*(1-$C$15),0)/$C$17,-PMT($C$16/12,$C$17*12,MAX($L$242*(1-$C$15),0))*12))/12)*MIN(MAX((A942-$C$13+1)*12,0),$C$17*12),0),MAX(MAX($L$242*(1-$C$15),0)*(1+$C$16/12)^MIN(MAX((A942-$C$13+1)*12,0),$C$17*12)-(IF($C$17&lt;=0,0,IF($C$16=0,MAX($L$242*(1-$C$15),0)/$C$17,-PMT($C$16/12,$C$17*12,MAX($L$242*(1-$C$15),0))*12))/12)*(((1+$C$16/12)^MIN(MAX((A942-$C$13+1)*12,0),$C$17*12)-1)/($C$16/12)),0)))</f>
        <v/>
      </c>
      <c r="Z942" s="138">
        <f>MAX(X942-Y942,0)</f>
        <v/>
      </c>
      <c r="AA942" s="142">
        <f>U942+Z942</f>
        <v/>
      </c>
      <c r="AB942" s="5" t="n"/>
      <c r="AC942" s="5" t="n"/>
      <c r="AD942" s="5" t="n"/>
      <c r="AE942" s="5" t="n"/>
      <c r="AF942" s="5" t="n"/>
      <c r="AG942" s="5" t="n"/>
    </row>
    <row r="943" outlineLevel="1" s="326">
      <c r="A943" s="136" t="n">
        <v>27</v>
      </c>
      <c r="B943" s="72">
        <f>B106</f>
        <v/>
      </c>
      <c r="C943" s="137">
        <f>D106</f>
        <v/>
      </c>
      <c r="D943" s="137">
        <f>I106</f>
        <v/>
      </c>
      <c r="E943" s="137">
        <f>J106</f>
        <v/>
      </c>
      <c r="F943" s="137">
        <f>K106</f>
        <v/>
      </c>
      <c r="G943" s="138">
        <f>IF(AND($L$242&gt;0,A943=$C$13),$L$242*($C$15+$C$18),0)+IF(AND($L$242&gt;0,A943=$C$13),$C$24,0)</f>
        <v/>
      </c>
      <c r="H943" s="138">
        <f>IF(OR($L$242&lt;=0,A943&lt;$C$13),0,IF(AND($L$242&gt;0,$C$17&gt;0,A943&gt;=$C$13,A943&lt;($C$13+$C$17)),IF($C$17&lt;=0,0,IF($C$16=0,MAX($L$242*(1-$C$15),0)/$C$17,-PMT($C$16/12,$C$17*12,MAX($L$242*(1-$C$15),0))*12)),0)+X943*($C$19+$C$20+$C$21)+$C$22+$C$23)</f>
        <v/>
      </c>
      <c r="I943" s="138">
        <f>IF(B943="Working",MIN(MAX(D943-E943-F943-G943-H943,0),'Tax Assumptions'!$B$20),0)</f>
        <v/>
      </c>
      <c r="J943" s="138">
        <f>IF(B943="Working",D943-E943-F943-I943-G943-H943,-L943)</f>
        <v/>
      </c>
      <c r="K943" s="137">
        <f>IF(B943="Retired",$N$242+G943+H943,0)</f>
        <v/>
      </c>
      <c r="L943" s="137">
        <f>M943+N943+O943+P943</f>
        <v/>
      </c>
      <c r="M943" s="137">
        <f>IF(B943="Retired",MIN(((Q942)*(1+$C$10)+IF(B943="Working",J943,0)),K943),0)</f>
        <v/>
      </c>
      <c r="N943" s="137">
        <f>IF(B943="Retired",MIN(MAX(K943-M943,0),((R942)*(1+$C$10)+IF(B943="Working",E106,0))),0)</f>
        <v/>
      </c>
      <c r="O943" s="137">
        <f>IF(B943="Retired",MIN(MAX(K943-M943-N943,0),((S942)*(1+$C$10)+IF(B943="Working",I943,0))),0)</f>
        <v/>
      </c>
      <c r="P943" s="137">
        <f>IF(B943="Retired",MIN(MAX(K943-M943-N943-O943,0),((T942)*(1+$C$10)+IF(B943="Working",F106,0))),0)</f>
        <v/>
      </c>
      <c r="Q943" s="138">
        <f>MAX(((Q942)*(1+$C$10)+IF(B943="Working",J943,0))-M943,0)</f>
        <v/>
      </c>
      <c r="R943" s="138">
        <f>MAX(((R942)*(1+$C$10)+IF(B943="Working",E106,0))-N943,0)</f>
        <v/>
      </c>
      <c r="S943" s="138">
        <f>MAX(((S942)*(1+$C$10)+IF(B943="Working",I943,0))-O943,0)</f>
        <v/>
      </c>
      <c r="T943" s="138">
        <f>MAX(((T942)*(1+$C$10)+IF(B943="Working",F106,0))-P943,0)</f>
        <v/>
      </c>
      <c r="U943" s="138">
        <f>Q943+R943+S943+T943</f>
        <v/>
      </c>
      <c r="V943" s="138">
        <f>IF(B943="Working",MAX(-(((Q942)*(1+$C$10)+IF(B943="Working",J943,0))),0),MAX(K943-L943,0))</f>
        <v/>
      </c>
      <c r="W943" s="138">
        <f>IF(OR(A943&gt;=$C$13,B943="Retired"),IF(V943&gt;0,-V943,U943-'Model Inputs'!$B$18),"")</f>
        <v/>
      </c>
      <c r="X943" s="138">
        <f>IF(AND($L$242&gt;0,A943&gt;=$C$13),$L$242*(1+$C$25)^(A943-$C$13),0)</f>
        <v/>
      </c>
      <c r="Y943" s="138">
        <f>IF(OR($L$242&lt;=0,$C$17&lt;=0,A943&lt;$C$13,MIN(MAX((A943-$C$13+1)*12,0),$C$17*12)&gt;=$C$17*12),0,IF($C$16=0,MAX(MAX($L$242*(1-$C$15),0)-(IF($C$17&lt;=0,0,IF($C$16=0,MAX($L$242*(1-$C$15),0)/$C$17,-PMT($C$16/12,$C$17*12,MAX($L$242*(1-$C$15),0))*12))/12)*MIN(MAX((A943-$C$13+1)*12,0),$C$17*12),0),MAX(MAX($L$242*(1-$C$15),0)*(1+$C$16/12)^MIN(MAX((A943-$C$13+1)*12,0),$C$17*12)-(IF($C$17&lt;=0,0,IF($C$16=0,MAX($L$242*(1-$C$15),0)/$C$17,-PMT($C$16/12,$C$17*12,MAX($L$242*(1-$C$15),0))*12))/12)*(((1+$C$16/12)^MIN(MAX((A943-$C$13+1)*12,0),$C$17*12)-1)/($C$16/12)),0)))</f>
        <v/>
      </c>
      <c r="Z943" s="138">
        <f>MAX(X943-Y943,0)</f>
        <v/>
      </c>
      <c r="AA943" s="139">
        <f>U943+Z943</f>
        <v/>
      </c>
      <c r="AB943" s="5" t="n"/>
      <c r="AC943" s="5" t="n"/>
      <c r="AD943" s="5" t="n"/>
      <c r="AE943" s="5" t="n"/>
      <c r="AF943" s="5" t="n"/>
      <c r="AG943" s="5" t="n"/>
    </row>
    <row r="944" outlineLevel="1" s="326">
      <c r="A944" s="140" t="n">
        <v>28</v>
      </c>
      <c r="B944" s="40">
        <f>B107</f>
        <v/>
      </c>
      <c r="C944" s="141">
        <f>D107</f>
        <v/>
      </c>
      <c r="D944" s="141">
        <f>I107</f>
        <v/>
      </c>
      <c r="E944" s="141">
        <f>J107</f>
        <v/>
      </c>
      <c r="F944" s="141">
        <f>K107</f>
        <v/>
      </c>
      <c r="G944" s="138">
        <f>IF(AND($L$242&gt;0,A944=$C$13),$L$242*($C$15+$C$18),0)+IF(AND($L$242&gt;0,A944=$C$13),$C$24,0)</f>
        <v/>
      </c>
      <c r="H944" s="138">
        <f>IF(OR($L$242&lt;=0,A944&lt;$C$13),0,IF(AND($L$242&gt;0,$C$17&gt;0,A944&gt;=$C$13,A944&lt;($C$13+$C$17)),IF($C$17&lt;=0,0,IF($C$16=0,MAX($L$242*(1-$C$15),0)/$C$17,-PMT($C$16/12,$C$17*12,MAX($L$242*(1-$C$15),0))*12)),0)+X944*($C$19+$C$20+$C$21)+$C$22+$C$23)</f>
        <v/>
      </c>
      <c r="I944" s="138">
        <f>IF(B944="Working",MIN(MAX(D944-E944-F944-G944-H944,0),'Tax Assumptions'!$B$20),0)</f>
        <v/>
      </c>
      <c r="J944" s="138">
        <f>IF(B944="Working",D944-E944-F944-I944-G944-H944,-L944)</f>
        <v/>
      </c>
      <c r="K944" s="141">
        <f>IF(B944="Retired",$N$242+G944+H944,0)</f>
        <v/>
      </c>
      <c r="L944" s="141">
        <f>M944+N944+O944+P944</f>
        <v/>
      </c>
      <c r="M944" s="141">
        <f>IF(B944="Retired",MIN(((Q943)*(1+$C$10)+IF(B944="Working",J944,0)),K944),0)</f>
        <v/>
      </c>
      <c r="N944" s="141">
        <f>IF(B944="Retired",MIN(MAX(K944-M944,0),((R943)*(1+$C$10)+IF(B944="Working",E107,0))),0)</f>
        <v/>
      </c>
      <c r="O944" s="141">
        <f>IF(B944="Retired",MIN(MAX(K944-M944-N944,0),((S943)*(1+$C$10)+IF(B944="Working",I944,0))),0)</f>
        <v/>
      </c>
      <c r="P944" s="141">
        <f>IF(B944="Retired",MIN(MAX(K944-M944-N944-O944,0),((T943)*(1+$C$10)+IF(B944="Working",F107,0))),0)</f>
        <v/>
      </c>
      <c r="Q944" s="138">
        <f>MAX(((Q943)*(1+$C$10)+IF(B944="Working",J944,0))-M944,0)</f>
        <v/>
      </c>
      <c r="R944" s="138">
        <f>MAX(((R943)*(1+$C$10)+IF(B944="Working",E107,0))-N944,0)</f>
        <v/>
      </c>
      <c r="S944" s="138">
        <f>MAX(((S943)*(1+$C$10)+IF(B944="Working",I944,0))-O944,0)</f>
        <v/>
      </c>
      <c r="T944" s="138">
        <f>MAX(((T943)*(1+$C$10)+IF(B944="Working",F107,0))-P944,0)</f>
        <v/>
      </c>
      <c r="U944" s="138">
        <f>Q944+R944+S944+T944</f>
        <v/>
      </c>
      <c r="V944" s="138">
        <f>IF(B944="Working",MAX(-(((Q943)*(1+$C$10)+IF(B944="Working",J944,0))),0),MAX(K944-L944,0))</f>
        <v/>
      </c>
      <c r="W944" s="138">
        <f>IF(OR(A944&gt;=$C$13,B944="Retired"),IF(V944&gt;0,-V944,U944-'Model Inputs'!$B$18),"")</f>
        <v/>
      </c>
      <c r="X944" s="138">
        <f>IF(AND($L$242&gt;0,A944&gt;=$C$13),$L$242*(1+$C$25)^(A944-$C$13),0)</f>
        <v/>
      </c>
      <c r="Y944" s="138">
        <f>IF(OR($L$242&lt;=0,$C$17&lt;=0,A944&lt;$C$13,MIN(MAX((A944-$C$13+1)*12,0),$C$17*12)&gt;=$C$17*12),0,IF($C$16=0,MAX(MAX($L$242*(1-$C$15),0)-(IF($C$17&lt;=0,0,IF($C$16=0,MAX($L$242*(1-$C$15),0)/$C$17,-PMT($C$16/12,$C$17*12,MAX($L$242*(1-$C$15),0))*12))/12)*MIN(MAX((A944-$C$13+1)*12,0),$C$17*12),0),MAX(MAX($L$242*(1-$C$15),0)*(1+$C$16/12)^MIN(MAX((A944-$C$13+1)*12,0),$C$17*12)-(IF($C$17&lt;=0,0,IF($C$16=0,MAX($L$242*(1-$C$15),0)/$C$17,-PMT($C$16/12,$C$17*12,MAX($L$242*(1-$C$15),0))*12))/12)*(((1+$C$16/12)^MIN(MAX((A944-$C$13+1)*12,0),$C$17*12)-1)/($C$16/12)),0)))</f>
        <v/>
      </c>
      <c r="Z944" s="138">
        <f>MAX(X944-Y944,0)</f>
        <v/>
      </c>
      <c r="AA944" s="142">
        <f>U944+Z944</f>
        <v/>
      </c>
      <c r="AB944" s="5" t="n"/>
      <c r="AC944" s="5" t="n"/>
      <c r="AD944" s="5" t="n"/>
      <c r="AE944" s="5" t="n"/>
      <c r="AF944" s="5" t="n"/>
      <c r="AG944" s="5" t="n"/>
    </row>
    <row r="945" outlineLevel="1" s="326">
      <c r="A945" s="136" t="n">
        <v>29</v>
      </c>
      <c r="B945" s="72">
        <f>B108</f>
        <v/>
      </c>
      <c r="C945" s="137">
        <f>D108</f>
        <v/>
      </c>
      <c r="D945" s="137">
        <f>I108</f>
        <v/>
      </c>
      <c r="E945" s="137">
        <f>J108</f>
        <v/>
      </c>
      <c r="F945" s="137">
        <f>K108</f>
        <v/>
      </c>
      <c r="G945" s="138">
        <f>IF(AND($L$242&gt;0,A945=$C$13),$L$242*($C$15+$C$18),0)+IF(AND($L$242&gt;0,A945=$C$13),$C$24,0)</f>
        <v/>
      </c>
      <c r="H945" s="138">
        <f>IF(OR($L$242&lt;=0,A945&lt;$C$13),0,IF(AND($L$242&gt;0,$C$17&gt;0,A945&gt;=$C$13,A945&lt;($C$13+$C$17)),IF($C$17&lt;=0,0,IF($C$16=0,MAX($L$242*(1-$C$15),0)/$C$17,-PMT($C$16/12,$C$17*12,MAX($L$242*(1-$C$15),0))*12)),0)+X945*($C$19+$C$20+$C$21)+$C$22+$C$23)</f>
        <v/>
      </c>
      <c r="I945" s="138">
        <f>IF(B945="Working",MIN(MAX(D945-E945-F945-G945-H945,0),'Tax Assumptions'!$B$20),0)</f>
        <v/>
      </c>
      <c r="J945" s="138">
        <f>IF(B945="Working",D945-E945-F945-I945-G945-H945,-L945)</f>
        <v/>
      </c>
      <c r="K945" s="137">
        <f>IF(B945="Retired",$N$242+G945+H945,0)</f>
        <v/>
      </c>
      <c r="L945" s="137">
        <f>M945+N945+O945+P945</f>
        <v/>
      </c>
      <c r="M945" s="137">
        <f>IF(B945="Retired",MIN(((Q944)*(1+$C$10)+IF(B945="Working",J945,0)),K945),0)</f>
        <v/>
      </c>
      <c r="N945" s="137">
        <f>IF(B945="Retired",MIN(MAX(K945-M945,0),((R944)*(1+$C$10)+IF(B945="Working",E108,0))),0)</f>
        <v/>
      </c>
      <c r="O945" s="137">
        <f>IF(B945="Retired",MIN(MAX(K945-M945-N945,0),((S944)*(1+$C$10)+IF(B945="Working",I945,0))),0)</f>
        <v/>
      </c>
      <c r="P945" s="137">
        <f>IF(B945="Retired",MIN(MAX(K945-M945-N945-O945,0),((T944)*(1+$C$10)+IF(B945="Working",F108,0))),0)</f>
        <v/>
      </c>
      <c r="Q945" s="138">
        <f>MAX(((Q944)*(1+$C$10)+IF(B945="Working",J945,0))-M945,0)</f>
        <v/>
      </c>
      <c r="R945" s="138">
        <f>MAX(((R944)*(1+$C$10)+IF(B945="Working",E108,0))-N945,0)</f>
        <v/>
      </c>
      <c r="S945" s="138">
        <f>MAX(((S944)*(1+$C$10)+IF(B945="Working",I945,0))-O945,0)</f>
        <v/>
      </c>
      <c r="T945" s="138">
        <f>MAX(((T944)*(1+$C$10)+IF(B945="Working",F108,0))-P945,0)</f>
        <v/>
      </c>
      <c r="U945" s="138">
        <f>Q945+R945+S945+T945</f>
        <v/>
      </c>
      <c r="V945" s="138">
        <f>IF(B945="Working",MAX(-(((Q944)*(1+$C$10)+IF(B945="Working",J945,0))),0),MAX(K945-L945,0))</f>
        <v/>
      </c>
      <c r="W945" s="138">
        <f>IF(OR(A945&gt;=$C$13,B945="Retired"),IF(V945&gt;0,-V945,U945-'Model Inputs'!$B$18),"")</f>
        <v/>
      </c>
      <c r="X945" s="138">
        <f>IF(AND($L$242&gt;0,A945&gt;=$C$13),$L$242*(1+$C$25)^(A945-$C$13),0)</f>
        <v/>
      </c>
      <c r="Y945" s="138">
        <f>IF(OR($L$242&lt;=0,$C$17&lt;=0,A945&lt;$C$13,MIN(MAX((A945-$C$13+1)*12,0),$C$17*12)&gt;=$C$17*12),0,IF($C$16=0,MAX(MAX($L$242*(1-$C$15),0)-(IF($C$17&lt;=0,0,IF($C$16=0,MAX($L$242*(1-$C$15),0)/$C$17,-PMT($C$16/12,$C$17*12,MAX($L$242*(1-$C$15),0))*12))/12)*MIN(MAX((A945-$C$13+1)*12,0),$C$17*12),0),MAX(MAX($L$242*(1-$C$15),0)*(1+$C$16/12)^MIN(MAX((A945-$C$13+1)*12,0),$C$17*12)-(IF($C$17&lt;=0,0,IF($C$16=0,MAX($L$242*(1-$C$15),0)/$C$17,-PMT($C$16/12,$C$17*12,MAX($L$242*(1-$C$15),0))*12))/12)*(((1+$C$16/12)^MIN(MAX((A945-$C$13+1)*12,0),$C$17*12)-1)/($C$16/12)),0)))</f>
        <v/>
      </c>
      <c r="Z945" s="138">
        <f>MAX(X945-Y945,0)</f>
        <v/>
      </c>
      <c r="AA945" s="139">
        <f>U945+Z945</f>
        <v/>
      </c>
      <c r="AB945" s="5" t="n"/>
      <c r="AC945" s="5" t="n"/>
      <c r="AD945" s="5" t="n"/>
      <c r="AE945" s="5" t="n"/>
      <c r="AF945" s="5" t="n"/>
      <c r="AG945" s="5" t="n"/>
    </row>
    <row r="946" outlineLevel="1" s="326">
      <c r="A946" s="140" t="n">
        <v>30</v>
      </c>
      <c r="B946" s="40">
        <f>B109</f>
        <v/>
      </c>
      <c r="C946" s="141">
        <f>D109</f>
        <v/>
      </c>
      <c r="D946" s="141">
        <f>I109</f>
        <v/>
      </c>
      <c r="E946" s="141">
        <f>J109</f>
        <v/>
      </c>
      <c r="F946" s="141">
        <f>K109</f>
        <v/>
      </c>
      <c r="G946" s="138">
        <f>IF(AND($L$242&gt;0,A946=$C$13),$L$242*($C$15+$C$18),0)+IF(AND($L$242&gt;0,A946=$C$13),$C$24,0)</f>
        <v/>
      </c>
      <c r="H946" s="138">
        <f>IF(OR($L$242&lt;=0,A946&lt;$C$13),0,IF(AND($L$242&gt;0,$C$17&gt;0,A946&gt;=$C$13,A946&lt;($C$13+$C$17)),IF($C$17&lt;=0,0,IF($C$16=0,MAX($L$242*(1-$C$15),0)/$C$17,-PMT($C$16/12,$C$17*12,MAX($L$242*(1-$C$15),0))*12)),0)+X946*($C$19+$C$20+$C$21)+$C$22+$C$23)</f>
        <v/>
      </c>
      <c r="I946" s="138">
        <f>IF(B946="Working",MIN(MAX(D946-E946-F946-G946-H946,0),'Tax Assumptions'!$B$20),0)</f>
        <v/>
      </c>
      <c r="J946" s="138">
        <f>IF(B946="Working",D946-E946-F946-I946-G946-H946,-L946)</f>
        <v/>
      </c>
      <c r="K946" s="141">
        <f>IF(B946="Retired",$N$242+G946+H946,0)</f>
        <v/>
      </c>
      <c r="L946" s="141">
        <f>M946+N946+O946+P946</f>
        <v/>
      </c>
      <c r="M946" s="141">
        <f>IF(B946="Retired",MIN(((Q945)*(1+$C$10)+IF(B946="Working",J946,0)),K946),0)</f>
        <v/>
      </c>
      <c r="N946" s="141">
        <f>IF(B946="Retired",MIN(MAX(K946-M946,0),((R945)*(1+$C$10)+IF(B946="Working",E109,0))),0)</f>
        <v/>
      </c>
      <c r="O946" s="141">
        <f>IF(B946="Retired",MIN(MAX(K946-M946-N946,0),((S945)*(1+$C$10)+IF(B946="Working",I946,0))),0)</f>
        <v/>
      </c>
      <c r="P946" s="141">
        <f>IF(B946="Retired",MIN(MAX(K946-M946-N946-O946,0),((T945)*(1+$C$10)+IF(B946="Working",F109,0))),0)</f>
        <v/>
      </c>
      <c r="Q946" s="138">
        <f>MAX(((Q945)*(1+$C$10)+IF(B946="Working",J946,0))-M946,0)</f>
        <v/>
      </c>
      <c r="R946" s="138">
        <f>MAX(((R945)*(1+$C$10)+IF(B946="Working",E109,0))-N946,0)</f>
        <v/>
      </c>
      <c r="S946" s="138">
        <f>MAX(((S945)*(1+$C$10)+IF(B946="Working",I946,0))-O946,0)</f>
        <v/>
      </c>
      <c r="T946" s="138">
        <f>MAX(((T945)*(1+$C$10)+IF(B946="Working",F109,0))-P946,0)</f>
        <v/>
      </c>
      <c r="U946" s="138">
        <f>Q946+R946+S946+T946</f>
        <v/>
      </c>
      <c r="V946" s="138">
        <f>IF(B946="Working",MAX(-(((Q945)*(1+$C$10)+IF(B946="Working",J946,0))),0),MAX(K946-L946,0))</f>
        <v/>
      </c>
      <c r="W946" s="138">
        <f>IF(OR(A946&gt;=$C$13,B946="Retired"),IF(V946&gt;0,-V946,U946-'Model Inputs'!$B$18),"")</f>
        <v/>
      </c>
      <c r="X946" s="138">
        <f>IF(AND($L$242&gt;0,A946&gt;=$C$13),$L$242*(1+$C$25)^(A946-$C$13),0)</f>
        <v/>
      </c>
      <c r="Y946" s="138">
        <f>IF(OR($L$242&lt;=0,$C$17&lt;=0,A946&lt;$C$13,MIN(MAX((A946-$C$13+1)*12,0),$C$17*12)&gt;=$C$17*12),0,IF($C$16=0,MAX(MAX($L$242*(1-$C$15),0)-(IF($C$17&lt;=0,0,IF($C$16=0,MAX($L$242*(1-$C$15),0)/$C$17,-PMT($C$16/12,$C$17*12,MAX($L$242*(1-$C$15),0))*12))/12)*MIN(MAX((A946-$C$13+1)*12,0),$C$17*12),0),MAX(MAX($L$242*(1-$C$15),0)*(1+$C$16/12)^MIN(MAX((A946-$C$13+1)*12,0),$C$17*12)-(IF($C$17&lt;=0,0,IF($C$16=0,MAX($L$242*(1-$C$15),0)/$C$17,-PMT($C$16/12,$C$17*12,MAX($L$242*(1-$C$15),0))*12))/12)*(((1+$C$16/12)^MIN(MAX((A946-$C$13+1)*12,0),$C$17*12)-1)/($C$16/12)),0)))</f>
        <v/>
      </c>
      <c r="Z946" s="138">
        <f>MAX(X946-Y946,0)</f>
        <v/>
      </c>
      <c r="AA946" s="142">
        <f>U946+Z946</f>
        <v/>
      </c>
      <c r="AB946" s="5" t="n"/>
      <c r="AC946" s="5" t="n"/>
      <c r="AD946" s="5" t="n"/>
      <c r="AE946" s="5" t="n"/>
      <c r="AF946" s="5" t="n"/>
      <c r="AG946" s="5" t="n"/>
    </row>
    <row r="947" outlineLevel="1" s="326">
      <c r="A947" s="136" t="n">
        <v>31</v>
      </c>
      <c r="B947" s="72">
        <f>B110</f>
        <v/>
      </c>
      <c r="C947" s="137">
        <f>D110</f>
        <v/>
      </c>
      <c r="D947" s="137">
        <f>I110</f>
        <v/>
      </c>
      <c r="E947" s="137">
        <f>J110</f>
        <v/>
      </c>
      <c r="F947" s="137">
        <f>K110</f>
        <v/>
      </c>
      <c r="G947" s="138">
        <f>IF(AND($L$242&gt;0,A947=$C$13),$L$242*($C$15+$C$18),0)+IF(AND($L$242&gt;0,A947=$C$13),$C$24,0)</f>
        <v/>
      </c>
      <c r="H947" s="138">
        <f>IF(OR($L$242&lt;=0,A947&lt;$C$13),0,IF(AND($L$242&gt;0,$C$17&gt;0,A947&gt;=$C$13,A947&lt;($C$13+$C$17)),IF($C$17&lt;=0,0,IF($C$16=0,MAX($L$242*(1-$C$15),0)/$C$17,-PMT($C$16/12,$C$17*12,MAX($L$242*(1-$C$15),0))*12)),0)+X947*($C$19+$C$20+$C$21)+$C$22+$C$23)</f>
        <v/>
      </c>
      <c r="I947" s="138">
        <f>IF(B947="Working",MIN(MAX(D947-E947-F947-G947-H947,0),'Tax Assumptions'!$B$20),0)</f>
        <v/>
      </c>
      <c r="J947" s="138">
        <f>IF(B947="Working",D947-E947-F947-I947-G947-H947,-L947)</f>
        <v/>
      </c>
      <c r="K947" s="137">
        <f>IF(B947="Retired",$N$242+G947+H947,0)</f>
        <v/>
      </c>
      <c r="L947" s="137">
        <f>M947+N947+O947+P947</f>
        <v/>
      </c>
      <c r="M947" s="137">
        <f>IF(B947="Retired",MIN(((Q946)*(1+$C$10)+IF(B947="Working",J947,0)),K947),0)</f>
        <v/>
      </c>
      <c r="N947" s="137">
        <f>IF(B947="Retired",MIN(MAX(K947-M947,0),((R946)*(1+$C$10)+IF(B947="Working",E110,0))),0)</f>
        <v/>
      </c>
      <c r="O947" s="137">
        <f>IF(B947="Retired",MIN(MAX(K947-M947-N947,0),((S946)*(1+$C$10)+IF(B947="Working",I947,0))),0)</f>
        <v/>
      </c>
      <c r="P947" s="137">
        <f>IF(B947="Retired",MIN(MAX(K947-M947-N947-O947,0),((T946)*(1+$C$10)+IF(B947="Working",F110,0))),0)</f>
        <v/>
      </c>
      <c r="Q947" s="138">
        <f>MAX(((Q946)*(1+$C$10)+IF(B947="Working",J947,0))-M947,0)</f>
        <v/>
      </c>
      <c r="R947" s="138">
        <f>MAX(((R946)*(1+$C$10)+IF(B947="Working",E110,0))-N947,0)</f>
        <v/>
      </c>
      <c r="S947" s="138">
        <f>MAX(((S946)*(1+$C$10)+IF(B947="Working",I947,0))-O947,0)</f>
        <v/>
      </c>
      <c r="T947" s="138">
        <f>MAX(((T946)*(1+$C$10)+IF(B947="Working",F110,0))-P947,0)</f>
        <v/>
      </c>
      <c r="U947" s="138">
        <f>Q947+R947+S947+T947</f>
        <v/>
      </c>
      <c r="V947" s="138">
        <f>IF(B947="Working",MAX(-(((Q946)*(1+$C$10)+IF(B947="Working",J947,0))),0),MAX(K947-L947,0))</f>
        <v/>
      </c>
      <c r="W947" s="138">
        <f>IF(OR(A947&gt;=$C$13,B947="Retired"),IF(V947&gt;0,-V947,U947-'Model Inputs'!$B$18),"")</f>
        <v/>
      </c>
      <c r="X947" s="138">
        <f>IF(AND($L$242&gt;0,A947&gt;=$C$13),$L$242*(1+$C$25)^(A947-$C$13),0)</f>
        <v/>
      </c>
      <c r="Y947" s="138">
        <f>IF(OR($L$242&lt;=0,$C$17&lt;=0,A947&lt;$C$13,MIN(MAX((A947-$C$13+1)*12,0),$C$17*12)&gt;=$C$17*12),0,IF($C$16=0,MAX(MAX($L$242*(1-$C$15),0)-(IF($C$17&lt;=0,0,IF($C$16=0,MAX($L$242*(1-$C$15),0)/$C$17,-PMT($C$16/12,$C$17*12,MAX($L$242*(1-$C$15),0))*12))/12)*MIN(MAX((A947-$C$13+1)*12,0),$C$17*12),0),MAX(MAX($L$242*(1-$C$15),0)*(1+$C$16/12)^MIN(MAX((A947-$C$13+1)*12,0),$C$17*12)-(IF($C$17&lt;=0,0,IF($C$16=0,MAX($L$242*(1-$C$15),0)/$C$17,-PMT($C$16/12,$C$17*12,MAX($L$242*(1-$C$15),0))*12))/12)*(((1+$C$16/12)^MIN(MAX((A947-$C$13+1)*12,0),$C$17*12)-1)/($C$16/12)),0)))</f>
        <v/>
      </c>
      <c r="Z947" s="138">
        <f>MAX(X947-Y947,0)</f>
        <v/>
      </c>
      <c r="AA947" s="139">
        <f>U947+Z947</f>
        <v/>
      </c>
      <c r="AB947" s="5" t="n"/>
      <c r="AC947" s="5" t="n"/>
      <c r="AD947" s="5" t="n"/>
      <c r="AE947" s="5" t="n"/>
      <c r="AF947" s="5" t="n"/>
      <c r="AG947" s="5" t="n"/>
    </row>
    <row r="948" outlineLevel="1" s="326">
      <c r="A948" s="140" t="n">
        <v>32</v>
      </c>
      <c r="B948" s="40">
        <f>B111</f>
        <v/>
      </c>
      <c r="C948" s="141">
        <f>D111</f>
        <v/>
      </c>
      <c r="D948" s="141">
        <f>I111</f>
        <v/>
      </c>
      <c r="E948" s="141">
        <f>J111</f>
        <v/>
      </c>
      <c r="F948" s="141">
        <f>K111</f>
        <v/>
      </c>
      <c r="G948" s="138">
        <f>IF(AND($L$242&gt;0,A948=$C$13),$L$242*($C$15+$C$18),0)+IF(AND($L$242&gt;0,A948=$C$13),$C$24,0)</f>
        <v/>
      </c>
      <c r="H948" s="138">
        <f>IF(OR($L$242&lt;=0,A948&lt;$C$13),0,IF(AND($L$242&gt;0,$C$17&gt;0,A948&gt;=$C$13,A948&lt;($C$13+$C$17)),IF($C$17&lt;=0,0,IF($C$16=0,MAX($L$242*(1-$C$15),0)/$C$17,-PMT($C$16/12,$C$17*12,MAX($L$242*(1-$C$15),0))*12)),0)+X948*($C$19+$C$20+$C$21)+$C$22+$C$23)</f>
        <v/>
      </c>
      <c r="I948" s="138">
        <f>IF(B948="Working",MIN(MAX(D948-E948-F948-G948-H948,0),'Tax Assumptions'!$B$20),0)</f>
        <v/>
      </c>
      <c r="J948" s="138">
        <f>IF(B948="Working",D948-E948-F948-I948-G948-H948,-L948)</f>
        <v/>
      </c>
      <c r="K948" s="141">
        <f>IF(B948="Retired",$N$242+G948+H948,0)</f>
        <v/>
      </c>
      <c r="L948" s="141">
        <f>M948+N948+O948+P948</f>
        <v/>
      </c>
      <c r="M948" s="141">
        <f>IF(B948="Retired",MIN(((Q947)*(1+$C$10)+IF(B948="Working",J948,0)),K948),0)</f>
        <v/>
      </c>
      <c r="N948" s="141">
        <f>IF(B948="Retired",MIN(MAX(K948-M948,0),((R947)*(1+$C$10)+IF(B948="Working",E111,0))),0)</f>
        <v/>
      </c>
      <c r="O948" s="141">
        <f>IF(B948="Retired",MIN(MAX(K948-M948-N948,0),((S947)*(1+$C$10)+IF(B948="Working",I948,0))),0)</f>
        <v/>
      </c>
      <c r="P948" s="141">
        <f>IF(B948="Retired",MIN(MAX(K948-M948-N948-O948,0),((T947)*(1+$C$10)+IF(B948="Working",F111,0))),0)</f>
        <v/>
      </c>
      <c r="Q948" s="138">
        <f>MAX(((Q947)*(1+$C$10)+IF(B948="Working",J948,0))-M948,0)</f>
        <v/>
      </c>
      <c r="R948" s="138">
        <f>MAX(((R947)*(1+$C$10)+IF(B948="Working",E111,0))-N948,0)</f>
        <v/>
      </c>
      <c r="S948" s="138">
        <f>MAX(((S947)*(1+$C$10)+IF(B948="Working",I948,0))-O948,0)</f>
        <v/>
      </c>
      <c r="T948" s="138">
        <f>MAX(((T947)*(1+$C$10)+IF(B948="Working",F111,0))-P948,0)</f>
        <v/>
      </c>
      <c r="U948" s="138">
        <f>Q948+R948+S948+T948</f>
        <v/>
      </c>
      <c r="V948" s="138">
        <f>IF(B948="Working",MAX(-(((Q947)*(1+$C$10)+IF(B948="Working",J948,0))),0),MAX(K948-L948,0))</f>
        <v/>
      </c>
      <c r="W948" s="138">
        <f>IF(OR(A948&gt;=$C$13,B948="Retired"),IF(V948&gt;0,-V948,U948-'Model Inputs'!$B$18),"")</f>
        <v/>
      </c>
      <c r="X948" s="138">
        <f>IF(AND($L$242&gt;0,A948&gt;=$C$13),$L$242*(1+$C$25)^(A948-$C$13),0)</f>
        <v/>
      </c>
      <c r="Y948" s="138">
        <f>IF(OR($L$242&lt;=0,$C$17&lt;=0,A948&lt;$C$13,MIN(MAX((A948-$C$13+1)*12,0),$C$17*12)&gt;=$C$17*12),0,IF($C$16=0,MAX(MAX($L$242*(1-$C$15),0)-(IF($C$17&lt;=0,0,IF($C$16=0,MAX($L$242*(1-$C$15),0)/$C$17,-PMT($C$16/12,$C$17*12,MAX($L$242*(1-$C$15),0))*12))/12)*MIN(MAX((A948-$C$13+1)*12,0),$C$17*12),0),MAX(MAX($L$242*(1-$C$15),0)*(1+$C$16/12)^MIN(MAX((A948-$C$13+1)*12,0),$C$17*12)-(IF($C$17&lt;=0,0,IF($C$16=0,MAX($L$242*(1-$C$15),0)/$C$17,-PMT($C$16/12,$C$17*12,MAX($L$242*(1-$C$15),0))*12))/12)*(((1+$C$16/12)^MIN(MAX((A948-$C$13+1)*12,0),$C$17*12)-1)/($C$16/12)),0)))</f>
        <v/>
      </c>
      <c r="Z948" s="138">
        <f>MAX(X948-Y948,0)</f>
        <v/>
      </c>
      <c r="AA948" s="142">
        <f>U948+Z948</f>
        <v/>
      </c>
      <c r="AB948" s="5" t="n"/>
      <c r="AC948" s="5" t="n"/>
      <c r="AD948" s="5" t="n"/>
      <c r="AE948" s="5" t="n"/>
      <c r="AF948" s="5" t="n"/>
      <c r="AG948" s="5" t="n"/>
    </row>
    <row r="949" outlineLevel="1" s="326">
      <c r="A949" s="136" t="n">
        <v>33</v>
      </c>
      <c r="B949" s="72">
        <f>B112</f>
        <v/>
      </c>
      <c r="C949" s="137">
        <f>D112</f>
        <v/>
      </c>
      <c r="D949" s="137">
        <f>I112</f>
        <v/>
      </c>
      <c r="E949" s="137">
        <f>J112</f>
        <v/>
      </c>
      <c r="F949" s="137">
        <f>K112</f>
        <v/>
      </c>
      <c r="G949" s="138">
        <f>IF(AND($L$242&gt;0,A949=$C$13),$L$242*($C$15+$C$18),0)+IF(AND($L$242&gt;0,A949=$C$13),$C$24,0)</f>
        <v/>
      </c>
      <c r="H949" s="138">
        <f>IF(OR($L$242&lt;=0,A949&lt;$C$13),0,IF(AND($L$242&gt;0,$C$17&gt;0,A949&gt;=$C$13,A949&lt;($C$13+$C$17)),IF($C$17&lt;=0,0,IF($C$16=0,MAX($L$242*(1-$C$15),0)/$C$17,-PMT($C$16/12,$C$17*12,MAX($L$242*(1-$C$15),0))*12)),0)+X949*($C$19+$C$20+$C$21)+$C$22+$C$23)</f>
        <v/>
      </c>
      <c r="I949" s="138">
        <f>IF(B949="Working",MIN(MAX(D949-E949-F949-G949-H949,0),'Tax Assumptions'!$B$20),0)</f>
        <v/>
      </c>
      <c r="J949" s="138">
        <f>IF(B949="Working",D949-E949-F949-I949-G949-H949,-L949)</f>
        <v/>
      </c>
      <c r="K949" s="137">
        <f>IF(B949="Retired",$N$242+G949+H949,0)</f>
        <v/>
      </c>
      <c r="L949" s="137">
        <f>M949+N949+O949+P949</f>
        <v/>
      </c>
      <c r="M949" s="137">
        <f>IF(B949="Retired",MIN(((Q948)*(1+$C$10)+IF(B949="Working",J949,0)),K949),0)</f>
        <v/>
      </c>
      <c r="N949" s="137">
        <f>IF(B949="Retired",MIN(MAX(K949-M949,0),((R948)*(1+$C$10)+IF(B949="Working",E112,0))),0)</f>
        <v/>
      </c>
      <c r="O949" s="137">
        <f>IF(B949="Retired",MIN(MAX(K949-M949-N949,0),((S948)*(1+$C$10)+IF(B949="Working",I949,0))),0)</f>
        <v/>
      </c>
      <c r="P949" s="137">
        <f>IF(B949="Retired",MIN(MAX(K949-M949-N949-O949,0),((T948)*(1+$C$10)+IF(B949="Working",F112,0))),0)</f>
        <v/>
      </c>
      <c r="Q949" s="138">
        <f>MAX(((Q948)*(1+$C$10)+IF(B949="Working",J949,0))-M949,0)</f>
        <v/>
      </c>
      <c r="R949" s="138">
        <f>MAX(((R948)*(1+$C$10)+IF(B949="Working",E112,0))-N949,0)</f>
        <v/>
      </c>
      <c r="S949" s="138">
        <f>MAX(((S948)*(1+$C$10)+IF(B949="Working",I949,0))-O949,0)</f>
        <v/>
      </c>
      <c r="T949" s="138">
        <f>MAX(((T948)*(1+$C$10)+IF(B949="Working",F112,0))-P949,0)</f>
        <v/>
      </c>
      <c r="U949" s="138">
        <f>Q949+R949+S949+T949</f>
        <v/>
      </c>
      <c r="V949" s="138">
        <f>IF(B949="Working",MAX(-(((Q948)*(1+$C$10)+IF(B949="Working",J949,0))),0),MAX(K949-L949,0))</f>
        <v/>
      </c>
      <c r="W949" s="138">
        <f>IF(OR(A949&gt;=$C$13,B949="Retired"),IF(V949&gt;0,-V949,U949-'Model Inputs'!$B$18),"")</f>
        <v/>
      </c>
      <c r="X949" s="138">
        <f>IF(AND($L$242&gt;0,A949&gt;=$C$13),$L$242*(1+$C$25)^(A949-$C$13),0)</f>
        <v/>
      </c>
      <c r="Y949" s="138">
        <f>IF(OR($L$242&lt;=0,$C$17&lt;=0,A949&lt;$C$13,MIN(MAX((A949-$C$13+1)*12,0),$C$17*12)&gt;=$C$17*12),0,IF($C$16=0,MAX(MAX($L$242*(1-$C$15),0)-(IF($C$17&lt;=0,0,IF($C$16=0,MAX($L$242*(1-$C$15),0)/$C$17,-PMT($C$16/12,$C$17*12,MAX($L$242*(1-$C$15),0))*12))/12)*MIN(MAX((A949-$C$13+1)*12,0),$C$17*12),0),MAX(MAX($L$242*(1-$C$15),0)*(1+$C$16/12)^MIN(MAX((A949-$C$13+1)*12,0),$C$17*12)-(IF($C$17&lt;=0,0,IF($C$16=0,MAX($L$242*(1-$C$15),0)/$C$17,-PMT($C$16/12,$C$17*12,MAX($L$242*(1-$C$15),0))*12))/12)*(((1+$C$16/12)^MIN(MAX((A949-$C$13+1)*12,0),$C$17*12)-1)/($C$16/12)),0)))</f>
        <v/>
      </c>
      <c r="Z949" s="138">
        <f>MAX(X949-Y949,0)</f>
        <v/>
      </c>
      <c r="AA949" s="139">
        <f>U949+Z949</f>
        <v/>
      </c>
      <c r="AB949" s="5" t="n"/>
      <c r="AC949" s="5" t="n"/>
      <c r="AD949" s="5" t="n"/>
      <c r="AE949" s="5" t="n"/>
      <c r="AF949" s="5" t="n"/>
      <c r="AG949" s="5" t="n"/>
    </row>
    <row r="950" outlineLevel="1" s="326">
      <c r="A950" s="140" t="n">
        <v>34</v>
      </c>
      <c r="B950" s="40">
        <f>B113</f>
        <v/>
      </c>
      <c r="C950" s="141">
        <f>D113</f>
        <v/>
      </c>
      <c r="D950" s="141">
        <f>I113</f>
        <v/>
      </c>
      <c r="E950" s="141">
        <f>J113</f>
        <v/>
      </c>
      <c r="F950" s="141">
        <f>K113</f>
        <v/>
      </c>
      <c r="G950" s="138">
        <f>IF(AND($L$242&gt;0,A950=$C$13),$L$242*($C$15+$C$18),0)+IF(AND($L$242&gt;0,A950=$C$13),$C$24,0)</f>
        <v/>
      </c>
      <c r="H950" s="138">
        <f>IF(OR($L$242&lt;=0,A950&lt;$C$13),0,IF(AND($L$242&gt;0,$C$17&gt;0,A950&gt;=$C$13,A950&lt;($C$13+$C$17)),IF($C$17&lt;=0,0,IF($C$16=0,MAX($L$242*(1-$C$15),0)/$C$17,-PMT($C$16/12,$C$17*12,MAX($L$242*(1-$C$15),0))*12)),0)+X950*($C$19+$C$20+$C$21)+$C$22+$C$23)</f>
        <v/>
      </c>
      <c r="I950" s="138">
        <f>IF(B950="Working",MIN(MAX(D950-E950-F950-G950-H950,0),'Tax Assumptions'!$B$20),0)</f>
        <v/>
      </c>
      <c r="J950" s="138">
        <f>IF(B950="Working",D950-E950-F950-I950-G950-H950,-L950)</f>
        <v/>
      </c>
      <c r="K950" s="141">
        <f>IF(B950="Retired",$N$242+G950+H950,0)</f>
        <v/>
      </c>
      <c r="L950" s="141">
        <f>M950+N950+O950+P950</f>
        <v/>
      </c>
      <c r="M950" s="141">
        <f>IF(B950="Retired",MIN(((Q949)*(1+$C$10)+IF(B950="Working",J950,0)),K950),0)</f>
        <v/>
      </c>
      <c r="N950" s="141">
        <f>IF(B950="Retired",MIN(MAX(K950-M950,0),((R949)*(1+$C$10)+IF(B950="Working",E113,0))),0)</f>
        <v/>
      </c>
      <c r="O950" s="141">
        <f>IF(B950="Retired",MIN(MAX(K950-M950-N950,0),((S949)*(1+$C$10)+IF(B950="Working",I950,0))),0)</f>
        <v/>
      </c>
      <c r="P950" s="141">
        <f>IF(B950="Retired",MIN(MAX(K950-M950-N950-O950,0),((T949)*(1+$C$10)+IF(B950="Working",F113,0))),0)</f>
        <v/>
      </c>
      <c r="Q950" s="138">
        <f>MAX(((Q949)*(1+$C$10)+IF(B950="Working",J950,0))-M950,0)</f>
        <v/>
      </c>
      <c r="R950" s="138">
        <f>MAX(((R949)*(1+$C$10)+IF(B950="Working",E113,0))-N950,0)</f>
        <v/>
      </c>
      <c r="S950" s="138">
        <f>MAX(((S949)*(1+$C$10)+IF(B950="Working",I950,0))-O950,0)</f>
        <v/>
      </c>
      <c r="T950" s="138">
        <f>MAX(((T949)*(1+$C$10)+IF(B950="Working",F113,0))-P950,0)</f>
        <v/>
      </c>
      <c r="U950" s="138">
        <f>Q950+R950+S950+T950</f>
        <v/>
      </c>
      <c r="V950" s="138">
        <f>IF(B950="Working",MAX(-(((Q949)*(1+$C$10)+IF(B950="Working",J950,0))),0),MAX(K950-L950,0))</f>
        <v/>
      </c>
      <c r="W950" s="138">
        <f>IF(OR(A950&gt;=$C$13,B950="Retired"),IF(V950&gt;0,-V950,U950-'Model Inputs'!$B$18),"")</f>
        <v/>
      </c>
      <c r="X950" s="138">
        <f>IF(AND($L$242&gt;0,A950&gt;=$C$13),$L$242*(1+$C$25)^(A950-$C$13),0)</f>
        <v/>
      </c>
      <c r="Y950" s="138">
        <f>IF(OR($L$242&lt;=0,$C$17&lt;=0,A950&lt;$C$13,MIN(MAX((A950-$C$13+1)*12,0),$C$17*12)&gt;=$C$17*12),0,IF($C$16=0,MAX(MAX($L$242*(1-$C$15),0)-(IF($C$17&lt;=0,0,IF($C$16=0,MAX($L$242*(1-$C$15),0)/$C$17,-PMT($C$16/12,$C$17*12,MAX($L$242*(1-$C$15),0))*12))/12)*MIN(MAX((A950-$C$13+1)*12,0),$C$17*12),0),MAX(MAX($L$242*(1-$C$15),0)*(1+$C$16/12)^MIN(MAX((A950-$C$13+1)*12,0),$C$17*12)-(IF($C$17&lt;=0,0,IF($C$16=0,MAX($L$242*(1-$C$15),0)/$C$17,-PMT($C$16/12,$C$17*12,MAX($L$242*(1-$C$15),0))*12))/12)*(((1+$C$16/12)^MIN(MAX((A950-$C$13+1)*12,0),$C$17*12)-1)/($C$16/12)),0)))</f>
        <v/>
      </c>
      <c r="Z950" s="138">
        <f>MAX(X950-Y950,0)</f>
        <v/>
      </c>
      <c r="AA950" s="142">
        <f>U950+Z950</f>
        <v/>
      </c>
      <c r="AB950" s="5" t="n"/>
      <c r="AC950" s="5" t="n"/>
      <c r="AD950" s="5" t="n"/>
      <c r="AE950" s="5" t="n"/>
      <c r="AF950" s="5" t="n"/>
      <c r="AG950" s="5" t="n"/>
    </row>
    <row r="951" outlineLevel="1" s="326">
      <c r="A951" s="136" t="n">
        <v>35</v>
      </c>
      <c r="B951" s="72">
        <f>B114</f>
        <v/>
      </c>
      <c r="C951" s="137">
        <f>D114</f>
        <v/>
      </c>
      <c r="D951" s="137">
        <f>I114</f>
        <v/>
      </c>
      <c r="E951" s="137">
        <f>J114</f>
        <v/>
      </c>
      <c r="F951" s="137">
        <f>K114</f>
        <v/>
      </c>
      <c r="G951" s="138">
        <f>IF(AND($L$242&gt;0,A951=$C$13),$L$242*($C$15+$C$18),0)+IF(AND($L$242&gt;0,A951=$C$13),$C$24,0)</f>
        <v/>
      </c>
      <c r="H951" s="138">
        <f>IF(OR($L$242&lt;=0,A951&lt;$C$13),0,IF(AND($L$242&gt;0,$C$17&gt;0,A951&gt;=$C$13,A951&lt;($C$13+$C$17)),IF($C$17&lt;=0,0,IF($C$16=0,MAX($L$242*(1-$C$15),0)/$C$17,-PMT($C$16/12,$C$17*12,MAX($L$242*(1-$C$15),0))*12)),0)+X951*($C$19+$C$20+$C$21)+$C$22+$C$23)</f>
        <v/>
      </c>
      <c r="I951" s="138">
        <f>IF(B951="Working",MIN(MAX(D951-E951-F951-G951-H951,0),'Tax Assumptions'!$B$20),0)</f>
        <v/>
      </c>
      <c r="J951" s="138">
        <f>IF(B951="Working",D951-E951-F951-I951-G951-H951,-L951)</f>
        <v/>
      </c>
      <c r="K951" s="137">
        <f>IF(B951="Retired",$N$242+G951+H951,0)</f>
        <v/>
      </c>
      <c r="L951" s="137">
        <f>M951+N951+O951+P951</f>
        <v/>
      </c>
      <c r="M951" s="137">
        <f>IF(B951="Retired",MIN(((Q950)*(1+$C$10)+IF(B951="Working",J951,0)),K951),0)</f>
        <v/>
      </c>
      <c r="N951" s="137">
        <f>IF(B951="Retired",MIN(MAX(K951-M951,0),((R950)*(1+$C$10)+IF(B951="Working",E114,0))),0)</f>
        <v/>
      </c>
      <c r="O951" s="137">
        <f>IF(B951="Retired",MIN(MAX(K951-M951-N951,0),((S950)*(1+$C$10)+IF(B951="Working",I951,0))),0)</f>
        <v/>
      </c>
      <c r="P951" s="137">
        <f>IF(B951="Retired",MIN(MAX(K951-M951-N951-O951,0),((T950)*(1+$C$10)+IF(B951="Working",F114,0))),0)</f>
        <v/>
      </c>
      <c r="Q951" s="138">
        <f>MAX(((Q950)*(1+$C$10)+IF(B951="Working",J951,0))-M951,0)</f>
        <v/>
      </c>
      <c r="R951" s="138">
        <f>MAX(((R950)*(1+$C$10)+IF(B951="Working",E114,0))-N951,0)</f>
        <v/>
      </c>
      <c r="S951" s="138">
        <f>MAX(((S950)*(1+$C$10)+IF(B951="Working",I951,0))-O951,0)</f>
        <v/>
      </c>
      <c r="T951" s="138">
        <f>MAX(((T950)*(1+$C$10)+IF(B951="Working",F114,0))-P951,0)</f>
        <v/>
      </c>
      <c r="U951" s="138">
        <f>Q951+R951+S951+T951</f>
        <v/>
      </c>
      <c r="V951" s="138">
        <f>IF(B951="Working",MAX(-(((Q950)*(1+$C$10)+IF(B951="Working",J951,0))),0),MAX(K951-L951,0))</f>
        <v/>
      </c>
      <c r="W951" s="138">
        <f>IF(OR(A951&gt;=$C$13,B951="Retired"),IF(V951&gt;0,-V951,U951-'Model Inputs'!$B$18),"")</f>
        <v/>
      </c>
      <c r="X951" s="138">
        <f>IF(AND($L$242&gt;0,A951&gt;=$C$13),$L$242*(1+$C$25)^(A951-$C$13),0)</f>
        <v/>
      </c>
      <c r="Y951" s="138">
        <f>IF(OR($L$242&lt;=0,$C$17&lt;=0,A951&lt;$C$13,MIN(MAX((A951-$C$13+1)*12,0),$C$17*12)&gt;=$C$17*12),0,IF($C$16=0,MAX(MAX($L$242*(1-$C$15),0)-(IF($C$17&lt;=0,0,IF($C$16=0,MAX($L$242*(1-$C$15),0)/$C$17,-PMT($C$16/12,$C$17*12,MAX($L$242*(1-$C$15),0))*12))/12)*MIN(MAX((A951-$C$13+1)*12,0),$C$17*12),0),MAX(MAX($L$242*(1-$C$15),0)*(1+$C$16/12)^MIN(MAX((A951-$C$13+1)*12,0),$C$17*12)-(IF($C$17&lt;=0,0,IF($C$16=0,MAX($L$242*(1-$C$15),0)/$C$17,-PMT($C$16/12,$C$17*12,MAX($L$242*(1-$C$15),0))*12))/12)*(((1+$C$16/12)^MIN(MAX((A951-$C$13+1)*12,0),$C$17*12)-1)/($C$16/12)),0)))</f>
        <v/>
      </c>
      <c r="Z951" s="138">
        <f>MAX(X951-Y951,0)</f>
        <v/>
      </c>
      <c r="AA951" s="139">
        <f>U951+Z951</f>
        <v/>
      </c>
      <c r="AB951" s="5" t="n"/>
      <c r="AC951" s="5" t="n"/>
      <c r="AD951" s="5" t="n"/>
      <c r="AE951" s="5" t="n"/>
      <c r="AF951" s="5" t="n"/>
      <c r="AG951" s="5" t="n"/>
    </row>
    <row r="952" outlineLevel="1" s="326">
      <c r="A952" s="140" t="n">
        <v>36</v>
      </c>
      <c r="B952" s="40">
        <f>B115</f>
        <v/>
      </c>
      <c r="C952" s="141">
        <f>D115</f>
        <v/>
      </c>
      <c r="D952" s="141">
        <f>I115</f>
        <v/>
      </c>
      <c r="E952" s="141">
        <f>J115</f>
        <v/>
      </c>
      <c r="F952" s="141">
        <f>K115</f>
        <v/>
      </c>
      <c r="G952" s="138">
        <f>IF(AND($L$242&gt;0,A952=$C$13),$L$242*($C$15+$C$18),0)+IF(AND($L$242&gt;0,A952=$C$13),$C$24,0)</f>
        <v/>
      </c>
      <c r="H952" s="138">
        <f>IF(OR($L$242&lt;=0,A952&lt;$C$13),0,IF(AND($L$242&gt;0,$C$17&gt;0,A952&gt;=$C$13,A952&lt;($C$13+$C$17)),IF($C$17&lt;=0,0,IF($C$16=0,MAX($L$242*(1-$C$15),0)/$C$17,-PMT($C$16/12,$C$17*12,MAX($L$242*(1-$C$15),0))*12)),0)+X952*($C$19+$C$20+$C$21)+$C$22+$C$23)</f>
        <v/>
      </c>
      <c r="I952" s="138">
        <f>IF(B952="Working",MIN(MAX(D952-E952-F952-G952-H952,0),'Tax Assumptions'!$B$20),0)</f>
        <v/>
      </c>
      <c r="J952" s="138">
        <f>IF(B952="Working",D952-E952-F952-I952-G952-H952,-L952)</f>
        <v/>
      </c>
      <c r="K952" s="141">
        <f>IF(B952="Retired",$N$242+G952+H952,0)</f>
        <v/>
      </c>
      <c r="L952" s="141">
        <f>M952+N952+O952+P952</f>
        <v/>
      </c>
      <c r="M952" s="141">
        <f>IF(B952="Retired",MIN(((Q951)*(1+$C$10)+IF(B952="Working",J952,0)),K952),0)</f>
        <v/>
      </c>
      <c r="N952" s="141">
        <f>IF(B952="Retired",MIN(MAX(K952-M952,0),((R951)*(1+$C$10)+IF(B952="Working",E115,0))),0)</f>
        <v/>
      </c>
      <c r="O952" s="141">
        <f>IF(B952="Retired",MIN(MAX(K952-M952-N952,0),((S951)*(1+$C$10)+IF(B952="Working",I952,0))),0)</f>
        <v/>
      </c>
      <c r="P952" s="141">
        <f>IF(B952="Retired",MIN(MAX(K952-M952-N952-O952,0),((T951)*(1+$C$10)+IF(B952="Working",F115,0))),0)</f>
        <v/>
      </c>
      <c r="Q952" s="138">
        <f>MAX(((Q951)*(1+$C$10)+IF(B952="Working",J952,0))-M952,0)</f>
        <v/>
      </c>
      <c r="R952" s="138">
        <f>MAX(((R951)*(1+$C$10)+IF(B952="Working",E115,0))-N952,0)</f>
        <v/>
      </c>
      <c r="S952" s="138">
        <f>MAX(((S951)*(1+$C$10)+IF(B952="Working",I952,0))-O952,0)</f>
        <v/>
      </c>
      <c r="T952" s="138">
        <f>MAX(((T951)*(1+$C$10)+IF(B952="Working",F115,0))-P952,0)</f>
        <v/>
      </c>
      <c r="U952" s="138">
        <f>Q952+R952+S952+T952</f>
        <v/>
      </c>
      <c r="V952" s="138">
        <f>IF(B952="Working",MAX(-(((Q951)*(1+$C$10)+IF(B952="Working",J952,0))),0),MAX(K952-L952,0))</f>
        <v/>
      </c>
      <c r="W952" s="138">
        <f>IF(OR(A952&gt;=$C$13,B952="Retired"),IF(V952&gt;0,-V952,U952-'Model Inputs'!$B$18),"")</f>
        <v/>
      </c>
      <c r="X952" s="138">
        <f>IF(AND($L$242&gt;0,A952&gt;=$C$13),$L$242*(1+$C$25)^(A952-$C$13),0)</f>
        <v/>
      </c>
      <c r="Y952" s="138">
        <f>IF(OR($L$242&lt;=0,$C$17&lt;=0,A952&lt;$C$13,MIN(MAX((A952-$C$13+1)*12,0),$C$17*12)&gt;=$C$17*12),0,IF($C$16=0,MAX(MAX($L$242*(1-$C$15),0)-(IF($C$17&lt;=0,0,IF($C$16=0,MAX($L$242*(1-$C$15),0)/$C$17,-PMT($C$16/12,$C$17*12,MAX($L$242*(1-$C$15),0))*12))/12)*MIN(MAX((A952-$C$13+1)*12,0),$C$17*12),0),MAX(MAX($L$242*(1-$C$15),0)*(1+$C$16/12)^MIN(MAX((A952-$C$13+1)*12,0),$C$17*12)-(IF($C$17&lt;=0,0,IF($C$16=0,MAX($L$242*(1-$C$15),0)/$C$17,-PMT($C$16/12,$C$17*12,MAX($L$242*(1-$C$15),0))*12))/12)*(((1+$C$16/12)^MIN(MAX((A952-$C$13+1)*12,0),$C$17*12)-1)/($C$16/12)),0)))</f>
        <v/>
      </c>
      <c r="Z952" s="138">
        <f>MAX(X952-Y952,0)</f>
        <v/>
      </c>
      <c r="AA952" s="142">
        <f>U952+Z952</f>
        <v/>
      </c>
      <c r="AB952" s="5" t="n"/>
      <c r="AC952" s="5" t="n"/>
      <c r="AD952" s="5" t="n"/>
      <c r="AE952" s="5" t="n"/>
      <c r="AF952" s="5" t="n"/>
      <c r="AG952" s="5" t="n"/>
    </row>
    <row r="953" outlineLevel="1" s="326">
      <c r="A953" s="136" t="n">
        <v>37</v>
      </c>
      <c r="B953" s="72">
        <f>B116</f>
        <v/>
      </c>
      <c r="C953" s="137">
        <f>D116</f>
        <v/>
      </c>
      <c r="D953" s="137">
        <f>I116</f>
        <v/>
      </c>
      <c r="E953" s="137">
        <f>J116</f>
        <v/>
      </c>
      <c r="F953" s="137">
        <f>K116</f>
        <v/>
      </c>
      <c r="G953" s="138">
        <f>IF(AND($L$242&gt;0,A953=$C$13),$L$242*($C$15+$C$18),0)+IF(AND($L$242&gt;0,A953=$C$13),$C$24,0)</f>
        <v/>
      </c>
      <c r="H953" s="138">
        <f>IF(OR($L$242&lt;=0,A953&lt;$C$13),0,IF(AND($L$242&gt;0,$C$17&gt;0,A953&gt;=$C$13,A953&lt;($C$13+$C$17)),IF($C$17&lt;=0,0,IF($C$16=0,MAX($L$242*(1-$C$15),0)/$C$17,-PMT($C$16/12,$C$17*12,MAX($L$242*(1-$C$15),0))*12)),0)+X953*($C$19+$C$20+$C$21)+$C$22+$C$23)</f>
        <v/>
      </c>
      <c r="I953" s="138">
        <f>IF(B953="Working",MIN(MAX(D953-E953-F953-G953-H953,0),'Tax Assumptions'!$B$20),0)</f>
        <v/>
      </c>
      <c r="J953" s="138">
        <f>IF(B953="Working",D953-E953-F953-I953-G953-H953,-L953)</f>
        <v/>
      </c>
      <c r="K953" s="137">
        <f>IF(B953="Retired",$N$242+G953+H953,0)</f>
        <v/>
      </c>
      <c r="L953" s="137">
        <f>M953+N953+O953+P953</f>
        <v/>
      </c>
      <c r="M953" s="137">
        <f>IF(B953="Retired",MIN(((Q952)*(1+$C$10)+IF(B953="Working",J953,0)),K953),0)</f>
        <v/>
      </c>
      <c r="N953" s="137">
        <f>IF(B953="Retired",MIN(MAX(K953-M953,0),((R952)*(1+$C$10)+IF(B953="Working",E116,0))),0)</f>
        <v/>
      </c>
      <c r="O953" s="137">
        <f>IF(B953="Retired",MIN(MAX(K953-M953-N953,0),((S952)*(1+$C$10)+IF(B953="Working",I953,0))),0)</f>
        <v/>
      </c>
      <c r="P953" s="137">
        <f>IF(B953="Retired",MIN(MAX(K953-M953-N953-O953,0),((T952)*(1+$C$10)+IF(B953="Working",F116,0))),0)</f>
        <v/>
      </c>
      <c r="Q953" s="138">
        <f>MAX(((Q952)*(1+$C$10)+IF(B953="Working",J953,0))-M953,0)</f>
        <v/>
      </c>
      <c r="R953" s="138">
        <f>MAX(((R952)*(1+$C$10)+IF(B953="Working",E116,0))-N953,0)</f>
        <v/>
      </c>
      <c r="S953" s="138">
        <f>MAX(((S952)*(1+$C$10)+IF(B953="Working",I953,0))-O953,0)</f>
        <v/>
      </c>
      <c r="T953" s="138">
        <f>MAX(((T952)*(1+$C$10)+IF(B953="Working",F116,0))-P953,0)</f>
        <v/>
      </c>
      <c r="U953" s="138">
        <f>Q953+R953+S953+T953</f>
        <v/>
      </c>
      <c r="V953" s="138">
        <f>IF(B953="Working",MAX(-(((Q952)*(1+$C$10)+IF(B953="Working",J953,0))),0),MAX(K953-L953,0))</f>
        <v/>
      </c>
      <c r="W953" s="138">
        <f>IF(OR(A953&gt;=$C$13,B953="Retired"),IF(V953&gt;0,-V953,U953-'Model Inputs'!$B$18),"")</f>
        <v/>
      </c>
      <c r="X953" s="138">
        <f>IF(AND($L$242&gt;0,A953&gt;=$C$13),$L$242*(1+$C$25)^(A953-$C$13),0)</f>
        <v/>
      </c>
      <c r="Y953" s="138">
        <f>IF(OR($L$242&lt;=0,$C$17&lt;=0,A953&lt;$C$13,MIN(MAX((A953-$C$13+1)*12,0),$C$17*12)&gt;=$C$17*12),0,IF($C$16=0,MAX(MAX($L$242*(1-$C$15),0)-(IF($C$17&lt;=0,0,IF($C$16=0,MAX($L$242*(1-$C$15),0)/$C$17,-PMT($C$16/12,$C$17*12,MAX($L$242*(1-$C$15),0))*12))/12)*MIN(MAX((A953-$C$13+1)*12,0),$C$17*12),0),MAX(MAX($L$242*(1-$C$15),0)*(1+$C$16/12)^MIN(MAX((A953-$C$13+1)*12,0),$C$17*12)-(IF($C$17&lt;=0,0,IF($C$16=0,MAX($L$242*(1-$C$15),0)/$C$17,-PMT($C$16/12,$C$17*12,MAX($L$242*(1-$C$15),0))*12))/12)*(((1+$C$16/12)^MIN(MAX((A953-$C$13+1)*12,0),$C$17*12)-1)/($C$16/12)),0)))</f>
        <v/>
      </c>
      <c r="Z953" s="138">
        <f>MAX(X953-Y953,0)</f>
        <v/>
      </c>
      <c r="AA953" s="139">
        <f>U953+Z953</f>
        <v/>
      </c>
      <c r="AB953" s="5" t="n"/>
      <c r="AC953" s="5" t="n"/>
      <c r="AD953" s="5" t="n"/>
      <c r="AE953" s="5" t="n"/>
      <c r="AF953" s="5" t="n"/>
      <c r="AG953" s="5" t="n"/>
    </row>
    <row r="954" outlineLevel="1" s="326">
      <c r="A954" s="140" t="n">
        <v>38</v>
      </c>
      <c r="B954" s="40">
        <f>B117</f>
        <v/>
      </c>
      <c r="C954" s="141">
        <f>D117</f>
        <v/>
      </c>
      <c r="D954" s="141">
        <f>I117</f>
        <v/>
      </c>
      <c r="E954" s="141">
        <f>J117</f>
        <v/>
      </c>
      <c r="F954" s="141">
        <f>K117</f>
        <v/>
      </c>
      <c r="G954" s="138">
        <f>IF(AND($L$242&gt;0,A954=$C$13),$L$242*($C$15+$C$18),0)+IF(AND($L$242&gt;0,A954=$C$13),$C$24,0)</f>
        <v/>
      </c>
      <c r="H954" s="138">
        <f>IF(OR($L$242&lt;=0,A954&lt;$C$13),0,IF(AND($L$242&gt;0,$C$17&gt;0,A954&gt;=$C$13,A954&lt;($C$13+$C$17)),IF($C$17&lt;=0,0,IF($C$16=0,MAX($L$242*(1-$C$15),0)/$C$17,-PMT($C$16/12,$C$17*12,MAX($L$242*(1-$C$15),0))*12)),0)+X954*($C$19+$C$20+$C$21)+$C$22+$C$23)</f>
        <v/>
      </c>
      <c r="I954" s="138">
        <f>IF(B954="Working",MIN(MAX(D954-E954-F954-G954-H954,0),'Tax Assumptions'!$B$20),0)</f>
        <v/>
      </c>
      <c r="J954" s="138">
        <f>IF(B954="Working",D954-E954-F954-I954-G954-H954,-L954)</f>
        <v/>
      </c>
      <c r="K954" s="141">
        <f>IF(B954="Retired",$N$242+G954+H954,0)</f>
        <v/>
      </c>
      <c r="L954" s="141">
        <f>M954+N954+O954+P954</f>
        <v/>
      </c>
      <c r="M954" s="141">
        <f>IF(B954="Retired",MIN(((Q953)*(1+$C$10)+IF(B954="Working",J954,0)),K954),0)</f>
        <v/>
      </c>
      <c r="N954" s="141">
        <f>IF(B954="Retired",MIN(MAX(K954-M954,0),((R953)*(1+$C$10)+IF(B954="Working",E117,0))),0)</f>
        <v/>
      </c>
      <c r="O954" s="141">
        <f>IF(B954="Retired",MIN(MAX(K954-M954-N954,0),((S953)*(1+$C$10)+IF(B954="Working",I954,0))),0)</f>
        <v/>
      </c>
      <c r="P954" s="141">
        <f>IF(B954="Retired",MIN(MAX(K954-M954-N954-O954,0),((T953)*(1+$C$10)+IF(B954="Working",F117,0))),0)</f>
        <v/>
      </c>
      <c r="Q954" s="138">
        <f>MAX(((Q953)*(1+$C$10)+IF(B954="Working",J954,0))-M954,0)</f>
        <v/>
      </c>
      <c r="R954" s="138">
        <f>MAX(((R953)*(1+$C$10)+IF(B954="Working",E117,0))-N954,0)</f>
        <v/>
      </c>
      <c r="S954" s="138">
        <f>MAX(((S953)*(1+$C$10)+IF(B954="Working",I954,0))-O954,0)</f>
        <v/>
      </c>
      <c r="T954" s="138">
        <f>MAX(((T953)*(1+$C$10)+IF(B954="Working",F117,0))-P954,0)</f>
        <v/>
      </c>
      <c r="U954" s="138">
        <f>Q954+R954+S954+T954</f>
        <v/>
      </c>
      <c r="V954" s="138">
        <f>IF(B954="Working",MAX(-(((Q953)*(1+$C$10)+IF(B954="Working",J954,0))),0),MAX(K954-L954,0))</f>
        <v/>
      </c>
      <c r="W954" s="138">
        <f>IF(OR(A954&gt;=$C$13,B954="Retired"),IF(V954&gt;0,-V954,U954-'Model Inputs'!$B$18),"")</f>
        <v/>
      </c>
      <c r="X954" s="138">
        <f>IF(AND($L$242&gt;0,A954&gt;=$C$13),$L$242*(1+$C$25)^(A954-$C$13),0)</f>
        <v/>
      </c>
      <c r="Y954" s="138">
        <f>IF(OR($L$242&lt;=0,$C$17&lt;=0,A954&lt;$C$13,MIN(MAX((A954-$C$13+1)*12,0),$C$17*12)&gt;=$C$17*12),0,IF($C$16=0,MAX(MAX($L$242*(1-$C$15),0)-(IF($C$17&lt;=0,0,IF($C$16=0,MAX($L$242*(1-$C$15),0)/$C$17,-PMT($C$16/12,$C$17*12,MAX($L$242*(1-$C$15),0))*12))/12)*MIN(MAX((A954-$C$13+1)*12,0),$C$17*12),0),MAX(MAX($L$242*(1-$C$15),0)*(1+$C$16/12)^MIN(MAX((A954-$C$13+1)*12,0),$C$17*12)-(IF($C$17&lt;=0,0,IF($C$16=0,MAX($L$242*(1-$C$15),0)/$C$17,-PMT($C$16/12,$C$17*12,MAX($L$242*(1-$C$15),0))*12))/12)*(((1+$C$16/12)^MIN(MAX((A954-$C$13+1)*12,0),$C$17*12)-1)/($C$16/12)),0)))</f>
        <v/>
      </c>
      <c r="Z954" s="138">
        <f>MAX(X954-Y954,0)</f>
        <v/>
      </c>
      <c r="AA954" s="142">
        <f>U954+Z954</f>
        <v/>
      </c>
      <c r="AB954" s="5" t="n"/>
      <c r="AC954" s="5" t="n"/>
      <c r="AD954" s="5" t="n"/>
      <c r="AE954" s="5" t="n"/>
      <c r="AF954" s="5" t="n"/>
      <c r="AG954" s="5" t="n"/>
    </row>
    <row r="955" outlineLevel="1" s="326">
      <c r="A955" s="136" t="n">
        <v>39</v>
      </c>
      <c r="B955" s="72">
        <f>B118</f>
        <v/>
      </c>
      <c r="C955" s="137">
        <f>D118</f>
        <v/>
      </c>
      <c r="D955" s="137">
        <f>I118</f>
        <v/>
      </c>
      <c r="E955" s="137">
        <f>J118</f>
        <v/>
      </c>
      <c r="F955" s="137">
        <f>K118</f>
        <v/>
      </c>
      <c r="G955" s="138">
        <f>IF(AND($L$242&gt;0,A955=$C$13),$L$242*($C$15+$C$18),0)+IF(AND($L$242&gt;0,A955=$C$13),$C$24,0)</f>
        <v/>
      </c>
      <c r="H955" s="138">
        <f>IF(OR($L$242&lt;=0,A955&lt;$C$13),0,IF(AND($L$242&gt;0,$C$17&gt;0,A955&gt;=$C$13,A955&lt;($C$13+$C$17)),IF($C$17&lt;=0,0,IF($C$16=0,MAX($L$242*(1-$C$15),0)/$C$17,-PMT($C$16/12,$C$17*12,MAX($L$242*(1-$C$15),0))*12)),0)+X955*($C$19+$C$20+$C$21)+$C$22+$C$23)</f>
        <v/>
      </c>
      <c r="I955" s="138">
        <f>IF(B955="Working",MIN(MAX(D955-E955-F955-G955-H955,0),'Tax Assumptions'!$B$20),0)</f>
        <v/>
      </c>
      <c r="J955" s="138">
        <f>IF(B955="Working",D955-E955-F955-I955-G955-H955,-L955)</f>
        <v/>
      </c>
      <c r="K955" s="137">
        <f>IF(B955="Retired",$N$242+G955+H955,0)</f>
        <v/>
      </c>
      <c r="L955" s="137">
        <f>M955+N955+O955+P955</f>
        <v/>
      </c>
      <c r="M955" s="137">
        <f>IF(B955="Retired",MIN(((Q954)*(1+$C$10)+IF(B955="Working",J955,0)),K955),0)</f>
        <v/>
      </c>
      <c r="N955" s="137">
        <f>IF(B955="Retired",MIN(MAX(K955-M955,0),((R954)*(1+$C$10)+IF(B955="Working",E118,0))),0)</f>
        <v/>
      </c>
      <c r="O955" s="137">
        <f>IF(B955="Retired",MIN(MAX(K955-M955-N955,0),((S954)*(1+$C$10)+IF(B955="Working",I955,0))),0)</f>
        <v/>
      </c>
      <c r="P955" s="137">
        <f>IF(B955="Retired",MIN(MAX(K955-M955-N955-O955,0),((T954)*(1+$C$10)+IF(B955="Working",F118,0))),0)</f>
        <v/>
      </c>
      <c r="Q955" s="138">
        <f>MAX(((Q954)*(1+$C$10)+IF(B955="Working",J955,0))-M955,0)</f>
        <v/>
      </c>
      <c r="R955" s="138">
        <f>MAX(((R954)*(1+$C$10)+IF(B955="Working",E118,0))-N955,0)</f>
        <v/>
      </c>
      <c r="S955" s="138">
        <f>MAX(((S954)*(1+$C$10)+IF(B955="Working",I955,0))-O955,0)</f>
        <v/>
      </c>
      <c r="T955" s="138">
        <f>MAX(((T954)*(1+$C$10)+IF(B955="Working",F118,0))-P955,0)</f>
        <v/>
      </c>
      <c r="U955" s="138">
        <f>Q955+R955+S955+T955</f>
        <v/>
      </c>
      <c r="V955" s="138">
        <f>IF(B955="Working",MAX(-(((Q954)*(1+$C$10)+IF(B955="Working",J955,0))),0),MAX(K955-L955,0))</f>
        <v/>
      </c>
      <c r="W955" s="138">
        <f>IF(OR(A955&gt;=$C$13,B955="Retired"),IF(V955&gt;0,-V955,U955-'Model Inputs'!$B$18),"")</f>
        <v/>
      </c>
      <c r="X955" s="138">
        <f>IF(AND($L$242&gt;0,A955&gt;=$C$13),$L$242*(1+$C$25)^(A955-$C$13),0)</f>
        <v/>
      </c>
      <c r="Y955" s="138">
        <f>IF(OR($L$242&lt;=0,$C$17&lt;=0,A955&lt;$C$13,MIN(MAX((A955-$C$13+1)*12,0),$C$17*12)&gt;=$C$17*12),0,IF($C$16=0,MAX(MAX($L$242*(1-$C$15),0)-(IF($C$17&lt;=0,0,IF($C$16=0,MAX($L$242*(1-$C$15),0)/$C$17,-PMT($C$16/12,$C$17*12,MAX($L$242*(1-$C$15),0))*12))/12)*MIN(MAX((A955-$C$13+1)*12,0),$C$17*12),0),MAX(MAX($L$242*(1-$C$15),0)*(1+$C$16/12)^MIN(MAX((A955-$C$13+1)*12,0),$C$17*12)-(IF($C$17&lt;=0,0,IF($C$16=0,MAX($L$242*(1-$C$15),0)/$C$17,-PMT($C$16/12,$C$17*12,MAX($L$242*(1-$C$15),0))*12))/12)*(((1+$C$16/12)^MIN(MAX((A955-$C$13+1)*12,0),$C$17*12)-1)/($C$16/12)),0)))</f>
        <v/>
      </c>
      <c r="Z955" s="138">
        <f>MAX(X955-Y955,0)</f>
        <v/>
      </c>
      <c r="AA955" s="139">
        <f>U955+Z955</f>
        <v/>
      </c>
      <c r="AB955" s="5" t="n"/>
      <c r="AC955" s="5" t="n"/>
      <c r="AD955" s="5" t="n"/>
      <c r="AE955" s="5" t="n"/>
      <c r="AF955" s="5" t="n"/>
      <c r="AG955" s="5" t="n"/>
    </row>
    <row r="956" outlineLevel="1" s="326">
      <c r="A956" s="140" t="n">
        <v>40</v>
      </c>
      <c r="B956" s="40">
        <f>B119</f>
        <v/>
      </c>
      <c r="C956" s="141">
        <f>D119</f>
        <v/>
      </c>
      <c r="D956" s="141">
        <f>I119</f>
        <v/>
      </c>
      <c r="E956" s="141">
        <f>J119</f>
        <v/>
      </c>
      <c r="F956" s="141">
        <f>K119</f>
        <v/>
      </c>
      <c r="G956" s="138">
        <f>IF(AND($L$242&gt;0,A956=$C$13),$L$242*($C$15+$C$18),0)+IF(AND($L$242&gt;0,A956=$C$13),$C$24,0)</f>
        <v/>
      </c>
      <c r="H956" s="138">
        <f>IF(OR($L$242&lt;=0,A956&lt;$C$13),0,IF(AND($L$242&gt;0,$C$17&gt;0,A956&gt;=$C$13,A956&lt;($C$13+$C$17)),IF($C$17&lt;=0,0,IF($C$16=0,MAX($L$242*(1-$C$15),0)/$C$17,-PMT($C$16/12,$C$17*12,MAX($L$242*(1-$C$15),0))*12)),0)+X956*($C$19+$C$20+$C$21)+$C$22+$C$23)</f>
        <v/>
      </c>
      <c r="I956" s="138">
        <f>IF(B956="Working",MIN(MAX(D956-E956-F956-G956-H956,0),'Tax Assumptions'!$B$20),0)</f>
        <v/>
      </c>
      <c r="J956" s="138">
        <f>IF(B956="Working",D956-E956-F956-I956-G956-H956,-L956)</f>
        <v/>
      </c>
      <c r="K956" s="141">
        <f>IF(B956="Retired",$N$242+G956+H956,0)</f>
        <v/>
      </c>
      <c r="L956" s="141">
        <f>M956+N956+O956+P956</f>
        <v/>
      </c>
      <c r="M956" s="141">
        <f>IF(B956="Retired",MIN(((Q955)*(1+$C$10)+IF(B956="Working",J956,0)),K956),0)</f>
        <v/>
      </c>
      <c r="N956" s="141">
        <f>IF(B956="Retired",MIN(MAX(K956-M956,0),((R955)*(1+$C$10)+IF(B956="Working",E119,0))),0)</f>
        <v/>
      </c>
      <c r="O956" s="141">
        <f>IF(B956="Retired",MIN(MAX(K956-M956-N956,0),((S955)*(1+$C$10)+IF(B956="Working",I956,0))),0)</f>
        <v/>
      </c>
      <c r="P956" s="141">
        <f>IF(B956="Retired",MIN(MAX(K956-M956-N956-O956,0),((T955)*(1+$C$10)+IF(B956="Working",F119,0))),0)</f>
        <v/>
      </c>
      <c r="Q956" s="138">
        <f>MAX(((Q955)*(1+$C$10)+IF(B956="Working",J956,0))-M956,0)</f>
        <v/>
      </c>
      <c r="R956" s="138">
        <f>MAX(((R955)*(1+$C$10)+IF(B956="Working",E119,0))-N956,0)</f>
        <v/>
      </c>
      <c r="S956" s="138">
        <f>MAX(((S955)*(1+$C$10)+IF(B956="Working",I956,0))-O956,0)</f>
        <v/>
      </c>
      <c r="T956" s="138">
        <f>MAX(((T955)*(1+$C$10)+IF(B956="Working",F119,0))-P956,0)</f>
        <v/>
      </c>
      <c r="U956" s="138">
        <f>Q956+R956+S956+T956</f>
        <v/>
      </c>
      <c r="V956" s="138">
        <f>IF(B956="Working",MAX(-(((Q955)*(1+$C$10)+IF(B956="Working",J956,0))),0),MAX(K956-L956,0))</f>
        <v/>
      </c>
      <c r="W956" s="138">
        <f>IF(OR(A956&gt;=$C$13,B956="Retired"),IF(V956&gt;0,-V956,U956-'Model Inputs'!$B$18),"")</f>
        <v/>
      </c>
      <c r="X956" s="138">
        <f>IF(AND($L$242&gt;0,A956&gt;=$C$13),$L$242*(1+$C$25)^(A956-$C$13),0)</f>
        <v/>
      </c>
      <c r="Y956" s="138">
        <f>IF(OR($L$242&lt;=0,$C$17&lt;=0,A956&lt;$C$13,MIN(MAX((A956-$C$13+1)*12,0),$C$17*12)&gt;=$C$17*12),0,IF($C$16=0,MAX(MAX($L$242*(1-$C$15),0)-(IF($C$17&lt;=0,0,IF($C$16=0,MAX($L$242*(1-$C$15),0)/$C$17,-PMT($C$16/12,$C$17*12,MAX($L$242*(1-$C$15),0))*12))/12)*MIN(MAX((A956-$C$13+1)*12,0),$C$17*12),0),MAX(MAX($L$242*(1-$C$15),0)*(1+$C$16/12)^MIN(MAX((A956-$C$13+1)*12,0),$C$17*12)-(IF($C$17&lt;=0,0,IF($C$16=0,MAX($L$242*(1-$C$15),0)/$C$17,-PMT($C$16/12,$C$17*12,MAX($L$242*(1-$C$15),0))*12))/12)*(((1+$C$16/12)^MIN(MAX((A956-$C$13+1)*12,0),$C$17*12)-1)/($C$16/12)),0)))</f>
        <v/>
      </c>
      <c r="Z956" s="138">
        <f>MAX(X956-Y956,0)</f>
        <v/>
      </c>
      <c r="AA956" s="142">
        <f>U956+Z956</f>
        <v/>
      </c>
      <c r="AB956" s="5" t="n"/>
      <c r="AC956" s="5" t="n"/>
      <c r="AD956" s="5" t="n"/>
      <c r="AE956" s="5" t="n"/>
      <c r="AF956" s="5" t="n"/>
      <c r="AG956" s="5" t="n"/>
    </row>
    <row r="957" outlineLevel="1" s="326">
      <c r="A957" s="143" t="inlineStr">
        <is>
          <t>Case Summary</t>
        </is>
      </c>
      <c r="B957" s="144" t="n"/>
      <c r="C957" s="144" t="n"/>
      <c r="D957" s="144" t="n"/>
      <c r="E957" s="144" t="n"/>
      <c r="F957" s="144" t="n"/>
      <c r="G957" s="145">
        <f>SUM(G917:G956)</f>
        <v/>
      </c>
      <c r="H957" s="145">
        <f>SUM(H917:H956)</f>
        <v/>
      </c>
      <c r="I957" s="145">
        <f>SUM(I917:I956)</f>
        <v/>
      </c>
      <c r="J957" s="145">
        <f>SUM(J917:J956)</f>
        <v/>
      </c>
      <c r="K957" s="145">
        <f>SUM(K917:K956)</f>
        <v/>
      </c>
      <c r="L957" s="145">
        <f>SUM(L917:L956)</f>
        <v/>
      </c>
      <c r="M957" s="145">
        <f>SUM(M917:M956)</f>
        <v/>
      </c>
      <c r="N957" s="145">
        <f>SUM(N917:N956)</f>
        <v/>
      </c>
      <c r="O957" s="145">
        <f>SUM(O917:O956)</f>
        <v/>
      </c>
      <c r="P957" s="145">
        <f>SUM(P917:P956)</f>
        <v/>
      </c>
      <c r="Q957" s="145">
        <f>Q956</f>
        <v/>
      </c>
      <c r="R957" s="145">
        <f>R956</f>
        <v/>
      </c>
      <c r="S957" s="145">
        <f>S956</f>
        <v/>
      </c>
      <c r="T957" s="145">
        <f>T956</f>
        <v/>
      </c>
      <c r="U957" s="145">
        <f>U956</f>
        <v/>
      </c>
      <c r="V957" s="145">
        <f>SUM(V917:V956)</f>
        <v/>
      </c>
      <c r="W957" s="145">
        <f>MIN(W917:W956)</f>
        <v/>
      </c>
      <c r="X957" s="145">
        <f>X956</f>
        <v/>
      </c>
      <c r="Y957" s="145">
        <f>Y956</f>
        <v/>
      </c>
      <c r="Z957" s="145">
        <f>Z956</f>
        <v/>
      </c>
      <c r="AA957" s="146">
        <f>AA956</f>
        <v/>
      </c>
      <c r="AB957" s="5" t="n"/>
      <c r="AC957" s="5" t="n"/>
      <c r="AD957" s="5" t="n"/>
      <c r="AE957" s="5" t="n"/>
      <c r="AF957" s="5" t="n"/>
      <c r="AG957" s="5" t="n"/>
    </row>
    <row r="958" outlineLevel="1" s="326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</row>
    <row r="959" outlineLevel="1" s="326">
      <c r="A959" s="387">
        <f>J243&amp;" | House "&amp;TEXT($L$243,"$#,##0")&amp;" | Spend "&amp;TEXT($N$243,"$#,##0")</f>
        <v/>
      </c>
      <c r="B959" s="345" t="n"/>
      <c r="C959" s="345" t="n"/>
      <c r="D959" s="345" t="n"/>
      <c r="E959" s="345" t="n"/>
      <c r="F959" s="345" t="n"/>
      <c r="G959" s="345" t="n"/>
      <c r="H959" s="345" t="n"/>
      <c r="I959" s="345" t="n"/>
      <c r="J959" s="345" t="n"/>
      <c r="K959" s="345" t="n"/>
      <c r="L959" s="345" t="n"/>
      <c r="M959" s="345" t="n"/>
      <c r="N959" s="345" t="n"/>
      <c r="O959" s="345" t="n"/>
      <c r="P959" s="345" t="n"/>
      <c r="Q959" s="345" t="n"/>
      <c r="R959" s="345" t="n"/>
      <c r="S959" s="345" t="n"/>
      <c r="T959" s="345" t="n"/>
      <c r="U959" s="345" t="n"/>
      <c r="V959" s="345" t="n"/>
      <c r="W959" s="345" t="n"/>
      <c r="X959" s="345" t="n"/>
      <c r="Y959" s="345" t="n"/>
      <c r="Z959" s="345" t="n"/>
      <c r="AA959" s="346" t="n"/>
      <c r="AB959" s="5" t="n"/>
      <c r="AC959" s="5" t="n"/>
      <c r="AD959" s="5" t="n"/>
      <c r="AE959" s="5" t="n"/>
      <c r="AF959" s="5" t="n"/>
      <c r="AG959" s="5" t="n"/>
    </row>
    <row r="960" outlineLevel="1" ht="34" customHeight="1" s="326">
      <c r="A960" s="134" t="inlineStr">
        <is>
          <t>Year</t>
        </is>
      </c>
      <c r="B960" s="83" t="inlineStr">
        <is>
          <t>Phase</t>
        </is>
      </c>
      <c r="C960" s="83" t="inlineStr">
        <is>
          <t>Gross</t>
        </is>
      </c>
      <c r="D960" s="83" t="inlineStr">
        <is>
          <t>Post-Tax Cash</t>
        </is>
      </c>
      <c r="E960" s="83" t="inlineStr">
        <is>
          <t>Rent</t>
        </is>
      </c>
      <c r="F960" s="83" t="inlineStr">
        <is>
          <t>Living</t>
        </is>
      </c>
      <c r="G960" s="83" t="inlineStr">
        <is>
          <t>House Cash</t>
        </is>
      </c>
      <c r="H960" s="83" t="inlineStr">
        <is>
          <t>Housing Carry</t>
        </is>
      </c>
      <c r="I960" s="83" t="inlineStr">
        <is>
          <t>Roth</t>
        </is>
      </c>
      <c r="J960" s="83" t="inlineStr">
        <is>
          <t>Taxable Sav / (Draw)</t>
        </is>
      </c>
      <c r="K960" s="83" t="inlineStr">
        <is>
          <t>Planned Need</t>
        </is>
      </c>
      <c r="L960" s="83" t="inlineStr">
        <is>
          <t>Actual W/D</t>
        </is>
      </c>
      <c r="M960" s="83" t="inlineStr">
        <is>
          <t>Taxable Draw</t>
        </is>
      </c>
      <c r="N960" s="83" t="inlineStr">
        <is>
          <t>401(k) Draw</t>
        </is>
      </c>
      <c r="O960" s="83" t="inlineStr">
        <is>
          <t>Roth Draw</t>
        </is>
      </c>
      <c r="P960" s="83" t="inlineStr">
        <is>
          <t>HSA Draw</t>
        </is>
      </c>
      <c r="Q960" s="83" t="inlineStr">
        <is>
          <t>Taxable Bal</t>
        </is>
      </c>
      <c r="R960" s="83" t="inlineStr">
        <is>
          <t>401(k) Bal</t>
        </is>
      </c>
      <c r="S960" s="83" t="inlineStr">
        <is>
          <t>Roth Bal</t>
        </is>
      </c>
      <c r="T960" s="83" t="inlineStr">
        <is>
          <t>HSA Bal</t>
        </is>
      </c>
      <c r="U960" s="83" t="inlineStr">
        <is>
          <t>Liquid Wealth</t>
        </is>
      </c>
      <c r="V960" s="83" t="inlineStr">
        <is>
          <t>Funding Gap</t>
        </is>
      </c>
      <c r="W960" s="83" t="inlineStr">
        <is>
          <t>Margin vs Reserve</t>
        </is>
      </c>
      <c r="X960" s="83" t="inlineStr">
        <is>
          <t>House Value</t>
        </is>
      </c>
      <c r="Y960" s="83" t="inlineStr">
        <is>
          <t>Mortgage Balance</t>
        </is>
      </c>
      <c r="Z960" s="83" t="inlineStr">
        <is>
          <t>Home Equity</t>
        </is>
      </c>
      <c r="AA960" s="135" t="inlineStr">
        <is>
          <t>Net Worth</t>
        </is>
      </c>
      <c r="AB960" s="5" t="n"/>
      <c r="AC960" s="5" t="n"/>
      <c r="AD960" s="5" t="n"/>
      <c r="AE960" s="5" t="n"/>
      <c r="AF960" s="5" t="n"/>
      <c r="AG960" s="5" t="n"/>
    </row>
    <row r="961" outlineLevel="1" s="326">
      <c r="A961" s="136" t="n">
        <v>1</v>
      </c>
      <c r="B961" s="72">
        <f>B80</f>
        <v/>
      </c>
      <c r="C961" s="137">
        <f>D80</f>
        <v/>
      </c>
      <c r="D961" s="137">
        <f>I80</f>
        <v/>
      </c>
      <c r="E961" s="137">
        <f>J80</f>
        <v/>
      </c>
      <c r="F961" s="137">
        <f>K80</f>
        <v/>
      </c>
      <c r="G961" s="138">
        <f>IF(AND($L$243&gt;0,A961=$C$13),$L$243*($C$15+$C$18),0)+IF(AND($L$243&gt;0,A961=$C$13),$C$24,0)</f>
        <v/>
      </c>
      <c r="H961" s="138">
        <f>IF(OR($L$243&lt;=0,A961&lt;$C$13),0,IF(AND($L$243&gt;0,$C$17&gt;0,A961&gt;=$C$13,A961&lt;($C$13+$C$17)),IF($C$17&lt;=0,0,IF($C$16=0,MAX($L$243*(1-$C$15),0)/$C$17,-PMT($C$16/12,$C$17*12,MAX($L$243*(1-$C$15),0))*12)),0)+X961*($C$19+$C$20+$C$21)+$C$22+$C$23)</f>
        <v/>
      </c>
      <c r="I961" s="138">
        <f>IF(B961="Working",MIN(MAX(D961-E961-F961-G961-H961,0),'Tax Assumptions'!$B$20),0)</f>
        <v/>
      </c>
      <c r="J961" s="138">
        <f>IF(B961="Working",D961-E961-F961-I961-G961-H961,-L961)</f>
        <v/>
      </c>
      <c r="K961" s="137">
        <f>IF(B961="Retired",$N$243+G961+H961,0)</f>
        <v/>
      </c>
      <c r="L961" s="137">
        <f>M961+N961+O961+P961</f>
        <v/>
      </c>
      <c r="M961" s="137">
        <f>IF(B961="Retired",MIN((('Savings Projection'!$B$7)*(1+$C$10)+IF(B961="Working",J961,0)),K961),0)</f>
        <v/>
      </c>
      <c r="N961" s="137">
        <f>IF(B961="Retired",MIN(MAX(K961-M961,0),(('Savings Projection'!$B$8)*(1+$C$10)+IF(B961="Working",E80,0))),0)</f>
        <v/>
      </c>
      <c r="O961" s="137">
        <f>IF(B961="Retired",MIN(MAX(K961-M961-N961,0),(('Savings Projection'!$B$9)*(1+$C$10)+IF(B961="Working",I961,0))),0)</f>
        <v/>
      </c>
      <c r="P961" s="137">
        <f>IF(B961="Retired",MIN(MAX(K961-M961-N961-O961,0),(('Savings Projection'!$B$10)*(1+$C$10)+IF(B961="Working",F80,0))),0)</f>
        <v/>
      </c>
      <c r="Q961" s="138">
        <f>MAX((('Savings Projection'!$B$7)*(1+$C$10)+IF(B961="Working",J961,0))-M961,0)</f>
        <v/>
      </c>
      <c r="R961" s="138">
        <f>MAX((('Savings Projection'!$B$8)*(1+$C$10)+IF(B961="Working",E80,0))-N961,0)</f>
        <v/>
      </c>
      <c r="S961" s="138">
        <f>MAX((('Savings Projection'!$B$9)*(1+$C$10)+IF(B961="Working",I961,0))-O961,0)</f>
        <v/>
      </c>
      <c r="T961" s="138">
        <f>MAX((('Savings Projection'!$B$10)*(1+$C$10)+IF(B961="Working",F80,0))-P961,0)</f>
        <v/>
      </c>
      <c r="U961" s="138">
        <f>Q961+R961+S961+T961</f>
        <v/>
      </c>
      <c r="V961" s="138">
        <f>IF(B961="Working",MAX(-((('Savings Projection'!$B$7)*(1+$C$10)+IF(B961="Working",J961,0))),0),MAX(K961-L961,0))</f>
        <v/>
      </c>
      <c r="W961" s="138">
        <f>IF(OR(A961&gt;=$C$13,B961="Retired"),IF(V961&gt;0,-V961,U961-'Model Inputs'!$B$18),"")</f>
        <v/>
      </c>
      <c r="X961" s="138">
        <f>IF(AND($L$243&gt;0,A961&gt;=$C$13),$L$243*(1+$C$25)^(A961-$C$13),0)</f>
        <v/>
      </c>
      <c r="Y961" s="138">
        <f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/>
      </c>
      <c r="Z961" s="138">
        <f>MAX(X961-Y961,0)</f>
        <v/>
      </c>
      <c r="AA961" s="139">
        <f>U961+Z961</f>
        <v/>
      </c>
      <c r="AB961" s="5" t="n"/>
      <c r="AC961" s="5" t="n"/>
      <c r="AD961" s="5" t="n"/>
      <c r="AE961" s="5" t="n"/>
      <c r="AF961" s="5" t="n"/>
      <c r="AG961" s="5" t="n"/>
    </row>
    <row r="962" outlineLevel="1" s="326">
      <c r="A962" s="140" t="n">
        <v>2</v>
      </c>
      <c r="B962" s="40">
        <f>B81</f>
        <v/>
      </c>
      <c r="C962" s="141">
        <f>D81</f>
        <v/>
      </c>
      <c r="D962" s="141">
        <f>I81</f>
        <v/>
      </c>
      <c r="E962" s="141">
        <f>J81</f>
        <v/>
      </c>
      <c r="F962" s="141">
        <f>K81</f>
        <v/>
      </c>
      <c r="G962" s="138">
        <f>IF(AND($L$243&gt;0,A962=$C$13),$L$243*($C$15+$C$18),0)+IF(AND($L$243&gt;0,A962=$C$13),$C$24,0)</f>
        <v/>
      </c>
      <c r="H962" s="138">
        <f>IF(OR($L$243&lt;=0,A962&lt;$C$13),0,IF(AND($L$243&gt;0,$C$17&gt;0,A962&gt;=$C$13,A962&lt;($C$13+$C$17)),IF($C$17&lt;=0,0,IF($C$16=0,MAX($L$243*(1-$C$15),0)/$C$17,-PMT($C$16/12,$C$17*12,MAX($L$243*(1-$C$15),0))*12)),0)+X962*($C$19+$C$20+$C$21)+$C$22+$C$23)</f>
        <v/>
      </c>
      <c r="I962" s="138">
        <f>IF(B962="Working",MIN(MAX(D962-E962-F962-G962-H962,0),'Tax Assumptions'!$B$20),0)</f>
        <v/>
      </c>
      <c r="J962" s="138">
        <f>IF(B962="Working",D962-E962-F962-I962-G962-H962,-L962)</f>
        <v/>
      </c>
      <c r="K962" s="141">
        <f>IF(B962="Retired",$N$243+G962+H962,0)</f>
        <v/>
      </c>
      <c r="L962" s="141">
        <f>M962+N962+O962+P962</f>
        <v/>
      </c>
      <c r="M962" s="141">
        <f>IF(B962="Retired",MIN(((Q961)*(1+$C$10)+IF(B962="Working",J962,0)),K962),0)</f>
        <v/>
      </c>
      <c r="N962" s="141">
        <f>IF(B962="Retired",MIN(MAX(K962-M962,0),((R961)*(1+$C$10)+IF(B962="Working",E81,0))),0)</f>
        <v/>
      </c>
      <c r="O962" s="141">
        <f>IF(B962="Retired",MIN(MAX(K962-M962-N962,0),((S961)*(1+$C$10)+IF(B962="Working",I962,0))),0)</f>
        <v/>
      </c>
      <c r="P962" s="141">
        <f>IF(B962="Retired",MIN(MAX(K962-M962-N962-O962,0),((T961)*(1+$C$10)+IF(B962="Working",F81,0))),0)</f>
        <v/>
      </c>
      <c r="Q962" s="138">
        <f>MAX(((Q961)*(1+$C$10)+IF(B962="Working",J962,0))-M962,0)</f>
        <v/>
      </c>
      <c r="R962" s="138">
        <f>MAX(((R961)*(1+$C$10)+IF(B962="Working",E81,0))-N962,0)</f>
        <v/>
      </c>
      <c r="S962" s="138">
        <f>MAX(((S961)*(1+$C$10)+IF(B962="Working",I962,0))-O962,0)</f>
        <v/>
      </c>
      <c r="T962" s="138">
        <f>MAX(((T961)*(1+$C$10)+IF(B962="Working",F81,0))-P962,0)</f>
        <v/>
      </c>
      <c r="U962" s="138">
        <f>Q962+R962+S962+T962</f>
        <v/>
      </c>
      <c r="V962" s="138">
        <f>IF(B962="Working",MAX(-(((Q961)*(1+$C$10)+IF(B962="Working",J962,0))),0),MAX(K962-L962,0))</f>
        <v/>
      </c>
      <c r="W962" s="138">
        <f>IF(OR(A962&gt;=$C$13,B962="Retired"),IF(V962&gt;0,-V962,U962-'Model Inputs'!$B$18),"")</f>
        <v/>
      </c>
      <c r="X962" s="138">
        <f>IF(AND($L$243&gt;0,A962&gt;=$C$13),$L$243*(1+$C$25)^(A962-$C$13),0)</f>
        <v/>
      </c>
      <c r="Y962" s="138">
        <f>IF(OR($L$243&lt;=0,$C$17&lt;=0,A962&lt;$C$13,MIN(MAX((A962-$C$13+1)*12,0),$C$17*12)&gt;=$C$17*12),0,IF($C$16=0,MAX(MAX($L$243*(1-$C$15),0)-(IF($C$17&lt;=0,0,IF($C$16=0,MAX($L$243*(1-$C$15),0)/$C$17,-PMT($C$16/12,$C$17*12,MAX($L$243*(1-$C$15),0))*12))/12)*MIN(MAX((A962-$C$13+1)*12,0),$C$17*12),0),MAX(MAX($L$243*(1-$C$15),0)*(1+$C$16/12)^MIN(MAX((A962-$C$13+1)*12,0),$C$17*12)-(IF($C$17&lt;=0,0,IF($C$16=0,MAX($L$243*(1-$C$15),0)/$C$17,-PMT($C$16/12,$C$17*12,MAX($L$243*(1-$C$15),0))*12))/12)*(((1+$C$16/12)^MIN(MAX((A962-$C$13+1)*12,0),$C$17*12)-1)/($C$16/12)),0)))</f>
        <v/>
      </c>
      <c r="Z962" s="138">
        <f>MAX(X962-Y962,0)</f>
        <v/>
      </c>
      <c r="AA962" s="142">
        <f>U962+Z962</f>
        <v/>
      </c>
      <c r="AB962" s="5" t="n"/>
      <c r="AC962" s="5" t="n"/>
      <c r="AD962" s="5" t="n"/>
      <c r="AE962" s="5" t="n"/>
      <c r="AF962" s="5" t="n"/>
      <c r="AG962" s="5" t="n"/>
    </row>
    <row r="963" outlineLevel="1" s="326">
      <c r="A963" s="136" t="n">
        <v>3</v>
      </c>
      <c r="B963" s="72">
        <f>B82</f>
        <v/>
      </c>
      <c r="C963" s="137">
        <f>D82</f>
        <v/>
      </c>
      <c r="D963" s="137">
        <f>I82</f>
        <v/>
      </c>
      <c r="E963" s="137">
        <f>J82</f>
        <v/>
      </c>
      <c r="F963" s="137">
        <f>K82</f>
        <v/>
      </c>
      <c r="G963" s="138">
        <f>IF(AND($L$243&gt;0,A963=$C$13),$L$243*($C$15+$C$18),0)+IF(AND($L$243&gt;0,A963=$C$13),$C$24,0)</f>
        <v/>
      </c>
      <c r="H963" s="138">
        <f>IF(OR($L$243&lt;=0,A963&lt;$C$13),0,IF(AND($L$243&gt;0,$C$17&gt;0,A963&gt;=$C$13,A963&lt;($C$13+$C$17)),IF($C$17&lt;=0,0,IF($C$16=0,MAX($L$243*(1-$C$15),0)/$C$17,-PMT($C$16/12,$C$17*12,MAX($L$243*(1-$C$15),0))*12)),0)+X963*($C$19+$C$20+$C$21)+$C$22+$C$23)</f>
        <v/>
      </c>
      <c r="I963" s="138">
        <f>IF(B963="Working",MIN(MAX(D963-E963-F963-G963-H963,0),'Tax Assumptions'!$B$20),0)</f>
        <v/>
      </c>
      <c r="J963" s="138">
        <f>IF(B963="Working",D963-E963-F963-I963-G963-H963,-L963)</f>
        <v/>
      </c>
      <c r="K963" s="137">
        <f>IF(B963="Retired",$N$243+G963+H963,0)</f>
        <v/>
      </c>
      <c r="L963" s="137">
        <f>M963+N963+O963+P963</f>
        <v/>
      </c>
      <c r="M963" s="137">
        <f>IF(B963="Retired",MIN(((Q962)*(1+$C$10)+IF(B963="Working",J963,0)),K963),0)</f>
        <v/>
      </c>
      <c r="N963" s="137">
        <f>IF(B963="Retired",MIN(MAX(K963-M963,0),((R962)*(1+$C$10)+IF(B963="Working",E82,0))),0)</f>
        <v/>
      </c>
      <c r="O963" s="137">
        <f>IF(B963="Retired",MIN(MAX(K963-M963-N963,0),((S962)*(1+$C$10)+IF(B963="Working",I963,0))),0)</f>
        <v/>
      </c>
      <c r="P963" s="137">
        <f>IF(B963="Retired",MIN(MAX(K963-M963-N963-O963,0),((T962)*(1+$C$10)+IF(B963="Working",F82,0))),0)</f>
        <v/>
      </c>
      <c r="Q963" s="138">
        <f>MAX(((Q962)*(1+$C$10)+IF(B963="Working",J963,0))-M963,0)</f>
        <v/>
      </c>
      <c r="R963" s="138">
        <f>MAX(((R962)*(1+$C$10)+IF(B963="Working",E82,0))-N963,0)</f>
        <v/>
      </c>
      <c r="S963" s="138">
        <f>MAX(((S962)*(1+$C$10)+IF(B963="Working",I963,0))-O963,0)</f>
        <v/>
      </c>
      <c r="T963" s="138">
        <f>MAX(((T962)*(1+$C$10)+IF(B963="Working",F82,0))-P963,0)</f>
        <v/>
      </c>
      <c r="U963" s="138">
        <f>Q963+R963+S963+T963</f>
        <v/>
      </c>
      <c r="V963" s="138">
        <f>IF(B963="Working",MAX(-(((Q962)*(1+$C$10)+IF(B963="Working",J963,0))),0),MAX(K963-L963,0))</f>
        <v/>
      </c>
      <c r="W963" s="138">
        <f>IF(OR(A963&gt;=$C$13,B963="Retired"),IF(V963&gt;0,-V963,U963-'Model Inputs'!$B$18),"")</f>
        <v/>
      </c>
      <c r="X963" s="138">
        <f>IF(AND($L$243&gt;0,A963&gt;=$C$13),$L$243*(1+$C$25)^(A963-$C$13),0)</f>
        <v/>
      </c>
      <c r="Y963" s="138">
        <f>IF(OR($L$243&lt;=0,$C$17&lt;=0,A963&lt;$C$13,MIN(MAX((A963-$C$13+1)*12,0),$C$17*12)&gt;=$C$17*12),0,IF($C$16=0,MAX(MAX($L$243*(1-$C$15),0)-(IF($C$17&lt;=0,0,IF($C$16=0,MAX($L$243*(1-$C$15),0)/$C$17,-PMT($C$16/12,$C$17*12,MAX($L$243*(1-$C$15),0))*12))/12)*MIN(MAX((A963-$C$13+1)*12,0),$C$17*12),0),MAX(MAX($L$243*(1-$C$15),0)*(1+$C$16/12)^MIN(MAX((A963-$C$13+1)*12,0),$C$17*12)-(IF($C$17&lt;=0,0,IF($C$16=0,MAX($L$243*(1-$C$15),0)/$C$17,-PMT($C$16/12,$C$17*12,MAX($L$243*(1-$C$15),0))*12))/12)*(((1+$C$16/12)^MIN(MAX((A963-$C$13+1)*12,0),$C$17*12)-1)/($C$16/12)),0)))</f>
        <v/>
      </c>
      <c r="Z963" s="138">
        <f>MAX(X963-Y963,0)</f>
        <v/>
      </c>
      <c r="AA963" s="139">
        <f>U963+Z963</f>
        <v/>
      </c>
      <c r="AB963" s="5" t="n"/>
      <c r="AC963" s="5" t="n"/>
      <c r="AD963" s="5" t="n"/>
      <c r="AE963" s="5" t="n"/>
      <c r="AF963" s="5" t="n"/>
      <c r="AG963" s="5" t="n"/>
    </row>
    <row r="964" outlineLevel="1" s="326">
      <c r="A964" s="140" t="n">
        <v>4</v>
      </c>
      <c r="B964" s="40">
        <f>B83</f>
        <v/>
      </c>
      <c r="C964" s="141">
        <f>D83</f>
        <v/>
      </c>
      <c r="D964" s="141">
        <f>I83</f>
        <v/>
      </c>
      <c r="E964" s="141">
        <f>J83</f>
        <v/>
      </c>
      <c r="F964" s="141">
        <f>K83</f>
        <v/>
      </c>
      <c r="G964" s="138">
        <f>IF(AND($L$243&gt;0,A964=$C$13),$L$243*($C$15+$C$18),0)+IF(AND($L$243&gt;0,A964=$C$13),$C$24,0)</f>
        <v/>
      </c>
      <c r="H964" s="138">
        <f>IF(OR($L$243&lt;=0,A964&lt;$C$13),0,IF(AND($L$243&gt;0,$C$17&gt;0,A964&gt;=$C$13,A964&lt;($C$13+$C$17)),IF($C$17&lt;=0,0,IF($C$16=0,MAX($L$243*(1-$C$15),0)/$C$17,-PMT($C$16/12,$C$17*12,MAX($L$243*(1-$C$15),0))*12)),0)+X964*($C$19+$C$20+$C$21)+$C$22+$C$23)</f>
        <v/>
      </c>
      <c r="I964" s="138">
        <f>IF(B964="Working",MIN(MAX(D964-E964-F964-G964-H964,0),'Tax Assumptions'!$B$20),0)</f>
        <v/>
      </c>
      <c r="J964" s="138">
        <f>IF(B964="Working",D964-E964-F964-I964-G964-H964,-L964)</f>
        <v/>
      </c>
      <c r="K964" s="141">
        <f>IF(B964="Retired",$N$243+G964+H964,0)</f>
        <v/>
      </c>
      <c r="L964" s="141">
        <f>M964+N964+O964+P964</f>
        <v/>
      </c>
      <c r="M964" s="141">
        <f>IF(B964="Retired",MIN(((Q963)*(1+$C$10)+IF(B964="Working",J964,0)),K964),0)</f>
        <v/>
      </c>
      <c r="N964" s="141">
        <f>IF(B964="Retired",MIN(MAX(K964-M964,0),((R963)*(1+$C$10)+IF(B964="Working",E83,0))),0)</f>
        <v/>
      </c>
      <c r="O964" s="141">
        <f>IF(B964="Retired",MIN(MAX(K964-M964-N964,0),((S963)*(1+$C$10)+IF(B964="Working",I964,0))),0)</f>
        <v/>
      </c>
      <c r="P964" s="141">
        <f>IF(B964="Retired",MIN(MAX(K964-M964-N964-O964,0),((T963)*(1+$C$10)+IF(B964="Working",F83,0))),0)</f>
        <v/>
      </c>
      <c r="Q964" s="138">
        <f>MAX(((Q963)*(1+$C$10)+IF(B964="Working",J964,0))-M964,0)</f>
        <v/>
      </c>
      <c r="R964" s="138">
        <f>MAX(((R963)*(1+$C$10)+IF(B964="Working",E83,0))-N964,0)</f>
        <v/>
      </c>
      <c r="S964" s="138">
        <f>MAX(((S963)*(1+$C$10)+IF(B964="Working",I964,0))-O964,0)</f>
        <v/>
      </c>
      <c r="T964" s="138">
        <f>MAX(((T963)*(1+$C$10)+IF(B964="Working",F83,0))-P964,0)</f>
        <v/>
      </c>
      <c r="U964" s="138">
        <f>Q964+R964+S964+T964</f>
        <v/>
      </c>
      <c r="V964" s="138">
        <f>IF(B964="Working",MAX(-(((Q963)*(1+$C$10)+IF(B964="Working",J964,0))),0),MAX(K964-L964,0))</f>
        <v/>
      </c>
      <c r="W964" s="138">
        <f>IF(OR(A964&gt;=$C$13,B964="Retired"),IF(V964&gt;0,-V964,U964-'Model Inputs'!$B$18),"")</f>
        <v/>
      </c>
      <c r="X964" s="138">
        <f>IF(AND($L$243&gt;0,A964&gt;=$C$13),$L$243*(1+$C$25)^(A964-$C$13),0)</f>
        <v/>
      </c>
      <c r="Y964" s="138">
        <f>IF(OR($L$243&lt;=0,$C$17&lt;=0,A964&lt;$C$13,MIN(MAX((A964-$C$13+1)*12,0),$C$17*12)&gt;=$C$17*12),0,IF($C$16=0,MAX(MAX($L$243*(1-$C$15),0)-(IF($C$17&lt;=0,0,IF($C$16=0,MAX($L$243*(1-$C$15),0)/$C$17,-PMT($C$16/12,$C$17*12,MAX($L$243*(1-$C$15),0))*12))/12)*MIN(MAX((A964-$C$13+1)*12,0),$C$17*12),0),MAX(MAX($L$243*(1-$C$15),0)*(1+$C$16/12)^MIN(MAX((A964-$C$13+1)*12,0),$C$17*12)-(IF($C$17&lt;=0,0,IF($C$16=0,MAX($L$243*(1-$C$15),0)/$C$17,-PMT($C$16/12,$C$17*12,MAX($L$243*(1-$C$15),0))*12))/12)*(((1+$C$16/12)^MIN(MAX((A964-$C$13+1)*12,0),$C$17*12)-1)/($C$16/12)),0)))</f>
        <v/>
      </c>
      <c r="Z964" s="138">
        <f>MAX(X964-Y964,0)</f>
        <v/>
      </c>
      <c r="AA964" s="142">
        <f>U964+Z964</f>
        <v/>
      </c>
      <c r="AB964" s="5" t="n"/>
      <c r="AC964" s="5" t="n"/>
      <c r="AD964" s="5" t="n"/>
      <c r="AE964" s="5" t="n"/>
      <c r="AF964" s="5" t="n"/>
      <c r="AG964" s="5" t="n"/>
    </row>
    <row r="965" outlineLevel="1" s="326">
      <c r="A965" s="136" t="n">
        <v>5</v>
      </c>
      <c r="B965" s="72">
        <f>B84</f>
        <v/>
      </c>
      <c r="C965" s="137">
        <f>D84</f>
        <v/>
      </c>
      <c r="D965" s="137">
        <f>I84</f>
        <v/>
      </c>
      <c r="E965" s="137">
        <f>J84</f>
        <v/>
      </c>
      <c r="F965" s="137">
        <f>K84</f>
        <v/>
      </c>
      <c r="G965" s="138">
        <f>IF(AND($L$243&gt;0,A965=$C$13),$L$243*($C$15+$C$18),0)+IF(AND($L$243&gt;0,A965=$C$13),$C$24,0)</f>
        <v/>
      </c>
      <c r="H965" s="138">
        <f>IF(OR($L$243&lt;=0,A965&lt;$C$13),0,IF(AND($L$243&gt;0,$C$17&gt;0,A965&gt;=$C$13,A965&lt;($C$13+$C$17)),IF($C$17&lt;=0,0,IF($C$16=0,MAX($L$243*(1-$C$15),0)/$C$17,-PMT($C$16/12,$C$17*12,MAX($L$243*(1-$C$15),0))*12)),0)+X965*($C$19+$C$20+$C$21)+$C$22+$C$23)</f>
        <v/>
      </c>
      <c r="I965" s="138">
        <f>IF(B965="Working",MIN(MAX(D965-E965-F965-G965-H965,0),'Tax Assumptions'!$B$20),0)</f>
        <v/>
      </c>
      <c r="J965" s="138">
        <f>IF(B965="Working",D965-E965-F965-I965-G965-H965,-L965)</f>
        <v/>
      </c>
      <c r="K965" s="137">
        <f>IF(B965="Retired",$N$243+G965+H965,0)</f>
        <v/>
      </c>
      <c r="L965" s="137">
        <f>M965+N965+O965+P965</f>
        <v/>
      </c>
      <c r="M965" s="137">
        <f>IF(B965="Retired",MIN(((Q964)*(1+$C$10)+IF(B965="Working",J965,0)),K965),0)</f>
        <v/>
      </c>
      <c r="N965" s="137">
        <f>IF(B965="Retired",MIN(MAX(K965-M965,0),((R964)*(1+$C$10)+IF(B965="Working",E84,0))),0)</f>
        <v/>
      </c>
      <c r="O965" s="137">
        <f>IF(B965="Retired",MIN(MAX(K965-M965-N965,0),((S964)*(1+$C$10)+IF(B965="Working",I965,0))),0)</f>
        <v/>
      </c>
      <c r="P965" s="137">
        <f>IF(B965="Retired",MIN(MAX(K965-M965-N965-O965,0),((T964)*(1+$C$10)+IF(B965="Working",F84,0))),0)</f>
        <v/>
      </c>
      <c r="Q965" s="138">
        <f>MAX(((Q964)*(1+$C$10)+IF(B965="Working",J965,0))-M965,0)</f>
        <v/>
      </c>
      <c r="R965" s="138">
        <f>MAX(((R964)*(1+$C$10)+IF(B965="Working",E84,0))-N965,0)</f>
        <v/>
      </c>
      <c r="S965" s="138">
        <f>MAX(((S964)*(1+$C$10)+IF(B965="Working",I965,0))-O965,0)</f>
        <v/>
      </c>
      <c r="T965" s="138">
        <f>MAX(((T964)*(1+$C$10)+IF(B965="Working",F84,0))-P965,0)</f>
        <v/>
      </c>
      <c r="U965" s="138">
        <f>Q965+R965+S965+T965</f>
        <v/>
      </c>
      <c r="V965" s="138">
        <f>IF(B965="Working",MAX(-(((Q964)*(1+$C$10)+IF(B965="Working",J965,0))),0),MAX(K965-L965,0))</f>
        <v/>
      </c>
      <c r="W965" s="138">
        <f>IF(OR(A965&gt;=$C$13,B965="Retired"),IF(V965&gt;0,-V965,U965-'Model Inputs'!$B$18),"")</f>
        <v/>
      </c>
      <c r="X965" s="138">
        <f>IF(AND($L$243&gt;0,A965&gt;=$C$13),$L$243*(1+$C$25)^(A965-$C$13),0)</f>
        <v/>
      </c>
      <c r="Y965" s="138">
        <f>IF(OR($L$243&lt;=0,$C$17&lt;=0,A965&lt;$C$13,MIN(MAX((A965-$C$13+1)*12,0),$C$17*12)&gt;=$C$17*12),0,IF($C$16=0,MAX(MAX($L$243*(1-$C$15),0)-(IF($C$17&lt;=0,0,IF($C$16=0,MAX($L$243*(1-$C$15),0)/$C$17,-PMT($C$16/12,$C$17*12,MAX($L$243*(1-$C$15),0))*12))/12)*MIN(MAX((A965-$C$13+1)*12,0),$C$17*12),0),MAX(MAX($L$243*(1-$C$15),0)*(1+$C$16/12)^MIN(MAX((A965-$C$13+1)*12,0),$C$17*12)-(IF($C$17&lt;=0,0,IF($C$16=0,MAX($L$243*(1-$C$15),0)/$C$17,-PMT($C$16/12,$C$17*12,MAX($L$243*(1-$C$15),0))*12))/12)*(((1+$C$16/12)^MIN(MAX((A965-$C$13+1)*12,0),$C$17*12)-1)/($C$16/12)),0)))</f>
        <v/>
      </c>
      <c r="Z965" s="138">
        <f>MAX(X965-Y965,0)</f>
        <v/>
      </c>
      <c r="AA965" s="139">
        <f>U965+Z965</f>
        <v/>
      </c>
      <c r="AB965" s="5" t="n"/>
      <c r="AC965" s="5" t="n"/>
      <c r="AD965" s="5" t="n"/>
      <c r="AE965" s="5" t="n"/>
      <c r="AF965" s="5" t="n"/>
      <c r="AG965" s="5" t="n"/>
    </row>
    <row r="966" outlineLevel="1" s="326">
      <c r="A966" s="140" t="n">
        <v>6</v>
      </c>
      <c r="B966" s="40">
        <f>B85</f>
        <v/>
      </c>
      <c r="C966" s="141">
        <f>D85</f>
        <v/>
      </c>
      <c r="D966" s="141">
        <f>I85</f>
        <v/>
      </c>
      <c r="E966" s="141">
        <f>J85</f>
        <v/>
      </c>
      <c r="F966" s="141">
        <f>K85</f>
        <v/>
      </c>
      <c r="G966" s="138">
        <f>IF(AND($L$243&gt;0,A966=$C$13),$L$243*($C$15+$C$18),0)+IF(AND($L$243&gt;0,A966=$C$13),$C$24,0)</f>
        <v/>
      </c>
      <c r="H966" s="138">
        <f>IF(OR($L$243&lt;=0,A966&lt;$C$13),0,IF(AND($L$243&gt;0,$C$17&gt;0,A966&gt;=$C$13,A966&lt;($C$13+$C$17)),IF($C$17&lt;=0,0,IF($C$16=0,MAX($L$243*(1-$C$15),0)/$C$17,-PMT($C$16/12,$C$17*12,MAX($L$243*(1-$C$15),0))*12)),0)+X966*($C$19+$C$20+$C$21)+$C$22+$C$23)</f>
        <v/>
      </c>
      <c r="I966" s="138">
        <f>IF(B966="Working",MIN(MAX(D966-E966-F966-G966-H966,0),'Tax Assumptions'!$B$20),0)</f>
        <v/>
      </c>
      <c r="J966" s="138">
        <f>IF(B966="Working",D966-E966-F966-I966-G966-H966,-L966)</f>
        <v/>
      </c>
      <c r="K966" s="141">
        <f>IF(B966="Retired",$N$243+G966+H966,0)</f>
        <v/>
      </c>
      <c r="L966" s="141">
        <f>M966+N966+O966+P966</f>
        <v/>
      </c>
      <c r="M966" s="141">
        <f>IF(B966="Retired",MIN(((Q965)*(1+$C$10)+IF(B966="Working",J966,0)),K966),0)</f>
        <v/>
      </c>
      <c r="N966" s="141">
        <f>IF(B966="Retired",MIN(MAX(K966-M966,0),((R965)*(1+$C$10)+IF(B966="Working",E85,0))),0)</f>
        <v/>
      </c>
      <c r="O966" s="141">
        <f>IF(B966="Retired",MIN(MAX(K966-M966-N966,0),((S965)*(1+$C$10)+IF(B966="Working",I966,0))),0)</f>
        <v/>
      </c>
      <c r="P966" s="141">
        <f>IF(B966="Retired",MIN(MAX(K966-M966-N966-O966,0),((T965)*(1+$C$10)+IF(B966="Working",F85,0))),0)</f>
        <v/>
      </c>
      <c r="Q966" s="138">
        <f>MAX(((Q965)*(1+$C$10)+IF(B966="Working",J966,0))-M966,0)</f>
        <v/>
      </c>
      <c r="R966" s="138">
        <f>MAX(((R965)*(1+$C$10)+IF(B966="Working",E85,0))-N966,0)</f>
        <v/>
      </c>
      <c r="S966" s="138">
        <f>MAX(((S965)*(1+$C$10)+IF(B966="Working",I966,0))-O966,0)</f>
        <v/>
      </c>
      <c r="T966" s="138">
        <f>MAX(((T965)*(1+$C$10)+IF(B966="Working",F85,0))-P966,0)</f>
        <v/>
      </c>
      <c r="U966" s="138">
        <f>Q966+R966+S966+T966</f>
        <v/>
      </c>
      <c r="V966" s="138">
        <f>IF(B966="Working",MAX(-(((Q965)*(1+$C$10)+IF(B966="Working",J966,0))),0),MAX(K966-L966,0))</f>
        <v/>
      </c>
      <c r="W966" s="138">
        <f>IF(OR(A966&gt;=$C$13,B966="Retired"),IF(V966&gt;0,-V966,U966-'Model Inputs'!$B$18),"")</f>
        <v/>
      </c>
      <c r="X966" s="138">
        <f>IF(AND($L$243&gt;0,A966&gt;=$C$13),$L$243*(1+$C$25)^(A966-$C$13),0)</f>
        <v/>
      </c>
      <c r="Y966" s="138">
        <f>IF(OR($L$243&lt;=0,$C$17&lt;=0,A966&lt;$C$13,MIN(MAX((A966-$C$13+1)*12,0),$C$17*12)&gt;=$C$17*12),0,IF($C$16=0,MAX(MAX($L$243*(1-$C$15),0)-(IF($C$17&lt;=0,0,IF($C$16=0,MAX($L$243*(1-$C$15),0)/$C$17,-PMT($C$16/12,$C$17*12,MAX($L$243*(1-$C$15),0))*12))/12)*MIN(MAX((A966-$C$13+1)*12,0),$C$17*12),0),MAX(MAX($L$243*(1-$C$15),0)*(1+$C$16/12)^MIN(MAX((A966-$C$13+1)*12,0),$C$17*12)-(IF($C$17&lt;=0,0,IF($C$16=0,MAX($L$243*(1-$C$15),0)/$C$17,-PMT($C$16/12,$C$17*12,MAX($L$243*(1-$C$15),0))*12))/12)*(((1+$C$16/12)^MIN(MAX((A966-$C$13+1)*12,0),$C$17*12)-1)/($C$16/12)),0)))</f>
        <v/>
      </c>
      <c r="Z966" s="138">
        <f>MAX(X966-Y966,0)</f>
        <v/>
      </c>
      <c r="AA966" s="142">
        <f>U966+Z966</f>
        <v/>
      </c>
      <c r="AB966" s="5" t="n"/>
      <c r="AC966" s="5" t="n"/>
      <c r="AD966" s="5" t="n"/>
      <c r="AE966" s="5" t="n"/>
      <c r="AF966" s="5" t="n"/>
      <c r="AG966" s="5" t="n"/>
    </row>
    <row r="967" outlineLevel="1" s="326">
      <c r="A967" s="136" t="n">
        <v>7</v>
      </c>
      <c r="B967" s="72">
        <f>B86</f>
        <v/>
      </c>
      <c r="C967" s="137">
        <f>D86</f>
        <v/>
      </c>
      <c r="D967" s="137">
        <f>I86</f>
        <v/>
      </c>
      <c r="E967" s="137">
        <f>J86</f>
        <v/>
      </c>
      <c r="F967" s="137">
        <f>K86</f>
        <v/>
      </c>
      <c r="G967" s="138">
        <f>IF(AND($L$243&gt;0,A967=$C$13),$L$243*($C$15+$C$18),0)+IF(AND($L$243&gt;0,A967=$C$13),$C$24,0)</f>
        <v/>
      </c>
      <c r="H967" s="138">
        <f>IF(OR($L$243&lt;=0,A967&lt;$C$13),0,IF(AND($L$243&gt;0,$C$17&gt;0,A967&gt;=$C$13,A967&lt;($C$13+$C$17)),IF($C$17&lt;=0,0,IF($C$16=0,MAX($L$243*(1-$C$15),0)/$C$17,-PMT($C$16/12,$C$17*12,MAX($L$243*(1-$C$15),0))*12)),0)+X967*($C$19+$C$20+$C$21)+$C$22+$C$23)</f>
        <v/>
      </c>
      <c r="I967" s="138">
        <f>IF(B967="Working",MIN(MAX(D967-E967-F967-G967-H967,0),'Tax Assumptions'!$B$20),0)</f>
        <v/>
      </c>
      <c r="J967" s="138">
        <f>IF(B967="Working",D967-E967-F967-I967-G967-H967,-L967)</f>
        <v/>
      </c>
      <c r="K967" s="137">
        <f>IF(B967="Retired",$N$243+G967+H967,0)</f>
        <v/>
      </c>
      <c r="L967" s="137">
        <f>M967+N967+O967+P967</f>
        <v/>
      </c>
      <c r="M967" s="137">
        <f>IF(B967="Retired",MIN(((Q966)*(1+$C$10)+IF(B967="Working",J967,0)),K967),0)</f>
        <v/>
      </c>
      <c r="N967" s="137">
        <f>IF(B967="Retired",MIN(MAX(K967-M967,0),((R966)*(1+$C$10)+IF(B967="Working",E86,0))),0)</f>
        <v/>
      </c>
      <c r="O967" s="137">
        <f>IF(B967="Retired",MIN(MAX(K967-M967-N967,0),((S966)*(1+$C$10)+IF(B967="Working",I967,0))),0)</f>
        <v/>
      </c>
      <c r="P967" s="137">
        <f>IF(B967="Retired",MIN(MAX(K967-M967-N967-O967,0),((T966)*(1+$C$10)+IF(B967="Working",F86,0))),0)</f>
        <v/>
      </c>
      <c r="Q967" s="138">
        <f>MAX(((Q966)*(1+$C$10)+IF(B967="Working",J967,0))-M967,0)</f>
        <v/>
      </c>
      <c r="R967" s="138">
        <f>MAX(((R966)*(1+$C$10)+IF(B967="Working",E86,0))-N967,0)</f>
        <v/>
      </c>
      <c r="S967" s="138">
        <f>MAX(((S966)*(1+$C$10)+IF(B967="Working",I967,0))-O967,0)</f>
        <v/>
      </c>
      <c r="T967" s="138">
        <f>MAX(((T966)*(1+$C$10)+IF(B967="Working",F86,0))-P967,0)</f>
        <v/>
      </c>
      <c r="U967" s="138">
        <f>Q967+R967+S967+T967</f>
        <v/>
      </c>
      <c r="V967" s="138">
        <f>IF(B967="Working",MAX(-(((Q966)*(1+$C$10)+IF(B967="Working",J967,0))),0),MAX(K967-L967,0))</f>
        <v/>
      </c>
      <c r="W967" s="138">
        <f>IF(OR(A967&gt;=$C$13,B967="Retired"),IF(V967&gt;0,-V967,U967-'Model Inputs'!$B$18),"")</f>
        <v/>
      </c>
      <c r="X967" s="138">
        <f>IF(AND($L$243&gt;0,A967&gt;=$C$13),$L$243*(1+$C$25)^(A967-$C$13),0)</f>
        <v/>
      </c>
      <c r="Y967" s="138">
        <f>IF(OR($L$243&lt;=0,$C$17&lt;=0,A967&lt;$C$13,MIN(MAX((A967-$C$13+1)*12,0),$C$17*12)&gt;=$C$17*12),0,IF($C$16=0,MAX(MAX($L$243*(1-$C$15),0)-(IF($C$17&lt;=0,0,IF($C$16=0,MAX($L$243*(1-$C$15),0)/$C$17,-PMT($C$16/12,$C$17*12,MAX($L$243*(1-$C$15),0))*12))/12)*MIN(MAX((A967-$C$13+1)*12,0),$C$17*12),0),MAX(MAX($L$243*(1-$C$15),0)*(1+$C$16/12)^MIN(MAX((A967-$C$13+1)*12,0),$C$17*12)-(IF($C$17&lt;=0,0,IF($C$16=0,MAX($L$243*(1-$C$15),0)/$C$17,-PMT($C$16/12,$C$17*12,MAX($L$243*(1-$C$15),0))*12))/12)*(((1+$C$16/12)^MIN(MAX((A967-$C$13+1)*12,0),$C$17*12)-1)/($C$16/12)),0)))</f>
        <v/>
      </c>
      <c r="Z967" s="138">
        <f>MAX(X967-Y967,0)</f>
        <v/>
      </c>
      <c r="AA967" s="139">
        <f>U967+Z967</f>
        <v/>
      </c>
      <c r="AB967" s="5" t="n"/>
      <c r="AC967" s="5" t="n"/>
      <c r="AD967" s="5" t="n"/>
      <c r="AE967" s="5" t="n"/>
      <c r="AF967" s="5" t="n"/>
      <c r="AG967" s="5" t="n"/>
    </row>
    <row r="968" outlineLevel="1" s="326">
      <c r="A968" s="140" t="n">
        <v>8</v>
      </c>
      <c r="B968" s="40">
        <f>B87</f>
        <v/>
      </c>
      <c r="C968" s="141">
        <f>D87</f>
        <v/>
      </c>
      <c r="D968" s="141">
        <f>I87</f>
        <v/>
      </c>
      <c r="E968" s="141">
        <f>J87</f>
        <v/>
      </c>
      <c r="F968" s="141">
        <f>K87</f>
        <v/>
      </c>
      <c r="G968" s="138">
        <f>IF(AND($L$243&gt;0,A968=$C$13),$L$243*($C$15+$C$18),0)+IF(AND($L$243&gt;0,A968=$C$13),$C$24,0)</f>
        <v/>
      </c>
      <c r="H968" s="138">
        <f>IF(OR($L$243&lt;=0,A968&lt;$C$13),0,IF(AND($L$243&gt;0,$C$17&gt;0,A968&gt;=$C$13,A968&lt;($C$13+$C$17)),IF($C$17&lt;=0,0,IF($C$16=0,MAX($L$243*(1-$C$15),0)/$C$17,-PMT($C$16/12,$C$17*12,MAX($L$243*(1-$C$15),0))*12)),0)+X968*($C$19+$C$20+$C$21)+$C$22+$C$23)</f>
        <v/>
      </c>
      <c r="I968" s="138">
        <f>IF(B968="Working",MIN(MAX(D968-E968-F968-G968-H968,0),'Tax Assumptions'!$B$20),0)</f>
        <v/>
      </c>
      <c r="J968" s="138">
        <f>IF(B968="Working",D968-E968-F968-I968-G968-H968,-L968)</f>
        <v/>
      </c>
      <c r="K968" s="141">
        <f>IF(B968="Retired",$N$243+G968+H968,0)</f>
        <v/>
      </c>
      <c r="L968" s="141">
        <f>M968+N968+O968+P968</f>
        <v/>
      </c>
      <c r="M968" s="141">
        <f>IF(B968="Retired",MIN(((Q967)*(1+$C$10)+IF(B968="Working",J968,0)),K968),0)</f>
        <v/>
      </c>
      <c r="N968" s="141">
        <f>IF(B968="Retired",MIN(MAX(K968-M968,0),((R967)*(1+$C$10)+IF(B968="Working",E87,0))),0)</f>
        <v/>
      </c>
      <c r="O968" s="141">
        <f>IF(B968="Retired",MIN(MAX(K968-M968-N968,0),((S967)*(1+$C$10)+IF(B968="Working",I968,0))),0)</f>
        <v/>
      </c>
      <c r="P968" s="141">
        <f>IF(B968="Retired",MIN(MAX(K968-M968-N968-O968,0),((T967)*(1+$C$10)+IF(B968="Working",F87,0))),0)</f>
        <v/>
      </c>
      <c r="Q968" s="138">
        <f>MAX(((Q967)*(1+$C$10)+IF(B968="Working",J968,0))-M968,0)</f>
        <v/>
      </c>
      <c r="R968" s="138">
        <f>MAX(((R967)*(1+$C$10)+IF(B968="Working",E87,0))-N968,0)</f>
        <v/>
      </c>
      <c r="S968" s="138">
        <f>MAX(((S967)*(1+$C$10)+IF(B968="Working",I968,0))-O968,0)</f>
        <v/>
      </c>
      <c r="T968" s="138">
        <f>MAX(((T967)*(1+$C$10)+IF(B968="Working",F87,0))-P968,0)</f>
        <v/>
      </c>
      <c r="U968" s="138">
        <f>Q968+R968+S968+T968</f>
        <v/>
      </c>
      <c r="V968" s="138">
        <f>IF(B968="Working",MAX(-(((Q967)*(1+$C$10)+IF(B968="Working",J968,0))),0),MAX(K968-L968,0))</f>
        <v/>
      </c>
      <c r="W968" s="138">
        <f>IF(OR(A968&gt;=$C$13,B968="Retired"),IF(V968&gt;0,-V968,U968-'Model Inputs'!$B$18),"")</f>
        <v/>
      </c>
      <c r="X968" s="138">
        <f>IF(AND($L$243&gt;0,A968&gt;=$C$13),$L$243*(1+$C$25)^(A968-$C$13),0)</f>
        <v/>
      </c>
      <c r="Y968" s="138">
        <f>IF(OR($L$243&lt;=0,$C$17&lt;=0,A968&lt;$C$13,MIN(MAX((A968-$C$13+1)*12,0),$C$17*12)&gt;=$C$17*12),0,IF($C$16=0,MAX(MAX($L$243*(1-$C$15),0)-(IF($C$17&lt;=0,0,IF($C$16=0,MAX($L$243*(1-$C$15),0)/$C$17,-PMT($C$16/12,$C$17*12,MAX($L$243*(1-$C$15),0))*12))/12)*MIN(MAX((A968-$C$13+1)*12,0),$C$17*12),0),MAX(MAX($L$243*(1-$C$15),0)*(1+$C$16/12)^MIN(MAX((A968-$C$13+1)*12,0),$C$17*12)-(IF($C$17&lt;=0,0,IF($C$16=0,MAX($L$243*(1-$C$15),0)/$C$17,-PMT($C$16/12,$C$17*12,MAX($L$243*(1-$C$15),0))*12))/12)*(((1+$C$16/12)^MIN(MAX((A968-$C$13+1)*12,0),$C$17*12)-1)/($C$16/12)),0)))</f>
        <v/>
      </c>
      <c r="Z968" s="138">
        <f>MAX(X968-Y968,0)</f>
        <v/>
      </c>
      <c r="AA968" s="142">
        <f>U968+Z968</f>
        <v/>
      </c>
      <c r="AB968" s="5" t="n"/>
      <c r="AC968" s="5" t="n"/>
      <c r="AD968" s="5" t="n"/>
      <c r="AE968" s="5" t="n"/>
      <c r="AF968" s="5" t="n"/>
      <c r="AG968" s="5" t="n"/>
    </row>
    <row r="969" outlineLevel="1" s="326">
      <c r="A969" s="136" t="n">
        <v>9</v>
      </c>
      <c r="B969" s="72">
        <f>B88</f>
        <v/>
      </c>
      <c r="C969" s="137">
        <f>D88</f>
        <v/>
      </c>
      <c r="D969" s="137">
        <f>I88</f>
        <v/>
      </c>
      <c r="E969" s="137">
        <f>J88</f>
        <v/>
      </c>
      <c r="F969" s="137">
        <f>K88</f>
        <v/>
      </c>
      <c r="G969" s="138">
        <f>IF(AND($L$243&gt;0,A969=$C$13),$L$243*($C$15+$C$18),0)+IF(AND($L$243&gt;0,A969=$C$13),$C$24,0)</f>
        <v/>
      </c>
      <c r="H969" s="138">
        <f>IF(OR($L$243&lt;=0,A969&lt;$C$13),0,IF(AND($L$243&gt;0,$C$17&gt;0,A969&gt;=$C$13,A969&lt;($C$13+$C$17)),IF($C$17&lt;=0,0,IF($C$16=0,MAX($L$243*(1-$C$15),0)/$C$17,-PMT($C$16/12,$C$17*12,MAX($L$243*(1-$C$15),0))*12)),0)+X969*($C$19+$C$20+$C$21)+$C$22+$C$23)</f>
        <v/>
      </c>
      <c r="I969" s="138">
        <f>IF(B969="Working",MIN(MAX(D969-E969-F969-G969-H969,0),'Tax Assumptions'!$B$20),0)</f>
        <v/>
      </c>
      <c r="J969" s="138">
        <f>IF(B969="Working",D969-E969-F969-I969-G969-H969,-L969)</f>
        <v/>
      </c>
      <c r="K969" s="137">
        <f>IF(B969="Retired",$N$243+G969+H969,0)</f>
        <v/>
      </c>
      <c r="L969" s="137">
        <f>M969+N969+O969+P969</f>
        <v/>
      </c>
      <c r="M969" s="137">
        <f>IF(B969="Retired",MIN(((Q968)*(1+$C$10)+IF(B969="Working",J969,0)),K969),0)</f>
        <v/>
      </c>
      <c r="N969" s="137">
        <f>IF(B969="Retired",MIN(MAX(K969-M969,0),((R968)*(1+$C$10)+IF(B969="Working",E88,0))),0)</f>
        <v/>
      </c>
      <c r="O969" s="137">
        <f>IF(B969="Retired",MIN(MAX(K969-M969-N969,0),((S968)*(1+$C$10)+IF(B969="Working",I969,0))),0)</f>
        <v/>
      </c>
      <c r="P969" s="137">
        <f>IF(B969="Retired",MIN(MAX(K969-M969-N969-O969,0),((T968)*(1+$C$10)+IF(B969="Working",F88,0))),0)</f>
        <v/>
      </c>
      <c r="Q969" s="138">
        <f>MAX(((Q968)*(1+$C$10)+IF(B969="Working",J969,0))-M969,0)</f>
        <v/>
      </c>
      <c r="R969" s="138">
        <f>MAX(((R968)*(1+$C$10)+IF(B969="Working",E88,0))-N969,0)</f>
        <v/>
      </c>
      <c r="S969" s="138">
        <f>MAX(((S968)*(1+$C$10)+IF(B969="Working",I969,0))-O969,0)</f>
        <v/>
      </c>
      <c r="T969" s="138">
        <f>MAX(((T968)*(1+$C$10)+IF(B969="Working",F88,0))-P969,0)</f>
        <v/>
      </c>
      <c r="U969" s="138">
        <f>Q969+R969+S969+T969</f>
        <v/>
      </c>
      <c r="V969" s="138">
        <f>IF(B969="Working",MAX(-(((Q968)*(1+$C$10)+IF(B969="Working",J969,0))),0),MAX(K969-L969,0))</f>
        <v/>
      </c>
      <c r="W969" s="138">
        <f>IF(OR(A969&gt;=$C$13,B969="Retired"),IF(V969&gt;0,-V969,U969-'Model Inputs'!$B$18),"")</f>
        <v/>
      </c>
      <c r="X969" s="138">
        <f>IF(AND($L$243&gt;0,A969&gt;=$C$13),$L$243*(1+$C$25)^(A969-$C$13),0)</f>
        <v/>
      </c>
      <c r="Y969" s="138">
        <f>IF(OR($L$243&lt;=0,$C$17&lt;=0,A969&lt;$C$13,MIN(MAX((A969-$C$13+1)*12,0),$C$17*12)&gt;=$C$17*12),0,IF($C$16=0,MAX(MAX($L$243*(1-$C$15),0)-(IF($C$17&lt;=0,0,IF($C$16=0,MAX($L$243*(1-$C$15),0)/$C$17,-PMT($C$16/12,$C$17*12,MAX($L$243*(1-$C$15),0))*12))/12)*MIN(MAX((A969-$C$13+1)*12,0),$C$17*12),0),MAX(MAX($L$243*(1-$C$15),0)*(1+$C$16/12)^MIN(MAX((A969-$C$13+1)*12,0),$C$17*12)-(IF($C$17&lt;=0,0,IF($C$16=0,MAX($L$243*(1-$C$15),0)/$C$17,-PMT($C$16/12,$C$17*12,MAX($L$243*(1-$C$15),0))*12))/12)*(((1+$C$16/12)^MIN(MAX((A969-$C$13+1)*12,0),$C$17*12)-1)/($C$16/12)),0)))</f>
        <v/>
      </c>
      <c r="Z969" s="138">
        <f>MAX(X969-Y969,0)</f>
        <v/>
      </c>
      <c r="AA969" s="139">
        <f>U969+Z969</f>
        <v/>
      </c>
      <c r="AB969" s="5" t="n"/>
      <c r="AC969" s="5" t="n"/>
      <c r="AD969" s="5" t="n"/>
      <c r="AE969" s="5" t="n"/>
      <c r="AF969" s="5" t="n"/>
      <c r="AG969" s="5" t="n"/>
    </row>
    <row r="970" outlineLevel="1" s="326">
      <c r="A970" s="140" t="n">
        <v>10</v>
      </c>
      <c r="B970" s="40">
        <f>B89</f>
        <v/>
      </c>
      <c r="C970" s="141">
        <f>D89</f>
        <v/>
      </c>
      <c r="D970" s="141">
        <f>I89</f>
        <v/>
      </c>
      <c r="E970" s="141">
        <f>J89</f>
        <v/>
      </c>
      <c r="F970" s="141">
        <f>K89</f>
        <v/>
      </c>
      <c r="G970" s="138">
        <f>IF(AND($L$243&gt;0,A970=$C$13),$L$243*($C$15+$C$18),0)+IF(AND($L$243&gt;0,A970=$C$13),$C$24,0)</f>
        <v/>
      </c>
      <c r="H970" s="138">
        <f>IF(OR($L$243&lt;=0,A970&lt;$C$13),0,IF(AND($L$243&gt;0,$C$17&gt;0,A970&gt;=$C$13,A970&lt;($C$13+$C$17)),IF($C$17&lt;=0,0,IF($C$16=0,MAX($L$243*(1-$C$15),0)/$C$17,-PMT($C$16/12,$C$17*12,MAX($L$243*(1-$C$15),0))*12)),0)+X970*($C$19+$C$20+$C$21)+$C$22+$C$23)</f>
        <v/>
      </c>
      <c r="I970" s="138">
        <f>IF(B970="Working",MIN(MAX(D970-E970-F970-G970-H970,0),'Tax Assumptions'!$B$20),0)</f>
        <v/>
      </c>
      <c r="J970" s="138">
        <f>IF(B970="Working",D970-E970-F970-I970-G970-H970,-L970)</f>
        <v/>
      </c>
      <c r="K970" s="141">
        <f>IF(B970="Retired",$N$243+G970+H970,0)</f>
        <v/>
      </c>
      <c r="L970" s="141">
        <f>M970+N970+O970+P970</f>
        <v/>
      </c>
      <c r="M970" s="141">
        <f>IF(B970="Retired",MIN(((Q969)*(1+$C$10)+IF(B970="Working",J970,0)),K970),0)</f>
        <v/>
      </c>
      <c r="N970" s="141">
        <f>IF(B970="Retired",MIN(MAX(K970-M970,0),((R969)*(1+$C$10)+IF(B970="Working",E89,0))),0)</f>
        <v/>
      </c>
      <c r="O970" s="141">
        <f>IF(B970="Retired",MIN(MAX(K970-M970-N970,0),((S969)*(1+$C$10)+IF(B970="Working",I970,0))),0)</f>
        <v/>
      </c>
      <c r="P970" s="141">
        <f>IF(B970="Retired",MIN(MAX(K970-M970-N970-O970,0),((T969)*(1+$C$10)+IF(B970="Working",F89,0))),0)</f>
        <v/>
      </c>
      <c r="Q970" s="138">
        <f>MAX(((Q969)*(1+$C$10)+IF(B970="Working",J970,0))-M970,0)</f>
        <v/>
      </c>
      <c r="R970" s="138">
        <f>MAX(((R969)*(1+$C$10)+IF(B970="Working",E89,0))-N970,0)</f>
        <v/>
      </c>
      <c r="S970" s="138">
        <f>MAX(((S969)*(1+$C$10)+IF(B970="Working",I970,0))-O970,0)</f>
        <v/>
      </c>
      <c r="T970" s="138">
        <f>MAX(((T969)*(1+$C$10)+IF(B970="Working",F89,0))-P970,0)</f>
        <v/>
      </c>
      <c r="U970" s="138">
        <f>Q970+R970+S970+T970</f>
        <v/>
      </c>
      <c r="V970" s="138">
        <f>IF(B970="Working",MAX(-(((Q969)*(1+$C$10)+IF(B970="Working",J970,0))),0),MAX(K970-L970,0))</f>
        <v/>
      </c>
      <c r="W970" s="138">
        <f>IF(OR(A970&gt;=$C$13,B970="Retired"),IF(V970&gt;0,-V970,U970-'Model Inputs'!$B$18),"")</f>
        <v/>
      </c>
      <c r="X970" s="138">
        <f>IF(AND($L$243&gt;0,A970&gt;=$C$13),$L$243*(1+$C$25)^(A970-$C$13),0)</f>
        <v/>
      </c>
      <c r="Y970" s="138">
        <f>IF(OR($L$243&lt;=0,$C$17&lt;=0,A970&lt;$C$13,MIN(MAX((A970-$C$13+1)*12,0),$C$17*12)&gt;=$C$17*12),0,IF($C$16=0,MAX(MAX($L$243*(1-$C$15),0)-(IF($C$17&lt;=0,0,IF($C$16=0,MAX($L$243*(1-$C$15),0)/$C$17,-PMT($C$16/12,$C$17*12,MAX($L$243*(1-$C$15),0))*12))/12)*MIN(MAX((A970-$C$13+1)*12,0),$C$17*12),0),MAX(MAX($L$243*(1-$C$15),0)*(1+$C$16/12)^MIN(MAX((A970-$C$13+1)*12,0),$C$17*12)-(IF($C$17&lt;=0,0,IF($C$16=0,MAX($L$243*(1-$C$15),0)/$C$17,-PMT($C$16/12,$C$17*12,MAX($L$243*(1-$C$15),0))*12))/12)*(((1+$C$16/12)^MIN(MAX((A970-$C$13+1)*12,0),$C$17*12)-1)/($C$16/12)),0)))</f>
        <v/>
      </c>
      <c r="Z970" s="138">
        <f>MAX(X970-Y970,0)</f>
        <v/>
      </c>
      <c r="AA970" s="142">
        <f>U970+Z970</f>
        <v/>
      </c>
      <c r="AB970" s="5" t="n"/>
      <c r="AC970" s="5" t="n"/>
      <c r="AD970" s="5" t="n"/>
      <c r="AE970" s="5" t="n"/>
      <c r="AF970" s="5" t="n"/>
      <c r="AG970" s="5" t="n"/>
    </row>
    <row r="971" outlineLevel="1" s="326">
      <c r="A971" s="136" t="n">
        <v>11</v>
      </c>
      <c r="B971" s="72">
        <f>B90</f>
        <v/>
      </c>
      <c r="C971" s="137">
        <f>D90</f>
        <v/>
      </c>
      <c r="D971" s="137">
        <f>I90</f>
        <v/>
      </c>
      <c r="E971" s="137">
        <f>J90</f>
        <v/>
      </c>
      <c r="F971" s="137">
        <f>K90</f>
        <v/>
      </c>
      <c r="G971" s="138">
        <f>IF(AND($L$243&gt;0,A971=$C$13),$L$243*($C$15+$C$18),0)+IF(AND($L$243&gt;0,A971=$C$13),$C$24,0)</f>
        <v/>
      </c>
      <c r="H971" s="138">
        <f>IF(OR($L$243&lt;=0,A971&lt;$C$13),0,IF(AND($L$243&gt;0,$C$17&gt;0,A971&gt;=$C$13,A971&lt;($C$13+$C$17)),IF($C$17&lt;=0,0,IF($C$16=0,MAX($L$243*(1-$C$15),0)/$C$17,-PMT($C$16/12,$C$17*12,MAX($L$243*(1-$C$15),0))*12)),0)+X971*($C$19+$C$20+$C$21)+$C$22+$C$23)</f>
        <v/>
      </c>
      <c r="I971" s="138">
        <f>IF(B971="Working",MIN(MAX(D971-E971-F971-G971-H971,0),'Tax Assumptions'!$B$20),0)</f>
        <v/>
      </c>
      <c r="J971" s="138">
        <f>IF(B971="Working",D971-E971-F971-I971-G971-H971,-L971)</f>
        <v/>
      </c>
      <c r="K971" s="137">
        <f>IF(B971="Retired",$N$243+G971+H971,0)</f>
        <v/>
      </c>
      <c r="L971" s="137">
        <f>M971+N971+O971+P971</f>
        <v/>
      </c>
      <c r="M971" s="137">
        <f>IF(B971="Retired",MIN(((Q970)*(1+$C$10)+IF(B971="Working",J971,0)),K971),0)</f>
        <v/>
      </c>
      <c r="N971" s="137">
        <f>IF(B971="Retired",MIN(MAX(K971-M971,0),((R970)*(1+$C$10)+IF(B971="Working",E90,0))),0)</f>
        <v/>
      </c>
      <c r="O971" s="137">
        <f>IF(B971="Retired",MIN(MAX(K971-M971-N971,0),((S970)*(1+$C$10)+IF(B971="Working",I971,0))),0)</f>
        <v/>
      </c>
      <c r="P971" s="137">
        <f>IF(B971="Retired",MIN(MAX(K971-M971-N971-O971,0),((T970)*(1+$C$10)+IF(B971="Working",F90,0))),0)</f>
        <v/>
      </c>
      <c r="Q971" s="138">
        <f>MAX(((Q970)*(1+$C$10)+IF(B971="Working",J971,0))-M971,0)</f>
        <v/>
      </c>
      <c r="R971" s="138">
        <f>MAX(((R970)*(1+$C$10)+IF(B971="Working",E90,0))-N971,0)</f>
        <v/>
      </c>
      <c r="S971" s="138">
        <f>MAX(((S970)*(1+$C$10)+IF(B971="Working",I971,0))-O971,0)</f>
        <v/>
      </c>
      <c r="T971" s="138">
        <f>MAX(((T970)*(1+$C$10)+IF(B971="Working",F90,0))-P971,0)</f>
        <v/>
      </c>
      <c r="U971" s="138">
        <f>Q971+R971+S971+T971</f>
        <v/>
      </c>
      <c r="V971" s="138">
        <f>IF(B971="Working",MAX(-(((Q970)*(1+$C$10)+IF(B971="Working",J971,0))),0),MAX(K971-L971,0))</f>
        <v/>
      </c>
      <c r="W971" s="138">
        <f>IF(OR(A971&gt;=$C$13,B971="Retired"),IF(V971&gt;0,-V971,U971-'Model Inputs'!$B$18),"")</f>
        <v/>
      </c>
      <c r="X971" s="138">
        <f>IF(AND($L$243&gt;0,A971&gt;=$C$13),$L$243*(1+$C$25)^(A971-$C$13),0)</f>
        <v/>
      </c>
      <c r="Y971" s="138">
        <f>IF(OR($L$243&lt;=0,$C$17&lt;=0,A971&lt;$C$13,MIN(MAX((A971-$C$13+1)*12,0),$C$17*12)&gt;=$C$17*12),0,IF($C$16=0,MAX(MAX($L$243*(1-$C$15),0)-(IF($C$17&lt;=0,0,IF($C$16=0,MAX($L$243*(1-$C$15),0)/$C$17,-PMT($C$16/12,$C$17*12,MAX($L$243*(1-$C$15),0))*12))/12)*MIN(MAX((A971-$C$13+1)*12,0),$C$17*12),0),MAX(MAX($L$243*(1-$C$15),0)*(1+$C$16/12)^MIN(MAX((A971-$C$13+1)*12,0),$C$17*12)-(IF($C$17&lt;=0,0,IF($C$16=0,MAX($L$243*(1-$C$15),0)/$C$17,-PMT($C$16/12,$C$17*12,MAX($L$243*(1-$C$15),0))*12))/12)*(((1+$C$16/12)^MIN(MAX((A971-$C$13+1)*12,0),$C$17*12)-1)/($C$16/12)),0)))</f>
        <v/>
      </c>
      <c r="Z971" s="138">
        <f>MAX(X971-Y971,0)</f>
        <v/>
      </c>
      <c r="AA971" s="139">
        <f>U971+Z971</f>
        <v/>
      </c>
      <c r="AB971" s="5" t="n"/>
      <c r="AC971" s="5" t="n"/>
      <c r="AD971" s="5" t="n"/>
      <c r="AE971" s="5" t="n"/>
      <c r="AF971" s="5" t="n"/>
      <c r="AG971" s="5" t="n"/>
    </row>
    <row r="972" outlineLevel="1" s="326">
      <c r="A972" s="140" t="n">
        <v>12</v>
      </c>
      <c r="B972" s="40">
        <f>B91</f>
        <v/>
      </c>
      <c r="C972" s="141">
        <f>D91</f>
        <v/>
      </c>
      <c r="D972" s="141">
        <f>I91</f>
        <v/>
      </c>
      <c r="E972" s="141">
        <f>J91</f>
        <v/>
      </c>
      <c r="F972" s="141">
        <f>K91</f>
        <v/>
      </c>
      <c r="G972" s="138">
        <f>IF(AND($L$243&gt;0,A972=$C$13),$L$243*($C$15+$C$18),0)+IF(AND($L$243&gt;0,A972=$C$13),$C$24,0)</f>
        <v/>
      </c>
      <c r="H972" s="138">
        <f>IF(OR($L$243&lt;=0,A972&lt;$C$13),0,IF(AND($L$243&gt;0,$C$17&gt;0,A972&gt;=$C$13,A972&lt;($C$13+$C$17)),IF($C$17&lt;=0,0,IF($C$16=0,MAX($L$243*(1-$C$15),0)/$C$17,-PMT($C$16/12,$C$17*12,MAX($L$243*(1-$C$15),0))*12)),0)+X972*($C$19+$C$20+$C$21)+$C$22+$C$23)</f>
        <v/>
      </c>
      <c r="I972" s="138">
        <f>IF(B972="Working",MIN(MAX(D972-E972-F972-G972-H972,0),'Tax Assumptions'!$B$20),0)</f>
        <v/>
      </c>
      <c r="J972" s="138">
        <f>IF(B972="Working",D972-E972-F972-I972-G972-H972,-L972)</f>
        <v/>
      </c>
      <c r="K972" s="141">
        <f>IF(B972="Retired",$N$243+G972+H972,0)</f>
        <v/>
      </c>
      <c r="L972" s="141">
        <f>M972+N972+O972+P972</f>
        <v/>
      </c>
      <c r="M972" s="141">
        <f>IF(B972="Retired",MIN(((Q971)*(1+$C$10)+IF(B972="Working",J972,0)),K972),0)</f>
        <v/>
      </c>
      <c r="N972" s="141">
        <f>IF(B972="Retired",MIN(MAX(K972-M972,0),((R971)*(1+$C$10)+IF(B972="Working",E91,0))),0)</f>
        <v/>
      </c>
      <c r="O972" s="141">
        <f>IF(B972="Retired",MIN(MAX(K972-M972-N972,0),((S971)*(1+$C$10)+IF(B972="Working",I972,0))),0)</f>
        <v/>
      </c>
      <c r="P972" s="141">
        <f>IF(B972="Retired",MIN(MAX(K972-M972-N972-O972,0),((T971)*(1+$C$10)+IF(B972="Working",F91,0))),0)</f>
        <v/>
      </c>
      <c r="Q972" s="138">
        <f>MAX(((Q971)*(1+$C$10)+IF(B972="Working",J972,0))-M972,0)</f>
        <v/>
      </c>
      <c r="R972" s="138">
        <f>MAX(((R971)*(1+$C$10)+IF(B972="Working",E91,0))-N972,0)</f>
        <v/>
      </c>
      <c r="S972" s="138">
        <f>MAX(((S971)*(1+$C$10)+IF(B972="Working",I972,0))-O972,0)</f>
        <v/>
      </c>
      <c r="T972" s="138">
        <f>MAX(((T971)*(1+$C$10)+IF(B972="Working",F91,0))-P972,0)</f>
        <v/>
      </c>
      <c r="U972" s="138">
        <f>Q972+R972+S972+T972</f>
        <v/>
      </c>
      <c r="V972" s="138">
        <f>IF(B972="Working",MAX(-(((Q971)*(1+$C$10)+IF(B972="Working",J972,0))),0),MAX(K972-L972,0))</f>
        <v/>
      </c>
      <c r="W972" s="138">
        <f>IF(OR(A972&gt;=$C$13,B972="Retired"),IF(V972&gt;0,-V972,U972-'Model Inputs'!$B$18),"")</f>
        <v/>
      </c>
      <c r="X972" s="138">
        <f>IF(AND($L$243&gt;0,A972&gt;=$C$13),$L$243*(1+$C$25)^(A972-$C$13),0)</f>
        <v/>
      </c>
      <c r="Y972" s="138">
        <f>IF(OR($L$243&lt;=0,$C$17&lt;=0,A972&lt;$C$13,MIN(MAX((A972-$C$13+1)*12,0),$C$17*12)&gt;=$C$17*12),0,IF($C$16=0,MAX(MAX($L$243*(1-$C$15),0)-(IF($C$17&lt;=0,0,IF($C$16=0,MAX($L$243*(1-$C$15),0)/$C$17,-PMT($C$16/12,$C$17*12,MAX($L$243*(1-$C$15),0))*12))/12)*MIN(MAX((A972-$C$13+1)*12,0),$C$17*12),0),MAX(MAX($L$243*(1-$C$15),0)*(1+$C$16/12)^MIN(MAX((A972-$C$13+1)*12,0),$C$17*12)-(IF($C$17&lt;=0,0,IF($C$16=0,MAX($L$243*(1-$C$15),0)/$C$17,-PMT($C$16/12,$C$17*12,MAX($L$243*(1-$C$15),0))*12))/12)*(((1+$C$16/12)^MIN(MAX((A972-$C$13+1)*12,0),$C$17*12)-1)/($C$16/12)),0)))</f>
        <v/>
      </c>
      <c r="Z972" s="138">
        <f>MAX(X972-Y972,0)</f>
        <v/>
      </c>
      <c r="AA972" s="142">
        <f>U972+Z972</f>
        <v/>
      </c>
      <c r="AB972" s="5" t="n"/>
      <c r="AC972" s="5" t="n"/>
      <c r="AD972" s="5" t="n"/>
      <c r="AE972" s="5" t="n"/>
      <c r="AF972" s="5" t="n"/>
      <c r="AG972" s="5" t="n"/>
    </row>
    <row r="973" outlineLevel="1" s="326">
      <c r="A973" s="136" t="n">
        <v>13</v>
      </c>
      <c r="B973" s="72">
        <f>B92</f>
        <v/>
      </c>
      <c r="C973" s="137">
        <f>D92</f>
        <v/>
      </c>
      <c r="D973" s="137">
        <f>I92</f>
        <v/>
      </c>
      <c r="E973" s="137">
        <f>J92</f>
        <v/>
      </c>
      <c r="F973" s="137">
        <f>K92</f>
        <v/>
      </c>
      <c r="G973" s="138">
        <f>IF(AND($L$243&gt;0,A973=$C$13),$L$243*($C$15+$C$18),0)+IF(AND($L$243&gt;0,A973=$C$13),$C$24,0)</f>
        <v/>
      </c>
      <c r="H973" s="138">
        <f>IF(OR($L$243&lt;=0,A973&lt;$C$13),0,IF(AND($L$243&gt;0,$C$17&gt;0,A973&gt;=$C$13,A973&lt;($C$13+$C$17)),IF($C$17&lt;=0,0,IF($C$16=0,MAX($L$243*(1-$C$15),0)/$C$17,-PMT($C$16/12,$C$17*12,MAX($L$243*(1-$C$15),0))*12)),0)+X973*($C$19+$C$20+$C$21)+$C$22+$C$23)</f>
        <v/>
      </c>
      <c r="I973" s="138">
        <f>IF(B973="Working",MIN(MAX(D973-E973-F973-G973-H973,0),'Tax Assumptions'!$B$20),0)</f>
        <v/>
      </c>
      <c r="J973" s="138">
        <f>IF(B973="Working",D973-E973-F973-I973-G973-H973,-L973)</f>
        <v/>
      </c>
      <c r="K973" s="137">
        <f>IF(B973="Retired",$N$243+G973+H973,0)</f>
        <v/>
      </c>
      <c r="L973" s="137">
        <f>M973+N973+O973+P973</f>
        <v/>
      </c>
      <c r="M973" s="137">
        <f>IF(B973="Retired",MIN(((Q972)*(1+$C$10)+IF(B973="Working",J973,0)),K973),0)</f>
        <v/>
      </c>
      <c r="N973" s="137">
        <f>IF(B973="Retired",MIN(MAX(K973-M973,0),((R972)*(1+$C$10)+IF(B973="Working",E92,0))),0)</f>
        <v/>
      </c>
      <c r="O973" s="137">
        <f>IF(B973="Retired",MIN(MAX(K973-M973-N973,0),((S972)*(1+$C$10)+IF(B973="Working",I973,0))),0)</f>
        <v/>
      </c>
      <c r="P973" s="137">
        <f>IF(B973="Retired",MIN(MAX(K973-M973-N973-O973,0),((T972)*(1+$C$10)+IF(B973="Working",F92,0))),0)</f>
        <v/>
      </c>
      <c r="Q973" s="138">
        <f>MAX(((Q972)*(1+$C$10)+IF(B973="Working",J973,0))-M973,0)</f>
        <v/>
      </c>
      <c r="R973" s="138">
        <f>MAX(((R972)*(1+$C$10)+IF(B973="Working",E92,0))-N973,0)</f>
        <v/>
      </c>
      <c r="S973" s="138">
        <f>MAX(((S972)*(1+$C$10)+IF(B973="Working",I973,0))-O973,0)</f>
        <v/>
      </c>
      <c r="T973" s="138">
        <f>MAX(((T972)*(1+$C$10)+IF(B973="Working",F92,0))-P973,0)</f>
        <v/>
      </c>
      <c r="U973" s="138">
        <f>Q973+R973+S973+T973</f>
        <v/>
      </c>
      <c r="V973" s="138">
        <f>IF(B973="Working",MAX(-(((Q972)*(1+$C$10)+IF(B973="Working",J973,0))),0),MAX(K973-L973,0))</f>
        <v/>
      </c>
      <c r="W973" s="138">
        <f>IF(OR(A973&gt;=$C$13,B973="Retired"),IF(V973&gt;0,-V973,U973-'Model Inputs'!$B$18),"")</f>
        <v/>
      </c>
      <c r="X973" s="138">
        <f>IF(AND($L$243&gt;0,A973&gt;=$C$13),$L$243*(1+$C$25)^(A973-$C$13),0)</f>
        <v/>
      </c>
      <c r="Y973" s="138">
        <f>IF(OR($L$243&lt;=0,$C$17&lt;=0,A973&lt;$C$13,MIN(MAX((A973-$C$13+1)*12,0),$C$17*12)&gt;=$C$17*12),0,IF($C$16=0,MAX(MAX($L$243*(1-$C$15),0)-(IF($C$17&lt;=0,0,IF($C$16=0,MAX($L$243*(1-$C$15),0)/$C$17,-PMT($C$16/12,$C$17*12,MAX($L$243*(1-$C$15),0))*12))/12)*MIN(MAX((A973-$C$13+1)*12,0),$C$17*12),0),MAX(MAX($L$243*(1-$C$15),0)*(1+$C$16/12)^MIN(MAX((A973-$C$13+1)*12,0),$C$17*12)-(IF($C$17&lt;=0,0,IF($C$16=0,MAX($L$243*(1-$C$15),0)/$C$17,-PMT($C$16/12,$C$17*12,MAX($L$243*(1-$C$15),0))*12))/12)*(((1+$C$16/12)^MIN(MAX((A973-$C$13+1)*12,0),$C$17*12)-1)/($C$16/12)),0)))</f>
        <v/>
      </c>
      <c r="Z973" s="138">
        <f>MAX(X973-Y973,0)</f>
        <v/>
      </c>
      <c r="AA973" s="139">
        <f>U973+Z973</f>
        <v/>
      </c>
      <c r="AB973" s="5" t="n"/>
      <c r="AC973" s="5" t="n"/>
      <c r="AD973" s="5" t="n"/>
      <c r="AE973" s="5" t="n"/>
      <c r="AF973" s="5" t="n"/>
      <c r="AG973" s="5" t="n"/>
    </row>
    <row r="974" outlineLevel="1" s="326">
      <c r="A974" s="140" t="n">
        <v>14</v>
      </c>
      <c r="B974" s="40">
        <f>B93</f>
        <v/>
      </c>
      <c r="C974" s="141">
        <f>D93</f>
        <v/>
      </c>
      <c r="D974" s="141">
        <f>I93</f>
        <v/>
      </c>
      <c r="E974" s="141">
        <f>J93</f>
        <v/>
      </c>
      <c r="F974" s="141">
        <f>K93</f>
        <v/>
      </c>
      <c r="G974" s="138">
        <f>IF(AND($L$243&gt;0,A974=$C$13),$L$243*($C$15+$C$18),0)+IF(AND($L$243&gt;0,A974=$C$13),$C$24,0)</f>
        <v/>
      </c>
      <c r="H974" s="138">
        <f>IF(OR($L$243&lt;=0,A974&lt;$C$13),0,IF(AND($L$243&gt;0,$C$17&gt;0,A974&gt;=$C$13,A974&lt;($C$13+$C$17)),IF($C$17&lt;=0,0,IF($C$16=0,MAX($L$243*(1-$C$15),0)/$C$17,-PMT($C$16/12,$C$17*12,MAX($L$243*(1-$C$15),0))*12)),0)+X974*($C$19+$C$20+$C$21)+$C$22+$C$23)</f>
        <v/>
      </c>
      <c r="I974" s="138">
        <f>IF(B974="Working",MIN(MAX(D974-E974-F974-G974-H974,0),'Tax Assumptions'!$B$20),0)</f>
        <v/>
      </c>
      <c r="J974" s="138">
        <f>IF(B974="Working",D974-E974-F974-I974-G974-H974,-L974)</f>
        <v/>
      </c>
      <c r="K974" s="141">
        <f>IF(B974="Retired",$N$243+G974+H974,0)</f>
        <v/>
      </c>
      <c r="L974" s="141">
        <f>M974+N974+O974+P974</f>
        <v/>
      </c>
      <c r="M974" s="141">
        <f>IF(B974="Retired",MIN(((Q973)*(1+$C$10)+IF(B974="Working",J974,0)),K974),0)</f>
        <v/>
      </c>
      <c r="N974" s="141">
        <f>IF(B974="Retired",MIN(MAX(K974-M974,0),((R973)*(1+$C$10)+IF(B974="Working",E93,0))),0)</f>
        <v/>
      </c>
      <c r="O974" s="141">
        <f>IF(B974="Retired",MIN(MAX(K974-M974-N974,0),((S973)*(1+$C$10)+IF(B974="Working",I974,0))),0)</f>
        <v/>
      </c>
      <c r="P974" s="141">
        <f>IF(B974="Retired",MIN(MAX(K974-M974-N974-O974,0),((T973)*(1+$C$10)+IF(B974="Working",F93,0))),0)</f>
        <v/>
      </c>
      <c r="Q974" s="138">
        <f>MAX(((Q973)*(1+$C$10)+IF(B974="Working",J974,0))-M974,0)</f>
        <v/>
      </c>
      <c r="R974" s="138">
        <f>MAX(((R973)*(1+$C$10)+IF(B974="Working",E93,0))-N974,0)</f>
        <v/>
      </c>
      <c r="S974" s="138">
        <f>MAX(((S973)*(1+$C$10)+IF(B974="Working",I974,0))-O974,0)</f>
        <v/>
      </c>
      <c r="T974" s="138">
        <f>MAX(((T973)*(1+$C$10)+IF(B974="Working",F93,0))-P974,0)</f>
        <v/>
      </c>
      <c r="U974" s="138">
        <f>Q974+R974+S974+T974</f>
        <v/>
      </c>
      <c r="V974" s="138">
        <f>IF(B974="Working",MAX(-(((Q973)*(1+$C$10)+IF(B974="Working",J974,0))),0),MAX(K974-L974,0))</f>
        <v/>
      </c>
      <c r="W974" s="138">
        <f>IF(OR(A974&gt;=$C$13,B974="Retired"),IF(V974&gt;0,-V974,U974-'Model Inputs'!$B$18),"")</f>
        <v/>
      </c>
      <c r="X974" s="138">
        <f>IF(AND($L$243&gt;0,A974&gt;=$C$13),$L$243*(1+$C$25)^(A974-$C$13),0)</f>
        <v/>
      </c>
      <c r="Y974" s="138">
        <f>IF(OR($L$243&lt;=0,$C$17&lt;=0,A974&lt;$C$13,MIN(MAX((A974-$C$13+1)*12,0),$C$17*12)&gt;=$C$17*12),0,IF($C$16=0,MAX(MAX($L$243*(1-$C$15),0)-(IF($C$17&lt;=0,0,IF($C$16=0,MAX($L$243*(1-$C$15),0)/$C$17,-PMT($C$16/12,$C$17*12,MAX($L$243*(1-$C$15),0))*12))/12)*MIN(MAX((A974-$C$13+1)*12,0),$C$17*12),0),MAX(MAX($L$243*(1-$C$15),0)*(1+$C$16/12)^MIN(MAX((A974-$C$13+1)*12,0),$C$17*12)-(IF($C$17&lt;=0,0,IF($C$16=0,MAX($L$243*(1-$C$15),0)/$C$17,-PMT($C$16/12,$C$17*12,MAX($L$243*(1-$C$15),0))*12))/12)*(((1+$C$16/12)^MIN(MAX((A974-$C$13+1)*12,0),$C$17*12)-1)/($C$16/12)),0)))</f>
        <v/>
      </c>
      <c r="Z974" s="138">
        <f>MAX(X974-Y974,0)</f>
        <v/>
      </c>
      <c r="AA974" s="142">
        <f>U974+Z974</f>
        <v/>
      </c>
      <c r="AB974" s="5" t="n"/>
      <c r="AC974" s="5" t="n"/>
      <c r="AD974" s="5" t="n"/>
      <c r="AE974" s="5" t="n"/>
      <c r="AF974" s="5" t="n"/>
      <c r="AG974" s="5" t="n"/>
    </row>
    <row r="975" outlineLevel="1" s="326">
      <c r="A975" s="136" t="n">
        <v>15</v>
      </c>
      <c r="B975" s="72">
        <f>B94</f>
        <v/>
      </c>
      <c r="C975" s="137">
        <f>D94</f>
        <v/>
      </c>
      <c r="D975" s="137">
        <f>I94</f>
        <v/>
      </c>
      <c r="E975" s="137">
        <f>J94</f>
        <v/>
      </c>
      <c r="F975" s="137">
        <f>K94</f>
        <v/>
      </c>
      <c r="G975" s="138">
        <f>IF(AND($L$243&gt;0,A975=$C$13),$L$243*($C$15+$C$18),0)+IF(AND($L$243&gt;0,A975=$C$13),$C$24,0)</f>
        <v/>
      </c>
      <c r="H975" s="138">
        <f>IF(OR($L$243&lt;=0,A975&lt;$C$13),0,IF(AND($L$243&gt;0,$C$17&gt;0,A975&gt;=$C$13,A975&lt;($C$13+$C$17)),IF($C$17&lt;=0,0,IF($C$16=0,MAX($L$243*(1-$C$15),0)/$C$17,-PMT($C$16/12,$C$17*12,MAX($L$243*(1-$C$15),0))*12)),0)+X975*($C$19+$C$20+$C$21)+$C$22+$C$23)</f>
        <v/>
      </c>
      <c r="I975" s="138">
        <f>IF(B975="Working",MIN(MAX(D975-E975-F975-G975-H975,0),'Tax Assumptions'!$B$20),0)</f>
        <v/>
      </c>
      <c r="J975" s="138">
        <f>IF(B975="Working",D975-E975-F975-I975-G975-H975,-L975)</f>
        <v/>
      </c>
      <c r="K975" s="137">
        <f>IF(B975="Retired",$N$243+G975+H975,0)</f>
        <v/>
      </c>
      <c r="L975" s="137">
        <f>M975+N975+O975+P975</f>
        <v/>
      </c>
      <c r="M975" s="137">
        <f>IF(B975="Retired",MIN(((Q974)*(1+$C$10)+IF(B975="Working",J975,0)),K975),0)</f>
        <v/>
      </c>
      <c r="N975" s="137">
        <f>IF(B975="Retired",MIN(MAX(K975-M975,0),((R974)*(1+$C$10)+IF(B975="Working",E94,0))),0)</f>
        <v/>
      </c>
      <c r="O975" s="137">
        <f>IF(B975="Retired",MIN(MAX(K975-M975-N975,0),((S974)*(1+$C$10)+IF(B975="Working",I975,0))),0)</f>
        <v/>
      </c>
      <c r="P975" s="137">
        <f>IF(B975="Retired",MIN(MAX(K975-M975-N975-O975,0),((T974)*(1+$C$10)+IF(B975="Working",F94,0))),0)</f>
        <v/>
      </c>
      <c r="Q975" s="138">
        <f>MAX(((Q974)*(1+$C$10)+IF(B975="Working",J975,0))-M975,0)</f>
        <v/>
      </c>
      <c r="R975" s="138">
        <f>MAX(((R974)*(1+$C$10)+IF(B975="Working",E94,0))-N975,0)</f>
        <v/>
      </c>
      <c r="S975" s="138">
        <f>MAX(((S974)*(1+$C$10)+IF(B975="Working",I975,0))-O975,0)</f>
        <v/>
      </c>
      <c r="T975" s="138">
        <f>MAX(((T974)*(1+$C$10)+IF(B975="Working",F94,0))-P975,0)</f>
        <v/>
      </c>
      <c r="U975" s="138">
        <f>Q975+R975+S975+T975</f>
        <v/>
      </c>
      <c r="V975" s="138">
        <f>IF(B975="Working",MAX(-(((Q974)*(1+$C$10)+IF(B975="Working",J975,0))),0),MAX(K975-L975,0))</f>
        <v/>
      </c>
      <c r="W975" s="138">
        <f>IF(OR(A975&gt;=$C$13,B975="Retired"),IF(V975&gt;0,-V975,U975-'Model Inputs'!$B$18),"")</f>
        <v/>
      </c>
      <c r="X975" s="138">
        <f>IF(AND($L$243&gt;0,A975&gt;=$C$13),$L$243*(1+$C$25)^(A975-$C$13),0)</f>
        <v/>
      </c>
      <c r="Y975" s="138">
        <f>IF(OR($L$243&lt;=0,$C$17&lt;=0,A975&lt;$C$13,MIN(MAX((A975-$C$13+1)*12,0),$C$17*12)&gt;=$C$17*12),0,IF($C$16=0,MAX(MAX($L$243*(1-$C$15),0)-(IF($C$17&lt;=0,0,IF($C$16=0,MAX($L$243*(1-$C$15),0)/$C$17,-PMT($C$16/12,$C$17*12,MAX($L$243*(1-$C$15),0))*12))/12)*MIN(MAX((A975-$C$13+1)*12,0),$C$17*12),0),MAX(MAX($L$243*(1-$C$15),0)*(1+$C$16/12)^MIN(MAX((A975-$C$13+1)*12,0),$C$17*12)-(IF($C$17&lt;=0,0,IF($C$16=0,MAX($L$243*(1-$C$15),0)/$C$17,-PMT($C$16/12,$C$17*12,MAX($L$243*(1-$C$15),0))*12))/12)*(((1+$C$16/12)^MIN(MAX((A975-$C$13+1)*12,0),$C$17*12)-1)/($C$16/12)),0)))</f>
        <v/>
      </c>
      <c r="Z975" s="138">
        <f>MAX(X975-Y975,0)</f>
        <v/>
      </c>
      <c r="AA975" s="139">
        <f>U975+Z975</f>
        <v/>
      </c>
      <c r="AB975" s="5" t="n"/>
      <c r="AC975" s="5" t="n"/>
      <c r="AD975" s="5" t="n"/>
      <c r="AE975" s="5" t="n"/>
      <c r="AF975" s="5" t="n"/>
      <c r="AG975" s="5" t="n"/>
    </row>
    <row r="976" outlineLevel="1" s="326">
      <c r="A976" s="140" t="n">
        <v>16</v>
      </c>
      <c r="B976" s="40">
        <f>B95</f>
        <v/>
      </c>
      <c r="C976" s="141">
        <f>D95</f>
        <v/>
      </c>
      <c r="D976" s="141">
        <f>I95</f>
        <v/>
      </c>
      <c r="E976" s="141">
        <f>J95</f>
        <v/>
      </c>
      <c r="F976" s="141">
        <f>K95</f>
        <v/>
      </c>
      <c r="G976" s="138">
        <f>IF(AND($L$243&gt;0,A976=$C$13),$L$243*($C$15+$C$18),0)+IF(AND($L$243&gt;0,A976=$C$13),$C$24,0)</f>
        <v/>
      </c>
      <c r="H976" s="138">
        <f>IF(OR($L$243&lt;=0,A976&lt;$C$13),0,IF(AND($L$243&gt;0,$C$17&gt;0,A976&gt;=$C$13,A976&lt;($C$13+$C$17)),IF($C$17&lt;=0,0,IF($C$16=0,MAX($L$243*(1-$C$15),0)/$C$17,-PMT($C$16/12,$C$17*12,MAX($L$243*(1-$C$15),0))*12)),0)+X976*($C$19+$C$20+$C$21)+$C$22+$C$23)</f>
        <v/>
      </c>
      <c r="I976" s="138">
        <f>IF(B976="Working",MIN(MAX(D976-E976-F976-G976-H976,0),'Tax Assumptions'!$B$20),0)</f>
        <v/>
      </c>
      <c r="J976" s="138">
        <f>IF(B976="Working",D976-E976-F976-I976-G976-H976,-L976)</f>
        <v/>
      </c>
      <c r="K976" s="141">
        <f>IF(B976="Retired",$N$243+G976+H976,0)</f>
        <v/>
      </c>
      <c r="L976" s="141">
        <f>M976+N976+O976+P976</f>
        <v/>
      </c>
      <c r="M976" s="141">
        <f>IF(B976="Retired",MIN(((Q975)*(1+$C$10)+IF(B976="Working",J976,0)),K976),0)</f>
        <v/>
      </c>
      <c r="N976" s="141">
        <f>IF(B976="Retired",MIN(MAX(K976-M976,0),((R975)*(1+$C$10)+IF(B976="Working",E95,0))),0)</f>
        <v/>
      </c>
      <c r="O976" s="141">
        <f>IF(B976="Retired",MIN(MAX(K976-M976-N976,0),((S975)*(1+$C$10)+IF(B976="Working",I976,0))),0)</f>
        <v/>
      </c>
      <c r="P976" s="141">
        <f>IF(B976="Retired",MIN(MAX(K976-M976-N976-O976,0),((T975)*(1+$C$10)+IF(B976="Working",F95,0))),0)</f>
        <v/>
      </c>
      <c r="Q976" s="138">
        <f>MAX(((Q975)*(1+$C$10)+IF(B976="Working",J976,0))-M976,0)</f>
        <v/>
      </c>
      <c r="R976" s="138">
        <f>MAX(((R975)*(1+$C$10)+IF(B976="Working",E95,0))-N976,0)</f>
        <v/>
      </c>
      <c r="S976" s="138">
        <f>MAX(((S975)*(1+$C$10)+IF(B976="Working",I976,0))-O976,0)</f>
        <v/>
      </c>
      <c r="T976" s="138">
        <f>MAX(((T975)*(1+$C$10)+IF(B976="Working",F95,0))-P976,0)</f>
        <v/>
      </c>
      <c r="U976" s="138">
        <f>Q976+R976+S976+T976</f>
        <v/>
      </c>
      <c r="V976" s="138">
        <f>IF(B976="Working",MAX(-(((Q975)*(1+$C$10)+IF(B976="Working",J976,0))),0),MAX(K976-L976,0))</f>
        <v/>
      </c>
      <c r="W976" s="138">
        <f>IF(OR(A976&gt;=$C$13,B976="Retired"),IF(V976&gt;0,-V976,U976-'Model Inputs'!$B$18),"")</f>
        <v/>
      </c>
      <c r="X976" s="138">
        <f>IF(AND($L$243&gt;0,A976&gt;=$C$13),$L$243*(1+$C$25)^(A976-$C$13),0)</f>
        <v/>
      </c>
      <c r="Y976" s="138">
        <f>IF(OR($L$243&lt;=0,$C$17&lt;=0,A976&lt;$C$13,MIN(MAX((A976-$C$13+1)*12,0),$C$17*12)&gt;=$C$17*12),0,IF($C$16=0,MAX(MAX($L$243*(1-$C$15),0)-(IF($C$17&lt;=0,0,IF($C$16=0,MAX($L$243*(1-$C$15),0)/$C$17,-PMT($C$16/12,$C$17*12,MAX($L$243*(1-$C$15),0))*12))/12)*MIN(MAX((A976-$C$13+1)*12,0),$C$17*12),0),MAX(MAX($L$243*(1-$C$15),0)*(1+$C$16/12)^MIN(MAX((A976-$C$13+1)*12,0),$C$17*12)-(IF($C$17&lt;=0,0,IF($C$16=0,MAX($L$243*(1-$C$15),0)/$C$17,-PMT($C$16/12,$C$17*12,MAX($L$243*(1-$C$15),0))*12))/12)*(((1+$C$16/12)^MIN(MAX((A976-$C$13+1)*12,0),$C$17*12)-1)/($C$16/12)),0)))</f>
        <v/>
      </c>
      <c r="Z976" s="138">
        <f>MAX(X976-Y976,0)</f>
        <v/>
      </c>
      <c r="AA976" s="142">
        <f>U976+Z976</f>
        <v/>
      </c>
      <c r="AB976" s="5" t="n"/>
      <c r="AC976" s="5" t="n"/>
      <c r="AD976" s="5" t="n"/>
      <c r="AE976" s="5" t="n"/>
      <c r="AF976" s="5" t="n"/>
      <c r="AG976" s="5" t="n"/>
    </row>
    <row r="977" outlineLevel="1" s="326">
      <c r="A977" s="136" t="n">
        <v>17</v>
      </c>
      <c r="B977" s="72">
        <f>B96</f>
        <v/>
      </c>
      <c r="C977" s="137">
        <f>D96</f>
        <v/>
      </c>
      <c r="D977" s="137">
        <f>I96</f>
        <v/>
      </c>
      <c r="E977" s="137">
        <f>J96</f>
        <v/>
      </c>
      <c r="F977" s="137">
        <f>K96</f>
        <v/>
      </c>
      <c r="G977" s="138">
        <f>IF(AND($L$243&gt;0,A977=$C$13),$L$243*($C$15+$C$18),0)+IF(AND($L$243&gt;0,A977=$C$13),$C$24,0)</f>
        <v/>
      </c>
      <c r="H977" s="138">
        <f>IF(OR($L$243&lt;=0,A977&lt;$C$13),0,IF(AND($L$243&gt;0,$C$17&gt;0,A977&gt;=$C$13,A977&lt;($C$13+$C$17)),IF($C$17&lt;=0,0,IF($C$16=0,MAX($L$243*(1-$C$15),0)/$C$17,-PMT($C$16/12,$C$17*12,MAX($L$243*(1-$C$15),0))*12)),0)+X977*($C$19+$C$20+$C$21)+$C$22+$C$23)</f>
        <v/>
      </c>
      <c r="I977" s="138">
        <f>IF(B977="Working",MIN(MAX(D977-E977-F977-G977-H977,0),'Tax Assumptions'!$B$20),0)</f>
        <v/>
      </c>
      <c r="J977" s="138">
        <f>IF(B977="Working",D977-E977-F977-I977-G977-H977,-L977)</f>
        <v/>
      </c>
      <c r="K977" s="137">
        <f>IF(B977="Retired",$N$243+G977+H977,0)</f>
        <v/>
      </c>
      <c r="L977" s="137">
        <f>M977+N977+O977+P977</f>
        <v/>
      </c>
      <c r="M977" s="137">
        <f>IF(B977="Retired",MIN(((Q976)*(1+$C$10)+IF(B977="Working",J977,0)),K977),0)</f>
        <v/>
      </c>
      <c r="N977" s="137">
        <f>IF(B977="Retired",MIN(MAX(K977-M977,0),((R976)*(1+$C$10)+IF(B977="Working",E96,0))),0)</f>
        <v/>
      </c>
      <c r="O977" s="137">
        <f>IF(B977="Retired",MIN(MAX(K977-M977-N977,0),((S976)*(1+$C$10)+IF(B977="Working",I977,0))),0)</f>
        <v/>
      </c>
      <c r="P977" s="137">
        <f>IF(B977="Retired",MIN(MAX(K977-M977-N977-O977,0),((T976)*(1+$C$10)+IF(B977="Working",F96,0))),0)</f>
        <v/>
      </c>
      <c r="Q977" s="138">
        <f>MAX(((Q976)*(1+$C$10)+IF(B977="Working",J977,0))-M977,0)</f>
        <v/>
      </c>
      <c r="R977" s="138">
        <f>MAX(((R976)*(1+$C$10)+IF(B977="Working",E96,0))-N977,0)</f>
        <v/>
      </c>
      <c r="S977" s="138">
        <f>MAX(((S976)*(1+$C$10)+IF(B977="Working",I977,0))-O977,0)</f>
        <v/>
      </c>
      <c r="T977" s="138">
        <f>MAX(((T976)*(1+$C$10)+IF(B977="Working",F96,0))-P977,0)</f>
        <v/>
      </c>
      <c r="U977" s="138">
        <f>Q977+R977+S977+T977</f>
        <v/>
      </c>
      <c r="V977" s="138">
        <f>IF(B977="Working",MAX(-(((Q976)*(1+$C$10)+IF(B977="Working",J977,0))),0),MAX(K977-L977,0))</f>
        <v/>
      </c>
      <c r="W977" s="138">
        <f>IF(OR(A977&gt;=$C$13,B977="Retired"),IF(V977&gt;0,-V977,U977-'Model Inputs'!$B$18),"")</f>
        <v/>
      </c>
      <c r="X977" s="138">
        <f>IF(AND($L$243&gt;0,A977&gt;=$C$13),$L$243*(1+$C$25)^(A977-$C$13),0)</f>
        <v/>
      </c>
      <c r="Y977" s="138">
        <f>IF(OR($L$243&lt;=0,$C$17&lt;=0,A977&lt;$C$13,MIN(MAX((A977-$C$13+1)*12,0),$C$17*12)&gt;=$C$17*12),0,IF($C$16=0,MAX(MAX($L$243*(1-$C$15),0)-(IF($C$17&lt;=0,0,IF($C$16=0,MAX($L$243*(1-$C$15),0)/$C$17,-PMT($C$16/12,$C$17*12,MAX($L$243*(1-$C$15),0))*12))/12)*MIN(MAX((A977-$C$13+1)*12,0),$C$17*12),0),MAX(MAX($L$243*(1-$C$15),0)*(1+$C$16/12)^MIN(MAX((A977-$C$13+1)*12,0),$C$17*12)-(IF($C$17&lt;=0,0,IF($C$16=0,MAX($L$243*(1-$C$15),0)/$C$17,-PMT($C$16/12,$C$17*12,MAX($L$243*(1-$C$15),0))*12))/12)*(((1+$C$16/12)^MIN(MAX((A977-$C$13+1)*12,0),$C$17*12)-1)/($C$16/12)),0)))</f>
        <v/>
      </c>
      <c r="Z977" s="138">
        <f>MAX(X977-Y977,0)</f>
        <v/>
      </c>
      <c r="AA977" s="139">
        <f>U977+Z977</f>
        <v/>
      </c>
      <c r="AB977" s="5" t="n"/>
      <c r="AC977" s="5" t="n"/>
      <c r="AD977" s="5" t="n"/>
      <c r="AE977" s="5" t="n"/>
      <c r="AF977" s="5" t="n"/>
      <c r="AG977" s="5" t="n"/>
    </row>
    <row r="978" outlineLevel="1" s="326">
      <c r="A978" s="140" t="n">
        <v>18</v>
      </c>
      <c r="B978" s="40">
        <f>B97</f>
        <v/>
      </c>
      <c r="C978" s="141">
        <f>D97</f>
        <v/>
      </c>
      <c r="D978" s="141">
        <f>I97</f>
        <v/>
      </c>
      <c r="E978" s="141">
        <f>J97</f>
        <v/>
      </c>
      <c r="F978" s="141">
        <f>K97</f>
        <v/>
      </c>
      <c r="G978" s="138">
        <f>IF(AND($L$243&gt;0,A978=$C$13),$L$243*($C$15+$C$18),0)+IF(AND($L$243&gt;0,A978=$C$13),$C$24,0)</f>
        <v/>
      </c>
      <c r="H978" s="138">
        <f>IF(OR($L$243&lt;=0,A978&lt;$C$13),0,IF(AND($L$243&gt;0,$C$17&gt;0,A978&gt;=$C$13,A978&lt;($C$13+$C$17)),IF($C$17&lt;=0,0,IF($C$16=0,MAX($L$243*(1-$C$15),0)/$C$17,-PMT($C$16/12,$C$17*12,MAX($L$243*(1-$C$15),0))*12)),0)+X978*($C$19+$C$20+$C$21)+$C$22+$C$23)</f>
        <v/>
      </c>
      <c r="I978" s="138">
        <f>IF(B978="Working",MIN(MAX(D978-E978-F978-G978-H978,0),'Tax Assumptions'!$B$20),0)</f>
        <v/>
      </c>
      <c r="J978" s="138">
        <f>IF(B978="Working",D978-E978-F978-I978-G978-H978,-L978)</f>
        <v/>
      </c>
      <c r="K978" s="141">
        <f>IF(B978="Retired",$N$243+G978+H978,0)</f>
        <v/>
      </c>
      <c r="L978" s="141">
        <f>M978+N978+O978+P978</f>
        <v/>
      </c>
      <c r="M978" s="141">
        <f>IF(B978="Retired",MIN(((Q977)*(1+$C$10)+IF(B978="Working",J978,0)),K978),0)</f>
        <v/>
      </c>
      <c r="N978" s="141">
        <f>IF(B978="Retired",MIN(MAX(K978-M978,0),((R977)*(1+$C$10)+IF(B978="Working",E97,0))),0)</f>
        <v/>
      </c>
      <c r="O978" s="141">
        <f>IF(B978="Retired",MIN(MAX(K978-M978-N978,0),((S977)*(1+$C$10)+IF(B978="Working",I978,0))),0)</f>
        <v/>
      </c>
      <c r="P978" s="141">
        <f>IF(B978="Retired",MIN(MAX(K978-M978-N978-O978,0),((T977)*(1+$C$10)+IF(B978="Working",F97,0))),0)</f>
        <v/>
      </c>
      <c r="Q978" s="138">
        <f>MAX(((Q977)*(1+$C$10)+IF(B978="Working",J978,0))-M978,0)</f>
        <v/>
      </c>
      <c r="R978" s="138">
        <f>MAX(((R977)*(1+$C$10)+IF(B978="Working",E97,0))-N978,0)</f>
        <v/>
      </c>
      <c r="S978" s="138">
        <f>MAX(((S977)*(1+$C$10)+IF(B978="Working",I978,0))-O978,0)</f>
        <v/>
      </c>
      <c r="T978" s="138">
        <f>MAX(((T977)*(1+$C$10)+IF(B978="Working",F97,0))-P978,0)</f>
        <v/>
      </c>
      <c r="U978" s="138">
        <f>Q978+R978+S978+T978</f>
        <v/>
      </c>
      <c r="V978" s="138">
        <f>IF(B978="Working",MAX(-(((Q977)*(1+$C$10)+IF(B978="Working",J978,0))),0),MAX(K978-L978,0))</f>
        <v/>
      </c>
      <c r="W978" s="138">
        <f>IF(OR(A978&gt;=$C$13,B978="Retired"),IF(V978&gt;0,-V978,U978-'Model Inputs'!$B$18),"")</f>
        <v/>
      </c>
      <c r="X978" s="138">
        <f>IF(AND($L$243&gt;0,A978&gt;=$C$13),$L$243*(1+$C$25)^(A978-$C$13),0)</f>
        <v/>
      </c>
      <c r="Y978" s="138">
        <f>IF(OR($L$243&lt;=0,$C$17&lt;=0,A978&lt;$C$13,MIN(MAX((A978-$C$13+1)*12,0),$C$17*12)&gt;=$C$17*12),0,IF($C$16=0,MAX(MAX($L$243*(1-$C$15),0)-(IF($C$17&lt;=0,0,IF($C$16=0,MAX($L$243*(1-$C$15),0)/$C$17,-PMT($C$16/12,$C$17*12,MAX($L$243*(1-$C$15),0))*12))/12)*MIN(MAX((A978-$C$13+1)*12,0),$C$17*12),0),MAX(MAX($L$243*(1-$C$15),0)*(1+$C$16/12)^MIN(MAX((A978-$C$13+1)*12,0),$C$17*12)-(IF($C$17&lt;=0,0,IF($C$16=0,MAX($L$243*(1-$C$15),0)/$C$17,-PMT($C$16/12,$C$17*12,MAX($L$243*(1-$C$15),0))*12))/12)*(((1+$C$16/12)^MIN(MAX((A978-$C$13+1)*12,0),$C$17*12)-1)/($C$16/12)),0)))</f>
        <v/>
      </c>
      <c r="Z978" s="138">
        <f>MAX(X978-Y978,0)</f>
        <v/>
      </c>
      <c r="AA978" s="142">
        <f>U978+Z978</f>
        <v/>
      </c>
      <c r="AB978" s="5" t="n"/>
      <c r="AC978" s="5" t="n"/>
      <c r="AD978" s="5" t="n"/>
      <c r="AE978" s="5" t="n"/>
      <c r="AF978" s="5" t="n"/>
      <c r="AG978" s="5" t="n"/>
    </row>
    <row r="979" outlineLevel="1" s="326">
      <c r="A979" s="136" t="n">
        <v>19</v>
      </c>
      <c r="B979" s="72">
        <f>B98</f>
        <v/>
      </c>
      <c r="C979" s="137">
        <f>D98</f>
        <v/>
      </c>
      <c r="D979" s="137">
        <f>I98</f>
        <v/>
      </c>
      <c r="E979" s="137">
        <f>J98</f>
        <v/>
      </c>
      <c r="F979" s="137">
        <f>K98</f>
        <v/>
      </c>
      <c r="G979" s="138">
        <f>IF(AND($L$243&gt;0,A979=$C$13),$L$243*($C$15+$C$18),0)+IF(AND($L$243&gt;0,A979=$C$13),$C$24,0)</f>
        <v/>
      </c>
      <c r="H979" s="138">
        <f>IF(OR($L$243&lt;=0,A979&lt;$C$13),0,IF(AND($L$243&gt;0,$C$17&gt;0,A979&gt;=$C$13,A979&lt;($C$13+$C$17)),IF($C$17&lt;=0,0,IF($C$16=0,MAX($L$243*(1-$C$15),0)/$C$17,-PMT($C$16/12,$C$17*12,MAX($L$243*(1-$C$15),0))*12)),0)+X979*($C$19+$C$20+$C$21)+$C$22+$C$23)</f>
        <v/>
      </c>
      <c r="I979" s="138">
        <f>IF(B979="Working",MIN(MAX(D979-E979-F979-G979-H979,0),'Tax Assumptions'!$B$20),0)</f>
        <v/>
      </c>
      <c r="J979" s="138">
        <f>IF(B979="Working",D979-E979-F979-I979-G979-H979,-L979)</f>
        <v/>
      </c>
      <c r="K979" s="137">
        <f>IF(B979="Retired",$N$243+G979+H979,0)</f>
        <v/>
      </c>
      <c r="L979" s="137">
        <f>M979+N979+O979+P979</f>
        <v/>
      </c>
      <c r="M979" s="137">
        <f>IF(B979="Retired",MIN(((Q978)*(1+$C$10)+IF(B979="Working",J979,0)),K979),0)</f>
        <v/>
      </c>
      <c r="N979" s="137">
        <f>IF(B979="Retired",MIN(MAX(K979-M979,0),((R978)*(1+$C$10)+IF(B979="Working",E98,0))),0)</f>
        <v/>
      </c>
      <c r="O979" s="137">
        <f>IF(B979="Retired",MIN(MAX(K979-M979-N979,0),((S978)*(1+$C$10)+IF(B979="Working",I979,0))),0)</f>
        <v/>
      </c>
      <c r="P979" s="137">
        <f>IF(B979="Retired",MIN(MAX(K979-M979-N979-O979,0),((T978)*(1+$C$10)+IF(B979="Working",F98,0))),0)</f>
        <v/>
      </c>
      <c r="Q979" s="138">
        <f>MAX(((Q978)*(1+$C$10)+IF(B979="Working",J979,0))-M979,0)</f>
        <v/>
      </c>
      <c r="R979" s="138">
        <f>MAX(((R978)*(1+$C$10)+IF(B979="Working",E98,0))-N979,0)</f>
        <v/>
      </c>
      <c r="S979" s="138">
        <f>MAX(((S978)*(1+$C$10)+IF(B979="Working",I979,0))-O979,0)</f>
        <v/>
      </c>
      <c r="T979" s="138">
        <f>MAX(((T978)*(1+$C$10)+IF(B979="Working",F98,0))-P979,0)</f>
        <v/>
      </c>
      <c r="U979" s="138">
        <f>Q979+R979+S979+T979</f>
        <v/>
      </c>
      <c r="V979" s="138">
        <f>IF(B979="Working",MAX(-(((Q978)*(1+$C$10)+IF(B979="Working",J979,0))),0),MAX(K979-L979,0))</f>
        <v/>
      </c>
      <c r="W979" s="138">
        <f>IF(OR(A979&gt;=$C$13,B979="Retired"),IF(V979&gt;0,-V979,U979-'Model Inputs'!$B$18),"")</f>
        <v/>
      </c>
      <c r="X979" s="138">
        <f>IF(AND($L$243&gt;0,A979&gt;=$C$13),$L$243*(1+$C$25)^(A979-$C$13),0)</f>
        <v/>
      </c>
      <c r="Y979" s="138">
        <f>IF(OR($L$243&lt;=0,$C$17&lt;=0,A979&lt;$C$13,MIN(MAX((A979-$C$13+1)*12,0),$C$17*12)&gt;=$C$17*12),0,IF($C$16=0,MAX(MAX($L$243*(1-$C$15),0)-(IF($C$17&lt;=0,0,IF($C$16=0,MAX($L$243*(1-$C$15),0)/$C$17,-PMT($C$16/12,$C$17*12,MAX($L$243*(1-$C$15),0))*12))/12)*MIN(MAX((A979-$C$13+1)*12,0),$C$17*12),0),MAX(MAX($L$243*(1-$C$15),0)*(1+$C$16/12)^MIN(MAX((A979-$C$13+1)*12,0),$C$17*12)-(IF($C$17&lt;=0,0,IF($C$16=0,MAX($L$243*(1-$C$15),0)/$C$17,-PMT($C$16/12,$C$17*12,MAX($L$243*(1-$C$15),0))*12))/12)*(((1+$C$16/12)^MIN(MAX((A979-$C$13+1)*12,0),$C$17*12)-1)/($C$16/12)),0)))</f>
        <v/>
      </c>
      <c r="Z979" s="138">
        <f>MAX(X979-Y979,0)</f>
        <v/>
      </c>
      <c r="AA979" s="139">
        <f>U979+Z979</f>
        <v/>
      </c>
      <c r="AB979" s="5" t="n"/>
      <c r="AC979" s="5" t="n"/>
      <c r="AD979" s="5" t="n"/>
      <c r="AE979" s="5" t="n"/>
      <c r="AF979" s="5" t="n"/>
      <c r="AG979" s="5" t="n"/>
    </row>
    <row r="980" outlineLevel="1" s="326">
      <c r="A980" s="140" t="n">
        <v>20</v>
      </c>
      <c r="B980" s="40">
        <f>B99</f>
        <v/>
      </c>
      <c r="C980" s="141">
        <f>D99</f>
        <v/>
      </c>
      <c r="D980" s="141">
        <f>I99</f>
        <v/>
      </c>
      <c r="E980" s="141">
        <f>J99</f>
        <v/>
      </c>
      <c r="F980" s="141">
        <f>K99</f>
        <v/>
      </c>
      <c r="G980" s="138">
        <f>IF(AND($L$243&gt;0,A980=$C$13),$L$243*($C$15+$C$18),0)+IF(AND($L$243&gt;0,A980=$C$13),$C$24,0)</f>
        <v/>
      </c>
      <c r="H980" s="138">
        <f>IF(OR($L$243&lt;=0,A980&lt;$C$13),0,IF(AND($L$243&gt;0,$C$17&gt;0,A980&gt;=$C$13,A980&lt;($C$13+$C$17)),IF($C$17&lt;=0,0,IF($C$16=0,MAX($L$243*(1-$C$15),0)/$C$17,-PMT($C$16/12,$C$17*12,MAX($L$243*(1-$C$15),0))*12)),0)+X980*($C$19+$C$20+$C$21)+$C$22+$C$23)</f>
        <v/>
      </c>
      <c r="I980" s="138">
        <f>IF(B980="Working",MIN(MAX(D980-E980-F980-G980-H980,0),'Tax Assumptions'!$B$20),0)</f>
        <v/>
      </c>
      <c r="J980" s="138">
        <f>IF(B980="Working",D980-E980-F980-I980-G980-H980,-L980)</f>
        <v/>
      </c>
      <c r="K980" s="141">
        <f>IF(B980="Retired",$N$243+G980+H980,0)</f>
        <v/>
      </c>
      <c r="L980" s="141">
        <f>M980+N980+O980+P980</f>
        <v/>
      </c>
      <c r="M980" s="141">
        <f>IF(B980="Retired",MIN(((Q979)*(1+$C$10)+IF(B980="Working",J980,0)),K980),0)</f>
        <v/>
      </c>
      <c r="N980" s="141">
        <f>IF(B980="Retired",MIN(MAX(K980-M980,0),((R979)*(1+$C$10)+IF(B980="Working",E99,0))),0)</f>
        <v/>
      </c>
      <c r="O980" s="141">
        <f>IF(B980="Retired",MIN(MAX(K980-M980-N980,0),((S979)*(1+$C$10)+IF(B980="Working",I980,0))),0)</f>
        <v/>
      </c>
      <c r="P980" s="141">
        <f>IF(B980="Retired",MIN(MAX(K980-M980-N980-O980,0),((T979)*(1+$C$10)+IF(B980="Working",F99,0))),0)</f>
        <v/>
      </c>
      <c r="Q980" s="138">
        <f>MAX(((Q979)*(1+$C$10)+IF(B980="Working",J980,0))-M980,0)</f>
        <v/>
      </c>
      <c r="R980" s="138">
        <f>MAX(((R979)*(1+$C$10)+IF(B980="Working",E99,0))-N980,0)</f>
        <v/>
      </c>
      <c r="S980" s="138">
        <f>MAX(((S979)*(1+$C$10)+IF(B980="Working",I980,0))-O980,0)</f>
        <v/>
      </c>
      <c r="T980" s="138">
        <f>MAX(((T979)*(1+$C$10)+IF(B980="Working",F99,0))-P980,0)</f>
        <v/>
      </c>
      <c r="U980" s="138">
        <f>Q980+R980+S980+T980</f>
        <v/>
      </c>
      <c r="V980" s="138">
        <f>IF(B980="Working",MAX(-(((Q979)*(1+$C$10)+IF(B980="Working",J980,0))),0),MAX(K980-L980,0))</f>
        <v/>
      </c>
      <c r="W980" s="138">
        <f>IF(OR(A980&gt;=$C$13,B980="Retired"),IF(V980&gt;0,-V980,U980-'Model Inputs'!$B$18),"")</f>
        <v/>
      </c>
      <c r="X980" s="138">
        <f>IF(AND($L$243&gt;0,A980&gt;=$C$13),$L$243*(1+$C$25)^(A980-$C$13),0)</f>
        <v/>
      </c>
      <c r="Y980" s="138">
        <f>IF(OR($L$243&lt;=0,$C$17&lt;=0,A980&lt;$C$13,MIN(MAX((A980-$C$13+1)*12,0),$C$17*12)&gt;=$C$17*12),0,IF($C$16=0,MAX(MAX($L$243*(1-$C$15),0)-(IF($C$17&lt;=0,0,IF($C$16=0,MAX($L$243*(1-$C$15),0)/$C$17,-PMT($C$16/12,$C$17*12,MAX($L$243*(1-$C$15),0))*12))/12)*MIN(MAX((A980-$C$13+1)*12,0),$C$17*12),0),MAX(MAX($L$243*(1-$C$15),0)*(1+$C$16/12)^MIN(MAX((A980-$C$13+1)*12,0),$C$17*12)-(IF($C$17&lt;=0,0,IF($C$16=0,MAX($L$243*(1-$C$15),0)/$C$17,-PMT($C$16/12,$C$17*12,MAX($L$243*(1-$C$15),0))*12))/12)*(((1+$C$16/12)^MIN(MAX((A980-$C$13+1)*12,0),$C$17*12)-1)/($C$16/12)),0)))</f>
        <v/>
      </c>
      <c r="Z980" s="138">
        <f>MAX(X980-Y980,0)</f>
        <v/>
      </c>
      <c r="AA980" s="142">
        <f>U980+Z980</f>
        <v/>
      </c>
      <c r="AB980" s="5" t="n"/>
      <c r="AC980" s="5" t="n"/>
      <c r="AD980" s="5" t="n"/>
      <c r="AE980" s="5" t="n"/>
      <c r="AF980" s="5" t="n"/>
      <c r="AG980" s="5" t="n"/>
    </row>
    <row r="981" outlineLevel="1" s="326">
      <c r="A981" s="136" t="n">
        <v>21</v>
      </c>
      <c r="B981" s="72">
        <f>B100</f>
        <v/>
      </c>
      <c r="C981" s="137">
        <f>D100</f>
        <v/>
      </c>
      <c r="D981" s="137">
        <f>I100</f>
        <v/>
      </c>
      <c r="E981" s="137">
        <f>J100</f>
        <v/>
      </c>
      <c r="F981" s="137">
        <f>K100</f>
        <v/>
      </c>
      <c r="G981" s="138">
        <f>IF(AND($L$243&gt;0,A981=$C$13),$L$243*($C$15+$C$18),0)+IF(AND($L$243&gt;0,A981=$C$13),$C$24,0)</f>
        <v/>
      </c>
      <c r="H981" s="138">
        <f>IF(OR($L$243&lt;=0,A981&lt;$C$13),0,IF(AND($L$243&gt;0,$C$17&gt;0,A981&gt;=$C$13,A981&lt;($C$13+$C$17)),IF($C$17&lt;=0,0,IF($C$16=0,MAX($L$243*(1-$C$15),0)/$C$17,-PMT($C$16/12,$C$17*12,MAX($L$243*(1-$C$15),0))*12)),0)+X981*($C$19+$C$20+$C$21)+$C$22+$C$23)</f>
        <v/>
      </c>
      <c r="I981" s="138">
        <f>IF(B981="Working",MIN(MAX(D981-E981-F981-G981-H981,0),'Tax Assumptions'!$B$20),0)</f>
        <v/>
      </c>
      <c r="J981" s="138">
        <f>IF(B981="Working",D981-E981-F981-I981-G981-H981,-L981)</f>
        <v/>
      </c>
      <c r="K981" s="137">
        <f>IF(B981="Retired",$N$243+G981+H981,0)</f>
        <v/>
      </c>
      <c r="L981" s="137">
        <f>M981+N981+O981+P981</f>
        <v/>
      </c>
      <c r="M981" s="137">
        <f>IF(B981="Retired",MIN(((Q980)*(1+$C$10)+IF(B981="Working",J981,0)),K981),0)</f>
        <v/>
      </c>
      <c r="N981" s="137">
        <f>IF(B981="Retired",MIN(MAX(K981-M981,0),((R980)*(1+$C$10)+IF(B981="Working",E100,0))),0)</f>
        <v/>
      </c>
      <c r="O981" s="137">
        <f>IF(B981="Retired",MIN(MAX(K981-M981-N981,0),((S980)*(1+$C$10)+IF(B981="Working",I981,0))),0)</f>
        <v/>
      </c>
      <c r="P981" s="137">
        <f>IF(B981="Retired",MIN(MAX(K981-M981-N981-O981,0),((T980)*(1+$C$10)+IF(B981="Working",F100,0))),0)</f>
        <v/>
      </c>
      <c r="Q981" s="138">
        <f>MAX(((Q980)*(1+$C$10)+IF(B981="Working",J981,0))-M981,0)</f>
        <v/>
      </c>
      <c r="R981" s="138">
        <f>MAX(((R980)*(1+$C$10)+IF(B981="Working",E100,0))-N981,0)</f>
        <v/>
      </c>
      <c r="S981" s="138">
        <f>MAX(((S980)*(1+$C$10)+IF(B981="Working",I981,0))-O981,0)</f>
        <v/>
      </c>
      <c r="T981" s="138">
        <f>MAX(((T980)*(1+$C$10)+IF(B981="Working",F100,0))-P981,0)</f>
        <v/>
      </c>
      <c r="U981" s="138">
        <f>Q981+R981+S981+T981</f>
        <v/>
      </c>
      <c r="V981" s="138">
        <f>IF(B981="Working",MAX(-(((Q980)*(1+$C$10)+IF(B981="Working",J981,0))),0),MAX(K981-L981,0))</f>
        <v/>
      </c>
      <c r="W981" s="138">
        <f>IF(OR(A981&gt;=$C$13,B981="Retired"),IF(V981&gt;0,-V981,U981-'Model Inputs'!$B$18),"")</f>
        <v/>
      </c>
      <c r="X981" s="138">
        <f>IF(AND($L$243&gt;0,A981&gt;=$C$13),$L$243*(1+$C$25)^(A981-$C$13),0)</f>
        <v/>
      </c>
      <c r="Y981" s="138">
        <f>IF(OR($L$243&lt;=0,$C$17&lt;=0,A981&lt;$C$13,MIN(MAX((A981-$C$13+1)*12,0),$C$17*12)&gt;=$C$17*12),0,IF($C$16=0,MAX(MAX($L$243*(1-$C$15),0)-(IF($C$17&lt;=0,0,IF($C$16=0,MAX($L$243*(1-$C$15),0)/$C$17,-PMT($C$16/12,$C$17*12,MAX($L$243*(1-$C$15),0))*12))/12)*MIN(MAX((A981-$C$13+1)*12,0),$C$17*12),0),MAX(MAX($L$243*(1-$C$15),0)*(1+$C$16/12)^MIN(MAX((A981-$C$13+1)*12,0),$C$17*12)-(IF($C$17&lt;=0,0,IF($C$16=0,MAX($L$243*(1-$C$15),0)/$C$17,-PMT($C$16/12,$C$17*12,MAX($L$243*(1-$C$15),0))*12))/12)*(((1+$C$16/12)^MIN(MAX((A981-$C$13+1)*12,0),$C$17*12)-1)/($C$16/12)),0)))</f>
        <v/>
      </c>
      <c r="Z981" s="138">
        <f>MAX(X981-Y981,0)</f>
        <v/>
      </c>
      <c r="AA981" s="139">
        <f>U981+Z981</f>
        <v/>
      </c>
      <c r="AB981" s="5" t="n"/>
      <c r="AC981" s="5" t="n"/>
      <c r="AD981" s="5" t="n"/>
      <c r="AE981" s="5" t="n"/>
      <c r="AF981" s="5" t="n"/>
      <c r="AG981" s="5" t="n"/>
    </row>
    <row r="982" outlineLevel="1" s="326">
      <c r="A982" s="140" t="n">
        <v>22</v>
      </c>
      <c r="B982" s="40">
        <f>B101</f>
        <v/>
      </c>
      <c r="C982" s="141">
        <f>D101</f>
        <v/>
      </c>
      <c r="D982" s="141">
        <f>I101</f>
        <v/>
      </c>
      <c r="E982" s="141">
        <f>J101</f>
        <v/>
      </c>
      <c r="F982" s="141">
        <f>K101</f>
        <v/>
      </c>
      <c r="G982" s="138">
        <f>IF(AND($L$243&gt;0,A982=$C$13),$L$243*($C$15+$C$18),0)+IF(AND($L$243&gt;0,A982=$C$13),$C$24,0)</f>
        <v/>
      </c>
      <c r="H982" s="138">
        <f>IF(OR($L$243&lt;=0,A982&lt;$C$13),0,IF(AND($L$243&gt;0,$C$17&gt;0,A982&gt;=$C$13,A982&lt;($C$13+$C$17)),IF($C$17&lt;=0,0,IF($C$16=0,MAX($L$243*(1-$C$15),0)/$C$17,-PMT($C$16/12,$C$17*12,MAX($L$243*(1-$C$15),0))*12)),0)+X982*($C$19+$C$20+$C$21)+$C$22+$C$23)</f>
        <v/>
      </c>
      <c r="I982" s="138">
        <f>IF(B982="Working",MIN(MAX(D982-E982-F982-G982-H982,0),'Tax Assumptions'!$B$20),0)</f>
        <v/>
      </c>
      <c r="J982" s="138">
        <f>IF(B982="Working",D982-E982-F982-I982-G982-H982,-L982)</f>
        <v/>
      </c>
      <c r="K982" s="141">
        <f>IF(B982="Retired",$N$243+G982+H982,0)</f>
        <v/>
      </c>
      <c r="L982" s="141">
        <f>M982+N982+O982+P982</f>
        <v/>
      </c>
      <c r="M982" s="141">
        <f>IF(B982="Retired",MIN(((Q981)*(1+$C$10)+IF(B982="Working",J982,0)),K982),0)</f>
        <v/>
      </c>
      <c r="N982" s="141">
        <f>IF(B982="Retired",MIN(MAX(K982-M982,0),((R981)*(1+$C$10)+IF(B982="Working",E101,0))),0)</f>
        <v/>
      </c>
      <c r="O982" s="141">
        <f>IF(B982="Retired",MIN(MAX(K982-M982-N982,0),((S981)*(1+$C$10)+IF(B982="Working",I982,0))),0)</f>
        <v/>
      </c>
      <c r="P982" s="141">
        <f>IF(B982="Retired",MIN(MAX(K982-M982-N982-O982,0),((T981)*(1+$C$10)+IF(B982="Working",F101,0))),0)</f>
        <v/>
      </c>
      <c r="Q982" s="138">
        <f>MAX(((Q981)*(1+$C$10)+IF(B982="Working",J982,0))-M982,0)</f>
        <v/>
      </c>
      <c r="R982" s="138">
        <f>MAX(((R981)*(1+$C$10)+IF(B982="Working",E101,0))-N982,0)</f>
        <v/>
      </c>
      <c r="S982" s="138">
        <f>MAX(((S981)*(1+$C$10)+IF(B982="Working",I982,0))-O982,0)</f>
        <v/>
      </c>
      <c r="T982" s="138">
        <f>MAX(((T981)*(1+$C$10)+IF(B982="Working",F101,0))-P982,0)</f>
        <v/>
      </c>
      <c r="U982" s="138">
        <f>Q982+R982+S982+T982</f>
        <v/>
      </c>
      <c r="V982" s="138">
        <f>IF(B982="Working",MAX(-(((Q981)*(1+$C$10)+IF(B982="Working",J982,0))),0),MAX(K982-L982,0))</f>
        <v/>
      </c>
      <c r="W982" s="138">
        <f>IF(OR(A982&gt;=$C$13,B982="Retired"),IF(V982&gt;0,-V982,U982-'Model Inputs'!$B$18),"")</f>
        <v/>
      </c>
      <c r="X982" s="138">
        <f>IF(AND($L$243&gt;0,A982&gt;=$C$13),$L$243*(1+$C$25)^(A982-$C$13),0)</f>
        <v/>
      </c>
      <c r="Y982" s="138">
        <f>IF(OR($L$243&lt;=0,$C$17&lt;=0,A982&lt;$C$13,MIN(MAX((A982-$C$13+1)*12,0),$C$17*12)&gt;=$C$17*12),0,IF($C$16=0,MAX(MAX($L$243*(1-$C$15),0)-(IF($C$17&lt;=0,0,IF($C$16=0,MAX($L$243*(1-$C$15),0)/$C$17,-PMT($C$16/12,$C$17*12,MAX($L$243*(1-$C$15),0))*12))/12)*MIN(MAX((A982-$C$13+1)*12,0),$C$17*12),0),MAX(MAX($L$243*(1-$C$15),0)*(1+$C$16/12)^MIN(MAX((A982-$C$13+1)*12,0),$C$17*12)-(IF($C$17&lt;=0,0,IF($C$16=0,MAX($L$243*(1-$C$15),0)/$C$17,-PMT($C$16/12,$C$17*12,MAX($L$243*(1-$C$15),0))*12))/12)*(((1+$C$16/12)^MIN(MAX((A982-$C$13+1)*12,0),$C$17*12)-1)/($C$16/12)),0)))</f>
        <v/>
      </c>
      <c r="Z982" s="138">
        <f>MAX(X982-Y982,0)</f>
        <v/>
      </c>
      <c r="AA982" s="142">
        <f>U982+Z982</f>
        <v/>
      </c>
      <c r="AB982" s="5" t="n"/>
      <c r="AC982" s="5" t="n"/>
      <c r="AD982" s="5" t="n"/>
      <c r="AE982" s="5" t="n"/>
      <c r="AF982" s="5" t="n"/>
      <c r="AG982" s="5" t="n"/>
    </row>
    <row r="983" outlineLevel="1" s="326">
      <c r="A983" s="136" t="n">
        <v>23</v>
      </c>
      <c r="B983" s="72">
        <f>B102</f>
        <v/>
      </c>
      <c r="C983" s="137">
        <f>D102</f>
        <v/>
      </c>
      <c r="D983" s="137">
        <f>I102</f>
        <v/>
      </c>
      <c r="E983" s="137">
        <f>J102</f>
        <v/>
      </c>
      <c r="F983" s="137">
        <f>K102</f>
        <v/>
      </c>
      <c r="G983" s="138">
        <f>IF(AND($L$243&gt;0,A983=$C$13),$L$243*($C$15+$C$18),0)+IF(AND($L$243&gt;0,A983=$C$13),$C$24,0)</f>
        <v/>
      </c>
      <c r="H983" s="138">
        <f>IF(OR($L$243&lt;=0,A983&lt;$C$13),0,IF(AND($L$243&gt;0,$C$17&gt;0,A983&gt;=$C$13,A983&lt;($C$13+$C$17)),IF($C$17&lt;=0,0,IF($C$16=0,MAX($L$243*(1-$C$15),0)/$C$17,-PMT($C$16/12,$C$17*12,MAX($L$243*(1-$C$15),0))*12)),0)+X983*($C$19+$C$20+$C$21)+$C$22+$C$23)</f>
        <v/>
      </c>
      <c r="I983" s="138">
        <f>IF(B983="Working",MIN(MAX(D983-E983-F983-G983-H983,0),'Tax Assumptions'!$B$20),0)</f>
        <v/>
      </c>
      <c r="J983" s="138">
        <f>IF(B983="Working",D983-E983-F983-I983-G983-H983,-L983)</f>
        <v/>
      </c>
      <c r="K983" s="137">
        <f>IF(B983="Retired",$N$243+G983+H983,0)</f>
        <v/>
      </c>
      <c r="L983" s="137">
        <f>M983+N983+O983+P983</f>
        <v/>
      </c>
      <c r="M983" s="137">
        <f>IF(B983="Retired",MIN(((Q982)*(1+$C$10)+IF(B983="Working",J983,0)),K983),0)</f>
        <v/>
      </c>
      <c r="N983" s="137">
        <f>IF(B983="Retired",MIN(MAX(K983-M983,0),((R982)*(1+$C$10)+IF(B983="Working",E102,0))),0)</f>
        <v/>
      </c>
      <c r="O983" s="137">
        <f>IF(B983="Retired",MIN(MAX(K983-M983-N983,0),((S982)*(1+$C$10)+IF(B983="Working",I983,0))),0)</f>
        <v/>
      </c>
      <c r="P983" s="137">
        <f>IF(B983="Retired",MIN(MAX(K983-M983-N983-O983,0),((T982)*(1+$C$10)+IF(B983="Working",F102,0))),0)</f>
        <v/>
      </c>
      <c r="Q983" s="138">
        <f>MAX(((Q982)*(1+$C$10)+IF(B983="Working",J983,0))-M983,0)</f>
        <v/>
      </c>
      <c r="R983" s="138">
        <f>MAX(((R982)*(1+$C$10)+IF(B983="Working",E102,0))-N983,0)</f>
        <v/>
      </c>
      <c r="S983" s="138">
        <f>MAX(((S982)*(1+$C$10)+IF(B983="Working",I983,0))-O983,0)</f>
        <v/>
      </c>
      <c r="T983" s="138">
        <f>MAX(((T982)*(1+$C$10)+IF(B983="Working",F102,0))-P983,0)</f>
        <v/>
      </c>
      <c r="U983" s="138">
        <f>Q983+R983+S983+T983</f>
        <v/>
      </c>
      <c r="V983" s="138">
        <f>IF(B983="Working",MAX(-(((Q982)*(1+$C$10)+IF(B983="Working",J983,0))),0),MAX(K983-L983,0))</f>
        <v/>
      </c>
      <c r="W983" s="138">
        <f>IF(OR(A983&gt;=$C$13,B983="Retired"),IF(V983&gt;0,-V983,U983-'Model Inputs'!$B$18),"")</f>
        <v/>
      </c>
      <c r="X983" s="138">
        <f>IF(AND($L$243&gt;0,A983&gt;=$C$13),$L$243*(1+$C$25)^(A983-$C$13),0)</f>
        <v/>
      </c>
      <c r="Y983" s="138">
        <f>IF(OR($L$243&lt;=0,$C$17&lt;=0,A983&lt;$C$13,MIN(MAX((A983-$C$13+1)*12,0),$C$17*12)&gt;=$C$17*12),0,IF($C$16=0,MAX(MAX($L$243*(1-$C$15),0)-(IF($C$17&lt;=0,0,IF($C$16=0,MAX($L$243*(1-$C$15),0)/$C$17,-PMT($C$16/12,$C$17*12,MAX($L$243*(1-$C$15),0))*12))/12)*MIN(MAX((A983-$C$13+1)*12,0),$C$17*12),0),MAX(MAX($L$243*(1-$C$15),0)*(1+$C$16/12)^MIN(MAX((A983-$C$13+1)*12,0),$C$17*12)-(IF($C$17&lt;=0,0,IF($C$16=0,MAX($L$243*(1-$C$15),0)/$C$17,-PMT($C$16/12,$C$17*12,MAX($L$243*(1-$C$15),0))*12))/12)*(((1+$C$16/12)^MIN(MAX((A983-$C$13+1)*12,0),$C$17*12)-1)/($C$16/12)),0)))</f>
        <v/>
      </c>
      <c r="Z983" s="138">
        <f>MAX(X983-Y983,0)</f>
        <v/>
      </c>
      <c r="AA983" s="139">
        <f>U983+Z983</f>
        <v/>
      </c>
      <c r="AB983" s="5" t="n"/>
      <c r="AC983" s="5" t="n"/>
      <c r="AD983" s="5" t="n"/>
      <c r="AE983" s="5" t="n"/>
      <c r="AF983" s="5" t="n"/>
      <c r="AG983" s="5" t="n"/>
    </row>
    <row r="984" outlineLevel="1" s="326">
      <c r="A984" s="140" t="n">
        <v>24</v>
      </c>
      <c r="B984" s="40">
        <f>B103</f>
        <v/>
      </c>
      <c r="C984" s="141">
        <f>D103</f>
        <v/>
      </c>
      <c r="D984" s="141">
        <f>I103</f>
        <v/>
      </c>
      <c r="E984" s="141">
        <f>J103</f>
        <v/>
      </c>
      <c r="F984" s="141">
        <f>K103</f>
        <v/>
      </c>
      <c r="G984" s="138">
        <f>IF(AND($L$243&gt;0,A984=$C$13),$L$243*($C$15+$C$18),0)+IF(AND($L$243&gt;0,A984=$C$13),$C$24,0)</f>
        <v/>
      </c>
      <c r="H984" s="138">
        <f>IF(OR($L$243&lt;=0,A984&lt;$C$13),0,IF(AND($L$243&gt;0,$C$17&gt;0,A984&gt;=$C$13,A984&lt;($C$13+$C$17)),IF($C$17&lt;=0,0,IF($C$16=0,MAX($L$243*(1-$C$15),0)/$C$17,-PMT($C$16/12,$C$17*12,MAX($L$243*(1-$C$15),0))*12)),0)+X984*($C$19+$C$20+$C$21)+$C$22+$C$23)</f>
        <v/>
      </c>
      <c r="I984" s="138">
        <f>IF(B984="Working",MIN(MAX(D984-E984-F984-G984-H984,0),'Tax Assumptions'!$B$20),0)</f>
        <v/>
      </c>
      <c r="J984" s="138">
        <f>IF(B984="Working",D984-E984-F984-I984-G984-H984,-L984)</f>
        <v/>
      </c>
      <c r="K984" s="141">
        <f>IF(B984="Retired",$N$243+G984+H984,0)</f>
        <v/>
      </c>
      <c r="L984" s="141">
        <f>M984+N984+O984+P984</f>
        <v/>
      </c>
      <c r="M984" s="141">
        <f>IF(B984="Retired",MIN(((Q983)*(1+$C$10)+IF(B984="Working",J984,0)),K984),0)</f>
        <v/>
      </c>
      <c r="N984" s="141">
        <f>IF(B984="Retired",MIN(MAX(K984-M984,0),((R983)*(1+$C$10)+IF(B984="Working",E103,0))),0)</f>
        <v/>
      </c>
      <c r="O984" s="141">
        <f>IF(B984="Retired",MIN(MAX(K984-M984-N984,0),((S983)*(1+$C$10)+IF(B984="Working",I984,0))),0)</f>
        <v/>
      </c>
      <c r="P984" s="141">
        <f>IF(B984="Retired",MIN(MAX(K984-M984-N984-O984,0),((T983)*(1+$C$10)+IF(B984="Working",F103,0))),0)</f>
        <v/>
      </c>
      <c r="Q984" s="138">
        <f>MAX(((Q983)*(1+$C$10)+IF(B984="Working",J984,0))-M984,0)</f>
        <v/>
      </c>
      <c r="R984" s="138">
        <f>MAX(((R983)*(1+$C$10)+IF(B984="Working",E103,0))-N984,0)</f>
        <v/>
      </c>
      <c r="S984" s="138">
        <f>MAX(((S983)*(1+$C$10)+IF(B984="Working",I984,0))-O984,0)</f>
        <v/>
      </c>
      <c r="T984" s="138">
        <f>MAX(((T983)*(1+$C$10)+IF(B984="Working",F103,0))-P984,0)</f>
        <v/>
      </c>
      <c r="U984" s="138">
        <f>Q984+R984+S984+T984</f>
        <v/>
      </c>
      <c r="V984" s="138">
        <f>IF(B984="Working",MAX(-(((Q983)*(1+$C$10)+IF(B984="Working",J984,0))),0),MAX(K984-L984,0))</f>
        <v/>
      </c>
      <c r="W984" s="138">
        <f>IF(OR(A984&gt;=$C$13,B984="Retired"),IF(V984&gt;0,-V984,U984-'Model Inputs'!$B$18),"")</f>
        <v/>
      </c>
      <c r="X984" s="138">
        <f>IF(AND($L$243&gt;0,A984&gt;=$C$13),$L$243*(1+$C$25)^(A984-$C$13),0)</f>
        <v/>
      </c>
      <c r="Y984" s="138">
        <f>IF(OR($L$243&lt;=0,$C$17&lt;=0,A984&lt;$C$13,MIN(MAX((A984-$C$13+1)*12,0),$C$17*12)&gt;=$C$17*12),0,IF($C$16=0,MAX(MAX($L$243*(1-$C$15),0)-(IF($C$17&lt;=0,0,IF($C$16=0,MAX($L$243*(1-$C$15),0)/$C$17,-PMT($C$16/12,$C$17*12,MAX($L$243*(1-$C$15),0))*12))/12)*MIN(MAX((A984-$C$13+1)*12,0),$C$17*12),0),MAX(MAX($L$243*(1-$C$15),0)*(1+$C$16/12)^MIN(MAX((A984-$C$13+1)*12,0),$C$17*12)-(IF($C$17&lt;=0,0,IF($C$16=0,MAX($L$243*(1-$C$15),0)/$C$17,-PMT($C$16/12,$C$17*12,MAX($L$243*(1-$C$15),0))*12))/12)*(((1+$C$16/12)^MIN(MAX((A984-$C$13+1)*12,0),$C$17*12)-1)/($C$16/12)),0)))</f>
        <v/>
      </c>
      <c r="Z984" s="138">
        <f>MAX(X984-Y984,0)</f>
        <v/>
      </c>
      <c r="AA984" s="142">
        <f>U984+Z984</f>
        <v/>
      </c>
      <c r="AB984" s="5" t="n"/>
      <c r="AC984" s="5" t="n"/>
      <c r="AD984" s="5" t="n"/>
      <c r="AE984" s="5" t="n"/>
      <c r="AF984" s="5" t="n"/>
      <c r="AG984" s="5" t="n"/>
    </row>
    <row r="985" outlineLevel="1" s="326">
      <c r="A985" s="136" t="n">
        <v>25</v>
      </c>
      <c r="B985" s="72">
        <f>B104</f>
        <v/>
      </c>
      <c r="C985" s="137">
        <f>D104</f>
        <v/>
      </c>
      <c r="D985" s="137">
        <f>I104</f>
        <v/>
      </c>
      <c r="E985" s="137">
        <f>J104</f>
        <v/>
      </c>
      <c r="F985" s="137">
        <f>K104</f>
        <v/>
      </c>
      <c r="G985" s="138">
        <f>IF(AND($L$243&gt;0,A985=$C$13),$L$243*($C$15+$C$18),0)+IF(AND($L$243&gt;0,A985=$C$13),$C$24,0)</f>
        <v/>
      </c>
      <c r="H985" s="138">
        <f>IF(OR($L$243&lt;=0,A985&lt;$C$13),0,IF(AND($L$243&gt;0,$C$17&gt;0,A985&gt;=$C$13,A985&lt;($C$13+$C$17)),IF($C$17&lt;=0,0,IF($C$16=0,MAX($L$243*(1-$C$15),0)/$C$17,-PMT($C$16/12,$C$17*12,MAX($L$243*(1-$C$15),0))*12)),0)+X985*($C$19+$C$20+$C$21)+$C$22+$C$23)</f>
        <v/>
      </c>
      <c r="I985" s="138">
        <f>IF(B985="Working",MIN(MAX(D985-E985-F985-G985-H985,0),'Tax Assumptions'!$B$20),0)</f>
        <v/>
      </c>
      <c r="J985" s="138">
        <f>IF(B985="Working",D985-E985-F985-I985-G985-H985,-L985)</f>
        <v/>
      </c>
      <c r="K985" s="137">
        <f>IF(B985="Retired",$N$243+G985+H985,0)</f>
        <v/>
      </c>
      <c r="L985" s="137">
        <f>M985+N985+O985+P985</f>
        <v/>
      </c>
      <c r="M985" s="137">
        <f>IF(B985="Retired",MIN(((Q984)*(1+$C$10)+IF(B985="Working",J985,0)),K985),0)</f>
        <v/>
      </c>
      <c r="N985" s="137">
        <f>IF(B985="Retired",MIN(MAX(K985-M985,0),((R984)*(1+$C$10)+IF(B985="Working",E104,0))),0)</f>
        <v/>
      </c>
      <c r="O985" s="137">
        <f>IF(B985="Retired",MIN(MAX(K985-M985-N985,0),((S984)*(1+$C$10)+IF(B985="Working",I985,0))),0)</f>
        <v/>
      </c>
      <c r="P985" s="137">
        <f>IF(B985="Retired",MIN(MAX(K985-M985-N985-O985,0),((T984)*(1+$C$10)+IF(B985="Working",F104,0))),0)</f>
        <v/>
      </c>
      <c r="Q985" s="138">
        <f>MAX(((Q984)*(1+$C$10)+IF(B985="Working",J985,0))-M985,0)</f>
        <v/>
      </c>
      <c r="R985" s="138">
        <f>MAX(((R984)*(1+$C$10)+IF(B985="Working",E104,0))-N985,0)</f>
        <v/>
      </c>
      <c r="S985" s="138">
        <f>MAX(((S984)*(1+$C$10)+IF(B985="Working",I985,0))-O985,0)</f>
        <v/>
      </c>
      <c r="T985" s="138">
        <f>MAX(((T984)*(1+$C$10)+IF(B985="Working",F104,0))-P985,0)</f>
        <v/>
      </c>
      <c r="U985" s="138">
        <f>Q985+R985+S985+T985</f>
        <v/>
      </c>
      <c r="V985" s="138">
        <f>IF(B985="Working",MAX(-(((Q984)*(1+$C$10)+IF(B985="Working",J985,0))),0),MAX(K985-L985,0))</f>
        <v/>
      </c>
      <c r="W985" s="138">
        <f>IF(OR(A985&gt;=$C$13,B985="Retired"),IF(V985&gt;0,-V985,U985-'Model Inputs'!$B$18),"")</f>
        <v/>
      </c>
      <c r="X985" s="138">
        <f>IF(AND($L$243&gt;0,A985&gt;=$C$13),$L$243*(1+$C$25)^(A985-$C$13),0)</f>
        <v/>
      </c>
      <c r="Y985" s="138">
        <f>IF(OR($L$243&lt;=0,$C$17&lt;=0,A985&lt;$C$13,MIN(MAX((A985-$C$13+1)*12,0),$C$17*12)&gt;=$C$17*12),0,IF($C$16=0,MAX(MAX($L$243*(1-$C$15),0)-(IF($C$17&lt;=0,0,IF($C$16=0,MAX($L$243*(1-$C$15),0)/$C$17,-PMT($C$16/12,$C$17*12,MAX($L$243*(1-$C$15),0))*12))/12)*MIN(MAX((A985-$C$13+1)*12,0),$C$17*12),0),MAX(MAX($L$243*(1-$C$15),0)*(1+$C$16/12)^MIN(MAX((A985-$C$13+1)*12,0),$C$17*12)-(IF($C$17&lt;=0,0,IF($C$16=0,MAX($L$243*(1-$C$15),0)/$C$17,-PMT($C$16/12,$C$17*12,MAX($L$243*(1-$C$15),0))*12))/12)*(((1+$C$16/12)^MIN(MAX((A985-$C$13+1)*12,0),$C$17*12)-1)/($C$16/12)),0)))</f>
        <v/>
      </c>
      <c r="Z985" s="138">
        <f>MAX(X985-Y985,0)</f>
        <v/>
      </c>
      <c r="AA985" s="139">
        <f>U985+Z985</f>
        <v/>
      </c>
      <c r="AB985" s="5" t="n"/>
      <c r="AC985" s="5" t="n"/>
      <c r="AD985" s="5" t="n"/>
      <c r="AE985" s="5" t="n"/>
      <c r="AF985" s="5" t="n"/>
      <c r="AG985" s="5" t="n"/>
    </row>
    <row r="986" outlineLevel="1" s="326">
      <c r="A986" s="140" t="n">
        <v>26</v>
      </c>
      <c r="B986" s="40">
        <f>B105</f>
        <v/>
      </c>
      <c r="C986" s="141">
        <f>D105</f>
        <v/>
      </c>
      <c r="D986" s="141">
        <f>I105</f>
        <v/>
      </c>
      <c r="E986" s="141">
        <f>J105</f>
        <v/>
      </c>
      <c r="F986" s="141">
        <f>K105</f>
        <v/>
      </c>
      <c r="G986" s="138">
        <f>IF(AND($L$243&gt;0,A986=$C$13),$L$243*($C$15+$C$18),0)+IF(AND($L$243&gt;0,A986=$C$13),$C$24,0)</f>
        <v/>
      </c>
      <c r="H986" s="138">
        <f>IF(OR($L$243&lt;=0,A986&lt;$C$13),0,IF(AND($L$243&gt;0,$C$17&gt;0,A986&gt;=$C$13,A986&lt;($C$13+$C$17)),IF($C$17&lt;=0,0,IF($C$16=0,MAX($L$243*(1-$C$15),0)/$C$17,-PMT($C$16/12,$C$17*12,MAX($L$243*(1-$C$15),0))*12)),0)+X986*($C$19+$C$20+$C$21)+$C$22+$C$23)</f>
        <v/>
      </c>
      <c r="I986" s="138">
        <f>IF(B986="Working",MIN(MAX(D986-E986-F986-G986-H986,0),'Tax Assumptions'!$B$20),0)</f>
        <v/>
      </c>
      <c r="J986" s="138">
        <f>IF(B986="Working",D986-E986-F986-I986-G986-H986,-L986)</f>
        <v/>
      </c>
      <c r="K986" s="141">
        <f>IF(B986="Retired",$N$243+G986+H986,0)</f>
        <v/>
      </c>
      <c r="L986" s="141">
        <f>M986+N986+O986+P986</f>
        <v/>
      </c>
      <c r="M986" s="141">
        <f>IF(B986="Retired",MIN(((Q985)*(1+$C$10)+IF(B986="Working",J986,0)),K986),0)</f>
        <v/>
      </c>
      <c r="N986" s="141">
        <f>IF(B986="Retired",MIN(MAX(K986-M986,0),((R985)*(1+$C$10)+IF(B986="Working",E105,0))),0)</f>
        <v/>
      </c>
      <c r="O986" s="141">
        <f>IF(B986="Retired",MIN(MAX(K986-M986-N986,0),((S985)*(1+$C$10)+IF(B986="Working",I986,0))),0)</f>
        <v/>
      </c>
      <c r="P986" s="141">
        <f>IF(B986="Retired",MIN(MAX(K986-M986-N986-O986,0),((T985)*(1+$C$10)+IF(B986="Working",F105,0))),0)</f>
        <v/>
      </c>
      <c r="Q986" s="138">
        <f>MAX(((Q985)*(1+$C$10)+IF(B986="Working",J986,0))-M986,0)</f>
        <v/>
      </c>
      <c r="R986" s="138">
        <f>MAX(((R985)*(1+$C$10)+IF(B986="Working",E105,0))-N986,0)</f>
        <v/>
      </c>
      <c r="S986" s="138">
        <f>MAX(((S985)*(1+$C$10)+IF(B986="Working",I986,0))-O986,0)</f>
        <v/>
      </c>
      <c r="T986" s="138">
        <f>MAX(((T985)*(1+$C$10)+IF(B986="Working",F105,0))-P986,0)</f>
        <v/>
      </c>
      <c r="U986" s="138">
        <f>Q986+R986+S986+T986</f>
        <v/>
      </c>
      <c r="V986" s="138">
        <f>IF(B986="Working",MAX(-(((Q985)*(1+$C$10)+IF(B986="Working",J986,0))),0),MAX(K986-L986,0))</f>
        <v/>
      </c>
      <c r="W986" s="138">
        <f>IF(OR(A986&gt;=$C$13,B986="Retired"),IF(V986&gt;0,-V986,U986-'Model Inputs'!$B$18),"")</f>
        <v/>
      </c>
      <c r="X986" s="138">
        <f>IF(AND($L$243&gt;0,A986&gt;=$C$13),$L$243*(1+$C$25)^(A986-$C$13),0)</f>
        <v/>
      </c>
      <c r="Y986" s="138">
        <f>IF(OR($L$243&lt;=0,$C$17&lt;=0,A986&lt;$C$13,MIN(MAX((A986-$C$13+1)*12,0),$C$17*12)&gt;=$C$17*12),0,IF($C$16=0,MAX(MAX($L$243*(1-$C$15),0)-(IF($C$17&lt;=0,0,IF($C$16=0,MAX($L$243*(1-$C$15),0)/$C$17,-PMT($C$16/12,$C$17*12,MAX($L$243*(1-$C$15),0))*12))/12)*MIN(MAX((A986-$C$13+1)*12,0),$C$17*12),0),MAX(MAX($L$243*(1-$C$15),0)*(1+$C$16/12)^MIN(MAX((A986-$C$13+1)*12,0),$C$17*12)-(IF($C$17&lt;=0,0,IF($C$16=0,MAX($L$243*(1-$C$15),0)/$C$17,-PMT($C$16/12,$C$17*12,MAX($L$243*(1-$C$15),0))*12))/12)*(((1+$C$16/12)^MIN(MAX((A986-$C$13+1)*12,0),$C$17*12)-1)/($C$16/12)),0)))</f>
        <v/>
      </c>
      <c r="Z986" s="138">
        <f>MAX(X986-Y986,0)</f>
        <v/>
      </c>
      <c r="AA986" s="142">
        <f>U986+Z986</f>
        <v/>
      </c>
      <c r="AB986" s="5" t="n"/>
      <c r="AC986" s="5" t="n"/>
      <c r="AD986" s="5" t="n"/>
      <c r="AE986" s="5" t="n"/>
      <c r="AF986" s="5" t="n"/>
      <c r="AG986" s="5" t="n"/>
    </row>
    <row r="987" outlineLevel="1" s="326">
      <c r="A987" s="136" t="n">
        <v>27</v>
      </c>
      <c r="B987" s="72">
        <f>B106</f>
        <v/>
      </c>
      <c r="C987" s="137">
        <f>D106</f>
        <v/>
      </c>
      <c r="D987" s="137">
        <f>I106</f>
        <v/>
      </c>
      <c r="E987" s="137">
        <f>J106</f>
        <v/>
      </c>
      <c r="F987" s="137">
        <f>K106</f>
        <v/>
      </c>
      <c r="G987" s="138">
        <f>IF(AND($L$243&gt;0,A987=$C$13),$L$243*($C$15+$C$18),0)+IF(AND($L$243&gt;0,A987=$C$13),$C$24,0)</f>
        <v/>
      </c>
      <c r="H987" s="138">
        <f>IF(OR($L$243&lt;=0,A987&lt;$C$13),0,IF(AND($L$243&gt;0,$C$17&gt;0,A987&gt;=$C$13,A987&lt;($C$13+$C$17)),IF($C$17&lt;=0,0,IF($C$16=0,MAX($L$243*(1-$C$15),0)/$C$17,-PMT($C$16/12,$C$17*12,MAX($L$243*(1-$C$15),0))*12)),0)+X987*($C$19+$C$20+$C$21)+$C$22+$C$23)</f>
        <v/>
      </c>
      <c r="I987" s="138">
        <f>IF(B987="Working",MIN(MAX(D987-E987-F987-G987-H987,0),'Tax Assumptions'!$B$20),0)</f>
        <v/>
      </c>
      <c r="J987" s="138">
        <f>IF(B987="Working",D987-E987-F987-I987-G987-H987,-L987)</f>
        <v/>
      </c>
      <c r="K987" s="137">
        <f>IF(B987="Retired",$N$243+G987+H987,0)</f>
        <v/>
      </c>
      <c r="L987" s="137">
        <f>M987+N987+O987+P987</f>
        <v/>
      </c>
      <c r="M987" s="137">
        <f>IF(B987="Retired",MIN(((Q986)*(1+$C$10)+IF(B987="Working",J987,0)),K987),0)</f>
        <v/>
      </c>
      <c r="N987" s="137">
        <f>IF(B987="Retired",MIN(MAX(K987-M987,0),((R986)*(1+$C$10)+IF(B987="Working",E106,0))),0)</f>
        <v/>
      </c>
      <c r="O987" s="137">
        <f>IF(B987="Retired",MIN(MAX(K987-M987-N987,0),((S986)*(1+$C$10)+IF(B987="Working",I987,0))),0)</f>
        <v/>
      </c>
      <c r="P987" s="137">
        <f>IF(B987="Retired",MIN(MAX(K987-M987-N987-O987,0),((T986)*(1+$C$10)+IF(B987="Working",F106,0))),0)</f>
        <v/>
      </c>
      <c r="Q987" s="138">
        <f>MAX(((Q986)*(1+$C$10)+IF(B987="Working",J987,0))-M987,0)</f>
        <v/>
      </c>
      <c r="R987" s="138">
        <f>MAX(((R986)*(1+$C$10)+IF(B987="Working",E106,0))-N987,0)</f>
        <v/>
      </c>
      <c r="S987" s="138">
        <f>MAX(((S986)*(1+$C$10)+IF(B987="Working",I987,0))-O987,0)</f>
        <v/>
      </c>
      <c r="T987" s="138">
        <f>MAX(((T986)*(1+$C$10)+IF(B987="Working",F106,0))-P987,0)</f>
        <v/>
      </c>
      <c r="U987" s="138">
        <f>Q987+R987+S987+T987</f>
        <v/>
      </c>
      <c r="V987" s="138">
        <f>IF(B987="Working",MAX(-(((Q986)*(1+$C$10)+IF(B987="Working",J987,0))),0),MAX(K987-L987,0))</f>
        <v/>
      </c>
      <c r="W987" s="138">
        <f>IF(OR(A987&gt;=$C$13,B987="Retired"),IF(V987&gt;0,-V987,U987-'Model Inputs'!$B$18),"")</f>
        <v/>
      </c>
      <c r="X987" s="138">
        <f>IF(AND($L$243&gt;0,A987&gt;=$C$13),$L$243*(1+$C$25)^(A987-$C$13),0)</f>
        <v/>
      </c>
      <c r="Y987" s="138">
        <f>IF(OR($L$243&lt;=0,$C$17&lt;=0,A987&lt;$C$13,MIN(MAX((A987-$C$13+1)*12,0),$C$17*12)&gt;=$C$17*12),0,IF($C$16=0,MAX(MAX($L$243*(1-$C$15),0)-(IF($C$17&lt;=0,0,IF($C$16=0,MAX($L$243*(1-$C$15),0)/$C$17,-PMT($C$16/12,$C$17*12,MAX($L$243*(1-$C$15),0))*12))/12)*MIN(MAX((A987-$C$13+1)*12,0),$C$17*12),0),MAX(MAX($L$243*(1-$C$15),0)*(1+$C$16/12)^MIN(MAX((A987-$C$13+1)*12,0),$C$17*12)-(IF($C$17&lt;=0,0,IF($C$16=0,MAX($L$243*(1-$C$15),0)/$C$17,-PMT($C$16/12,$C$17*12,MAX($L$243*(1-$C$15),0))*12))/12)*(((1+$C$16/12)^MIN(MAX((A987-$C$13+1)*12,0),$C$17*12)-1)/($C$16/12)),0)))</f>
        <v/>
      </c>
      <c r="Z987" s="138">
        <f>MAX(X987-Y987,0)</f>
        <v/>
      </c>
      <c r="AA987" s="139">
        <f>U987+Z987</f>
        <v/>
      </c>
      <c r="AB987" s="5" t="n"/>
      <c r="AC987" s="5" t="n"/>
      <c r="AD987" s="5" t="n"/>
      <c r="AE987" s="5" t="n"/>
      <c r="AF987" s="5" t="n"/>
      <c r="AG987" s="5" t="n"/>
    </row>
    <row r="988" outlineLevel="1" s="326">
      <c r="A988" s="140" t="n">
        <v>28</v>
      </c>
      <c r="B988" s="40">
        <f>B107</f>
        <v/>
      </c>
      <c r="C988" s="141">
        <f>D107</f>
        <v/>
      </c>
      <c r="D988" s="141">
        <f>I107</f>
        <v/>
      </c>
      <c r="E988" s="141">
        <f>J107</f>
        <v/>
      </c>
      <c r="F988" s="141">
        <f>K107</f>
        <v/>
      </c>
      <c r="G988" s="138">
        <f>IF(AND($L$243&gt;0,A988=$C$13),$L$243*($C$15+$C$18),0)+IF(AND($L$243&gt;0,A988=$C$13),$C$24,0)</f>
        <v/>
      </c>
      <c r="H988" s="138">
        <f>IF(OR($L$243&lt;=0,A988&lt;$C$13),0,IF(AND($L$243&gt;0,$C$17&gt;0,A988&gt;=$C$13,A988&lt;($C$13+$C$17)),IF($C$17&lt;=0,0,IF($C$16=0,MAX($L$243*(1-$C$15),0)/$C$17,-PMT($C$16/12,$C$17*12,MAX($L$243*(1-$C$15),0))*12)),0)+X988*($C$19+$C$20+$C$21)+$C$22+$C$23)</f>
        <v/>
      </c>
      <c r="I988" s="138">
        <f>IF(B988="Working",MIN(MAX(D988-E988-F988-G988-H988,0),'Tax Assumptions'!$B$20),0)</f>
        <v/>
      </c>
      <c r="J988" s="138">
        <f>IF(B988="Working",D988-E988-F988-I988-G988-H988,-L988)</f>
        <v/>
      </c>
      <c r="K988" s="141">
        <f>IF(B988="Retired",$N$243+G988+H988,0)</f>
        <v/>
      </c>
      <c r="L988" s="141">
        <f>M988+N988+O988+P988</f>
        <v/>
      </c>
      <c r="M988" s="141">
        <f>IF(B988="Retired",MIN(((Q987)*(1+$C$10)+IF(B988="Working",J988,0)),K988),0)</f>
        <v/>
      </c>
      <c r="N988" s="141">
        <f>IF(B988="Retired",MIN(MAX(K988-M988,0),((R987)*(1+$C$10)+IF(B988="Working",E107,0))),0)</f>
        <v/>
      </c>
      <c r="O988" s="141">
        <f>IF(B988="Retired",MIN(MAX(K988-M988-N988,0),((S987)*(1+$C$10)+IF(B988="Working",I988,0))),0)</f>
        <v/>
      </c>
      <c r="P988" s="141">
        <f>IF(B988="Retired",MIN(MAX(K988-M988-N988-O988,0),((T987)*(1+$C$10)+IF(B988="Working",F107,0))),0)</f>
        <v/>
      </c>
      <c r="Q988" s="138">
        <f>MAX(((Q987)*(1+$C$10)+IF(B988="Working",J988,0))-M988,0)</f>
        <v/>
      </c>
      <c r="R988" s="138">
        <f>MAX(((R987)*(1+$C$10)+IF(B988="Working",E107,0))-N988,0)</f>
        <v/>
      </c>
      <c r="S988" s="138">
        <f>MAX(((S987)*(1+$C$10)+IF(B988="Working",I988,0))-O988,0)</f>
        <v/>
      </c>
      <c r="T988" s="138">
        <f>MAX(((T987)*(1+$C$10)+IF(B988="Working",F107,0))-P988,0)</f>
        <v/>
      </c>
      <c r="U988" s="138">
        <f>Q988+R988+S988+T988</f>
        <v/>
      </c>
      <c r="V988" s="138">
        <f>IF(B988="Working",MAX(-(((Q987)*(1+$C$10)+IF(B988="Working",J988,0))),0),MAX(K988-L988,0))</f>
        <v/>
      </c>
      <c r="W988" s="138">
        <f>IF(OR(A988&gt;=$C$13,B988="Retired"),IF(V988&gt;0,-V988,U988-'Model Inputs'!$B$18),"")</f>
        <v/>
      </c>
      <c r="X988" s="138">
        <f>IF(AND($L$243&gt;0,A988&gt;=$C$13),$L$243*(1+$C$25)^(A988-$C$13),0)</f>
        <v/>
      </c>
      <c r="Y988" s="138">
        <f>IF(OR($L$243&lt;=0,$C$17&lt;=0,A988&lt;$C$13,MIN(MAX((A988-$C$13+1)*12,0),$C$17*12)&gt;=$C$17*12),0,IF($C$16=0,MAX(MAX($L$243*(1-$C$15),0)-(IF($C$17&lt;=0,0,IF($C$16=0,MAX($L$243*(1-$C$15),0)/$C$17,-PMT($C$16/12,$C$17*12,MAX($L$243*(1-$C$15),0))*12))/12)*MIN(MAX((A988-$C$13+1)*12,0),$C$17*12),0),MAX(MAX($L$243*(1-$C$15),0)*(1+$C$16/12)^MIN(MAX((A988-$C$13+1)*12,0),$C$17*12)-(IF($C$17&lt;=0,0,IF($C$16=0,MAX($L$243*(1-$C$15),0)/$C$17,-PMT($C$16/12,$C$17*12,MAX($L$243*(1-$C$15),0))*12))/12)*(((1+$C$16/12)^MIN(MAX((A988-$C$13+1)*12,0),$C$17*12)-1)/($C$16/12)),0)))</f>
        <v/>
      </c>
      <c r="Z988" s="138">
        <f>MAX(X988-Y988,0)</f>
        <v/>
      </c>
      <c r="AA988" s="142">
        <f>U988+Z988</f>
        <v/>
      </c>
      <c r="AB988" s="5" t="n"/>
      <c r="AC988" s="5" t="n"/>
      <c r="AD988" s="5" t="n"/>
      <c r="AE988" s="5" t="n"/>
      <c r="AF988" s="5" t="n"/>
      <c r="AG988" s="5" t="n"/>
    </row>
    <row r="989" outlineLevel="1" s="326">
      <c r="A989" s="136" t="n">
        <v>29</v>
      </c>
      <c r="B989" s="72">
        <f>B108</f>
        <v/>
      </c>
      <c r="C989" s="137">
        <f>D108</f>
        <v/>
      </c>
      <c r="D989" s="137">
        <f>I108</f>
        <v/>
      </c>
      <c r="E989" s="137">
        <f>J108</f>
        <v/>
      </c>
      <c r="F989" s="137">
        <f>K108</f>
        <v/>
      </c>
      <c r="G989" s="138">
        <f>IF(AND($L$243&gt;0,A989=$C$13),$L$243*($C$15+$C$18),0)+IF(AND($L$243&gt;0,A989=$C$13),$C$24,0)</f>
        <v/>
      </c>
      <c r="H989" s="138">
        <f>IF(OR($L$243&lt;=0,A989&lt;$C$13),0,IF(AND($L$243&gt;0,$C$17&gt;0,A989&gt;=$C$13,A989&lt;($C$13+$C$17)),IF($C$17&lt;=0,0,IF($C$16=0,MAX($L$243*(1-$C$15),0)/$C$17,-PMT($C$16/12,$C$17*12,MAX($L$243*(1-$C$15),0))*12)),0)+X989*($C$19+$C$20+$C$21)+$C$22+$C$23)</f>
        <v/>
      </c>
      <c r="I989" s="138">
        <f>IF(B989="Working",MIN(MAX(D989-E989-F989-G989-H989,0),'Tax Assumptions'!$B$20),0)</f>
        <v/>
      </c>
      <c r="J989" s="138">
        <f>IF(B989="Working",D989-E989-F989-I989-G989-H989,-L989)</f>
        <v/>
      </c>
      <c r="K989" s="137">
        <f>IF(B989="Retired",$N$243+G989+H989,0)</f>
        <v/>
      </c>
      <c r="L989" s="137">
        <f>M989+N989+O989+P989</f>
        <v/>
      </c>
      <c r="M989" s="137">
        <f>IF(B989="Retired",MIN(((Q988)*(1+$C$10)+IF(B989="Working",J989,0)),K989),0)</f>
        <v/>
      </c>
      <c r="N989" s="137">
        <f>IF(B989="Retired",MIN(MAX(K989-M989,0),((R988)*(1+$C$10)+IF(B989="Working",E108,0))),0)</f>
        <v/>
      </c>
      <c r="O989" s="137">
        <f>IF(B989="Retired",MIN(MAX(K989-M989-N989,0),((S988)*(1+$C$10)+IF(B989="Working",I989,0))),0)</f>
        <v/>
      </c>
      <c r="P989" s="137">
        <f>IF(B989="Retired",MIN(MAX(K989-M989-N989-O989,0),((T988)*(1+$C$10)+IF(B989="Working",F108,0))),0)</f>
        <v/>
      </c>
      <c r="Q989" s="138">
        <f>MAX(((Q988)*(1+$C$10)+IF(B989="Working",J989,0))-M989,0)</f>
        <v/>
      </c>
      <c r="R989" s="138">
        <f>MAX(((R988)*(1+$C$10)+IF(B989="Working",E108,0))-N989,0)</f>
        <v/>
      </c>
      <c r="S989" s="138">
        <f>MAX(((S988)*(1+$C$10)+IF(B989="Working",I989,0))-O989,0)</f>
        <v/>
      </c>
      <c r="T989" s="138">
        <f>MAX(((T988)*(1+$C$10)+IF(B989="Working",F108,0))-P989,0)</f>
        <v/>
      </c>
      <c r="U989" s="138">
        <f>Q989+R989+S989+T989</f>
        <v/>
      </c>
      <c r="V989" s="138">
        <f>IF(B989="Working",MAX(-(((Q988)*(1+$C$10)+IF(B989="Working",J989,0))),0),MAX(K989-L989,0))</f>
        <v/>
      </c>
      <c r="W989" s="138">
        <f>IF(OR(A989&gt;=$C$13,B989="Retired"),IF(V989&gt;0,-V989,U989-'Model Inputs'!$B$18),"")</f>
        <v/>
      </c>
      <c r="X989" s="138">
        <f>IF(AND($L$243&gt;0,A989&gt;=$C$13),$L$243*(1+$C$25)^(A989-$C$13),0)</f>
        <v/>
      </c>
      <c r="Y989" s="138">
        <f>IF(OR($L$243&lt;=0,$C$17&lt;=0,A989&lt;$C$13,MIN(MAX((A989-$C$13+1)*12,0),$C$17*12)&gt;=$C$17*12),0,IF($C$16=0,MAX(MAX($L$243*(1-$C$15),0)-(IF($C$17&lt;=0,0,IF($C$16=0,MAX($L$243*(1-$C$15),0)/$C$17,-PMT($C$16/12,$C$17*12,MAX($L$243*(1-$C$15),0))*12))/12)*MIN(MAX((A989-$C$13+1)*12,0),$C$17*12),0),MAX(MAX($L$243*(1-$C$15),0)*(1+$C$16/12)^MIN(MAX((A989-$C$13+1)*12,0),$C$17*12)-(IF($C$17&lt;=0,0,IF($C$16=0,MAX($L$243*(1-$C$15),0)/$C$17,-PMT($C$16/12,$C$17*12,MAX($L$243*(1-$C$15),0))*12))/12)*(((1+$C$16/12)^MIN(MAX((A989-$C$13+1)*12,0),$C$17*12)-1)/($C$16/12)),0)))</f>
        <v/>
      </c>
      <c r="Z989" s="138">
        <f>MAX(X989-Y989,0)</f>
        <v/>
      </c>
      <c r="AA989" s="139">
        <f>U989+Z989</f>
        <v/>
      </c>
      <c r="AB989" s="5" t="n"/>
      <c r="AC989" s="5" t="n"/>
      <c r="AD989" s="5" t="n"/>
      <c r="AE989" s="5" t="n"/>
      <c r="AF989" s="5" t="n"/>
      <c r="AG989" s="5" t="n"/>
    </row>
    <row r="990" outlineLevel="1" s="326">
      <c r="A990" s="140" t="n">
        <v>30</v>
      </c>
      <c r="B990" s="40">
        <f>B109</f>
        <v/>
      </c>
      <c r="C990" s="141">
        <f>D109</f>
        <v/>
      </c>
      <c r="D990" s="141">
        <f>I109</f>
        <v/>
      </c>
      <c r="E990" s="141">
        <f>J109</f>
        <v/>
      </c>
      <c r="F990" s="141">
        <f>K109</f>
        <v/>
      </c>
      <c r="G990" s="138">
        <f>IF(AND($L$243&gt;0,A990=$C$13),$L$243*($C$15+$C$18),0)+IF(AND($L$243&gt;0,A990=$C$13),$C$24,0)</f>
        <v/>
      </c>
      <c r="H990" s="138">
        <f>IF(OR($L$243&lt;=0,A990&lt;$C$13),0,IF(AND($L$243&gt;0,$C$17&gt;0,A990&gt;=$C$13,A990&lt;($C$13+$C$17)),IF($C$17&lt;=0,0,IF($C$16=0,MAX($L$243*(1-$C$15),0)/$C$17,-PMT($C$16/12,$C$17*12,MAX($L$243*(1-$C$15),0))*12)),0)+X990*($C$19+$C$20+$C$21)+$C$22+$C$23)</f>
        <v/>
      </c>
      <c r="I990" s="138">
        <f>IF(B990="Working",MIN(MAX(D990-E990-F990-G990-H990,0),'Tax Assumptions'!$B$20),0)</f>
        <v/>
      </c>
      <c r="J990" s="138">
        <f>IF(B990="Working",D990-E990-F990-I990-G990-H990,-L990)</f>
        <v/>
      </c>
      <c r="K990" s="141">
        <f>IF(B990="Retired",$N$243+G990+H990,0)</f>
        <v/>
      </c>
      <c r="L990" s="141">
        <f>M990+N990+O990+P990</f>
        <v/>
      </c>
      <c r="M990" s="141">
        <f>IF(B990="Retired",MIN(((Q989)*(1+$C$10)+IF(B990="Working",J990,0)),K990),0)</f>
        <v/>
      </c>
      <c r="N990" s="141">
        <f>IF(B990="Retired",MIN(MAX(K990-M990,0),((R989)*(1+$C$10)+IF(B990="Working",E109,0))),0)</f>
        <v/>
      </c>
      <c r="O990" s="141">
        <f>IF(B990="Retired",MIN(MAX(K990-M990-N990,0),((S989)*(1+$C$10)+IF(B990="Working",I990,0))),0)</f>
        <v/>
      </c>
      <c r="P990" s="141">
        <f>IF(B990="Retired",MIN(MAX(K990-M990-N990-O990,0),((T989)*(1+$C$10)+IF(B990="Working",F109,0))),0)</f>
        <v/>
      </c>
      <c r="Q990" s="138">
        <f>MAX(((Q989)*(1+$C$10)+IF(B990="Working",J990,0))-M990,0)</f>
        <v/>
      </c>
      <c r="R990" s="138">
        <f>MAX(((R989)*(1+$C$10)+IF(B990="Working",E109,0))-N990,0)</f>
        <v/>
      </c>
      <c r="S990" s="138">
        <f>MAX(((S989)*(1+$C$10)+IF(B990="Working",I990,0))-O990,0)</f>
        <v/>
      </c>
      <c r="T990" s="138">
        <f>MAX(((T989)*(1+$C$10)+IF(B990="Working",F109,0))-P990,0)</f>
        <v/>
      </c>
      <c r="U990" s="138">
        <f>Q990+R990+S990+T990</f>
        <v/>
      </c>
      <c r="V990" s="138">
        <f>IF(B990="Working",MAX(-(((Q989)*(1+$C$10)+IF(B990="Working",J990,0))),0),MAX(K990-L990,0))</f>
        <v/>
      </c>
      <c r="W990" s="138">
        <f>IF(OR(A990&gt;=$C$13,B990="Retired"),IF(V990&gt;0,-V990,U990-'Model Inputs'!$B$18),"")</f>
        <v/>
      </c>
      <c r="X990" s="138">
        <f>IF(AND($L$243&gt;0,A990&gt;=$C$13),$L$243*(1+$C$25)^(A990-$C$13),0)</f>
        <v/>
      </c>
      <c r="Y990" s="138">
        <f>IF(OR($L$243&lt;=0,$C$17&lt;=0,A990&lt;$C$13,MIN(MAX((A990-$C$13+1)*12,0),$C$17*12)&gt;=$C$17*12),0,IF($C$16=0,MAX(MAX($L$243*(1-$C$15),0)-(IF($C$17&lt;=0,0,IF($C$16=0,MAX($L$243*(1-$C$15),0)/$C$17,-PMT($C$16/12,$C$17*12,MAX($L$243*(1-$C$15),0))*12))/12)*MIN(MAX((A990-$C$13+1)*12,0),$C$17*12),0),MAX(MAX($L$243*(1-$C$15),0)*(1+$C$16/12)^MIN(MAX((A990-$C$13+1)*12,0),$C$17*12)-(IF($C$17&lt;=0,0,IF($C$16=0,MAX($L$243*(1-$C$15),0)/$C$17,-PMT($C$16/12,$C$17*12,MAX($L$243*(1-$C$15),0))*12))/12)*(((1+$C$16/12)^MIN(MAX((A990-$C$13+1)*12,0),$C$17*12)-1)/($C$16/12)),0)))</f>
        <v/>
      </c>
      <c r="Z990" s="138">
        <f>MAX(X990-Y990,0)</f>
        <v/>
      </c>
      <c r="AA990" s="142">
        <f>U990+Z990</f>
        <v/>
      </c>
      <c r="AB990" s="5" t="n"/>
      <c r="AC990" s="5" t="n"/>
      <c r="AD990" s="5" t="n"/>
      <c r="AE990" s="5" t="n"/>
      <c r="AF990" s="5" t="n"/>
      <c r="AG990" s="5" t="n"/>
    </row>
    <row r="991" outlineLevel="1" s="326">
      <c r="A991" s="136" t="n">
        <v>31</v>
      </c>
      <c r="B991" s="72">
        <f>B110</f>
        <v/>
      </c>
      <c r="C991" s="137">
        <f>D110</f>
        <v/>
      </c>
      <c r="D991" s="137">
        <f>I110</f>
        <v/>
      </c>
      <c r="E991" s="137">
        <f>J110</f>
        <v/>
      </c>
      <c r="F991" s="137">
        <f>K110</f>
        <v/>
      </c>
      <c r="G991" s="138">
        <f>IF(AND($L$243&gt;0,A991=$C$13),$L$243*($C$15+$C$18),0)+IF(AND($L$243&gt;0,A991=$C$13),$C$24,0)</f>
        <v/>
      </c>
      <c r="H991" s="138">
        <f>IF(OR($L$243&lt;=0,A991&lt;$C$13),0,IF(AND($L$243&gt;0,$C$17&gt;0,A991&gt;=$C$13,A991&lt;($C$13+$C$17)),IF($C$17&lt;=0,0,IF($C$16=0,MAX($L$243*(1-$C$15),0)/$C$17,-PMT($C$16/12,$C$17*12,MAX($L$243*(1-$C$15),0))*12)),0)+X991*($C$19+$C$20+$C$21)+$C$22+$C$23)</f>
        <v/>
      </c>
      <c r="I991" s="138">
        <f>IF(B991="Working",MIN(MAX(D991-E991-F991-G991-H991,0),'Tax Assumptions'!$B$20),0)</f>
        <v/>
      </c>
      <c r="J991" s="138">
        <f>IF(B991="Working",D991-E991-F991-I991-G991-H991,-L991)</f>
        <v/>
      </c>
      <c r="K991" s="137">
        <f>IF(B991="Retired",$N$243+G991+H991,0)</f>
        <v/>
      </c>
      <c r="L991" s="137">
        <f>M991+N991+O991+P991</f>
        <v/>
      </c>
      <c r="M991" s="137">
        <f>IF(B991="Retired",MIN(((Q990)*(1+$C$10)+IF(B991="Working",J991,0)),K991),0)</f>
        <v/>
      </c>
      <c r="N991" s="137">
        <f>IF(B991="Retired",MIN(MAX(K991-M991,0),((R990)*(1+$C$10)+IF(B991="Working",E110,0))),0)</f>
        <v/>
      </c>
      <c r="O991" s="137">
        <f>IF(B991="Retired",MIN(MAX(K991-M991-N991,0),((S990)*(1+$C$10)+IF(B991="Working",I991,0))),0)</f>
        <v/>
      </c>
      <c r="P991" s="137">
        <f>IF(B991="Retired",MIN(MAX(K991-M991-N991-O991,0),((T990)*(1+$C$10)+IF(B991="Working",F110,0))),0)</f>
        <v/>
      </c>
      <c r="Q991" s="138">
        <f>MAX(((Q990)*(1+$C$10)+IF(B991="Working",J991,0))-M991,0)</f>
        <v/>
      </c>
      <c r="R991" s="138">
        <f>MAX(((R990)*(1+$C$10)+IF(B991="Working",E110,0))-N991,0)</f>
        <v/>
      </c>
      <c r="S991" s="138">
        <f>MAX(((S990)*(1+$C$10)+IF(B991="Working",I991,0))-O991,0)</f>
        <v/>
      </c>
      <c r="T991" s="138">
        <f>MAX(((T990)*(1+$C$10)+IF(B991="Working",F110,0))-P991,0)</f>
        <v/>
      </c>
      <c r="U991" s="138">
        <f>Q991+R991+S991+T991</f>
        <v/>
      </c>
      <c r="V991" s="138">
        <f>IF(B991="Working",MAX(-(((Q990)*(1+$C$10)+IF(B991="Working",J991,0))),0),MAX(K991-L991,0))</f>
        <v/>
      </c>
      <c r="W991" s="138">
        <f>IF(OR(A991&gt;=$C$13,B991="Retired"),IF(V991&gt;0,-V991,U991-'Model Inputs'!$B$18),"")</f>
        <v/>
      </c>
      <c r="X991" s="138">
        <f>IF(AND($L$243&gt;0,A991&gt;=$C$13),$L$243*(1+$C$25)^(A991-$C$13),0)</f>
        <v/>
      </c>
      <c r="Y991" s="138">
        <f>IF(OR($L$243&lt;=0,$C$17&lt;=0,A991&lt;$C$13,MIN(MAX((A991-$C$13+1)*12,0),$C$17*12)&gt;=$C$17*12),0,IF($C$16=0,MAX(MAX($L$243*(1-$C$15),0)-(IF($C$17&lt;=0,0,IF($C$16=0,MAX($L$243*(1-$C$15),0)/$C$17,-PMT($C$16/12,$C$17*12,MAX($L$243*(1-$C$15),0))*12))/12)*MIN(MAX((A991-$C$13+1)*12,0),$C$17*12),0),MAX(MAX($L$243*(1-$C$15),0)*(1+$C$16/12)^MIN(MAX((A991-$C$13+1)*12,0),$C$17*12)-(IF($C$17&lt;=0,0,IF($C$16=0,MAX($L$243*(1-$C$15),0)/$C$17,-PMT($C$16/12,$C$17*12,MAX($L$243*(1-$C$15),0))*12))/12)*(((1+$C$16/12)^MIN(MAX((A991-$C$13+1)*12,0),$C$17*12)-1)/($C$16/12)),0)))</f>
        <v/>
      </c>
      <c r="Z991" s="138">
        <f>MAX(X991-Y991,0)</f>
        <v/>
      </c>
      <c r="AA991" s="139">
        <f>U991+Z991</f>
        <v/>
      </c>
      <c r="AB991" s="5" t="n"/>
      <c r="AC991" s="5" t="n"/>
      <c r="AD991" s="5" t="n"/>
      <c r="AE991" s="5" t="n"/>
      <c r="AF991" s="5" t="n"/>
      <c r="AG991" s="5" t="n"/>
    </row>
    <row r="992" outlineLevel="1" s="326">
      <c r="A992" s="140" t="n">
        <v>32</v>
      </c>
      <c r="B992" s="40">
        <f>B111</f>
        <v/>
      </c>
      <c r="C992" s="141">
        <f>D111</f>
        <v/>
      </c>
      <c r="D992" s="141">
        <f>I111</f>
        <v/>
      </c>
      <c r="E992" s="141">
        <f>J111</f>
        <v/>
      </c>
      <c r="F992" s="141">
        <f>K111</f>
        <v/>
      </c>
      <c r="G992" s="138">
        <f>IF(AND($L$243&gt;0,A992=$C$13),$L$243*($C$15+$C$18),0)+IF(AND($L$243&gt;0,A992=$C$13),$C$24,0)</f>
        <v/>
      </c>
      <c r="H992" s="138">
        <f>IF(OR($L$243&lt;=0,A992&lt;$C$13),0,IF(AND($L$243&gt;0,$C$17&gt;0,A992&gt;=$C$13,A992&lt;($C$13+$C$17)),IF($C$17&lt;=0,0,IF($C$16=0,MAX($L$243*(1-$C$15),0)/$C$17,-PMT($C$16/12,$C$17*12,MAX($L$243*(1-$C$15),0))*12)),0)+X992*($C$19+$C$20+$C$21)+$C$22+$C$23)</f>
        <v/>
      </c>
      <c r="I992" s="138">
        <f>IF(B992="Working",MIN(MAX(D992-E992-F992-G992-H992,0),'Tax Assumptions'!$B$20),0)</f>
        <v/>
      </c>
      <c r="J992" s="138">
        <f>IF(B992="Working",D992-E992-F992-I992-G992-H992,-L992)</f>
        <v/>
      </c>
      <c r="K992" s="141">
        <f>IF(B992="Retired",$N$243+G992+H992,0)</f>
        <v/>
      </c>
      <c r="L992" s="141">
        <f>M992+N992+O992+P992</f>
        <v/>
      </c>
      <c r="M992" s="141">
        <f>IF(B992="Retired",MIN(((Q991)*(1+$C$10)+IF(B992="Working",J992,0)),K992),0)</f>
        <v/>
      </c>
      <c r="N992" s="141">
        <f>IF(B992="Retired",MIN(MAX(K992-M992,0),((R991)*(1+$C$10)+IF(B992="Working",E111,0))),0)</f>
        <v/>
      </c>
      <c r="O992" s="141">
        <f>IF(B992="Retired",MIN(MAX(K992-M992-N992,0),((S991)*(1+$C$10)+IF(B992="Working",I992,0))),0)</f>
        <v/>
      </c>
      <c r="P992" s="141">
        <f>IF(B992="Retired",MIN(MAX(K992-M992-N992-O992,0),((T991)*(1+$C$10)+IF(B992="Working",F111,0))),0)</f>
        <v/>
      </c>
      <c r="Q992" s="138">
        <f>MAX(((Q991)*(1+$C$10)+IF(B992="Working",J992,0))-M992,0)</f>
        <v/>
      </c>
      <c r="R992" s="138">
        <f>MAX(((R991)*(1+$C$10)+IF(B992="Working",E111,0))-N992,0)</f>
        <v/>
      </c>
      <c r="S992" s="138">
        <f>MAX(((S991)*(1+$C$10)+IF(B992="Working",I992,0))-O992,0)</f>
        <v/>
      </c>
      <c r="T992" s="138">
        <f>MAX(((T991)*(1+$C$10)+IF(B992="Working",F111,0))-P992,0)</f>
        <v/>
      </c>
      <c r="U992" s="138">
        <f>Q992+R992+S992+T992</f>
        <v/>
      </c>
      <c r="V992" s="138">
        <f>IF(B992="Working",MAX(-(((Q991)*(1+$C$10)+IF(B992="Working",J992,0))),0),MAX(K992-L992,0))</f>
        <v/>
      </c>
      <c r="W992" s="138">
        <f>IF(OR(A992&gt;=$C$13,B992="Retired"),IF(V992&gt;0,-V992,U992-'Model Inputs'!$B$18),"")</f>
        <v/>
      </c>
      <c r="X992" s="138">
        <f>IF(AND($L$243&gt;0,A992&gt;=$C$13),$L$243*(1+$C$25)^(A992-$C$13),0)</f>
        <v/>
      </c>
      <c r="Y992" s="138">
        <f>IF(OR($L$243&lt;=0,$C$17&lt;=0,A992&lt;$C$13,MIN(MAX((A992-$C$13+1)*12,0),$C$17*12)&gt;=$C$17*12),0,IF($C$16=0,MAX(MAX($L$243*(1-$C$15),0)-(IF($C$17&lt;=0,0,IF($C$16=0,MAX($L$243*(1-$C$15),0)/$C$17,-PMT($C$16/12,$C$17*12,MAX($L$243*(1-$C$15),0))*12))/12)*MIN(MAX((A992-$C$13+1)*12,0),$C$17*12),0),MAX(MAX($L$243*(1-$C$15),0)*(1+$C$16/12)^MIN(MAX((A992-$C$13+1)*12,0),$C$17*12)-(IF($C$17&lt;=0,0,IF($C$16=0,MAX($L$243*(1-$C$15),0)/$C$17,-PMT($C$16/12,$C$17*12,MAX($L$243*(1-$C$15),0))*12))/12)*(((1+$C$16/12)^MIN(MAX((A992-$C$13+1)*12,0),$C$17*12)-1)/($C$16/12)),0)))</f>
        <v/>
      </c>
      <c r="Z992" s="138">
        <f>MAX(X992-Y992,0)</f>
        <v/>
      </c>
      <c r="AA992" s="142">
        <f>U992+Z992</f>
        <v/>
      </c>
      <c r="AB992" s="5" t="n"/>
      <c r="AC992" s="5" t="n"/>
      <c r="AD992" s="5" t="n"/>
      <c r="AE992" s="5" t="n"/>
      <c r="AF992" s="5" t="n"/>
      <c r="AG992" s="5" t="n"/>
    </row>
    <row r="993" outlineLevel="1" s="326">
      <c r="A993" s="136" t="n">
        <v>33</v>
      </c>
      <c r="B993" s="72">
        <f>B112</f>
        <v/>
      </c>
      <c r="C993" s="137">
        <f>D112</f>
        <v/>
      </c>
      <c r="D993" s="137">
        <f>I112</f>
        <v/>
      </c>
      <c r="E993" s="137">
        <f>J112</f>
        <v/>
      </c>
      <c r="F993" s="137">
        <f>K112</f>
        <v/>
      </c>
      <c r="G993" s="138">
        <f>IF(AND($L$243&gt;0,A993=$C$13),$L$243*($C$15+$C$18),0)+IF(AND($L$243&gt;0,A993=$C$13),$C$24,0)</f>
        <v/>
      </c>
      <c r="H993" s="138">
        <f>IF(OR($L$243&lt;=0,A993&lt;$C$13),0,IF(AND($L$243&gt;0,$C$17&gt;0,A993&gt;=$C$13,A993&lt;($C$13+$C$17)),IF($C$17&lt;=0,0,IF($C$16=0,MAX($L$243*(1-$C$15),0)/$C$17,-PMT($C$16/12,$C$17*12,MAX($L$243*(1-$C$15),0))*12)),0)+X993*($C$19+$C$20+$C$21)+$C$22+$C$23)</f>
        <v/>
      </c>
      <c r="I993" s="138">
        <f>IF(B993="Working",MIN(MAX(D993-E993-F993-G993-H993,0),'Tax Assumptions'!$B$20),0)</f>
        <v/>
      </c>
      <c r="J993" s="138">
        <f>IF(B993="Working",D993-E993-F993-I993-G993-H993,-L993)</f>
        <v/>
      </c>
      <c r="K993" s="137">
        <f>IF(B993="Retired",$N$243+G993+H993,0)</f>
        <v/>
      </c>
      <c r="L993" s="137">
        <f>M993+N993+O993+P993</f>
        <v/>
      </c>
      <c r="M993" s="137">
        <f>IF(B993="Retired",MIN(((Q992)*(1+$C$10)+IF(B993="Working",J993,0)),K993),0)</f>
        <v/>
      </c>
      <c r="N993" s="137">
        <f>IF(B993="Retired",MIN(MAX(K993-M993,0),((R992)*(1+$C$10)+IF(B993="Working",E112,0))),0)</f>
        <v/>
      </c>
      <c r="O993" s="137">
        <f>IF(B993="Retired",MIN(MAX(K993-M993-N993,0),((S992)*(1+$C$10)+IF(B993="Working",I993,0))),0)</f>
        <v/>
      </c>
      <c r="P993" s="137">
        <f>IF(B993="Retired",MIN(MAX(K993-M993-N993-O993,0),((T992)*(1+$C$10)+IF(B993="Working",F112,0))),0)</f>
        <v/>
      </c>
      <c r="Q993" s="138">
        <f>MAX(((Q992)*(1+$C$10)+IF(B993="Working",J993,0))-M993,0)</f>
        <v/>
      </c>
      <c r="R993" s="138">
        <f>MAX(((R992)*(1+$C$10)+IF(B993="Working",E112,0))-N993,0)</f>
        <v/>
      </c>
      <c r="S993" s="138">
        <f>MAX(((S992)*(1+$C$10)+IF(B993="Working",I993,0))-O993,0)</f>
        <v/>
      </c>
      <c r="T993" s="138">
        <f>MAX(((T992)*(1+$C$10)+IF(B993="Working",F112,0))-P993,0)</f>
        <v/>
      </c>
      <c r="U993" s="138">
        <f>Q993+R993+S993+T993</f>
        <v/>
      </c>
      <c r="V993" s="138">
        <f>IF(B993="Working",MAX(-(((Q992)*(1+$C$10)+IF(B993="Working",J993,0))),0),MAX(K993-L993,0))</f>
        <v/>
      </c>
      <c r="W993" s="138">
        <f>IF(OR(A993&gt;=$C$13,B993="Retired"),IF(V993&gt;0,-V993,U993-'Model Inputs'!$B$18),"")</f>
        <v/>
      </c>
      <c r="X993" s="138">
        <f>IF(AND($L$243&gt;0,A993&gt;=$C$13),$L$243*(1+$C$25)^(A993-$C$13),0)</f>
        <v/>
      </c>
      <c r="Y993" s="138">
        <f>IF(OR($L$243&lt;=0,$C$17&lt;=0,A993&lt;$C$13,MIN(MAX((A993-$C$13+1)*12,0),$C$17*12)&gt;=$C$17*12),0,IF($C$16=0,MAX(MAX($L$243*(1-$C$15),0)-(IF($C$17&lt;=0,0,IF($C$16=0,MAX($L$243*(1-$C$15),0)/$C$17,-PMT($C$16/12,$C$17*12,MAX($L$243*(1-$C$15),0))*12))/12)*MIN(MAX((A993-$C$13+1)*12,0),$C$17*12),0),MAX(MAX($L$243*(1-$C$15),0)*(1+$C$16/12)^MIN(MAX((A993-$C$13+1)*12,0),$C$17*12)-(IF($C$17&lt;=0,0,IF($C$16=0,MAX($L$243*(1-$C$15),0)/$C$17,-PMT($C$16/12,$C$17*12,MAX($L$243*(1-$C$15),0))*12))/12)*(((1+$C$16/12)^MIN(MAX((A993-$C$13+1)*12,0),$C$17*12)-1)/($C$16/12)),0)))</f>
        <v/>
      </c>
      <c r="Z993" s="138">
        <f>MAX(X993-Y993,0)</f>
        <v/>
      </c>
      <c r="AA993" s="139">
        <f>U993+Z993</f>
        <v/>
      </c>
      <c r="AB993" s="5" t="n"/>
      <c r="AC993" s="5" t="n"/>
      <c r="AD993" s="5" t="n"/>
      <c r="AE993" s="5" t="n"/>
      <c r="AF993" s="5" t="n"/>
      <c r="AG993" s="5" t="n"/>
    </row>
    <row r="994" outlineLevel="1" s="326">
      <c r="A994" s="140" t="n">
        <v>34</v>
      </c>
      <c r="B994" s="40">
        <f>B113</f>
        <v/>
      </c>
      <c r="C994" s="141">
        <f>D113</f>
        <v/>
      </c>
      <c r="D994" s="141">
        <f>I113</f>
        <v/>
      </c>
      <c r="E994" s="141">
        <f>J113</f>
        <v/>
      </c>
      <c r="F994" s="141">
        <f>K113</f>
        <v/>
      </c>
      <c r="G994" s="138">
        <f>IF(AND($L$243&gt;0,A994=$C$13),$L$243*($C$15+$C$18),0)+IF(AND($L$243&gt;0,A994=$C$13),$C$24,0)</f>
        <v/>
      </c>
      <c r="H994" s="138">
        <f>IF(OR($L$243&lt;=0,A994&lt;$C$13),0,IF(AND($L$243&gt;0,$C$17&gt;0,A994&gt;=$C$13,A994&lt;($C$13+$C$17)),IF($C$17&lt;=0,0,IF($C$16=0,MAX($L$243*(1-$C$15),0)/$C$17,-PMT($C$16/12,$C$17*12,MAX($L$243*(1-$C$15),0))*12)),0)+X994*($C$19+$C$20+$C$21)+$C$22+$C$23)</f>
        <v/>
      </c>
      <c r="I994" s="138">
        <f>IF(B994="Working",MIN(MAX(D994-E994-F994-G994-H994,0),'Tax Assumptions'!$B$20),0)</f>
        <v/>
      </c>
      <c r="J994" s="138">
        <f>IF(B994="Working",D994-E994-F994-I994-G994-H994,-L994)</f>
        <v/>
      </c>
      <c r="K994" s="141">
        <f>IF(B994="Retired",$N$243+G994+H994,0)</f>
        <v/>
      </c>
      <c r="L994" s="141">
        <f>M994+N994+O994+P994</f>
        <v/>
      </c>
      <c r="M994" s="141">
        <f>IF(B994="Retired",MIN(((Q993)*(1+$C$10)+IF(B994="Working",J994,0)),K994),0)</f>
        <v/>
      </c>
      <c r="N994" s="141">
        <f>IF(B994="Retired",MIN(MAX(K994-M994,0),((R993)*(1+$C$10)+IF(B994="Working",E113,0))),0)</f>
        <v/>
      </c>
      <c r="O994" s="141">
        <f>IF(B994="Retired",MIN(MAX(K994-M994-N994,0),((S993)*(1+$C$10)+IF(B994="Working",I994,0))),0)</f>
        <v/>
      </c>
      <c r="P994" s="141">
        <f>IF(B994="Retired",MIN(MAX(K994-M994-N994-O994,0),((T993)*(1+$C$10)+IF(B994="Working",F113,0))),0)</f>
        <v/>
      </c>
      <c r="Q994" s="138">
        <f>MAX(((Q993)*(1+$C$10)+IF(B994="Working",J994,0))-M994,0)</f>
        <v/>
      </c>
      <c r="R994" s="138">
        <f>MAX(((R993)*(1+$C$10)+IF(B994="Working",E113,0))-N994,0)</f>
        <v/>
      </c>
      <c r="S994" s="138">
        <f>MAX(((S993)*(1+$C$10)+IF(B994="Working",I994,0))-O994,0)</f>
        <v/>
      </c>
      <c r="T994" s="138">
        <f>MAX(((T993)*(1+$C$10)+IF(B994="Working",F113,0))-P994,0)</f>
        <v/>
      </c>
      <c r="U994" s="138">
        <f>Q994+R994+S994+T994</f>
        <v/>
      </c>
      <c r="V994" s="138">
        <f>IF(B994="Working",MAX(-(((Q993)*(1+$C$10)+IF(B994="Working",J994,0))),0),MAX(K994-L994,0))</f>
        <v/>
      </c>
      <c r="W994" s="138">
        <f>IF(OR(A994&gt;=$C$13,B994="Retired"),IF(V994&gt;0,-V994,U994-'Model Inputs'!$B$18),"")</f>
        <v/>
      </c>
      <c r="X994" s="138">
        <f>IF(AND($L$243&gt;0,A994&gt;=$C$13),$L$243*(1+$C$25)^(A994-$C$13),0)</f>
        <v/>
      </c>
      <c r="Y994" s="138">
        <f>IF(OR($L$243&lt;=0,$C$17&lt;=0,A994&lt;$C$13,MIN(MAX((A994-$C$13+1)*12,0),$C$17*12)&gt;=$C$17*12),0,IF($C$16=0,MAX(MAX($L$243*(1-$C$15),0)-(IF($C$17&lt;=0,0,IF($C$16=0,MAX($L$243*(1-$C$15),0)/$C$17,-PMT($C$16/12,$C$17*12,MAX($L$243*(1-$C$15),0))*12))/12)*MIN(MAX((A994-$C$13+1)*12,0),$C$17*12),0),MAX(MAX($L$243*(1-$C$15),0)*(1+$C$16/12)^MIN(MAX((A994-$C$13+1)*12,0),$C$17*12)-(IF($C$17&lt;=0,0,IF($C$16=0,MAX($L$243*(1-$C$15),0)/$C$17,-PMT($C$16/12,$C$17*12,MAX($L$243*(1-$C$15),0))*12))/12)*(((1+$C$16/12)^MIN(MAX((A994-$C$13+1)*12,0),$C$17*12)-1)/($C$16/12)),0)))</f>
        <v/>
      </c>
      <c r="Z994" s="138">
        <f>MAX(X994-Y994,0)</f>
        <v/>
      </c>
      <c r="AA994" s="142">
        <f>U994+Z994</f>
        <v/>
      </c>
      <c r="AB994" s="5" t="n"/>
      <c r="AC994" s="5" t="n"/>
      <c r="AD994" s="5" t="n"/>
      <c r="AE994" s="5" t="n"/>
      <c r="AF994" s="5" t="n"/>
      <c r="AG994" s="5" t="n"/>
    </row>
    <row r="995" outlineLevel="1" s="326">
      <c r="A995" s="136" t="n">
        <v>35</v>
      </c>
      <c r="B995" s="72">
        <f>B114</f>
        <v/>
      </c>
      <c r="C995" s="137">
        <f>D114</f>
        <v/>
      </c>
      <c r="D995" s="137">
        <f>I114</f>
        <v/>
      </c>
      <c r="E995" s="137">
        <f>J114</f>
        <v/>
      </c>
      <c r="F995" s="137">
        <f>K114</f>
        <v/>
      </c>
      <c r="G995" s="138">
        <f>IF(AND($L$243&gt;0,A995=$C$13),$L$243*($C$15+$C$18),0)+IF(AND($L$243&gt;0,A995=$C$13),$C$24,0)</f>
        <v/>
      </c>
      <c r="H995" s="138">
        <f>IF(OR($L$243&lt;=0,A995&lt;$C$13),0,IF(AND($L$243&gt;0,$C$17&gt;0,A995&gt;=$C$13,A995&lt;($C$13+$C$17)),IF($C$17&lt;=0,0,IF($C$16=0,MAX($L$243*(1-$C$15),0)/$C$17,-PMT($C$16/12,$C$17*12,MAX($L$243*(1-$C$15),0))*12)),0)+X995*($C$19+$C$20+$C$21)+$C$22+$C$23)</f>
        <v/>
      </c>
      <c r="I995" s="138">
        <f>IF(B995="Working",MIN(MAX(D995-E995-F995-G995-H995,0),'Tax Assumptions'!$B$20),0)</f>
        <v/>
      </c>
      <c r="J995" s="138">
        <f>IF(B995="Working",D995-E995-F995-I995-G995-H995,-L995)</f>
        <v/>
      </c>
      <c r="K995" s="137">
        <f>IF(B995="Retired",$N$243+G995+H995,0)</f>
        <v/>
      </c>
      <c r="L995" s="137">
        <f>M995+N995+O995+P995</f>
        <v/>
      </c>
      <c r="M995" s="137">
        <f>IF(B995="Retired",MIN(((Q994)*(1+$C$10)+IF(B995="Working",J995,0)),K995),0)</f>
        <v/>
      </c>
      <c r="N995" s="137">
        <f>IF(B995="Retired",MIN(MAX(K995-M995,0),((R994)*(1+$C$10)+IF(B995="Working",E114,0))),0)</f>
        <v/>
      </c>
      <c r="O995" s="137">
        <f>IF(B995="Retired",MIN(MAX(K995-M995-N995,0),((S994)*(1+$C$10)+IF(B995="Working",I995,0))),0)</f>
        <v/>
      </c>
      <c r="P995" s="137">
        <f>IF(B995="Retired",MIN(MAX(K995-M995-N995-O995,0),((T994)*(1+$C$10)+IF(B995="Working",F114,0))),0)</f>
        <v/>
      </c>
      <c r="Q995" s="138">
        <f>MAX(((Q994)*(1+$C$10)+IF(B995="Working",J995,0))-M995,0)</f>
        <v/>
      </c>
      <c r="R995" s="138">
        <f>MAX(((R994)*(1+$C$10)+IF(B995="Working",E114,0))-N995,0)</f>
        <v/>
      </c>
      <c r="S995" s="138">
        <f>MAX(((S994)*(1+$C$10)+IF(B995="Working",I995,0))-O995,0)</f>
        <v/>
      </c>
      <c r="T995" s="138">
        <f>MAX(((T994)*(1+$C$10)+IF(B995="Working",F114,0))-P995,0)</f>
        <v/>
      </c>
      <c r="U995" s="138">
        <f>Q995+R995+S995+T995</f>
        <v/>
      </c>
      <c r="V995" s="138">
        <f>IF(B995="Working",MAX(-(((Q994)*(1+$C$10)+IF(B995="Working",J995,0))),0),MAX(K995-L995,0))</f>
        <v/>
      </c>
      <c r="W995" s="138">
        <f>IF(OR(A995&gt;=$C$13,B995="Retired"),IF(V995&gt;0,-V995,U995-'Model Inputs'!$B$18),"")</f>
        <v/>
      </c>
      <c r="X995" s="138">
        <f>IF(AND($L$243&gt;0,A995&gt;=$C$13),$L$243*(1+$C$25)^(A995-$C$13),0)</f>
        <v/>
      </c>
      <c r="Y995" s="138">
        <f>IF(OR($L$243&lt;=0,$C$17&lt;=0,A995&lt;$C$13,MIN(MAX((A995-$C$13+1)*12,0),$C$17*12)&gt;=$C$17*12),0,IF($C$16=0,MAX(MAX($L$243*(1-$C$15),0)-(IF($C$17&lt;=0,0,IF($C$16=0,MAX($L$243*(1-$C$15),0)/$C$17,-PMT($C$16/12,$C$17*12,MAX($L$243*(1-$C$15),0))*12))/12)*MIN(MAX((A995-$C$13+1)*12,0),$C$17*12),0),MAX(MAX($L$243*(1-$C$15),0)*(1+$C$16/12)^MIN(MAX((A995-$C$13+1)*12,0),$C$17*12)-(IF($C$17&lt;=0,0,IF($C$16=0,MAX($L$243*(1-$C$15),0)/$C$17,-PMT($C$16/12,$C$17*12,MAX($L$243*(1-$C$15),0))*12))/12)*(((1+$C$16/12)^MIN(MAX((A995-$C$13+1)*12,0),$C$17*12)-1)/($C$16/12)),0)))</f>
        <v/>
      </c>
      <c r="Z995" s="138">
        <f>MAX(X995-Y995,0)</f>
        <v/>
      </c>
      <c r="AA995" s="139">
        <f>U995+Z995</f>
        <v/>
      </c>
      <c r="AB995" s="5" t="n"/>
      <c r="AC995" s="5" t="n"/>
      <c r="AD995" s="5" t="n"/>
      <c r="AE995" s="5" t="n"/>
      <c r="AF995" s="5" t="n"/>
      <c r="AG995" s="5" t="n"/>
    </row>
    <row r="996" outlineLevel="1" s="326">
      <c r="A996" s="140" t="n">
        <v>36</v>
      </c>
      <c r="B996" s="40">
        <f>B115</f>
        <v/>
      </c>
      <c r="C996" s="141">
        <f>D115</f>
        <v/>
      </c>
      <c r="D996" s="141">
        <f>I115</f>
        <v/>
      </c>
      <c r="E996" s="141">
        <f>J115</f>
        <v/>
      </c>
      <c r="F996" s="141">
        <f>K115</f>
        <v/>
      </c>
      <c r="G996" s="138">
        <f>IF(AND($L$243&gt;0,A996=$C$13),$L$243*($C$15+$C$18),0)+IF(AND($L$243&gt;0,A996=$C$13),$C$24,0)</f>
        <v/>
      </c>
      <c r="H996" s="138">
        <f>IF(OR($L$243&lt;=0,A996&lt;$C$13),0,IF(AND($L$243&gt;0,$C$17&gt;0,A996&gt;=$C$13,A996&lt;($C$13+$C$17)),IF($C$17&lt;=0,0,IF($C$16=0,MAX($L$243*(1-$C$15),0)/$C$17,-PMT($C$16/12,$C$17*12,MAX($L$243*(1-$C$15),0))*12)),0)+X996*($C$19+$C$20+$C$21)+$C$22+$C$23)</f>
        <v/>
      </c>
      <c r="I996" s="138">
        <f>IF(B996="Working",MIN(MAX(D996-E996-F996-G996-H996,0),'Tax Assumptions'!$B$20),0)</f>
        <v/>
      </c>
      <c r="J996" s="138">
        <f>IF(B996="Working",D996-E996-F996-I996-G996-H996,-L996)</f>
        <v/>
      </c>
      <c r="K996" s="141">
        <f>IF(B996="Retired",$N$243+G996+H996,0)</f>
        <v/>
      </c>
      <c r="L996" s="141">
        <f>M996+N996+O996+P996</f>
        <v/>
      </c>
      <c r="M996" s="141">
        <f>IF(B996="Retired",MIN(((Q995)*(1+$C$10)+IF(B996="Working",J996,0)),K996),0)</f>
        <v/>
      </c>
      <c r="N996" s="141">
        <f>IF(B996="Retired",MIN(MAX(K996-M996,0),((R995)*(1+$C$10)+IF(B996="Working",E115,0))),0)</f>
        <v/>
      </c>
      <c r="O996" s="141">
        <f>IF(B996="Retired",MIN(MAX(K996-M996-N996,0),((S995)*(1+$C$10)+IF(B996="Working",I996,0))),0)</f>
        <v/>
      </c>
      <c r="P996" s="141">
        <f>IF(B996="Retired",MIN(MAX(K996-M996-N996-O996,0),((T995)*(1+$C$10)+IF(B996="Working",F115,0))),0)</f>
        <v/>
      </c>
      <c r="Q996" s="138">
        <f>MAX(((Q995)*(1+$C$10)+IF(B996="Working",J996,0))-M996,0)</f>
        <v/>
      </c>
      <c r="R996" s="138">
        <f>MAX(((R995)*(1+$C$10)+IF(B996="Working",E115,0))-N996,0)</f>
        <v/>
      </c>
      <c r="S996" s="138">
        <f>MAX(((S995)*(1+$C$10)+IF(B996="Working",I996,0))-O996,0)</f>
        <v/>
      </c>
      <c r="T996" s="138">
        <f>MAX(((T995)*(1+$C$10)+IF(B996="Working",F115,0))-P996,0)</f>
        <v/>
      </c>
      <c r="U996" s="138">
        <f>Q996+R996+S996+T996</f>
        <v/>
      </c>
      <c r="V996" s="138">
        <f>IF(B996="Working",MAX(-(((Q995)*(1+$C$10)+IF(B996="Working",J996,0))),0),MAX(K996-L996,0))</f>
        <v/>
      </c>
      <c r="W996" s="138">
        <f>IF(OR(A996&gt;=$C$13,B996="Retired"),IF(V996&gt;0,-V996,U996-'Model Inputs'!$B$18),"")</f>
        <v/>
      </c>
      <c r="X996" s="138">
        <f>IF(AND($L$243&gt;0,A996&gt;=$C$13),$L$243*(1+$C$25)^(A996-$C$13),0)</f>
        <v/>
      </c>
      <c r="Y996" s="138">
        <f>IF(OR($L$243&lt;=0,$C$17&lt;=0,A996&lt;$C$13,MIN(MAX((A996-$C$13+1)*12,0),$C$17*12)&gt;=$C$17*12),0,IF($C$16=0,MAX(MAX($L$243*(1-$C$15),0)-(IF($C$17&lt;=0,0,IF($C$16=0,MAX($L$243*(1-$C$15),0)/$C$17,-PMT($C$16/12,$C$17*12,MAX($L$243*(1-$C$15),0))*12))/12)*MIN(MAX((A996-$C$13+1)*12,0),$C$17*12),0),MAX(MAX($L$243*(1-$C$15),0)*(1+$C$16/12)^MIN(MAX((A996-$C$13+1)*12,0),$C$17*12)-(IF($C$17&lt;=0,0,IF($C$16=0,MAX($L$243*(1-$C$15),0)/$C$17,-PMT($C$16/12,$C$17*12,MAX($L$243*(1-$C$15),0))*12))/12)*(((1+$C$16/12)^MIN(MAX((A996-$C$13+1)*12,0),$C$17*12)-1)/($C$16/12)),0)))</f>
        <v/>
      </c>
      <c r="Z996" s="138">
        <f>MAX(X996-Y996,0)</f>
        <v/>
      </c>
      <c r="AA996" s="142">
        <f>U996+Z996</f>
        <v/>
      </c>
      <c r="AB996" s="5" t="n"/>
      <c r="AC996" s="5" t="n"/>
      <c r="AD996" s="5" t="n"/>
      <c r="AE996" s="5" t="n"/>
      <c r="AF996" s="5" t="n"/>
      <c r="AG996" s="5" t="n"/>
    </row>
    <row r="997" outlineLevel="1" s="326">
      <c r="A997" s="136" t="n">
        <v>37</v>
      </c>
      <c r="B997" s="72">
        <f>B116</f>
        <v/>
      </c>
      <c r="C997" s="137">
        <f>D116</f>
        <v/>
      </c>
      <c r="D997" s="137">
        <f>I116</f>
        <v/>
      </c>
      <c r="E997" s="137">
        <f>J116</f>
        <v/>
      </c>
      <c r="F997" s="137">
        <f>K116</f>
        <v/>
      </c>
      <c r="G997" s="138">
        <f>IF(AND($L$243&gt;0,A997=$C$13),$L$243*($C$15+$C$18),0)+IF(AND($L$243&gt;0,A997=$C$13),$C$24,0)</f>
        <v/>
      </c>
      <c r="H997" s="138">
        <f>IF(OR($L$243&lt;=0,A997&lt;$C$13),0,IF(AND($L$243&gt;0,$C$17&gt;0,A997&gt;=$C$13,A997&lt;($C$13+$C$17)),IF($C$17&lt;=0,0,IF($C$16=0,MAX($L$243*(1-$C$15),0)/$C$17,-PMT($C$16/12,$C$17*12,MAX($L$243*(1-$C$15),0))*12)),0)+X997*($C$19+$C$20+$C$21)+$C$22+$C$23)</f>
        <v/>
      </c>
      <c r="I997" s="138">
        <f>IF(B997="Working",MIN(MAX(D997-E997-F997-G997-H997,0),'Tax Assumptions'!$B$20),0)</f>
        <v/>
      </c>
      <c r="J997" s="138">
        <f>IF(B997="Working",D997-E997-F997-I997-G997-H997,-L997)</f>
        <v/>
      </c>
      <c r="K997" s="137">
        <f>IF(B997="Retired",$N$243+G997+H997,0)</f>
        <v/>
      </c>
      <c r="L997" s="137">
        <f>M997+N997+O997+P997</f>
        <v/>
      </c>
      <c r="M997" s="137">
        <f>IF(B997="Retired",MIN(((Q996)*(1+$C$10)+IF(B997="Working",J997,0)),K997),0)</f>
        <v/>
      </c>
      <c r="N997" s="137">
        <f>IF(B997="Retired",MIN(MAX(K997-M997,0),((R996)*(1+$C$10)+IF(B997="Working",E116,0))),0)</f>
        <v/>
      </c>
      <c r="O997" s="137">
        <f>IF(B997="Retired",MIN(MAX(K997-M997-N997,0),((S996)*(1+$C$10)+IF(B997="Working",I997,0))),0)</f>
        <v/>
      </c>
      <c r="P997" s="137">
        <f>IF(B997="Retired",MIN(MAX(K997-M997-N997-O997,0),((T996)*(1+$C$10)+IF(B997="Working",F116,0))),0)</f>
        <v/>
      </c>
      <c r="Q997" s="138">
        <f>MAX(((Q996)*(1+$C$10)+IF(B997="Working",J997,0))-M997,0)</f>
        <v/>
      </c>
      <c r="R997" s="138">
        <f>MAX(((R996)*(1+$C$10)+IF(B997="Working",E116,0))-N997,0)</f>
        <v/>
      </c>
      <c r="S997" s="138">
        <f>MAX(((S996)*(1+$C$10)+IF(B997="Working",I997,0))-O997,0)</f>
        <v/>
      </c>
      <c r="T997" s="138">
        <f>MAX(((T996)*(1+$C$10)+IF(B997="Working",F116,0))-P997,0)</f>
        <v/>
      </c>
      <c r="U997" s="138">
        <f>Q997+R997+S997+T997</f>
        <v/>
      </c>
      <c r="V997" s="138">
        <f>IF(B997="Working",MAX(-(((Q996)*(1+$C$10)+IF(B997="Working",J997,0))),0),MAX(K997-L997,0))</f>
        <v/>
      </c>
      <c r="W997" s="138">
        <f>IF(OR(A997&gt;=$C$13,B997="Retired"),IF(V997&gt;0,-V997,U997-'Model Inputs'!$B$18),"")</f>
        <v/>
      </c>
      <c r="X997" s="138">
        <f>IF(AND($L$243&gt;0,A997&gt;=$C$13),$L$243*(1+$C$25)^(A997-$C$13),0)</f>
        <v/>
      </c>
      <c r="Y997" s="138">
        <f>IF(OR($L$243&lt;=0,$C$17&lt;=0,A997&lt;$C$13,MIN(MAX((A997-$C$13+1)*12,0),$C$17*12)&gt;=$C$17*12),0,IF($C$16=0,MAX(MAX($L$243*(1-$C$15),0)-(IF($C$17&lt;=0,0,IF($C$16=0,MAX($L$243*(1-$C$15),0)/$C$17,-PMT($C$16/12,$C$17*12,MAX($L$243*(1-$C$15),0))*12))/12)*MIN(MAX((A997-$C$13+1)*12,0),$C$17*12),0),MAX(MAX($L$243*(1-$C$15),0)*(1+$C$16/12)^MIN(MAX((A997-$C$13+1)*12,0),$C$17*12)-(IF($C$17&lt;=0,0,IF($C$16=0,MAX($L$243*(1-$C$15),0)/$C$17,-PMT($C$16/12,$C$17*12,MAX($L$243*(1-$C$15),0))*12))/12)*(((1+$C$16/12)^MIN(MAX((A997-$C$13+1)*12,0),$C$17*12)-1)/($C$16/12)),0)))</f>
        <v/>
      </c>
      <c r="Z997" s="138">
        <f>MAX(X997-Y997,0)</f>
        <v/>
      </c>
      <c r="AA997" s="139">
        <f>U997+Z997</f>
        <v/>
      </c>
      <c r="AB997" s="5" t="n"/>
      <c r="AC997" s="5" t="n"/>
      <c r="AD997" s="5" t="n"/>
      <c r="AE997" s="5" t="n"/>
      <c r="AF997" s="5" t="n"/>
      <c r="AG997" s="5" t="n"/>
    </row>
    <row r="998" outlineLevel="1" s="326">
      <c r="A998" s="140" t="n">
        <v>38</v>
      </c>
      <c r="B998" s="40">
        <f>B117</f>
        <v/>
      </c>
      <c r="C998" s="141">
        <f>D117</f>
        <v/>
      </c>
      <c r="D998" s="141">
        <f>I117</f>
        <v/>
      </c>
      <c r="E998" s="141">
        <f>J117</f>
        <v/>
      </c>
      <c r="F998" s="141">
        <f>K117</f>
        <v/>
      </c>
      <c r="G998" s="138">
        <f>IF(AND($L$243&gt;0,A998=$C$13),$L$243*($C$15+$C$18),0)+IF(AND($L$243&gt;0,A998=$C$13),$C$24,0)</f>
        <v/>
      </c>
      <c r="H998" s="138">
        <f>IF(OR($L$243&lt;=0,A998&lt;$C$13),0,IF(AND($L$243&gt;0,$C$17&gt;0,A998&gt;=$C$13,A998&lt;($C$13+$C$17)),IF($C$17&lt;=0,0,IF($C$16=0,MAX($L$243*(1-$C$15),0)/$C$17,-PMT($C$16/12,$C$17*12,MAX($L$243*(1-$C$15),0))*12)),0)+X998*($C$19+$C$20+$C$21)+$C$22+$C$23)</f>
        <v/>
      </c>
      <c r="I998" s="138">
        <f>IF(B998="Working",MIN(MAX(D998-E998-F998-G998-H998,0),'Tax Assumptions'!$B$20),0)</f>
        <v/>
      </c>
      <c r="J998" s="138">
        <f>IF(B998="Working",D998-E998-F998-I998-G998-H998,-L998)</f>
        <v/>
      </c>
      <c r="K998" s="141">
        <f>IF(B998="Retired",$N$243+G998+H998,0)</f>
        <v/>
      </c>
      <c r="L998" s="141">
        <f>M998+N998+O998+P998</f>
        <v/>
      </c>
      <c r="M998" s="141">
        <f>IF(B998="Retired",MIN(((Q997)*(1+$C$10)+IF(B998="Working",J998,0)),K998),0)</f>
        <v/>
      </c>
      <c r="N998" s="141">
        <f>IF(B998="Retired",MIN(MAX(K998-M998,0),((R997)*(1+$C$10)+IF(B998="Working",E117,0))),0)</f>
        <v/>
      </c>
      <c r="O998" s="141">
        <f>IF(B998="Retired",MIN(MAX(K998-M998-N998,0),((S997)*(1+$C$10)+IF(B998="Working",I998,0))),0)</f>
        <v/>
      </c>
      <c r="P998" s="141">
        <f>IF(B998="Retired",MIN(MAX(K998-M998-N998-O998,0),((T997)*(1+$C$10)+IF(B998="Working",F117,0))),0)</f>
        <v/>
      </c>
      <c r="Q998" s="138">
        <f>MAX(((Q997)*(1+$C$10)+IF(B998="Working",J998,0))-M998,0)</f>
        <v/>
      </c>
      <c r="R998" s="138">
        <f>MAX(((R997)*(1+$C$10)+IF(B998="Working",E117,0))-N998,0)</f>
        <v/>
      </c>
      <c r="S998" s="138">
        <f>MAX(((S997)*(1+$C$10)+IF(B998="Working",I998,0))-O998,0)</f>
        <v/>
      </c>
      <c r="T998" s="138">
        <f>MAX(((T997)*(1+$C$10)+IF(B998="Working",F117,0))-P998,0)</f>
        <v/>
      </c>
      <c r="U998" s="138">
        <f>Q998+R998+S998+T998</f>
        <v/>
      </c>
      <c r="V998" s="138">
        <f>IF(B998="Working",MAX(-(((Q997)*(1+$C$10)+IF(B998="Working",J998,0))),0),MAX(K998-L998,0))</f>
        <v/>
      </c>
      <c r="W998" s="138">
        <f>IF(OR(A998&gt;=$C$13,B998="Retired"),IF(V998&gt;0,-V998,U998-'Model Inputs'!$B$18),"")</f>
        <v/>
      </c>
      <c r="X998" s="138">
        <f>IF(AND($L$243&gt;0,A998&gt;=$C$13),$L$243*(1+$C$25)^(A998-$C$13),0)</f>
        <v/>
      </c>
      <c r="Y998" s="138">
        <f>IF(OR($L$243&lt;=0,$C$17&lt;=0,A998&lt;$C$13,MIN(MAX((A998-$C$13+1)*12,0),$C$17*12)&gt;=$C$17*12),0,IF($C$16=0,MAX(MAX($L$243*(1-$C$15),0)-(IF($C$17&lt;=0,0,IF($C$16=0,MAX($L$243*(1-$C$15),0)/$C$17,-PMT($C$16/12,$C$17*12,MAX($L$243*(1-$C$15),0))*12))/12)*MIN(MAX((A998-$C$13+1)*12,0),$C$17*12),0),MAX(MAX($L$243*(1-$C$15),0)*(1+$C$16/12)^MIN(MAX((A998-$C$13+1)*12,0),$C$17*12)-(IF($C$17&lt;=0,0,IF($C$16=0,MAX($L$243*(1-$C$15),0)/$C$17,-PMT($C$16/12,$C$17*12,MAX($L$243*(1-$C$15),0))*12))/12)*(((1+$C$16/12)^MIN(MAX((A998-$C$13+1)*12,0),$C$17*12)-1)/($C$16/12)),0)))</f>
        <v/>
      </c>
      <c r="Z998" s="138">
        <f>MAX(X998-Y998,0)</f>
        <v/>
      </c>
      <c r="AA998" s="142">
        <f>U998+Z998</f>
        <v/>
      </c>
      <c r="AB998" s="5" t="n"/>
      <c r="AC998" s="5" t="n"/>
      <c r="AD998" s="5" t="n"/>
      <c r="AE998" s="5" t="n"/>
      <c r="AF998" s="5" t="n"/>
      <c r="AG998" s="5" t="n"/>
    </row>
    <row r="999" outlineLevel="1" s="326">
      <c r="A999" s="136" t="n">
        <v>39</v>
      </c>
      <c r="B999" s="72">
        <f>B118</f>
        <v/>
      </c>
      <c r="C999" s="137">
        <f>D118</f>
        <v/>
      </c>
      <c r="D999" s="137">
        <f>I118</f>
        <v/>
      </c>
      <c r="E999" s="137">
        <f>J118</f>
        <v/>
      </c>
      <c r="F999" s="137">
        <f>K118</f>
        <v/>
      </c>
      <c r="G999" s="138">
        <f>IF(AND($L$243&gt;0,A999=$C$13),$L$243*($C$15+$C$18),0)+IF(AND($L$243&gt;0,A999=$C$13),$C$24,0)</f>
        <v/>
      </c>
      <c r="H999" s="138">
        <f>IF(OR($L$243&lt;=0,A999&lt;$C$13),0,IF(AND($L$243&gt;0,$C$17&gt;0,A999&gt;=$C$13,A999&lt;($C$13+$C$17)),IF($C$17&lt;=0,0,IF($C$16=0,MAX($L$243*(1-$C$15),0)/$C$17,-PMT($C$16/12,$C$17*12,MAX($L$243*(1-$C$15),0))*12)),0)+X999*($C$19+$C$20+$C$21)+$C$22+$C$23)</f>
        <v/>
      </c>
      <c r="I999" s="138">
        <f>IF(B999="Working",MIN(MAX(D999-E999-F999-G999-H999,0),'Tax Assumptions'!$B$20),0)</f>
        <v/>
      </c>
      <c r="J999" s="138">
        <f>IF(B999="Working",D999-E999-F999-I999-G999-H999,-L999)</f>
        <v/>
      </c>
      <c r="K999" s="137">
        <f>IF(B999="Retired",$N$243+G999+H999,0)</f>
        <v/>
      </c>
      <c r="L999" s="137">
        <f>M999+N999+O999+P999</f>
        <v/>
      </c>
      <c r="M999" s="137">
        <f>IF(B999="Retired",MIN(((Q998)*(1+$C$10)+IF(B999="Working",J999,0)),K999),0)</f>
        <v/>
      </c>
      <c r="N999" s="137">
        <f>IF(B999="Retired",MIN(MAX(K999-M999,0),((R998)*(1+$C$10)+IF(B999="Working",E118,0))),0)</f>
        <v/>
      </c>
      <c r="O999" s="137">
        <f>IF(B999="Retired",MIN(MAX(K999-M999-N999,0),((S998)*(1+$C$10)+IF(B999="Working",I999,0))),0)</f>
        <v/>
      </c>
      <c r="P999" s="137">
        <f>IF(B999="Retired",MIN(MAX(K999-M999-N999-O999,0),((T998)*(1+$C$10)+IF(B999="Working",F118,0))),0)</f>
        <v/>
      </c>
      <c r="Q999" s="138">
        <f>MAX(((Q998)*(1+$C$10)+IF(B999="Working",J999,0))-M999,0)</f>
        <v/>
      </c>
      <c r="R999" s="138">
        <f>MAX(((R998)*(1+$C$10)+IF(B999="Working",E118,0))-N999,0)</f>
        <v/>
      </c>
      <c r="S999" s="138">
        <f>MAX(((S998)*(1+$C$10)+IF(B999="Working",I999,0))-O999,0)</f>
        <v/>
      </c>
      <c r="T999" s="138">
        <f>MAX(((T998)*(1+$C$10)+IF(B999="Working",F118,0))-P999,0)</f>
        <v/>
      </c>
      <c r="U999" s="138">
        <f>Q999+R999+S999+T999</f>
        <v/>
      </c>
      <c r="V999" s="138">
        <f>IF(B999="Working",MAX(-(((Q998)*(1+$C$10)+IF(B999="Working",J999,0))),0),MAX(K999-L999,0))</f>
        <v/>
      </c>
      <c r="W999" s="138">
        <f>IF(OR(A999&gt;=$C$13,B999="Retired"),IF(V999&gt;0,-V999,U999-'Model Inputs'!$B$18),"")</f>
        <v/>
      </c>
      <c r="X999" s="138">
        <f>IF(AND($L$243&gt;0,A999&gt;=$C$13),$L$243*(1+$C$25)^(A999-$C$13),0)</f>
        <v/>
      </c>
      <c r="Y999" s="138">
        <f>IF(OR($L$243&lt;=0,$C$17&lt;=0,A999&lt;$C$13,MIN(MAX((A999-$C$13+1)*12,0),$C$17*12)&gt;=$C$17*12),0,IF($C$16=0,MAX(MAX($L$243*(1-$C$15),0)-(IF($C$17&lt;=0,0,IF($C$16=0,MAX($L$243*(1-$C$15),0)/$C$17,-PMT($C$16/12,$C$17*12,MAX($L$243*(1-$C$15),0))*12))/12)*MIN(MAX((A999-$C$13+1)*12,0),$C$17*12),0),MAX(MAX($L$243*(1-$C$15),0)*(1+$C$16/12)^MIN(MAX((A999-$C$13+1)*12,0),$C$17*12)-(IF($C$17&lt;=0,0,IF($C$16=0,MAX($L$243*(1-$C$15),0)/$C$17,-PMT($C$16/12,$C$17*12,MAX($L$243*(1-$C$15),0))*12))/12)*(((1+$C$16/12)^MIN(MAX((A999-$C$13+1)*12,0),$C$17*12)-1)/($C$16/12)),0)))</f>
        <v/>
      </c>
      <c r="Z999" s="138">
        <f>MAX(X999-Y999,0)</f>
        <v/>
      </c>
      <c r="AA999" s="139">
        <f>U999+Z999</f>
        <v/>
      </c>
      <c r="AB999" s="5" t="n"/>
      <c r="AC999" s="5" t="n"/>
      <c r="AD999" s="5" t="n"/>
      <c r="AE999" s="5" t="n"/>
      <c r="AF999" s="5" t="n"/>
      <c r="AG999" s="5" t="n"/>
    </row>
    <row r="1000" outlineLevel="1" s="326">
      <c r="A1000" s="140" t="n">
        <v>40</v>
      </c>
      <c r="B1000" s="40">
        <f>B119</f>
        <v/>
      </c>
      <c r="C1000" s="141">
        <f>D119</f>
        <v/>
      </c>
      <c r="D1000" s="141">
        <f>I119</f>
        <v/>
      </c>
      <c r="E1000" s="141">
        <f>J119</f>
        <v/>
      </c>
      <c r="F1000" s="141">
        <f>K119</f>
        <v/>
      </c>
      <c r="G1000" s="138">
        <f>IF(AND($L$243&gt;0,A1000=$C$13),$L$243*($C$15+$C$18),0)+IF(AND($L$243&gt;0,A1000=$C$13),$C$24,0)</f>
        <v/>
      </c>
      <c r="H1000" s="138">
        <f>IF(OR($L$243&lt;=0,A1000&lt;$C$13),0,IF(AND($L$243&gt;0,$C$17&gt;0,A1000&gt;=$C$13,A1000&lt;($C$13+$C$17)),IF($C$17&lt;=0,0,IF($C$16=0,MAX($L$243*(1-$C$15),0)/$C$17,-PMT($C$16/12,$C$17*12,MAX($L$243*(1-$C$15),0))*12)),0)+X1000*($C$19+$C$20+$C$21)+$C$22+$C$23)</f>
        <v/>
      </c>
      <c r="I1000" s="138">
        <f>IF(B1000="Working",MIN(MAX(D1000-E1000-F1000-G1000-H1000,0),'Tax Assumptions'!$B$20),0)</f>
        <v/>
      </c>
      <c r="J1000" s="138">
        <f>IF(B1000="Working",D1000-E1000-F1000-I1000-G1000-H1000,-L1000)</f>
        <v/>
      </c>
      <c r="K1000" s="141">
        <f>IF(B1000="Retired",$N$243+G1000+H1000,0)</f>
        <v/>
      </c>
      <c r="L1000" s="141">
        <f>M1000+N1000+O1000+P1000</f>
        <v/>
      </c>
      <c r="M1000" s="141">
        <f>IF(B1000="Retired",MIN(((Q999)*(1+$C$10)+IF(B1000="Working",J1000,0)),K1000),0)</f>
        <v/>
      </c>
      <c r="N1000" s="141">
        <f>IF(B1000="Retired",MIN(MAX(K1000-M1000,0),((R999)*(1+$C$10)+IF(B1000="Working",E119,0))),0)</f>
        <v/>
      </c>
      <c r="O1000" s="141">
        <f>IF(B1000="Retired",MIN(MAX(K1000-M1000-N1000,0),((S999)*(1+$C$10)+IF(B1000="Working",I1000,0))),0)</f>
        <v/>
      </c>
      <c r="P1000" s="141">
        <f>IF(B1000="Retired",MIN(MAX(K1000-M1000-N1000-O1000,0),((T999)*(1+$C$10)+IF(B1000="Working",F119,0))),0)</f>
        <v/>
      </c>
      <c r="Q1000" s="138">
        <f>MAX(((Q999)*(1+$C$10)+IF(B1000="Working",J1000,0))-M1000,0)</f>
        <v/>
      </c>
      <c r="R1000" s="138">
        <f>MAX(((R999)*(1+$C$10)+IF(B1000="Working",E119,0))-N1000,0)</f>
        <v/>
      </c>
      <c r="S1000" s="138">
        <f>MAX(((S999)*(1+$C$10)+IF(B1000="Working",I1000,0))-O1000,0)</f>
        <v/>
      </c>
      <c r="T1000" s="138">
        <f>MAX(((T999)*(1+$C$10)+IF(B1000="Working",F119,0))-P1000,0)</f>
        <v/>
      </c>
      <c r="U1000" s="138">
        <f>Q1000+R1000+S1000+T1000</f>
        <v/>
      </c>
      <c r="V1000" s="138">
        <f>IF(B1000="Working",MAX(-(((Q999)*(1+$C$10)+IF(B1000="Working",J1000,0))),0),MAX(K1000-L1000,0))</f>
        <v/>
      </c>
      <c r="W1000" s="138">
        <f>IF(OR(A1000&gt;=$C$13,B1000="Retired"),IF(V1000&gt;0,-V1000,U1000-'Model Inputs'!$B$18),"")</f>
        <v/>
      </c>
      <c r="X1000" s="138">
        <f>IF(AND($L$243&gt;0,A1000&gt;=$C$13),$L$243*(1+$C$25)^(A1000-$C$13),0)</f>
        <v/>
      </c>
      <c r="Y1000" s="138">
        <f>IF(OR($L$243&lt;=0,$C$17&lt;=0,A1000&lt;$C$13,MIN(MAX((A1000-$C$13+1)*12,0),$C$17*12)&gt;=$C$17*12),0,IF($C$16=0,MAX(MAX($L$243*(1-$C$15),0)-(IF($C$17&lt;=0,0,IF($C$16=0,MAX($L$243*(1-$C$15),0)/$C$17,-PMT($C$16/12,$C$17*12,MAX($L$243*(1-$C$15),0))*12))/12)*MIN(MAX((A1000-$C$13+1)*12,0),$C$17*12),0),MAX(MAX($L$243*(1-$C$15),0)*(1+$C$16/12)^MIN(MAX((A1000-$C$13+1)*12,0),$C$17*12)-(IF($C$17&lt;=0,0,IF($C$16=0,MAX($L$243*(1-$C$15),0)/$C$17,-PMT($C$16/12,$C$17*12,MAX($L$243*(1-$C$15),0))*12))/12)*(((1+$C$16/12)^MIN(MAX((A1000-$C$13+1)*12,0),$C$17*12)-1)/($C$16/12)),0)))</f>
        <v/>
      </c>
      <c r="Z1000" s="138">
        <f>MAX(X1000-Y1000,0)</f>
        <v/>
      </c>
      <c r="AA1000" s="142">
        <f>U1000+Z1000</f>
        <v/>
      </c>
      <c r="AB1000" s="5" t="n"/>
      <c r="AC1000" s="5" t="n"/>
      <c r="AD1000" s="5" t="n"/>
      <c r="AE1000" s="5" t="n"/>
      <c r="AF1000" s="5" t="n"/>
      <c r="AG1000" s="5" t="n"/>
    </row>
    <row r="1001" outlineLevel="1" s="326">
      <c r="A1001" s="143" t="inlineStr">
        <is>
          <t>Case Summary</t>
        </is>
      </c>
      <c r="B1001" s="144" t="n"/>
      <c r="C1001" s="144" t="n"/>
      <c r="D1001" s="144" t="n"/>
      <c r="E1001" s="144" t="n"/>
      <c r="F1001" s="144" t="n"/>
      <c r="G1001" s="145">
        <f>SUM(G961:G1000)</f>
        <v/>
      </c>
      <c r="H1001" s="145">
        <f>SUM(H961:H1000)</f>
        <v/>
      </c>
      <c r="I1001" s="145">
        <f>SUM(I961:I1000)</f>
        <v/>
      </c>
      <c r="J1001" s="145">
        <f>SUM(J961:J1000)</f>
        <v/>
      </c>
      <c r="K1001" s="145">
        <f>SUM(K961:K1000)</f>
        <v/>
      </c>
      <c r="L1001" s="145">
        <f>SUM(L961:L1000)</f>
        <v/>
      </c>
      <c r="M1001" s="145">
        <f>SUM(M961:M1000)</f>
        <v/>
      </c>
      <c r="N1001" s="145">
        <f>SUM(N961:N1000)</f>
        <v/>
      </c>
      <c r="O1001" s="145">
        <f>SUM(O961:O1000)</f>
        <v/>
      </c>
      <c r="P1001" s="145">
        <f>SUM(P961:P1000)</f>
        <v/>
      </c>
      <c r="Q1001" s="145">
        <f>Q1000</f>
        <v/>
      </c>
      <c r="R1001" s="145">
        <f>R1000</f>
        <v/>
      </c>
      <c r="S1001" s="145">
        <f>S1000</f>
        <v/>
      </c>
      <c r="T1001" s="145">
        <f>T1000</f>
        <v/>
      </c>
      <c r="U1001" s="145">
        <f>U1000</f>
        <v/>
      </c>
      <c r="V1001" s="145">
        <f>SUM(V961:V1000)</f>
        <v/>
      </c>
      <c r="W1001" s="145">
        <f>MIN(W961:W1000)</f>
        <v/>
      </c>
      <c r="X1001" s="145">
        <f>X1000</f>
        <v/>
      </c>
      <c r="Y1001" s="145">
        <f>Y1000</f>
        <v/>
      </c>
      <c r="Z1001" s="145">
        <f>Z1000</f>
        <v/>
      </c>
      <c r="AA1001" s="146">
        <f>AA1000</f>
        <v/>
      </c>
      <c r="AB1001" s="5" t="n"/>
      <c r="AC1001" s="5" t="n"/>
      <c r="AD1001" s="5" t="n"/>
      <c r="AE1001" s="5" t="n"/>
      <c r="AF1001" s="5" t="n"/>
      <c r="AG1001" s="5" t="n"/>
    </row>
    <row r="1002" outlineLevel="1" s="326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5" t="n"/>
      <c r="AE1002" s="5" t="n"/>
      <c r="AF1002" s="5" t="n"/>
      <c r="AG1002" s="5" t="n"/>
    </row>
    <row r="1003" outlineLevel="1" s="326">
      <c r="A1003" s="387">
        <f>J244&amp;" | House "&amp;TEXT($L$244,"$#,##0")&amp;" | Spend "&amp;TEXT($N$244,"$#,##0")</f>
        <v/>
      </c>
      <c r="B1003" s="345" t="n"/>
      <c r="C1003" s="345" t="n"/>
      <c r="D1003" s="345" t="n"/>
      <c r="E1003" s="345" t="n"/>
      <c r="F1003" s="345" t="n"/>
      <c r="G1003" s="345" t="n"/>
      <c r="H1003" s="345" t="n"/>
      <c r="I1003" s="345" t="n"/>
      <c r="J1003" s="345" t="n"/>
      <c r="K1003" s="345" t="n"/>
      <c r="L1003" s="345" t="n"/>
      <c r="M1003" s="345" t="n"/>
      <c r="N1003" s="345" t="n"/>
      <c r="O1003" s="345" t="n"/>
      <c r="P1003" s="345" t="n"/>
      <c r="Q1003" s="345" t="n"/>
      <c r="R1003" s="345" t="n"/>
      <c r="S1003" s="345" t="n"/>
      <c r="T1003" s="345" t="n"/>
      <c r="U1003" s="345" t="n"/>
      <c r="V1003" s="345" t="n"/>
      <c r="W1003" s="345" t="n"/>
      <c r="X1003" s="345" t="n"/>
      <c r="Y1003" s="345" t="n"/>
      <c r="Z1003" s="345" t="n"/>
      <c r="AA1003" s="346" t="n"/>
      <c r="AB1003" s="5" t="n"/>
      <c r="AC1003" s="5" t="n"/>
      <c r="AD1003" s="5" t="n"/>
      <c r="AE1003" s="5" t="n"/>
      <c r="AF1003" s="5" t="n"/>
      <c r="AG1003" s="5" t="n"/>
    </row>
    <row r="1004" outlineLevel="1" ht="34" customHeight="1" s="326">
      <c r="A1004" s="134" t="inlineStr">
        <is>
          <t>Year</t>
        </is>
      </c>
      <c r="B1004" s="83" t="inlineStr">
        <is>
          <t>Phase</t>
        </is>
      </c>
      <c r="C1004" s="83" t="inlineStr">
        <is>
          <t>Gross</t>
        </is>
      </c>
      <c r="D1004" s="83" t="inlineStr">
        <is>
          <t>Post-Tax Cash</t>
        </is>
      </c>
      <c r="E1004" s="83" t="inlineStr">
        <is>
          <t>Rent</t>
        </is>
      </c>
      <c r="F1004" s="83" t="inlineStr">
        <is>
          <t>Living</t>
        </is>
      </c>
      <c r="G1004" s="83" t="inlineStr">
        <is>
          <t>House Cash</t>
        </is>
      </c>
      <c r="H1004" s="83" t="inlineStr">
        <is>
          <t>Housing Carry</t>
        </is>
      </c>
      <c r="I1004" s="83" t="inlineStr">
        <is>
          <t>Roth</t>
        </is>
      </c>
      <c r="J1004" s="83" t="inlineStr">
        <is>
          <t>Taxable Sav / (Draw)</t>
        </is>
      </c>
      <c r="K1004" s="83" t="inlineStr">
        <is>
          <t>Planned Need</t>
        </is>
      </c>
      <c r="L1004" s="83" t="inlineStr">
        <is>
          <t>Actual W/D</t>
        </is>
      </c>
      <c r="M1004" s="83" t="inlineStr">
        <is>
          <t>Taxable Draw</t>
        </is>
      </c>
      <c r="N1004" s="83" t="inlineStr">
        <is>
          <t>401(k) Draw</t>
        </is>
      </c>
      <c r="O1004" s="83" t="inlineStr">
        <is>
          <t>Roth Draw</t>
        </is>
      </c>
      <c r="P1004" s="83" t="inlineStr">
        <is>
          <t>HSA Draw</t>
        </is>
      </c>
      <c r="Q1004" s="83" t="inlineStr">
        <is>
          <t>Taxable Bal</t>
        </is>
      </c>
      <c r="R1004" s="83" t="inlineStr">
        <is>
          <t>401(k) Bal</t>
        </is>
      </c>
      <c r="S1004" s="83" t="inlineStr">
        <is>
          <t>Roth Bal</t>
        </is>
      </c>
      <c r="T1004" s="83" t="inlineStr">
        <is>
          <t>HSA Bal</t>
        </is>
      </c>
      <c r="U1004" s="83" t="inlineStr">
        <is>
          <t>Liquid Wealth</t>
        </is>
      </c>
      <c r="V1004" s="83" t="inlineStr">
        <is>
          <t>Funding Gap</t>
        </is>
      </c>
      <c r="W1004" s="83" t="inlineStr">
        <is>
          <t>Margin vs Reserve</t>
        </is>
      </c>
      <c r="X1004" s="83" t="inlineStr">
        <is>
          <t>House Value</t>
        </is>
      </c>
      <c r="Y1004" s="83" t="inlineStr">
        <is>
          <t>Mortgage Balance</t>
        </is>
      </c>
      <c r="Z1004" s="83" t="inlineStr">
        <is>
          <t>Home Equity</t>
        </is>
      </c>
      <c r="AA1004" s="135" t="inlineStr">
        <is>
          <t>Net Worth</t>
        </is>
      </c>
      <c r="AB1004" s="5" t="n"/>
      <c r="AC1004" s="5" t="n"/>
      <c r="AD1004" s="5" t="n"/>
      <c r="AE1004" s="5" t="n"/>
      <c r="AF1004" s="5" t="n"/>
      <c r="AG1004" s="5" t="n"/>
    </row>
    <row r="1005" outlineLevel="1" s="326">
      <c r="A1005" s="136" t="n">
        <v>1</v>
      </c>
      <c r="B1005" s="72">
        <f>B80</f>
        <v/>
      </c>
      <c r="C1005" s="137">
        <f>D80</f>
        <v/>
      </c>
      <c r="D1005" s="137">
        <f>I80</f>
        <v/>
      </c>
      <c r="E1005" s="137">
        <f>J80</f>
        <v/>
      </c>
      <c r="F1005" s="137">
        <f>K80</f>
        <v/>
      </c>
      <c r="G1005" s="138">
        <f>IF(AND($L$244&gt;0,A1005=$C$13),$L$244*($C$15+$C$18),0)+IF(AND($L$244&gt;0,A1005=$C$13),$C$24,0)</f>
        <v/>
      </c>
      <c r="H1005" s="138">
        <f>IF(OR($L$244&lt;=0,A1005&lt;$C$13),0,IF(AND($L$244&gt;0,$C$17&gt;0,A1005&gt;=$C$13,A1005&lt;($C$13+$C$17)),IF($C$17&lt;=0,0,IF($C$16=0,MAX($L$244*(1-$C$15),0)/$C$17,-PMT($C$16/12,$C$17*12,MAX($L$244*(1-$C$15),0))*12)),0)+X1005*($C$19+$C$20+$C$21)+$C$22+$C$23)</f>
        <v/>
      </c>
      <c r="I1005" s="138">
        <f>IF(B1005="Working",MIN(MAX(D1005-E1005-F1005-G1005-H1005,0),'Tax Assumptions'!$B$20),0)</f>
        <v/>
      </c>
      <c r="J1005" s="138">
        <f>IF(B1005="Working",D1005-E1005-F1005-I1005-G1005-H1005,-L1005)</f>
        <v/>
      </c>
      <c r="K1005" s="137">
        <f>IF(B1005="Retired",$N$244+G1005+H1005,0)</f>
        <v/>
      </c>
      <c r="L1005" s="137">
        <f>M1005+N1005+O1005+P1005</f>
        <v/>
      </c>
      <c r="M1005" s="137">
        <f>IF(B1005="Retired",MIN((('Savings Projection'!$B$7)*(1+$C$10)+IF(B1005="Working",J1005,0)),K1005),0)</f>
        <v/>
      </c>
      <c r="N1005" s="137">
        <f>IF(B1005="Retired",MIN(MAX(K1005-M1005,0),(('Savings Projection'!$B$8)*(1+$C$10)+IF(B1005="Working",E80,0))),0)</f>
        <v/>
      </c>
      <c r="O1005" s="137">
        <f>IF(B1005="Retired",MIN(MAX(K1005-M1005-N1005,0),(('Savings Projection'!$B$9)*(1+$C$10)+IF(B1005="Working",I1005,0))),0)</f>
        <v/>
      </c>
      <c r="P1005" s="137">
        <f>IF(B1005="Retired",MIN(MAX(K1005-M1005-N1005-O1005,0),(('Savings Projection'!$B$10)*(1+$C$10)+IF(B1005="Working",F80,0))),0)</f>
        <v/>
      </c>
      <c r="Q1005" s="138">
        <f>MAX((('Savings Projection'!$B$7)*(1+$C$10)+IF(B1005="Working",J1005,0))-M1005,0)</f>
        <v/>
      </c>
      <c r="R1005" s="138">
        <f>MAX((('Savings Projection'!$B$8)*(1+$C$10)+IF(B1005="Working",E80,0))-N1005,0)</f>
        <v/>
      </c>
      <c r="S1005" s="138">
        <f>MAX((('Savings Projection'!$B$9)*(1+$C$10)+IF(B1005="Working",I1005,0))-O1005,0)</f>
        <v/>
      </c>
      <c r="T1005" s="138">
        <f>MAX((('Savings Projection'!$B$10)*(1+$C$10)+IF(B1005="Working",F80,0))-P1005,0)</f>
        <v/>
      </c>
      <c r="U1005" s="138">
        <f>Q1005+R1005+S1005+T1005</f>
        <v/>
      </c>
      <c r="V1005" s="138">
        <f>IF(B1005="Working",MAX(-((('Savings Projection'!$B$7)*(1+$C$10)+IF(B1005="Working",J1005,0))),0),MAX(K1005-L1005,0))</f>
        <v/>
      </c>
      <c r="W1005" s="138">
        <f>IF(OR(A1005&gt;=$C$13,B1005="Retired"),IF(V1005&gt;0,-V1005,U1005-'Model Inputs'!$B$18),"")</f>
        <v/>
      </c>
      <c r="X1005" s="138">
        <f>IF(AND($L$244&gt;0,A1005&gt;=$C$13),$L$244*(1+$C$25)^(A1005-$C$13),0)</f>
        <v/>
      </c>
      <c r="Y1005" s="138">
        <f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/>
      </c>
      <c r="Z1005" s="138">
        <f>MAX(X1005-Y1005,0)</f>
        <v/>
      </c>
      <c r="AA1005" s="139">
        <f>U1005+Z1005</f>
        <v/>
      </c>
      <c r="AB1005" s="5" t="n"/>
      <c r="AC1005" s="5" t="n"/>
      <c r="AD1005" s="5" t="n"/>
      <c r="AE1005" s="5" t="n"/>
      <c r="AF1005" s="5" t="n"/>
      <c r="AG1005" s="5" t="n"/>
    </row>
    <row r="1006" outlineLevel="1" s="326">
      <c r="A1006" s="140" t="n">
        <v>2</v>
      </c>
      <c r="B1006" s="40">
        <f>B81</f>
        <v/>
      </c>
      <c r="C1006" s="141">
        <f>D81</f>
        <v/>
      </c>
      <c r="D1006" s="141">
        <f>I81</f>
        <v/>
      </c>
      <c r="E1006" s="141">
        <f>J81</f>
        <v/>
      </c>
      <c r="F1006" s="141">
        <f>K81</f>
        <v/>
      </c>
      <c r="G1006" s="138">
        <f>IF(AND($L$244&gt;0,A1006=$C$13),$L$244*($C$15+$C$18),0)+IF(AND($L$244&gt;0,A1006=$C$13),$C$24,0)</f>
        <v/>
      </c>
      <c r="H1006" s="138">
        <f>IF(OR($L$244&lt;=0,A1006&lt;$C$13),0,IF(AND($L$244&gt;0,$C$17&gt;0,A1006&gt;=$C$13,A1006&lt;($C$13+$C$17)),IF($C$17&lt;=0,0,IF($C$16=0,MAX($L$244*(1-$C$15),0)/$C$17,-PMT($C$16/12,$C$17*12,MAX($L$244*(1-$C$15),0))*12)),0)+X1006*($C$19+$C$20+$C$21)+$C$22+$C$23)</f>
        <v/>
      </c>
      <c r="I1006" s="138">
        <f>IF(B1006="Working",MIN(MAX(D1006-E1006-F1006-G1006-H1006,0),'Tax Assumptions'!$B$20),0)</f>
        <v/>
      </c>
      <c r="J1006" s="138">
        <f>IF(B1006="Working",D1006-E1006-F1006-I1006-G1006-H1006,-L1006)</f>
        <v/>
      </c>
      <c r="K1006" s="141">
        <f>IF(B1006="Retired",$N$244+G1006+H1006,0)</f>
        <v/>
      </c>
      <c r="L1006" s="141">
        <f>M1006+N1006+O1006+P1006</f>
        <v/>
      </c>
      <c r="M1006" s="141">
        <f>IF(B1006="Retired",MIN(((Q1005)*(1+$C$10)+IF(B1006="Working",J1006,0)),K1006),0)</f>
        <v/>
      </c>
      <c r="N1006" s="141">
        <f>IF(B1006="Retired",MIN(MAX(K1006-M1006,0),((R1005)*(1+$C$10)+IF(B1006="Working",E81,0))),0)</f>
        <v/>
      </c>
      <c r="O1006" s="141">
        <f>IF(B1006="Retired",MIN(MAX(K1006-M1006-N1006,0),((S1005)*(1+$C$10)+IF(B1006="Working",I1006,0))),0)</f>
        <v/>
      </c>
      <c r="P1006" s="141">
        <f>IF(B1006="Retired",MIN(MAX(K1006-M1006-N1006-O1006,0),((T1005)*(1+$C$10)+IF(B1006="Working",F81,0))),0)</f>
        <v/>
      </c>
      <c r="Q1006" s="138">
        <f>MAX(((Q1005)*(1+$C$10)+IF(B1006="Working",J1006,0))-M1006,0)</f>
        <v/>
      </c>
      <c r="R1006" s="138">
        <f>MAX(((R1005)*(1+$C$10)+IF(B1006="Working",E81,0))-N1006,0)</f>
        <v/>
      </c>
      <c r="S1006" s="138">
        <f>MAX(((S1005)*(1+$C$10)+IF(B1006="Working",I1006,0))-O1006,0)</f>
        <v/>
      </c>
      <c r="T1006" s="138">
        <f>MAX(((T1005)*(1+$C$10)+IF(B1006="Working",F81,0))-P1006,0)</f>
        <v/>
      </c>
      <c r="U1006" s="138">
        <f>Q1006+R1006+S1006+T1006</f>
        <v/>
      </c>
      <c r="V1006" s="138">
        <f>IF(B1006="Working",MAX(-(((Q1005)*(1+$C$10)+IF(B1006="Working",J1006,0))),0),MAX(K1006-L1006,0))</f>
        <v/>
      </c>
      <c r="W1006" s="138">
        <f>IF(OR(A1006&gt;=$C$13,B1006="Retired"),IF(V1006&gt;0,-V1006,U1006-'Model Inputs'!$B$18),"")</f>
        <v/>
      </c>
      <c r="X1006" s="138">
        <f>IF(AND($L$244&gt;0,A1006&gt;=$C$13),$L$244*(1+$C$25)^(A1006-$C$13),0)</f>
        <v/>
      </c>
      <c r="Y1006" s="138">
        <f>IF(OR($L$244&lt;=0,$C$17&lt;=0,A1006&lt;$C$13,MIN(MAX((A1006-$C$13+1)*12,0),$C$17*12)&gt;=$C$17*12),0,IF($C$16=0,MAX(MAX($L$244*(1-$C$15),0)-(IF($C$17&lt;=0,0,IF($C$16=0,MAX($L$244*(1-$C$15),0)/$C$17,-PMT($C$16/12,$C$17*12,MAX($L$244*(1-$C$15),0))*12))/12)*MIN(MAX((A1006-$C$13+1)*12,0),$C$17*12),0),MAX(MAX($L$244*(1-$C$15),0)*(1+$C$16/12)^MIN(MAX((A1006-$C$13+1)*12,0),$C$17*12)-(IF($C$17&lt;=0,0,IF($C$16=0,MAX($L$244*(1-$C$15),0)/$C$17,-PMT($C$16/12,$C$17*12,MAX($L$244*(1-$C$15),0))*12))/12)*(((1+$C$16/12)^MIN(MAX((A1006-$C$13+1)*12,0),$C$17*12)-1)/($C$16/12)),0)))</f>
        <v/>
      </c>
      <c r="Z1006" s="138">
        <f>MAX(X1006-Y1006,0)</f>
        <v/>
      </c>
      <c r="AA1006" s="142">
        <f>U1006+Z1006</f>
        <v/>
      </c>
      <c r="AB1006" s="5" t="n"/>
      <c r="AC1006" s="5" t="n"/>
      <c r="AD1006" s="5" t="n"/>
      <c r="AE1006" s="5" t="n"/>
      <c r="AF1006" s="5" t="n"/>
      <c r="AG1006" s="5" t="n"/>
    </row>
    <row r="1007" outlineLevel="1" s="326">
      <c r="A1007" s="136" t="n">
        <v>3</v>
      </c>
      <c r="B1007" s="72">
        <f>B82</f>
        <v/>
      </c>
      <c r="C1007" s="137">
        <f>D82</f>
        <v/>
      </c>
      <c r="D1007" s="137">
        <f>I82</f>
        <v/>
      </c>
      <c r="E1007" s="137">
        <f>J82</f>
        <v/>
      </c>
      <c r="F1007" s="137">
        <f>K82</f>
        <v/>
      </c>
      <c r="G1007" s="138">
        <f>IF(AND($L$244&gt;0,A1007=$C$13),$L$244*($C$15+$C$18),0)+IF(AND($L$244&gt;0,A1007=$C$13),$C$24,0)</f>
        <v/>
      </c>
      <c r="H1007" s="138">
        <f>IF(OR($L$244&lt;=0,A1007&lt;$C$13),0,IF(AND($L$244&gt;0,$C$17&gt;0,A1007&gt;=$C$13,A1007&lt;($C$13+$C$17)),IF($C$17&lt;=0,0,IF($C$16=0,MAX($L$244*(1-$C$15),0)/$C$17,-PMT($C$16/12,$C$17*12,MAX($L$244*(1-$C$15),0))*12)),0)+X1007*($C$19+$C$20+$C$21)+$C$22+$C$23)</f>
        <v/>
      </c>
      <c r="I1007" s="138">
        <f>IF(B1007="Working",MIN(MAX(D1007-E1007-F1007-G1007-H1007,0),'Tax Assumptions'!$B$20),0)</f>
        <v/>
      </c>
      <c r="J1007" s="138">
        <f>IF(B1007="Working",D1007-E1007-F1007-I1007-G1007-H1007,-L1007)</f>
        <v/>
      </c>
      <c r="K1007" s="137">
        <f>IF(B1007="Retired",$N$244+G1007+H1007,0)</f>
        <v/>
      </c>
      <c r="L1007" s="137">
        <f>M1007+N1007+O1007+P1007</f>
        <v/>
      </c>
      <c r="M1007" s="137">
        <f>IF(B1007="Retired",MIN(((Q1006)*(1+$C$10)+IF(B1007="Working",J1007,0)),K1007),0)</f>
        <v/>
      </c>
      <c r="N1007" s="137">
        <f>IF(B1007="Retired",MIN(MAX(K1007-M1007,0),((R1006)*(1+$C$10)+IF(B1007="Working",E82,0))),0)</f>
        <v/>
      </c>
      <c r="O1007" s="137">
        <f>IF(B1007="Retired",MIN(MAX(K1007-M1007-N1007,0),((S1006)*(1+$C$10)+IF(B1007="Working",I1007,0))),0)</f>
        <v/>
      </c>
      <c r="P1007" s="137">
        <f>IF(B1007="Retired",MIN(MAX(K1007-M1007-N1007-O1007,0),((T1006)*(1+$C$10)+IF(B1007="Working",F82,0))),0)</f>
        <v/>
      </c>
      <c r="Q1007" s="138">
        <f>MAX(((Q1006)*(1+$C$10)+IF(B1007="Working",J1007,0))-M1007,0)</f>
        <v/>
      </c>
      <c r="R1007" s="138">
        <f>MAX(((R1006)*(1+$C$10)+IF(B1007="Working",E82,0))-N1007,0)</f>
        <v/>
      </c>
      <c r="S1007" s="138">
        <f>MAX(((S1006)*(1+$C$10)+IF(B1007="Working",I1007,0))-O1007,0)</f>
        <v/>
      </c>
      <c r="T1007" s="138">
        <f>MAX(((T1006)*(1+$C$10)+IF(B1007="Working",F82,0))-P1007,0)</f>
        <v/>
      </c>
      <c r="U1007" s="138">
        <f>Q1007+R1007+S1007+T1007</f>
        <v/>
      </c>
      <c r="V1007" s="138">
        <f>IF(B1007="Working",MAX(-(((Q1006)*(1+$C$10)+IF(B1007="Working",J1007,0))),0),MAX(K1007-L1007,0))</f>
        <v/>
      </c>
      <c r="W1007" s="138">
        <f>IF(OR(A1007&gt;=$C$13,B1007="Retired"),IF(V1007&gt;0,-V1007,U1007-'Model Inputs'!$B$18),"")</f>
        <v/>
      </c>
      <c r="X1007" s="138">
        <f>IF(AND($L$244&gt;0,A1007&gt;=$C$13),$L$244*(1+$C$25)^(A1007-$C$13),0)</f>
        <v/>
      </c>
      <c r="Y1007" s="138">
        <f>IF(OR($L$244&lt;=0,$C$17&lt;=0,A1007&lt;$C$13,MIN(MAX((A1007-$C$13+1)*12,0),$C$17*12)&gt;=$C$17*12),0,IF($C$16=0,MAX(MAX($L$244*(1-$C$15),0)-(IF($C$17&lt;=0,0,IF($C$16=0,MAX($L$244*(1-$C$15),0)/$C$17,-PMT($C$16/12,$C$17*12,MAX($L$244*(1-$C$15),0))*12))/12)*MIN(MAX((A1007-$C$13+1)*12,0),$C$17*12),0),MAX(MAX($L$244*(1-$C$15),0)*(1+$C$16/12)^MIN(MAX((A1007-$C$13+1)*12,0),$C$17*12)-(IF($C$17&lt;=0,0,IF($C$16=0,MAX($L$244*(1-$C$15),0)/$C$17,-PMT($C$16/12,$C$17*12,MAX($L$244*(1-$C$15),0))*12))/12)*(((1+$C$16/12)^MIN(MAX((A1007-$C$13+1)*12,0),$C$17*12)-1)/($C$16/12)),0)))</f>
        <v/>
      </c>
      <c r="Z1007" s="138">
        <f>MAX(X1007-Y1007,0)</f>
        <v/>
      </c>
      <c r="AA1007" s="139">
        <f>U1007+Z1007</f>
        <v/>
      </c>
      <c r="AB1007" s="5" t="n"/>
      <c r="AC1007" s="5" t="n"/>
      <c r="AD1007" s="5" t="n"/>
      <c r="AE1007" s="5" t="n"/>
      <c r="AF1007" s="5" t="n"/>
      <c r="AG1007" s="5" t="n"/>
    </row>
    <row r="1008" outlineLevel="1" s="326">
      <c r="A1008" s="140" t="n">
        <v>4</v>
      </c>
      <c r="B1008" s="40">
        <f>B83</f>
        <v/>
      </c>
      <c r="C1008" s="141">
        <f>D83</f>
        <v/>
      </c>
      <c r="D1008" s="141">
        <f>I83</f>
        <v/>
      </c>
      <c r="E1008" s="141">
        <f>J83</f>
        <v/>
      </c>
      <c r="F1008" s="141">
        <f>K83</f>
        <v/>
      </c>
      <c r="G1008" s="138">
        <f>IF(AND($L$244&gt;0,A1008=$C$13),$L$244*($C$15+$C$18),0)+IF(AND($L$244&gt;0,A1008=$C$13),$C$24,0)</f>
        <v/>
      </c>
      <c r="H1008" s="138">
        <f>IF(OR($L$244&lt;=0,A1008&lt;$C$13),0,IF(AND($L$244&gt;0,$C$17&gt;0,A1008&gt;=$C$13,A1008&lt;($C$13+$C$17)),IF($C$17&lt;=0,0,IF($C$16=0,MAX($L$244*(1-$C$15),0)/$C$17,-PMT($C$16/12,$C$17*12,MAX($L$244*(1-$C$15),0))*12)),0)+X1008*($C$19+$C$20+$C$21)+$C$22+$C$23)</f>
        <v/>
      </c>
      <c r="I1008" s="138">
        <f>IF(B1008="Working",MIN(MAX(D1008-E1008-F1008-G1008-H1008,0),'Tax Assumptions'!$B$20),0)</f>
        <v/>
      </c>
      <c r="J1008" s="138">
        <f>IF(B1008="Working",D1008-E1008-F1008-I1008-G1008-H1008,-L1008)</f>
        <v/>
      </c>
      <c r="K1008" s="141">
        <f>IF(B1008="Retired",$N$244+G1008+H1008,0)</f>
        <v/>
      </c>
      <c r="L1008" s="141">
        <f>M1008+N1008+O1008+P1008</f>
        <v/>
      </c>
      <c r="M1008" s="141">
        <f>IF(B1008="Retired",MIN(((Q1007)*(1+$C$10)+IF(B1008="Working",J1008,0)),K1008),0)</f>
        <v/>
      </c>
      <c r="N1008" s="141">
        <f>IF(B1008="Retired",MIN(MAX(K1008-M1008,0),((R1007)*(1+$C$10)+IF(B1008="Working",E83,0))),0)</f>
        <v/>
      </c>
      <c r="O1008" s="141">
        <f>IF(B1008="Retired",MIN(MAX(K1008-M1008-N1008,0),((S1007)*(1+$C$10)+IF(B1008="Working",I1008,0))),0)</f>
        <v/>
      </c>
      <c r="P1008" s="141">
        <f>IF(B1008="Retired",MIN(MAX(K1008-M1008-N1008-O1008,0),((T1007)*(1+$C$10)+IF(B1008="Working",F83,0))),0)</f>
        <v/>
      </c>
      <c r="Q1008" s="138">
        <f>MAX(((Q1007)*(1+$C$10)+IF(B1008="Working",J1008,0))-M1008,0)</f>
        <v/>
      </c>
      <c r="R1008" s="138">
        <f>MAX(((R1007)*(1+$C$10)+IF(B1008="Working",E83,0))-N1008,0)</f>
        <v/>
      </c>
      <c r="S1008" s="138">
        <f>MAX(((S1007)*(1+$C$10)+IF(B1008="Working",I1008,0))-O1008,0)</f>
        <v/>
      </c>
      <c r="T1008" s="138">
        <f>MAX(((T1007)*(1+$C$10)+IF(B1008="Working",F83,0))-P1008,0)</f>
        <v/>
      </c>
      <c r="U1008" s="138">
        <f>Q1008+R1008+S1008+T1008</f>
        <v/>
      </c>
      <c r="V1008" s="138">
        <f>IF(B1008="Working",MAX(-(((Q1007)*(1+$C$10)+IF(B1008="Working",J1008,0))),0),MAX(K1008-L1008,0))</f>
        <v/>
      </c>
      <c r="W1008" s="138">
        <f>IF(OR(A1008&gt;=$C$13,B1008="Retired"),IF(V1008&gt;0,-V1008,U1008-'Model Inputs'!$B$18),"")</f>
        <v/>
      </c>
      <c r="X1008" s="138">
        <f>IF(AND($L$244&gt;0,A1008&gt;=$C$13),$L$244*(1+$C$25)^(A1008-$C$13),0)</f>
        <v/>
      </c>
      <c r="Y1008" s="138">
        <f>IF(OR($L$244&lt;=0,$C$17&lt;=0,A1008&lt;$C$13,MIN(MAX((A1008-$C$13+1)*12,0),$C$17*12)&gt;=$C$17*12),0,IF($C$16=0,MAX(MAX($L$244*(1-$C$15),0)-(IF($C$17&lt;=0,0,IF($C$16=0,MAX($L$244*(1-$C$15),0)/$C$17,-PMT($C$16/12,$C$17*12,MAX($L$244*(1-$C$15),0))*12))/12)*MIN(MAX((A1008-$C$13+1)*12,0),$C$17*12),0),MAX(MAX($L$244*(1-$C$15),0)*(1+$C$16/12)^MIN(MAX((A1008-$C$13+1)*12,0),$C$17*12)-(IF($C$17&lt;=0,0,IF($C$16=0,MAX($L$244*(1-$C$15),0)/$C$17,-PMT($C$16/12,$C$17*12,MAX($L$244*(1-$C$15),0))*12))/12)*(((1+$C$16/12)^MIN(MAX((A1008-$C$13+1)*12,0),$C$17*12)-1)/($C$16/12)),0)))</f>
        <v/>
      </c>
      <c r="Z1008" s="138">
        <f>MAX(X1008-Y1008,0)</f>
        <v/>
      </c>
      <c r="AA1008" s="142">
        <f>U1008+Z1008</f>
        <v/>
      </c>
      <c r="AB1008" s="5" t="n"/>
      <c r="AC1008" s="5" t="n"/>
      <c r="AD1008" s="5" t="n"/>
      <c r="AE1008" s="5" t="n"/>
      <c r="AF1008" s="5" t="n"/>
      <c r="AG1008" s="5" t="n"/>
    </row>
    <row r="1009" outlineLevel="1" s="326">
      <c r="A1009" s="136" t="n">
        <v>5</v>
      </c>
      <c r="B1009" s="72">
        <f>B84</f>
        <v/>
      </c>
      <c r="C1009" s="137">
        <f>D84</f>
        <v/>
      </c>
      <c r="D1009" s="137">
        <f>I84</f>
        <v/>
      </c>
      <c r="E1009" s="137">
        <f>J84</f>
        <v/>
      </c>
      <c r="F1009" s="137">
        <f>K84</f>
        <v/>
      </c>
      <c r="G1009" s="138">
        <f>IF(AND($L$244&gt;0,A1009=$C$13),$L$244*($C$15+$C$18),0)+IF(AND($L$244&gt;0,A1009=$C$13),$C$24,0)</f>
        <v/>
      </c>
      <c r="H1009" s="138">
        <f>IF(OR($L$244&lt;=0,A1009&lt;$C$13),0,IF(AND($L$244&gt;0,$C$17&gt;0,A1009&gt;=$C$13,A1009&lt;($C$13+$C$17)),IF($C$17&lt;=0,0,IF($C$16=0,MAX($L$244*(1-$C$15),0)/$C$17,-PMT($C$16/12,$C$17*12,MAX($L$244*(1-$C$15),0))*12)),0)+X1009*($C$19+$C$20+$C$21)+$C$22+$C$23)</f>
        <v/>
      </c>
      <c r="I1009" s="138">
        <f>IF(B1009="Working",MIN(MAX(D1009-E1009-F1009-G1009-H1009,0),'Tax Assumptions'!$B$20),0)</f>
        <v/>
      </c>
      <c r="J1009" s="138">
        <f>IF(B1009="Working",D1009-E1009-F1009-I1009-G1009-H1009,-L1009)</f>
        <v/>
      </c>
      <c r="K1009" s="137">
        <f>IF(B1009="Retired",$N$244+G1009+H1009,0)</f>
        <v/>
      </c>
      <c r="L1009" s="137">
        <f>M1009+N1009+O1009+P1009</f>
        <v/>
      </c>
      <c r="M1009" s="137">
        <f>IF(B1009="Retired",MIN(((Q1008)*(1+$C$10)+IF(B1009="Working",J1009,0)),K1009),0)</f>
        <v/>
      </c>
      <c r="N1009" s="137">
        <f>IF(B1009="Retired",MIN(MAX(K1009-M1009,0),((R1008)*(1+$C$10)+IF(B1009="Working",E84,0))),0)</f>
        <v/>
      </c>
      <c r="O1009" s="137">
        <f>IF(B1009="Retired",MIN(MAX(K1009-M1009-N1009,0),((S1008)*(1+$C$10)+IF(B1009="Working",I1009,0))),0)</f>
        <v/>
      </c>
      <c r="P1009" s="137">
        <f>IF(B1009="Retired",MIN(MAX(K1009-M1009-N1009-O1009,0),((T1008)*(1+$C$10)+IF(B1009="Working",F84,0))),0)</f>
        <v/>
      </c>
      <c r="Q1009" s="138">
        <f>MAX(((Q1008)*(1+$C$10)+IF(B1009="Working",J1009,0))-M1009,0)</f>
        <v/>
      </c>
      <c r="R1009" s="138">
        <f>MAX(((R1008)*(1+$C$10)+IF(B1009="Working",E84,0))-N1009,0)</f>
        <v/>
      </c>
      <c r="S1009" s="138">
        <f>MAX(((S1008)*(1+$C$10)+IF(B1009="Working",I1009,0))-O1009,0)</f>
        <v/>
      </c>
      <c r="T1009" s="138">
        <f>MAX(((T1008)*(1+$C$10)+IF(B1009="Working",F84,0))-P1009,0)</f>
        <v/>
      </c>
      <c r="U1009" s="138">
        <f>Q1009+R1009+S1009+T1009</f>
        <v/>
      </c>
      <c r="V1009" s="138">
        <f>IF(B1009="Working",MAX(-(((Q1008)*(1+$C$10)+IF(B1009="Working",J1009,0))),0),MAX(K1009-L1009,0))</f>
        <v/>
      </c>
      <c r="W1009" s="138">
        <f>IF(OR(A1009&gt;=$C$13,B1009="Retired"),IF(V1009&gt;0,-V1009,U1009-'Model Inputs'!$B$18),"")</f>
        <v/>
      </c>
      <c r="X1009" s="138">
        <f>IF(AND($L$244&gt;0,A1009&gt;=$C$13),$L$244*(1+$C$25)^(A1009-$C$13),0)</f>
        <v/>
      </c>
      <c r="Y1009" s="138">
        <f>IF(OR($L$244&lt;=0,$C$17&lt;=0,A1009&lt;$C$13,MIN(MAX((A1009-$C$13+1)*12,0),$C$17*12)&gt;=$C$17*12),0,IF($C$16=0,MAX(MAX($L$244*(1-$C$15),0)-(IF($C$17&lt;=0,0,IF($C$16=0,MAX($L$244*(1-$C$15),0)/$C$17,-PMT($C$16/12,$C$17*12,MAX($L$244*(1-$C$15),0))*12))/12)*MIN(MAX((A1009-$C$13+1)*12,0),$C$17*12),0),MAX(MAX($L$244*(1-$C$15),0)*(1+$C$16/12)^MIN(MAX((A1009-$C$13+1)*12,0),$C$17*12)-(IF($C$17&lt;=0,0,IF($C$16=0,MAX($L$244*(1-$C$15),0)/$C$17,-PMT($C$16/12,$C$17*12,MAX($L$244*(1-$C$15),0))*12))/12)*(((1+$C$16/12)^MIN(MAX((A1009-$C$13+1)*12,0),$C$17*12)-1)/($C$16/12)),0)))</f>
        <v/>
      </c>
      <c r="Z1009" s="138">
        <f>MAX(X1009-Y1009,0)</f>
        <v/>
      </c>
      <c r="AA1009" s="139">
        <f>U1009+Z1009</f>
        <v/>
      </c>
      <c r="AB1009" s="5" t="n"/>
      <c r="AC1009" s="5" t="n"/>
      <c r="AD1009" s="5" t="n"/>
      <c r="AE1009" s="5" t="n"/>
      <c r="AF1009" s="5" t="n"/>
      <c r="AG1009" s="5" t="n"/>
    </row>
    <row r="1010" outlineLevel="1" s="326">
      <c r="A1010" s="140" t="n">
        <v>6</v>
      </c>
      <c r="B1010" s="40">
        <f>B85</f>
        <v/>
      </c>
      <c r="C1010" s="141">
        <f>D85</f>
        <v/>
      </c>
      <c r="D1010" s="141">
        <f>I85</f>
        <v/>
      </c>
      <c r="E1010" s="141">
        <f>J85</f>
        <v/>
      </c>
      <c r="F1010" s="141">
        <f>K85</f>
        <v/>
      </c>
      <c r="G1010" s="138">
        <f>IF(AND($L$244&gt;0,A1010=$C$13),$L$244*($C$15+$C$18),0)+IF(AND($L$244&gt;0,A1010=$C$13),$C$24,0)</f>
        <v/>
      </c>
      <c r="H1010" s="138">
        <f>IF(OR($L$244&lt;=0,A1010&lt;$C$13),0,IF(AND($L$244&gt;0,$C$17&gt;0,A1010&gt;=$C$13,A1010&lt;($C$13+$C$17)),IF($C$17&lt;=0,0,IF($C$16=0,MAX($L$244*(1-$C$15),0)/$C$17,-PMT($C$16/12,$C$17*12,MAX($L$244*(1-$C$15),0))*12)),0)+X1010*($C$19+$C$20+$C$21)+$C$22+$C$23)</f>
        <v/>
      </c>
      <c r="I1010" s="138">
        <f>IF(B1010="Working",MIN(MAX(D1010-E1010-F1010-G1010-H1010,0),'Tax Assumptions'!$B$20),0)</f>
        <v/>
      </c>
      <c r="J1010" s="138">
        <f>IF(B1010="Working",D1010-E1010-F1010-I1010-G1010-H1010,-L1010)</f>
        <v/>
      </c>
      <c r="K1010" s="141">
        <f>IF(B1010="Retired",$N$244+G1010+H1010,0)</f>
        <v/>
      </c>
      <c r="L1010" s="141">
        <f>M1010+N1010+O1010+P1010</f>
        <v/>
      </c>
      <c r="M1010" s="141">
        <f>IF(B1010="Retired",MIN(((Q1009)*(1+$C$10)+IF(B1010="Working",J1010,0)),K1010),0)</f>
        <v/>
      </c>
      <c r="N1010" s="141">
        <f>IF(B1010="Retired",MIN(MAX(K1010-M1010,0),((R1009)*(1+$C$10)+IF(B1010="Working",E85,0))),0)</f>
        <v/>
      </c>
      <c r="O1010" s="141">
        <f>IF(B1010="Retired",MIN(MAX(K1010-M1010-N1010,0),((S1009)*(1+$C$10)+IF(B1010="Working",I1010,0))),0)</f>
        <v/>
      </c>
      <c r="P1010" s="141">
        <f>IF(B1010="Retired",MIN(MAX(K1010-M1010-N1010-O1010,0),((T1009)*(1+$C$10)+IF(B1010="Working",F85,0))),0)</f>
        <v/>
      </c>
      <c r="Q1010" s="138">
        <f>MAX(((Q1009)*(1+$C$10)+IF(B1010="Working",J1010,0))-M1010,0)</f>
        <v/>
      </c>
      <c r="R1010" s="138">
        <f>MAX(((R1009)*(1+$C$10)+IF(B1010="Working",E85,0))-N1010,0)</f>
        <v/>
      </c>
      <c r="S1010" s="138">
        <f>MAX(((S1009)*(1+$C$10)+IF(B1010="Working",I1010,0))-O1010,0)</f>
        <v/>
      </c>
      <c r="T1010" s="138">
        <f>MAX(((T1009)*(1+$C$10)+IF(B1010="Working",F85,0))-P1010,0)</f>
        <v/>
      </c>
      <c r="U1010" s="138">
        <f>Q1010+R1010+S1010+T1010</f>
        <v/>
      </c>
      <c r="V1010" s="138">
        <f>IF(B1010="Working",MAX(-(((Q1009)*(1+$C$10)+IF(B1010="Working",J1010,0))),0),MAX(K1010-L1010,0))</f>
        <v/>
      </c>
      <c r="W1010" s="138">
        <f>IF(OR(A1010&gt;=$C$13,B1010="Retired"),IF(V1010&gt;0,-V1010,U1010-'Model Inputs'!$B$18),"")</f>
        <v/>
      </c>
      <c r="X1010" s="138">
        <f>IF(AND($L$244&gt;0,A1010&gt;=$C$13),$L$244*(1+$C$25)^(A1010-$C$13),0)</f>
        <v/>
      </c>
      <c r="Y1010" s="138">
        <f>IF(OR($L$244&lt;=0,$C$17&lt;=0,A1010&lt;$C$13,MIN(MAX((A1010-$C$13+1)*12,0),$C$17*12)&gt;=$C$17*12),0,IF($C$16=0,MAX(MAX($L$244*(1-$C$15),0)-(IF($C$17&lt;=0,0,IF($C$16=0,MAX($L$244*(1-$C$15),0)/$C$17,-PMT($C$16/12,$C$17*12,MAX($L$244*(1-$C$15),0))*12))/12)*MIN(MAX((A1010-$C$13+1)*12,0),$C$17*12),0),MAX(MAX($L$244*(1-$C$15),0)*(1+$C$16/12)^MIN(MAX((A1010-$C$13+1)*12,0),$C$17*12)-(IF($C$17&lt;=0,0,IF($C$16=0,MAX($L$244*(1-$C$15),0)/$C$17,-PMT($C$16/12,$C$17*12,MAX($L$244*(1-$C$15),0))*12))/12)*(((1+$C$16/12)^MIN(MAX((A1010-$C$13+1)*12,0),$C$17*12)-1)/($C$16/12)),0)))</f>
        <v/>
      </c>
      <c r="Z1010" s="138">
        <f>MAX(X1010-Y1010,0)</f>
        <v/>
      </c>
      <c r="AA1010" s="142">
        <f>U1010+Z1010</f>
        <v/>
      </c>
      <c r="AB1010" s="5" t="n"/>
      <c r="AC1010" s="5" t="n"/>
      <c r="AD1010" s="5" t="n"/>
      <c r="AE1010" s="5" t="n"/>
      <c r="AF1010" s="5" t="n"/>
      <c r="AG1010" s="5" t="n"/>
    </row>
    <row r="1011" outlineLevel="1" s="326">
      <c r="A1011" s="136" t="n">
        <v>7</v>
      </c>
      <c r="B1011" s="72">
        <f>B86</f>
        <v/>
      </c>
      <c r="C1011" s="137">
        <f>D86</f>
        <v/>
      </c>
      <c r="D1011" s="137">
        <f>I86</f>
        <v/>
      </c>
      <c r="E1011" s="137">
        <f>J86</f>
        <v/>
      </c>
      <c r="F1011" s="137">
        <f>K86</f>
        <v/>
      </c>
      <c r="G1011" s="138">
        <f>IF(AND($L$244&gt;0,A1011=$C$13),$L$244*($C$15+$C$18),0)+IF(AND($L$244&gt;0,A1011=$C$13),$C$24,0)</f>
        <v/>
      </c>
      <c r="H1011" s="138">
        <f>IF(OR($L$244&lt;=0,A1011&lt;$C$13),0,IF(AND($L$244&gt;0,$C$17&gt;0,A1011&gt;=$C$13,A1011&lt;($C$13+$C$17)),IF($C$17&lt;=0,0,IF($C$16=0,MAX($L$244*(1-$C$15),0)/$C$17,-PMT($C$16/12,$C$17*12,MAX($L$244*(1-$C$15),0))*12)),0)+X1011*($C$19+$C$20+$C$21)+$C$22+$C$23)</f>
        <v/>
      </c>
      <c r="I1011" s="138">
        <f>IF(B1011="Working",MIN(MAX(D1011-E1011-F1011-G1011-H1011,0),'Tax Assumptions'!$B$20),0)</f>
        <v/>
      </c>
      <c r="J1011" s="138">
        <f>IF(B1011="Working",D1011-E1011-F1011-I1011-G1011-H1011,-L1011)</f>
        <v/>
      </c>
      <c r="K1011" s="137">
        <f>IF(B1011="Retired",$N$244+G1011+H1011,0)</f>
        <v/>
      </c>
      <c r="L1011" s="137">
        <f>M1011+N1011+O1011+P1011</f>
        <v/>
      </c>
      <c r="M1011" s="137">
        <f>IF(B1011="Retired",MIN(((Q1010)*(1+$C$10)+IF(B1011="Working",J1011,0)),K1011),0)</f>
        <v/>
      </c>
      <c r="N1011" s="137">
        <f>IF(B1011="Retired",MIN(MAX(K1011-M1011,0),((R1010)*(1+$C$10)+IF(B1011="Working",E86,0))),0)</f>
        <v/>
      </c>
      <c r="O1011" s="137">
        <f>IF(B1011="Retired",MIN(MAX(K1011-M1011-N1011,0),((S1010)*(1+$C$10)+IF(B1011="Working",I1011,0))),0)</f>
        <v/>
      </c>
      <c r="P1011" s="137">
        <f>IF(B1011="Retired",MIN(MAX(K1011-M1011-N1011-O1011,0),((T1010)*(1+$C$10)+IF(B1011="Working",F86,0))),0)</f>
        <v/>
      </c>
      <c r="Q1011" s="138">
        <f>MAX(((Q1010)*(1+$C$10)+IF(B1011="Working",J1011,0))-M1011,0)</f>
        <v/>
      </c>
      <c r="R1011" s="138">
        <f>MAX(((R1010)*(1+$C$10)+IF(B1011="Working",E86,0))-N1011,0)</f>
        <v/>
      </c>
      <c r="S1011" s="138">
        <f>MAX(((S1010)*(1+$C$10)+IF(B1011="Working",I1011,0))-O1011,0)</f>
        <v/>
      </c>
      <c r="T1011" s="138">
        <f>MAX(((T1010)*(1+$C$10)+IF(B1011="Working",F86,0))-P1011,0)</f>
        <v/>
      </c>
      <c r="U1011" s="138">
        <f>Q1011+R1011+S1011+T1011</f>
        <v/>
      </c>
      <c r="V1011" s="138">
        <f>IF(B1011="Working",MAX(-(((Q1010)*(1+$C$10)+IF(B1011="Working",J1011,0))),0),MAX(K1011-L1011,0))</f>
        <v/>
      </c>
      <c r="W1011" s="138">
        <f>IF(OR(A1011&gt;=$C$13,B1011="Retired"),IF(V1011&gt;0,-V1011,U1011-'Model Inputs'!$B$18),"")</f>
        <v/>
      </c>
      <c r="X1011" s="138">
        <f>IF(AND($L$244&gt;0,A1011&gt;=$C$13),$L$244*(1+$C$25)^(A1011-$C$13),0)</f>
        <v/>
      </c>
      <c r="Y1011" s="138">
        <f>IF(OR($L$244&lt;=0,$C$17&lt;=0,A1011&lt;$C$13,MIN(MAX((A1011-$C$13+1)*12,0),$C$17*12)&gt;=$C$17*12),0,IF($C$16=0,MAX(MAX($L$244*(1-$C$15),0)-(IF($C$17&lt;=0,0,IF($C$16=0,MAX($L$244*(1-$C$15),0)/$C$17,-PMT($C$16/12,$C$17*12,MAX($L$244*(1-$C$15),0))*12))/12)*MIN(MAX((A1011-$C$13+1)*12,0),$C$17*12),0),MAX(MAX($L$244*(1-$C$15),0)*(1+$C$16/12)^MIN(MAX((A1011-$C$13+1)*12,0),$C$17*12)-(IF($C$17&lt;=0,0,IF($C$16=0,MAX($L$244*(1-$C$15),0)/$C$17,-PMT($C$16/12,$C$17*12,MAX($L$244*(1-$C$15),0))*12))/12)*(((1+$C$16/12)^MIN(MAX((A1011-$C$13+1)*12,0),$C$17*12)-1)/($C$16/12)),0)))</f>
        <v/>
      </c>
      <c r="Z1011" s="138">
        <f>MAX(X1011-Y1011,0)</f>
        <v/>
      </c>
      <c r="AA1011" s="139">
        <f>U1011+Z1011</f>
        <v/>
      </c>
      <c r="AB1011" s="5" t="n"/>
      <c r="AC1011" s="5" t="n"/>
      <c r="AD1011" s="5" t="n"/>
      <c r="AE1011" s="5" t="n"/>
      <c r="AF1011" s="5" t="n"/>
      <c r="AG1011" s="5" t="n"/>
    </row>
    <row r="1012" outlineLevel="1" s="326">
      <c r="A1012" s="140" t="n">
        <v>8</v>
      </c>
      <c r="B1012" s="40">
        <f>B87</f>
        <v/>
      </c>
      <c r="C1012" s="141">
        <f>D87</f>
        <v/>
      </c>
      <c r="D1012" s="141">
        <f>I87</f>
        <v/>
      </c>
      <c r="E1012" s="141">
        <f>J87</f>
        <v/>
      </c>
      <c r="F1012" s="141">
        <f>K87</f>
        <v/>
      </c>
      <c r="G1012" s="138">
        <f>IF(AND($L$244&gt;0,A1012=$C$13),$L$244*($C$15+$C$18),0)+IF(AND($L$244&gt;0,A1012=$C$13),$C$24,0)</f>
        <v/>
      </c>
      <c r="H1012" s="138">
        <f>IF(OR($L$244&lt;=0,A1012&lt;$C$13),0,IF(AND($L$244&gt;0,$C$17&gt;0,A1012&gt;=$C$13,A1012&lt;($C$13+$C$17)),IF($C$17&lt;=0,0,IF($C$16=0,MAX($L$244*(1-$C$15),0)/$C$17,-PMT($C$16/12,$C$17*12,MAX($L$244*(1-$C$15),0))*12)),0)+X1012*($C$19+$C$20+$C$21)+$C$22+$C$23)</f>
        <v/>
      </c>
      <c r="I1012" s="138">
        <f>IF(B1012="Working",MIN(MAX(D1012-E1012-F1012-G1012-H1012,0),'Tax Assumptions'!$B$20),0)</f>
        <v/>
      </c>
      <c r="J1012" s="138">
        <f>IF(B1012="Working",D1012-E1012-F1012-I1012-G1012-H1012,-L1012)</f>
        <v/>
      </c>
      <c r="K1012" s="141">
        <f>IF(B1012="Retired",$N$244+G1012+H1012,0)</f>
        <v/>
      </c>
      <c r="L1012" s="141">
        <f>M1012+N1012+O1012+P1012</f>
        <v/>
      </c>
      <c r="M1012" s="141">
        <f>IF(B1012="Retired",MIN(((Q1011)*(1+$C$10)+IF(B1012="Working",J1012,0)),K1012),0)</f>
        <v/>
      </c>
      <c r="N1012" s="141">
        <f>IF(B1012="Retired",MIN(MAX(K1012-M1012,0),((R1011)*(1+$C$10)+IF(B1012="Working",E87,0))),0)</f>
        <v/>
      </c>
      <c r="O1012" s="141">
        <f>IF(B1012="Retired",MIN(MAX(K1012-M1012-N1012,0),((S1011)*(1+$C$10)+IF(B1012="Working",I1012,0))),0)</f>
        <v/>
      </c>
      <c r="P1012" s="141">
        <f>IF(B1012="Retired",MIN(MAX(K1012-M1012-N1012-O1012,0),((T1011)*(1+$C$10)+IF(B1012="Working",F87,0))),0)</f>
        <v/>
      </c>
      <c r="Q1012" s="138">
        <f>MAX(((Q1011)*(1+$C$10)+IF(B1012="Working",J1012,0))-M1012,0)</f>
        <v/>
      </c>
      <c r="R1012" s="138">
        <f>MAX(((R1011)*(1+$C$10)+IF(B1012="Working",E87,0))-N1012,0)</f>
        <v/>
      </c>
      <c r="S1012" s="138">
        <f>MAX(((S1011)*(1+$C$10)+IF(B1012="Working",I1012,0))-O1012,0)</f>
        <v/>
      </c>
      <c r="T1012" s="138">
        <f>MAX(((T1011)*(1+$C$10)+IF(B1012="Working",F87,0))-P1012,0)</f>
        <v/>
      </c>
      <c r="U1012" s="138">
        <f>Q1012+R1012+S1012+T1012</f>
        <v/>
      </c>
      <c r="V1012" s="138">
        <f>IF(B1012="Working",MAX(-(((Q1011)*(1+$C$10)+IF(B1012="Working",J1012,0))),0),MAX(K1012-L1012,0))</f>
        <v/>
      </c>
      <c r="W1012" s="138">
        <f>IF(OR(A1012&gt;=$C$13,B1012="Retired"),IF(V1012&gt;0,-V1012,U1012-'Model Inputs'!$B$18),"")</f>
        <v/>
      </c>
      <c r="X1012" s="138">
        <f>IF(AND($L$244&gt;0,A1012&gt;=$C$13),$L$244*(1+$C$25)^(A1012-$C$13),0)</f>
        <v/>
      </c>
      <c r="Y1012" s="138">
        <f>IF(OR($L$244&lt;=0,$C$17&lt;=0,A1012&lt;$C$13,MIN(MAX((A1012-$C$13+1)*12,0),$C$17*12)&gt;=$C$17*12),0,IF($C$16=0,MAX(MAX($L$244*(1-$C$15),0)-(IF($C$17&lt;=0,0,IF($C$16=0,MAX($L$244*(1-$C$15),0)/$C$17,-PMT($C$16/12,$C$17*12,MAX($L$244*(1-$C$15),0))*12))/12)*MIN(MAX((A1012-$C$13+1)*12,0),$C$17*12),0),MAX(MAX($L$244*(1-$C$15),0)*(1+$C$16/12)^MIN(MAX((A1012-$C$13+1)*12,0),$C$17*12)-(IF($C$17&lt;=0,0,IF($C$16=0,MAX($L$244*(1-$C$15),0)/$C$17,-PMT($C$16/12,$C$17*12,MAX($L$244*(1-$C$15),0))*12))/12)*(((1+$C$16/12)^MIN(MAX((A1012-$C$13+1)*12,0),$C$17*12)-1)/($C$16/12)),0)))</f>
        <v/>
      </c>
      <c r="Z1012" s="138">
        <f>MAX(X1012-Y1012,0)</f>
        <v/>
      </c>
      <c r="AA1012" s="142">
        <f>U1012+Z1012</f>
        <v/>
      </c>
      <c r="AB1012" s="5" t="n"/>
      <c r="AC1012" s="5" t="n"/>
      <c r="AD1012" s="5" t="n"/>
      <c r="AE1012" s="5" t="n"/>
      <c r="AF1012" s="5" t="n"/>
      <c r="AG1012" s="5" t="n"/>
    </row>
    <row r="1013" outlineLevel="1" s="326">
      <c r="A1013" s="136" t="n">
        <v>9</v>
      </c>
      <c r="B1013" s="72">
        <f>B88</f>
        <v/>
      </c>
      <c r="C1013" s="137">
        <f>D88</f>
        <v/>
      </c>
      <c r="D1013" s="137">
        <f>I88</f>
        <v/>
      </c>
      <c r="E1013" s="137">
        <f>J88</f>
        <v/>
      </c>
      <c r="F1013" s="137">
        <f>K88</f>
        <v/>
      </c>
      <c r="G1013" s="138">
        <f>IF(AND($L$244&gt;0,A1013=$C$13),$L$244*($C$15+$C$18),0)+IF(AND($L$244&gt;0,A1013=$C$13),$C$24,0)</f>
        <v/>
      </c>
      <c r="H1013" s="138">
        <f>IF(OR($L$244&lt;=0,A1013&lt;$C$13),0,IF(AND($L$244&gt;0,$C$17&gt;0,A1013&gt;=$C$13,A1013&lt;($C$13+$C$17)),IF($C$17&lt;=0,0,IF($C$16=0,MAX($L$244*(1-$C$15),0)/$C$17,-PMT($C$16/12,$C$17*12,MAX($L$244*(1-$C$15),0))*12)),0)+X1013*($C$19+$C$20+$C$21)+$C$22+$C$23)</f>
        <v/>
      </c>
      <c r="I1013" s="138">
        <f>IF(B1013="Working",MIN(MAX(D1013-E1013-F1013-G1013-H1013,0),'Tax Assumptions'!$B$20),0)</f>
        <v/>
      </c>
      <c r="J1013" s="138">
        <f>IF(B1013="Working",D1013-E1013-F1013-I1013-G1013-H1013,-L1013)</f>
        <v/>
      </c>
      <c r="K1013" s="137">
        <f>IF(B1013="Retired",$N$244+G1013+H1013,0)</f>
        <v/>
      </c>
      <c r="L1013" s="137">
        <f>M1013+N1013+O1013+P1013</f>
        <v/>
      </c>
      <c r="M1013" s="137">
        <f>IF(B1013="Retired",MIN(((Q1012)*(1+$C$10)+IF(B1013="Working",J1013,0)),K1013),0)</f>
        <v/>
      </c>
      <c r="N1013" s="137">
        <f>IF(B1013="Retired",MIN(MAX(K1013-M1013,0),((R1012)*(1+$C$10)+IF(B1013="Working",E88,0))),0)</f>
        <v/>
      </c>
      <c r="O1013" s="137">
        <f>IF(B1013="Retired",MIN(MAX(K1013-M1013-N1013,0),((S1012)*(1+$C$10)+IF(B1013="Working",I1013,0))),0)</f>
        <v/>
      </c>
      <c r="P1013" s="137">
        <f>IF(B1013="Retired",MIN(MAX(K1013-M1013-N1013-O1013,0),((T1012)*(1+$C$10)+IF(B1013="Working",F88,0))),0)</f>
        <v/>
      </c>
      <c r="Q1013" s="138">
        <f>MAX(((Q1012)*(1+$C$10)+IF(B1013="Working",J1013,0))-M1013,0)</f>
        <v/>
      </c>
      <c r="R1013" s="138">
        <f>MAX(((R1012)*(1+$C$10)+IF(B1013="Working",E88,0))-N1013,0)</f>
        <v/>
      </c>
      <c r="S1013" s="138">
        <f>MAX(((S1012)*(1+$C$10)+IF(B1013="Working",I1013,0))-O1013,0)</f>
        <v/>
      </c>
      <c r="T1013" s="138">
        <f>MAX(((T1012)*(1+$C$10)+IF(B1013="Working",F88,0))-P1013,0)</f>
        <v/>
      </c>
      <c r="U1013" s="138">
        <f>Q1013+R1013+S1013+T1013</f>
        <v/>
      </c>
      <c r="V1013" s="138">
        <f>IF(B1013="Working",MAX(-(((Q1012)*(1+$C$10)+IF(B1013="Working",J1013,0))),0),MAX(K1013-L1013,0))</f>
        <v/>
      </c>
      <c r="W1013" s="138">
        <f>IF(OR(A1013&gt;=$C$13,B1013="Retired"),IF(V1013&gt;0,-V1013,U1013-'Model Inputs'!$B$18),"")</f>
        <v/>
      </c>
      <c r="X1013" s="138">
        <f>IF(AND($L$244&gt;0,A1013&gt;=$C$13),$L$244*(1+$C$25)^(A1013-$C$13),0)</f>
        <v/>
      </c>
      <c r="Y1013" s="138">
        <f>IF(OR($L$244&lt;=0,$C$17&lt;=0,A1013&lt;$C$13,MIN(MAX((A1013-$C$13+1)*12,0),$C$17*12)&gt;=$C$17*12),0,IF($C$16=0,MAX(MAX($L$244*(1-$C$15),0)-(IF($C$17&lt;=0,0,IF($C$16=0,MAX($L$244*(1-$C$15),0)/$C$17,-PMT($C$16/12,$C$17*12,MAX($L$244*(1-$C$15),0))*12))/12)*MIN(MAX((A1013-$C$13+1)*12,0),$C$17*12),0),MAX(MAX($L$244*(1-$C$15),0)*(1+$C$16/12)^MIN(MAX((A1013-$C$13+1)*12,0),$C$17*12)-(IF($C$17&lt;=0,0,IF($C$16=0,MAX($L$244*(1-$C$15),0)/$C$17,-PMT($C$16/12,$C$17*12,MAX($L$244*(1-$C$15),0))*12))/12)*(((1+$C$16/12)^MIN(MAX((A1013-$C$13+1)*12,0),$C$17*12)-1)/($C$16/12)),0)))</f>
        <v/>
      </c>
      <c r="Z1013" s="138">
        <f>MAX(X1013-Y1013,0)</f>
        <v/>
      </c>
      <c r="AA1013" s="139">
        <f>U1013+Z1013</f>
        <v/>
      </c>
      <c r="AB1013" s="5" t="n"/>
      <c r="AC1013" s="5" t="n"/>
      <c r="AD1013" s="5" t="n"/>
      <c r="AE1013" s="5" t="n"/>
      <c r="AF1013" s="5" t="n"/>
      <c r="AG1013" s="5" t="n"/>
    </row>
    <row r="1014" outlineLevel="1" s="326">
      <c r="A1014" s="140" t="n">
        <v>10</v>
      </c>
      <c r="B1014" s="40">
        <f>B89</f>
        <v/>
      </c>
      <c r="C1014" s="141">
        <f>D89</f>
        <v/>
      </c>
      <c r="D1014" s="141">
        <f>I89</f>
        <v/>
      </c>
      <c r="E1014" s="141">
        <f>J89</f>
        <v/>
      </c>
      <c r="F1014" s="141">
        <f>K89</f>
        <v/>
      </c>
      <c r="G1014" s="138">
        <f>IF(AND($L$244&gt;0,A1014=$C$13),$L$244*($C$15+$C$18),0)+IF(AND($L$244&gt;0,A1014=$C$13),$C$24,0)</f>
        <v/>
      </c>
      <c r="H1014" s="138">
        <f>IF(OR($L$244&lt;=0,A1014&lt;$C$13),0,IF(AND($L$244&gt;0,$C$17&gt;0,A1014&gt;=$C$13,A1014&lt;($C$13+$C$17)),IF($C$17&lt;=0,0,IF($C$16=0,MAX($L$244*(1-$C$15),0)/$C$17,-PMT($C$16/12,$C$17*12,MAX($L$244*(1-$C$15),0))*12)),0)+X1014*($C$19+$C$20+$C$21)+$C$22+$C$23)</f>
        <v/>
      </c>
      <c r="I1014" s="138">
        <f>IF(B1014="Working",MIN(MAX(D1014-E1014-F1014-G1014-H1014,0),'Tax Assumptions'!$B$20),0)</f>
        <v/>
      </c>
      <c r="J1014" s="138">
        <f>IF(B1014="Working",D1014-E1014-F1014-I1014-G1014-H1014,-L1014)</f>
        <v/>
      </c>
      <c r="K1014" s="141">
        <f>IF(B1014="Retired",$N$244+G1014+H1014,0)</f>
        <v/>
      </c>
      <c r="L1014" s="141">
        <f>M1014+N1014+O1014+P1014</f>
        <v/>
      </c>
      <c r="M1014" s="141">
        <f>IF(B1014="Retired",MIN(((Q1013)*(1+$C$10)+IF(B1014="Working",J1014,0)),K1014),0)</f>
        <v/>
      </c>
      <c r="N1014" s="141">
        <f>IF(B1014="Retired",MIN(MAX(K1014-M1014,0),((R1013)*(1+$C$10)+IF(B1014="Working",E89,0))),0)</f>
        <v/>
      </c>
      <c r="O1014" s="141">
        <f>IF(B1014="Retired",MIN(MAX(K1014-M1014-N1014,0),((S1013)*(1+$C$10)+IF(B1014="Working",I1014,0))),0)</f>
        <v/>
      </c>
      <c r="P1014" s="141">
        <f>IF(B1014="Retired",MIN(MAX(K1014-M1014-N1014-O1014,0),((T1013)*(1+$C$10)+IF(B1014="Working",F89,0))),0)</f>
        <v/>
      </c>
      <c r="Q1014" s="138">
        <f>MAX(((Q1013)*(1+$C$10)+IF(B1014="Working",J1014,0))-M1014,0)</f>
        <v/>
      </c>
      <c r="R1014" s="138">
        <f>MAX(((R1013)*(1+$C$10)+IF(B1014="Working",E89,0))-N1014,0)</f>
        <v/>
      </c>
      <c r="S1014" s="138">
        <f>MAX(((S1013)*(1+$C$10)+IF(B1014="Working",I1014,0))-O1014,0)</f>
        <v/>
      </c>
      <c r="T1014" s="138">
        <f>MAX(((T1013)*(1+$C$10)+IF(B1014="Working",F89,0))-P1014,0)</f>
        <v/>
      </c>
      <c r="U1014" s="138">
        <f>Q1014+R1014+S1014+T1014</f>
        <v/>
      </c>
      <c r="V1014" s="138">
        <f>IF(B1014="Working",MAX(-(((Q1013)*(1+$C$10)+IF(B1014="Working",J1014,0))),0),MAX(K1014-L1014,0))</f>
        <v/>
      </c>
      <c r="W1014" s="138">
        <f>IF(OR(A1014&gt;=$C$13,B1014="Retired"),IF(V1014&gt;0,-V1014,U1014-'Model Inputs'!$B$18),"")</f>
        <v/>
      </c>
      <c r="X1014" s="138">
        <f>IF(AND($L$244&gt;0,A1014&gt;=$C$13),$L$244*(1+$C$25)^(A1014-$C$13),0)</f>
        <v/>
      </c>
      <c r="Y1014" s="138">
        <f>IF(OR($L$244&lt;=0,$C$17&lt;=0,A1014&lt;$C$13,MIN(MAX((A1014-$C$13+1)*12,0),$C$17*12)&gt;=$C$17*12),0,IF($C$16=0,MAX(MAX($L$244*(1-$C$15),0)-(IF($C$17&lt;=0,0,IF($C$16=0,MAX($L$244*(1-$C$15),0)/$C$17,-PMT($C$16/12,$C$17*12,MAX($L$244*(1-$C$15),0))*12))/12)*MIN(MAX((A1014-$C$13+1)*12,0),$C$17*12),0),MAX(MAX($L$244*(1-$C$15),0)*(1+$C$16/12)^MIN(MAX((A1014-$C$13+1)*12,0),$C$17*12)-(IF($C$17&lt;=0,0,IF($C$16=0,MAX($L$244*(1-$C$15),0)/$C$17,-PMT($C$16/12,$C$17*12,MAX($L$244*(1-$C$15),0))*12))/12)*(((1+$C$16/12)^MIN(MAX((A1014-$C$13+1)*12,0),$C$17*12)-1)/($C$16/12)),0)))</f>
        <v/>
      </c>
      <c r="Z1014" s="138">
        <f>MAX(X1014-Y1014,0)</f>
        <v/>
      </c>
      <c r="AA1014" s="142">
        <f>U1014+Z1014</f>
        <v/>
      </c>
      <c r="AB1014" s="5" t="n"/>
      <c r="AC1014" s="5" t="n"/>
      <c r="AD1014" s="5" t="n"/>
      <c r="AE1014" s="5" t="n"/>
      <c r="AF1014" s="5" t="n"/>
      <c r="AG1014" s="5" t="n"/>
    </row>
    <row r="1015" outlineLevel="1" s="326">
      <c r="A1015" s="136" t="n">
        <v>11</v>
      </c>
      <c r="B1015" s="72">
        <f>B90</f>
        <v/>
      </c>
      <c r="C1015" s="137">
        <f>D90</f>
        <v/>
      </c>
      <c r="D1015" s="137">
        <f>I90</f>
        <v/>
      </c>
      <c r="E1015" s="137">
        <f>J90</f>
        <v/>
      </c>
      <c r="F1015" s="137">
        <f>K90</f>
        <v/>
      </c>
      <c r="G1015" s="138">
        <f>IF(AND($L$244&gt;0,A1015=$C$13),$L$244*($C$15+$C$18),0)+IF(AND($L$244&gt;0,A1015=$C$13),$C$24,0)</f>
        <v/>
      </c>
      <c r="H1015" s="138">
        <f>IF(OR($L$244&lt;=0,A1015&lt;$C$13),0,IF(AND($L$244&gt;0,$C$17&gt;0,A1015&gt;=$C$13,A1015&lt;($C$13+$C$17)),IF($C$17&lt;=0,0,IF($C$16=0,MAX($L$244*(1-$C$15),0)/$C$17,-PMT($C$16/12,$C$17*12,MAX($L$244*(1-$C$15),0))*12)),0)+X1015*($C$19+$C$20+$C$21)+$C$22+$C$23)</f>
        <v/>
      </c>
      <c r="I1015" s="138">
        <f>IF(B1015="Working",MIN(MAX(D1015-E1015-F1015-G1015-H1015,0),'Tax Assumptions'!$B$20),0)</f>
        <v/>
      </c>
      <c r="J1015" s="138">
        <f>IF(B1015="Working",D1015-E1015-F1015-I1015-G1015-H1015,-L1015)</f>
        <v/>
      </c>
      <c r="K1015" s="137">
        <f>IF(B1015="Retired",$N$244+G1015+H1015,0)</f>
        <v/>
      </c>
      <c r="L1015" s="137">
        <f>M1015+N1015+O1015+P1015</f>
        <v/>
      </c>
      <c r="M1015" s="137">
        <f>IF(B1015="Retired",MIN(((Q1014)*(1+$C$10)+IF(B1015="Working",J1015,0)),K1015),0)</f>
        <v/>
      </c>
      <c r="N1015" s="137">
        <f>IF(B1015="Retired",MIN(MAX(K1015-M1015,0),((R1014)*(1+$C$10)+IF(B1015="Working",E90,0))),0)</f>
        <v/>
      </c>
      <c r="O1015" s="137">
        <f>IF(B1015="Retired",MIN(MAX(K1015-M1015-N1015,0),((S1014)*(1+$C$10)+IF(B1015="Working",I1015,0))),0)</f>
        <v/>
      </c>
      <c r="P1015" s="137">
        <f>IF(B1015="Retired",MIN(MAX(K1015-M1015-N1015-O1015,0),((T1014)*(1+$C$10)+IF(B1015="Working",F90,0))),0)</f>
        <v/>
      </c>
      <c r="Q1015" s="138">
        <f>MAX(((Q1014)*(1+$C$10)+IF(B1015="Working",J1015,0))-M1015,0)</f>
        <v/>
      </c>
      <c r="R1015" s="138">
        <f>MAX(((R1014)*(1+$C$10)+IF(B1015="Working",E90,0))-N1015,0)</f>
        <v/>
      </c>
      <c r="S1015" s="138">
        <f>MAX(((S1014)*(1+$C$10)+IF(B1015="Working",I1015,0))-O1015,0)</f>
        <v/>
      </c>
      <c r="T1015" s="138">
        <f>MAX(((T1014)*(1+$C$10)+IF(B1015="Working",F90,0))-P1015,0)</f>
        <v/>
      </c>
      <c r="U1015" s="138">
        <f>Q1015+R1015+S1015+T1015</f>
        <v/>
      </c>
      <c r="V1015" s="138">
        <f>IF(B1015="Working",MAX(-(((Q1014)*(1+$C$10)+IF(B1015="Working",J1015,0))),0),MAX(K1015-L1015,0))</f>
        <v/>
      </c>
      <c r="W1015" s="138">
        <f>IF(OR(A1015&gt;=$C$13,B1015="Retired"),IF(V1015&gt;0,-V1015,U1015-'Model Inputs'!$B$18),"")</f>
        <v/>
      </c>
      <c r="X1015" s="138">
        <f>IF(AND($L$244&gt;0,A1015&gt;=$C$13),$L$244*(1+$C$25)^(A1015-$C$13),0)</f>
        <v/>
      </c>
      <c r="Y1015" s="138">
        <f>IF(OR($L$244&lt;=0,$C$17&lt;=0,A1015&lt;$C$13,MIN(MAX((A1015-$C$13+1)*12,0),$C$17*12)&gt;=$C$17*12),0,IF($C$16=0,MAX(MAX($L$244*(1-$C$15),0)-(IF($C$17&lt;=0,0,IF($C$16=0,MAX($L$244*(1-$C$15),0)/$C$17,-PMT($C$16/12,$C$17*12,MAX($L$244*(1-$C$15),0))*12))/12)*MIN(MAX((A1015-$C$13+1)*12,0),$C$17*12),0),MAX(MAX($L$244*(1-$C$15),0)*(1+$C$16/12)^MIN(MAX((A1015-$C$13+1)*12,0),$C$17*12)-(IF($C$17&lt;=0,0,IF($C$16=0,MAX($L$244*(1-$C$15),0)/$C$17,-PMT($C$16/12,$C$17*12,MAX($L$244*(1-$C$15),0))*12))/12)*(((1+$C$16/12)^MIN(MAX((A1015-$C$13+1)*12,0),$C$17*12)-1)/($C$16/12)),0)))</f>
        <v/>
      </c>
      <c r="Z1015" s="138">
        <f>MAX(X1015-Y1015,0)</f>
        <v/>
      </c>
      <c r="AA1015" s="139">
        <f>U1015+Z1015</f>
        <v/>
      </c>
      <c r="AB1015" s="5" t="n"/>
      <c r="AC1015" s="5" t="n"/>
      <c r="AD1015" s="5" t="n"/>
      <c r="AE1015" s="5" t="n"/>
      <c r="AF1015" s="5" t="n"/>
      <c r="AG1015" s="5" t="n"/>
    </row>
    <row r="1016" outlineLevel="1" s="326">
      <c r="A1016" s="140" t="n">
        <v>12</v>
      </c>
      <c r="B1016" s="40">
        <f>B91</f>
        <v/>
      </c>
      <c r="C1016" s="141">
        <f>D91</f>
        <v/>
      </c>
      <c r="D1016" s="141">
        <f>I91</f>
        <v/>
      </c>
      <c r="E1016" s="141">
        <f>J91</f>
        <v/>
      </c>
      <c r="F1016" s="141">
        <f>K91</f>
        <v/>
      </c>
      <c r="G1016" s="138">
        <f>IF(AND($L$244&gt;0,A1016=$C$13),$L$244*($C$15+$C$18),0)+IF(AND($L$244&gt;0,A1016=$C$13),$C$24,0)</f>
        <v/>
      </c>
      <c r="H1016" s="138">
        <f>IF(OR($L$244&lt;=0,A1016&lt;$C$13),0,IF(AND($L$244&gt;0,$C$17&gt;0,A1016&gt;=$C$13,A1016&lt;($C$13+$C$17)),IF($C$17&lt;=0,0,IF($C$16=0,MAX($L$244*(1-$C$15),0)/$C$17,-PMT($C$16/12,$C$17*12,MAX($L$244*(1-$C$15),0))*12)),0)+X1016*($C$19+$C$20+$C$21)+$C$22+$C$23)</f>
        <v/>
      </c>
      <c r="I1016" s="138">
        <f>IF(B1016="Working",MIN(MAX(D1016-E1016-F1016-G1016-H1016,0),'Tax Assumptions'!$B$20),0)</f>
        <v/>
      </c>
      <c r="J1016" s="138">
        <f>IF(B1016="Working",D1016-E1016-F1016-I1016-G1016-H1016,-L1016)</f>
        <v/>
      </c>
      <c r="K1016" s="141">
        <f>IF(B1016="Retired",$N$244+G1016+H1016,0)</f>
        <v/>
      </c>
      <c r="L1016" s="141">
        <f>M1016+N1016+O1016+P1016</f>
        <v/>
      </c>
      <c r="M1016" s="141">
        <f>IF(B1016="Retired",MIN(((Q1015)*(1+$C$10)+IF(B1016="Working",J1016,0)),K1016),0)</f>
        <v/>
      </c>
      <c r="N1016" s="141">
        <f>IF(B1016="Retired",MIN(MAX(K1016-M1016,0),((R1015)*(1+$C$10)+IF(B1016="Working",E91,0))),0)</f>
        <v/>
      </c>
      <c r="O1016" s="141">
        <f>IF(B1016="Retired",MIN(MAX(K1016-M1016-N1016,0),((S1015)*(1+$C$10)+IF(B1016="Working",I1016,0))),0)</f>
        <v/>
      </c>
      <c r="P1016" s="141">
        <f>IF(B1016="Retired",MIN(MAX(K1016-M1016-N1016-O1016,0),((T1015)*(1+$C$10)+IF(B1016="Working",F91,0))),0)</f>
        <v/>
      </c>
      <c r="Q1016" s="138">
        <f>MAX(((Q1015)*(1+$C$10)+IF(B1016="Working",J1016,0))-M1016,0)</f>
        <v/>
      </c>
      <c r="R1016" s="138">
        <f>MAX(((R1015)*(1+$C$10)+IF(B1016="Working",E91,0))-N1016,0)</f>
        <v/>
      </c>
      <c r="S1016" s="138">
        <f>MAX(((S1015)*(1+$C$10)+IF(B1016="Working",I1016,0))-O1016,0)</f>
        <v/>
      </c>
      <c r="T1016" s="138">
        <f>MAX(((T1015)*(1+$C$10)+IF(B1016="Working",F91,0))-P1016,0)</f>
        <v/>
      </c>
      <c r="U1016" s="138">
        <f>Q1016+R1016+S1016+T1016</f>
        <v/>
      </c>
      <c r="V1016" s="138">
        <f>IF(B1016="Working",MAX(-(((Q1015)*(1+$C$10)+IF(B1016="Working",J1016,0))),0),MAX(K1016-L1016,0))</f>
        <v/>
      </c>
      <c r="W1016" s="138">
        <f>IF(OR(A1016&gt;=$C$13,B1016="Retired"),IF(V1016&gt;0,-V1016,U1016-'Model Inputs'!$B$18),"")</f>
        <v/>
      </c>
      <c r="X1016" s="138">
        <f>IF(AND($L$244&gt;0,A1016&gt;=$C$13),$L$244*(1+$C$25)^(A1016-$C$13),0)</f>
        <v/>
      </c>
      <c r="Y1016" s="138">
        <f>IF(OR($L$244&lt;=0,$C$17&lt;=0,A1016&lt;$C$13,MIN(MAX((A1016-$C$13+1)*12,0),$C$17*12)&gt;=$C$17*12),0,IF($C$16=0,MAX(MAX($L$244*(1-$C$15),0)-(IF($C$17&lt;=0,0,IF($C$16=0,MAX($L$244*(1-$C$15),0)/$C$17,-PMT($C$16/12,$C$17*12,MAX($L$244*(1-$C$15),0))*12))/12)*MIN(MAX((A1016-$C$13+1)*12,0),$C$17*12),0),MAX(MAX($L$244*(1-$C$15),0)*(1+$C$16/12)^MIN(MAX((A1016-$C$13+1)*12,0),$C$17*12)-(IF($C$17&lt;=0,0,IF($C$16=0,MAX($L$244*(1-$C$15),0)/$C$17,-PMT($C$16/12,$C$17*12,MAX($L$244*(1-$C$15),0))*12))/12)*(((1+$C$16/12)^MIN(MAX((A1016-$C$13+1)*12,0),$C$17*12)-1)/($C$16/12)),0)))</f>
        <v/>
      </c>
      <c r="Z1016" s="138">
        <f>MAX(X1016-Y1016,0)</f>
        <v/>
      </c>
      <c r="AA1016" s="142">
        <f>U1016+Z1016</f>
        <v/>
      </c>
      <c r="AB1016" s="5" t="n"/>
      <c r="AC1016" s="5" t="n"/>
      <c r="AD1016" s="5" t="n"/>
      <c r="AE1016" s="5" t="n"/>
      <c r="AF1016" s="5" t="n"/>
      <c r="AG1016" s="5" t="n"/>
    </row>
    <row r="1017" outlineLevel="1" s="326">
      <c r="A1017" s="136" t="n">
        <v>13</v>
      </c>
      <c r="B1017" s="72">
        <f>B92</f>
        <v/>
      </c>
      <c r="C1017" s="137">
        <f>D92</f>
        <v/>
      </c>
      <c r="D1017" s="137">
        <f>I92</f>
        <v/>
      </c>
      <c r="E1017" s="137">
        <f>J92</f>
        <v/>
      </c>
      <c r="F1017" s="137">
        <f>K92</f>
        <v/>
      </c>
      <c r="G1017" s="138">
        <f>IF(AND($L$244&gt;0,A1017=$C$13),$L$244*($C$15+$C$18),0)+IF(AND($L$244&gt;0,A1017=$C$13),$C$24,0)</f>
        <v/>
      </c>
      <c r="H1017" s="138">
        <f>IF(OR($L$244&lt;=0,A1017&lt;$C$13),0,IF(AND($L$244&gt;0,$C$17&gt;0,A1017&gt;=$C$13,A1017&lt;($C$13+$C$17)),IF($C$17&lt;=0,0,IF($C$16=0,MAX($L$244*(1-$C$15),0)/$C$17,-PMT($C$16/12,$C$17*12,MAX($L$244*(1-$C$15),0))*12)),0)+X1017*($C$19+$C$20+$C$21)+$C$22+$C$23)</f>
        <v/>
      </c>
      <c r="I1017" s="138">
        <f>IF(B1017="Working",MIN(MAX(D1017-E1017-F1017-G1017-H1017,0),'Tax Assumptions'!$B$20),0)</f>
        <v/>
      </c>
      <c r="J1017" s="138">
        <f>IF(B1017="Working",D1017-E1017-F1017-I1017-G1017-H1017,-L1017)</f>
        <v/>
      </c>
      <c r="K1017" s="137">
        <f>IF(B1017="Retired",$N$244+G1017+H1017,0)</f>
        <v/>
      </c>
      <c r="L1017" s="137">
        <f>M1017+N1017+O1017+P1017</f>
        <v/>
      </c>
      <c r="M1017" s="137">
        <f>IF(B1017="Retired",MIN(((Q1016)*(1+$C$10)+IF(B1017="Working",J1017,0)),K1017),0)</f>
        <v/>
      </c>
      <c r="N1017" s="137">
        <f>IF(B1017="Retired",MIN(MAX(K1017-M1017,0),((R1016)*(1+$C$10)+IF(B1017="Working",E92,0))),0)</f>
        <v/>
      </c>
      <c r="O1017" s="137">
        <f>IF(B1017="Retired",MIN(MAX(K1017-M1017-N1017,0),((S1016)*(1+$C$10)+IF(B1017="Working",I1017,0))),0)</f>
        <v/>
      </c>
      <c r="P1017" s="137">
        <f>IF(B1017="Retired",MIN(MAX(K1017-M1017-N1017-O1017,0),((T1016)*(1+$C$10)+IF(B1017="Working",F92,0))),0)</f>
        <v/>
      </c>
      <c r="Q1017" s="138">
        <f>MAX(((Q1016)*(1+$C$10)+IF(B1017="Working",J1017,0))-M1017,0)</f>
        <v/>
      </c>
      <c r="R1017" s="138">
        <f>MAX(((R1016)*(1+$C$10)+IF(B1017="Working",E92,0))-N1017,0)</f>
        <v/>
      </c>
      <c r="S1017" s="138">
        <f>MAX(((S1016)*(1+$C$10)+IF(B1017="Working",I1017,0))-O1017,0)</f>
        <v/>
      </c>
      <c r="T1017" s="138">
        <f>MAX(((T1016)*(1+$C$10)+IF(B1017="Working",F92,0))-P1017,0)</f>
        <v/>
      </c>
      <c r="U1017" s="138">
        <f>Q1017+R1017+S1017+T1017</f>
        <v/>
      </c>
      <c r="V1017" s="138">
        <f>IF(B1017="Working",MAX(-(((Q1016)*(1+$C$10)+IF(B1017="Working",J1017,0))),0),MAX(K1017-L1017,0))</f>
        <v/>
      </c>
      <c r="W1017" s="138">
        <f>IF(OR(A1017&gt;=$C$13,B1017="Retired"),IF(V1017&gt;0,-V1017,U1017-'Model Inputs'!$B$18),"")</f>
        <v/>
      </c>
      <c r="X1017" s="138">
        <f>IF(AND($L$244&gt;0,A1017&gt;=$C$13),$L$244*(1+$C$25)^(A1017-$C$13),0)</f>
        <v/>
      </c>
      <c r="Y1017" s="138">
        <f>IF(OR($L$244&lt;=0,$C$17&lt;=0,A1017&lt;$C$13,MIN(MAX((A1017-$C$13+1)*12,0),$C$17*12)&gt;=$C$17*12),0,IF($C$16=0,MAX(MAX($L$244*(1-$C$15),0)-(IF($C$17&lt;=0,0,IF($C$16=0,MAX($L$244*(1-$C$15),0)/$C$17,-PMT($C$16/12,$C$17*12,MAX($L$244*(1-$C$15),0))*12))/12)*MIN(MAX((A1017-$C$13+1)*12,0),$C$17*12),0),MAX(MAX($L$244*(1-$C$15),0)*(1+$C$16/12)^MIN(MAX((A1017-$C$13+1)*12,0),$C$17*12)-(IF($C$17&lt;=0,0,IF($C$16=0,MAX($L$244*(1-$C$15),0)/$C$17,-PMT($C$16/12,$C$17*12,MAX($L$244*(1-$C$15),0))*12))/12)*(((1+$C$16/12)^MIN(MAX((A1017-$C$13+1)*12,0),$C$17*12)-1)/($C$16/12)),0)))</f>
        <v/>
      </c>
      <c r="Z1017" s="138">
        <f>MAX(X1017-Y1017,0)</f>
        <v/>
      </c>
      <c r="AA1017" s="139">
        <f>U1017+Z1017</f>
        <v/>
      </c>
      <c r="AB1017" s="5" t="n"/>
      <c r="AC1017" s="5" t="n"/>
      <c r="AD1017" s="5" t="n"/>
      <c r="AE1017" s="5" t="n"/>
      <c r="AF1017" s="5" t="n"/>
      <c r="AG1017" s="5" t="n"/>
    </row>
    <row r="1018" outlineLevel="1" s="326">
      <c r="A1018" s="140" t="n">
        <v>14</v>
      </c>
      <c r="B1018" s="40">
        <f>B93</f>
        <v/>
      </c>
      <c r="C1018" s="141">
        <f>D93</f>
        <v/>
      </c>
      <c r="D1018" s="141">
        <f>I93</f>
        <v/>
      </c>
      <c r="E1018" s="141">
        <f>J93</f>
        <v/>
      </c>
      <c r="F1018" s="141">
        <f>K93</f>
        <v/>
      </c>
      <c r="G1018" s="138">
        <f>IF(AND($L$244&gt;0,A1018=$C$13),$L$244*($C$15+$C$18),0)+IF(AND($L$244&gt;0,A1018=$C$13),$C$24,0)</f>
        <v/>
      </c>
      <c r="H1018" s="138">
        <f>IF(OR($L$244&lt;=0,A1018&lt;$C$13),0,IF(AND($L$244&gt;0,$C$17&gt;0,A1018&gt;=$C$13,A1018&lt;($C$13+$C$17)),IF($C$17&lt;=0,0,IF($C$16=0,MAX($L$244*(1-$C$15),0)/$C$17,-PMT($C$16/12,$C$17*12,MAX($L$244*(1-$C$15),0))*12)),0)+X1018*($C$19+$C$20+$C$21)+$C$22+$C$23)</f>
        <v/>
      </c>
      <c r="I1018" s="138">
        <f>IF(B1018="Working",MIN(MAX(D1018-E1018-F1018-G1018-H1018,0),'Tax Assumptions'!$B$20),0)</f>
        <v/>
      </c>
      <c r="J1018" s="138">
        <f>IF(B1018="Working",D1018-E1018-F1018-I1018-G1018-H1018,-L1018)</f>
        <v/>
      </c>
      <c r="K1018" s="141">
        <f>IF(B1018="Retired",$N$244+G1018+H1018,0)</f>
        <v/>
      </c>
      <c r="L1018" s="141">
        <f>M1018+N1018+O1018+P1018</f>
        <v/>
      </c>
      <c r="M1018" s="141">
        <f>IF(B1018="Retired",MIN(((Q1017)*(1+$C$10)+IF(B1018="Working",J1018,0)),K1018),0)</f>
        <v/>
      </c>
      <c r="N1018" s="141">
        <f>IF(B1018="Retired",MIN(MAX(K1018-M1018,0),((R1017)*(1+$C$10)+IF(B1018="Working",E93,0))),0)</f>
        <v/>
      </c>
      <c r="O1018" s="141">
        <f>IF(B1018="Retired",MIN(MAX(K1018-M1018-N1018,0),((S1017)*(1+$C$10)+IF(B1018="Working",I1018,0))),0)</f>
        <v/>
      </c>
      <c r="P1018" s="141">
        <f>IF(B1018="Retired",MIN(MAX(K1018-M1018-N1018-O1018,0),((T1017)*(1+$C$10)+IF(B1018="Working",F93,0))),0)</f>
        <v/>
      </c>
      <c r="Q1018" s="138">
        <f>MAX(((Q1017)*(1+$C$10)+IF(B1018="Working",J1018,0))-M1018,0)</f>
        <v/>
      </c>
      <c r="R1018" s="138">
        <f>MAX(((R1017)*(1+$C$10)+IF(B1018="Working",E93,0))-N1018,0)</f>
        <v/>
      </c>
      <c r="S1018" s="138">
        <f>MAX(((S1017)*(1+$C$10)+IF(B1018="Working",I1018,0))-O1018,0)</f>
        <v/>
      </c>
      <c r="T1018" s="138">
        <f>MAX(((T1017)*(1+$C$10)+IF(B1018="Working",F93,0))-P1018,0)</f>
        <v/>
      </c>
      <c r="U1018" s="138">
        <f>Q1018+R1018+S1018+T1018</f>
        <v/>
      </c>
      <c r="V1018" s="138">
        <f>IF(B1018="Working",MAX(-(((Q1017)*(1+$C$10)+IF(B1018="Working",J1018,0))),0),MAX(K1018-L1018,0))</f>
        <v/>
      </c>
      <c r="W1018" s="138">
        <f>IF(OR(A1018&gt;=$C$13,B1018="Retired"),IF(V1018&gt;0,-V1018,U1018-'Model Inputs'!$B$18),"")</f>
        <v/>
      </c>
      <c r="X1018" s="138">
        <f>IF(AND($L$244&gt;0,A1018&gt;=$C$13),$L$244*(1+$C$25)^(A1018-$C$13),0)</f>
        <v/>
      </c>
      <c r="Y1018" s="138">
        <f>IF(OR($L$244&lt;=0,$C$17&lt;=0,A1018&lt;$C$13,MIN(MAX((A1018-$C$13+1)*12,0),$C$17*12)&gt;=$C$17*12),0,IF($C$16=0,MAX(MAX($L$244*(1-$C$15),0)-(IF($C$17&lt;=0,0,IF($C$16=0,MAX($L$244*(1-$C$15),0)/$C$17,-PMT($C$16/12,$C$17*12,MAX($L$244*(1-$C$15),0))*12))/12)*MIN(MAX((A1018-$C$13+1)*12,0),$C$17*12),0),MAX(MAX($L$244*(1-$C$15),0)*(1+$C$16/12)^MIN(MAX((A1018-$C$13+1)*12,0),$C$17*12)-(IF($C$17&lt;=0,0,IF($C$16=0,MAX($L$244*(1-$C$15),0)/$C$17,-PMT($C$16/12,$C$17*12,MAX($L$244*(1-$C$15),0))*12))/12)*(((1+$C$16/12)^MIN(MAX((A1018-$C$13+1)*12,0),$C$17*12)-1)/($C$16/12)),0)))</f>
        <v/>
      </c>
      <c r="Z1018" s="138">
        <f>MAX(X1018-Y1018,0)</f>
        <v/>
      </c>
      <c r="AA1018" s="142">
        <f>U1018+Z1018</f>
        <v/>
      </c>
      <c r="AB1018" s="5" t="n"/>
      <c r="AC1018" s="5" t="n"/>
      <c r="AD1018" s="5" t="n"/>
      <c r="AE1018" s="5" t="n"/>
      <c r="AF1018" s="5" t="n"/>
      <c r="AG1018" s="5" t="n"/>
    </row>
    <row r="1019" outlineLevel="1" s="326">
      <c r="A1019" s="136" t="n">
        <v>15</v>
      </c>
      <c r="B1019" s="72">
        <f>B94</f>
        <v/>
      </c>
      <c r="C1019" s="137">
        <f>D94</f>
        <v/>
      </c>
      <c r="D1019" s="137">
        <f>I94</f>
        <v/>
      </c>
      <c r="E1019" s="137">
        <f>J94</f>
        <v/>
      </c>
      <c r="F1019" s="137">
        <f>K94</f>
        <v/>
      </c>
      <c r="G1019" s="138">
        <f>IF(AND($L$244&gt;0,A1019=$C$13),$L$244*($C$15+$C$18),0)+IF(AND($L$244&gt;0,A1019=$C$13),$C$24,0)</f>
        <v/>
      </c>
      <c r="H1019" s="138">
        <f>IF(OR($L$244&lt;=0,A1019&lt;$C$13),0,IF(AND($L$244&gt;0,$C$17&gt;0,A1019&gt;=$C$13,A1019&lt;($C$13+$C$17)),IF($C$17&lt;=0,0,IF($C$16=0,MAX($L$244*(1-$C$15),0)/$C$17,-PMT($C$16/12,$C$17*12,MAX($L$244*(1-$C$15),0))*12)),0)+X1019*($C$19+$C$20+$C$21)+$C$22+$C$23)</f>
        <v/>
      </c>
      <c r="I1019" s="138">
        <f>IF(B1019="Working",MIN(MAX(D1019-E1019-F1019-G1019-H1019,0),'Tax Assumptions'!$B$20),0)</f>
        <v/>
      </c>
      <c r="J1019" s="138">
        <f>IF(B1019="Working",D1019-E1019-F1019-I1019-G1019-H1019,-L1019)</f>
        <v/>
      </c>
      <c r="K1019" s="137">
        <f>IF(B1019="Retired",$N$244+G1019+H1019,0)</f>
        <v/>
      </c>
      <c r="L1019" s="137">
        <f>M1019+N1019+O1019+P1019</f>
        <v/>
      </c>
      <c r="M1019" s="137">
        <f>IF(B1019="Retired",MIN(((Q1018)*(1+$C$10)+IF(B1019="Working",J1019,0)),K1019),0)</f>
        <v/>
      </c>
      <c r="N1019" s="137">
        <f>IF(B1019="Retired",MIN(MAX(K1019-M1019,0),((R1018)*(1+$C$10)+IF(B1019="Working",E94,0))),0)</f>
        <v/>
      </c>
      <c r="O1019" s="137">
        <f>IF(B1019="Retired",MIN(MAX(K1019-M1019-N1019,0),((S1018)*(1+$C$10)+IF(B1019="Working",I1019,0))),0)</f>
        <v/>
      </c>
      <c r="P1019" s="137">
        <f>IF(B1019="Retired",MIN(MAX(K1019-M1019-N1019-O1019,0),((T1018)*(1+$C$10)+IF(B1019="Working",F94,0))),0)</f>
        <v/>
      </c>
      <c r="Q1019" s="138">
        <f>MAX(((Q1018)*(1+$C$10)+IF(B1019="Working",J1019,0))-M1019,0)</f>
        <v/>
      </c>
      <c r="R1019" s="138">
        <f>MAX(((R1018)*(1+$C$10)+IF(B1019="Working",E94,0))-N1019,0)</f>
        <v/>
      </c>
      <c r="S1019" s="138">
        <f>MAX(((S1018)*(1+$C$10)+IF(B1019="Working",I1019,0))-O1019,0)</f>
        <v/>
      </c>
      <c r="T1019" s="138">
        <f>MAX(((T1018)*(1+$C$10)+IF(B1019="Working",F94,0))-P1019,0)</f>
        <v/>
      </c>
      <c r="U1019" s="138">
        <f>Q1019+R1019+S1019+T1019</f>
        <v/>
      </c>
      <c r="V1019" s="138">
        <f>IF(B1019="Working",MAX(-(((Q1018)*(1+$C$10)+IF(B1019="Working",J1019,0))),0),MAX(K1019-L1019,0))</f>
        <v/>
      </c>
      <c r="W1019" s="138">
        <f>IF(OR(A1019&gt;=$C$13,B1019="Retired"),IF(V1019&gt;0,-V1019,U1019-'Model Inputs'!$B$18),"")</f>
        <v/>
      </c>
      <c r="X1019" s="138">
        <f>IF(AND($L$244&gt;0,A1019&gt;=$C$13),$L$244*(1+$C$25)^(A1019-$C$13),0)</f>
        <v/>
      </c>
      <c r="Y1019" s="138">
        <f>IF(OR($L$244&lt;=0,$C$17&lt;=0,A1019&lt;$C$13,MIN(MAX((A1019-$C$13+1)*12,0),$C$17*12)&gt;=$C$17*12),0,IF($C$16=0,MAX(MAX($L$244*(1-$C$15),0)-(IF($C$17&lt;=0,0,IF($C$16=0,MAX($L$244*(1-$C$15),0)/$C$17,-PMT($C$16/12,$C$17*12,MAX($L$244*(1-$C$15),0))*12))/12)*MIN(MAX((A1019-$C$13+1)*12,0),$C$17*12),0),MAX(MAX($L$244*(1-$C$15),0)*(1+$C$16/12)^MIN(MAX((A1019-$C$13+1)*12,0),$C$17*12)-(IF($C$17&lt;=0,0,IF($C$16=0,MAX($L$244*(1-$C$15),0)/$C$17,-PMT($C$16/12,$C$17*12,MAX($L$244*(1-$C$15),0))*12))/12)*(((1+$C$16/12)^MIN(MAX((A1019-$C$13+1)*12,0),$C$17*12)-1)/($C$16/12)),0)))</f>
        <v/>
      </c>
      <c r="Z1019" s="138">
        <f>MAX(X1019-Y1019,0)</f>
        <v/>
      </c>
      <c r="AA1019" s="139">
        <f>U1019+Z1019</f>
        <v/>
      </c>
      <c r="AB1019" s="5" t="n"/>
      <c r="AC1019" s="5" t="n"/>
      <c r="AD1019" s="5" t="n"/>
      <c r="AE1019" s="5" t="n"/>
      <c r="AF1019" s="5" t="n"/>
      <c r="AG1019" s="5" t="n"/>
    </row>
    <row r="1020" outlineLevel="1" s="326">
      <c r="A1020" s="140" t="n">
        <v>16</v>
      </c>
      <c r="B1020" s="40">
        <f>B95</f>
        <v/>
      </c>
      <c r="C1020" s="141">
        <f>D95</f>
        <v/>
      </c>
      <c r="D1020" s="141">
        <f>I95</f>
        <v/>
      </c>
      <c r="E1020" s="141">
        <f>J95</f>
        <v/>
      </c>
      <c r="F1020" s="141">
        <f>K95</f>
        <v/>
      </c>
      <c r="G1020" s="138">
        <f>IF(AND($L$244&gt;0,A1020=$C$13),$L$244*($C$15+$C$18),0)+IF(AND($L$244&gt;0,A1020=$C$13),$C$24,0)</f>
        <v/>
      </c>
      <c r="H1020" s="138">
        <f>IF(OR($L$244&lt;=0,A1020&lt;$C$13),0,IF(AND($L$244&gt;0,$C$17&gt;0,A1020&gt;=$C$13,A1020&lt;($C$13+$C$17)),IF($C$17&lt;=0,0,IF($C$16=0,MAX($L$244*(1-$C$15),0)/$C$17,-PMT($C$16/12,$C$17*12,MAX($L$244*(1-$C$15),0))*12)),0)+X1020*($C$19+$C$20+$C$21)+$C$22+$C$23)</f>
        <v/>
      </c>
      <c r="I1020" s="138">
        <f>IF(B1020="Working",MIN(MAX(D1020-E1020-F1020-G1020-H1020,0),'Tax Assumptions'!$B$20),0)</f>
        <v/>
      </c>
      <c r="J1020" s="138">
        <f>IF(B1020="Working",D1020-E1020-F1020-I1020-G1020-H1020,-L1020)</f>
        <v/>
      </c>
      <c r="K1020" s="141">
        <f>IF(B1020="Retired",$N$244+G1020+H1020,0)</f>
        <v/>
      </c>
      <c r="L1020" s="141">
        <f>M1020+N1020+O1020+P1020</f>
        <v/>
      </c>
      <c r="M1020" s="141">
        <f>IF(B1020="Retired",MIN(((Q1019)*(1+$C$10)+IF(B1020="Working",J1020,0)),K1020),0)</f>
        <v/>
      </c>
      <c r="N1020" s="141">
        <f>IF(B1020="Retired",MIN(MAX(K1020-M1020,0),((R1019)*(1+$C$10)+IF(B1020="Working",E95,0))),0)</f>
        <v/>
      </c>
      <c r="O1020" s="141">
        <f>IF(B1020="Retired",MIN(MAX(K1020-M1020-N1020,0),((S1019)*(1+$C$10)+IF(B1020="Working",I1020,0))),0)</f>
        <v/>
      </c>
      <c r="P1020" s="141">
        <f>IF(B1020="Retired",MIN(MAX(K1020-M1020-N1020-O1020,0),((T1019)*(1+$C$10)+IF(B1020="Working",F95,0))),0)</f>
        <v/>
      </c>
      <c r="Q1020" s="138">
        <f>MAX(((Q1019)*(1+$C$10)+IF(B1020="Working",J1020,0))-M1020,0)</f>
        <v/>
      </c>
      <c r="R1020" s="138">
        <f>MAX(((R1019)*(1+$C$10)+IF(B1020="Working",E95,0))-N1020,0)</f>
        <v/>
      </c>
      <c r="S1020" s="138">
        <f>MAX(((S1019)*(1+$C$10)+IF(B1020="Working",I1020,0))-O1020,0)</f>
        <v/>
      </c>
      <c r="T1020" s="138">
        <f>MAX(((T1019)*(1+$C$10)+IF(B1020="Working",F95,0))-P1020,0)</f>
        <v/>
      </c>
      <c r="U1020" s="138">
        <f>Q1020+R1020+S1020+T1020</f>
        <v/>
      </c>
      <c r="V1020" s="138">
        <f>IF(B1020="Working",MAX(-(((Q1019)*(1+$C$10)+IF(B1020="Working",J1020,0))),0),MAX(K1020-L1020,0))</f>
        <v/>
      </c>
      <c r="W1020" s="138">
        <f>IF(OR(A1020&gt;=$C$13,B1020="Retired"),IF(V1020&gt;0,-V1020,U1020-'Model Inputs'!$B$18),"")</f>
        <v/>
      </c>
      <c r="X1020" s="138">
        <f>IF(AND($L$244&gt;0,A1020&gt;=$C$13),$L$244*(1+$C$25)^(A1020-$C$13),0)</f>
        <v/>
      </c>
      <c r="Y1020" s="138">
        <f>IF(OR($L$244&lt;=0,$C$17&lt;=0,A1020&lt;$C$13,MIN(MAX((A1020-$C$13+1)*12,0),$C$17*12)&gt;=$C$17*12),0,IF($C$16=0,MAX(MAX($L$244*(1-$C$15),0)-(IF($C$17&lt;=0,0,IF($C$16=0,MAX($L$244*(1-$C$15),0)/$C$17,-PMT($C$16/12,$C$17*12,MAX($L$244*(1-$C$15),0))*12))/12)*MIN(MAX((A1020-$C$13+1)*12,0),$C$17*12),0),MAX(MAX($L$244*(1-$C$15),0)*(1+$C$16/12)^MIN(MAX((A1020-$C$13+1)*12,0),$C$17*12)-(IF($C$17&lt;=0,0,IF($C$16=0,MAX($L$244*(1-$C$15),0)/$C$17,-PMT($C$16/12,$C$17*12,MAX($L$244*(1-$C$15),0))*12))/12)*(((1+$C$16/12)^MIN(MAX((A1020-$C$13+1)*12,0),$C$17*12)-1)/($C$16/12)),0)))</f>
        <v/>
      </c>
      <c r="Z1020" s="138">
        <f>MAX(X1020-Y1020,0)</f>
        <v/>
      </c>
      <c r="AA1020" s="142">
        <f>U1020+Z1020</f>
        <v/>
      </c>
      <c r="AB1020" s="5" t="n"/>
      <c r="AC1020" s="5" t="n"/>
      <c r="AD1020" s="5" t="n"/>
      <c r="AE1020" s="5" t="n"/>
      <c r="AF1020" s="5" t="n"/>
      <c r="AG1020" s="5" t="n"/>
    </row>
    <row r="1021" outlineLevel="1" s="326">
      <c r="A1021" s="136" t="n">
        <v>17</v>
      </c>
      <c r="B1021" s="72">
        <f>B96</f>
        <v/>
      </c>
      <c r="C1021" s="137">
        <f>D96</f>
        <v/>
      </c>
      <c r="D1021" s="137">
        <f>I96</f>
        <v/>
      </c>
      <c r="E1021" s="137">
        <f>J96</f>
        <v/>
      </c>
      <c r="F1021" s="137">
        <f>K96</f>
        <v/>
      </c>
      <c r="G1021" s="138">
        <f>IF(AND($L$244&gt;0,A1021=$C$13),$L$244*($C$15+$C$18),0)+IF(AND($L$244&gt;0,A1021=$C$13),$C$24,0)</f>
        <v/>
      </c>
      <c r="H1021" s="138">
        <f>IF(OR($L$244&lt;=0,A1021&lt;$C$13),0,IF(AND($L$244&gt;0,$C$17&gt;0,A1021&gt;=$C$13,A1021&lt;($C$13+$C$17)),IF($C$17&lt;=0,0,IF($C$16=0,MAX($L$244*(1-$C$15),0)/$C$17,-PMT($C$16/12,$C$17*12,MAX($L$244*(1-$C$15),0))*12)),0)+X1021*($C$19+$C$20+$C$21)+$C$22+$C$23)</f>
        <v/>
      </c>
      <c r="I1021" s="138">
        <f>IF(B1021="Working",MIN(MAX(D1021-E1021-F1021-G1021-H1021,0),'Tax Assumptions'!$B$20),0)</f>
        <v/>
      </c>
      <c r="J1021" s="138">
        <f>IF(B1021="Working",D1021-E1021-F1021-I1021-G1021-H1021,-L1021)</f>
        <v/>
      </c>
      <c r="K1021" s="137">
        <f>IF(B1021="Retired",$N$244+G1021+H1021,0)</f>
        <v/>
      </c>
      <c r="L1021" s="137">
        <f>M1021+N1021+O1021+P1021</f>
        <v/>
      </c>
      <c r="M1021" s="137">
        <f>IF(B1021="Retired",MIN(((Q1020)*(1+$C$10)+IF(B1021="Working",J1021,0)),K1021),0)</f>
        <v/>
      </c>
      <c r="N1021" s="137">
        <f>IF(B1021="Retired",MIN(MAX(K1021-M1021,0),((R1020)*(1+$C$10)+IF(B1021="Working",E96,0))),0)</f>
        <v/>
      </c>
      <c r="O1021" s="137">
        <f>IF(B1021="Retired",MIN(MAX(K1021-M1021-N1021,0),((S1020)*(1+$C$10)+IF(B1021="Working",I1021,0))),0)</f>
        <v/>
      </c>
      <c r="P1021" s="137">
        <f>IF(B1021="Retired",MIN(MAX(K1021-M1021-N1021-O1021,0),((T1020)*(1+$C$10)+IF(B1021="Working",F96,0))),0)</f>
        <v/>
      </c>
      <c r="Q1021" s="138">
        <f>MAX(((Q1020)*(1+$C$10)+IF(B1021="Working",J1021,0))-M1021,0)</f>
        <v/>
      </c>
      <c r="R1021" s="138">
        <f>MAX(((R1020)*(1+$C$10)+IF(B1021="Working",E96,0))-N1021,0)</f>
        <v/>
      </c>
      <c r="S1021" s="138">
        <f>MAX(((S1020)*(1+$C$10)+IF(B1021="Working",I1021,0))-O1021,0)</f>
        <v/>
      </c>
      <c r="T1021" s="138">
        <f>MAX(((T1020)*(1+$C$10)+IF(B1021="Working",F96,0))-P1021,0)</f>
        <v/>
      </c>
      <c r="U1021" s="138">
        <f>Q1021+R1021+S1021+T1021</f>
        <v/>
      </c>
      <c r="V1021" s="138">
        <f>IF(B1021="Working",MAX(-(((Q1020)*(1+$C$10)+IF(B1021="Working",J1021,0))),0),MAX(K1021-L1021,0))</f>
        <v/>
      </c>
      <c r="W1021" s="138">
        <f>IF(OR(A1021&gt;=$C$13,B1021="Retired"),IF(V1021&gt;0,-V1021,U1021-'Model Inputs'!$B$18),"")</f>
        <v/>
      </c>
      <c r="X1021" s="138">
        <f>IF(AND($L$244&gt;0,A1021&gt;=$C$13),$L$244*(1+$C$25)^(A1021-$C$13),0)</f>
        <v/>
      </c>
      <c r="Y1021" s="138">
        <f>IF(OR($L$244&lt;=0,$C$17&lt;=0,A1021&lt;$C$13,MIN(MAX((A1021-$C$13+1)*12,0),$C$17*12)&gt;=$C$17*12),0,IF($C$16=0,MAX(MAX($L$244*(1-$C$15),0)-(IF($C$17&lt;=0,0,IF($C$16=0,MAX($L$244*(1-$C$15),0)/$C$17,-PMT($C$16/12,$C$17*12,MAX($L$244*(1-$C$15),0))*12))/12)*MIN(MAX((A1021-$C$13+1)*12,0),$C$17*12),0),MAX(MAX($L$244*(1-$C$15),0)*(1+$C$16/12)^MIN(MAX((A1021-$C$13+1)*12,0),$C$17*12)-(IF($C$17&lt;=0,0,IF($C$16=0,MAX($L$244*(1-$C$15),0)/$C$17,-PMT($C$16/12,$C$17*12,MAX($L$244*(1-$C$15),0))*12))/12)*(((1+$C$16/12)^MIN(MAX((A1021-$C$13+1)*12,0),$C$17*12)-1)/($C$16/12)),0)))</f>
        <v/>
      </c>
      <c r="Z1021" s="138">
        <f>MAX(X1021-Y1021,0)</f>
        <v/>
      </c>
      <c r="AA1021" s="139">
        <f>U1021+Z1021</f>
        <v/>
      </c>
      <c r="AB1021" s="5" t="n"/>
      <c r="AC1021" s="5" t="n"/>
      <c r="AD1021" s="5" t="n"/>
      <c r="AE1021" s="5" t="n"/>
      <c r="AF1021" s="5" t="n"/>
      <c r="AG1021" s="5" t="n"/>
    </row>
    <row r="1022" outlineLevel="1" s="326">
      <c r="A1022" s="140" t="n">
        <v>18</v>
      </c>
      <c r="B1022" s="40">
        <f>B97</f>
        <v/>
      </c>
      <c r="C1022" s="141">
        <f>D97</f>
        <v/>
      </c>
      <c r="D1022" s="141">
        <f>I97</f>
        <v/>
      </c>
      <c r="E1022" s="141">
        <f>J97</f>
        <v/>
      </c>
      <c r="F1022" s="141">
        <f>K97</f>
        <v/>
      </c>
      <c r="G1022" s="138">
        <f>IF(AND($L$244&gt;0,A1022=$C$13),$L$244*($C$15+$C$18),0)+IF(AND($L$244&gt;0,A1022=$C$13),$C$24,0)</f>
        <v/>
      </c>
      <c r="H1022" s="138">
        <f>IF(OR($L$244&lt;=0,A1022&lt;$C$13),0,IF(AND($L$244&gt;0,$C$17&gt;0,A1022&gt;=$C$13,A1022&lt;($C$13+$C$17)),IF($C$17&lt;=0,0,IF($C$16=0,MAX($L$244*(1-$C$15),0)/$C$17,-PMT($C$16/12,$C$17*12,MAX($L$244*(1-$C$15),0))*12)),0)+X1022*($C$19+$C$20+$C$21)+$C$22+$C$23)</f>
        <v/>
      </c>
      <c r="I1022" s="138">
        <f>IF(B1022="Working",MIN(MAX(D1022-E1022-F1022-G1022-H1022,0),'Tax Assumptions'!$B$20),0)</f>
        <v/>
      </c>
      <c r="J1022" s="138">
        <f>IF(B1022="Working",D1022-E1022-F1022-I1022-G1022-H1022,-L1022)</f>
        <v/>
      </c>
      <c r="K1022" s="141">
        <f>IF(B1022="Retired",$N$244+G1022+H1022,0)</f>
        <v/>
      </c>
      <c r="L1022" s="141">
        <f>M1022+N1022+O1022+P1022</f>
        <v/>
      </c>
      <c r="M1022" s="141">
        <f>IF(B1022="Retired",MIN(((Q1021)*(1+$C$10)+IF(B1022="Working",J1022,0)),K1022),0)</f>
        <v/>
      </c>
      <c r="N1022" s="141">
        <f>IF(B1022="Retired",MIN(MAX(K1022-M1022,0),((R1021)*(1+$C$10)+IF(B1022="Working",E97,0))),0)</f>
        <v/>
      </c>
      <c r="O1022" s="141">
        <f>IF(B1022="Retired",MIN(MAX(K1022-M1022-N1022,0),((S1021)*(1+$C$10)+IF(B1022="Working",I1022,0))),0)</f>
        <v/>
      </c>
      <c r="P1022" s="141">
        <f>IF(B1022="Retired",MIN(MAX(K1022-M1022-N1022-O1022,0),((T1021)*(1+$C$10)+IF(B1022="Working",F97,0))),0)</f>
        <v/>
      </c>
      <c r="Q1022" s="138">
        <f>MAX(((Q1021)*(1+$C$10)+IF(B1022="Working",J1022,0))-M1022,0)</f>
        <v/>
      </c>
      <c r="R1022" s="138">
        <f>MAX(((R1021)*(1+$C$10)+IF(B1022="Working",E97,0))-N1022,0)</f>
        <v/>
      </c>
      <c r="S1022" s="138">
        <f>MAX(((S1021)*(1+$C$10)+IF(B1022="Working",I1022,0))-O1022,0)</f>
        <v/>
      </c>
      <c r="T1022" s="138">
        <f>MAX(((T1021)*(1+$C$10)+IF(B1022="Working",F97,0))-P1022,0)</f>
        <v/>
      </c>
      <c r="U1022" s="138">
        <f>Q1022+R1022+S1022+T1022</f>
        <v/>
      </c>
      <c r="V1022" s="138">
        <f>IF(B1022="Working",MAX(-(((Q1021)*(1+$C$10)+IF(B1022="Working",J1022,0))),0),MAX(K1022-L1022,0))</f>
        <v/>
      </c>
      <c r="W1022" s="138">
        <f>IF(OR(A1022&gt;=$C$13,B1022="Retired"),IF(V1022&gt;0,-V1022,U1022-'Model Inputs'!$B$18),"")</f>
        <v/>
      </c>
      <c r="X1022" s="138">
        <f>IF(AND($L$244&gt;0,A1022&gt;=$C$13),$L$244*(1+$C$25)^(A1022-$C$13),0)</f>
        <v/>
      </c>
      <c r="Y1022" s="138">
        <f>IF(OR($L$244&lt;=0,$C$17&lt;=0,A1022&lt;$C$13,MIN(MAX((A1022-$C$13+1)*12,0),$C$17*12)&gt;=$C$17*12),0,IF($C$16=0,MAX(MAX($L$244*(1-$C$15),0)-(IF($C$17&lt;=0,0,IF($C$16=0,MAX($L$244*(1-$C$15),0)/$C$17,-PMT($C$16/12,$C$17*12,MAX($L$244*(1-$C$15),0))*12))/12)*MIN(MAX((A1022-$C$13+1)*12,0),$C$17*12),0),MAX(MAX($L$244*(1-$C$15),0)*(1+$C$16/12)^MIN(MAX((A1022-$C$13+1)*12,0),$C$17*12)-(IF($C$17&lt;=0,0,IF($C$16=0,MAX($L$244*(1-$C$15),0)/$C$17,-PMT($C$16/12,$C$17*12,MAX($L$244*(1-$C$15),0))*12))/12)*(((1+$C$16/12)^MIN(MAX((A1022-$C$13+1)*12,0),$C$17*12)-1)/($C$16/12)),0)))</f>
        <v/>
      </c>
      <c r="Z1022" s="138">
        <f>MAX(X1022-Y1022,0)</f>
        <v/>
      </c>
      <c r="AA1022" s="142">
        <f>U1022+Z1022</f>
        <v/>
      </c>
      <c r="AB1022" s="5" t="n"/>
      <c r="AC1022" s="5" t="n"/>
      <c r="AD1022" s="5" t="n"/>
      <c r="AE1022" s="5" t="n"/>
      <c r="AF1022" s="5" t="n"/>
      <c r="AG1022" s="5" t="n"/>
    </row>
    <row r="1023" outlineLevel="1" s="326">
      <c r="A1023" s="136" t="n">
        <v>19</v>
      </c>
      <c r="B1023" s="72">
        <f>B98</f>
        <v/>
      </c>
      <c r="C1023" s="137">
        <f>D98</f>
        <v/>
      </c>
      <c r="D1023" s="137">
        <f>I98</f>
        <v/>
      </c>
      <c r="E1023" s="137">
        <f>J98</f>
        <v/>
      </c>
      <c r="F1023" s="137">
        <f>K98</f>
        <v/>
      </c>
      <c r="G1023" s="138">
        <f>IF(AND($L$244&gt;0,A1023=$C$13),$L$244*($C$15+$C$18),0)+IF(AND($L$244&gt;0,A1023=$C$13),$C$24,0)</f>
        <v/>
      </c>
      <c r="H1023" s="138">
        <f>IF(OR($L$244&lt;=0,A1023&lt;$C$13),0,IF(AND($L$244&gt;0,$C$17&gt;0,A1023&gt;=$C$13,A1023&lt;($C$13+$C$17)),IF($C$17&lt;=0,0,IF($C$16=0,MAX($L$244*(1-$C$15),0)/$C$17,-PMT($C$16/12,$C$17*12,MAX($L$244*(1-$C$15),0))*12)),0)+X1023*($C$19+$C$20+$C$21)+$C$22+$C$23)</f>
        <v/>
      </c>
      <c r="I1023" s="138">
        <f>IF(B1023="Working",MIN(MAX(D1023-E1023-F1023-G1023-H1023,0),'Tax Assumptions'!$B$20),0)</f>
        <v/>
      </c>
      <c r="J1023" s="138">
        <f>IF(B1023="Working",D1023-E1023-F1023-I1023-G1023-H1023,-L1023)</f>
        <v/>
      </c>
      <c r="K1023" s="137">
        <f>IF(B1023="Retired",$N$244+G1023+H1023,0)</f>
        <v/>
      </c>
      <c r="L1023" s="137">
        <f>M1023+N1023+O1023+P1023</f>
        <v/>
      </c>
      <c r="M1023" s="137">
        <f>IF(B1023="Retired",MIN(((Q1022)*(1+$C$10)+IF(B1023="Working",J1023,0)),K1023),0)</f>
        <v/>
      </c>
      <c r="N1023" s="137">
        <f>IF(B1023="Retired",MIN(MAX(K1023-M1023,0),((R1022)*(1+$C$10)+IF(B1023="Working",E98,0))),0)</f>
        <v/>
      </c>
      <c r="O1023" s="137">
        <f>IF(B1023="Retired",MIN(MAX(K1023-M1023-N1023,0),((S1022)*(1+$C$10)+IF(B1023="Working",I1023,0))),0)</f>
        <v/>
      </c>
      <c r="P1023" s="137">
        <f>IF(B1023="Retired",MIN(MAX(K1023-M1023-N1023-O1023,0),((T1022)*(1+$C$10)+IF(B1023="Working",F98,0))),0)</f>
        <v/>
      </c>
      <c r="Q1023" s="138">
        <f>MAX(((Q1022)*(1+$C$10)+IF(B1023="Working",J1023,0))-M1023,0)</f>
        <v/>
      </c>
      <c r="R1023" s="138">
        <f>MAX(((R1022)*(1+$C$10)+IF(B1023="Working",E98,0))-N1023,0)</f>
        <v/>
      </c>
      <c r="S1023" s="138">
        <f>MAX(((S1022)*(1+$C$10)+IF(B1023="Working",I1023,0))-O1023,0)</f>
        <v/>
      </c>
      <c r="T1023" s="138">
        <f>MAX(((T1022)*(1+$C$10)+IF(B1023="Working",F98,0))-P1023,0)</f>
        <v/>
      </c>
      <c r="U1023" s="138">
        <f>Q1023+R1023+S1023+T1023</f>
        <v/>
      </c>
      <c r="V1023" s="138">
        <f>IF(B1023="Working",MAX(-(((Q1022)*(1+$C$10)+IF(B1023="Working",J1023,0))),0),MAX(K1023-L1023,0))</f>
        <v/>
      </c>
      <c r="W1023" s="138">
        <f>IF(OR(A1023&gt;=$C$13,B1023="Retired"),IF(V1023&gt;0,-V1023,U1023-'Model Inputs'!$B$18),"")</f>
        <v/>
      </c>
      <c r="X1023" s="138">
        <f>IF(AND($L$244&gt;0,A1023&gt;=$C$13),$L$244*(1+$C$25)^(A1023-$C$13),0)</f>
        <v/>
      </c>
      <c r="Y1023" s="138">
        <f>IF(OR($L$244&lt;=0,$C$17&lt;=0,A1023&lt;$C$13,MIN(MAX((A1023-$C$13+1)*12,0),$C$17*12)&gt;=$C$17*12),0,IF($C$16=0,MAX(MAX($L$244*(1-$C$15),0)-(IF($C$17&lt;=0,0,IF($C$16=0,MAX($L$244*(1-$C$15),0)/$C$17,-PMT($C$16/12,$C$17*12,MAX($L$244*(1-$C$15),0))*12))/12)*MIN(MAX((A1023-$C$13+1)*12,0),$C$17*12),0),MAX(MAX($L$244*(1-$C$15),0)*(1+$C$16/12)^MIN(MAX((A1023-$C$13+1)*12,0),$C$17*12)-(IF($C$17&lt;=0,0,IF($C$16=0,MAX($L$244*(1-$C$15),0)/$C$17,-PMT($C$16/12,$C$17*12,MAX($L$244*(1-$C$15),0))*12))/12)*(((1+$C$16/12)^MIN(MAX((A1023-$C$13+1)*12,0),$C$17*12)-1)/($C$16/12)),0)))</f>
        <v/>
      </c>
      <c r="Z1023" s="138">
        <f>MAX(X1023-Y1023,0)</f>
        <v/>
      </c>
      <c r="AA1023" s="139">
        <f>U1023+Z1023</f>
        <v/>
      </c>
      <c r="AB1023" s="5" t="n"/>
      <c r="AC1023" s="5" t="n"/>
      <c r="AD1023" s="5" t="n"/>
      <c r="AE1023" s="5" t="n"/>
      <c r="AF1023" s="5" t="n"/>
      <c r="AG1023" s="5" t="n"/>
    </row>
    <row r="1024" outlineLevel="1" s="326">
      <c r="A1024" s="140" t="n">
        <v>20</v>
      </c>
      <c r="B1024" s="40">
        <f>B99</f>
        <v/>
      </c>
      <c r="C1024" s="141">
        <f>D99</f>
        <v/>
      </c>
      <c r="D1024" s="141">
        <f>I99</f>
        <v/>
      </c>
      <c r="E1024" s="141">
        <f>J99</f>
        <v/>
      </c>
      <c r="F1024" s="141">
        <f>K99</f>
        <v/>
      </c>
      <c r="G1024" s="138">
        <f>IF(AND($L$244&gt;0,A1024=$C$13),$L$244*($C$15+$C$18),0)+IF(AND($L$244&gt;0,A1024=$C$13),$C$24,0)</f>
        <v/>
      </c>
      <c r="H1024" s="138">
        <f>IF(OR($L$244&lt;=0,A1024&lt;$C$13),0,IF(AND($L$244&gt;0,$C$17&gt;0,A1024&gt;=$C$13,A1024&lt;($C$13+$C$17)),IF($C$17&lt;=0,0,IF($C$16=0,MAX($L$244*(1-$C$15),0)/$C$17,-PMT($C$16/12,$C$17*12,MAX($L$244*(1-$C$15),0))*12)),0)+X1024*($C$19+$C$20+$C$21)+$C$22+$C$23)</f>
        <v/>
      </c>
      <c r="I1024" s="138">
        <f>IF(B1024="Working",MIN(MAX(D1024-E1024-F1024-G1024-H1024,0),'Tax Assumptions'!$B$20),0)</f>
        <v/>
      </c>
      <c r="J1024" s="138">
        <f>IF(B1024="Working",D1024-E1024-F1024-I1024-G1024-H1024,-L1024)</f>
        <v/>
      </c>
      <c r="K1024" s="141">
        <f>IF(B1024="Retired",$N$244+G1024+H1024,0)</f>
        <v/>
      </c>
      <c r="L1024" s="141">
        <f>M1024+N1024+O1024+P1024</f>
        <v/>
      </c>
      <c r="M1024" s="141">
        <f>IF(B1024="Retired",MIN(((Q1023)*(1+$C$10)+IF(B1024="Working",J1024,0)),K1024),0)</f>
        <v/>
      </c>
      <c r="N1024" s="141">
        <f>IF(B1024="Retired",MIN(MAX(K1024-M1024,0),((R1023)*(1+$C$10)+IF(B1024="Working",E99,0))),0)</f>
        <v/>
      </c>
      <c r="O1024" s="141">
        <f>IF(B1024="Retired",MIN(MAX(K1024-M1024-N1024,0),((S1023)*(1+$C$10)+IF(B1024="Working",I1024,0))),0)</f>
        <v/>
      </c>
      <c r="P1024" s="141">
        <f>IF(B1024="Retired",MIN(MAX(K1024-M1024-N1024-O1024,0),((T1023)*(1+$C$10)+IF(B1024="Working",F99,0))),0)</f>
        <v/>
      </c>
      <c r="Q1024" s="138">
        <f>MAX(((Q1023)*(1+$C$10)+IF(B1024="Working",J1024,0))-M1024,0)</f>
        <v/>
      </c>
      <c r="R1024" s="138">
        <f>MAX(((R1023)*(1+$C$10)+IF(B1024="Working",E99,0))-N1024,0)</f>
        <v/>
      </c>
      <c r="S1024" s="138">
        <f>MAX(((S1023)*(1+$C$10)+IF(B1024="Working",I1024,0))-O1024,0)</f>
        <v/>
      </c>
      <c r="T1024" s="138">
        <f>MAX(((T1023)*(1+$C$10)+IF(B1024="Working",F99,0))-P1024,0)</f>
        <v/>
      </c>
      <c r="U1024" s="138">
        <f>Q1024+R1024+S1024+T1024</f>
        <v/>
      </c>
      <c r="V1024" s="138">
        <f>IF(B1024="Working",MAX(-(((Q1023)*(1+$C$10)+IF(B1024="Working",J1024,0))),0),MAX(K1024-L1024,0))</f>
        <v/>
      </c>
      <c r="W1024" s="138">
        <f>IF(OR(A1024&gt;=$C$13,B1024="Retired"),IF(V1024&gt;0,-V1024,U1024-'Model Inputs'!$B$18),"")</f>
        <v/>
      </c>
      <c r="X1024" s="138">
        <f>IF(AND($L$244&gt;0,A1024&gt;=$C$13),$L$244*(1+$C$25)^(A1024-$C$13),0)</f>
        <v/>
      </c>
      <c r="Y1024" s="138">
        <f>IF(OR($L$244&lt;=0,$C$17&lt;=0,A1024&lt;$C$13,MIN(MAX((A1024-$C$13+1)*12,0),$C$17*12)&gt;=$C$17*12),0,IF($C$16=0,MAX(MAX($L$244*(1-$C$15),0)-(IF($C$17&lt;=0,0,IF($C$16=0,MAX($L$244*(1-$C$15),0)/$C$17,-PMT($C$16/12,$C$17*12,MAX($L$244*(1-$C$15),0))*12))/12)*MIN(MAX((A1024-$C$13+1)*12,0),$C$17*12),0),MAX(MAX($L$244*(1-$C$15),0)*(1+$C$16/12)^MIN(MAX((A1024-$C$13+1)*12,0),$C$17*12)-(IF($C$17&lt;=0,0,IF($C$16=0,MAX($L$244*(1-$C$15),0)/$C$17,-PMT($C$16/12,$C$17*12,MAX($L$244*(1-$C$15),0))*12))/12)*(((1+$C$16/12)^MIN(MAX((A1024-$C$13+1)*12,0),$C$17*12)-1)/($C$16/12)),0)))</f>
        <v/>
      </c>
      <c r="Z1024" s="138">
        <f>MAX(X1024-Y1024,0)</f>
        <v/>
      </c>
      <c r="AA1024" s="142">
        <f>U1024+Z1024</f>
        <v/>
      </c>
      <c r="AB1024" s="5" t="n"/>
      <c r="AC1024" s="5" t="n"/>
      <c r="AD1024" s="5" t="n"/>
      <c r="AE1024" s="5" t="n"/>
      <c r="AF1024" s="5" t="n"/>
      <c r="AG1024" s="5" t="n"/>
    </row>
    <row r="1025" outlineLevel="1" s="326">
      <c r="A1025" s="136" t="n">
        <v>21</v>
      </c>
      <c r="B1025" s="72">
        <f>B100</f>
        <v/>
      </c>
      <c r="C1025" s="137">
        <f>D100</f>
        <v/>
      </c>
      <c r="D1025" s="137">
        <f>I100</f>
        <v/>
      </c>
      <c r="E1025" s="137">
        <f>J100</f>
        <v/>
      </c>
      <c r="F1025" s="137">
        <f>K100</f>
        <v/>
      </c>
      <c r="G1025" s="138">
        <f>IF(AND($L$244&gt;0,A1025=$C$13),$L$244*($C$15+$C$18),0)+IF(AND($L$244&gt;0,A1025=$C$13),$C$24,0)</f>
        <v/>
      </c>
      <c r="H1025" s="138">
        <f>IF(OR($L$244&lt;=0,A1025&lt;$C$13),0,IF(AND($L$244&gt;0,$C$17&gt;0,A1025&gt;=$C$13,A1025&lt;($C$13+$C$17)),IF($C$17&lt;=0,0,IF($C$16=0,MAX($L$244*(1-$C$15),0)/$C$17,-PMT($C$16/12,$C$17*12,MAX($L$244*(1-$C$15),0))*12)),0)+X1025*($C$19+$C$20+$C$21)+$C$22+$C$23)</f>
        <v/>
      </c>
      <c r="I1025" s="138">
        <f>IF(B1025="Working",MIN(MAX(D1025-E1025-F1025-G1025-H1025,0),'Tax Assumptions'!$B$20),0)</f>
        <v/>
      </c>
      <c r="J1025" s="138">
        <f>IF(B1025="Working",D1025-E1025-F1025-I1025-G1025-H1025,-L1025)</f>
        <v/>
      </c>
      <c r="K1025" s="137">
        <f>IF(B1025="Retired",$N$244+G1025+H1025,0)</f>
        <v/>
      </c>
      <c r="L1025" s="137">
        <f>M1025+N1025+O1025+P1025</f>
        <v/>
      </c>
      <c r="M1025" s="137">
        <f>IF(B1025="Retired",MIN(((Q1024)*(1+$C$10)+IF(B1025="Working",J1025,0)),K1025),0)</f>
        <v/>
      </c>
      <c r="N1025" s="137">
        <f>IF(B1025="Retired",MIN(MAX(K1025-M1025,0),((R1024)*(1+$C$10)+IF(B1025="Working",E100,0))),0)</f>
        <v/>
      </c>
      <c r="O1025" s="137">
        <f>IF(B1025="Retired",MIN(MAX(K1025-M1025-N1025,0),((S1024)*(1+$C$10)+IF(B1025="Working",I1025,0))),0)</f>
        <v/>
      </c>
      <c r="P1025" s="137">
        <f>IF(B1025="Retired",MIN(MAX(K1025-M1025-N1025-O1025,0),((T1024)*(1+$C$10)+IF(B1025="Working",F100,0))),0)</f>
        <v/>
      </c>
      <c r="Q1025" s="138">
        <f>MAX(((Q1024)*(1+$C$10)+IF(B1025="Working",J1025,0))-M1025,0)</f>
        <v/>
      </c>
      <c r="R1025" s="138">
        <f>MAX(((R1024)*(1+$C$10)+IF(B1025="Working",E100,0))-N1025,0)</f>
        <v/>
      </c>
      <c r="S1025" s="138">
        <f>MAX(((S1024)*(1+$C$10)+IF(B1025="Working",I1025,0))-O1025,0)</f>
        <v/>
      </c>
      <c r="T1025" s="138">
        <f>MAX(((T1024)*(1+$C$10)+IF(B1025="Working",F100,0))-P1025,0)</f>
        <v/>
      </c>
      <c r="U1025" s="138">
        <f>Q1025+R1025+S1025+T1025</f>
        <v/>
      </c>
      <c r="V1025" s="138">
        <f>IF(B1025="Working",MAX(-(((Q1024)*(1+$C$10)+IF(B1025="Working",J1025,0))),0),MAX(K1025-L1025,0))</f>
        <v/>
      </c>
      <c r="W1025" s="138">
        <f>IF(OR(A1025&gt;=$C$13,B1025="Retired"),IF(V1025&gt;0,-V1025,U1025-'Model Inputs'!$B$18),"")</f>
        <v/>
      </c>
      <c r="X1025" s="138">
        <f>IF(AND($L$244&gt;0,A1025&gt;=$C$13),$L$244*(1+$C$25)^(A1025-$C$13),0)</f>
        <v/>
      </c>
      <c r="Y1025" s="138">
        <f>IF(OR($L$244&lt;=0,$C$17&lt;=0,A1025&lt;$C$13,MIN(MAX((A1025-$C$13+1)*12,0),$C$17*12)&gt;=$C$17*12),0,IF($C$16=0,MAX(MAX($L$244*(1-$C$15),0)-(IF($C$17&lt;=0,0,IF($C$16=0,MAX($L$244*(1-$C$15),0)/$C$17,-PMT($C$16/12,$C$17*12,MAX($L$244*(1-$C$15),0))*12))/12)*MIN(MAX((A1025-$C$13+1)*12,0),$C$17*12),0),MAX(MAX($L$244*(1-$C$15),0)*(1+$C$16/12)^MIN(MAX((A1025-$C$13+1)*12,0),$C$17*12)-(IF($C$17&lt;=0,0,IF($C$16=0,MAX($L$244*(1-$C$15),0)/$C$17,-PMT($C$16/12,$C$17*12,MAX($L$244*(1-$C$15),0))*12))/12)*(((1+$C$16/12)^MIN(MAX((A1025-$C$13+1)*12,0),$C$17*12)-1)/($C$16/12)),0)))</f>
        <v/>
      </c>
      <c r="Z1025" s="138">
        <f>MAX(X1025-Y1025,0)</f>
        <v/>
      </c>
      <c r="AA1025" s="139">
        <f>U1025+Z1025</f>
        <v/>
      </c>
      <c r="AB1025" s="5" t="n"/>
      <c r="AC1025" s="5" t="n"/>
      <c r="AD1025" s="5" t="n"/>
      <c r="AE1025" s="5" t="n"/>
      <c r="AF1025" s="5" t="n"/>
      <c r="AG1025" s="5" t="n"/>
    </row>
    <row r="1026" outlineLevel="1" s="326">
      <c r="A1026" s="140" t="n">
        <v>22</v>
      </c>
      <c r="B1026" s="40">
        <f>B101</f>
        <v/>
      </c>
      <c r="C1026" s="141">
        <f>D101</f>
        <v/>
      </c>
      <c r="D1026" s="141">
        <f>I101</f>
        <v/>
      </c>
      <c r="E1026" s="141">
        <f>J101</f>
        <v/>
      </c>
      <c r="F1026" s="141">
        <f>K101</f>
        <v/>
      </c>
      <c r="G1026" s="138">
        <f>IF(AND($L$244&gt;0,A1026=$C$13),$L$244*($C$15+$C$18),0)+IF(AND($L$244&gt;0,A1026=$C$13),$C$24,0)</f>
        <v/>
      </c>
      <c r="H1026" s="138">
        <f>IF(OR($L$244&lt;=0,A1026&lt;$C$13),0,IF(AND($L$244&gt;0,$C$17&gt;0,A1026&gt;=$C$13,A1026&lt;($C$13+$C$17)),IF($C$17&lt;=0,0,IF($C$16=0,MAX($L$244*(1-$C$15),0)/$C$17,-PMT($C$16/12,$C$17*12,MAX($L$244*(1-$C$15),0))*12)),0)+X1026*($C$19+$C$20+$C$21)+$C$22+$C$23)</f>
        <v/>
      </c>
      <c r="I1026" s="138">
        <f>IF(B1026="Working",MIN(MAX(D1026-E1026-F1026-G1026-H1026,0),'Tax Assumptions'!$B$20),0)</f>
        <v/>
      </c>
      <c r="J1026" s="138">
        <f>IF(B1026="Working",D1026-E1026-F1026-I1026-G1026-H1026,-L1026)</f>
        <v/>
      </c>
      <c r="K1026" s="141">
        <f>IF(B1026="Retired",$N$244+G1026+H1026,0)</f>
        <v/>
      </c>
      <c r="L1026" s="141">
        <f>M1026+N1026+O1026+P1026</f>
        <v/>
      </c>
      <c r="M1026" s="141">
        <f>IF(B1026="Retired",MIN(((Q1025)*(1+$C$10)+IF(B1026="Working",J1026,0)),K1026),0)</f>
        <v/>
      </c>
      <c r="N1026" s="141">
        <f>IF(B1026="Retired",MIN(MAX(K1026-M1026,0),((R1025)*(1+$C$10)+IF(B1026="Working",E101,0))),0)</f>
        <v/>
      </c>
      <c r="O1026" s="141">
        <f>IF(B1026="Retired",MIN(MAX(K1026-M1026-N1026,0),((S1025)*(1+$C$10)+IF(B1026="Working",I1026,0))),0)</f>
        <v/>
      </c>
      <c r="P1026" s="141">
        <f>IF(B1026="Retired",MIN(MAX(K1026-M1026-N1026-O1026,0),((T1025)*(1+$C$10)+IF(B1026="Working",F101,0))),0)</f>
        <v/>
      </c>
      <c r="Q1026" s="138">
        <f>MAX(((Q1025)*(1+$C$10)+IF(B1026="Working",J1026,0))-M1026,0)</f>
        <v/>
      </c>
      <c r="R1026" s="138">
        <f>MAX(((R1025)*(1+$C$10)+IF(B1026="Working",E101,0))-N1026,0)</f>
        <v/>
      </c>
      <c r="S1026" s="138">
        <f>MAX(((S1025)*(1+$C$10)+IF(B1026="Working",I1026,0))-O1026,0)</f>
        <v/>
      </c>
      <c r="T1026" s="138">
        <f>MAX(((T1025)*(1+$C$10)+IF(B1026="Working",F101,0))-P1026,0)</f>
        <v/>
      </c>
      <c r="U1026" s="138">
        <f>Q1026+R1026+S1026+T1026</f>
        <v/>
      </c>
      <c r="V1026" s="138">
        <f>IF(B1026="Working",MAX(-(((Q1025)*(1+$C$10)+IF(B1026="Working",J1026,0))),0),MAX(K1026-L1026,0))</f>
        <v/>
      </c>
      <c r="W1026" s="138">
        <f>IF(OR(A1026&gt;=$C$13,B1026="Retired"),IF(V1026&gt;0,-V1026,U1026-'Model Inputs'!$B$18),"")</f>
        <v/>
      </c>
      <c r="X1026" s="138">
        <f>IF(AND($L$244&gt;0,A1026&gt;=$C$13),$L$244*(1+$C$25)^(A1026-$C$13),0)</f>
        <v/>
      </c>
      <c r="Y1026" s="138">
        <f>IF(OR($L$244&lt;=0,$C$17&lt;=0,A1026&lt;$C$13,MIN(MAX((A1026-$C$13+1)*12,0),$C$17*12)&gt;=$C$17*12),0,IF($C$16=0,MAX(MAX($L$244*(1-$C$15),0)-(IF($C$17&lt;=0,0,IF($C$16=0,MAX($L$244*(1-$C$15),0)/$C$17,-PMT($C$16/12,$C$17*12,MAX($L$244*(1-$C$15),0))*12))/12)*MIN(MAX((A1026-$C$13+1)*12,0),$C$17*12),0),MAX(MAX($L$244*(1-$C$15),0)*(1+$C$16/12)^MIN(MAX((A1026-$C$13+1)*12,0),$C$17*12)-(IF($C$17&lt;=0,0,IF($C$16=0,MAX($L$244*(1-$C$15),0)/$C$17,-PMT($C$16/12,$C$17*12,MAX($L$244*(1-$C$15),0))*12))/12)*(((1+$C$16/12)^MIN(MAX((A1026-$C$13+1)*12,0),$C$17*12)-1)/($C$16/12)),0)))</f>
        <v/>
      </c>
      <c r="Z1026" s="138">
        <f>MAX(X1026-Y1026,0)</f>
        <v/>
      </c>
      <c r="AA1026" s="142">
        <f>U1026+Z1026</f>
        <v/>
      </c>
      <c r="AB1026" s="5" t="n"/>
      <c r="AC1026" s="5" t="n"/>
      <c r="AD1026" s="5" t="n"/>
      <c r="AE1026" s="5" t="n"/>
      <c r="AF1026" s="5" t="n"/>
      <c r="AG1026" s="5" t="n"/>
    </row>
    <row r="1027" outlineLevel="1" s="326">
      <c r="A1027" s="136" t="n">
        <v>23</v>
      </c>
      <c r="B1027" s="72">
        <f>B102</f>
        <v/>
      </c>
      <c r="C1027" s="137">
        <f>D102</f>
        <v/>
      </c>
      <c r="D1027" s="137">
        <f>I102</f>
        <v/>
      </c>
      <c r="E1027" s="137">
        <f>J102</f>
        <v/>
      </c>
      <c r="F1027" s="137">
        <f>K102</f>
        <v/>
      </c>
      <c r="G1027" s="138">
        <f>IF(AND($L$244&gt;0,A1027=$C$13),$L$244*($C$15+$C$18),0)+IF(AND($L$244&gt;0,A1027=$C$13),$C$24,0)</f>
        <v/>
      </c>
      <c r="H1027" s="138">
        <f>IF(OR($L$244&lt;=0,A1027&lt;$C$13),0,IF(AND($L$244&gt;0,$C$17&gt;0,A1027&gt;=$C$13,A1027&lt;($C$13+$C$17)),IF($C$17&lt;=0,0,IF($C$16=0,MAX($L$244*(1-$C$15),0)/$C$17,-PMT($C$16/12,$C$17*12,MAX($L$244*(1-$C$15),0))*12)),0)+X1027*($C$19+$C$20+$C$21)+$C$22+$C$23)</f>
        <v/>
      </c>
      <c r="I1027" s="138">
        <f>IF(B1027="Working",MIN(MAX(D1027-E1027-F1027-G1027-H1027,0),'Tax Assumptions'!$B$20),0)</f>
        <v/>
      </c>
      <c r="J1027" s="138">
        <f>IF(B1027="Working",D1027-E1027-F1027-I1027-G1027-H1027,-L1027)</f>
        <v/>
      </c>
      <c r="K1027" s="137">
        <f>IF(B1027="Retired",$N$244+G1027+H1027,0)</f>
        <v/>
      </c>
      <c r="L1027" s="137">
        <f>M1027+N1027+O1027+P1027</f>
        <v/>
      </c>
      <c r="M1027" s="137">
        <f>IF(B1027="Retired",MIN(((Q1026)*(1+$C$10)+IF(B1027="Working",J1027,0)),K1027),0)</f>
        <v/>
      </c>
      <c r="N1027" s="137">
        <f>IF(B1027="Retired",MIN(MAX(K1027-M1027,0),((R1026)*(1+$C$10)+IF(B1027="Working",E102,0))),0)</f>
        <v/>
      </c>
      <c r="O1027" s="137">
        <f>IF(B1027="Retired",MIN(MAX(K1027-M1027-N1027,0),((S1026)*(1+$C$10)+IF(B1027="Working",I1027,0))),0)</f>
        <v/>
      </c>
      <c r="P1027" s="137">
        <f>IF(B1027="Retired",MIN(MAX(K1027-M1027-N1027-O1027,0),((T1026)*(1+$C$10)+IF(B1027="Working",F102,0))),0)</f>
        <v/>
      </c>
      <c r="Q1027" s="138">
        <f>MAX(((Q1026)*(1+$C$10)+IF(B1027="Working",J1027,0))-M1027,0)</f>
        <v/>
      </c>
      <c r="R1027" s="138">
        <f>MAX(((R1026)*(1+$C$10)+IF(B1027="Working",E102,0))-N1027,0)</f>
        <v/>
      </c>
      <c r="S1027" s="138">
        <f>MAX(((S1026)*(1+$C$10)+IF(B1027="Working",I1027,0))-O1027,0)</f>
        <v/>
      </c>
      <c r="T1027" s="138">
        <f>MAX(((T1026)*(1+$C$10)+IF(B1027="Working",F102,0))-P1027,0)</f>
        <v/>
      </c>
      <c r="U1027" s="138">
        <f>Q1027+R1027+S1027+T1027</f>
        <v/>
      </c>
      <c r="V1027" s="138">
        <f>IF(B1027="Working",MAX(-(((Q1026)*(1+$C$10)+IF(B1027="Working",J1027,0))),0),MAX(K1027-L1027,0))</f>
        <v/>
      </c>
      <c r="W1027" s="138">
        <f>IF(OR(A1027&gt;=$C$13,B1027="Retired"),IF(V1027&gt;0,-V1027,U1027-'Model Inputs'!$B$18),"")</f>
        <v/>
      </c>
      <c r="X1027" s="138">
        <f>IF(AND($L$244&gt;0,A1027&gt;=$C$13),$L$244*(1+$C$25)^(A1027-$C$13),0)</f>
        <v/>
      </c>
      <c r="Y1027" s="138">
        <f>IF(OR($L$244&lt;=0,$C$17&lt;=0,A1027&lt;$C$13,MIN(MAX((A1027-$C$13+1)*12,0),$C$17*12)&gt;=$C$17*12),0,IF($C$16=0,MAX(MAX($L$244*(1-$C$15),0)-(IF($C$17&lt;=0,0,IF($C$16=0,MAX($L$244*(1-$C$15),0)/$C$17,-PMT($C$16/12,$C$17*12,MAX($L$244*(1-$C$15),0))*12))/12)*MIN(MAX((A1027-$C$13+1)*12,0),$C$17*12),0),MAX(MAX($L$244*(1-$C$15),0)*(1+$C$16/12)^MIN(MAX((A1027-$C$13+1)*12,0),$C$17*12)-(IF($C$17&lt;=0,0,IF($C$16=0,MAX($L$244*(1-$C$15),0)/$C$17,-PMT($C$16/12,$C$17*12,MAX($L$244*(1-$C$15),0))*12))/12)*(((1+$C$16/12)^MIN(MAX((A1027-$C$13+1)*12,0),$C$17*12)-1)/($C$16/12)),0)))</f>
        <v/>
      </c>
      <c r="Z1027" s="138">
        <f>MAX(X1027-Y1027,0)</f>
        <v/>
      </c>
      <c r="AA1027" s="139">
        <f>U1027+Z1027</f>
        <v/>
      </c>
      <c r="AB1027" s="5" t="n"/>
      <c r="AC1027" s="5" t="n"/>
      <c r="AD1027" s="5" t="n"/>
      <c r="AE1027" s="5" t="n"/>
      <c r="AF1027" s="5" t="n"/>
      <c r="AG1027" s="5" t="n"/>
    </row>
    <row r="1028" outlineLevel="1" s="326">
      <c r="A1028" s="140" t="n">
        <v>24</v>
      </c>
      <c r="B1028" s="40">
        <f>B103</f>
        <v/>
      </c>
      <c r="C1028" s="141">
        <f>D103</f>
        <v/>
      </c>
      <c r="D1028" s="141">
        <f>I103</f>
        <v/>
      </c>
      <c r="E1028" s="141">
        <f>J103</f>
        <v/>
      </c>
      <c r="F1028" s="141">
        <f>K103</f>
        <v/>
      </c>
      <c r="G1028" s="138">
        <f>IF(AND($L$244&gt;0,A1028=$C$13),$L$244*($C$15+$C$18),0)+IF(AND($L$244&gt;0,A1028=$C$13),$C$24,0)</f>
        <v/>
      </c>
      <c r="H1028" s="138">
        <f>IF(OR($L$244&lt;=0,A1028&lt;$C$13),0,IF(AND($L$244&gt;0,$C$17&gt;0,A1028&gt;=$C$13,A1028&lt;($C$13+$C$17)),IF($C$17&lt;=0,0,IF($C$16=0,MAX($L$244*(1-$C$15),0)/$C$17,-PMT($C$16/12,$C$17*12,MAX($L$244*(1-$C$15),0))*12)),0)+X1028*($C$19+$C$20+$C$21)+$C$22+$C$23)</f>
        <v/>
      </c>
      <c r="I1028" s="138">
        <f>IF(B1028="Working",MIN(MAX(D1028-E1028-F1028-G1028-H1028,0),'Tax Assumptions'!$B$20),0)</f>
        <v/>
      </c>
      <c r="J1028" s="138">
        <f>IF(B1028="Working",D1028-E1028-F1028-I1028-G1028-H1028,-L1028)</f>
        <v/>
      </c>
      <c r="K1028" s="141">
        <f>IF(B1028="Retired",$N$244+G1028+H1028,0)</f>
        <v/>
      </c>
      <c r="L1028" s="141">
        <f>M1028+N1028+O1028+P1028</f>
        <v/>
      </c>
      <c r="M1028" s="141">
        <f>IF(B1028="Retired",MIN(((Q1027)*(1+$C$10)+IF(B1028="Working",J1028,0)),K1028),0)</f>
        <v/>
      </c>
      <c r="N1028" s="141">
        <f>IF(B1028="Retired",MIN(MAX(K1028-M1028,0),((R1027)*(1+$C$10)+IF(B1028="Working",E103,0))),0)</f>
        <v/>
      </c>
      <c r="O1028" s="141">
        <f>IF(B1028="Retired",MIN(MAX(K1028-M1028-N1028,0),((S1027)*(1+$C$10)+IF(B1028="Working",I1028,0))),0)</f>
        <v/>
      </c>
      <c r="P1028" s="141">
        <f>IF(B1028="Retired",MIN(MAX(K1028-M1028-N1028-O1028,0),((T1027)*(1+$C$10)+IF(B1028="Working",F103,0))),0)</f>
        <v/>
      </c>
      <c r="Q1028" s="138">
        <f>MAX(((Q1027)*(1+$C$10)+IF(B1028="Working",J1028,0))-M1028,0)</f>
        <v/>
      </c>
      <c r="R1028" s="138">
        <f>MAX(((R1027)*(1+$C$10)+IF(B1028="Working",E103,0))-N1028,0)</f>
        <v/>
      </c>
      <c r="S1028" s="138">
        <f>MAX(((S1027)*(1+$C$10)+IF(B1028="Working",I1028,0))-O1028,0)</f>
        <v/>
      </c>
      <c r="T1028" s="138">
        <f>MAX(((T1027)*(1+$C$10)+IF(B1028="Working",F103,0))-P1028,0)</f>
        <v/>
      </c>
      <c r="U1028" s="138">
        <f>Q1028+R1028+S1028+T1028</f>
        <v/>
      </c>
      <c r="V1028" s="138">
        <f>IF(B1028="Working",MAX(-(((Q1027)*(1+$C$10)+IF(B1028="Working",J1028,0))),0),MAX(K1028-L1028,0))</f>
        <v/>
      </c>
      <c r="W1028" s="138">
        <f>IF(OR(A1028&gt;=$C$13,B1028="Retired"),IF(V1028&gt;0,-V1028,U1028-'Model Inputs'!$B$18),"")</f>
        <v/>
      </c>
      <c r="X1028" s="138">
        <f>IF(AND($L$244&gt;0,A1028&gt;=$C$13),$L$244*(1+$C$25)^(A1028-$C$13),0)</f>
        <v/>
      </c>
      <c r="Y1028" s="138">
        <f>IF(OR($L$244&lt;=0,$C$17&lt;=0,A1028&lt;$C$13,MIN(MAX((A1028-$C$13+1)*12,0),$C$17*12)&gt;=$C$17*12),0,IF($C$16=0,MAX(MAX($L$244*(1-$C$15),0)-(IF($C$17&lt;=0,0,IF($C$16=0,MAX($L$244*(1-$C$15),0)/$C$17,-PMT($C$16/12,$C$17*12,MAX($L$244*(1-$C$15),0))*12))/12)*MIN(MAX((A1028-$C$13+1)*12,0),$C$17*12),0),MAX(MAX($L$244*(1-$C$15),0)*(1+$C$16/12)^MIN(MAX((A1028-$C$13+1)*12,0),$C$17*12)-(IF($C$17&lt;=0,0,IF($C$16=0,MAX($L$244*(1-$C$15),0)/$C$17,-PMT($C$16/12,$C$17*12,MAX($L$244*(1-$C$15),0))*12))/12)*(((1+$C$16/12)^MIN(MAX((A1028-$C$13+1)*12,0),$C$17*12)-1)/($C$16/12)),0)))</f>
        <v/>
      </c>
      <c r="Z1028" s="138">
        <f>MAX(X1028-Y1028,0)</f>
        <v/>
      </c>
      <c r="AA1028" s="142">
        <f>U1028+Z1028</f>
        <v/>
      </c>
      <c r="AB1028" s="5" t="n"/>
      <c r="AC1028" s="5" t="n"/>
      <c r="AD1028" s="5" t="n"/>
      <c r="AE1028" s="5" t="n"/>
      <c r="AF1028" s="5" t="n"/>
      <c r="AG1028" s="5" t="n"/>
    </row>
    <row r="1029" outlineLevel="1" s="326">
      <c r="A1029" s="136" t="n">
        <v>25</v>
      </c>
      <c r="B1029" s="72">
        <f>B104</f>
        <v/>
      </c>
      <c r="C1029" s="137">
        <f>D104</f>
        <v/>
      </c>
      <c r="D1029" s="137">
        <f>I104</f>
        <v/>
      </c>
      <c r="E1029" s="137">
        <f>J104</f>
        <v/>
      </c>
      <c r="F1029" s="137">
        <f>K104</f>
        <v/>
      </c>
      <c r="G1029" s="138">
        <f>IF(AND($L$244&gt;0,A1029=$C$13),$L$244*($C$15+$C$18),0)+IF(AND($L$244&gt;0,A1029=$C$13),$C$24,0)</f>
        <v/>
      </c>
      <c r="H1029" s="138">
        <f>IF(OR($L$244&lt;=0,A1029&lt;$C$13),0,IF(AND($L$244&gt;0,$C$17&gt;0,A1029&gt;=$C$13,A1029&lt;($C$13+$C$17)),IF($C$17&lt;=0,0,IF($C$16=0,MAX($L$244*(1-$C$15),0)/$C$17,-PMT($C$16/12,$C$17*12,MAX($L$244*(1-$C$15),0))*12)),0)+X1029*($C$19+$C$20+$C$21)+$C$22+$C$23)</f>
        <v/>
      </c>
      <c r="I1029" s="138">
        <f>IF(B1029="Working",MIN(MAX(D1029-E1029-F1029-G1029-H1029,0),'Tax Assumptions'!$B$20),0)</f>
        <v/>
      </c>
      <c r="J1029" s="138">
        <f>IF(B1029="Working",D1029-E1029-F1029-I1029-G1029-H1029,-L1029)</f>
        <v/>
      </c>
      <c r="K1029" s="137">
        <f>IF(B1029="Retired",$N$244+G1029+H1029,0)</f>
        <v/>
      </c>
      <c r="L1029" s="137">
        <f>M1029+N1029+O1029+P1029</f>
        <v/>
      </c>
      <c r="M1029" s="137">
        <f>IF(B1029="Retired",MIN(((Q1028)*(1+$C$10)+IF(B1029="Working",J1029,0)),K1029),0)</f>
        <v/>
      </c>
      <c r="N1029" s="137">
        <f>IF(B1029="Retired",MIN(MAX(K1029-M1029,0),((R1028)*(1+$C$10)+IF(B1029="Working",E104,0))),0)</f>
        <v/>
      </c>
      <c r="O1029" s="137">
        <f>IF(B1029="Retired",MIN(MAX(K1029-M1029-N1029,0),((S1028)*(1+$C$10)+IF(B1029="Working",I1029,0))),0)</f>
        <v/>
      </c>
      <c r="P1029" s="137">
        <f>IF(B1029="Retired",MIN(MAX(K1029-M1029-N1029-O1029,0),((T1028)*(1+$C$10)+IF(B1029="Working",F104,0))),0)</f>
        <v/>
      </c>
      <c r="Q1029" s="138">
        <f>MAX(((Q1028)*(1+$C$10)+IF(B1029="Working",J1029,0))-M1029,0)</f>
        <v/>
      </c>
      <c r="R1029" s="138">
        <f>MAX(((R1028)*(1+$C$10)+IF(B1029="Working",E104,0))-N1029,0)</f>
        <v/>
      </c>
      <c r="S1029" s="138">
        <f>MAX(((S1028)*(1+$C$10)+IF(B1029="Working",I1029,0))-O1029,0)</f>
        <v/>
      </c>
      <c r="T1029" s="138">
        <f>MAX(((T1028)*(1+$C$10)+IF(B1029="Working",F104,0))-P1029,0)</f>
        <v/>
      </c>
      <c r="U1029" s="138">
        <f>Q1029+R1029+S1029+T1029</f>
        <v/>
      </c>
      <c r="V1029" s="138">
        <f>IF(B1029="Working",MAX(-(((Q1028)*(1+$C$10)+IF(B1029="Working",J1029,0))),0),MAX(K1029-L1029,0))</f>
        <v/>
      </c>
      <c r="W1029" s="138">
        <f>IF(OR(A1029&gt;=$C$13,B1029="Retired"),IF(V1029&gt;0,-V1029,U1029-'Model Inputs'!$B$18),"")</f>
        <v/>
      </c>
      <c r="X1029" s="138">
        <f>IF(AND($L$244&gt;0,A1029&gt;=$C$13),$L$244*(1+$C$25)^(A1029-$C$13),0)</f>
        <v/>
      </c>
      <c r="Y1029" s="138">
        <f>IF(OR($L$244&lt;=0,$C$17&lt;=0,A1029&lt;$C$13,MIN(MAX((A1029-$C$13+1)*12,0),$C$17*12)&gt;=$C$17*12),0,IF($C$16=0,MAX(MAX($L$244*(1-$C$15),0)-(IF($C$17&lt;=0,0,IF($C$16=0,MAX($L$244*(1-$C$15),0)/$C$17,-PMT($C$16/12,$C$17*12,MAX($L$244*(1-$C$15),0))*12))/12)*MIN(MAX((A1029-$C$13+1)*12,0),$C$17*12),0),MAX(MAX($L$244*(1-$C$15),0)*(1+$C$16/12)^MIN(MAX((A1029-$C$13+1)*12,0),$C$17*12)-(IF($C$17&lt;=0,0,IF($C$16=0,MAX($L$244*(1-$C$15),0)/$C$17,-PMT($C$16/12,$C$17*12,MAX($L$244*(1-$C$15),0))*12))/12)*(((1+$C$16/12)^MIN(MAX((A1029-$C$13+1)*12,0),$C$17*12)-1)/($C$16/12)),0)))</f>
        <v/>
      </c>
      <c r="Z1029" s="138">
        <f>MAX(X1029-Y1029,0)</f>
        <v/>
      </c>
      <c r="AA1029" s="139">
        <f>U1029+Z1029</f>
        <v/>
      </c>
      <c r="AB1029" s="5" t="n"/>
      <c r="AC1029" s="5" t="n"/>
      <c r="AD1029" s="5" t="n"/>
      <c r="AE1029" s="5" t="n"/>
      <c r="AF1029" s="5" t="n"/>
      <c r="AG1029" s="5" t="n"/>
    </row>
    <row r="1030" outlineLevel="1" s="326">
      <c r="A1030" s="140" t="n">
        <v>26</v>
      </c>
      <c r="B1030" s="40">
        <f>B105</f>
        <v/>
      </c>
      <c r="C1030" s="141">
        <f>D105</f>
        <v/>
      </c>
      <c r="D1030" s="141">
        <f>I105</f>
        <v/>
      </c>
      <c r="E1030" s="141">
        <f>J105</f>
        <v/>
      </c>
      <c r="F1030" s="141">
        <f>K105</f>
        <v/>
      </c>
      <c r="G1030" s="138">
        <f>IF(AND($L$244&gt;0,A1030=$C$13),$L$244*($C$15+$C$18),0)+IF(AND($L$244&gt;0,A1030=$C$13),$C$24,0)</f>
        <v/>
      </c>
      <c r="H1030" s="138">
        <f>IF(OR($L$244&lt;=0,A1030&lt;$C$13),0,IF(AND($L$244&gt;0,$C$17&gt;0,A1030&gt;=$C$13,A1030&lt;($C$13+$C$17)),IF($C$17&lt;=0,0,IF($C$16=0,MAX($L$244*(1-$C$15),0)/$C$17,-PMT($C$16/12,$C$17*12,MAX($L$244*(1-$C$15),0))*12)),0)+X1030*($C$19+$C$20+$C$21)+$C$22+$C$23)</f>
        <v/>
      </c>
      <c r="I1030" s="138">
        <f>IF(B1030="Working",MIN(MAX(D1030-E1030-F1030-G1030-H1030,0),'Tax Assumptions'!$B$20),0)</f>
        <v/>
      </c>
      <c r="J1030" s="138">
        <f>IF(B1030="Working",D1030-E1030-F1030-I1030-G1030-H1030,-L1030)</f>
        <v/>
      </c>
      <c r="K1030" s="141">
        <f>IF(B1030="Retired",$N$244+G1030+H1030,0)</f>
        <v/>
      </c>
      <c r="L1030" s="141">
        <f>M1030+N1030+O1030+P1030</f>
        <v/>
      </c>
      <c r="M1030" s="141">
        <f>IF(B1030="Retired",MIN(((Q1029)*(1+$C$10)+IF(B1030="Working",J1030,0)),K1030),0)</f>
        <v/>
      </c>
      <c r="N1030" s="141">
        <f>IF(B1030="Retired",MIN(MAX(K1030-M1030,0),((R1029)*(1+$C$10)+IF(B1030="Working",E105,0))),0)</f>
        <v/>
      </c>
      <c r="O1030" s="141">
        <f>IF(B1030="Retired",MIN(MAX(K1030-M1030-N1030,0),((S1029)*(1+$C$10)+IF(B1030="Working",I1030,0))),0)</f>
        <v/>
      </c>
      <c r="P1030" s="141">
        <f>IF(B1030="Retired",MIN(MAX(K1030-M1030-N1030-O1030,0),((T1029)*(1+$C$10)+IF(B1030="Working",F105,0))),0)</f>
        <v/>
      </c>
      <c r="Q1030" s="138">
        <f>MAX(((Q1029)*(1+$C$10)+IF(B1030="Working",J1030,0))-M1030,0)</f>
        <v/>
      </c>
      <c r="R1030" s="138">
        <f>MAX(((R1029)*(1+$C$10)+IF(B1030="Working",E105,0))-N1030,0)</f>
        <v/>
      </c>
      <c r="S1030" s="138">
        <f>MAX(((S1029)*(1+$C$10)+IF(B1030="Working",I1030,0))-O1030,0)</f>
        <v/>
      </c>
      <c r="T1030" s="138">
        <f>MAX(((T1029)*(1+$C$10)+IF(B1030="Working",F105,0))-P1030,0)</f>
        <v/>
      </c>
      <c r="U1030" s="138">
        <f>Q1030+R1030+S1030+T1030</f>
        <v/>
      </c>
      <c r="V1030" s="138">
        <f>IF(B1030="Working",MAX(-(((Q1029)*(1+$C$10)+IF(B1030="Working",J1030,0))),0),MAX(K1030-L1030,0))</f>
        <v/>
      </c>
      <c r="W1030" s="138">
        <f>IF(OR(A1030&gt;=$C$13,B1030="Retired"),IF(V1030&gt;0,-V1030,U1030-'Model Inputs'!$B$18),"")</f>
        <v/>
      </c>
      <c r="X1030" s="138">
        <f>IF(AND($L$244&gt;0,A1030&gt;=$C$13),$L$244*(1+$C$25)^(A1030-$C$13),0)</f>
        <v/>
      </c>
      <c r="Y1030" s="138">
        <f>IF(OR($L$244&lt;=0,$C$17&lt;=0,A1030&lt;$C$13,MIN(MAX((A1030-$C$13+1)*12,0),$C$17*12)&gt;=$C$17*12),0,IF($C$16=0,MAX(MAX($L$244*(1-$C$15),0)-(IF($C$17&lt;=0,0,IF($C$16=0,MAX($L$244*(1-$C$15),0)/$C$17,-PMT($C$16/12,$C$17*12,MAX($L$244*(1-$C$15),0))*12))/12)*MIN(MAX((A1030-$C$13+1)*12,0),$C$17*12),0),MAX(MAX($L$244*(1-$C$15),0)*(1+$C$16/12)^MIN(MAX((A1030-$C$13+1)*12,0),$C$17*12)-(IF($C$17&lt;=0,0,IF($C$16=0,MAX($L$244*(1-$C$15),0)/$C$17,-PMT($C$16/12,$C$17*12,MAX($L$244*(1-$C$15),0))*12))/12)*(((1+$C$16/12)^MIN(MAX((A1030-$C$13+1)*12,0),$C$17*12)-1)/($C$16/12)),0)))</f>
        <v/>
      </c>
      <c r="Z1030" s="138">
        <f>MAX(X1030-Y1030,0)</f>
        <v/>
      </c>
      <c r="AA1030" s="142">
        <f>U1030+Z1030</f>
        <v/>
      </c>
      <c r="AB1030" s="5" t="n"/>
      <c r="AC1030" s="5" t="n"/>
      <c r="AD1030" s="5" t="n"/>
      <c r="AE1030" s="5" t="n"/>
      <c r="AF1030" s="5" t="n"/>
      <c r="AG1030" s="5" t="n"/>
    </row>
    <row r="1031" outlineLevel="1" s="326">
      <c r="A1031" s="136" t="n">
        <v>27</v>
      </c>
      <c r="B1031" s="72">
        <f>B106</f>
        <v/>
      </c>
      <c r="C1031" s="137">
        <f>D106</f>
        <v/>
      </c>
      <c r="D1031" s="137">
        <f>I106</f>
        <v/>
      </c>
      <c r="E1031" s="137">
        <f>J106</f>
        <v/>
      </c>
      <c r="F1031" s="137">
        <f>K106</f>
        <v/>
      </c>
      <c r="G1031" s="138">
        <f>IF(AND($L$244&gt;0,A1031=$C$13),$L$244*($C$15+$C$18),0)+IF(AND($L$244&gt;0,A1031=$C$13),$C$24,0)</f>
        <v/>
      </c>
      <c r="H1031" s="138">
        <f>IF(OR($L$244&lt;=0,A1031&lt;$C$13),0,IF(AND($L$244&gt;0,$C$17&gt;0,A1031&gt;=$C$13,A1031&lt;($C$13+$C$17)),IF($C$17&lt;=0,0,IF($C$16=0,MAX($L$244*(1-$C$15),0)/$C$17,-PMT($C$16/12,$C$17*12,MAX($L$244*(1-$C$15),0))*12)),0)+X1031*($C$19+$C$20+$C$21)+$C$22+$C$23)</f>
        <v/>
      </c>
      <c r="I1031" s="138">
        <f>IF(B1031="Working",MIN(MAX(D1031-E1031-F1031-G1031-H1031,0),'Tax Assumptions'!$B$20),0)</f>
        <v/>
      </c>
      <c r="J1031" s="138">
        <f>IF(B1031="Working",D1031-E1031-F1031-I1031-G1031-H1031,-L1031)</f>
        <v/>
      </c>
      <c r="K1031" s="137">
        <f>IF(B1031="Retired",$N$244+G1031+H1031,0)</f>
        <v/>
      </c>
      <c r="L1031" s="137">
        <f>M1031+N1031+O1031+P1031</f>
        <v/>
      </c>
      <c r="M1031" s="137">
        <f>IF(B1031="Retired",MIN(((Q1030)*(1+$C$10)+IF(B1031="Working",J1031,0)),K1031),0)</f>
        <v/>
      </c>
      <c r="N1031" s="137">
        <f>IF(B1031="Retired",MIN(MAX(K1031-M1031,0),((R1030)*(1+$C$10)+IF(B1031="Working",E106,0))),0)</f>
        <v/>
      </c>
      <c r="O1031" s="137">
        <f>IF(B1031="Retired",MIN(MAX(K1031-M1031-N1031,0),((S1030)*(1+$C$10)+IF(B1031="Working",I1031,0))),0)</f>
        <v/>
      </c>
      <c r="P1031" s="137">
        <f>IF(B1031="Retired",MIN(MAX(K1031-M1031-N1031-O1031,0),((T1030)*(1+$C$10)+IF(B1031="Working",F106,0))),0)</f>
        <v/>
      </c>
      <c r="Q1031" s="138">
        <f>MAX(((Q1030)*(1+$C$10)+IF(B1031="Working",J1031,0))-M1031,0)</f>
        <v/>
      </c>
      <c r="R1031" s="138">
        <f>MAX(((R1030)*(1+$C$10)+IF(B1031="Working",E106,0))-N1031,0)</f>
        <v/>
      </c>
      <c r="S1031" s="138">
        <f>MAX(((S1030)*(1+$C$10)+IF(B1031="Working",I1031,0))-O1031,0)</f>
        <v/>
      </c>
      <c r="T1031" s="138">
        <f>MAX(((T1030)*(1+$C$10)+IF(B1031="Working",F106,0))-P1031,0)</f>
        <v/>
      </c>
      <c r="U1031" s="138">
        <f>Q1031+R1031+S1031+T1031</f>
        <v/>
      </c>
      <c r="V1031" s="138">
        <f>IF(B1031="Working",MAX(-(((Q1030)*(1+$C$10)+IF(B1031="Working",J1031,0))),0),MAX(K1031-L1031,0))</f>
        <v/>
      </c>
      <c r="W1031" s="138">
        <f>IF(OR(A1031&gt;=$C$13,B1031="Retired"),IF(V1031&gt;0,-V1031,U1031-'Model Inputs'!$B$18),"")</f>
        <v/>
      </c>
      <c r="X1031" s="138">
        <f>IF(AND($L$244&gt;0,A1031&gt;=$C$13),$L$244*(1+$C$25)^(A1031-$C$13),0)</f>
        <v/>
      </c>
      <c r="Y1031" s="138">
        <f>IF(OR($L$244&lt;=0,$C$17&lt;=0,A1031&lt;$C$13,MIN(MAX((A1031-$C$13+1)*12,0),$C$17*12)&gt;=$C$17*12),0,IF($C$16=0,MAX(MAX($L$244*(1-$C$15),0)-(IF($C$17&lt;=0,0,IF($C$16=0,MAX($L$244*(1-$C$15),0)/$C$17,-PMT($C$16/12,$C$17*12,MAX($L$244*(1-$C$15),0))*12))/12)*MIN(MAX((A1031-$C$13+1)*12,0),$C$17*12),0),MAX(MAX($L$244*(1-$C$15),0)*(1+$C$16/12)^MIN(MAX((A1031-$C$13+1)*12,0),$C$17*12)-(IF($C$17&lt;=0,0,IF($C$16=0,MAX($L$244*(1-$C$15),0)/$C$17,-PMT($C$16/12,$C$17*12,MAX($L$244*(1-$C$15),0))*12))/12)*(((1+$C$16/12)^MIN(MAX((A1031-$C$13+1)*12,0),$C$17*12)-1)/($C$16/12)),0)))</f>
        <v/>
      </c>
      <c r="Z1031" s="138">
        <f>MAX(X1031-Y1031,0)</f>
        <v/>
      </c>
      <c r="AA1031" s="139">
        <f>U1031+Z1031</f>
        <v/>
      </c>
      <c r="AB1031" s="5" t="n"/>
      <c r="AC1031" s="5" t="n"/>
      <c r="AD1031" s="5" t="n"/>
      <c r="AE1031" s="5" t="n"/>
      <c r="AF1031" s="5" t="n"/>
      <c r="AG1031" s="5" t="n"/>
    </row>
    <row r="1032" outlineLevel="1" s="326">
      <c r="A1032" s="140" t="n">
        <v>28</v>
      </c>
      <c r="B1032" s="40">
        <f>B107</f>
        <v/>
      </c>
      <c r="C1032" s="141">
        <f>D107</f>
        <v/>
      </c>
      <c r="D1032" s="141">
        <f>I107</f>
        <v/>
      </c>
      <c r="E1032" s="141">
        <f>J107</f>
        <v/>
      </c>
      <c r="F1032" s="141">
        <f>K107</f>
        <v/>
      </c>
      <c r="G1032" s="138">
        <f>IF(AND($L$244&gt;0,A1032=$C$13),$L$244*($C$15+$C$18),0)+IF(AND($L$244&gt;0,A1032=$C$13),$C$24,0)</f>
        <v/>
      </c>
      <c r="H1032" s="138">
        <f>IF(OR($L$244&lt;=0,A1032&lt;$C$13),0,IF(AND($L$244&gt;0,$C$17&gt;0,A1032&gt;=$C$13,A1032&lt;($C$13+$C$17)),IF($C$17&lt;=0,0,IF($C$16=0,MAX($L$244*(1-$C$15),0)/$C$17,-PMT($C$16/12,$C$17*12,MAX($L$244*(1-$C$15),0))*12)),0)+X1032*($C$19+$C$20+$C$21)+$C$22+$C$23)</f>
        <v/>
      </c>
      <c r="I1032" s="138">
        <f>IF(B1032="Working",MIN(MAX(D1032-E1032-F1032-G1032-H1032,0),'Tax Assumptions'!$B$20),0)</f>
        <v/>
      </c>
      <c r="J1032" s="138">
        <f>IF(B1032="Working",D1032-E1032-F1032-I1032-G1032-H1032,-L1032)</f>
        <v/>
      </c>
      <c r="K1032" s="141">
        <f>IF(B1032="Retired",$N$244+G1032+H1032,0)</f>
        <v/>
      </c>
      <c r="L1032" s="141">
        <f>M1032+N1032+O1032+P1032</f>
        <v/>
      </c>
      <c r="M1032" s="141">
        <f>IF(B1032="Retired",MIN(((Q1031)*(1+$C$10)+IF(B1032="Working",J1032,0)),K1032),0)</f>
        <v/>
      </c>
      <c r="N1032" s="141">
        <f>IF(B1032="Retired",MIN(MAX(K1032-M1032,0),((R1031)*(1+$C$10)+IF(B1032="Working",E107,0))),0)</f>
        <v/>
      </c>
      <c r="O1032" s="141">
        <f>IF(B1032="Retired",MIN(MAX(K1032-M1032-N1032,0),((S1031)*(1+$C$10)+IF(B1032="Working",I1032,0))),0)</f>
        <v/>
      </c>
      <c r="P1032" s="141">
        <f>IF(B1032="Retired",MIN(MAX(K1032-M1032-N1032-O1032,0),((T1031)*(1+$C$10)+IF(B1032="Working",F107,0))),0)</f>
        <v/>
      </c>
      <c r="Q1032" s="138">
        <f>MAX(((Q1031)*(1+$C$10)+IF(B1032="Working",J1032,0))-M1032,0)</f>
        <v/>
      </c>
      <c r="R1032" s="138">
        <f>MAX(((R1031)*(1+$C$10)+IF(B1032="Working",E107,0))-N1032,0)</f>
        <v/>
      </c>
      <c r="S1032" s="138">
        <f>MAX(((S1031)*(1+$C$10)+IF(B1032="Working",I1032,0))-O1032,0)</f>
        <v/>
      </c>
      <c r="T1032" s="138">
        <f>MAX(((T1031)*(1+$C$10)+IF(B1032="Working",F107,0))-P1032,0)</f>
        <v/>
      </c>
      <c r="U1032" s="138">
        <f>Q1032+R1032+S1032+T1032</f>
        <v/>
      </c>
      <c r="V1032" s="138">
        <f>IF(B1032="Working",MAX(-(((Q1031)*(1+$C$10)+IF(B1032="Working",J1032,0))),0),MAX(K1032-L1032,0))</f>
        <v/>
      </c>
      <c r="W1032" s="138">
        <f>IF(OR(A1032&gt;=$C$13,B1032="Retired"),IF(V1032&gt;0,-V1032,U1032-'Model Inputs'!$B$18),"")</f>
        <v/>
      </c>
      <c r="X1032" s="138">
        <f>IF(AND($L$244&gt;0,A1032&gt;=$C$13),$L$244*(1+$C$25)^(A1032-$C$13),0)</f>
        <v/>
      </c>
      <c r="Y1032" s="138">
        <f>IF(OR($L$244&lt;=0,$C$17&lt;=0,A1032&lt;$C$13,MIN(MAX((A1032-$C$13+1)*12,0),$C$17*12)&gt;=$C$17*12),0,IF($C$16=0,MAX(MAX($L$244*(1-$C$15),0)-(IF($C$17&lt;=0,0,IF($C$16=0,MAX($L$244*(1-$C$15),0)/$C$17,-PMT($C$16/12,$C$17*12,MAX($L$244*(1-$C$15),0))*12))/12)*MIN(MAX((A1032-$C$13+1)*12,0),$C$17*12),0),MAX(MAX($L$244*(1-$C$15),0)*(1+$C$16/12)^MIN(MAX((A1032-$C$13+1)*12,0),$C$17*12)-(IF($C$17&lt;=0,0,IF($C$16=0,MAX($L$244*(1-$C$15),0)/$C$17,-PMT($C$16/12,$C$17*12,MAX($L$244*(1-$C$15),0))*12))/12)*(((1+$C$16/12)^MIN(MAX((A1032-$C$13+1)*12,0),$C$17*12)-1)/($C$16/12)),0)))</f>
        <v/>
      </c>
      <c r="Z1032" s="138">
        <f>MAX(X1032-Y1032,0)</f>
        <v/>
      </c>
      <c r="AA1032" s="142">
        <f>U1032+Z1032</f>
        <v/>
      </c>
      <c r="AB1032" s="5" t="n"/>
      <c r="AC1032" s="5" t="n"/>
      <c r="AD1032" s="5" t="n"/>
      <c r="AE1032" s="5" t="n"/>
      <c r="AF1032" s="5" t="n"/>
      <c r="AG1032" s="5" t="n"/>
    </row>
    <row r="1033" outlineLevel="1" s="326">
      <c r="A1033" s="136" t="n">
        <v>29</v>
      </c>
      <c r="B1033" s="72">
        <f>B108</f>
        <v/>
      </c>
      <c r="C1033" s="137">
        <f>D108</f>
        <v/>
      </c>
      <c r="D1033" s="137">
        <f>I108</f>
        <v/>
      </c>
      <c r="E1033" s="137">
        <f>J108</f>
        <v/>
      </c>
      <c r="F1033" s="137">
        <f>K108</f>
        <v/>
      </c>
      <c r="G1033" s="138">
        <f>IF(AND($L$244&gt;0,A1033=$C$13),$L$244*($C$15+$C$18),0)+IF(AND($L$244&gt;0,A1033=$C$13),$C$24,0)</f>
        <v/>
      </c>
      <c r="H1033" s="138">
        <f>IF(OR($L$244&lt;=0,A1033&lt;$C$13),0,IF(AND($L$244&gt;0,$C$17&gt;0,A1033&gt;=$C$13,A1033&lt;($C$13+$C$17)),IF($C$17&lt;=0,0,IF($C$16=0,MAX($L$244*(1-$C$15),0)/$C$17,-PMT($C$16/12,$C$17*12,MAX($L$244*(1-$C$15),0))*12)),0)+X1033*($C$19+$C$20+$C$21)+$C$22+$C$23)</f>
        <v/>
      </c>
      <c r="I1033" s="138">
        <f>IF(B1033="Working",MIN(MAX(D1033-E1033-F1033-G1033-H1033,0),'Tax Assumptions'!$B$20),0)</f>
        <v/>
      </c>
      <c r="J1033" s="138">
        <f>IF(B1033="Working",D1033-E1033-F1033-I1033-G1033-H1033,-L1033)</f>
        <v/>
      </c>
      <c r="K1033" s="137">
        <f>IF(B1033="Retired",$N$244+G1033+H1033,0)</f>
        <v/>
      </c>
      <c r="L1033" s="137">
        <f>M1033+N1033+O1033+P1033</f>
        <v/>
      </c>
      <c r="M1033" s="137">
        <f>IF(B1033="Retired",MIN(((Q1032)*(1+$C$10)+IF(B1033="Working",J1033,0)),K1033),0)</f>
        <v/>
      </c>
      <c r="N1033" s="137">
        <f>IF(B1033="Retired",MIN(MAX(K1033-M1033,0),((R1032)*(1+$C$10)+IF(B1033="Working",E108,0))),0)</f>
        <v/>
      </c>
      <c r="O1033" s="137">
        <f>IF(B1033="Retired",MIN(MAX(K1033-M1033-N1033,0),((S1032)*(1+$C$10)+IF(B1033="Working",I1033,0))),0)</f>
        <v/>
      </c>
      <c r="P1033" s="137">
        <f>IF(B1033="Retired",MIN(MAX(K1033-M1033-N1033-O1033,0),((T1032)*(1+$C$10)+IF(B1033="Working",F108,0))),0)</f>
        <v/>
      </c>
      <c r="Q1033" s="138">
        <f>MAX(((Q1032)*(1+$C$10)+IF(B1033="Working",J1033,0))-M1033,0)</f>
        <v/>
      </c>
      <c r="R1033" s="138">
        <f>MAX(((R1032)*(1+$C$10)+IF(B1033="Working",E108,0))-N1033,0)</f>
        <v/>
      </c>
      <c r="S1033" s="138">
        <f>MAX(((S1032)*(1+$C$10)+IF(B1033="Working",I1033,0))-O1033,0)</f>
        <v/>
      </c>
      <c r="T1033" s="138">
        <f>MAX(((T1032)*(1+$C$10)+IF(B1033="Working",F108,0))-P1033,0)</f>
        <v/>
      </c>
      <c r="U1033" s="138">
        <f>Q1033+R1033+S1033+T1033</f>
        <v/>
      </c>
      <c r="V1033" s="138">
        <f>IF(B1033="Working",MAX(-(((Q1032)*(1+$C$10)+IF(B1033="Working",J1033,0))),0),MAX(K1033-L1033,0))</f>
        <v/>
      </c>
      <c r="W1033" s="138">
        <f>IF(OR(A1033&gt;=$C$13,B1033="Retired"),IF(V1033&gt;0,-V1033,U1033-'Model Inputs'!$B$18),"")</f>
        <v/>
      </c>
      <c r="X1033" s="138">
        <f>IF(AND($L$244&gt;0,A1033&gt;=$C$13),$L$244*(1+$C$25)^(A1033-$C$13),0)</f>
        <v/>
      </c>
      <c r="Y1033" s="138">
        <f>IF(OR($L$244&lt;=0,$C$17&lt;=0,A1033&lt;$C$13,MIN(MAX((A1033-$C$13+1)*12,0),$C$17*12)&gt;=$C$17*12),0,IF($C$16=0,MAX(MAX($L$244*(1-$C$15),0)-(IF($C$17&lt;=0,0,IF($C$16=0,MAX($L$244*(1-$C$15),0)/$C$17,-PMT($C$16/12,$C$17*12,MAX($L$244*(1-$C$15),0))*12))/12)*MIN(MAX((A1033-$C$13+1)*12,0),$C$17*12),0),MAX(MAX($L$244*(1-$C$15),0)*(1+$C$16/12)^MIN(MAX((A1033-$C$13+1)*12,0),$C$17*12)-(IF($C$17&lt;=0,0,IF($C$16=0,MAX($L$244*(1-$C$15),0)/$C$17,-PMT($C$16/12,$C$17*12,MAX($L$244*(1-$C$15),0))*12))/12)*(((1+$C$16/12)^MIN(MAX((A1033-$C$13+1)*12,0),$C$17*12)-1)/($C$16/12)),0)))</f>
        <v/>
      </c>
      <c r="Z1033" s="138">
        <f>MAX(X1033-Y1033,0)</f>
        <v/>
      </c>
      <c r="AA1033" s="139">
        <f>U1033+Z1033</f>
        <v/>
      </c>
      <c r="AB1033" s="5" t="n"/>
      <c r="AC1033" s="5" t="n"/>
      <c r="AD1033" s="5" t="n"/>
      <c r="AE1033" s="5" t="n"/>
      <c r="AF1033" s="5" t="n"/>
      <c r="AG1033" s="5" t="n"/>
    </row>
    <row r="1034" outlineLevel="1" s="326">
      <c r="A1034" s="140" t="n">
        <v>30</v>
      </c>
      <c r="B1034" s="40">
        <f>B109</f>
        <v/>
      </c>
      <c r="C1034" s="141">
        <f>D109</f>
        <v/>
      </c>
      <c r="D1034" s="141">
        <f>I109</f>
        <v/>
      </c>
      <c r="E1034" s="141">
        <f>J109</f>
        <v/>
      </c>
      <c r="F1034" s="141">
        <f>K109</f>
        <v/>
      </c>
      <c r="G1034" s="138">
        <f>IF(AND($L$244&gt;0,A1034=$C$13),$L$244*($C$15+$C$18),0)+IF(AND($L$244&gt;0,A1034=$C$13),$C$24,0)</f>
        <v/>
      </c>
      <c r="H1034" s="138">
        <f>IF(OR($L$244&lt;=0,A1034&lt;$C$13),0,IF(AND($L$244&gt;0,$C$17&gt;0,A1034&gt;=$C$13,A1034&lt;($C$13+$C$17)),IF($C$17&lt;=0,0,IF($C$16=0,MAX($L$244*(1-$C$15),0)/$C$17,-PMT($C$16/12,$C$17*12,MAX($L$244*(1-$C$15),0))*12)),0)+X1034*($C$19+$C$20+$C$21)+$C$22+$C$23)</f>
        <v/>
      </c>
      <c r="I1034" s="138">
        <f>IF(B1034="Working",MIN(MAX(D1034-E1034-F1034-G1034-H1034,0),'Tax Assumptions'!$B$20),0)</f>
        <v/>
      </c>
      <c r="J1034" s="138">
        <f>IF(B1034="Working",D1034-E1034-F1034-I1034-G1034-H1034,-L1034)</f>
        <v/>
      </c>
      <c r="K1034" s="141">
        <f>IF(B1034="Retired",$N$244+G1034+H1034,0)</f>
        <v/>
      </c>
      <c r="L1034" s="141">
        <f>M1034+N1034+O1034+P1034</f>
        <v/>
      </c>
      <c r="M1034" s="141">
        <f>IF(B1034="Retired",MIN(((Q1033)*(1+$C$10)+IF(B1034="Working",J1034,0)),K1034),0)</f>
        <v/>
      </c>
      <c r="N1034" s="141">
        <f>IF(B1034="Retired",MIN(MAX(K1034-M1034,0),((R1033)*(1+$C$10)+IF(B1034="Working",E109,0))),0)</f>
        <v/>
      </c>
      <c r="O1034" s="141">
        <f>IF(B1034="Retired",MIN(MAX(K1034-M1034-N1034,0),((S1033)*(1+$C$10)+IF(B1034="Working",I1034,0))),0)</f>
        <v/>
      </c>
      <c r="P1034" s="141">
        <f>IF(B1034="Retired",MIN(MAX(K1034-M1034-N1034-O1034,0),((T1033)*(1+$C$10)+IF(B1034="Working",F109,0))),0)</f>
        <v/>
      </c>
      <c r="Q1034" s="138">
        <f>MAX(((Q1033)*(1+$C$10)+IF(B1034="Working",J1034,0))-M1034,0)</f>
        <v/>
      </c>
      <c r="R1034" s="138">
        <f>MAX(((R1033)*(1+$C$10)+IF(B1034="Working",E109,0))-N1034,0)</f>
        <v/>
      </c>
      <c r="S1034" s="138">
        <f>MAX(((S1033)*(1+$C$10)+IF(B1034="Working",I1034,0))-O1034,0)</f>
        <v/>
      </c>
      <c r="T1034" s="138">
        <f>MAX(((T1033)*(1+$C$10)+IF(B1034="Working",F109,0))-P1034,0)</f>
        <v/>
      </c>
      <c r="U1034" s="138">
        <f>Q1034+R1034+S1034+T1034</f>
        <v/>
      </c>
      <c r="V1034" s="138">
        <f>IF(B1034="Working",MAX(-(((Q1033)*(1+$C$10)+IF(B1034="Working",J1034,0))),0),MAX(K1034-L1034,0))</f>
        <v/>
      </c>
      <c r="W1034" s="138">
        <f>IF(OR(A1034&gt;=$C$13,B1034="Retired"),IF(V1034&gt;0,-V1034,U1034-'Model Inputs'!$B$18),"")</f>
        <v/>
      </c>
      <c r="X1034" s="138">
        <f>IF(AND($L$244&gt;0,A1034&gt;=$C$13),$L$244*(1+$C$25)^(A1034-$C$13),0)</f>
        <v/>
      </c>
      <c r="Y1034" s="138">
        <f>IF(OR($L$244&lt;=0,$C$17&lt;=0,A1034&lt;$C$13,MIN(MAX((A1034-$C$13+1)*12,0),$C$17*12)&gt;=$C$17*12),0,IF($C$16=0,MAX(MAX($L$244*(1-$C$15),0)-(IF($C$17&lt;=0,0,IF($C$16=0,MAX($L$244*(1-$C$15),0)/$C$17,-PMT($C$16/12,$C$17*12,MAX($L$244*(1-$C$15),0))*12))/12)*MIN(MAX((A1034-$C$13+1)*12,0),$C$17*12),0),MAX(MAX($L$244*(1-$C$15),0)*(1+$C$16/12)^MIN(MAX((A1034-$C$13+1)*12,0),$C$17*12)-(IF($C$17&lt;=0,0,IF($C$16=0,MAX($L$244*(1-$C$15),0)/$C$17,-PMT($C$16/12,$C$17*12,MAX($L$244*(1-$C$15),0))*12))/12)*(((1+$C$16/12)^MIN(MAX((A1034-$C$13+1)*12,0),$C$17*12)-1)/($C$16/12)),0)))</f>
        <v/>
      </c>
      <c r="Z1034" s="138">
        <f>MAX(X1034-Y1034,0)</f>
        <v/>
      </c>
      <c r="AA1034" s="142">
        <f>U1034+Z1034</f>
        <v/>
      </c>
      <c r="AB1034" s="5" t="n"/>
      <c r="AC1034" s="5" t="n"/>
      <c r="AD1034" s="5" t="n"/>
      <c r="AE1034" s="5" t="n"/>
      <c r="AF1034" s="5" t="n"/>
      <c r="AG1034" s="5" t="n"/>
    </row>
    <row r="1035" outlineLevel="1" s="326">
      <c r="A1035" s="136" t="n">
        <v>31</v>
      </c>
      <c r="B1035" s="72">
        <f>B110</f>
        <v/>
      </c>
      <c r="C1035" s="137">
        <f>D110</f>
        <v/>
      </c>
      <c r="D1035" s="137">
        <f>I110</f>
        <v/>
      </c>
      <c r="E1035" s="137">
        <f>J110</f>
        <v/>
      </c>
      <c r="F1035" s="137">
        <f>K110</f>
        <v/>
      </c>
      <c r="G1035" s="138">
        <f>IF(AND($L$244&gt;0,A1035=$C$13),$L$244*($C$15+$C$18),0)+IF(AND($L$244&gt;0,A1035=$C$13),$C$24,0)</f>
        <v/>
      </c>
      <c r="H1035" s="138">
        <f>IF(OR($L$244&lt;=0,A1035&lt;$C$13),0,IF(AND($L$244&gt;0,$C$17&gt;0,A1035&gt;=$C$13,A1035&lt;($C$13+$C$17)),IF($C$17&lt;=0,0,IF($C$16=0,MAX($L$244*(1-$C$15),0)/$C$17,-PMT($C$16/12,$C$17*12,MAX($L$244*(1-$C$15),0))*12)),0)+X1035*($C$19+$C$20+$C$21)+$C$22+$C$23)</f>
        <v/>
      </c>
      <c r="I1035" s="138">
        <f>IF(B1035="Working",MIN(MAX(D1035-E1035-F1035-G1035-H1035,0),'Tax Assumptions'!$B$20),0)</f>
        <v/>
      </c>
      <c r="J1035" s="138">
        <f>IF(B1035="Working",D1035-E1035-F1035-I1035-G1035-H1035,-L1035)</f>
        <v/>
      </c>
      <c r="K1035" s="137">
        <f>IF(B1035="Retired",$N$244+G1035+H1035,0)</f>
        <v/>
      </c>
      <c r="L1035" s="137">
        <f>M1035+N1035+O1035+P1035</f>
        <v/>
      </c>
      <c r="M1035" s="137">
        <f>IF(B1035="Retired",MIN(((Q1034)*(1+$C$10)+IF(B1035="Working",J1035,0)),K1035),0)</f>
        <v/>
      </c>
      <c r="N1035" s="137">
        <f>IF(B1035="Retired",MIN(MAX(K1035-M1035,0),((R1034)*(1+$C$10)+IF(B1035="Working",E110,0))),0)</f>
        <v/>
      </c>
      <c r="O1035" s="137">
        <f>IF(B1035="Retired",MIN(MAX(K1035-M1035-N1035,0),((S1034)*(1+$C$10)+IF(B1035="Working",I1035,0))),0)</f>
        <v/>
      </c>
      <c r="P1035" s="137">
        <f>IF(B1035="Retired",MIN(MAX(K1035-M1035-N1035-O1035,0),((T1034)*(1+$C$10)+IF(B1035="Working",F110,0))),0)</f>
        <v/>
      </c>
      <c r="Q1035" s="138">
        <f>MAX(((Q1034)*(1+$C$10)+IF(B1035="Working",J1035,0))-M1035,0)</f>
        <v/>
      </c>
      <c r="R1035" s="138">
        <f>MAX(((R1034)*(1+$C$10)+IF(B1035="Working",E110,0))-N1035,0)</f>
        <v/>
      </c>
      <c r="S1035" s="138">
        <f>MAX(((S1034)*(1+$C$10)+IF(B1035="Working",I1035,0))-O1035,0)</f>
        <v/>
      </c>
      <c r="T1035" s="138">
        <f>MAX(((T1034)*(1+$C$10)+IF(B1035="Working",F110,0))-P1035,0)</f>
        <v/>
      </c>
      <c r="U1035" s="138">
        <f>Q1035+R1035+S1035+T1035</f>
        <v/>
      </c>
      <c r="V1035" s="138">
        <f>IF(B1035="Working",MAX(-(((Q1034)*(1+$C$10)+IF(B1035="Working",J1035,0))),0),MAX(K1035-L1035,0))</f>
        <v/>
      </c>
      <c r="W1035" s="138">
        <f>IF(OR(A1035&gt;=$C$13,B1035="Retired"),IF(V1035&gt;0,-V1035,U1035-'Model Inputs'!$B$18),"")</f>
        <v/>
      </c>
      <c r="X1035" s="138">
        <f>IF(AND($L$244&gt;0,A1035&gt;=$C$13),$L$244*(1+$C$25)^(A1035-$C$13),0)</f>
        <v/>
      </c>
      <c r="Y1035" s="138">
        <f>IF(OR($L$244&lt;=0,$C$17&lt;=0,A1035&lt;$C$13,MIN(MAX((A1035-$C$13+1)*12,0),$C$17*12)&gt;=$C$17*12),0,IF($C$16=0,MAX(MAX($L$244*(1-$C$15),0)-(IF($C$17&lt;=0,0,IF($C$16=0,MAX($L$244*(1-$C$15),0)/$C$17,-PMT($C$16/12,$C$17*12,MAX($L$244*(1-$C$15),0))*12))/12)*MIN(MAX((A1035-$C$13+1)*12,0),$C$17*12),0),MAX(MAX($L$244*(1-$C$15),0)*(1+$C$16/12)^MIN(MAX((A1035-$C$13+1)*12,0),$C$17*12)-(IF($C$17&lt;=0,0,IF($C$16=0,MAX($L$244*(1-$C$15),0)/$C$17,-PMT($C$16/12,$C$17*12,MAX($L$244*(1-$C$15),0))*12))/12)*(((1+$C$16/12)^MIN(MAX((A1035-$C$13+1)*12,0),$C$17*12)-1)/($C$16/12)),0)))</f>
        <v/>
      </c>
      <c r="Z1035" s="138">
        <f>MAX(X1035-Y1035,0)</f>
        <v/>
      </c>
      <c r="AA1035" s="139">
        <f>U1035+Z1035</f>
        <v/>
      </c>
      <c r="AB1035" s="5" t="n"/>
      <c r="AC1035" s="5" t="n"/>
      <c r="AD1035" s="5" t="n"/>
      <c r="AE1035" s="5" t="n"/>
      <c r="AF1035" s="5" t="n"/>
      <c r="AG1035" s="5" t="n"/>
    </row>
    <row r="1036" outlineLevel="1" s="326">
      <c r="A1036" s="140" t="n">
        <v>32</v>
      </c>
      <c r="B1036" s="40">
        <f>B111</f>
        <v/>
      </c>
      <c r="C1036" s="141">
        <f>D111</f>
        <v/>
      </c>
      <c r="D1036" s="141">
        <f>I111</f>
        <v/>
      </c>
      <c r="E1036" s="141">
        <f>J111</f>
        <v/>
      </c>
      <c r="F1036" s="141">
        <f>K111</f>
        <v/>
      </c>
      <c r="G1036" s="138">
        <f>IF(AND($L$244&gt;0,A1036=$C$13),$L$244*($C$15+$C$18),0)+IF(AND($L$244&gt;0,A1036=$C$13),$C$24,0)</f>
        <v/>
      </c>
      <c r="H1036" s="138">
        <f>IF(OR($L$244&lt;=0,A1036&lt;$C$13),0,IF(AND($L$244&gt;0,$C$17&gt;0,A1036&gt;=$C$13,A1036&lt;($C$13+$C$17)),IF($C$17&lt;=0,0,IF($C$16=0,MAX($L$244*(1-$C$15),0)/$C$17,-PMT($C$16/12,$C$17*12,MAX($L$244*(1-$C$15),0))*12)),0)+X1036*($C$19+$C$20+$C$21)+$C$22+$C$23)</f>
        <v/>
      </c>
      <c r="I1036" s="138">
        <f>IF(B1036="Working",MIN(MAX(D1036-E1036-F1036-G1036-H1036,0),'Tax Assumptions'!$B$20),0)</f>
        <v/>
      </c>
      <c r="J1036" s="138">
        <f>IF(B1036="Working",D1036-E1036-F1036-I1036-G1036-H1036,-L1036)</f>
        <v/>
      </c>
      <c r="K1036" s="141">
        <f>IF(B1036="Retired",$N$244+G1036+H1036,0)</f>
        <v/>
      </c>
      <c r="L1036" s="141">
        <f>M1036+N1036+O1036+P1036</f>
        <v/>
      </c>
      <c r="M1036" s="141">
        <f>IF(B1036="Retired",MIN(((Q1035)*(1+$C$10)+IF(B1036="Working",J1036,0)),K1036),0)</f>
        <v/>
      </c>
      <c r="N1036" s="141">
        <f>IF(B1036="Retired",MIN(MAX(K1036-M1036,0),((R1035)*(1+$C$10)+IF(B1036="Working",E111,0))),0)</f>
        <v/>
      </c>
      <c r="O1036" s="141">
        <f>IF(B1036="Retired",MIN(MAX(K1036-M1036-N1036,0),((S1035)*(1+$C$10)+IF(B1036="Working",I1036,0))),0)</f>
        <v/>
      </c>
      <c r="P1036" s="141">
        <f>IF(B1036="Retired",MIN(MAX(K1036-M1036-N1036-O1036,0),((T1035)*(1+$C$10)+IF(B1036="Working",F111,0))),0)</f>
        <v/>
      </c>
      <c r="Q1036" s="138">
        <f>MAX(((Q1035)*(1+$C$10)+IF(B1036="Working",J1036,0))-M1036,0)</f>
        <v/>
      </c>
      <c r="R1036" s="138">
        <f>MAX(((R1035)*(1+$C$10)+IF(B1036="Working",E111,0))-N1036,0)</f>
        <v/>
      </c>
      <c r="S1036" s="138">
        <f>MAX(((S1035)*(1+$C$10)+IF(B1036="Working",I1036,0))-O1036,0)</f>
        <v/>
      </c>
      <c r="T1036" s="138">
        <f>MAX(((T1035)*(1+$C$10)+IF(B1036="Working",F111,0))-P1036,0)</f>
        <v/>
      </c>
      <c r="U1036" s="138">
        <f>Q1036+R1036+S1036+T1036</f>
        <v/>
      </c>
      <c r="V1036" s="138">
        <f>IF(B1036="Working",MAX(-(((Q1035)*(1+$C$10)+IF(B1036="Working",J1036,0))),0),MAX(K1036-L1036,0))</f>
        <v/>
      </c>
      <c r="W1036" s="138">
        <f>IF(OR(A1036&gt;=$C$13,B1036="Retired"),IF(V1036&gt;0,-V1036,U1036-'Model Inputs'!$B$18),"")</f>
        <v/>
      </c>
      <c r="X1036" s="138">
        <f>IF(AND($L$244&gt;0,A1036&gt;=$C$13),$L$244*(1+$C$25)^(A1036-$C$13),0)</f>
        <v/>
      </c>
      <c r="Y1036" s="138">
        <f>IF(OR($L$244&lt;=0,$C$17&lt;=0,A1036&lt;$C$13,MIN(MAX((A1036-$C$13+1)*12,0),$C$17*12)&gt;=$C$17*12),0,IF($C$16=0,MAX(MAX($L$244*(1-$C$15),0)-(IF($C$17&lt;=0,0,IF($C$16=0,MAX($L$244*(1-$C$15),0)/$C$17,-PMT($C$16/12,$C$17*12,MAX($L$244*(1-$C$15),0))*12))/12)*MIN(MAX((A1036-$C$13+1)*12,0),$C$17*12),0),MAX(MAX($L$244*(1-$C$15),0)*(1+$C$16/12)^MIN(MAX((A1036-$C$13+1)*12,0),$C$17*12)-(IF($C$17&lt;=0,0,IF($C$16=0,MAX($L$244*(1-$C$15),0)/$C$17,-PMT($C$16/12,$C$17*12,MAX($L$244*(1-$C$15),0))*12))/12)*(((1+$C$16/12)^MIN(MAX((A1036-$C$13+1)*12,0),$C$17*12)-1)/($C$16/12)),0)))</f>
        <v/>
      </c>
      <c r="Z1036" s="138">
        <f>MAX(X1036-Y1036,0)</f>
        <v/>
      </c>
      <c r="AA1036" s="142">
        <f>U1036+Z1036</f>
        <v/>
      </c>
      <c r="AB1036" s="5" t="n"/>
      <c r="AC1036" s="5" t="n"/>
      <c r="AD1036" s="5" t="n"/>
      <c r="AE1036" s="5" t="n"/>
      <c r="AF1036" s="5" t="n"/>
      <c r="AG1036" s="5" t="n"/>
    </row>
    <row r="1037" outlineLevel="1" s="326">
      <c r="A1037" s="136" t="n">
        <v>33</v>
      </c>
      <c r="B1037" s="72">
        <f>B112</f>
        <v/>
      </c>
      <c r="C1037" s="137">
        <f>D112</f>
        <v/>
      </c>
      <c r="D1037" s="137">
        <f>I112</f>
        <v/>
      </c>
      <c r="E1037" s="137">
        <f>J112</f>
        <v/>
      </c>
      <c r="F1037" s="137">
        <f>K112</f>
        <v/>
      </c>
      <c r="G1037" s="138">
        <f>IF(AND($L$244&gt;0,A1037=$C$13),$L$244*($C$15+$C$18),0)+IF(AND($L$244&gt;0,A1037=$C$13),$C$24,0)</f>
        <v/>
      </c>
      <c r="H1037" s="138">
        <f>IF(OR($L$244&lt;=0,A1037&lt;$C$13),0,IF(AND($L$244&gt;0,$C$17&gt;0,A1037&gt;=$C$13,A1037&lt;($C$13+$C$17)),IF($C$17&lt;=0,0,IF($C$16=0,MAX($L$244*(1-$C$15),0)/$C$17,-PMT($C$16/12,$C$17*12,MAX($L$244*(1-$C$15),0))*12)),0)+X1037*($C$19+$C$20+$C$21)+$C$22+$C$23)</f>
        <v/>
      </c>
      <c r="I1037" s="138">
        <f>IF(B1037="Working",MIN(MAX(D1037-E1037-F1037-G1037-H1037,0),'Tax Assumptions'!$B$20),0)</f>
        <v/>
      </c>
      <c r="J1037" s="138">
        <f>IF(B1037="Working",D1037-E1037-F1037-I1037-G1037-H1037,-L1037)</f>
        <v/>
      </c>
      <c r="K1037" s="137">
        <f>IF(B1037="Retired",$N$244+G1037+H1037,0)</f>
        <v/>
      </c>
      <c r="L1037" s="137">
        <f>M1037+N1037+O1037+P1037</f>
        <v/>
      </c>
      <c r="M1037" s="137">
        <f>IF(B1037="Retired",MIN(((Q1036)*(1+$C$10)+IF(B1037="Working",J1037,0)),K1037),0)</f>
        <v/>
      </c>
      <c r="N1037" s="137">
        <f>IF(B1037="Retired",MIN(MAX(K1037-M1037,0),((R1036)*(1+$C$10)+IF(B1037="Working",E112,0))),0)</f>
        <v/>
      </c>
      <c r="O1037" s="137">
        <f>IF(B1037="Retired",MIN(MAX(K1037-M1037-N1037,0),((S1036)*(1+$C$10)+IF(B1037="Working",I1037,0))),0)</f>
        <v/>
      </c>
      <c r="P1037" s="137">
        <f>IF(B1037="Retired",MIN(MAX(K1037-M1037-N1037-O1037,0),((T1036)*(1+$C$10)+IF(B1037="Working",F112,0))),0)</f>
        <v/>
      </c>
      <c r="Q1037" s="138">
        <f>MAX(((Q1036)*(1+$C$10)+IF(B1037="Working",J1037,0))-M1037,0)</f>
        <v/>
      </c>
      <c r="R1037" s="138">
        <f>MAX(((R1036)*(1+$C$10)+IF(B1037="Working",E112,0))-N1037,0)</f>
        <v/>
      </c>
      <c r="S1037" s="138">
        <f>MAX(((S1036)*(1+$C$10)+IF(B1037="Working",I1037,0))-O1037,0)</f>
        <v/>
      </c>
      <c r="T1037" s="138">
        <f>MAX(((T1036)*(1+$C$10)+IF(B1037="Working",F112,0))-P1037,0)</f>
        <v/>
      </c>
      <c r="U1037" s="138">
        <f>Q1037+R1037+S1037+T1037</f>
        <v/>
      </c>
      <c r="V1037" s="138">
        <f>IF(B1037="Working",MAX(-(((Q1036)*(1+$C$10)+IF(B1037="Working",J1037,0))),0),MAX(K1037-L1037,0))</f>
        <v/>
      </c>
      <c r="W1037" s="138">
        <f>IF(OR(A1037&gt;=$C$13,B1037="Retired"),IF(V1037&gt;0,-V1037,U1037-'Model Inputs'!$B$18),"")</f>
        <v/>
      </c>
      <c r="X1037" s="138">
        <f>IF(AND($L$244&gt;0,A1037&gt;=$C$13),$L$244*(1+$C$25)^(A1037-$C$13),0)</f>
        <v/>
      </c>
      <c r="Y1037" s="138">
        <f>IF(OR($L$244&lt;=0,$C$17&lt;=0,A1037&lt;$C$13,MIN(MAX((A1037-$C$13+1)*12,0),$C$17*12)&gt;=$C$17*12),0,IF($C$16=0,MAX(MAX($L$244*(1-$C$15),0)-(IF($C$17&lt;=0,0,IF($C$16=0,MAX($L$244*(1-$C$15),0)/$C$17,-PMT($C$16/12,$C$17*12,MAX($L$244*(1-$C$15),0))*12))/12)*MIN(MAX((A1037-$C$13+1)*12,0),$C$17*12),0),MAX(MAX($L$244*(1-$C$15),0)*(1+$C$16/12)^MIN(MAX((A1037-$C$13+1)*12,0),$C$17*12)-(IF($C$17&lt;=0,0,IF($C$16=0,MAX($L$244*(1-$C$15),0)/$C$17,-PMT($C$16/12,$C$17*12,MAX($L$244*(1-$C$15),0))*12))/12)*(((1+$C$16/12)^MIN(MAX((A1037-$C$13+1)*12,0),$C$17*12)-1)/($C$16/12)),0)))</f>
        <v/>
      </c>
      <c r="Z1037" s="138">
        <f>MAX(X1037-Y1037,0)</f>
        <v/>
      </c>
      <c r="AA1037" s="139">
        <f>U1037+Z1037</f>
        <v/>
      </c>
      <c r="AB1037" s="5" t="n"/>
      <c r="AC1037" s="5" t="n"/>
      <c r="AD1037" s="5" t="n"/>
      <c r="AE1037" s="5" t="n"/>
      <c r="AF1037" s="5" t="n"/>
      <c r="AG1037" s="5" t="n"/>
    </row>
    <row r="1038" outlineLevel="1" s="326">
      <c r="A1038" s="140" t="n">
        <v>34</v>
      </c>
      <c r="B1038" s="40">
        <f>B113</f>
        <v/>
      </c>
      <c r="C1038" s="141">
        <f>D113</f>
        <v/>
      </c>
      <c r="D1038" s="141">
        <f>I113</f>
        <v/>
      </c>
      <c r="E1038" s="141">
        <f>J113</f>
        <v/>
      </c>
      <c r="F1038" s="141">
        <f>K113</f>
        <v/>
      </c>
      <c r="G1038" s="138">
        <f>IF(AND($L$244&gt;0,A1038=$C$13),$L$244*($C$15+$C$18),0)+IF(AND($L$244&gt;0,A1038=$C$13),$C$24,0)</f>
        <v/>
      </c>
      <c r="H1038" s="138">
        <f>IF(OR($L$244&lt;=0,A1038&lt;$C$13),0,IF(AND($L$244&gt;0,$C$17&gt;0,A1038&gt;=$C$13,A1038&lt;($C$13+$C$17)),IF($C$17&lt;=0,0,IF($C$16=0,MAX($L$244*(1-$C$15),0)/$C$17,-PMT($C$16/12,$C$17*12,MAX($L$244*(1-$C$15),0))*12)),0)+X1038*($C$19+$C$20+$C$21)+$C$22+$C$23)</f>
        <v/>
      </c>
      <c r="I1038" s="138">
        <f>IF(B1038="Working",MIN(MAX(D1038-E1038-F1038-G1038-H1038,0),'Tax Assumptions'!$B$20),0)</f>
        <v/>
      </c>
      <c r="J1038" s="138">
        <f>IF(B1038="Working",D1038-E1038-F1038-I1038-G1038-H1038,-L1038)</f>
        <v/>
      </c>
      <c r="K1038" s="141">
        <f>IF(B1038="Retired",$N$244+G1038+H1038,0)</f>
        <v/>
      </c>
      <c r="L1038" s="141">
        <f>M1038+N1038+O1038+P1038</f>
        <v/>
      </c>
      <c r="M1038" s="141">
        <f>IF(B1038="Retired",MIN(((Q1037)*(1+$C$10)+IF(B1038="Working",J1038,0)),K1038),0)</f>
        <v/>
      </c>
      <c r="N1038" s="141">
        <f>IF(B1038="Retired",MIN(MAX(K1038-M1038,0),((R1037)*(1+$C$10)+IF(B1038="Working",E113,0))),0)</f>
        <v/>
      </c>
      <c r="O1038" s="141">
        <f>IF(B1038="Retired",MIN(MAX(K1038-M1038-N1038,0),((S1037)*(1+$C$10)+IF(B1038="Working",I1038,0))),0)</f>
        <v/>
      </c>
      <c r="P1038" s="141">
        <f>IF(B1038="Retired",MIN(MAX(K1038-M1038-N1038-O1038,0),((T1037)*(1+$C$10)+IF(B1038="Working",F113,0))),0)</f>
        <v/>
      </c>
      <c r="Q1038" s="138">
        <f>MAX(((Q1037)*(1+$C$10)+IF(B1038="Working",J1038,0))-M1038,0)</f>
        <v/>
      </c>
      <c r="R1038" s="138">
        <f>MAX(((R1037)*(1+$C$10)+IF(B1038="Working",E113,0))-N1038,0)</f>
        <v/>
      </c>
      <c r="S1038" s="138">
        <f>MAX(((S1037)*(1+$C$10)+IF(B1038="Working",I1038,0))-O1038,0)</f>
        <v/>
      </c>
      <c r="T1038" s="138">
        <f>MAX(((T1037)*(1+$C$10)+IF(B1038="Working",F113,0))-P1038,0)</f>
        <v/>
      </c>
      <c r="U1038" s="138">
        <f>Q1038+R1038+S1038+T1038</f>
        <v/>
      </c>
      <c r="V1038" s="138">
        <f>IF(B1038="Working",MAX(-(((Q1037)*(1+$C$10)+IF(B1038="Working",J1038,0))),0),MAX(K1038-L1038,0))</f>
        <v/>
      </c>
      <c r="W1038" s="138">
        <f>IF(OR(A1038&gt;=$C$13,B1038="Retired"),IF(V1038&gt;0,-V1038,U1038-'Model Inputs'!$B$18),"")</f>
        <v/>
      </c>
      <c r="X1038" s="138">
        <f>IF(AND($L$244&gt;0,A1038&gt;=$C$13),$L$244*(1+$C$25)^(A1038-$C$13),0)</f>
        <v/>
      </c>
      <c r="Y1038" s="138">
        <f>IF(OR($L$244&lt;=0,$C$17&lt;=0,A1038&lt;$C$13,MIN(MAX((A1038-$C$13+1)*12,0),$C$17*12)&gt;=$C$17*12),0,IF($C$16=0,MAX(MAX($L$244*(1-$C$15),0)-(IF($C$17&lt;=0,0,IF($C$16=0,MAX($L$244*(1-$C$15),0)/$C$17,-PMT($C$16/12,$C$17*12,MAX($L$244*(1-$C$15),0))*12))/12)*MIN(MAX((A1038-$C$13+1)*12,0),$C$17*12),0),MAX(MAX($L$244*(1-$C$15),0)*(1+$C$16/12)^MIN(MAX((A1038-$C$13+1)*12,0),$C$17*12)-(IF($C$17&lt;=0,0,IF($C$16=0,MAX($L$244*(1-$C$15),0)/$C$17,-PMT($C$16/12,$C$17*12,MAX($L$244*(1-$C$15),0))*12))/12)*(((1+$C$16/12)^MIN(MAX((A1038-$C$13+1)*12,0),$C$17*12)-1)/($C$16/12)),0)))</f>
        <v/>
      </c>
      <c r="Z1038" s="138">
        <f>MAX(X1038-Y1038,0)</f>
        <v/>
      </c>
      <c r="AA1038" s="142">
        <f>U1038+Z1038</f>
        <v/>
      </c>
      <c r="AB1038" s="5" t="n"/>
      <c r="AC1038" s="5" t="n"/>
      <c r="AD1038" s="5" t="n"/>
      <c r="AE1038" s="5" t="n"/>
      <c r="AF1038" s="5" t="n"/>
      <c r="AG1038" s="5" t="n"/>
    </row>
    <row r="1039" outlineLevel="1" s="326">
      <c r="A1039" s="136" t="n">
        <v>35</v>
      </c>
      <c r="B1039" s="72">
        <f>B114</f>
        <v/>
      </c>
      <c r="C1039" s="137">
        <f>D114</f>
        <v/>
      </c>
      <c r="D1039" s="137">
        <f>I114</f>
        <v/>
      </c>
      <c r="E1039" s="137">
        <f>J114</f>
        <v/>
      </c>
      <c r="F1039" s="137">
        <f>K114</f>
        <v/>
      </c>
      <c r="G1039" s="138">
        <f>IF(AND($L$244&gt;0,A1039=$C$13),$L$244*($C$15+$C$18),0)+IF(AND($L$244&gt;0,A1039=$C$13),$C$24,0)</f>
        <v/>
      </c>
      <c r="H1039" s="138">
        <f>IF(OR($L$244&lt;=0,A1039&lt;$C$13),0,IF(AND($L$244&gt;0,$C$17&gt;0,A1039&gt;=$C$13,A1039&lt;($C$13+$C$17)),IF($C$17&lt;=0,0,IF($C$16=0,MAX($L$244*(1-$C$15),0)/$C$17,-PMT($C$16/12,$C$17*12,MAX($L$244*(1-$C$15),0))*12)),0)+X1039*($C$19+$C$20+$C$21)+$C$22+$C$23)</f>
        <v/>
      </c>
      <c r="I1039" s="138">
        <f>IF(B1039="Working",MIN(MAX(D1039-E1039-F1039-G1039-H1039,0),'Tax Assumptions'!$B$20),0)</f>
        <v/>
      </c>
      <c r="J1039" s="138">
        <f>IF(B1039="Working",D1039-E1039-F1039-I1039-G1039-H1039,-L1039)</f>
        <v/>
      </c>
      <c r="K1039" s="137">
        <f>IF(B1039="Retired",$N$244+G1039+H1039,0)</f>
        <v/>
      </c>
      <c r="L1039" s="137">
        <f>M1039+N1039+O1039+P1039</f>
        <v/>
      </c>
      <c r="M1039" s="137">
        <f>IF(B1039="Retired",MIN(((Q1038)*(1+$C$10)+IF(B1039="Working",J1039,0)),K1039),0)</f>
        <v/>
      </c>
      <c r="N1039" s="137">
        <f>IF(B1039="Retired",MIN(MAX(K1039-M1039,0),((R1038)*(1+$C$10)+IF(B1039="Working",E114,0))),0)</f>
        <v/>
      </c>
      <c r="O1039" s="137">
        <f>IF(B1039="Retired",MIN(MAX(K1039-M1039-N1039,0),((S1038)*(1+$C$10)+IF(B1039="Working",I1039,0))),0)</f>
        <v/>
      </c>
      <c r="P1039" s="137">
        <f>IF(B1039="Retired",MIN(MAX(K1039-M1039-N1039-O1039,0),((T1038)*(1+$C$10)+IF(B1039="Working",F114,0))),0)</f>
        <v/>
      </c>
      <c r="Q1039" s="138">
        <f>MAX(((Q1038)*(1+$C$10)+IF(B1039="Working",J1039,0))-M1039,0)</f>
        <v/>
      </c>
      <c r="R1039" s="138">
        <f>MAX(((R1038)*(1+$C$10)+IF(B1039="Working",E114,0))-N1039,0)</f>
        <v/>
      </c>
      <c r="S1039" s="138">
        <f>MAX(((S1038)*(1+$C$10)+IF(B1039="Working",I1039,0))-O1039,0)</f>
        <v/>
      </c>
      <c r="T1039" s="138">
        <f>MAX(((T1038)*(1+$C$10)+IF(B1039="Working",F114,0))-P1039,0)</f>
        <v/>
      </c>
      <c r="U1039" s="138">
        <f>Q1039+R1039+S1039+T1039</f>
        <v/>
      </c>
      <c r="V1039" s="138">
        <f>IF(B1039="Working",MAX(-(((Q1038)*(1+$C$10)+IF(B1039="Working",J1039,0))),0),MAX(K1039-L1039,0))</f>
        <v/>
      </c>
      <c r="W1039" s="138">
        <f>IF(OR(A1039&gt;=$C$13,B1039="Retired"),IF(V1039&gt;0,-V1039,U1039-'Model Inputs'!$B$18),"")</f>
        <v/>
      </c>
      <c r="X1039" s="138">
        <f>IF(AND($L$244&gt;0,A1039&gt;=$C$13),$L$244*(1+$C$25)^(A1039-$C$13),0)</f>
        <v/>
      </c>
      <c r="Y1039" s="138">
        <f>IF(OR($L$244&lt;=0,$C$17&lt;=0,A1039&lt;$C$13,MIN(MAX((A1039-$C$13+1)*12,0),$C$17*12)&gt;=$C$17*12),0,IF($C$16=0,MAX(MAX($L$244*(1-$C$15),0)-(IF($C$17&lt;=0,0,IF($C$16=0,MAX($L$244*(1-$C$15),0)/$C$17,-PMT($C$16/12,$C$17*12,MAX($L$244*(1-$C$15),0))*12))/12)*MIN(MAX((A1039-$C$13+1)*12,0),$C$17*12),0),MAX(MAX($L$244*(1-$C$15),0)*(1+$C$16/12)^MIN(MAX((A1039-$C$13+1)*12,0),$C$17*12)-(IF($C$17&lt;=0,0,IF($C$16=0,MAX($L$244*(1-$C$15),0)/$C$17,-PMT($C$16/12,$C$17*12,MAX($L$244*(1-$C$15),0))*12))/12)*(((1+$C$16/12)^MIN(MAX((A1039-$C$13+1)*12,0),$C$17*12)-1)/($C$16/12)),0)))</f>
        <v/>
      </c>
      <c r="Z1039" s="138">
        <f>MAX(X1039-Y1039,0)</f>
        <v/>
      </c>
      <c r="AA1039" s="139">
        <f>U1039+Z1039</f>
        <v/>
      </c>
      <c r="AB1039" s="5" t="n"/>
      <c r="AC1039" s="5" t="n"/>
      <c r="AD1039" s="5" t="n"/>
      <c r="AE1039" s="5" t="n"/>
      <c r="AF1039" s="5" t="n"/>
      <c r="AG1039" s="5" t="n"/>
    </row>
    <row r="1040" outlineLevel="1" s="326">
      <c r="A1040" s="140" t="n">
        <v>36</v>
      </c>
      <c r="B1040" s="40">
        <f>B115</f>
        <v/>
      </c>
      <c r="C1040" s="141">
        <f>D115</f>
        <v/>
      </c>
      <c r="D1040" s="141">
        <f>I115</f>
        <v/>
      </c>
      <c r="E1040" s="141">
        <f>J115</f>
        <v/>
      </c>
      <c r="F1040" s="141">
        <f>K115</f>
        <v/>
      </c>
      <c r="G1040" s="138">
        <f>IF(AND($L$244&gt;0,A1040=$C$13),$L$244*($C$15+$C$18),0)+IF(AND($L$244&gt;0,A1040=$C$13),$C$24,0)</f>
        <v/>
      </c>
      <c r="H1040" s="138">
        <f>IF(OR($L$244&lt;=0,A1040&lt;$C$13),0,IF(AND($L$244&gt;0,$C$17&gt;0,A1040&gt;=$C$13,A1040&lt;($C$13+$C$17)),IF($C$17&lt;=0,0,IF($C$16=0,MAX($L$244*(1-$C$15),0)/$C$17,-PMT($C$16/12,$C$17*12,MAX($L$244*(1-$C$15),0))*12)),0)+X1040*($C$19+$C$20+$C$21)+$C$22+$C$23)</f>
        <v/>
      </c>
      <c r="I1040" s="138">
        <f>IF(B1040="Working",MIN(MAX(D1040-E1040-F1040-G1040-H1040,0),'Tax Assumptions'!$B$20),0)</f>
        <v/>
      </c>
      <c r="J1040" s="138">
        <f>IF(B1040="Working",D1040-E1040-F1040-I1040-G1040-H1040,-L1040)</f>
        <v/>
      </c>
      <c r="K1040" s="141">
        <f>IF(B1040="Retired",$N$244+G1040+H1040,0)</f>
        <v/>
      </c>
      <c r="L1040" s="141">
        <f>M1040+N1040+O1040+P1040</f>
        <v/>
      </c>
      <c r="M1040" s="141">
        <f>IF(B1040="Retired",MIN(((Q1039)*(1+$C$10)+IF(B1040="Working",J1040,0)),K1040),0)</f>
        <v/>
      </c>
      <c r="N1040" s="141">
        <f>IF(B1040="Retired",MIN(MAX(K1040-M1040,0),((R1039)*(1+$C$10)+IF(B1040="Working",E115,0))),0)</f>
        <v/>
      </c>
      <c r="O1040" s="141">
        <f>IF(B1040="Retired",MIN(MAX(K1040-M1040-N1040,0),((S1039)*(1+$C$10)+IF(B1040="Working",I1040,0))),0)</f>
        <v/>
      </c>
      <c r="P1040" s="141">
        <f>IF(B1040="Retired",MIN(MAX(K1040-M1040-N1040-O1040,0),((T1039)*(1+$C$10)+IF(B1040="Working",F115,0))),0)</f>
        <v/>
      </c>
      <c r="Q1040" s="138">
        <f>MAX(((Q1039)*(1+$C$10)+IF(B1040="Working",J1040,0))-M1040,0)</f>
        <v/>
      </c>
      <c r="R1040" s="138">
        <f>MAX(((R1039)*(1+$C$10)+IF(B1040="Working",E115,0))-N1040,0)</f>
        <v/>
      </c>
      <c r="S1040" s="138">
        <f>MAX(((S1039)*(1+$C$10)+IF(B1040="Working",I1040,0))-O1040,0)</f>
        <v/>
      </c>
      <c r="T1040" s="138">
        <f>MAX(((T1039)*(1+$C$10)+IF(B1040="Working",F115,0))-P1040,0)</f>
        <v/>
      </c>
      <c r="U1040" s="138">
        <f>Q1040+R1040+S1040+T1040</f>
        <v/>
      </c>
      <c r="V1040" s="138">
        <f>IF(B1040="Working",MAX(-(((Q1039)*(1+$C$10)+IF(B1040="Working",J1040,0))),0),MAX(K1040-L1040,0))</f>
        <v/>
      </c>
      <c r="W1040" s="138">
        <f>IF(OR(A1040&gt;=$C$13,B1040="Retired"),IF(V1040&gt;0,-V1040,U1040-'Model Inputs'!$B$18),"")</f>
        <v/>
      </c>
      <c r="X1040" s="138">
        <f>IF(AND($L$244&gt;0,A1040&gt;=$C$13),$L$244*(1+$C$25)^(A1040-$C$13),0)</f>
        <v/>
      </c>
      <c r="Y1040" s="138">
        <f>IF(OR($L$244&lt;=0,$C$17&lt;=0,A1040&lt;$C$13,MIN(MAX((A1040-$C$13+1)*12,0),$C$17*12)&gt;=$C$17*12),0,IF($C$16=0,MAX(MAX($L$244*(1-$C$15),0)-(IF($C$17&lt;=0,0,IF($C$16=0,MAX($L$244*(1-$C$15),0)/$C$17,-PMT($C$16/12,$C$17*12,MAX($L$244*(1-$C$15),0))*12))/12)*MIN(MAX((A1040-$C$13+1)*12,0),$C$17*12),0),MAX(MAX($L$244*(1-$C$15),0)*(1+$C$16/12)^MIN(MAX((A1040-$C$13+1)*12,0),$C$17*12)-(IF($C$17&lt;=0,0,IF($C$16=0,MAX($L$244*(1-$C$15),0)/$C$17,-PMT($C$16/12,$C$17*12,MAX($L$244*(1-$C$15),0))*12))/12)*(((1+$C$16/12)^MIN(MAX((A1040-$C$13+1)*12,0),$C$17*12)-1)/($C$16/12)),0)))</f>
        <v/>
      </c>
      <c r="Z1040" s="138">
        <f>MAX(X1040-Y1040,0)</f>
        <v/>
      </c>
      <c r="AA1040" s="142">
        <f>U1040+Z1040</f>
        <v/>
      </c>
      <c r="AB1040" s="5" t="n"/>
      <c r="AC1040" s="5" t="n"/>
      <c r="AD1040" s="5" t="n"/>
      <c r="AE1040" s="5" t="n"/>
      <c r="AF1040" s="5" t="n"/>
      <c r="AG1040" s="5" t="n"/>
    </row>
    <row r="1041" outlineLevel="1" s="326">
      <c r="A1041" s="136" t="n">
        <v>37</v>
      </c>
      <c r="B1041" s="72">
        <f>B116</f>
        <v/>
      </c>
      <c r="C1041" s="137">
        <f>D116</f>
        <v/>
      </c>
      <c r="D1041" s="137">
        <f>I116</f>
        <v/>
      </c>
      <c r="E1041" s="137">
        <f>J116</f>
        <v/>
      </c>
      <c r="F1041" s="137">
        <f>K116</f>
        <v/>
      </c>
      <c r="G1041" s="138">
        <f>IF(AND($L$244&gt;0,A1041=$C$13),$L$244*($C$15+$C$18),0)+IF(AND($L$244&gt;0,A1041=$C$13),$C$24,0)</f>
        <v/>
      </c>
      <c r="H1041" s="138">
        <f>IF(OR($L$244&lt;=0,A1041&lt;$C$13),0,IF(AND($L$244&gt;0,$C$17&gt;0,A1041&gt;=$C$13,A1041&lt;($C$13+$C$17)),IF($C$17&lt;=0,0,IF($C$16=0,MAX($L$244*(1-$C$15),0)/$C$17,-PMT($C$16/12,$C$17*12,MAX($L$244*(1-$C$15),0))*12)),0)+X1041*($C$19+$C$20+$C$21)+$C$22+$C$23)</f>
        <v/>
      </c>
      <c r="I1041" s="138">
        <f>IF(B1041="Working",MIN(MAX(D1041-E1041-F1041-G1041-H1041,0),'Tax Assumptions'!$B$20),0)</f>
        <v/>
      </c>
      <c r="J1041" s="138">
        <f>IF(B1041="Working",D1041-E1041-F1041-I1041-G1041-H1041,-L1041)</f>
        <v/>
      </c>
      <c r="K1041" s="137">
        <f>IF(B1041="Retired",$N$244+G1041+H1041,0)</f>
        <v/>
      </c>
      <c r="L1041" s="137">
        <f>M1041+N1041+O1041+P1041</f>
        <v/>
      </c>
      <c r="M1041" s="137">
        <f>IF(B1041="Retired",MIN(((Q1040)*(1+$C$10)+IF(B1041="Working",J1041,0)),K1041),0)</f>
        <v/>
      </c>
      <c r="N1041" s="137">
        <f>IF(B1041="Retired",MIN(MAX(K1041-M1041,0),((R1040)*(1+$C$10)+IF(B1041="Working",E116,0))),0)</f>
        <v/>
      </c>
      <c r="O1041" s="137">
        <f>IF(B1041="Retired",MIN(MAX(K1041-M1041-N1041,0),((S1040)*(1+$C$10)+IF(B1041="Working",I1041,0))),0)</f>
        <v/>
      </c>
      <c r="P1041" s="137">
        <f>IF(B1041="Retired",MIN(MAX(K1041-M1041-N1041-O1041,0),((T1040)*(1+$C$10)+IF(B1041="Working",F116,0))),0)</f>
        <v/>
      </c>
      <c r="Q1041" s="138">
        <f>MAX(((Q1040)*(1+$C$10)+IF(B1041="Working",J1041,0))-M1041,0)</f>
        <v/>
      </c>
      <c r="R1041" s="138">
        <f>MAX(((R1040)*(1+$C$10)+IF(B1041="Working",E116,0))-N1041,0)</f>
        <v/>
      </c>
      <c r="S1041" s="138">
        <f>MAX(((S1040)*(1+$C$10)+IF(B1041="Working",I1041,0))-O1041,0)</f>
        <v/>
      </c>
      <c r="T1041" s="138">
        <f>MAX(((T1040)*(1+$C$10)+IF(B1041="Working",F116,0))-P1041,0)</f>
        <v/>
      </c>
      <c r="U1041" s="138">
        <f>Q1041+R1041+S1041+T1041</f>
        <v/>
      </c>
      <c r="V1041" s="138">
        <f>IF(B1041="Working",MAX(-(((Q1040)*(1+$C$10)+IF(B1041="Working",J1041,0))),0),MAX(K1041-L1041,0))</f>
        <v/>
      </c>
      <c r="W1041" s="138">
        <f>IF(OR(A1041&gt;=$C$13,B1041="Retired"),IF(V1041&gt;0,-V1041,U1041-'Model Inputs'!$B$18),"")</f>
        <v/>
      </c>
      <c r="X1041" s="138">
        <f>IF(AND($L$244&gt;0,A1041&gt;=$C$13),$L$244*(1+$C$25)^(A1041-$C$13),0)</f>
        <v/>
      </c>
      <c r="Y1041" s="138">
        <f>IF(OR($L$244&lt;=0,$C$17&lt;=0,A1041&lt;$C$13,MIN(MAX((A1041-$C$13+1)*12,0),$C$17*12)&gt;=$C$17*12),0,IF($C$16=0,MAX(MAX($L$244*(1-$C$15),0)-(IF($C$17&lt;=0,0,IF($C$16=0,MAX($L$244*(1-$C$15),0)/$C$17,-PMT($C$16/12,$C$17*12,MAX($L$244*(1-$C$15),0))*12))/12)*MIN(MAX((A1041-$C$13+1)*12,0),$C$17*12),0),MAX(MAX($L$244*(1-$C$15),0)*(1+$C$16/12)^MIN(MAX((A1041-$C$13+1)*12,0),$C$17*12)-(IF($C$17&lt;=0,0,IF($C$16=0,MAX($L$244*(1-$C$15),0)/$C$17,-PMT($C$16/12,$C$17*12,MAX($L$244*(1-$C$15),0))*12))/12)*(((1+$C$16/12)^MIN(MAX((A1041-$C$13+1)*12,0),$C$17*12)-1)/($C$16/12)),0)))</f>
        <v/>
      </c>
      <c r="Z1041" s="138">
        <f>MAX(X1041-Y1041,0)</f>
        <v/>
      </c>
      <c r="AA1041" s="139">
        <f>U1041+Z1041</f>
        <v/>
      </c>
      <c r="AB1041" s="5" t="n"/>
      <c r="AC1041" s="5" t="n"/>
      <c r="AD1041" s="5" t="n"/>
      <c r="AE1041" s="5" t="n"/>
      <c r="AF1041" s="5" t="n"/>
      <c r="AG1041" s="5" t="n"/>
    </row>
    <row r="1042" outlineLevel="1" s="326">
      <c r="A1042" s="140" t="n">
        <v>38</v>
      </c>
      <c r="B1042" s="40">
        <f>B117</f>
        <v/>
      </c>
      <c r="C1042" s="141">
        <f>D117</f>
        <v/>
      </c>
      <c r="D1042" s="141">
        <f>I117</f>
        <v/>
      </c>
      <c r="E1042" s="141">
        <f>J117</f>
        <v/>
      </c>
      <c r="F1042" s="141">
        <f>K117</f>
        <v/>
      </c>
      <c r="G1042" s="138">
        <f>IF(AND($L$244&gt;0,A1042=$C$13),$L$244*($C$15+$C$18),0)+IF(AND($L$244&gt;0,A1042=$C$13),$C$24,0)</f>
        <v/>
      </c>
      <c r="H1042" s="138">
        <f>IF(OR($L$244&lt;=0,A1042&lt;$C$13),0,IF(AND($L$244&gt;0,$C$17&gt;0,A1042&gt;=$C$13,A1042&lt;($C$13+$C$17)),IF($C$17&lt;=0,0,IF($C$16=0,MAX($L$244*(1-$C$15),0)/$C$17,-PMT($C$16/12,$C$17*12,MAX($L$244*(1-$C$15),0))*12)),0)+X1042*($C$19+$C$20+$C$21)+$C$22+$C$23)</f>
        <v/>
      </c>
      <c r="I1042" s="138">
        <f>IF(B1042="Working",MIN(MAX(D1042-E1042-F1042-G1042-H1042,0),'Tax Assumptions'!$B$20),0)</f>
        <v/>
      </c>
      <c r="J1042" s="138">
        <f>IF(B1042="Working",D1042-E1042-F1042-I1042-G1042-H1042,-L1042)</f>
        <v/>
      </c>
      <c r="K1042" s="141">
        <f>IF(B1042="Retired",$N$244+G1042+H1042,0)</f>
        <v/>
      </c>
      <c r="L1042" s="141">
        <f>M1042+N1042+O1042+P1042</f>
        <v/>
      </c>
      <c r="M1042" s="141">
        <f>IF(B1042="Retired",MIN(((Q1041)*(1+$C$10)+IF(B1042="Working",J1042,0)),K1042),0)</f>
        <v/>
      </c>
      <c r="N1042" s="141">
        <f>IF(B1042="Retired",MIN(MAX(K1042-M1042,0),((R1041)*(1+$C$10)+IF(B1042="Working",E117,0))),0)</f>
        <v/>
      </c>
      <c r="O1042" s="141">
        <f>IF(B1042="Retired",MIN(MAX(K1042-M1042-N1042,0),((S1041)*(1+$C$10)+IF(B1042="Working",I1042,0))),0)</f>
        <v/>
      </c>
      <c r="P1042" s="141">
        <f>IF(B1042="Retired",MIN(MAX(K1042-M1042-N1042-O1042,0),((T1041)*(1+$C$10)+IF(B1042="Working",F117,0))),0)</f>
        <v/>
      </c>
      <c r="Q1042" s="138">
        <f>MAX(((Q1041)*(1+$C$10)+IF(B1042="Working",J1042,0))-M1042,0)</f>
        <v/>
      </c>
      <c r="R1042" s="138">
        <f>MAX(((R1041)*(1+$C$10)+IF(B1042="Working",E117,0))-N1042,0)</f>
        <v/>
      </c>
      <c r="S1042" s="138">
        <f>MAX(((S1041)*(1+$C$10)+IF(B1042="Working",I1042,0))-O1042,0)</f>
        <v/>
      </c>
      <c r="T1042" s="138">
        <f>MAX(((T1041)*(1+$C$10)+IF(B1042="Working",F117,0))-P1042,0)</f>
        <v/>
      </c>
      <c r="U1042" s="138">
        <f>Q1042+R1042+S1042+T1042</f>
        <v/>
      </c>
      <c r="V1042" s="138">
        <f>IF(B1042="Working",MAX(-(((Q1041)*(1+$C$10)+IF(B1042="Working",J1042,0))),0),MAX(K1042-L1042,0))</f>
        <v/>
      </c>
      <c r="W1042" s="138">
        <f>IF(OR(A1042&gt;=$C$13,B1042="Retired"),IF(V1042&gt;0,-V1042,U1042-'Model Inputs'!$B$18),"")</f>
        <v/>
      </c>
      <c r="X1042" s="138">
        <f>IF(AND($L$244&gt;0,A1042&gt;=$C$13),$L$244*(1+$C$25)^(A1042-$C$13),0)</f>
        <v/>
      </c>
      <c r="Y1042" s="138">
        <f>IF(OR($L$244&lt;=0,$C$17&lt;=0,A1042&lt;$C$13,MIN(MAX((A1042-$C$13+1)*12,0),$C$17*12)&gt;=$C$17*12),0,IF($C$16=0,MAX(MAX($L$244*(1-$C$15),0)-(IF($C$17&lt;=0,0,IF($C$16=0,MAX($L$244*(1-$C$15),0)/$C$17,-PMT($C$16/12,$C$17*12,MAX($L$244*(1-$C$15),0))*12))/12)*MIN(MAX((A1042-$C$13+1)*12,0),$C$17*12),0),MAX(MAX($L$244*(1-$C$15),0)*(1+$C$16/12)^MIN(MAX((A1042-$C$13+1)*12,0),$C$17*12)-(IF($C$17&lt;=0,0,IF($C$16=0,MAX($L$244*(1-$C$15),0)/$C$17,-PMT($C$16/12,$C$17*12,MAX($L$244*(1-$C$15),0))*12))/12)*(((1+$C$16/12)^MIN(MAX((A1042-$C$13+1)*12,0),$C$17*12)-1)/($C$16/12)),0)))</f>
        <v/>
      </c>
      <c r="Z1042" s="138">
        <f>MAX(X1042-Y1042,0)</f>
        <v/>
      </c>
      <c r="AA1042" s="142">
        <f>U1042+Z1042</f>
        <v/>
      </c>
      <c r="AB1042" s="5" t="n"/>
      <c r="AC1042" s="5" t="n"/>
      <c r="AD1042" s="5" t="n"/>
      <c r="AE1042" s="5" t="n"/>
      <c r="AF1042" s="5" t="n"/>
      <c r="AG1042" s="5" t="n"/>
    </row>
    <row r="1043" outlineLevel="1" s="326">
      <c r="A1043" s="136" t="n">
        <v>39</v>
      </c>
      <c r="B1043" s="72">
        <f>B118</f>
        <v/>
      </c>
      <c r="C1043" s="137">
        <f>D118</f>
        <v/>
      </c>
      <c r="D1043" s="137">
        <f>I118</f>
        <v/>
      </c>
      <c r="E1043" s="137">
        <f>J118</f>
        <v/>
      </c>
      <c r="F1043" s="137">
        <f>K118</f>
        <v/>
      </c>
      <c r="G1043" s="138">
        <f>IF(AND($L$244&gt;0,A1043=$C$13),$L$244*($C$15+$C$18),0)+IF(AND($L$244&gt;0,A1043=$C$13),$C$24,0)</f>
        <v/>
      </c>
      <c r="H1043" s="138">
        <f>IF(OR($L$244&lt;=0,A1043&lt;$C$13),0,IF(AND($L$244&gt;0,$C$17&gt;0,A1043&gt;=$C$13,A1043&lt;($C$13+$C$17)),IF($C$17&lt;=0,0,IF($C$16=0,MAX($L$244*(1-$C$15),0)/$C$17,-PMT($C$16/12,$C$17*12,MAX($L$244*(1-$C$15),0))*12)),0)+X1043*($C$19+$C$20+$C$21)+$C$22+$C$23)</f>
        <v/>
      </c>
      <c r="I1043" s="138">
        <f>IF(B1043="Working",MIN(MAX(D1043-E1043-F1043-G1043-H1043,0),'Tax Assumptions'!$B$20),0)</f>
        <v/>
      </c>
      <c r="J1043" s="138">
        <f>IF(B1043="Working",D1043-E1043-F1043-I1043-G1043-H1043,-L1043)</f>
        <v/>
      </c>
      <c r="K1043" s="137">
        <f>IF(B1043="Retired",$N$244+G1043+H1043,0)</f>
        <v/>
      </c>
      <c r="L1043" s="137">
        <f>M1043+N1043+O1043+P1043</f>
        <v/>
      </c>
      <c r="M1043" s="137">
        <f>IF(B1043="Retired",MIN(((Q1042)*(1+$C$10)+IF(B1043="Working",J1043,0)),K1043),0)</f>
        <v/>
      </c>
      <c r="N1043" s="137">
        <f>IF(B1043="Retired",MIN(MAX(K1043-M1043,0),((R1042)*(1+$C$10)+IF(B1043="Working",E118,0))),0)</f>
        <v/>
      </c>
      <c r="O1043" s="137">
        <f>IF(B1043="Retired",MIN(MAX(K1043-M1043-N1043,0),((S1042)*(1+$C$10)+IF(B1043="Working",I1043,0))),0)</f>
        <v/>
      </c>
      <c r="P1043" s="137">
        <f>IF(B1043="Retired",MIN(MAX(K1043-M1043-N1043-O1043,0),((T1042)*(1+$C$10)+IF(B1043="Working",F118,0))),0)</f>
        <v/>
      </c>
      <c r="Q1043" s="138">
        <f>MAX(((Q1042)*(1+$C$10)+IF(B1043="Working",J1043,0))-M1043,0)</f>
        <v/>
      </c>
      <c r="R1043" s="138">
        <f>MAX(((R1042)*(1+$C$10)+IF(B1043="Working",E118,0))-N1043,0)</f>
        <v/>
      </c>
      <c r="S1043" s="138">
        <f>MAX(((S1042)*(1+$C$10)+IF(B1043="Working",I1043,0))-O1043,0)</f>
        <v/>
      </c>
      <c r="T1043" s="138">
        <f>MAX(((T1042)*(1+$C$10)+IF(B1043="Working",F118,0))-P1043,0)</f>
        <v/>
      </c>
      <c r="U1043" s="138">
        <f>Q1043+R1043+S1043+T1043</f>
        <v/>
      </c>
      <c r="V1043" s="138">
        <f>IF(B1043="Working",MAX(-(((Q1042)*(1+$C$10)+IF(B1043="Working",J1043,0))),0),MAX(K1043-L1043,0))</f>
        <v/>
      </c>
      <c r="W1043" s="138">
        <f>IF(OR(A1043&gt;=$C$13,B1043="Retired"),IF(V1043&gt;0,-V1043,U1043-'Model Inputs'!$B$18),"")</f>
        <v/>
      </c>
      <c r="X1043" s="138">
        <f>IF(AND($L$244&gt;0,A1043&gt;=$C$13),$L$244*(1+$C$25)^(A1043-$C$13),0)</f>
        <v/>
      </c>
      <c r="Y1043" s="138">
        <f>IF(OR($L$244&lt;=0,$C$17&lt;=0,A1043&lt;$C$13,MIN(MAX((A1043-$C$13+1)*12,0),$C$17*12)&gt;=$C$17*12),0,IF($C$16=0,MAX(MAX($L$244*(1-$C$15),0)-(IF($C$17&lt;=0,0,IF($C$16=0,MAX($L$244*(1-$C$15),0)/$C$17,-PMT($C$16/12,$C$17*12,MAX($L$244*(1-$C$15),0))*12))/12)*MIN(MAX((A1043-$C$13+1)*12,0),$C$17*12),0),MAX(MAX($L$244*(1-$C$15),0)*(1+$C$16/12)^MIN(MAX((A1043-$C$13+1)*12,0),$C$17*12)-(IF($C$17&lt;=0,0,IF($C$16=0,MAX($L$244*(1-$C$15),0)/$C$17,-PMT($C$16/12,$C$17*12,MAX($L$244*(1-$C$15),0))*12))/12)*(((1+$C$16/12)^MIN(MAX((A1043-$C$13+1)*12,0),$C$17*12)-1)/($C$16/12)),0)))</f>
        <v/>
      </c>
      <c r="Z1043" s="138">
        <f>MAX(X1043-Y1043,0)</f>
        <v/>
      </c>
      <c r="AA1043" s="139">
        <f>U1043+Z1043</f>
        <v/>
      </c>
      <c r="AB1043" s="5" t="n"/>
      <c r="AC1043" s="5" t="n"/>
      <c r="AD1043" s="5" t="n"/>
      <c r="AE1043" s="5" t="n"/>
      <c r="AF1043" s="5" t="n"/>
      <c r="AG1043" s="5" t="n"/>
    </row>
    <row r="1044" outlineLevel="1" s="326">
      <c r="A1044" s="140" t="n">
        <v>40</v>
      </c>
      <c r="B1044" s="40">
        <f>B119</f>
        <v/>
      </c>
      <c r="C1044" s="141">
        <f>D119</f>
        <v/>
      </c>
      <c r="D1044" s="141">
        <f>I119</f>
        <v/>
      </c>
      <c r="E1044" s="141">
        <f>J119</f>
        <v/>
      </c>
      <c r="F1044" s="141">
        <f>K119</f>
        <v/>
      </c>
      <c r="G1044" s="138">
        <f>IF(AND($L$244&gt;0,A1044=$C$13),$L$244*($C$15+$C$18),0)+IF(AND($L$244&gt;0,A1044=$C$13),$C$24,0)</f>
        <v/>
      </c>
      <c r="H1044" s="138">
        <f>IF(OR($L$244&lt;=0,A1044&lt;$C$13),0,IF(AND($L$244&gt;0,$C$17&gt;0,A1044&gt;=$C$13,A1044&lt;($C$13+$C$17)),IF($C$17&lt;=0,0,IF($C$16=0,MAX($L$244*(1-$C$15),0)/$C$17,-PMT($C$16/12,$C$17*12,MAX($L$244*(1-$C$15),0))*12)),0)+X1044*($C$19+$C$20+$C$21)+$C$22+$C$23)</f>
        <v/>
      </c>
      <c r="I1044" s="138">
        <f>IF(B1044="Working",MIN(MAX(D1044-E1044-F1044-G1044-H1044,0),'Tax Assumptions'!$B$20),0)</f>
        <v/>
      </c>
      <c r="J1044" s="138">
        <f>IF(B1044="Working",D1044-E1044-F1044-I1044-G1044-H1044,-L1044)</f>
        <v/>
      </c>
      <c r="K1044" s="141">
        <f>IF(B1044="Retired",$N$244+G1044+H1044,0)</f>
        <v/>
      </c>
      <c r="L1044" s="141">
        <f>M1044+N1044+O1044+P1044</f>
        <v/>
      </c>
      <c r="M1044" s="141">
        <f>IF(B1044="Retired",MIN(((Q1043)*(1+$C$10)+IF(B1044="Working",J1044,0)),K1044),0)</f>
        <v/>
      </c>
      <c r="N1044" s="141">
        <f>IF(B1044="Retired",MIN(MAX(K1044-M1044,0),((R1043)*(1+$C$10)+IF(B1044="Working",E119,0))),0)</f>
        <v/>
      </c>
      <c r="O1044" s="141">
        <f>IF(B1044="Retired",MIN(MAX(K1044-M1044-N1044,0),((S1043)*(1+$C$10)+IF(B1044="Working",I1044,0))),0)</f>
        <v/>
      </c>
      <c r="P1044" s="141">
        <f>IF(B1044="Retired",MIN(MAX(K1044-M1044-N1044-O1044,0),((T1043)*(1+$C$10)+IF(B1044="Working",F119,0))),0)</f>
        <v/>
      </c>
      <c r="Q1044" s="138">
        <f>MAX(((Q1043)*(1+$C$10)+IF(B1044="Working",J1044,0))-M1044,0)</f>
        <v/>
      </c>
      <c r="R1044" s="138">
        <f>MAX(((R1043)*(1+$C$10)+IF(B1044="Working",E119,0))-N1044,0)</f>
        <v/>
      </c>
      <c r="S1044" s="138">
        <f>MAX(((S1043)*(1+$C$10)+IF(B1044="Working",I1044,0))-O1044,0)</f>
        <v/>
      </c>
      <c r="T1044" s="138">
        <f>MAX(((T1043)*(1+$C$10)+IF(B1044="Working",F119,0))-P1044,0)</f>
        <v/>
      </c>
      <c r="U1044" s="138">
        <f>Q1044+R1044+S1044+T1044</f>
        <v/>
      </c>
      <c r="V1044" s="138">
        <f>IF(B1044="Working",MAX(-(((Q1043)*(1+$C$10)+IF(B1044="Working",J1044,0))),0),MAX(K1044-L1044,0))</f>
        <v/>
      </c>
      <c r="W1044" s="138">
        <f>IF(OR(A1044&gt;=$C$13,B1044="Retired"),IF(V1044&gt;0,-V1044,U1044-'Model Inputs'!$B$18),"")</f>
        <v/>
      </c>
      <c r="X1044" s="138">
        <f>IF(AND($L$244&gt;0,A1044&gt;=$C$13),$L$244*(1+$C$25)^(A1044-$C$13),0)</f>
        <v/>
      </c>
      <c r="Y1044" s="138">
        <f>IF(OR($L$244&lt;=0,$C$17&lt;=0,A1044&lt;$C$13,MIN(MAX((A1044-$C$13+1)*12,0),$C$17*12)&gt;=$C$17*12),0,IF($C$16=0,MAX(MAX($L$244*(1-$C$15),0)-(IF($C$17&lt;=0,0,IF($C$16=0,MAX($L$244*(1-$C$15),0)/$C$17,-PMT($C$16/12,$C$17*12,MAX($L$244*(1-$C$15),0))*12))/12)*MIN(MAX((A1044-$C$13+1)*12,0),$C$17*12),0),MAX(MAX($L$244*(1-$C$15),0)*(1+$C$16/12)^MIN(MAX((A1044-$C$13+1)*12,0),$C$17*12)-(IF($C$17&lt;=0,0,IF($C$16=0,MAX($L$244*(1-$C$15),0)/$C$17,-PMT($C$16/12,$C$17*12,MAX($L$244*(1-$C$15),0))*12))/12)*(((1+$C$16/12)^MIN(MAX((A1044-$C$13+1)*12,0),$C$17*12)-1)/($C$16/12)),0)))</f>
        <v/>
      </c>
      <c r="Z1044" s="138">
        <f>MAX(X1044-Y1044,0)</f>
        <v/>
      </c>
      <c r="AA1044" s="142">
        <f>U1044+Z1044</f>
        <v/>
      </c>
      <c r="AB1044" s="5" t="n"/>
      <c r="AC1044" s="5" t="n"/>
      <c r="AD1044" s="5" t="n"/>
      <c r="AE1044" s="5" t="n"/>
      <c r="AF1044" s="5" t="n"/>
      <c r="AG1044" s="5" t="n"/>
    </row>
    <row r="1045" outlineLevel="1" s="326">
      <c r="A1045" s="143" t="inlineStr">
        <is>
          <t>Case Summary</t>
        </is>
      </c>
      <c r="B1045" s="144" t="n"/>
      <c r="C1045" s="144" t="n"/>
      <c r="D1045" s="144" t="n"/>
      <c r="E1045" s="144" t="n"/>
      <c r="F1045" s="144" t="n"/>
      <c r="G1045" s="145">
        <f>SUM(G1005:G1044)</f>
        <v/>
      </c>
      <c r="H1045" s="145">
        <f>SUM(H1005:H1044)</f>
        <v/>
      </c>
      <c r="I1045" s="145">
        <f>SUM(I1005:I1044)</f>
        <v/>
      </c>
      <c r="J1045" s="145">
        <f>SUM(J1005:J1044)</f>
        <v/>
      </c>
      <c r="K1045" s="145">
        <f>SUM(K1005:K1044)</f>
        <v/>
      </c>
      <c r="L1045" s="145">
        <f>SUM(L1005:L1044)</f>
        <v/>
      </c>
      <c r="M1045" s="145">
        <f>SUM(M1005:M1044)</f>
        <v/>
      </c>
      <c r="N1045" s="145">
        <f>SUM(N1005:N1044)</f>
        <v/>
      </c>
      <c r="O1045" s="145">
        <f>SUM(O1005:O1044)</f>
        <v/>
      </c>
      <c r="P1045" s="145">
        <f>SUM(P1005:P1044)</f>
        <v/>
      </c>
      <c r="Q1045" s="145">
        <f>Q1044</f>
        <v/>
      </c>
      <c r="R1045" s="145">
        <f>R1044</f>
        <v/>
      </c>
      <c r="S1045" s="145">
        <f>S1044</f>
        <v/>
      </c>
      <c r="T1045" s="145">
        <f>T1044</f>
        <v/>
      </c>
      <c r="U1045" s="145">
        <f>U1044</f>
        <v/>
      </c>
      <c r="V1045" s="145">
        <f>SUM(V1005:V1044)</f>
        <v/>
      </c>
      <c r="W1045" s="145">
        <f>MIN(W1005:W1044)</f>
        <v/>
      </c>
      <c r="X1045" s="145">
        <f>X1044</f>
        <v/>
      </c>
      <c r="Y1045" s="145">
        <f>Y1044</f>
        <v/>
      </c>
      <c r="Z1045" s="145">
        <f>Z1044</f>
        <v/>
      </c>
      <c r="AA1045" s="146">
        <f>AA1044</f>
        <v/>
      </c>
      <c r="AB1045" s="5" t="n"/>
      <c r="AC1045" s="5" t="n"/>
      <c r="AD1045" s="5" t="n"/>
      <c r="AE1045" s="5" t="n"/>
      <c r="AF1045" s="5" t="n"/>
      <c r="AG1045" s="5" t="n"/>
    </row>
    <row r="1046" outlineLevel="1" s="32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5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5" t="n"/>
      <c r="AE1046" s="5" t="n"/>
      <c r="AF1046" s="5" t="n"/>
      <c r="AG1046" s="5" t="n"/>
    </row>
    <row r="1047" outlineLevel="1" s="326">
      <c r="A1047" s="387">
        <f>J245&amp;" | House "&amp;TEXT($L$245,"$#,##0")&amp;" | Spend "&amp;TEXT($N$245,"$#,##0")</f>
        <v/>
      </c>
      <c r="B1047" s="345" t="n"/>
      <c r="C1047" s="345" t="n"/>
      <c r="D1047" s="345" t="n"/>
      <c r="E1047" s="345" t="n"/>
      <c r="F1047" s="345" t="n"/>
      <c r="G1047" s="345" t="n"/>
      <c r="H1047" s="345" t="n"/>
      <c r="I1047" s="345" t="n"/>
      <c r="J1047" s="345" t="n"/>
      <c r="K1047" s="345" t="n"/>
      <c r="L1047" s="345" t="n"/>
      <c r="M1047" s="345" t="n"/>
      <c r="N1047" s="345" t="n"/>
      <c r="O1047" s="345" t="n"/>
      <c r="P1047" s="345" t="n"/>
      <c r="Q1047" s="345" t="n"/>
      <c r="R1047" s="345" t="n"/>
      <c r="S1047" s="345" t="n"/>
      <c r="T1047" s="345" t="n"/>
      <c r="U1047" s="345" t="n"/>
      <c r="V1047" s="345" t="n"/>
      <c r="W1047" s="345" t="n"/>
      <c r="X1047" s="345" t="n"/>
      <c r="Y1047" s="345" t="n"/>
      <c r="Z1047" s="345" t="n"/>
      <c r="AA1047" s="346" t="n"/>
      <c r="AB1047" s="5" t="n"/>
      <c r="AC1047" s="5" t="n"/>
      <c r="AD1047" s="5" t="n"/>
      <c r="AE1047" s="5" t="n"/>
      <c r="AF1047" s="5" t="n"/>
      <c r="AG1047" s="5" t="n"/>
    </row>
    <row r="1048" outlineLevel="1" ht="34" customHeight="1" s="326">
      <c r="A1048" s="134" t="inlineStr">
        <is>
          <t>Year</t>
        </is>
      </c>
      <c r="B1048" s="83" t="inlineStr">
        <is>
          <t>Phase</t>
        </is>
      </c>
      <c r="C1048" s="83" t="inlineStr">
        <is>
          <t>Gross</t>
        </is>
      </c>
      <c r="D1048" s="83" t="inlineStr">
        <is>
          <t>Post-Tax Cash</t>
        </is>
      </c>
      <c r="E1048" s="83" t="inlineStr">
        <is>
          <t>Rent</t>
        </is>
      </c>
      <c r="F1048" s="83" t="inlineStr">
        <is>
          <t>Living</t>
        </is>
      </c>
      <c r="G1048" s="83" t="inlineStr">
        <is>
          <t>House Cash</t>
        </is>
      </c>
      <c r="H1048" s="83" t="inlineStr">
        <is>
          <t>Housing Carry</t>
        </is>
      </c>
      <c r="I1048" s="83" t="inlineStr">
        <is>
          <t>Roth</t>
        </is>
      </c>
      <c r="J1048" s="83" t="inlineStr">
        <is>
          <t>Taxable Sav / (Draw)</t>
        </is>
      </c>
      <c r="K1048" s="83" t="inlineStr">
        <is>
          <t>Planned Need</t>
        </is>
      </c>
      <c r="L1048" s="83" t="inlineStr">
        <is>
          <t>Actual W/D</t>
        </is>
      </c>
      <c r="M1048" s="83" t="inlineStr">
        <is>
          <t>Taxable Draw</t>
        </is>
      </c>
      <c r="N1048" s="83" t="inlineStr">
        <is>
          <t>401(k) Draw</t>
        </is>
      </c>
      <c r="O1048" s="83" t="inlineStr">
        <is>
          <t>Roth Draw</t>
        </is>
      </c>
      <c r="P1048" s="83" t="inlineStr">
        <is>
          <t>HSA Draw</t>
        </is>
      </c>
      <c r="Q1048" s="83" t="inlineStr">
        <is>
          <t>Taxable Bal</t>
        </is>
      </c>
      <c r="R1048" s="83" t="inlineStr">
        <is>
          <t>401(k) Bal</t>
        </is>
      </c>
      <c r="S1048" s="83" t="inlineStr">
        <is>
          <t>Roth Bal</t>
        </is>
      </c>
      <c r="T1048" s="83" t="inlineStr">
        <is>
          <t>HSA Bal</t>
        </is>
      </c>
      <c r="U1048" s="83" t="inlineStr">
        <is>
          <t>Liquid Wealth</t>
        </is>
      </c>
      <c r="V1048" s="83" t="inlineStr">
        <is>
          <t>Funding Gap</t>
        </is>
      </c>
      <c r="W1048" s="83" t="inlineStr">
        <is>
          <t>Margin vs Reserve</t>
        </is>
      </c>
      <c r="X1048" s="83" t="inlineStr">
        <is>
          <t>House Value</t>
        </is>
      </c>
      <c r="Y1048" s="83" t="inlineStr">
        <is>
          <t>Mortgage Balance</t>
        </is>
      </c>
      <c r="Z1048" s="83" t="inlineStr">
        <is>
          <t>Home Equity</t>
        </is>
      </c>
      <c r="AA1048" s="135" t="inlineStr">
        <is>
          <t>Net Worth</t>
        </is>
      </c>
      <c r="AB1048" s="5" t="n"/>
      <c r="AC1048" s="5" t="n"/>
      <c r="AD1048" s="5" t="n"/>
      <c r="AE1048" s="5" t="n"/>
      <c r="AF1048" s="5" t="n"/>
      <c r="AG1048" s="5" t="n"/>
    </row>
    <row r="1049" outlineLevel="1" s="326">
      <c r="A1049" s="136" t="n">
        <v>1</v>
      </c>
      <c r="B1049" s="72">
        <f>B80</f>
        <v/>
      </c>
      <c r="C1049" s="137">
        <f>D80</f>
        <v/>
      </c>
      <c r="D1049" s="137">
        <f>I80</f>
        <v/>
      </c>
      <c r="E1049" s="137">
        <f>J80</f>
        <v/>
      </c>
      <c r="F1049" s="137">
        <f>K80</f>
        <v/>
      </c>
      <c r="G1049" s="138">
        <f>IF(AND($L$245&gt;0,A1049=$C$13),$L$245*($C$15+$C$18),0)+IF(AND($L$245&gt;0,A1049=$C$13),$C$24,0)</f>
        <v/>
      </c>
      <c r="H1049" s="138">
        <f>IF(OR($L$245&lt;=0,A1049&lt;$C$13),0,IF(AND($L$245&gt;0,$C$17&gt;0,A1049&gt;=$C$13,A1049&lt;($C$13+$C$17)),IF($C$17&lt;=0,0,IF($C$16=0,MAX($L$245*(1-$C$15),0)/$C$17,-PMT($C$16/12,$C$17*12,MAX($L$245*(1-$C$15),0))*12)),0)+X1049*($C$19+$C$20+$C$21)+$C$22+$C$23)</f>
        <v/>
      </c>
      <c r="I1049" s="138">
        <f>IF(B1049="Working",MIN(MAX(D1049-E1049-F1049-G1049-H1049,0),'Tax Assumptions'!$B$20),0)</f>
        <v/>
      </c>
      <c r="J1049" s="138">
        <f>IF(B1049="Working",D1049-E1049-F1049-I1049-G1049-H1049,-L1049)</f>
        <v/>
      </c>
      <c r="K1049" s="137">
        <f>IF(B1049="Retired",$N$245+G1049+H1049,0)</f>
        <v/>
      </c>
      <c r="L1049" s="137">
        <f>M1049+N1049+O1049+P1049</f>
        <v/>
      </c>
      <c r="M1049" s="137">
        <f>IF(B1049="Retired",MIN((('Savings Projection'!$B$7)*(1+$C$10)+IF(B1049="Working",J1049,0)),K1049),0)</f>
        <v/>
      </c>
      <c r="N1049" s="137">
        <f>IF(B1049="Retired",MIN(MAX(K1049-M1049,0),(('Savings Projection'!$B$8)*(1+$C$10)+IF(B1049="Working",E80,0))),0)</f>
        <v/>
      </c>
      <c r="O1049" s="137">
        <f>IF(B1049="Retired",MIN(MAX(K1049-M1049-N1049,0),(('Savings Projection'!$B$9)*(1+$C$10)+IF(B1049="Working",I1049,0))),0)</f>
        <v/>
      </c>
      <c r="P1049" s="137">
        <f>IF(B1049="Retired",MIN(MAX(K1049-M1049-N1049-O1049,0),(('Savings Projection'!$B$10)*(1+$C$10)+IF(B1049="Working",F80,0))),0)</f>
        <v/>
      </c>
      <c r="Q1049" s="138">
        <f>MAX((('Savings Projection'!$B$7)*(1+$C$10)+IF(B1049="Working",J1049,0))-M1049,0)</f>
        <v/>
      </c>
      <c r="R1049" s="138">
        <f>MAX((('Savings Projection'!$B$8)*(1+$C$10)+IF(B1049="Working",E80,0))-N1049,0)</f>
        <v/>
      </c>
      <c r="S1049" s="138">
        <f>MAX((('Savings Projection'!$B$9)*(1+$C$10)+IF(B1049="Working",I1049,0))-O1049,0)</f>
        <v/>
      </c>
      <c r="T1049" s="138">
        <f>MAX((('Savings Projection'!$B$10)*(1+$C$10)+IF(B1049="Working",F80,0))-P1049,0)</f>
        <v/>
      </c>
      <c r="U1049" s="138">
        <f>Q1049+R1049+S1049+T1049</f>
        <v/>
      </c>
      <c r="V1049" s="138">
        <f>IF(B1049="Working",MAX(-((('Savings Projection'!$B$7)*(1+$C$10)+IF(B1049="Working",J1049,0))),0),MAX(K1049-L1049,0))</f>
        <v/>
      </c>
      <c r="W1049" s="138">
        <f>IF(OR(A1049&gt;=$C$13,B1049="Retired"),IF(V1049&gt;0,-V1049,U1049-'Model Inputs'!$B$18),"")</f>
        <v/>
      </c>
      <c r="X1049" s="138">
        <f>IF(AND($L$245&gt;0,A1049&gt;=$C$13),$L$245*(1+$C$25)^(A1049-$C$13),0)</f>
        <v/>
      </c>
      <c r="Y1049" s="138">
        <f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/>
      </c>
      <c r="Z1049" s="138">
        <f>MAX(X1049-Y1049,0)</f>
        <v/>
      </c>
      <c r="AA1049" s="139">
        <f>U1049+Z1049</f>
        <v/>
      </c>
      <c r="AB1049" s="5" t="n"/>
      <c r="AC1049" s="5" t="n"/>
      <c r="AD1049" s="5" t="n"/>
      <c r="AE1049" s="5" t="n"/>
      <c r="AF1049" s="5" t="n"/>
      <c r="AG1049" s="5" t="n"/>
    </row>
    <row r="1050" outlineLevel="1" s="326">
      <c r="A1050" s="140" t="n">
        <v>2</v>
      </c>
      <c r="B1050" s="40">
        <f>B81</f>
        <v/>
      </c>
      <c r="C1050" s="141">
        <f>D81</f>
        <v/>
      </c>
      <c r="D1050" s="141">
        <f>I81</f>
        <v/>
      </c>
      <c r="E1050" s="141">
        <f>J81</f>
        <v/>
      </c>
      <c r="F1050" s="141">
        <f>K81</f>
        <v/>
      </c>
      <c r="G1050" s="138">
        <f>IF(AND($L$245&gt;0,A1050=$C$13),$L$245*($C$15+$C$18),0)+IF(AND($L$245&gt;0,A1050=$C$13),$C$24,0)</f>
        <v/>
      </c>
      <c r="H1050" s="138">
        <f>IF(OR($L$245&lt;=0,A1050&lt;$C$13),0,IF(AND($L$245&gt;0,$C$17&gt;0,A1050&gt;=$C$13,A1050&lt;($C$13+$C$17)),IF($C$17&lt;=0,0,IF($C$16=0,MAX($L$245*(1-$C$15),0)/$C$17,-PMT($C$16/12,$C$17*12,MAX($L$245*(1-$C$15),0))*12)),0)+X1050*($C$19+$C$20+$C$21)+$C$22+$C$23)</f>
        <v/>
      </c>
      <c r="I1050" s="138">
        <f>IF(B1050="Working",MIN(MAX(D1050-E1050-F1050-G1050-H1050,0),'Tax Assumptions'!$B$20),0)</f>
        <v/>
      </c>
      <c r="J1050" s="138">
        <f>IF(B1050="Working",D1050-E1050-F1050-I1050-G1050-H1050,-L1050)</f>
        <v/>
      </c>
      <c r="K1050" s="141">
        <f>IF(B1050="Retired",$N$245+G1050+H1050,0)</f>
        <v/>
      </c>
      <c r="L1050" s="141">
        <f>M1050+N1050+O1050+P1050</f>
        <v/>
      </c>
      <c r="M1050" s="141">
        <f>IF(B1050="Retired",MIN(((Q1049)*(1+$C$10)+IF(B1050="Working",J1050,0)),K1050),0)</f>
        <v/>
      </c>
      <c r="N1050" s="141">
        <f>IF(B1050="Retired",MIN(MAX(K1050-M1050,0),((R1049)*(1+$C$10)+IF(B1050="Working",E81,0))),0)</f>
        <v/>
      </c>
      <c r="O1050" s="141">
        <f>IF(B1050="Retired",MIN(MAX(K1050-M1050-N1050,0),((S1049)*(1+$C$10)+IF(B1050="Working",I1050,0))),0)</f>
        <v/>
      </c>
      <c r="P1050" s="141">
        <f>IF(B1050="Retired",MIN(MAX(K1050-M1050-N1050-O1050,0),((T1049)*(1+$C$10)+IF(B1050="Working",F81,0))),0)</f>
        <v/>
      </c>
      <c r="Q1050" s="138">
        <f>MAX(((Q1049)*(1+$C$10)+IF(B1050="Working",J1050,0))-M1050,0)</f>
        <v/>
      </c>
      <c r="R1050" s="138">
        <f>MAX(((R1049)*(1+$C$10)+IF(B1050="Working",E81,0))-N1050,0)</f>
        <v/>
      </c>
      <c r="S1050" s="138">
        <f>MAX(((S1049)*(1+$C$10)+IF(B1050="Working",I1050,0))-O1050,0)</f>
        <v/>
      </c>
      <c r="T1050" s="138">
        <f>MAX(((T1049)*(1+$C$10)+IF(B1050="Working",F81,0))-P1050,0)</f>
        <v/>
      </c>
      <c r="U1050" s="138">
        <f>Q1050+R1050+S1050+T1050</f>
        <v/>
      </c>
      <c r="V1050" s="138">
        <f>IF(B1050="Working",MAX(-(((Q1049)*(1+$C$10)+IF(B1050="Working",J1050,0))),0),MAX(K1050-L1050,0))</f>
        <v/>
      </c>
      <c r="W1050" s="138">
        <f>IF(OR(A1050&gt;=$C$13,B1050="Retired"),IF(V1050&gt;0,-V1050,U1050-'Model Inputs'!$B$18),"")</f>
        <v/>
      </c>
      <c r="X1050" s="138">
        <f>IF(AND($L$245&gt;0,A1050&gt;=$C$13),$L$245*(1+$C$25)^(A1050-$C$13),0)</f>
        <v/>
      </c>
      <c r="Y1050" s="138">
        <f>IF(OR($L$245&lt;=0,$C$17&lt;=0,A1050&lt;$C$13,MIN(MAX((A1050-$C$13+1)*12,0),$C$17*12)&gt;=$C$17*12),0,IF($C$16=0,MAX(MAX($L$245*(1-$C$15),0)-(IF($C$17&lt;=0,0,IF($C$16=0,MAX($L$245*(1-$C$15),0)/$C$17,-PMT($C$16/12,$C$17*12,MAX($L$245*(1-$C$15),0))*12))/12)*MIN(MAX((A1050-$C$13+1)*12,0),$C$17*12),0),MAX(MAX($L$245*(1-$C$15),0)*(1+$C$16/12)^MIN(MAX((A1050-$C$13+1)*12,0),$C$17*12)-(IF($C$17&lt;=0,0,IF($C$16=0,MAX($L$245*(1-$C$15),0)/$C$17,-PMT($C$16/12,$C$17*12,MAX($L$245*(1-$C$15),0))*12))/12)*(((1+$C$16/12)^MIN(MAX((A1050-$C$13+1)*12,0),$C$17*12)-1)/($C$16/12)),0)))</f>
        <v/>
      </c>
      <c r="Z1050" s="138">
        <f>MAX(X1050-Y1050,0)</f>
        <v/>
      </c>
      <c r="AA1050" s="142">
        <f>U1050+Z1050</f>
        <v/>
      </c>
      <c r="AB1050" s="5" t="n"/>
      <c r="AC1050" s="5" t="n"/>
      <c r="AD1050" s="5" t="n"/>
      <c r="AE1050" s="5" t="n"/>
      <c r="AF1050" s="5" t="n"/>
      <c r="AG1050" s="5" t="n"/>
    </row>
    <row r="1051" outlineLevel="1" s="326">
      <c r="A1051" s="136" t="n">
        <v>3</v>
      </c>
      <c r="B1051" s="72">
        <f>B82</f>
        <v/>
      </c>
      <c r="C1051" s="137">
        <f>D82</f>
        <v/>
      </c>
      <c r="D1051" s="137">
        <f>I82</f>
        <v/>
      </c>
      <c r="E1051" s="137">
        <f>J82</f>
        <v/>
      </c>
      <c r="F1051" s="137">
        <f>K82</f>
        <v/>
      </c>
      <c r="G1051" s="138">
        <f>IF(AND($L$245&gt;0,A1051=$C$13),$L$245*($C$15+$C$18),0)+IF(AND($L$245&gt;0,A1051=$C$13),$C$24,0)</f>
        <v/>
      </c>
      <c r="H1051" s="138">
        <f>IF(OR($L$245&lt;=0,A1051&lt;$C$13),0,IF(AND($L$245&gt;0,$C$17&gt;0,A1051&gt;=$C$13,A1051&lt;($C$13+$C$17)),IF($C$17&lt;=0,0,IF($C$16=0,MAX($L$245*(1-$C$15),0)/$C$17,-PMT($C$16/12,$C$17*12,MAX($L$245*(1-$C$15),0))*12)),0)+X1051*($C$19+$C$20+$C$21)+$C$22+$C$23)</f>
        <v/>
      </c>
      <c r="I1051" s="138">
        <f>IF(B1051="Working",MIN(MAX(D1051-E1051-F1051-G1051-H1051,0),'Tax Assumptions'!$B$20),0)</f>
        <v/>
      </c>
      <c r="J1051" s="138">
        <f>IF(B1051="Working",D1051-E1051-F1051-I1051-G1051-H1051,-L1051)</f>
        <v/>
      </c>
      <c r="K1051" s="137">
        <f>IF(B1051="Retired",$N$245+G1051+H1051,0)</f>
        <v/>
      </c>
      <c r="L1051" s="137">
        <f>M1051+N1051+O1051+P1051</f>
        <v/>
      </c>
      <c r="M1051" s="137">
        <f>IF(B1051="Retired",MIN(((Q1050)*(1+$C$10)+IF(B1051="Working",J1051,0)),K1051),0)</f>
        <v/>
      </c>
      <c r="N1051" s="137">
        <f>IF(B1051="Retired",MIN(MAX(K1051-M1051,0),((R1050)*(1+$C$10)+IF(B1051="Working",E82,0))),0)</f>
        <v/>
      </c>
      <c r="O1051" s="137">
        <f>IF(B1051="Retired",MIN(MAX(K1051-M1051-N1051,0),((S1050)*(1+$C$10)+IF(B1051="Working",I1051,0))),0)</f>
        <v/>
      </c>
      <c r="P1051" s="137">
        <f>IF(B1051="Retired",MIN(MAX(K1051-M1051-N1051-O1051,0),((T1050)*(1+$C$10)+IF(B1051="Working",F82,0))),0)</f>
        <v/>
      </c>
      <c r="Q1051" s="138">
        <f>MAX(((Q1050)*(1+$C$10)+IF(B1051="Working",J1051,0))-M1051,0)</f>
        <v/>
      </c>
      <c r="R1051" s="138">
        <f>MAX(((R1050)*(1+$C$10)+IF(B1051="Working",E82,0))-N1051,0)</f>
        <v/>
      </c>
      <c r="S1051" s="138">
        <f>MAX(((S1050)*(1+$C$10)+IF(B1051="Working",I1051,0))-O1051,0)</f>
        <v/>
      </c>
      <c r="T1051" s="138">
        <f>MAX(((T1050)*(1+$C$10)+IF(B1051="Working",F82,0))-P1051,0)</f>
        <v/>
      </c>
      <c r="U1051" s="138">
        <f>Q1051+R1051+S1051+T1051</f>
        <v/>
      </c>
      <c r="V1051" s="138">
        <f>IF(B1051="Working",MAX(-(((Q1050)*(1+$C$10)+IF(B1051="Working",J1051,0))),0),MAX(K1051-L1051,0))</f>
        <v/>
      </c>
      <c r="W1051" s="138">
        <f>IF(OR(A1051&gt;=$C$13,B1051="Retired"),IF(V1051&gt;0,-V1051,U1051-'Model Inputs'!$B$18),"")</f>
        <v/>
      </c>
      <c r="X1051" s="138">
        <f>IF(AND($L$245&gt;0,A1051&gt;=$C$13),$L$245*(1+$C$25)^(A1051-$C$13),0)</f>
        <v/>
      </c>
      <c r="Y1051" s="138">
        <f>IF(OR($L$245&lt;=0,$C$17&lt;=0,A1051&lt;$C$13,MIN(MAX((A1051-$C$13+1)*12,0),$C$17*12)&gt;=$C$17*12),0,IF($C$16=0,MAX(MAX($L$245*(1-$C$15),0)-(IF($C$17&lt;=0,0,IF($C$16=0,MAX($L$245*(1-$C$15),0)/$C$17,-PMT($C$16/12,$C$17*12,MAX($L$245*(1-$C$15),0))*12))/12)*MIN(MAX((A1051-$C$13+1)*12,0),$C$17*12),0),MAX(MAX($L$245*(1-$C$15),0)*(1+$C$16/12)^MIN(MAX((A1051-$C$13+1)*12,0),$C$17*12)-(IF($C$17&lt;=0,0,IF($C$16=0,MAX($L$245*(1-$C$15),0)/$C$17,-PMT($C$16/12,$C$17*12,MAX($L$245*(1-$C$15),0))*12))/12)*(((1+$C$16/12)^MIN(MAX((A1051-$C$13+1)*12,0),$C$17*12)-1)/($C$16/12)),0)))</f>
        <v/>
      </c>
      <c r="Z1051" s="138">
        <f>MAX(X1051-Y1051,0)</f>
        <v/>
      </c>
      <c r="AA1051" s="139">
        <f>U1051+Z1051</f>
        <v/>
      </c>
      <c r="AB1051" s="5" t="n"/>
      <c r="AC1051" s="5" t="n"/>
      <c r="AD1051" s="5" t="n"/>
      <c r="AE1051" s="5" t="n"/>
      <c r="AF1051" s="5" t="n"/>
      <c r="AG1051" s="5" t="n"/>
    </row>
    <row r="1052" outlineLevel="1" s="326">
      <c r="A1052" s="140" t="n">
        <v>4</v>
      </c>
      <c r="B1052" s="40">
        <f>B83</f>
        <v/>
      </c>
      <c r="C1052" s="141">
        <f>D83</f>
        <v/>
      </c>
      <c r="D1052" s="141">
        <f>I83</f>
        <v/>
      </c>
      <c r="E1052" s="141">
        <f>J83</f>
        <v/>
      </c>
      <c r="F1052" s="141">
        <f>K83</f>
        <v/>
      </c>
      <c r="G1052" s="138">
        <f>IF(AND($L$245&gt;0,A1052=$C$13),$L$245*($C$15+$C$18),0)+IF(AND($L$245&gt;0,A1052=$C$13),$C$24,0)</f>
        <v/>
      </c>
      <c r="H1052" s="138">
        <f>IF(OR($L$245&lt;=0,A1052&lt;$C$13),0,IF(AND($L$245&gt;0,$C$17&gt;0,A1052&gt;=$C$13,A1052&lt;($C$13+$C$17)),IF($C$17&lt;=0,0,IF($C$16=0,MAX($L$245*(1-$C$15),0)/$C$17,-PMT($C$16/12,$C$17*12,MAX($L$245*(1-$C$15),0))*12)),0)+X1052*($C$19+$C$20+$C$21)+$C$22+$C$23)</f>
        <v/>
      </c>
      <c r="I1052" s="138">
        <f>IF(B1052="Working",MIN(MAX(D1052-E1052-F1052-G1052-H1052,0),'Tax Assumptions'!$B$20),0)</f>
        <v/>
      </c>
      <c r="J1052" s="138">
        <f>IF(B1052="Working",D1052-E1052-F1052-I1052-G1052-H1052,-L1052)</f>
        <v/>
      </c>
      <c r="K1052" s="141">
        <f>IF(B1052="Retired",$N$245+G1052+H1052,0)</f>
        <v/>
      </c>
      <c r="L1052" s="141">
        <f>M1052+N1052+O1052+P1052</f>
        <v/>
      </c>
      <c r="M1052" s="141">
        <f>IF(B1052="Retired",MIN(((Q1051)*(1+$C$10)+IF(B1052="Working",J1052,0)),K1052),0)</f>
        <v/>
      </c>
      <c r="N1052" s="141">
        <f>IF(B1052="Retired",MIN(MAX(K1052-M1052,0),((R1051)*(1+$C$10)+IF(B1052="Working",E83,0))),0)</f>
        <v/>
      </c>
      <c r="O1052" s="141">
        <f>IF(B1052="Retired",MIN(MAX(K1052-M1052-N1052,0),((S1051)*(1+$C$10)+IF(B1052="Working",I1052,0))),0)</f>
        <v/>
      </c>
      <c r="P1052" s="141">
        <f>IF(B1052="Retired",MIN(MAX(K1052-M1052-N1052-O1052,0),((T1051)*(1+$C$10)+IF(B1052="Working",F83,0))),0)</f>
        <v/>
      </c>
      <c r="Q1052" s="138">
        <f>MAX(((Q1051)*(1+$C$10)+IF(B1052="Working",J1052,0))-M1052,0)</f>
        <v/>
      </c>
      <c r="R1052" s="138">
        <f>MAX(((R1051)*(1+$C$10)+IF(B1052="Working",E83,0))-N1052,0)</f>
        <v/>
      </c>
      <c r="S1052" s="138">
        <f>MAX(((S1051)*(1+$C$10)+IF(B1052="Working",I1052,0))-O1052,0)</f>
        <v/>
      </c>
      <c r="T1052" s="138">
        <f>MAX(((T1051)*(1+$C$10)+IF(B1052="Working",F83,0))-P1052,0)</f>
        <v/>
      </c>
      <c r="U1052" s="138">
        <f>Q1052+R1052+S1052+T1052</f>
        <v/>
      </c>
      <c r="V1052" s="138">
        <f>IF(B1052="Working",MAX(-(((Q1051)*(1+$C$10)+IF(B1052="Working",J1052,0))),0),MAX(K1052-L1052,0))</f>
        <v/>
      </c>
      <c r="W1052" s="138">
        <f>IF(OR(A1052&gt;=$C$13,B1052="Retired"),IF(V1052&gt;0,-V1052,U1052-'Model Inputs'!$B$18),"")</f>
        <v/>
      </c>
      <c r="X1052" s="138">
        <f>IF(AND($L$245&gt;0,A1052&gt;=$C$13),$L$245*(1+$C$25)^(A1052-$C$13),0)</f>
        <v/>
      </c>
      <c r="Y1052" s="138">
        <f>IF(OR($L$245&lt;=0,$C$17&lt;=0,A1052&lt;$C$13,MIN(MAX((A1052-$C$13+1)*12,0),$C$17*12)&gt;=$C$17*12),0,IF($C$16=0,MAX(MAX($L$245*(1-$C$15),0)-(IF($C$17&lt;=0,0,IF($C$16=0,MAX($L$245*(1-$C$15),0)/$C$17,-PMT($C$16/12,$C$17*12,MAX($L$245*(1-$C$15),0))*12))/12)*MIN(MAX((A1052-$C$13+1)*12,0),$C$17*12),0),MAX(MAX($L$245*(1-$C$15),0)*(1+$C$16/12)^MIN(MAX((A1052-$C$13+1)*12,0),$C$17*12)-(IF($C$17&lt;=0,0,IF($C$16=0,MAX($L$245*(1-$C$15),0)/$C$17,-PMT($C$16/12,$C$17*12,MAX($L$245*(1-$C$15),0))*12))/12)*(((1+$C$16/12)^MIN(MAX((A1052-$C$13+1)*12,0),$C$17*12)-1)/($C$16/12)),0)))</f>
        <v/>
      </c>
      <c r="Z1052" s="138">
        <f>MAX(X1052-Y1052,0)</f>
        <v/>
      </c>
      <c r="AA1052" s="142">
        <f>U1052+Z1052</f>
        <v/>
      </c>
      <c r="AB1052" s="5" t="n"/>
      <c r="AC1052" s="5" t="n"/>
      <c r="AD1052" s="5" t="n"/>
      <c r="AE1052" s="5" t="n"/>
      <c r="AF1052" s="5" t="n"/>
      <c r="AG1052" s="5" t="n"/>
    </row>
    <row r="1053" outlineLevel="1" s="326">
      <c r="A1053" s="136" t="n">
        <v>5</v>
      </c>
      <c r="B1053" s="72">
        <f>B84</f>
        <v/>
      </c>
      <c r="C1053" s="137">
        <f>D84</f>
        <v/>
      </c>
      <c r="D1053" s="137">
        <f>I84</f>
        <v/>
      </c>
      <c r="E1053" s="137">
        <f>J84</f>
        <v/>
      </c>
      <c r="F1053" s="137">
        <f>K84</f>
        <v/>
      </c>
      <c r="G1053" s="138">
        <f>IF(AND($L$245&gt;0,A1053=$C$13),$L$245*($C$15+$C$18),0)+IF(AND($L$245&gt;0,A1053=$C$13),$C$24,0)</f>
        <v/>
      </c>
      <c r="H1053" s="138">
        <f>IF(OR($L$245&lt;=0,A1053&lt;$C$13),0,IF(AND($L$245&gt;0,$C$17&gt;0,A1053&gt;=$C$13,A1053&lt;($C$13+$C$17)),IF($C$17&lt;=0,0,IF($C$16=0,MAX($L$245*(1-$C$15),0)/$C$17,-PMT($C$16/12,$C$17*12,MAX($L$245*(1-$C$15),0))*12)),0)+X1053*($C$19+$C$20+$C$21)+$C$22+$C$23)</f>
        <v/>
      </c>
      <c r="I1053" s="138">
        <f>IF(B1053="Working",MIN(MAX(D1053-E1053-F1053-G1053-H1053,0),'Tax Assumptions'!$B$20),0)</f>
        <v/>
      </c>
      <c r="J1053" s="138">
        <f>IF(B1053="Working",D1053-E1053-F1053-I1053-G1053-H1053,-L1053)</f>
        <v/>
      </c>
      <c r="K1053" s="137">
        <f>IF(B1053="Retired",$N$245+G1053+H1053,0)</f>
        <v/>
      </c>
      <c r="L1053" s="137">
        <f>M1053+N1053+O1053+P1053</f>
        <v/>
      </c>
      <c r="M1053" s="137">
        <f>IF(B1053="Retired",MIN(((Q1052)*(1+$C$10)+IF(B1053="Working",J1053,0)),K1053),0)</f>
        <v/>
      </c>
      <c r="N1053" s="137">
        <f>IF(B1053="Retired",MIN(MAX(K1053-M1053,0),((R1052)*(1+$C$10)+IF(B1053="Working",E84,0))),0)</f>
        <v/>
      </c>
      <c r="O1053" s="137">
        <f>IF(B1053="Retired",MIN(MAX(K1053-M1053-N1053,0),((S1052)*(1+$C$10)+IF(B1053="Working",I1053,0))),0)</f>
        <v/>
      </c>
      <c r="P1053" s="137">
        <f>IF(B1053="Retired",MIN(MAX(K1053-M1053-N1053-O1053,0),((T1052)*(1+$C$10)+IF(B1053="Working",F84,0))),0)</f>
        <v/>
      </c>
      <c r="Q1053" s="138">
        <f>MAX(((Q1052)*(1+$C$10)+IF(B1053="Working",J1053,0))-M1053,0)</f>
        <v/>
      </c>
      <c r="R1053" s="138">
        <f>MAX(((R1052)*(1+$C$10)+IF(B1053="Working",E84,0))-N1053,0)</f>
        <v/>
      </c>
      <c r="S1053" s="138">
        <f>MAX(((S1052)*(1+$C$10)+IF(B1053="Working",I1053,0))-O1053,0)</f>
        <v/>
      </c>
      <c r="T1053" s="138">
        <f>MAX(((T1052)*(1+$C$10)+IF(B1053="Working",F84,0))-P1053,0)</f>
        <v/>
      </c>
      <c r="U1053" s="138">
        <f>Q1053+R1053+S1053+T1053</f>
        <v/>
      </c>
      <c r="V1053" s="138">
        <f>IF(B1053="Working",MAX(-(((Q1052)*(1+$C$10)+IF(B1053="Working",J1053,0))),0),MAX(K1053-L1053,0))</f>
        <v/>
      </c>
      <c r="W1053" s="138">
        <f>IF(OR(A1053&gt;=$C$13,B1053="Retired"),IF(V1053&gt;0,-V1053,U1053-'Model Inputs'!$B$18),"")</f>
        <v/>
      </c>
      <c r="X1053" s="138">
        <f>IF(AND($L$245&gt;0,A1053&gt;=$C$13),$L$245*(1+$C$25)^(A1053-$C$13),0)</f>
        <v/>
      </c>
      <c r="Y1053" s="138">
        <f>IF(OR($L$245&lt;=0,$C$17&lt;=0,A1053&lt;$C$13,MIN(MAX((A1053-$C$13+1)*12,0),$C$17*12)&gt;=$C$17*12),0,IF($C$16=0,MAX(MAX($L$245*(1-$C$15),0)-(IF($C$17&lt;=0,0,IF($C$16=0,MAX($L$245*(1-$C$15),0)/$C$17,-PMT($C$16/12,$C$17*12,MAX($L$245*(1-$C$15),0))*12))/12)*MIN(MAX((A1053-$C$13+1)*12,0),$C$17*12),0),MAX(MAX($L$245*(1-$C$15),0)*(1+$C$16/12)^MIN(MAX((A1053-$C$13+1)*12,0),$C$17*12)-(IF($C$17&lt;=0,0,IF($C$16=0,MAX($L$245*(1-$C$15),0)/$C$17,-PMT($C$16/12,$C$17*12,MAX($L$245*(1-$C$15),0))*12))/12)*(((1+$C$16/12)^MIN(MAX((A1053-$C$13+1)*12,0),$C$17*12)-1)/($C$16/12)),0)))</f>
        <v/>
      </c>
      <c r="Z1053" s="138">
        <f>MAX(X1053-Y1053,0)</f>
        <v/>
      </c>
      <c r="AA1053" s="139">
        <f>U1053+Z1053</f>
        <v/>
      </c>
      <c r="AB1053" s="5" t="n"/>
      <c r="AC1053" s="5" t="n"/>
      <c r="AD1053" s="5" t="n"/>
      <c r="AE1053" s="5" t="n"/>
      <c r="AF1053" s="5" t="n"/>
      <c r="AG1053" s="5" t="n"/>
    </row>
    <row r="1054" outlineLevel="1" s="326">
      <c r="A1054" s="140" t="n">
        <v>6</v>
      </c>
      <c r="B1054" s="40">
        <f>B85</f>
        <v/>
      </c>
      <c r="C1054" s="141">
        <f>D85</f>
        <v/>
      </c>
      <c r="D1054" s="141">
        <f>I85</f>
        <v/>
      </c>
      <c r="E1054" s="141">
        <f>J85</f>
        <v/>
      </c>
      <c r="F1054" s="141">
        <f>K85</f>
        <v/>
      </c>
      <c r="G1054" s="138">
        <f>IF(AND($L$245&gt;0,A1054=$C$13),$L$245*($C$15+$C$18),0)+IF(AND($L$245&gt;0,A1054=$C$13),$C$24,0)</f>
        <v/>
      </c>
      <c r="H1054" s="138">
        <f>IF(OR($L$245&lt;=0,A1054&lt;$C$13),0,IF(AND($L$245&gt;0,$C$17&gt;0,A1054&gt;=$C$13,A1054&lt;($C$13+$C$17)),IF($C$17&lt;=0,0,IF($C$16=0,MAX($L$245*(1-$C$15),0)/$C$17,-PMT($C$16/12,$C$17*12,MAX($L$245*(1-$C$15),0))*12)),0)+X1054*($C$19+$C$20+$C$21)+$C$22+$C$23)</f>
        <v/>
      </c>
      <c r="I1054" s="138">
        <f>IF(B1054="Working",MIN(MAX(D1054-E1054-F1054-G1054-H1054,0),'Tax Assumptions'!$B$20),0)</f>
        <v/>
      </c>
      <c r="J1054" s="138">
        <f>IF(B1054="Working",D1054-E1054-F1054-I1054-G1054-H1054,-L1054)</f>
        <v/>
      </c>
      <c r="K1054" s="141">
        <f>IF(B1054="Retired",$N$245+G1054+H1054,0)</f>
        <v/>
      </c>
      <c r="L1054" s="141">
        <f>M1054+N1054+O1054+P1054</f>
        <v/>
      </c>
      <c r="M1054" s="141">
        <f>IF(B1054="Retired",MIN(((Q1053)*(1+$C$10)+IF(B1054="Working",J1054,0)),K1054),0)</f>
        <v/>
      </c>
      <c r="N1054" s="141">
        <f>IF(B1054="Retired",MIN(MAX(K1054-M1054,0),((R1053)*(1+$C$10)+IF(B1054="Working",E85,0))),0)</f>
        <v/>
      </c>
      <c r="O1054" s="141">
        <f>IF(B1054="Retired",MIN(MAX(K1054-M1054-N1054,0),((S1053)*(1+$C$10)+IF(B1054="Working",I1054,0))),0)</f>
        <v/>
      </c>
      <c r="P1054" s="141">
        <f>IF(B1054="Retired",MIN(MAX(K1054-M1054-N1054-O1054,0),((T1053)*(1+$C$10)+IF(B1054="Working",F85,0))),0)</f>
        <v/>
      </c>
      <c r="Q1054" s="138">
        <f>MAX(((Q1053)*(1+$C$10)+IF(B1054="Working",J1054,0))-M1054,0)</f>
        <v/>
      </c>
      <c r="R1054" s="138">
        <f>MAX(((R1053)*(1+$C$10)+IF(B1054="Working",E85,0))-N1054,0)</f>
        <v/>
      </c>
      <c r="S1054" s="138">
        <f>MAX(((S1053)*(1+$C$10)+IF(B1054="Working",I1054,0))-O1054,0)</f>
        <v/>
      </c>
      <c r="T1054" s="138">
        <f>MAX(((T1053)*(1+$C$10)+IF(B1054="Working",F85,0))-P1054,0)</f>
        <v/>
      </c>
      <c r="U1054" s="138">
        <f>Q1054+R1054+S1054+T1054</f>
        <v/>
      </c>
      <c r="V1054" s="138">
        <f>IF(B1054="Working",MAX(-(((Q1053)*(1+$C$10)+IF(B1054="Working",J1054,0))),0),MAX(K1054-L1054,0))</f>
        <v/>
      </c>
      <c r="W1054" s="138">
        <f>IF(OR(A1054&gt;=$C$13,B1054="Retired"),IF(V1054&gt;0,-V1054,U1054-'Model Inputs'!$B$18),"")</f>
        <v/>
      </c>
      <c r="X1054" s="138">
        <f>IF(AND($L$245&gt;0,A1054&gt;=$C$13),$L$245*(1+$C$25)^(A1054-$C$13),0)</f>
        <v/>
      </c>
      <c r="Y1054" s="138">
        <f>IF(OR($L$245&lt;=0,$C$17&lt;=0,A1054&lt;$C$13,MIN(MAX((A1054-$C$13+1)*12,0),$C$17*12)&gt;=$C$17*12),0,IF($C$16=0,MAX(MAX($L$245*(1-$C$15),0)-(IF($C$17&lt;=0,0,IF($C$16=0,MAX($L$245*(1-$C$15),0)/$C$17,-PMT($C$16/12,$C$17*12,MAX($L$245*(1-$C$15),0))*12))/12)*MIN(MAX((A1054-$C$13+1)*12,0),$C$17*12),0),MAX(MAX($L$245*(1-$C$15),0)*(1+$C$16/12)^MIN(MAX((A1054-$C$13+1)*12,0),$C$17*12)-(IF($C$17&lt;=0,0,IF($C$16=0,MAX($L$245*(1-$C$15),0)/$C$17,-PMT($C$16/12,$C$17*12,MAX($L$245*(1-$C$15),0))*12))/12)*(((1+$C$16/12)^MIN(MAX((A1054-$C$13+1)*12,0),$C$17*12)-1)/($C$16/12)),0)))</f>
        <v/>
      </c>
      <c r="Z1054" s="138">
        <f>MAX(X1054-Y1054,0)</f>
        <v/>
      </c>
      <c r="AA1054" s="142">
        <f>U1054+Z1054</f>
        <v/>
      </c>
      <c r="AB1054" s="5" t="n"/>
      <c r="AC1054" s="5" t="n"/>
      <c r="AD1054" s="5" t="n"/>
      <c r="AE1054" s="5" t="n"/>
      <c r="AF1054" s="5" t="n"/>
      <c r="AG1054" s="5" t="n"/>
    </row>
    <row r="1055" outlineLevel="1" s="326">
      <c r="A1055" s="136" t="n">
        <v>7</v>
      </c>
      <c r="B1055" s="72">
        <f>B86</f>
        <v/>
      </c>
      <c r="C1055" s="137">
        <f>D86</f>
        <v/>
      </c>
      <c r="D1055" s="137">
        <f>I86</f>
        <v/>
      </c>
      <c r="E1055" s="137">
        <f>J86</f>
        <v/>
      </c>
      <c r="F1055" s="137">
        <f>K86</f>
        <v/>
      </c>
      <c r="G1055" s="138">
        <f>IF(AND($L$245&gt;0,A1055=$C$13),$L$245*($C$15+$C$18),0)+IF(AND($L$245&gt;0,A1055=$C$13),$C$24,0)</f>
        <v/>
      </c>
      <c r="H1055" s="138">
        <f>IF(OR($L$245&lt;=0,A1055&lt;$C$13),0,IF(AND($L$245&gt;0,$C$17&gt;0,A1055&gt;=$C$13,A1055&lt;($C$13+$C$17)),IF($C$17&lt;=0,0,IF($C$16=0,MAX($L$245*(1-$C$15),0)/$C$17,-PMT($C$16/12,$C$17*12,MAX($L$245*(1-$C$15),0))*12)),0)+X1055*($C$19+$C$20+$C$21)+$C$22+$C$23)</f>
        <v/>
      </c>
      <c r="I1055" s="138">
        <f>IF(B1055="Working",MIN(MAX(D1055-E1055-F1055-G1055-H1055,0),'Tax Assumptions'!$B$20),0)</f>
        <v/>
      </c>
      <c r="J1055" s="138">
        <f>IF(B1055="Working",D1055-E1055-F1055-I1055-G1055-H1055,-L1055)</f>
        <v/>
      </c>
      <c r="K1055" s="137">
        <f>IF(B1055="Retired",$N$245+G1055+H1055,0)</f>
        <v/>
      </c>
      <c r="L1055" s="137">
        <f>M1055+N1055+O1055+P1055</f>
        <v/>
      </c>
      <c r="M1055" s="137">
        <f>IF(B1055="Retired",MIN(((Q1054)*(1+$C$10)+IF(B1055="Working",J1055,0)),K1055),0)</f>
        <v/>
      </c>
      <c r="N1055" s="137">
        <f>IF(B1055="Retired",MIN(MAX(K1055-M1055,0),((R1054)*(1+$C$10)+IF(B1055="Working",E86,0))),0)</f>
        <v/>
      </c>
      <c r="O1055" s="137">
        <f>IF(B1055="Retired",MIN(MAX(K1055-M1055-N1055,0),((S1054)*(1+$C$10)+IF(B1055="Working",I1055,0))),0)</f>
        <v/>
      </c>
      <c r="P1055" s="137">
        <f>IF(B1055="Retired",MIN(MAX(K1055-M1055-N1055-O1055,0),((T1054)*(1+$C$10)+IF(B1055="Working",F86,0))),0)</f>
        <v/>
      </c>
      <c r="Q1055" s="138">
        <f>MAX(((Q1054)*(1+$C$10)+IF(B1055="Working",J1055,0))-M1055,0)</f>
        <v/>
      </c>
      <c r="R1055" s="138">
        <f>MAX(((R1054)*(1+$C$10)+IF(B1055="Working",E86,0))-N1055,0)</f>
        <v/>
      </c>
      <c r="S1055" s="138">
        <f>MAX(((S1054)*(1+$C$10)+IF(B1055="Working",I1055,0))-O1055,0)</f>
        <v/>
      </c>
      <c r="T1055" s="138">
        <f>MAX(((T1054)*(1+$C$10)+IF(B1055="Working",F86,0))-P1055,0)</f>
        <v/>
      </c>
      <c r="U1055" s="138">
        <f>Q1055+R1055+S1055+T1055</f>
        <v/>
      </c>
      <c r="V1055" s="138">
        <f>IF(B1055="Working",MAX(-(((Q1054)*(1+$C$10)+IF(B1055="Working",J1055,0))),0),MAX(K1055-L1055,0))</f>
        <v/>
      </c>
      <c r="W1055" s="138">
        <f>IF(OR(A1055&gt;=$C$13,B1055="Retired"),IF(V1055&gt;0,-V1055,U1055-'Model Inputs'!$B$18),"")</f>
        <v/>
      </c>
      <c r="X1055" s="138">
        <f>IF(AND($L$245&gt;0,A1055&gt;=$C$13),$L$245*(1+$C$25)^(A1055-$C$13),0)</f>
        <v/>
      </c>
      <c r="Y1055" s="138">
        <f>IF(OR($L$245&lt;=0,$C$17&lt;=0,A1055&lt;$C$13,MIN(MAX((A1055-$C$13+1)*12,0),$C$17*12)&gt;=$C$17*12),0,IF($C$16=0,MAX(MAX($L$245*(1-$C$15),0)-(IF($C$17&lt;=0,0,IF($C$16=0,MAX($L$245*(1-$C$15),0)/$C$17,-PMT($C$16/12,$C$17*12,MAX($L$245*(1-$C$15),0))*12))/12)*MIN(MAX((A1055-$C$13+1)*12,0),$C$17*12),0),MAX(MAX($L$245*(1-$C$15),0)*(1+$C$16/12)^MIN(MAX((A1055-$C$13+1)*12,0),$C$17*12)-(IF($C$17&lt;=0,0,IF($C$16=0,MAX($L$245*(1-$C$15),0)/$C$17,-PMT($C$16/12,$C$17*12,MAX($L$245*(1-$C$15),0))*12))/12)*(((1+$C$16/12)^MIN(MAX((A1055-$C$13+1)*12,0),$C$17*12)-1)/($C$16/12)),0)))</f>
        <v/>
      </c>
      <c r="Z1055" s="138">
        <f>MAX(X1055-Y1055,0)</f>
        <v/>
      </c>
      <c r="AA1055" s="139">
        <f>U1055+Z1055</f>
        <v/>
      </c>
      <c r="AB1055" s="5" t="n"/>
      <c r="AC1055" s="5" t="n"/>
      <c r="AD1055" s="5" t="n"/>
      <c r="AE1055" s="5" t="n"/>
      <c r="AF1055" s="5" t="n"/>
      <c r="AG1055" s="5" t="n"/>
    </row>
    <row r="1056" outlineLevel="1" s="326">
      <c r="A1056" s="140" t="n">
        <v>8</v>
      </c>
      <c r="B1056" s="40">
        <f>B87</f>
        <v/>
      </c>
      <c r="C1056" s="141">
        <f>D87</f>
        <v/>
      </c>
      <c r="D1056" s="141">
        <f>I87</f>
        <v/>
      </c>
      <c r="E1056" s="141">
        <f>J87</f>
        <v/>
      </c>
      <c r="F1056" s="141">
        <f>K87</f>
        <v/>
      </c>
      <c r="G1056" s="138">
        <f>IF(AND($L$245&gt;0,A1056=$C$13),$L$245*($C$15+$C$18),0)+IF(AND($L$245&gt;0,A1056=$C$13),$C$24,0)</f>
        <v/>
      </c>
      <c r="H1056" s="138">
        <f>IF(OR($L$245&lt;=0,A1056&lt;$C$13),0,IF(AND($L$245&gt;0,$C$17&gt;0,A1056&gt;=$C$13,A1056&lt;($C$13+$C$17)),IF($C$17&lt;=0,0,IF($C$16=0,MAX($L$245*(1-$C$15),0)/$C$17,-PMT($C$16/12,$C$17*12,MAX($L$245*(1-$C$15),0))*12)),0)+X1056*($C$19+$C$20+$C$21)+$C$22+$C$23)</f>
        <v/>
      </c>
      <c r="I1056" s="138">
        <f>IF(B1056="Working",MIN(MAX(D1056-E1056-F1056-G1056-H1056,0),'Tax Assumptions'!$B$20),0)</f>
        <v/>
      </c>
      <c r="J1056" s="138">
        <f>IF(B1056="Working",D1056-E1056-F1056-I1056-G1056-H1056,-L1056)</f>
        <v/>
      </c>
      <c r="K1056" s="141">
        <f>IF(B1056="Retired",$N$245+G1056+H1056,0)</f>
        <v/>
      </c>
      <c r="L1056" s="141">
        <f>M1056+N1056+O1056+P1056</f>
        <v/>
      </c>
      <c r="M1056" s="141">
        <f>IF(B1056="Retired",MIN(((Q1055)*(1+$C$10)+IF(B1056="Working",J1056,0)),K1056),0)</f>
        <v/>
      </c>
      <c r="N1056" s="141">
        <f>IF(B1056="Retired",MIN(MAX(K1056-M1056,0),((R1055)*(1+$C$10)+IF(B1056="Working",E87,0))),0)</f>
        <v/>
      </c>
      <c r="O1056" s="141">
        <f>IF(B1056="Retired",MIN(MAX(K1056-M1056-N1056,0),((S1055)*(1+$C$10)+IF(B1056="Working",I1056,0))),0)</f>
        <v/>
      </c>
      <c r="P1056" s="141">
        <f>IF(B1056="Retired",MIN(MAX(K1056-M1056-N1056-O1056,0),((T1055)*(1+$C$10)+IF(B1056="Working",F87,0))),0)</f>
        <v/>
      </c>
      <c r="Q1056" s="138">
        <f>MAX(((Q1055)*(1+$C$10)+IF(B1056="Working",J1056,0))-M1056,0)</f>
        <v/>
      </c>
      <c r="R1056" s="138">
        <f>MAX(((R1055)*(1+$C$10)+IF(B1056="Working",E87,0))-N1056,0)</f>
        <v/>
      </c>
      <c r="S1056" s="138">
        <f>MAX(((S1055)*(1+$C$10)+IF(B1056="Working",I1056,0))-O1056,0)</f>
        <v/>
      </c>
      <c r="T1056" s="138">
        <f>MAX(((T1055)*(1+$C$10)+IF(B1056="Working",F87,0))-P1056,0)</f>
        <v/>
      </c>
      <c r="U1056" s="138">
        <f>Q1056+R1056+S1056+T1056</f>
        <v/>
      </c>
      <c r="V1056" s="138">
        <f>IF(B1056="Working",MAX(-(((Q1055)*(1+$C$10)+IF(B1056="Working",J1056,0))),0),MAX(K1056-L1056,0))</f>
        <v/>
      </c>
      <c r="W1056" s="138">
        <f>IF(OR(A1056&gt;=$C$13,B1056="Retired"),IF(V1056&gt;0,-V1056,U1056-'Model Inputs'!$B$18),"")</f>
        <v/>
      </c>
      <c r="X1056" s="138">
        <f>IF(AND($L$245&gt;0,A1056&gt;=$C$13),$L$245*(1+$C$25)^(A1056-$C$13),0)</f>
        <v/>
      </c>
      <c r="Y1056" s="138">
        <f>IF(OR($L$245&lt;=0,$C$17&lt;=0,A1056&lt;$C$13,MIN(MAX((A1056-$C$13+1)*12,0),$C$17*12)&gt;=$C$17*12),0,IF($C$16=0,MAX(MAX($L$245*(1-$C$15),0)-(IF($C$17&lt;=0,0,IF($C$16=0,MAX($L$245*(1-$C$15),0)/$C$17,-PMT($C$16/12,$C$17*12,MAX($L$245*(1-$C$15),0))*12))/12)*MIN(MAX((A1056-$C$13+1)*12,0),$C$17*12),0),MAX(MAX($L$245*(1-$C$15),0)*(1+$C$16/12)^MIN(MAX((A1056-$C$13+1)*12,0),$C$17*12)-(IF($C$17&lt;=0,0,IF($C$16=0,MAX($L$245*(1-$C$15),0)/$C$17,-PMT($C$16/12,$C$17*12,MAX($L$245*(1-$C$15),0))*12))/12)*(((1+$C$16/12)^MIN(MAX((A1056-$C$13+1)*12,0),$C$17*12)-1)/($C$16/12)),0)))</f>
        <v/>
      </c>
      <c r="Z1056" s="138">
        <f>MAX(X1056-Y1056,0)</f>
        <v/>
      </c>
      <c r="AA1056" s="142">
        <f>U1056+Z1056</f>
        <v/>
      </c>
      <c r="AB1056" s="5" t="n"/>
      <c r="AC1056" s="5" t="n"/>
      <c r="AD1056" s="5" t="n"/>
      <c r="AE1056" s="5" t="n"/>
      <c r="AF1056" s="5" t="n"/>
      <c r="AG1056" s="5" t="n"/>
    </row>
    <row r="1057" outlineLevel="1" s="326">
      <c r="A1057" s="136" t="n">
        <v>9</v>
      </c>
      <c r="B1057" s="72">
        <f>B88</f>
        <v/>
      </c>
      <c r="C1057" s="137">
        <f>D88</f>
        <v/>
      </c>
      <c r="D1057" s="137">
        <f>I88</f>
        <v/>
      </c>
      <c r="E1057" s="137">
        <f>J88</f>
        <v/>
      </c>
      <c r="F1057" s="137">
        <f>K88</f>
        <v/>
      </c>
      <c r="G1057" s="138">
        <f>IF(AND($L$245&gt;0,A1057=$C$13),$L$245*($C$15+$C$18),0)+IF(AND($L$245&gt;0,A1057=$C$13),$C$24,0)</f>
        <v/>
      </c>
      <c r="H1057" s="138">
        <f>IF(OR($L$245&lt;=0,A1057&lt;$C$13),0,IF(AND($L$245&gt;0,$C$17&gt;0,A1057&gt;=$C$13,A1057&lt;($C$13+$C$17)),IF($C$17&lt;=0,0,IF($C$16=0,MAX($L$245*(1-$C$15),0)/$C$17,-PMT($C$16/12,$C$17*12,MAX($L$245*(1-$C$15),0))*12)),0)+X1057*($C$19+$C$20+$C$21)+$C$22+$C$23)</f>
        <v/>
      </c>
      <c r="I1057" s="138">
        <f>IF(B1057="Working",MIN(MAX(D1057-E1057-F1057-G1057-H1057,0),'Tax Assumptions'!$B$20),0)</f>
        <v/>
      </c>
      <c r="J1057" s="138">
        <f>IF(B1057="Working",D1057-E1057-F1057-I1057-G1057-H1057,-L1057)</f>
        <v/>
      </c>
      <c r="K1057" s="137">
        <f>IF(B1057="Retired",$N$245+G1057+H1057,0)</f>
        <v/>
      </c>
      <c r="L1057" s="137">
        <f>M1057+N1057+O1057+P1057</f>
        <v/>
      </c>
      <c r="M1057" s="137">
        <f>IF(B1057="Retired",MIN(((Q1056)*(1+$C$10)+IF(B1057="Working",J1057,0)),K1057),0)</f>
        <v/>
      </c>
      <c r="N1057" s="137">
        <f>IF(B1057="Retired",MIN(MAX(K1057-M1057,0),((R1056)*(1+$C$10)+IF(B1057="Working",E88,0))),0)</f>
        <v/>
      </c>
      <c r="O1057" s="137">
        <f>IF(B1057="Retired",MIN(MAX(K1057-M1057-N1057,0),((S1056)*(1+$C$10)+IF(B1057="Working",I1057,0))),0)</f>
        <v/>
      </c>
      <c r="P1057" s="137">
        <f>IF(B1057="Retired",MIN(MAX(K1057-M1057-N1057-O1057,0),((T1056)*(1+$C$10)+IF(B1057="Working",F88,0))),0)</f>
        <v/>
      </c>
      <c r="Q1057" s="138">
        <f>MAX(((Q1056)*(1+$C$10)+IF(B1057="Working",J1057,0))-M1057,0)</f>
        <v/>
      </c>
      <c r="R1057" s="138">
        <f>MAX(((R1056)*(1+$C$10)+IF(B1057="Working",E88,0))-N1057,0)</f>
        <v/>
      </c>
      <c r="S1057" s="138">
        <f>MAX(((S1056)*(1+$C$10)+IF(B1057="Working",I1057,0))-O1057,0)</f>
        <v/>
      </c>
      <c r="T1057" s="138">
        <f>MAX(((T1056)*(1+$C$10)+IF(B1057="Working",F88,0))-P1057,0)</f>
        <v/>
      </c>
      <c r="U1057" s="138">
        <f>Q1057+R1057+S1057+T1057</f>
        <v/>
      </c>
      <c r="V1057" s="138">
        <f>IF(B1057="Working",MAX(-(((Q1056)*(1+$C$10)+IF(B1057="Working",J1057,0))),0),MAX(K1057-L1057,0))</f>
        <v/>
      </c>
      <c r="W1057" s="138">
        <f>IF(OR(A1057&gt;=$C$13,B1057="Retired"),IF(V1057&gt;0,-V1057,U1057-'Model Inputs'!$B$18),"")</f>
        <v/>
      </c>
      <c r="X1057" s="138">
        <f>IF(AND($L$245&gt;0,A1057&gt;=$C$13),$L$245*(1+$C$25)^(A1057-$C$13),0)</f>
        <v/>
      </c>
      <c r="Y1057" s="138">
        <f>IF(OR($L$245&lt;=0,$C$17&lt;=0,A1057&lt;$C$13,MIN(MAX((A1057-$C$13+1)*12,0),$C$17*12)&gt;=$C$17*12),0,IF($C$16=0,MAX(MAX($L$245*(1-$C$15),0)-(IF($C$17&lt;=0,0,IF($C$16=0,MAX($L$245*(1-$C$15),0)/$C$17,-PMT($C$16/12,$C$17*12,MAX($L$245*(1-$C$15),0))*12))/12)*MIN(MAX((A1057-$C$13+1)*12,0),$C$17*12),0),MAX(MAX($L$245*(1-$C$15),0)*(1+$C$16/12)^MIN(MAX((A1057-$C$13+1)*12,0),$C$17*12)-(IF($C$17&lt;=0,0,IF($C$16=0,MAX($L$245*(1-$C$15),0)/$C$17,-PMT($C$16/12,$C$17*12,MAX($L$245*(1-$C$15),0))*12))/12)*(((1+$C$16/12)^MIN(MAX((A1057-$C$13+1)*12,0),$C$17*12)-1)/($C$16/12)),0)))</f>
        <v/>
      </c>
      <c r="Z1057" s="138">
        <f>MAX(X1057-Y1057,0)</f>
        <v/>
      </c>
      <c r="AA1057" s="139">
        <f>U1057+Z1057</f>
        <v/>
      </c>
      <c r="AB1057" s="5" t="n"/>
      <c r="AC1057" s="5" t="n"/>
      <c r="AD1057" s="5" t="n"/>
      <c r="AE1057" s="5" t="n"/>
      <c r="AF1057" s="5" t="n"/>
      <c r="AG1057" s="5" t="n"/>
    </row>
    <row r="1058" outlineLevel="1" s="326">
      <c r="A1058" s="140" t="n">
        <v>10</v>
      </c>
      <c r="B1058" s="40">
        <f>B89</f>
        <v/>
      </c>
      <c r="C1058" s="141">
        <f>D89</f>
        <v/>
      </c>
      <c r="D1058" s="141">
        <f>I89</f>
        <v/>
      </c>
      <c r="E1058" s="141">
        <f>J89</f>
        <v/>
      </c>
      <c r="F1058" s="141">
        <f>K89</f>
        <v/>
      </c>
      <c r="G1058" s="138">
        <f>IF(AND($L$245&gt;0,A1058=$C$13),$L$245*($C$15+$C$18),0)+IF(AND($L$245&gt;0,A1058=$C$13),$C$24,0)</f>
        <v/>
      </c>
      <c r="H1058" s="138">
        <f>IF(OR($L$245&lt;=0,A1058&lt;$C$13),0,IF(AND($L$245&gt;0,$C$17&gt;0,A1058&gt;=$C$13,A1058&lt;($C$13+$C$17)),IF($C$17&lt;=0,0,IF($C$16=0,MAX($L$245*(1-$C$15),0)/$C$17,-PMT($C$16/12,$C$17*12,MAX($L$245*(1-$C$15),0))*12)),0)+X1058*($C$19+$C$20+$C$21)+$C$22+$C$23)</f>
        <v/>
      </c>
      <c r="I1058" s="138">
        <f>IF(B1058="Working",MIN(MAX(D1058-E1058-F1058-G1058-H1058,0),'Tax Assumptions'!$B$20),0)</f>
        <v/>
      </c>
      <c r="J1058" s="138">
        <f>IF(B1058="Working",D1058-E1058-F1058-I1058-G1058-H1058,-L1058)</f>
        <v/>
      </c>
      <c r="K1058" s="141">
        <f>IF(B1058="Retired",$N$245+G1058+H1058,0)</f>
        <v/>
      </c>
      <c r="L1058" s="141">
        <f>M1058+N1058+O1058+P1058</f>
        <v/>
      </c>
      <c r="M1058" s="141">
        <f>IF(B1058="Retired",MIN(((Q1057)*(1+$C$10)+IF(B1058="Working",J1058,0)),K1058),0)</f>
        <v/>
      </c>
      <c r="N1058" s="141">
        <f>IF(B1058="Retired",MIN(MAX(K1058-M1058,0),((R1057)*(1+$C$10)+IF(B1058="Working",E89,0))),0)</f>
        <v/>
      </c>
      <c r="O1058" s="141">
        <f>IF(B1058="Retired",MIN(MAX(K1058-M1058-N1058,0),((S1057)*(1+$C$10)+IF(B1058="Working",I1058,0))),0)</f>
        <v/>
      </c>
      <c r="P1058" s="141">
        <f>IF(B1058="Retired",MIN(MAX(K1058-M1058-N1058-O1058,0),((T1057)*(1+$C$10)+IF(B1058="Working",F89,0))),0)</f>
        <v/>
      </c>
      <c r="Q1058" s="138">
        <f>MAX(((Q1057)*(1+$C$10)+IF(B1058="Working",J1058,0))-M1058,0)</f>
        <v/>
      </c>
      <c r="R1058" s="138">
        <f>MAX(((R1057)*(1+$C$10)+IF(B1058="Working",E89,0))-N1058,0)</f>
        <v/>
      </c>
      <c r="S1058" s="138">
        <f>MAX(((S1057)*(1+$C$10)+IF(B1058="Working",I1058,0))-O1058,0)</f>
        <v/>
      </c>
      <c r="T1058" s="138">
        <f>MAX(((T1057)*(1+$C$10)+IF(B1058="Working",F89,0))-P1058,0)</f>
        <v/>
      </c>
      <c r="U1058" s="138">
        <f>Q1058+R1058+S1058+T1058</f>
        <v/>
      </c>
      <c r="V1058" s="138">
        <f>IF(B1058="Working",MAX(-(((Q1057)*(1+$C$10)+IF(B1058="Working",J1058,0))),0),MAX(K1058-L1058,0))</f>
        <v/>
      </c>
      <c r="W1058" s="138">
        <f>IF(OR(A1058&gt;=$C$13,B1058="Retired"),IF(V1058&gt;0,-V1058,U1058-'Model Inputs'!$B$18),"")</f>
        <v/>
      </c>
      <c r="X1058" s="138">
        <f>IF(AND($L$245&gt;0,A1058&gt;=$C$13),$L$245*(1+$C$25)^(A1058-$C$13),0)</f>
        <v/>
      </c>
      <c r="Y1058" s="138">
        <f>IF(OR($L$245&lt;=0,$C$17&lt;=0,A1058&lt;$C$13,MIN(MAX((A1058-$C$13+1)*12,0),$C$17*12)&gt;=$C$17*12),0,IF($C$16=0,MAX(MAX($L$245*(1-$C$15),0)-(IF($C$17&lt;=0,0,IF($C$16=0,MAX($L$245*(1-$C$15),0)/$C$17,-PMT($C$16/12,$C$17*12,MAX($L$245*(1-$C$15),0))*12))/12)*MIN(MAX((A1058-$C$13+1)*12,0),$C$17*12),0),MAX(MAX($L$245*(1-$C$15),0)*(1+$C$16/12)^MIN(MAX((A1058-$C$13+1)*12,0),$C$17*12)-(IF($C$17&lt;=0,0,IF($C$16=0,MAX($L$245*(1-$C$15),0)/$C$17,-PMT($C$16/12,$C$17*12,MAX($L$245*(1-$C$15),0))*12))/12)*(((1+$C$16/12)^MIN(MAX((A1058-$C$13+1)*12,0),$C$17*12)-1)/($C$16/12)),0)))</f>
        <v/>
      </c>
      <c r="Z1058" s="138">
        <f>MAX(X1058-Y1058,0)</f>
        <v/>
      </c>
      <c r="AA1058" s="142">
        <f>U1058+Z1058</f>
        <v/>
      </c>
      <c r="AB1058" s="5" t="n"/>
      <c r="AC1058" s="5" t="n"/>
      <c r="AD1058" s="5" t="n"/>
      <c r="AE1058" s="5" t="n"/>
      <c r="AF1058" s="5" t="n"/>
      <c r="AG1058" s="5" t="n"/>
    </row>
    <row r="1059" outlineLevel="1" s="326">
      <c r="A1059" s="136" t="n">
        <v>11</v>
      </c>
      <c r="B1059" s="72">
        <f>B90</f>
        <v/>
      </c>
      <c r="C1059" s="137">
        <f>D90</f>
        <v/>
      </c>
      <c r="D1059" s="137">
        <f>I90</f>
        <v/>
      </c>
      <c r="E1059" s="137">
        <f>J90</f>
        <v/>
      </c>
      <c r="F1059" s="137">
        <f>K90</f>
        <v/>
      </c>
      <c r="G1059" s="138">
        <f>IF(AND($L$245&gt;0,A1059=$C$13),$L$245*($C$15+$C$18),0)+IF(AND($L$245&gt;0,A1059=$C$13),$C$24,0)</f>
        <v/>
      </c>
      <c r="H1059" s="138">
        <f>IF(OR($L$245&lt;=0,A1059&lt;$C$13),0,IF(AND($L$245&gt;0,$C$17&gt;0,A1059&gt;=$C$13,A1059&lt;($C$13+$C$17)),IF($C$17&lt;=0,0,IF($C$16=0,MAX($L$245*(1-$C$15),0)/$C$17,-PMT($C$16/12,$C$17*12,MAX($L$245*(1-$C$15),0))*12)),0)+X1059*($C$19+$C$20+$C$21)+$C$22+$C$23)</f>
        <v/>
      </c>
      <c r="I1059" s="138">
        <f>IF(B1059="Working",MIN(MAX(D1059-E1059-F1059-G1059-H1059,0),'Tax Assumptions'!$B$20),0)</f>
        <v/>
      </c>
      <c r="J1059" s="138">
        <f>IF(B1059="Working",D1059-E1059-F1059-I1059-G1059-H1059,-L1059)</f>
        <v/>
      </c>
      <c r="K1059" s="137">
        <f>IF(B1059="Retired",$N$245+G1059+H1059,0)</f>
        <v/>
      </c>
      <c r="L1059" s="137">
        <f>M1059+N1059+O1059+P1059</f>
        <v/>
      </c>
      <c r="M1059" s="137">
        <f>IF(B1059="Retired",MIN(((Q1058)*(1+$C$10)+IF(B1059="Working",J1059,0)),K1059),0)</f>
        <v/>
      </c>
      <c r="N1059" s="137">
        <f>IF(B1059="Retired",MIN(MAX(K1059-M1059,0),((R1058)*(1+$C$10)+IF(B1059="Working",E90,0))),0)</f>
        <v/>
      </c>
      <c r="O1059" s="137">
        <f>IF(B1059="Retired",MIN(MAX(K1059-M1059-N1059,0),((S1058)*(1+$C$10)+IF(B1059="Working",I1059,0))),0)</f>
        <v/>
      </c>
      <c r="P1059" s="137">
        <f>IF(B1059="Retired",MIN(MAX(K1059-M1059-N1059-O1059,0),((T1058)*(1+$C$10)+IF(B1059="Working",F90,0))),0)</f>
        <v/>
      </c>
      <c r="Q1059" s="138">
        <f>MAX(((Q1058)*(1+$C$10)+IF(B1059="Working",J1059,0))-M1059,0)</f>
        <v/>
      </c>
      <c r="R1059" s="138">
        <f>MAX(((R1058)*(1+$C$10)+IF(B1059="Working",E90,0))-N1059,0)</f>
        <v/>
      </c>
      <c r="S1059" s="138">
        <f>MAX(((S1058)*(1+$C$10)+IF(B1059="Working",I1059,0))-O1059,0)</f>
        <v/>
      </c>
      <c r="T1059" s="138">
        <f>MAX(((T1058)*(1+$C$10)+IF(B1059="Working",F90,0))-P1059,0)</f>
        <v/>
      </c>
      <c r="U1059" s="138">
        <f>Q1059+R1059+S1059+T1059</f>
        <v/>
      </c>
      <c r="V1059" s="138">
        <f>IF(B1059="Working",MAX(-(((Q1058)*(1+$C$10)+IF(B1059="Working",J1059,0))),0),MAX(K1059-L1059,0))</f>
        <v/>
      </c>
      <c r="W1059" s="138">
        <f>IF(OR(A1059&gt;=$C$13,B1059="Retired"),IF(V1059&gt;0,-V1059,U1059-'Model Inputs'!$B$18),"")</f>
        <v/>
      </c>
      <c r="X1059" s="138">
        <f>IF(AND($L$245&gt;0,A1059&gt;=$C$13),$L$245*(1+$C$25)^(A1059-$C$13),0)</f>
        <v/>
      </c>
      <c r="Y1059" s="138">
        <f>IF(OR($L$245&lt;=0,$C$17&lt;=0,A1059&lt;$C$13,MIN(MAX((A1059-$C$13+1)*12,0),$C$17*12)&gt;=$C$17*12),0,IF($C$16=0,MAX(MAX($L$245*(1-$C$15),0)-(IF($C$17&lt;=0,0,IF($C$16=0,MAX($L$245*(1-$C$15),0)/$C$17,-PMT($C$16/12,$C$17*12,MAX($L$245*(1-$C$15),0))*12))/12)*MIN(MAX((A1059-$C$13+1)*12,0),$C$17*12),0),MAX(MAX($L$245*(1-$C$15),0)*(1+$C$16/12)^MIN(MAX((A1059-$C$13+1)*12,0),$C$17*12)-(IF($C$17&lt;=0,0,IF($C$16=0,MAX($L$245*(1-$C$15),0)/$C$17,-PMT($C$16/12,$C$17*12,MAX($L$245*(1-$C$15),0))*12))/12)*(((1+$C$16/12)^MIN(MAX((A1059-$C$13+1)*12,0),$C$17*12)-1)/($C$16/12)),0)))</f>
        <v/>
      </c>
      <c r="Z1059" s="138">
        <f>MAX(X1059-Y1059,0)</f>
        <v/>
      </c>
      <c r="AA1059" s="139">
        <f>U1059+Z1059</f>
        <v/>
      </c>
      <c r="AB1059" s="5" t="n"/>
      <c r="AC1059" s="5" t="n"/>
      <c r="AD1059" s="5" t="n"/>
      <c r="AE1059" s="5" t="n"/>
      <c r="AF1059" s="5" t="n"/>
      <c r="AG1059" s="5" t="n"/>
    </row>
    <row r="1060" outlineLevel="1" s="326">
      <c r="A1060" s="140" t="n">
        <v>12</v>
      </c>
      <c r="B1060" s="40">
        <f>B91</f>
        <v/>
      </c>
      <c r="C1060" s="141">
        <f>D91</f>
        <v/>
      </c>
      <c r="D1060" s="141">
        <f>I91</f>
        <v/>
      </c>
      <c r="E1060" s="141">
        <f>J91</f>
        <v/>
      </c>
      <c r="F1060" s="141">
        <f>K91</f>
        <v/>
      </c>
      <c r="G1060" s="138">
        <f>IF(AND($L$245&gt;0,A1060=$C$13),$L$245*($C$15+$C$18),0)+IF(AND($L$245&gt;0,A1060=$C$13),$C$24,0)</f>
        <v/>
      </c>
      <c r="H1060" s="138">
        <f>IF(OR($L$245&lt;=0,A1060&lt;$C$13),0,IF(AND($L$245&gt;0,$C$17&gt;0,A1060&gt;=$C$13,A1060&lt;($C$13+$C$17)),IF($C$17&lt;=0,0,IF($C$16=0,MAX($L$245*(1-$C$15),0)/$C$17,-PMT($C$16/12,$C$17*12,MAX($L$245*(1-$C$15),0))*12)),0)+X1060*($C$19+$C$20+$C$21)+$C$22+$C$23)</f>
        <v/>
      </c>
      <c r="I1060" s="138">
        <f>IF(B1060="Working",MIN(MAX(D1060-E1060-F1060-G1060-H1060,0),'Tax Assumptions'!$B$20),0)</f>
        <v/>
      </c>
      <c r="J1060" s="138">
        <f>IF(B1060="Working",D1060-E1060-F1060-I1060-G1060-H1060,-L1060)</f>
        <v/>
      </c>
      <c r="K1060" s="141">
        <f>IF(B1060="Retired",$N$245+G1060+H1060,0)</f>
        <v/>
      </c>
      <c r="L1060" s="141">
        <f>M1060+N1060+O1060+P1060</f>
        <v/>
      </c>
      <c r="M1060" s="141">
        <f>IF(B1060="Retired",MIN(((Q1059)*(1+$C$10)+IF(B1060="Working",J1060,0)),K1060),0)</f>
        <v/>
      </c>
      <c r="N1060" s="141">
        <f>IF(B1060="Retired",MIN(MAX(K1060-M1060,0),((R1059)*(1+$C$10)+IF(B1060="Working",E91,0))),0)</f>
        <v/>
      </c>
      <c r="O1060" s="141">
        <f>IF(B1060="Retired",MIN(MAX(K1060-M1060-N1060,0),((S1059)*(1+$C$10)+IF(B1060="Working",I1060,0))),0)</f>
        <v/>
      </c>
      <c r="P1060" s="141">
        <f>IF(B1060="Retired",MIN(MAX(K1060-M1060-N1060-O1060,0),((T1059)*(1+$C$10)+IF(B1060="Working",F91,0))),0)</f>
        <v/>
      </c>
      <c r="Q1060" s="138">
        <f>MAX(((Q1059)*(1+$C$10)+IF(B1060="Working",J1060,0))-M1060,0)</f>
        <v/>
      </c>
      <c r="R1060" s="138">
        <f>MAX(((R1059)*(1+$C$10)+IF(B1060="Working",E91,0))-N1060,0)</f>
        <v/>
      </c>
      <c r="S1060" s="138">
        <f>MAX(((S1059)*(1+$C$10)+IF(B1060="Working",I1060,0))-O1060,0)</f>
        <v/>
      </c>
      <c r="T1060" s="138">
        <f>MAX(((T1059)*(1+$C$10)+IF(B1060="Working",F91,0))-P1060,0)</f>
        <v/>
      </c>
      <c r="U1060" s="138">
        <f>Q1060+R1060+S1060+T1060</f>
        <v/>
      </c>
      <c r="V1060" s="138">
        <f>IF(B1060="Working",MAX(-(((Q1059)*(1+$C$10)+IF(B1060="Working",J1060,0))),0),MAX(K1060-L1060,0))</f>
        <v/>
      </c>
      <c r="W1060" s="138">
        <f>IF(OR(A1060&gt;=$C$13,B1060="Retired"),IF(V1060&gt;0,-V1060,U1060-'Model Inputs'!$B$18),"")</f>
        <v/>
      </c>
      <c r="X1060" s="138">
        <f>IF(AND($L$245&gt;0,A1060&gt;=$C$13),$L$245*(1+$C$25)^(A1060-$C$13),0)</f>
        <v/>
      </c>
      <c r="Y1060" s="138">
        <f>IF(OR($L$245&lt;=0,$C$17&lt;=0,A1060&lt;$C$13,MIN(MAX((A1060-$C$13+1)*12,0),$C$17*12)&gt;=$C$17*12),0,IF($C$16=0,MAX(MAX($L$245*(1-$C$15),0)-(IF($C$17&lt;=0,0,IF($C$16=0,MAX($L$245*(1-$C$15),0)/$C$17,-PMT($C$16/12,$C$17*12,MAX($L$245*(1-$C$15),0))*12))/12)*MIN(MAX((A1060-$C$13+1)*12,0),$C$17*12),0),MAX(MAX($L$245*(1-$C$15),0)*(1+$C$16/12)^MIN(MAX((A1060-$C$13+1)*12,0),$C$17*12)-(IF($C$17&lt;=0,0,IF($C$16=0,MAX($L$245*(1-$C$15),0)/$C$17,-PMT($C$16/12,$C$17*12,MAX($L$245*(1-$C$15),0))*12))/12)*(((1+$C$16/12)^MIN(MAX((A1060-$C$13+1)*12,0),$C$17*12)-1)/($C$16/12)),0)))</f>
        <v/>
      </c>
      <c r="Z1060" s="138">
        <f>MAX(X1060-Y1060,0)</f>
        <v/>
      </c>
      <c r="AA1060" s="142">
        <f>U1060+Z1060</f>
        <v/>
      </c>
      <c r="AB1060" s="5" t="n"/>
      <c r="AC1060" s="5" t="n"/>
      <c r="AD1060" s="5" t="n"/>
      <c r="AE1060" s="5" t="n"/>
      <c r="AF1060" s="5" t="n"/>
      <c r="AG1060" s="5" t="n"/>
    </row>
    <row r="1061" outlineLevel="1" s="326">
      <c r="A1061" s="136" t="n">
        <v>13</v>
      </c>
      <c r="B1061" s="72">
        <f>B92</f>
        <v/>
      </c>
      <c r="C1061" s="137">
        <f>D92</f>
        <v/>
      </c>
      <c r="D1061" s="137">
        <f>I92</f>
        <v/>
      </c>
      <c r="E1061" s="137">
        <f>J92</f>
        <v/>
      </c>
      <c r="F1061" s="137">
        <f>K92</f>
        <v/>
      </c>
      <c r="G1061" s="138">
        <f>IF(AND($L$245&gt;0,A1061=$C$13),$L$245*($C$15+$C$18),0)+IF(AND($L$245&gt;0,A1061=$C$13),$C$24,0)</f>
        <v/>
      </c>
      <c r="H1061" s="138">
        <f>IF(OR($L$245&lt;=0,A1061&lt;$C$13),0,IF(AND($L$245&gt;0,$C$17&gt;0,A1061&gt;=$C$13,A1061&lt;($C$13+$C$17)),IF($C$17&lt;=0,0,IF($C$16=0,MAX($L$245*(1-$C$15),0)/$C$17,-PMT($C$16/12,$C$17*12,MAX($L$245*(1-$C$15),0))*12)),0)+X1061*($C$19+$C$20+$C$21)+$C$22+$C$23)</f>
        <v/>
      </c>
      <c r="I1061" s="138">
        <f>IF(B1061="Working",MIN(MAX(D1061-E1061-F1061-G1061-H1061,0),'Tax Assumptions'!$B$20),0)</f>
        <v/>
      </c>
      <c r="J1061" s="138">
        <f>IF(B1061="Working",D1061-E1061-F1061-I1061-G1061-H1061,-L1061)</f>
        <v/>
      </c>
      <c r="K1061" s="137">
        <f>IF(B1061="Retired",$N$245+G1061+H1061,0)</f>
        <v/>
      </c>
      <c r="L1061" s="137">
        <f>M1061+N1061+O1061+P1061</f>
        <v/>
      </c>
      <c r="M1061" s="137">
        <f>IF(B1061="Retired",MIN(((Q1060)*(1+$C$10)+IF(B1061="Working",J1061,0)),K1061),0)</f>
        <v/>
      </c>
      <c r="N1061" s="137">
        <f>IF(B1061="Retired",MIN(MAX(K1061-M1061,0),((R1060)*(1+$C$10)+IF(B1061="Working",E92,0))),0)</f>
        <v/>
      </c>
      <c r="O1061" s="137">
        <f>IF(B1061="Retired",MIN(MAX(K1061-M1061-N1061,0),((S1060)*(1+$C$10)+IF(B1061="Working",I1061,0))),0)</f>
        <v/>
      </c>
      <c r="P1061" s="137">
        <f>IF(B1061="Retired",MIN(MAX(K1061-M1061-N1061-O1061,0),((T1060)*(1+$C$10)+IF(B1061="Working",F92,0))),0)</f>
        <v/>
      </c>
      <c r="Q1061" s="138">
        <f>MAX(((Q1060)*(1+$C$10)+IF(B1061="Working",J1061,0))-M1061,0)</f>
        <v/>
      </c>
      <c r="R1061" s="138">
        <f>MAX(((R1060)*(1+$C$10)+IF(B1061="Working",E92,0))-N1061,0)</f>
        <v/>
      </c>
      <c r="S1061" s="138">
        <f>MAX(((S1060)*(1+$C$10)+IF(B1061="Working",I1061,0))-O1061,0)</f>
        <v/>
      </c>
      <c r="T1061" s="138">
        <f>MAX(((T1060)*(1+$C$10)+IF(B1061="Working",F92,0))-P1061,0)</f>
        <v/>
      </c>
      <c r="U1061" s="138">
        <f>Q1061+R1061+S1061+T1061</f>
        <v/>
      </c>
      <c r="V1061" s="138">
        <f>IF(B1061="Working",MAX(-(((Q1060)*(1+$C$10)+IF(B1061="Working",J1061,0))),0),MAX(K1061-L1061,0))</f>
        <v/>
      </c>
      <c r="W1061" s="138">
        <f>IF(OR(A1061&gt;=$C$13,B1061="Retired"),IF(V1061&gt;0,-V1061,U1061-'Model Inputs'!$B$18),"")</f>
        <v/>
      </c>
      <c r="X1061" s="138">
        <f>IF(AND($L$245&gt;0,A1061&gt;=$C$13),$L$245*(1+$C$25)^(A1061-$C$13),0)</f>
        <v/>
      </c>
      <c r="Y1061" s="138">
        <f>IF(OR($L$245&lt;=0,$C$17&lt;=0,A1061&lt;$C$13,MIN(MAX((A1061-$C$13+1)*12,0),$C$17*12)&gt;=$C$17*12),0,IF($C$16=0,MAX(MAX($L$245*(1-$C$15),0)-(IF($C$17&lt;=0,0,IF($C$16=0,MAX($L$245*(1-$C$15),0)/$C$17,-PMT($C$16/12,$C$17*12,MAX($L$245*(1-$C$15),0))*12))/12)*MIN(MAX((A1061-$C$13+1)*12,0),$C$17*12),0),MAX(MAX($L$245*(1-$C$15),0)*(1+$C$16/12)^MIN(MAX((A1061-$C$13+1)*12,0),$C$17*12)-(IF($C$17&lt;=0,0,IF($C$16=0,MAX($L$245*(1-$C$15),0)/$C$17,-PMT($C$16/12,$C$17*12,MAX($L$245*(1-$C$15),0))*12))/12)*(((1+$C$16/12)^MIN(MAX((A1061-$C$13+1)*12,0),$C$17*12)-1)/($C$16/12)),0)))</f>
        <v/>
      </c>
      <c r="Z1061" s="138">
        <f>MAX(X1061-Y1061,0)</f>
        <v/>
      </c>
      <c r="AA1061" s="139">
        <f>U1061+Z1061</f>
        <v/>
      </c>
      <c r="AB1061" s="5" t="n"/>
      <c r="AC1061" s="5" t="n"/>
      <c r="AD1061" s="5" t="n"/>
      <c r="AE1061" s="5" t="n"/>
      <c r="AF1061" s="5" t="n"/>
      <c r="AG1061" s="5" t="n"/>
    </row>
    <row r="1062" outlineLevel="1" s="326">
      <c r="A1062" s="140" t="n">
        <v>14</v>
      </c>
      <c r="B1062" s="40">
        <f>B93</f>
        <v/>
      </c>
      <c r="C1062" s="141">
        <f>D93</f>
        <v/>
      </c>
      <c r="D1062" s="141">
        <f>I93</f>
        <v/>
      </c>
      <c r="E1062" s="141">
        <f>J93</f>
        <v/>
      </c>
      <c r="F1062" s="141">
        <f>K93</f>
        <v/>
      </c>
      <c r="G1062" s="138">
        <f>IF(AND($L$245&gt;0,A1062=$C$13),$L$245*($C$15+$C$18),0)+IF(AND($L$245&gt;0,A1062=$C$13),$C$24,0)</f>
        <v/>
      </c>
      <c r="H1062" s="138">
        <f>IF(OR($L$245&lt;=0,A1062&lt;$C$13),0,IF(AND($L$245&gt;0,$C$17&gt;0,A1062&gt;=$C$13,A1062&lt;($C$13+$C$17)),IF($C$17&lt;=0,0,IF($C$16=0,MAX($L$245*(1-$C$15),0)/$C$17,-PMT($C$16/12,$C$17*12,MAX($L$245*(1-$C$15),0))*12)),0)+X1062*($C$19+$C$20+$C$21)+$C$22+$C$23)</f>
        <v/>
      </c>
      <c r="I1062" s="138">
        <f>IF(B1062="Working",MIN(MAX(D1062-E1062-F1062-G1062-H1062,0),'Tax Assumptions'!$B$20),0)</f>
        <v/>
      </c>
      <c r="J1062" s="138">
        <f>IF(B1062="Working",D1062-E1062-F1062-I1062-G1062-H1062,-L1062)</f>
        <v/>
      </c>
      <c r="K1062" s="141">
        <f>IF(B1062="Retired",$N$245+G1062+H1062,0)</f>
        <v/>
      </c>
      <c r="L1062" s="141">
        <f>M1062+N1062+O1062+P1062</f>
        <v/>
      </c>
      <c r="M1062" s="141">
        <f>IF(B1062="Retired",MIN(((Q1061)*(1+$C$10)+IF(B1062="Working",J1062,0)),K1062),0)</f>
        <v/>
      </c>
      <c r="N1062" s="141">
        <f>IF(B1062="Retired",MIN(MAX(K1062-M1062,0),((R1061)*(1+$C$10)+IF(B1062="Working",E93,0))),0)</f>
        <v/>
      </c>
      <c r="O1062" s="141">
        <f>IF(B1062="Retired",MIN(MAX(K1062-M1062-N1062,0),((S1061)*(1+$C$10)+IF(B1062="Working",I1062,0))),0)</f>
        <v/>
      </c>
      <c r="P1062" s="141">
        <f>IF(B1062="Retired",MIN(MAX(K1062-M1062-N1062-O1062,0),((T1061)*(1+$C$10)+IF(B1062="Working",F93,0))),0)</f>
        <v/>
      </c>
      <c r="Q1062" s="138">
        <f>MAX(((Q1061)*(1+$C$10)+IF(B1062="Working",J1062,0))-M1062,0)</f>
        <v/>
      </c>
      <c r="R1062" s="138">
        <f>MAX(((R1061)*(1+$C$10)+IF(B1062="Working",E93,0))-N1062,0)</f>
        <v/>
      </c>
      <c r="S1062" s="138">
        <f>MAX(((S1061)*(1+$C$10)+IF(B1062="Working",I1062,0))-O1062,0)</f>
        <v/>
      </c>
      <c r="T1062" s="138">
        <f>MAX(((T1061)*(1+$C$10)+IF(B1062="Working",F93,0))-P1062,0)</f>
        <v/>
      </c>
      <c r="U1062" s="138">
        <f>Q1062+R1062+S1062+T1062</f>
        <v/>
      </c>
      <c r="V1062" s="138">
        <f>IF(B1062="Working",MAX(-(((Q1061)*(1+$C$10)+IF(B1062="Working",J1062,0))),0),MAX(K1062-L1062,0))</f>
        <v/>
      </c>
      <c r="W1062" s="138">
        <f>IF(OR(A1062&gt;=$C$13,B1062="Retired"),IF(V1062&gt;0,-V1062,U1062-'Model Inputs'!$B$18),"")</f>
        <v/>
      </c>
      <c r="X1062" s="138">
        <f>IF(AND($L$245&gt;0,A1062&gt;=$C$13),$L$245*(1+$C$25)^(A1062-$C$13),0)</f>
        <v/>
      </c>
      <c r="Y1062" s="138">
        <f>IF(OR($L$245&lt;=0,$C$17&lt;=0,A1062&lt;$C$13,MIN(MAX((A1062-$C$13+1)*12,0),$C$17*12)&gt;=$C$17*12),0,IF($C$16=0,MAX(MAX($L$245*(1-$C$15),0)-(IF($C$17&lt;=0,0,IF($C$16=0,MAX($L$245*(1-$C$15),0)/$C$17,-PMT($C$16/12,$C$17*12,MAX($L$245*(1-$C$15),0))*12))/12)*MIN(MAX((A1062-$C$13+1)*12,0),$C$17*12),0),MAX(MAX($L$245*(1-$C$15),0)*(1+$C$16/12)^MIN(MAX((A1062-$C$13+1)*12,0),$C$17*12)-(IF($C$17&lt;=0,0,IF($C$16=0,MAX($L$245*(1-$C$15),0)/$C$17,-PMT($C$16/12,$C$17*12,MAX($L$245*(1-$C$15),0))*12))/12)*(((1+$C$16/12)^MIN(MAX((A1062-$C$13+1)*12,0),$C$17*12)-1)/($C$16/12)),0)))</f>
        <v/>
      </c>
      <c r="Z1062" s="138">
        <f>MAX(X1062-Y1062,0)</f>
        <v/>
      </c>
      <c r="AA1062" s="142">
        <f>U1062+Z1062</f>
        <v/>
      </c>
      <c r="AB1062" s="5" t="n"/>
      <c r="AC1062" s="5" t="n"/>
      <c r="AD1062" s="5" t="n"/>
      <c r="AE1062" s="5" t="n"/>
      <c r="AF1062" s="5" t="n"/>
      <c r="AG1062" s="5" t="n"/>
    </row>
    <row r="1063" outlineLevel="1" s="326">
      <c r="A1063" s="136" t="n">
        <v>15</v>
      </c>
      <c r="B1063" s="72">
        <f>B94</f>
        <v/>
      </c>
      <c r="C1063" s="137">
        <f>D94</f>
        <v/>
      </c>
      <c r="D1063" s="137">
        <f>I94</f>
        <v/>
      </c>
      <c r="E1063" s="137">
        <f>J94</f>
        <v/>
      </c>
      <c r="F1063" s="137">
        <f>K94</f>
        <v/>
      </c>
      <c r="G1063" s="138">
        <f>IF(AND($L$245&gt;0,A1063=$C$13),$L$245*($C$15+$C$18),0)+IF(AND($L$245&gt;0,A1063=$C$13),$C$24,0)</f>
        <v/>
      </c>
      <c r="H1063" s="138">
        <f>IF(OR($L$245&lt;=0,A1063&lt;$C$13),0,IF(AND($L$245&gt;0,$C$17&gt;0,A1063&gt;=$C$13,A1063&lt;($C$13+$C$17)),IF($C$17&lt;=0,0,IF($C$16=0,MAX($L$245*(1-$C$15),0)/$C$17,-PMT($C$16/12,$C$17*12,MAX($L$245*(1-$C$15),0))*12)),0)+X1063*($C$19+$C$20+$C$21)+$C$22+$C$23)</f>
        <v/>
      </c>
      <c r="I1063" s="138">
        <f>IF(B1063="Working",MIN(MAX(D1063-E1063-F1063-G1063-H1063,0),'Tax Assumptions'!$B$20),0)</f>
        <v/>
      </c>
      <c r="J1063" s="138">
        <f>IF(B1063="Working",D1063-E1063-F1063-I1063-G1063-H1063,-L1063)</f>
        <v/>
      </c>
      <c r="K1063" s="137">
        <f>IF(B1063="Retired",$N$245+G1063+H1063,0)</f>
        <v/>
      </c>
      <c r="L1063" s="137">
        <f>M1063+N1063+O1063+P1063</f>
        <v/>
      </c>
      <c r="M1063" s="137">
        <f>IF(B1063="Retired",MIN(((Q1062)*(1+$C$10)+IF(B1063="Working",J1063,0)),K1063),0)</f>
        <v/>
      </c>
      <c r="N1063" s="137">
        <f>IF(B1063="Retired",MIN(MAX(K1063-M1063,0),((R1062)*(1+$C$10)+IF(B1063="Working",E94,0))),0)</f>
        <v/>
      </c>
      <c r="O1063" s="137">
        <f>IF(B1063="Retired",MIN(MAX(K1063-M1063-N1063,0),((S1062)*(1+$C$10)+IF(B1063="Working",I1063,0))),0)</f>
        <v/>
      </c>
      <c r="P1063" s="137">
        <f>IF(B1063="Retired",MIN(MAX(K1063-M1063-N1063-O1063,0),((T1062)*(1+$C$10)+IF(B1063="Working",F94,0))),0)</f>
        <v/>
      </c>
      <c r="Q1063" s="138">
        <f>MAX(((Q1062)*(1+$C$10)+IF(B1063="Working",J1063,0))-M1063,0)</f>
        <v/>
      </c>
      <c r="R1063" s="138">
        <f>MAX(((R1062)*(1+$C$10)+IF(B1063="Working",E94,0))-N1063,0)</f>
        <v/>
      </c>
      <c r="S1063" s="138">
        <f>MAX(((S1062)*(1+$C$10)+IF(B1063="Working",I1063,0))-O1063,0)</f>
        <v/>
      </c>
      <c r="T1063" s="138">
        <f>MAX(((T1062)*(1+$C$10)+IF(B1063="Working",F94,0))-P1063,0)</f>
        <v/>
      </c>
      <c r="U1063" s="138">
        <f>Q1063+R1063+S1063+T1063</f>
        <v/>
      </c>
      <c r="V1063" s="138">
        <f>IF(B1063="Working",MAX(-(((Q1062)*(1+$C$10)+IF(B1063="Working",J1063,0))),0),MAX(K1063-L1063,0))</f>
        <v/>
      </c>
      <c r="W1063" s="138">
        <f>IF(OR(A1063&gt;=$C$13,B1063="Retired"),IF(V1063&gt;0,-V1063,U1063-'Model Inputs'!$B$18),"")</f>
        <v/>
      </c>
      <c r="X1063" s="138">
        <f>IF(AND($L$245&gt;0,A1063&gt;=$C$13),$L$245*(1+$C$25)^(A1063-$C$13),0)</f>
        <v/>
      </c>
      <c r="Y1063" s="138">
        <f>IF(OR($L$245&lt;=0,$C$17&lt;=0,A1063&lt;$C$13,MIN(MAX((A1063-$C$13+1)*12,0),$C$17*12)&gt;=$C$17*12),0,IF($C$16=0,MAX(MAX($L$245*(1-$C$15),0)-(IF($C$17&lt;=0,0,IF($C$16=0,MAX($L$245*(1-$C$15),0)/$C$17,-PMT($C$16/12,$C$17*12,MAX($L$245*(1-$C$15),0))*12))/12)*MIN(MAX((A1063-$C$13+1)*12,0),$C$17*12),0),MAX(MAX($L$245*(1-$C$15),0)*(1+$C$16/12)^MIN(MAX((A1063-$C$13+1)*12,0),$C$17*12)-(IF($C$17&lt;=0,0,IF($C$16=0,MAX($L$245*(1-$C$15),0)/$C$17,-PMT($C$16/12,$C$17*12,MAX($L$245*(1-$C$15),0))*12))/12)*(((1+$C$16/12)^MIN(MAX((A1063-$C$13+1)*12,0),$C$17*12)-1)/($C$16/12)),0)))</f>
        <v/>
      </c>
      <c r="Z1063" s="138">
        <f>MAX(X1063-Y1063,0)</f>
        <v/>
      </c>
      <c r="AA1063" s="139">
        <f>U1063+Z1063</f>
        <v/>
      </c>
      <c r="AB1063" s="5" t="n"/>
      <c r="AC1063" s="5" t="n"/>
      <c r="AD1063" s="5" t="n"/>
      <c r="AE1063" s="5" t="n"/>
      <c r="AF1063" s="5" t="n"/>
      <c r="AG1063" s="5" t="n"/>
    </row>
    <row r="1064" outlineLevel="1" s="326">
      <c r="A1064" s="140" t="n">
        <v>16</v>
      </c>
      <c r="B1064" s="40">
        <f>B95</f>
        <v/>
      </c>
      <c r="C1064" s="141">
        <f>D95</f>
        <v/>
      </c>
      <c r="D1064" s="141">
        <f>I95</f>
        <v/>
      </c>
      <c r="E1064" s="141">
        <f>J95</f>
        <v/>
      </c>
      <c r="F1064" s="141">
        <f>K95</f>
        <v/>
      </c>
      <c r="G1064" s="138">
        <f>IF(AND($L$245&gt;0,A1064=$C$13),$L$245*($C$15+$C$18),0)+IF(AND($L$245&gt;0,A1064=$C$13),$C$24,0)</f>
        <v/>
      </c>
      <c r="H1064" s="138">
        <f>IF(OR($L$245&lt;=0,A1064&lt;$C$13),0,IF(AND($L$245&gt;0,$C$17&gt;0,A1064&gt;=$C$13,A1064&lt;($C$13+$C$17)),IF($C$17&lt;=0,0,IF($C$16=0,MAX($L$245*(1-$C$15),0)/$C$17,-PMT($C$16/12,$C$17*12,MAX($L$245*(1-$C$15),0))*12)),0)+X1064*($C$19+$C$20+$C$21)+$C$22+$C$23)</f>
        <v/>
      </c>
      <c r="I1064" s="138">
        <f>IF(B1064="Working",MIN(MAX(D1064-E1064-F1064-G1064-H1064,0),'Tax Assumptions'!$B$20),0)</f>
        <v/>
      </c>
      <c r="J1064" s="138">
        <f>IF(B1064="Working",D1064-E1064-F1064-I1064-G1064-H1064,-L1064)</f>
        <v/>
      </c>
      <c r="K1064" s="141">
        <f>IF(B1064="Retired",$N$245+G1064+H1064,0)</f>
        <v/>
      </c>
      <c r="L1064" s="141">
        <f>M1064+N1064+O1064+P1064</f>
        <v/>
      </c>
      <c r="M1064" s="141">
        <f>IF(B1064="Retired",MIN(((Q1063)*(1+$C$10)+IF(B1064="Working",J1064,0)),K1064),0)</f>
        <v/>
      </c>
      <c r="N1064" s="141">
        <f>IF(B1064="Retired",MIN(MAX(K1064-M1064,0),((R1063)*(1+$C$10)+IF(B1064="Working",E95,0))),0)</f>
        <v/>
      </c>
      <c r="O1064" s="141">
        <f>IF(B1064="Retired",MIN(MAX(K1064-M1064-N1064,0),((S1063)*(1+$C$10)+IF(B1064="Working",I1064,0))),0)</f>
        <v/>
      </c>
      <c r="P1064" s="141">
        <f>IF(B1064="Retired",MIN(MAX(K1064-M1064-N1064-O1064,0),((T1063)*(1+$C$10)+IF(B1064="Working",F95,0))),0)</f>
        <v/>
      </c>
      <c r="Q1064" s="138">
        <f>MAX(((Q1063)*(1+$C$10)+IF(B1064="Working",J1064,0))-M1064,0)</f>
        <v/>
      </c>
      <c r="R1064" s="138">
        <f>MAX(((R1063)*(1+$C$10)+IF(B1064="Working",E95,0))-N1064,0)</f>
        <v/>
      </c>
      <c r="S1064" s="138">
        <f>MAX(((S1063)*(1+$C$10)+IF(B1064="Working",I1064,0))-O1064,0)</f>
        <v/>
      </c>
      <c r="T1064" s="138">
        <f>MAX(((T1063)*(1+$C$10)+IF(B1064="Working",F95,0))-P1064,0)</f>
        <v/>
      </c>
      <c r="U1064" s="138">
        <f>Q1064+R1064+S1064+T1064</f>
        <v/>
      </c>
      <c r="V1064" s="138">
        <f>IF(B1064="Working",MAX(-(((Q1063)*(1+$C$10)+IF(B1064="Working",J1064,0))),0),MAX(K1064-L1064,0))</f>
        <v/>
      </c>
      <c r="W1064" s="138">
        <f>IF(OR(A1064&gt;=$C$13,B1064="Retired"),IF(V1064&gt;0,-V1064,U1064-'Model Inputs'!$B$18),"")</f>
        <v/>
      </c>
      <c r="X1064" s="138">
        <f>IF(AND($L$245&gt;0,A1064&gt;=$C$13),$L$245*(1+$C$25)^(A1064-$C$13),0)</f>
        <v/>
      </c>
      <c r="Y1064" s="138">
        <f>IF(OR($L$245&lt;=0,$C$17&lt;=0,A1064&lt;$C$13,MIN(MAX((A1064-$C$13+1)*12,0),$C$17*12)&gt;=$C$17*12),0,IF($C$16=0,MAX(MAX($L$245*(1-$C$15),0)-(IF($C$17&lt;=0,0,IF($C$16=0,MAX($L$245*(1-$C$15),0)/$C$17,-PMT($C$16/12,$C$17*12,MAX($L$245*(1-$C$15),0))*12))/12)*MIN(MAX((A1064-$C$13+1)*12,0),$C$17*12),0),MAX(MAX($L$245*(1-$C$15),0)*(1+$C$16/12)^MIN(MAX((A1064-$C$13+1)*12,0),$C$17*12)-(IF($C$17&lt;=0,0,IF($C$16=0,MAX($L$245*(1-$C$15),0)/$C$17,-PMT($C$16/12,$C$17*12,MAX($L$245*(1-$C$15),0))*12))/12)*(((1+$C$16/12)^MIN(MAX((A1064-$C$13+1)*12,0),$C$17*12)-1)/($C$16/12)),0)))</f>
        <v/>
      </c>
      <c r="Z1064" s="138">
        <f>MAX(X1064-Y1064,0)</f>
        <v/>
      </c>
      <c r="AA1064" s="142">
        <f>U1064+Z1064</f>
        <v/>
      </c>
      <c r="AB1064" s="5" t="n"/>
      <c r="AC1064" s="5" t="n"/>
      <c r="AD1064" s="5" t="n"/>
      <c r="AE1064" s="5" t="n"/>
      <c r="AF1064" s="5" t="n"/>
      <c r="AG1064" s="5" t="n"/>
    </row>
    <row r="1065" outlineLevel="1" s="326">
      <c r="A1065" s="136" t="n">
        <v>17</v>
      </c>
      <c r="B1065" s="72">
        <f>B96</f>
        <v/>
      </c>
      <c r="C1065" s="137">
        <f>D96</f>
        <v/>
      </c>
      <c r="D1065" s="137">
        <f>I96</f>
        <v/>
      </c>
      <c r="E1065" s="137">
        <f>J96</f>
        <v/>
      </c>
      <c r="F1065" s="137">
        <f>K96</f>
        <v/>
      </c>
      <c r="G1065" s="138">
        <f>IF(AND($L$245&gt;0,A1065=$C$13),$L$245*($C$15+$C$18),0)+IF(AND($L$245&gt;0,A1065=$C$13),$C$24,0)</f>
        <v/>
      </c>
      <c r="H1065" s="138">
        <f>IF(OR($L$245&lt;=0,A1065&lt;$C$13),0,IF(AND($L$245&gt;0,$C$17&gt;0,A1065&gt;=$C$13,A1065&lt;($C$13+$C$17)),IF($C$17&lt;=0,0,IF($C$16=0,MAX($L$245*(1-$C$15),0)/$C$17,-PMT($C$16/12,$C$17*12,MAX($L$245*(1-$C$15),0))*12)),0)+X1065*($C$19+$C$20+$C$21)+$C$22+$C$23)</f>
        <v/>
      </c>
      <c r="I1065" s="138">
        <f>IF(B1065="Working",MIN(MAX(D1065-E1065-F1065-G1065-H1065,0),'Tax Assumptions'!$B$20),0)</f>
        <v/>
      </c>
      <c r="J1065" s="138">
        <f>IF(B1065="Working",D1065-E1065-F1065-I1065-G1065-H1065,-L1065)</f>
        <v/>
      </c>
      <c r="K1065" s="137">
        <f>IF(B1065="Retired",$N$245+G1065+H1065,0)</f>
        <v/>
      </c>
      <c r="L1065" s="137">
        <f>M1065+N1065+O1065+P1065</f>
        <v/>
      </c>
      <c r="M1065" s="137">
        <f>IF(B1065="Retired",MIN(((Q1064)*(1+$C$10)+IF(B1065="Working",J1065,0)),K1065),0)</f>
        <v/>
      </c>
      <c r="N1065" s="137">
        <f>IF(B1065="Retired",MIN(MAX(K1065-M1065,0),((R1064)*(1+$C$10)+IF(B1065="Working",E96,0))),0)</f>
        <v/>
      </c>
      <c r="O1065" s="137">
        <f>IF(B1065="Retired",MIN(MAX(K1065-M1065-N1065,0),((S1064)*(1+$C$10)+IF(B1065="Working",I1065,0))),0)</f>
        <v/>
      </c>
      <c r="P1065" s="137">
        <f>IF(B1065="Retired",MIN(MAX(K1065-M1065-N1065-O1065,0),((T1064)*(1+$C$10)+IF(B1065="Working",F96,0))),0)</f>
        <v/>
      </c>
      <c r="Q1065" s="138">
        <f>MAX(((Q1064)*(1+$C$10)+IF(B1065="Working",J1065,0))-M1065,0)</f>
        <v/>
      </c>
      <c r="R1065" s="138">
        <f>MAX(((R1064)*(1+$C$10)+IF(B1065="Working",E96,0))-N1065,0)</f>
        <v/>
      </c>
      <c r="S1065" s="138">
        <f>MAX(((S1064)*(1+$C$10)+IF(B1065="Working",I1065,0))-O1065,0)</f>
        <v/>
      </c>
      <c r="T1065" s="138">
        <f>MAX(((T1064)*(1+$C$10)+IF(B1065="Working",F96,0))-P1065,0)</f>
        <v/>
      </c>
      <c r="U1065" s="138">
        <f>Q1065+R1065+S1065+T1065</f>
        <v/>
      </c>
      <c r="V1065" s="138">
        <f>IF(B1065="Working",MAX(-(((Q1064)*(1+$C$10)+IF(B1065="Working",J1065,0))),0),MAX(K1065-L1065,0))</f>
        <v/>
      </c>
      <c r="W1065" s="138">
        <f>IF(OR(A1065&gt;=$C$13,B1065="Retired"),IF(V1065&gt;0,-V1065,U1065-'Model Inputs'!$B$18),"")</f>
        <v/>
      </c>
      <c r="X1065" s="138">
        <f>IF(AND($L$245&gt;0,A1065&gt;=$C$13),$L$245*(1+$C$25)^(A1065-$C$13),0)</f>
        <v/>
      </c>
      <c r="Y1065" s="138">
        <f>IF(OR($L$245&lt;=0,$C$17&lt;=0,A1065&lt;$C$13,MIN(MAX((A1065-$C$13+1)*12,0),$C$17*12)&gt;=$C$17*12),0,IF($C$16=0,MAX(MAX($L$245*(1-$C$15),0)-(IF($C$17&lt;=0,0,IF($C$16=0,MAX($L$245*(1-$C$15),0)/$C$17,-PMT($C$16/12,$C$17*12,MAX($L$245*(1-$C$15),0))*12))/12)*MIN(MAX((A1065-$C$13+1)*12,0),$C$17*12),0),MAX(MAX($L$245*(1-$C$15),0)*(1+$C$16/12)^MIN(MAX((A1065-$C$13+1)*12,0),$C$17*12)-(IF($C$17&lt;=0,0,IF($C$16=0,MAX($L$245*(1-$C$15),0)/$C$17,-PMT($C$16/12,$C$17*12,MAX($L$245*(1-$C$15),0))*12))/12)*(((1+$C$16/12)^MIN(MAX((A1065-$C$13+1)*12,0),$C$17*12)-1)/($C$16/12)),0)))</f>
        <v/>
      </c>
      <c r="Z1065" s="138">
        <f>MAX(X1065-Y1065,0)</f>
        <v/>
      </c>
      <c r="AA1065" s="139">
        <f>U1065+Z1065</f>
        <v/>
      </c>
      <c r="AB1065" s="5" t="n"/>
      <c r="AC1065" s="5" t="n"/>
      <c r="AD1065" s="5" t="n"/>
      <c r="AE1065" s="5" t="n"/>
      <c r="AF1065" s="5" t="n"/>
      <c r="AG1065" s="5" t="n"/>
    </row>
    <row r="1066" outlineLevel="1" s="326">
      <c r="A1066" s="140" t="n">
        <v>18</v>
      </c>
      <c r="B1066" s="40">
        <f>B97</f>
        <v/>
      </c>
      <c r="C1066" s="141">
        <f>D97</f>
        <v/>
      </c>
      <c r="D1066" s="141">
        <f>I97</f>
        <v/>
      </c>
      <c r="E1066" s="141">
        <f>J97</f>
        <v/>
      </c>
      <c r="F1066" s="141">
        <f>K97</f>
        <v/>
      </c>
      <c r="G1066" s="138">
        <f>IF(AND($L$245&gt;0,A1066=$C$13),$L$245*($C$15+$C$18),0)+IF(AND($L$245&gt;0,A1066=$C$13),$C$24,0)</f>
        <v/>
      </c>
      <c r="H1066" s="138">
        <f>IF(OR($L$245&lt;=0,A1066&lt;$C$13),0,IF(AND($L$245&gt;0,$C$17&gt;0,A1066&gt;=$C$13,A1066&lt;($C$13+$C$17)),IF($C$17&lt;=0,0,IF($C$16=0,MAX($L$245*(1-$C$15),0)/$C$17,-PMT($C$16/12,$C$17*12,MAX($L$245*(1-$C$15),0))*12)),0)+X1066*($C$19+$C$20+$C$21)+$C$22+$C$23)</f>
        <v/>
      </c>
      <c r="I1066" s="138">
        <f>IF(B1066="Working",MIN(MAX(D1066-E1066-F1066-G1066-H1066,0),'Tax Assumptions'!$B$20),0)</f>
        <v/>
      </c>
      <c r="J1066" s="138">
        <f>IF(B1066="Working",D1066-E1066-F1066-I1066-G1066-H1066,-L1066)</f>
        <v/>
      </c>
      <c r="K1066" s="141">
        <f>IF(B1066="Retired",$N$245+G1066+H1066,0)</f>
        <v/>
      </c>
      <c r="L1066" s="141">
        <f>M1066+N1066+O1066+P1066</f>
        <v/>
      </c>
      <c r="M1066" s="141">
        <f>IF(B1066="Retired",MIN(((Q1065)*(1+$C$10)+IF(B1066="Working",J1066,0)),K1066),0)</f>
        <v/>
      </c>
      <c r="N1066" s="141">
        <f>IF(B1066="Retired",MIN(MAX(K1066-M1066,0),((R1065)*(1+$C$10)+IF(B1066="Working",E97,0))),0)</f>
        <v/>
      </c>
      <c r="O1066" s="141">
        <f>IF(B1066="Retired",MIN(MAX(K1066-M1066-N1066,0),((S1065)*(1+$C$10)+IF(B1066="Working",I1066,0))),0)</f>
        <v/>
      </c>
      <c r="P1066" s="141">
        <f>IF(B1066="Retired",MIN(MAX(K1066-M1066-N1066-O1066,0),((T1065)*(1+$C$10)+IF(B1066="Working",F97,0))),0)</f>
        <v/>
      </c>
      <c r="Q1066" s="138">
        <f>MAX(((Q1065)*(1+$C$10)+IF(B1066="Working",J1066,0))-M1066,0)</f>
        <v/>
      </c>
      <c r="R1066" s="138">
        <f>MAX(((R1065)*(1+$C$10)+IF(B1066="Working",E97,0))-N1066,0)</f>
        <v/>
      </c>
      <c r="S1066" s="138">
        <f>MAX(((S1065)*(1+$C$10)+IF(B1066="Working",I1066,0))-O1066,0)</f>
        <v/>
      </c>
      <c r="T1066" s="138">
        <f>MAX(((T1065)*(1+$C$10)+IF(B1066="Working",F97,0))-P1066,0)</f>
        <v/>
      </c>
      <c r="U1066" s="138">
        <f>Q1066+R1066+S1066+T1066</f>
        <v/>
      </c>
      <c r="V1066" s="138">
        <f>IF(B1066="Working",MAX(-(((Q1065)*(1+$C$10)+IF(B1066="Working",J1066,0))),0),MAX(K1066-L1066,0))</f>
        <v/>
      </c>
      <c r="W1066" s="138">
        <f>IF(OR(A1066&gt;=$C$13,B1066="Retired"),IF(V1066&gt;0,-V1066,U1066-'Model Inputs'!$B$18),"")</f>
        <v/>
      </c>
      <c r="X1066" s="138">
        <f>IF(AND($L$245&gt;0,A1066&gt;=$C$13),$L$245*(1+$C$25)^(A1066-$C$13),0)</f>
        <v/>
      </c>
      <c r="Y1066" s="138">
        <f>IF(OR($L$245&lt;=0,$C$17&lt;=0,A1066&lt;$C$13,MIN(MAX((A1066-$C$13+1)*12,0),$C$17*12)&gt;=$C$17*12),0,IF($C$16=0,MAX(MAX($L$245*(1-$C$15),0)-(IF($C$17&lt;=0,0,IF($C$16=0,MAX($L$245*(1-$C$15),0)/$C$17,-PMT($C$16/12,$C$17*12,MAX($L$245*(1-$C$15),0))*12))/12)*MIN(MAX((A1066-$C$13+1)*12,0),$C$17*12),0),MAX(MAX($L$245*(1-$C$15),0)*(1+$C$16/12)^MIN(MAX((A1066-$C$13+1)*12,0),$C$17*12)-(IF($C$17&lt;=0,0,IF($C$16=0,MAX($L$245*(1-$C$15),0)/$C$17,-PMT($C$16/12,$C$17*12,MAX($L$245*(1-$C$15),0))*12))/12)*(((1+$C$16/12)^MIN(MAX((A1066-$C$13+1)*12,0),$C$17*12)-1)/($C$16/12)),0)))</f>
        <v/>
      </c>
      <c r="Z1066" s="138">
        <f>MAX(X1066-Y1066,0)</f>
        <v/>
      </c>
      <c r="AA1066" s="142">
        <f>U1066+Z1066</f>
        <v/>
      </c>
      <c r="AB1066" s="5" t="n"/>
      <c r="AC1066" s="5" t="n"/>
      <c r="AD1066" s="5" t="n"/>
      <c r="AE1066" s="5" t="n"/>
      <c r="AF1066" s="5" t="n"/>
      <c r="AG1066" s="5" t="n"/>
    </row>
    <row r="1067" outlineLevel="1" s="326">
      <c r="A1067" s="136" t="n">
        <v>19</v>
      </c>
      <c r="B1067" s="72">
        <f>B98</f>
        <v/>
      </c>
      <c r="C1067" s="137">
        <f>D98</f>
        <v/>
      </c>
      <c r="D1067" s="137">
        <f>I98</f>
        <v/>
      </c>
      <c r="E1067" s="137">
        <f>J98</f>
        <v/>
      </c>
      <c r="F1067" s="137">
        <f>K98</f>
        <v/>
      </c>
      <c r="G1067" s="138">
        <f>IF(AND($L$245&gt;0,A1067=$C$13),$L$245*($C$15+$C$18),0)+IF(AND($L$245&gt;0,A1067=$C$13),$C$24,0)</f>
        <v/>
      </c>
      <c r="H1067" s="138">
        <f>IF(OR($L$245&lt;=0,A1067&lt;$C$13),0,IF(AND($L$245&gt;0,$C$17&gt;0,A1067&gt;=$C$13,A1067&lt;($C$13+$C$17)),IF($C$17&lt;=0,0,IF($C$16=0,MAX($L$245*(1-$C$15),0)/$C$17,-PMT($C$16/12,$C$17*12,MAX($L$245*(1-$C$15),0))*12)),0)+X1067*($C$19+$C$20+$C$21)+$C$22+$C$23)</f>
        <v/>
      </c>
      <c r="I1067" s="138">
        <f>IF(B1067="Working",MIN(MAX(D1067-E1067-F1067-G1067-H1067,0),'Tax Assumptions'!$B$20),0)</f>
        <v/>
      </c>
      <c r="J1067" s="138">
        <f>IF(B1067="Working",D1067-E1067-F1067-I1067-G1067-H1067,-L1067)</f>
        <v/>
      </c>
      <c r="K1067" s="137">
        <f>IF(B1067="Retired",$N$245+G1067+H1067,0)</f>
        <v/>
      </c>
      <c r="L1067" s="137">
        <f>M1067+N1067+O1067+P1067</f>
        <v/>
      </c>
      <c r="M1067" s="137">
        <f>IF(B1067="Retired",MIN(((Q1066)*(1+$C$10)+IF(B1067="Working",J1067,0)),K1067),0)</f>
        <v/>
      </c>
      <c r="N1067" s="137">
        <f>IF(B1067="Retired",MIN(MAX(K1067-M1067,0),((R1066)*(1+$C$10)+IF(B1067="Working",E98,0))),0)</f>
        <v/>
      </c>
      <c r="O1067" s="137">
        <f>IF(B1067="Retired",MIN(MAX(K1067-M1067-N1067,0),((S1066)*(1+$C$10)+IF(B1067="Working",I1067,0))),0)</f>
        <v/>
      </c>
      <c r="P1067" s="137">
        <f>IF(B1067="Retired",MIN(MAX(K1067-M1067-N1067-O1067,0),((T1066)*(1+$C$10)+IF(B1067="Working",F98,0))),0)</f>
        <v/>
      </c>
      <c r="Q1067" s="138">
        <f>MAX(((Q1066)*(1+$C$10)+IF(B1067="Working",J1067,0))-M1067,0)</f>
        <v/>
      </c>
      <c r="R1067" s="138">
        <f>MAX(((R1066)*(1+$C$10)+IF(B1067="Working",E98,0))-N1067,0)</f>
        <v/>
      </c>
      <c r="S1067" s="138">
        <f>MAX(((S1066)*(1+$C$10)+IF(B1067="Working",I1067,0))-O1067,0)</f>
        <v/>
      </c>
      <c r="T1067" s="138">
        <f>MAX(((T1066)*(1+$C$10)+IF(B1067="Working",F98,0))-P1067,0)</f>
        <v/>
      </c>
      <c r="U1067" s="138">
        <f>Q1067+R1067+S1067+T1067</f>
        <v/>
      </c>
      <c r="V1067" s="138">
        <f>IF(B1067="Working",MAX(-(((Q1066)*(1+$C$10)+IF(B1067="Working",J1067,0))),0),MAX(K1067-L1067,0))</f>
        <v/>
      </c>
      <c r="W1067" s="138">
        <f>IF(OR(A1067&gt;=$C$13,B1067="Retired"),IF(V1067&gt;0,-V1067,U1067-'Model Inputs'!$B$18),"")</f>
        <v/>
      </c>
      <c r="X1067" s="138">
        <f>IF(AND($L$245&gt;0,A1067&gt;=$C$13),$L$245*(1+$C$25)^(A1067-$C$13),0)</f>
        <v/>
      </c>
      <c r="Y1067" s="138">
        <f>IF(OR($L$245&lt;=0,$C$17&lt;=0,A1067&lt;$C$13,MIN(MAX((A1067-$C$13+1)*12,0),$C$17*12)&gt;=$C$17*12),0,IF($C$16=0,MAX(MAX($L$245*(1-$C$15),0)-(IF($C$17&lt;=0,0,IF($C$16=0,MAX($L$245*(1-$C$15),0)/$C$17,-PMT($C$16/12,$C$17*12,MAX($L$245*(1-$C$15),0))*12))/12)*MIN(MAX((A1067-$C$13+1)*12,0),$C$17*12),0),MAX(MAX($L$245*(1-$C$15),0)*(1+$C$16/12)^MIN(MAX((A1067-$C$13+1)*12,0),$C$17*12)-(IF($C$17&lt;=0,0,IF($C$16=0,MAX($L$245*(1-$C$15),0)/$C$17,-PMT($C$16/12,$C$17*12,MAX($L$245*(1-$C$15),0))*12))/12)*(((1+$C$16/12)^MIN(MAX((A1067-$C$13+1)*12,0),$C$17*12)-1)/($C$16/12)),0)))</f>
        <v/>
      </c>
      <c r="Z1067" s="138">
        <f>MAX(X1067-Y1067,0)</f>
        <v/>
      </c>
      <c r="AA1067" s="139">
        <f>U1067+Z1067</f>
        <v/>
      </c>
      <c r="AB1067" s="5" t="n"/>
      <c r="AC1067" s="5" t="n"/>
      <c r="AD1067" s="5" t="n"/>
      <c r="AE1067" s="5" t="n"/>
      <c r="AF1067" s="5" t="n"/>
      <c r="AG1067" s="5" t="n"/>
    </row>
    <row r="1068" outlineLevel="1" s="326">
      <c r="A1068" s="140" t="n">
        <v>20</v>
      </c>
      <c r="B1068" s="40">
        <f>B99</f>
        <v/>
      </c>
      <c r="C1068" s="141">
        <f>D99</f>
        <v/>
      </c>
      <c r="D1068" s="141">
        <f>I99</f>
        <v/>
      </c>
      <c r="E1068" s="141">
        <f>J99</f>
        <v/>
      </c>
      <c r="F1068" s="141">
        <f>K99</f>
        <v/>
      </c>
      <c r="G1068" s="138">
        <f>IF(AND($L$245&gt;0,A1068=$C$13),$L$245*($C$15+$C$18),0)+IF(AND($L$245&gt;0,A1068=$C$13),$C$24,0)</f>
        <v/>
      </c>
      <c r="H1068" s="138">
        <f>IF(OR($L$245&lt;=0,A1068&lt;$C$13),0,IF(AND($L$245&gt;0,$C$17&gt;0,A1068&gt;=$C$13,A1068&lt;($C$13+$C$17)),IF($C$17&lt;=0,0,IF($C$16=0,MAX($L$245*(1-$C$15),0)/$C$17,-PMT($C$16/12,$C$17*12,MAX($L$245*(1-$C$15),0))*12)),0)+X1068*($C$19+$C$20+$C$21)+$C$22+$C$23)</f>
        <v/>
      </c>
      <c r="I1068" s="138">
        <f>IF(B1068="Working",MIN(MAX(D1068-E1068-F1068-G1068-H1068,0),'Tax Assumptions'!$B$20),0)</f>
        <v/>
      </c>
      <c r="J1068" s="138">
        <f>IF(B1068="Working",D1068-E1068-F1068-I1068-G1068-H1068,-L1068)</f>
        <v/>
      </c>
      <c r="K1068" s="141">
        <f>IF(B1068="Retired",$N$245+G1068+H1068,0)</f>
        <v/>
      </c>
      <c r="L1068" s="141">
        <f>M1068+N1068+O1068+P1068</f>
        <v/>
      </c>
      <c r="M1068" s="141">
        <f>IF(B1068="Retired",MIN(((Q1067)*(1+$C$10)+IF(B1068="Working",J1068,0)),K1068),0)</f>
        <v/>
      </c>
      <c r="N1068" s="141">
        <f>IF(B1068="Retired",MIN(MAX(K1068-M1068,0),((R1067)*(1+$C$10)+IF(B1068="Working",E99,0))),0)</f>
        <v/>
      </c>
      <c r="O1068" s="141">
        <f>IF(B1068="Retired",MIN(MAX(K1068-M1068-N1068,0),((S1067)*(1+$C$10)+IF(B1068="Working",I1068,0))),0)</f>
        <v/>
      </c>
      <c r="P1068" s="141">
        <f>IF(B1068="Retired",MIN(MAX(K1068-M1068-N1068-O1068,0),((T1067)*(1+$C$10)+IF(B1068="Working",F99,0))),0)</f>
        <v/>
      </c>
      <c r="Q1068" s="138">
        <f>MAX(((Q1067)*(1+$C$10)+IF(B1068="Working",J1068,0))-M1068,0)</f>
        <v/>
      </c>
      <c r="R1068" s="138">
        <f>MAX(((R1067)*(1+$C$10)+IF(B1068="Working",E99,0))-N1068,0)</f>
        <v/>
      </c>
      <c r="S1068" s="138">
        <f>MAX(((S1067)*(1+$C$10)+IF(B1068="Working",I1068,0))-O1068,0)</f>
        <v/>
      </c>
      <c r="T1068" s="138">
        <f>MAX(((T1067)*(1+$C$10)+IF(B1068="Working",F99,0))-P1068,0)</f>
        <v/>
      </c>
      <c r="U1068" s="138">
        <f>Q1068+R1068+S1068+T1068</f>
        <v/>
      </c>
      <c r="V1068" s="138">
        <f>IF(B1068="Working",MAX(-(((Q1067)*(1+$C$10)+IF(B1068="Working",J1068,0))),0),MAX(K1068-L1068,0))</f>
        <v/>
      </c>
      <c r="W1068" s="138">
        <f>IF(OR(A1068&gt;=$C$13,B1068="Retired"),IF(V1068&gt;0,-V1068,U1068-'Model Inputs'!$B$18),"")</f>
        <v/>
      </c>
      <c r="X1068" s="138">
        <f>IF(AND($L$245&gt;0,A1068&gt;=$C$13),$L$245*(1+$C$25)^(A1068-$C$13),0)</f>
        <v/>
      </c>
      <c r="Y1068" s="138">
        <f>IF(OR($L$245&lt;=0,$C$17&lt;=0,A1068&lt;$C$13,MIN(MAX((A1068-$C$13+1)*12,0),$C$17*12)&gt;=$C$17*12),0,IF($C$16=0,MAX(MAX($L$245*(1-$C$15),0)-(IF($C$17&lt;=0,0,IF($C$16=0,MAX($L$245*(1-$C$15),0)/$C$17,-PMT($C$16/12,$C$17*12,MAX($L$245*(1-$C$15),0))*12))/12)*MIN(MAX((A1068-$C$13+1)*12,0),$C$17*12),0),MAX(MAX($L$245*(1-$C$15),0)*(1+$C$16/12)^MIN(MAX((A1068-$C$13+1)*12,0),$C$17*12)-(IF($C$17&lt;=0,0,IF($C$16=0,MAX($L$245*(1-$C$15),0)/$C$17,-PMT($C$16/12,$C$17*12,MAX($L$245*(1-$C$15),0))*12))/12)*(((1+$C$16/12)^MIN(MAX((A1068-$C$13+1)*12,0),$C$17*12)-1)/($C$16/12)),0)))</f>
        <v/>
      </c>
      <c r="Z1068" s="138">
        <f>MAX(X1068-Y1068,0)</f>
        <v/>
      </c>
      <c r="AA1068" s="142">
        <f>U1068+Z1068</f>
        <v/>
      </c>
      <c r="AB1068" s="5" t="n"/>
      <c r="AC1068" s="5" t="n"/>
      <c r="AD1068" s="5" t="n"/>
      <c r="AE1068" s="5" t="n"/>
      <c r="AF1068" s="5" t="n"/>
      <c r="AG1068" s="5" t="n"/>
    </row>
    <row r="1069" outlineLevel="1" s="326">
      <c r="A1069" s="136" t="n">
        <v>21</v>
      </c>
      <c r="B1069" s="72">
        <f>B100</f>
        <v/>
      </c>
      <c r="C1069" s="137">
        <f>D100</f>
        <v/>
      </c>
      <c r="D1069" s="137">
        <f>I100</f>
        <v/>
      </c>
      <c r="E1069" s="137">
        <f>J100</f>
        <v/>
      </c>
      <c r="F1069" s="137">
        <f>K100</f>
        <v/>
      </c>
      <c r="G1069" s="138">
        <f>IF(AND($L$245&gt;0,A1069=$C$13),$L$245*($C$15+$C$18),0)+IF(AND($L$245&gt;0,A1069=$C$13),$C$24,0)</f>
        <v/>
      </c>
      <c r="H1069" s="138">
        <f>IF(OR($L$245&lt;=0,A1069&lt;$C$13),0,IF(AND($L$245&gt;0,$C$17&gt;0,A1069&gt;=$C$13,A1069&lt;($C$13+$C$17)),IF($C$17&lt;=0,0,IF($C$16=0,MAX($L$245*(1-$C$15),0)/$C$17,-PMT($C$16/12,$C$17*12,MAX($L$245*(1-$C$15),0))*12)),0)+X1069*($C$19+$C$20+$C$21)+$C$22+$C$23)</f>
        <v/>
      </c>
      <c r="I1069" s="138">
        <f>IF(B1069="Working",MIN(MAX(D1069-E1069-F1069-G1069-H1069,0),'Tax Assumptions'!$B$20),0)</f>
        <v/>
      </c>
      <c r="J1069" s="138">
        <f>IF(B1069="Working",D1069-E1069-F1069-I1069-G1069-H1069,-L1069)</f>
        <v/>
      </c>
      <c r="K1069" s="137">
        <f>IF(B1069="Retired",$N$245+G1069+H1069,0)</f>
        <v/>
      </c>
      <c r="L1069" s="137">
        <f>M1069+N1069+O1069+P1069</f>
        <v/>
      </c>
      <c r="M1069" s="137">
        <f>IF(B1069="Retired",MIN(((Q1068)*(1+$C$10)+IF(B1069="Working",J1069,0)),K1069),0)</f>
        <v/>
      </c>
      <c r="N1069" s="137">
        <f>IF(B1069="Retired",MIN(MAX(K1069-M1069,0),((R1068)*(1+$C$10)+IF(B1069="Working",E100,0))),0)</f>
        <v/>
      </c>
      <c r="O1069" s="137">
        <f>IF(B1069="Retired",MIN(MAX(K1069-M1069-N1069,0),((S1068)*(1+$C$10)+IF(B1069="Working",I1069,0))),0)</f>
        <v/>
      </c>
      <c r="P1069" s="137">
        <f>IF(B1069="Retired",MIN(MAX(K1069-M1069-N1069-O1069,0),((T1068)*(1+$C$10)+IF(B1069="Working",F100,0))),0)</f>
        <v/>
      </c>
      <c r="Q1069" s="138">
        <f>MAX(((Q1068)*(1+$C$10)+IF(B1069="Working",J1069,0))-M1069,0)</f>
        <v/>
      </c>
      <c r="R1069" s="138">
        <f>MAX(((R1068)*(1+$C$10)+IF(B1069="Working",E100,0))-N1069,0)</f>
        <v/>
      </c>
      <c r="S1069" s="138">
        <f>MAX(((S1068)*(1+$C$10)+IF(B1069="Working",I1069,0))-O1069,0)</f>
        <v/>
      </c>
      <c r="T1069" s="138">
        <f>MAX(((T1068)*(1+$C$10)+IF(B1069="Working",F100,0))-P1069,0)</f>
        <v/>
      </c>
      <c r="U1069" s="138">
        <f>Q1069+R1069+S1069+T1069</f>
        <v/>
      </c>
      <c r="V1069" s="138">
        <f>IF(B1069="Working",MAX(-(((Q1068)*(1+$C$10)+IF(B1069="Working",J1069,0))),0),MAX(K1069-L1069,0))</f>
        <v/>
      </c>
      <c r="W1069" s="138">
        <f>IF(OR(A1069&gt;=$C$13,B1069="Retired"),IF(V1069&gt;0,-V1069,U1069-'Model Inputs'!$B$18),"")</f>
        <v/>
      </c>
      <c r="X1069" s="138">
        <f>IF(AND($L$245&gt;0,A1069&gt;=$C$13),$L$245*(1+$C$25)^(A1069-$C$13),0)</f>
        <v/>
      </c>
      <c r="Y1069" s="138">
        <f>IF(OR($L$245&lt;=0,$C$17&lt;=0,A1069&lt;$C$13,MIN(MAX((A1069-$C$13+1)*12,0),$C$17*12)&gt;=$C$17*12),0,IF($C$16=0,MAX(MAX($L$245*(1-$C$15),0)-(IF($C$17&lt;=0,0,IF($C$16=0,MAX($L$245*(1-$C$15),0)/$C$17,-PMT($C$16/12,$C$17*12,MAX($L$245*(1-$C$15),0))*12))/12)*MIN(MAX((A1069-$C$13+1)*12,0),$C$17*12),0),MAX(MAX($L$245*(1-$C$15),0)*(1+$C$16/12)^MIN(MAX((A1069-$C$13+1)*12,0),$C$17*12)-(IF($C$17&lt;=0,0,IF($C$16=0,MAX($L$245*(1-$C$15),0)/$C$17,-PMT($C$16/12,$C$17*12,MAX($L$245*(1-$C$15),0))*12))/12)*(((1+$C$16/12)^MIN(MAX((A1069-$C$13+1)*12,0),$C$17*12)-1)/($C$16/12)),0)))</f>
        <v/>
      </c>
      <c r="Z1069" s="138">
        <f>MAX(X1069-Y1069,0)</f>
        <v/>
      </c>
      <c r="AA1069" s="139">
        <f>U1069+Z1069</f>
        <v/>
      </c>
      <c r="AB1069" s="5" t="n"/>
      <c r="AC1069" s="5" t="n"/>
      <c r="AD1069" s="5" t="n"/>
      <c r="AE1069" s="5" t="n"/>
      <c r="AF1069" s="5" t="n"/>
      <c r="AG1069" s="5" t="n"/>
    </row>
    <row r="1070" outlineLevel="1" s="326">
      <c r="A1070" s="140" t="n">
        <v>22</v>
      </c>
      <c r="B1070" s="40">
        <f>B101</f>
        <v/>
      </c>
      <c r="C1070" s="141">
        <f>D101</f>
        <v/>
      </c>
      <c r="D1070" s="141">
        <f>I101</f>
        <v/>
      </c>
      <c r="E1070" s="141">
        <f>J101</f>
        <v/>
      </c>
      <c r="F1070" s="141">
        <f>K101</f>
        <v/>
      </c>
      <c r="G1070" s="138">
        <f>IF(AND($L$245&gt;0,A1070=$C$13),$L$245*($C$15+$C$18),0)+IF(AND($L$245&gt;0,A1070=$C$13),$C$24,0)</f>
        <v/>
      </c>
      <c r="H1070" s="138">
        <f>IF(OR($L$245&lt;=0,A1070&lt;$C$13),0,IF(AND($L$245&gt;0,$C$17&gt;0,A1070&gt;=$C$13,A1070&lt;($C$13+$C$17)),IF($C$17&lt;=0,0,IF($C$16=0,MAX($L$245*(1-$C$15),0)/$C$17,-PMT($C$16/12,$C$17*12,MAX($L$245*(1-$C$15),0))*12)),0)+X1070*($C$19+$C$20+$C$21)+$C$22+$C$23)</f>
        <v/>
      </c>
      <c r="I1070" s="138">
        <f>IF(B1070="Working",MIN(MAX(D1070-E1070-F1070-G1070-H1070,0),'Tax Assumptions'!$B$20),0)</f>
        <v/>
      </c>
      <c r="J1070" s="138">
        <f>IF(B1070="Working",D1070-E1070-F1070-I1070-G1070-H1070,-L1070)</f>
        <v/>
      </c>
      <c r="K1070" s="141">
        <f>IF(B1070="Retired",$N$245+G1070+H1070,0)</f>
        <v/>
      </c>
      <c r="L1070" s="141">
        <f>M1070+N1070+O1070+P1070</f>
        <v/>
      </c>
      <c r="M1070" s="141">
        <f>IF(B1070="Retired",MIN(((Q1069)*(1+$C$10)+IF(B1070="Working",J1070,0)),K1070),0)</f>
        <v/>
      </c>
      <c r="N1070" s="141">
        <f>IF(B1070="Retired",MIN(MAX(K1070-M1070,0),((R1069)*(1+$C$10)+IF(B1070="Working",E101,0))),0)</f>
        <v/>
      </c>
      <c r="O1070" s="141">
        <f>IF(B1070="Retired",MIN(MAX(K1070-M1070-N1070,0),((S1069)*(1+$C$10)+IF(B1070="Working",I1070,0))),0)</f>
        <v/>
      </c>
      <c r="P1070" s="141">
        <f>IF(B1070="Retired",MIN(MAX(K1070-M1070-N1070-O1070,0),((T1069)*(1+$C$10)+IF(B1070="Working",F101,0))),0)</f>
        <v/>
      </c>
      <c r="Q1070" s="138">
        <f>MAX(((Q1069)*(1+$C$10)+IF(B1070="Working",J1070,0))-M1070,0)</f>
        <v/>
      </c>
      <c r="R1070" s="138">
        <f>MAX(((R1069)*(1+$C$10)+IF(B1070="Working",E101,0))-N1070,0)</f>
        <v/>
      </c>
      <c r="S1070" s="138">
        <f>MAX(((S1069)*(1+$C$10)+IF(B1070="Working",I1070,0))-O1070,0)</f>
        <v/>
      </c>
      <c r="T1070" s="138">
        <f>MAX(((T1069)*(1+$C$10)+IF(B1070="Working",F101,0))-P1070,0)</f>
        <v/>
      </c>
      <c r="U1070" s="138">
        <f>Q1070+R1070+S1070+T1070</f>
        <v/>
      </c>
      <c r="V1070" s="138">
        <f>IF(B1070="Working",MAX(-(((Q1069)*(1+$C$10)+IF(B1070="Working",J1070,0))),0),MAX(K1070-L1070,0))</f>
        <v/>
      </c>
      <c r="W1070" s="138">
        <f>IF(OR(A1070&gt;=$C$13,B1070="Retired"),IF(V1070&gt;0,-V1070,U1070-'Model Inputs'!$B$18),"")</f>
        <v/>
      </c>
      <c r="X1070" s="138">
        <f>IF(AND($L$245&gt;0,A1070&gt;=$C$13),$L$245*(1+$C$25)^(A1070-$C$13),0)</f>
        <v/>
      </c>
      <c r="Y1070" s="138">
        <f>IF(OR($L$245&lt;=0,$C$17&lt;=0,A1070&lt;$C$13,MIN(MAX((A1070-$C$13+1)*12,0),$C$17*12)&gt;=$C$17*12),0,IF($C$16=0,MAX(MAX($L$245*(1-$C$15),0)-(IF($C$17&lt;=0,0,IF($C$16=0,MAX($L$245*(1-$C$15),0)/$C$17,-PMT($C$16/12,$C$17*12,MAX($L$245*(1-$C$15),0))*12))/12)*MIN(MAX((A1070-$C$13+1)*12,0),$C$17*12),0),MAX(MAX($L$245*(1-$C$15),0)*(1+$C$16/12)^MIN(MAX((A1070-$C$13+1)*12,0),$C$17*12)-(IF($C$17&lt;=0,0,IF($C$16=0,MAX($L$245*(1-$C$15),0)/$C$17,-PMT($C$16/12,$C$17*12,MAX($L$245*(1-$C$15),0))*12))/12)*(((1+$C$16/12)^MIN(MAX((A1070-$C$13+1)*12,0),$C$17*12)-1)/($C$16/12)),0)))</f>
        <v/>
      </c>
      <c r="Z1070" s="138">
        <f>MAX(X1070-Y1070,0)</f>
        <v/>
      </c>
      <c r="AA1070" s="142">
        <f>U1070+Z1070</f>
        <v/>
      </c>
      <c r="AB1070" s="5" t="n"/>
      <c r="AC1070" s="5" t="n"/>
      <c r="AD1070" s="5" t="n"/>
      <c r="AE1070" s="5" t="n"/>
      <c r="AF1070" s="5" t="n"/>
      <c r="AG1070" s="5" t="n"/>
    </row>
    <row r="1071" outlineLevel="1" s="326">
      <c r="A1071" s="136" t="n">
        <v>23</v>
      </c>
      <c r="B1071" s="72">
        <f>B102</f>
        <v/>
      </c>
      <c r="C1071" s="137">
        <f>D102</f>
        <v/>
      </c>
      <c r="D1071" s="137">
        <f>I102</f>
        <v/>
      </c>
      <c r="E1071" s="137">
        <f>J102</f>
        <v/>
      </c>
      <c r="F1071" s="137">
        <f>K102</f>
        <v/>
      </c>
      <c r="G1071" s="138">
        <f>IF(AND($L$245&gt;0,A1071=$C$13),$L$245*($C$15+$C$18),0)+IF(AND($L$245&gt;0,A1071=$C$13),$C$24,0)</f>
        <v/>
      </c>
      <c r="H1071" s="138">
        <f>IF(OR($L$245&lt;=0,A1071&lt;$C$13),0,IF(AND($L$245&gt;0,$C$17&gt;0,A1071&gt;=$C$13,A1071&lt;($C$13+$C$17)),IF($C$17&lt;=0,0,IF($C$16=0,MAX($L$245*(1-$C$15),0)/$C$17,-PMT($C$16/12,$C$17*12,MAX($L$245*(1-$C$15),0))*12)),0)+X1071*($C$19+$C$20+$C$21)+$C$22+$C$23)</f>
        <v/>
      </c>
      <c r="I1071" s="138">
        <f>IF(B1071="Working",MIN(MAX(D1071-E1071-F1071-G1071-H1071,0),'Tax Assumptions'!$B$20),0)</f>
        <v/>
      </c>
      <c r="J1071" s="138">
        <f>IF(B1071="Working",D1071-E1071-F1071-I1071-G1071-H1071,-L1071)</f>
        <v/>
      </c>
      <c r="K1071" s="137">
        <f>IF(B1071="Retired",$N$245+G1071+H1071,0)</f>
        <v/>
      </c>
      <c r="L1071" s="137">
        <f>M1071+N1071+O1071+P1071</f>
        <v/>
      </c>
      <c r="M1071" s="137">
        <f>IF(B1071="Retired",MIN(((Q1070)*(1+$C$10)+IF(B1071="Working",J1071,0)),K1071),0)</f>
        <v/>
      </c>
      <c r="N1071" s="137">
        <f>IF(B1071="Retired",MIN(MAX(K1071-M1071,0),((R1070)*(1+$C$10)+IF(B1071="Working",E102,0))),0)</f>
        <v/>
      </c>
      <c r="O1071" s="137">
        <f>IF(B1071="Retired",MIN(MAX(K1071-M1071-N1071,0),((S1070)*(1+$C$10)+IF(B1071="Working",I1071,0))),0)</f>
        <v/>
      </c>
      <c r="P1071" s="137">
        <f>IF(B1071="Retired",MIN(MAX(K1071-M1071-N1071-O1071,0),((T1070)*(1+$C$10)+IF(B1071="Working",F102,0))),0)</f>
        <v/>
      </c>
      <c r="Q1071" s="138">
        <f>MAX(((Q1070)*(1+$C$10)+IF(B1071="Working",J1071,0))-M1071,0)</f>
        <v/>
      </c>
      <c r="R1071" s="138">
        <f>MAX(((R1070)*(1+$C$10)+IF(B1071="Working",E102,0))-N1071,0)</f>
        <v/>
      </c>
      <c r="S1071" s="138">
        <f>MAX(((S1070)*(1+$C$10)+IF(B1071="Working",I1071,0))-O1071,0)</f>
        <v/>
      </c>
      <c r="T1071" s="138">
        <f>MAX(((T1070)*(1+$C$10)+IF(B1071="Working",F102,0))-P1071,0)</f>
        <v/>
      </c>
      <c r="U1071" s="138">
        <f>Q1071+R1071+S1071+T1071</f>
        <v/>
      </c>
      <c r="V1071" s="138">
        <f>IF(B1071="Working",MAX(-(((Q1070)*(1+$C$10)+IF(B1071="Working",J1071,0))),0),MAX(K1071-L1071,0))</f>
        <v/>
      </c>
      <c r="W1071" s="138">
        <f>IF(OR(A1071&gt;=$C$13,B1071="Retired"),IF(V1071&gt;0,-V1071,U1071-'Model Inputs'!$B$18),"")</f>
        <v/>
      </c>
      <c r="X1071" s="138">
        <f>IF(AND($L$245&gt;0,A1071&gt;=$C$13),$L$245*(1+$C$25)^(A1071-$C$13),0)</f>
        <v/>
      </c>
      <c r="Y1071" s="138">
        <f>IF(OR($L$245&lt;=0,$C$17&lt;=0,A1071&lt;$C$13,MIN(MAX((A1071-$C$13+1)*12,0),$C$17*12)&gt;=$C$17*12),0,IF($C$16=0,MAX(MAX($L$245*(1-$C$15),0)-(IF($C$17&lt;=0,0,IF($C$16=0,MAX($L$245*(1-$C$15),0)/$C$17,-PMT($C$16/12,$C$17*12,MAX($L$245*(1-$C$15),0))*12))/12)*MIN(MAX((A1071-$C$13+1)*12,0),$C$17*12),0),MAX(MAX($L$245*(1-$C$15),0)*(1+$C$16/12)^MIN(MAX((A1071-$C$13+1)*12,0),$C$17*12)-(IF($C$17&lt;=0,0,IF($C$16=0,MAX($L$245*(1-$C$15),0)/$C$17,-PMT($C$16/12,$C$17*12,MAX($L$245*(1-$C$15),0))*12))/12)*(((1+$C$16/12)^MIN(MAX((A1071-$C$13+1)*12,0),$C$17*12)-1)/($C$16/12)),0)))</f>
        <v/>
      </c>
      <c r="Z1071" s="138">
        <f>MAX(X1071-Y1071,0)</f>
        <v/>
      </c>
      <c r="AA1071" s="139">
        <f>U1071+Z1071</f>
        <v/>
      </c>
      <c r="AB1071" s="5" t="n"/>
      <c r="AC1071" s="5" t="n"/>
      <c r="AD1071" s="5" t="n"/>
      <c r="AE1071" s="5" t="n"/>
      <c r="AF1071" s="5" t="n"/>
      <c r="AG1071" s="5" t="n"/>
    </row>
    <row r="1072" outlineLevel="1" s="326">
      <c r="A1072" s="140" t="n">
        <v>24</v>
      </c>
      <c r="B1072" s="40">
        <f>B103</f>
        <v/>
      </c>
      <c r="C1072" s="141">
        <f>D103</f>
        <v/>
      </c>
      <c r="D1072" s="141">
        <f>I103</f>
        <v/>
      </c>
      <c r="E1072" s="141">
        <f>J103</f>
        <v/>
      </c>
      <c r="F1072" s="141">
        <f>K103</f>
        <v/>
      </c>
      <c r="G1072" s="138">
        <f>IF(AND($L$245&gt;0,A1072=$C$13),$L$245*($C$15+$C$18),0)+IF(AND($L$245&gt;0,A1072=$C$13),$C$24,0)</f>
        <v/>
      </c>
      <c r="H1072" s="138">
        <f>IF(OR($L$245&lt;=0,A1072&lt;$C$13),0,IF(AND($L$245&gt;0,$C$17&gt;0,A1072&gt;=$C$13,A1072&lt;($C$13+$C$17)),IF($C$17&lt;=0,0,IF($C$16=0,MAX($L$245*(1-$C$15),0)/$C$17,-PMT($C$16/12,$C$17*12,MAX($L$245*(1-$C$15),0))*12)),0)+X1072*($C$19+$C$20+$C$21)+$C$22+$C$23)</f>
        <v/>
      </c>
      <c r="I1072" s="138">
        <f>IF(B1072="Working",MIN(MAX(D1072-E1072-F1072-G1072-H1072,0),'Tax Assumptions'!$B$20),0)</f>
        <v/>
      </c>
      <c r="J1072" s="138">
        <f>IF(B1072="Working",D1072-E1072-F1072-I1072-G1072-H1072,-L1072)</f>
        <v/>
      </c>
      <c r="K1072" s="141">
        <f>IF(B1072="Retired",$N$245+G1072+H1072,0)</f>
        <v/>
      </c>
      <c r="L1072" s="141">
        <f>M1072+N1072+O1072+P1072</f>
        <v/>
      </c>
      <c r="M1072" s="141">
        <f>IF(B1072="Retired",MIN(((Q1071)*(1+$C$10)+IF(B1072="Working",J1072,0)),K1072),0)</f>
        <v/>
      </c>
      <c r="N1072" s="141">
        <f>IF(B1072="Retired",MIN(MAX(K1072-M1072,0),((R1071)*(1+$C$10)+IF(B1072="Working",E103,0))),0)</f>
        <v/>
      </c>
      <c r="O1072" s="141">
        <f>IF(B1072="Retired",MIN(MAX(K1072-M1072-N1072,0),((S1071)*(1+$C$10)+IF(B1072="Working",I1072,0))),0)</f>
        <v/>
      </c>
      <c r="P1072" s="141">
        <f>IF(B1072="Retired",MIN(MAX(K1072-M1072-N1072-O1072,0),((T1071)*(1+$C$10)+IF(B1072="Working",F103,0))),0)</f>
        <v/>
      </c>
      <c r="Q1072" s="138">
        <f>MAX(((Q1071)*(1+$C$10)+IF(B1072="Working",J1072,0))-M1072,0)</f>
        <v/>
      </c>
      <c r="R1072" s="138">
        <f>MAX(((R1071)*(1+$C$10)+IF(B1072="Working",E103,0))-N1072,0)</f>
        <v/>
      </c>
      <c r="S1072" s="138">
        <f>MAX(((S1071)*(1+$C$10)+IF(B1072="Working",I1072,0))-O1072,0)</f>
        <v/>
      </c>
      <c r="T1072" s="138">
        <f>MAX(((T1071)*(1+$C$10)+IF(B1072="Working",F103,0))-P1072,0)</f>
        <v/>
      </c>
      <c r="U1072" s="138">
        <f>Q1072+R1072+S1072+T1072</f>
        <v/>
      </c>
      <c r="V1072" s="138">
        <f>IF(B1072="Working",MAX(-(((Q1071)*(1+$C$10)+IF(B1072="Working",J1072,0))),0),MAX(K1072-L1072,0))</f>
        <v/>
      </c>
      <c r="W1072" s="138">
        <f>IF(OR(A1072&gt;=$C$13,B1072="Retired"),IF(V1072&gt;0,-V1072,U1072-'Model Inputs'!$B$18),"")</f>
        <v/>
      </c>
      <c r="X1072" s="138">
        <f>IF(AND($L$245&gt;0,A1072&gt;=$C$13),$L$245*(1+$C$25)^(A1072-$C$13),0)</f>
        <v/>
      </c>
      <c r="Y1072" s="138">
        <f>IF(OR($L$245&lt;=0,$C$17&lt;=0,A1072&lt;$C$13,MIN(MAX((A1072-$C$13+1)*12,0),$C$17*12)&gt;=$C$17*12),0,IF($C$16=0,MAX(MAX($L$245*(1-$C$15),0)-(IF($C$17&lt;=0,0,IF($C$16=0,MAX($L$245*(1-$C$15),0)/$C$17,-PMT($C$16/12,$C$17*12,MAX($L$245*(1-$C$15),0))*12))/12)*MIN(MAX((A1072-$C$13+1)*12,0),$C$17*12),0),MAX(MAX($L$245*(1-$C$15),0)*(1+$C$16/12)^MIN(MAX((A1072-$C$13+1)*12,0),$C$17*12)-(IF($C$17&lt;=0,0,IF($C$16=0,MAX($L$245*(1-$C$15),0)/$C$17,-PMT($C$16/12,$C$17*12,MAX($L$245*(1-$C$15),0))*12))/12)*(((1+$C$16/12)^MIN(MAX((A1072-$C$13+1)*12,0),$C$17*12)-1)/($C$16/12)),0)))</f>
        <v/>
      </c>
      <c r="Z1072" s="138">
        <f>MAX(X1072-Y1072,0)</f>
        <v/>
      </c>
      <c r="AA1072" s="142">
        <f>U1072+Z1072</f>
        <v/>
      </c>
      <c r="AB1072" s="5" t="n"/>
      <c r="AC1072" s="5" t="n"/>
      <c r="AD1072" s="5" t="n"/>
      <c r="AE1072" s="5" t="n"/>
      <c r="AF1072" s="5" t="n"/>
      <c r="AG1072" s="5" t="n"/>
    </row>
    <row r="1073" outlineLevel="1" s="326">
      <c r="A1073" s="136" t="n">
        <v>25</v>
      </c>
      <c r="B1073" s="72">
        <f>B104</f>
        <v/>
      </c>
      <c r="C1073" s="137">
        <f>D104</f>
        <v/>
      </c>
      <c r="D1073" s="137">
        <f>I104</f>
        <v/>
      </c>
      <c r="E1073" s="137">
        <f>J104</f>
        <v/>
      </c>
      <c r="F1073" s="137">
        <f>K104</f>
        <v/>
      </c>
      <c r="G1073" s="138">
        <f>IF(AND($L$245&gt;0,A1073=$C$13),$L$245*($C$15+$C$18),0)+IF(AND($L$245&gt;0,A1073=$C$13),$C$24,0)</f>
        <v/>
      </c>
      <c r="H1073" s="138">
        <f>IF(OR($L$245&lt;=0,A1073&lt;$C$13),0,IF(AND($L$245&gt;0,$C$17&gt;0,A1073&gt;=$C$13,A1073&lt;($C$13+$C$17)),IF($C$17&lt;=0,0,IF($C$16=0,MAX($L$245*(1-$C$15),0)/$C$17,-PMT($C$16/12,$C$17*12,MAX($L$245*(1-$C$15),0))*12)),0)+X1073*($C$19+$C$20+$C$21)+$C$22+$C$23)</f>
        <v/>
      </c>
      <c r="I1073" s="138">
        <f>IF(B1073="Working",MIN(MAX(D1073-E1073-F1073-G1073-H1073,0),'Tax Assumptions'!$B$20),0)</f>
        <v/>
      </c>
      <c r="J1073" s="138">
        <f>IF(B1073="Working",D1073-E1073-F1073-I1073-G1073-H1073,-L1073)</f>
        <v/>
      </c>
      <c r="K1073" s="137">
        <f>IF(B1073="Retired",$N$245+G1073+H1073,0)</f>
        <v/>
      </c>
      <c r="L1073" s="137">
        <f>M1073+N1073+O1073+P1073</f>
        <v/>
      </c>
      <c r="M1073" s="137">
        <f>IF(B1073="Retired",MIN(((Q1072)*(1+$C$10)+IF(B1073="Working",J1073,0)),K1073),0)</f>
        <v/>
      </c>
      <c r="N1073" s="137">
        <f>IF(B1073="Retired",MIN(MAX(K1073-M1073,0),((R1072)*(1+$C$10)+IF(B1073="Working",E104,0))),0)</f>
        <v/>
      </c>
      <c r="O1073" s="137">
        <f>IF(B1073="Retired",MIN(MAX(K1073-M1073-N1073,0),((S1072)*(1+$C$10)+IF(B1073="Working",I1073,0))),0)</f>
        <v/>
      </c>
      <c r="P1073" s="137">
        <f>IF(B1073="Retired",MIN(MAX(K1073-M1073-N1073-O1073,0),((T1072)*(1+$C$10)+IF(B1073="Working",F104,0))),0)</f>
        <v/>
      </c>
      <c r="Q1073" s="138">
        <f>MAX(((Q1072)*(1+$C$10)+IF(B1073="Working",J1073,0))-M1073,0)</f>
        <v/>
      </c>
      <c r="R1073" s="138">
        <f>MAX(((R1072)*(1+$C$10)+IF(B1073="Working",E104,0))-N1073,0)</f>
        <v/>
      </c>
      <c r="S1073" s="138">
        <f>MAX(((S1072)*(1+$C$10)+IF(B1073="Working",I1073,0))-O1073,0)</f>
        <v/>
      </c>
      <c r="T1073" s="138">
        <f>MAX(((T1072)*(1+$C$10)+IF(B1073="Working",F104,0))-P1073,0)</f>
        <v/>
      </c>
      <c r="U1073" s="138">
        <f>Q1073+R1073+S1073+T1073</f>
        <v/>
      </c>
      <c r="V1073" s="138">
        <f>IF(B1073="Working",MAX(-(((Q1072)*(1+$C$10)+IF(B1073="Working",J1073,0))),0),MAX(K1073-L1073,0))</f>
        <v/>
      </c>
      <c r="W1073" s="138">
        <f>IF(OR(A1073&gt;=$C$13,B1073="Retired"),IF(V1073&gt;0,-V1073,U1073-'Model Inputs'!$B$18),"")</f>
        <v/>
      </c>
      <c r="X1073" s="138">
        <f>IF(AND($L$245&gt;0,A1073&gt;=$C$13),$L$245*(1+$C$25)^(A1073-$C$13),0)</f>
        <v/>
      </c>
      <c r="Y1073" s="138">
        <f>IF(OR($L$245&lt;=0,$C$17&lt;=0,A1073&lt;$C$13,MIN(MAX((A1073-$C$13+1)*12,0),$C$17*12)&gt;=$C$17*12),0,IF($C$16=0,MAX(MAX($L$245*(1-$C$15),0)-(IF($C$17&lt;=0,0,IF($C$16=0,MAX($L$245*(1-$C$15),0)/$C$17,-PMT($C$16/12,$C$17*12,MAX($L$245*(1-$C$15),0))*12))/12)*MIN(MAX((A1073-$C$13+1)*12,0),$C$17*12),0),MAX(MAX($L$245*(1-$C$15),0)*(1+$C$16/12)^MIN(MAX((A1073-$C$13+1)*12,0),$C$17*12)-(IF($C$17&lt;=0,0,IF($C$16=0,MAX($L$245*(1-$C$15),0)/$C$17,-PMT($C$16/12,$C$17*12,MAX($L$245*(1-$C$15),0))*12))/12)*(((1+$C$16/12)^MIN(MAX((A1073-$C$13+1)*12,0),$C$17*12)-1)/($C$16/12)),0)))</f>
        <v/>
      </c>
      <c r="Z1073" s="138">
        <f>MAX(X1073-Y1073,0)</f>
        <v/>
      </c>
      <c r="AA1073" s="139">
        <f>U1073+Z1073</f>
        <v/>
      </c>
      <c r="AB1073" s="5" t="n"/>
      <c r="AC1073" s="5" t="n"/>
      <c r="AD1073" s="5" t="n"/>
      <c r="AE1073" s="5" t="n"/>
      <c r="AF1073" s="5" t="n"/>
      <c r="AG1073" s="5" t="n"/>
    </row>
    <row r="1074" outlineLevel="1" s="326">
      <c r="A1074" s="140" t="n">
        <v>26</v>
      </c>
      <c r="B1074" s="40">
        <f>B105</f>
        <v/>
      </c>
      <c r="C1074" s="141">
        <f>D105</f>
        <v/>
      </c>
      <c r="D1074" s="141">
        <f>I105</f>
        <v/>
      </c>
      <c r="E1074" s="141">
        <f>J105</f>
        <v/>
      </c>
      <c r="F1074" s="141">
        <f>K105</f>
        <v/>
      </c>
      <c r="G1074" s="138">
        <f>IF(AND($L$245&gt;0,A1074=$C$13),$L$245*($C$15+$C$18),0)+IF(AND($L$245&gt;0,A1074=$C$13),$C$24,0)</f>
        <v/>
      </c>
      <c r="H1074" s="138">
        <f>IF(OR($L$245&lt;=0,A1074&lt;$C$13),0,IF(AND($L$245&gt;0,$C$17&gt;0,A1074&gt;=$C$13,A1074&lt;($C$13+$C$17)),IF($C$17&lt;=0,0,IF($C$16=0,MAX($L$245*(1-$C$15),0)/$C$17,-PMT($C$16/12,$C$17*12,MAX($L$245*(1-$C$15),0))*12)),0)+X1074*($C$19+$C$20+$C$21)+$C$22+$C$23)</f>
        <v/>
      </c>
      <c r="I1074" s="138">
        <f>IF(B1074="Working",MIN(MAX(D1074-E1074-F1074-G1074-H1074,0),'Tax Assumptions'!$B$20),0)</f>
        <v/>
      </c>
      <c r="J1074" s="138">
        <f>IF(B1074="Working",D1074-E1074-F1074-I1074-G1074-H1074,-L1074)</f>
        <v/>
      </c>
      <c r="K1074" s="141">
        <f>IF(B1074="Retired",$N$245+G1074+H1074,0)</f>
        <v/>
      </c>
      <c r="L1074" s="141">
        <f>M1074+N1074+O1074+P1074</f>
        <v/>
      </c>
      <c r="M1074" s="141">
        <f>IF(B1074="Retired",MIN(((Q1073)*(1+$C$10)+IF(B1074="Working",J1074,0)),K1074),0)</f>
        <v/>
      </c>
      <c r="N1074" s="141">
        <f>IF(B1074="Retired",MIN(MAX(K1074-M1074,0),((R1073)*(1+$C$10)+IF(B1074="Working",E105,0))),0)</f>
        <v/>
      </c>
      <c r="O1074" s="141">
        <f>IF(B1074="Retired",MIN(MAX(K1074-M1074-N1074,0),((S1073)*(1+$C$10)+IF(B1074="Working",I1074,0))),0)</f>
        <v/>
      </c>
      <c r="P1074" s="141">
        <f>IF(B1074="Retired",MIN(MAX(K1074-M1074-N1074-O1074,0),((T1073)*(1+$C$10)+IF(B1074="Working",F105,0))),0)</f>
        <v/>
      </c>
      <c r="Q1074" s="138">
        <f>MAX(((Q1073)*(1+$C$10)+IF(B1074="Working",J1074,0))-M1074,0)</f>
        <v/>
      </c>
      <c r="R1074" s="138">
        <f>MAX(((R1073)*(1+$C$10)+IF(B1074="Working",E105,0))-N1074,0)</f>
        <v/>
      </c>
      <c r="S1074" s="138">
        <f>MAX(((S1073)*(1+$C$10)+IF(B1074="Working",I1074,0))-O1074,0)</f>
        <v/>
      </c>
      <c r="T1074" s="138">
        <f>MAX(((T1073)*(1+$C$10)+IF(B1074="Working",F105,0))-P1074,0)</f>
        <v/>
      </c>
      <c r="U1074" s="138">
        <f>Q1074+R1074+S1074+T1074</f>
        <v/>
      </c>
      <c r="V1074" s="138">
        <f>IF(B1074="Working",MAX(-(((Q1073)*(1+$C$10)+IF(B1074="Working",J1074,0))),0),MAX(K1074-L1074,0))</f>
        <v/>
      </c>
      <c r="W1074" s="138">
        <f>IF(OR(A1074&gt;=$C$13,B1074="Retired"),IF(V1074&gt;0,-V1074,U1074-'Model Inputs'!$B$18),"")</f>
        <v/>
      </c>
      <c r="X1074" s="138">
        <f>IF(AND($L$245&gt;0,A1074&gt;=$C$13),$L$245*(1+$C$25)^(A1074-$C$13),0)</f>
        <v/>
      </c>
      <c r="Y1074" s="138">
        <f>IF(OR($L$245&lt;=0,$C$17&lt;=0,A1074&lt;$C$13,MIN(MAX((A1074-$C$13+1)*12,0),$C$17*12)&gt;=$C$17*12),0,IF($C$16=0,MAX(MAX($L$245*(1-$C$15),0)-(IF($C$17&lt;=0,0,IF($C$16=0,MAX($L$245*(1-$C$15),0)/$C$17,-PMT($C$16/12,$C$17*12,MAX($L$245*(1-$C$15),0))*12))/12)*MIN(MAX((A1074-$C$13+1)*12,0),$C$17*12),0),MAX(MAX($L$245*(1-$C$15),0)*(1+$C$16/12)^MIN(MAX((A1074-$C$13+1)*12,0),$C$17*12)-(IF($C$17&lt;=0,0,IF($C$16=0,MAX($L$245*(1-$C$15),0)/$C$17,-PMT($C$16/12,$C$17*12,MAX($L$245*(1-$C$15),0))*12))/12)*(((1+$C$16/12)^MIN(MAX((A1074-$C$13+1)*12,0),$C$17*12)-1)/($C$16/12)),0)))</f>
        <v/>
      </c>
      <c r="Z1074" s="138">
        <f>MAX(X1074-Y1074,0)</f>
        <v/>
      </c>
      <c r="AA1074" s="142">
        <f>U1074+Z1074</f>
        <v/>
      </c>
      <c r="AB1074" s="5" t="n"/>
      <c r="AC1074" s="5" t="n"/>
      <c r="AD1074" s="5" t="n"/>
      <c r="AE1074" s="5" t="n"/>
      <c r="AF1074" s="5" t="n"/>
      <c r="AG1074" s="5" t="n"/>
    </row>
    <row r="1075" outlineLevel="1" s="326">
      <c r="A1075" s="136" t="n">
        <v>27</v>
      </c>
      <c r="B1075" s="72">
        <f>B106</f>
        <v/>
      </c>
      <c r="C1075" s="137">
        <f>D106</f>
        <v/>
      </c>
      <c r="D1075" s="137">
        <f>I106</f>
        <v/>
      </c>
      <c r="E1075" s="137">
        <f>J106</f>
        <v/>
      </c>
      <c r="F1075" s="137">
        <f>K106</f>
        <v/>
      </c>
      <c r="G1075" s="138">
        <f>IF(AND($L$245&gt;0,A1075=$C$13),$L$245*($C$15+$C$18),0)+IF(AND($L$245&gt;0,A1075=$C$13),$C$24,0)</f>
        <v/>
      </c>
      <c r="H1075" s="138">
        <f>IF(OR($L$245&lt;=0,A1075&lt;$C$13),0,IF(AND($L$245&gt;0,$C$17&gt;0,A1075&gt;=$C$13,A1075&lt;($C$13+$C$17)),IF($C$17&lt;=0,0,IF($C$16=0,MAX($L$245*(1-$C$15),0)/$C$17,-PMT($C$16/12,$C$17*12,MAX($L$245*(1-$C$15),0))*12)),0)+X1075*($C$19+$C$20+$C$21)+$C$22+$C$23)</f>
        <v/>
      </c>
      <c r="I1075" s="138">
        <f>IF(B1075="Working",MIN(MAX(D1075-E1075-F1075-G1075-H1075,0),'Tax Assumptions'!$B$20),0)</f>
        <v/>
      </c>
      <c r="J1075" s="138">
        <f>IF(B1075="Working",D1075-E1075-F1075-I1075-G1075-H1075,-L1075)</f>
        <v/>
      </c>
      <c r="K1075" s="137">
        <f>IF(B1075="Retired",$N$245+G1075+H1075,0)</f>
        <v/>
      </c>
      <c r="L1075" s="137">
        <f>M1075+N1075+O1075+P1075</f>
        <v/>
      </c>
      <c r="M1075" s="137">
        <f>IF(B1075="Retired",MIN(((Q1074)*(1+$C$10)+IF(B1075="Working",J1075,0)),K1075),0)</f>
        <v/>
      </c>
      <c r="N1075" s="137">
        <f>IF(B1075="Retired",MIN(MAX(K1075-M1075,0),((R1074)*(1+$C$10)+IF(B1075="Working",E106,0))),0)</f>
        <v/>
      </c>
      <c r="O1075" s="137">
        <f>IF(B1075="Retired",MIN(MAX(K1075-M1075-N1075,0),((S1074)*(1+$C$10)+IF(B1075="Working",I1075,0))),0)</f>
        <v/>
      </c>
      <c r="P1075" s="137">
        <f>IF(B1075="Retired",MIN(MAX(K1075-M1075-N1075-O1075,0),((T1074)*(1+$C$10)+IF(B1075="Working",F106,0))),0)</f>
        <v/>
      </c>
      <c r="Q1075" s="138">
        <f>MAX(((Q1074)*(1+$C$10)+IF(B1075="Working",J1075,0))-M1075,0)</f>
        <v/>
      </c>
      <c r="R1075" s="138">
        <f>MAX(((R1074)*(1+$C$10)+IF(B1075="Working",E106,0))-N1075,0)</f>
        <v/>
      </c>
      <c r="S1075" s="138">
        <f>MAX(((S1074)*(1+$C$10)+IF(B1075="Working",I1075,0))-O1075,0)</f>
        <v/>
      </c>
      <c r="T1075" s="138">
        <f>MAX(((T1074)*(1+$C$10)+IF(B1075="Working",F106,0))-P1075,0)</f>
        <v/>
      </c>
      <c r="U1075" s="138">
        <f>Q1075+R1075+S1075+T1075</f>
        <v/>
      </c>
      <c r="V1075" s="138">
        <f>IF(B1075="Working",MAX(-(((Q1074)*(1+$C$10)+IF(B1075="Working",J1075,0))),0),MAX(K1075-L1075,0))</f>
        <v/>
      </c>
      <c r="W1075" s="138">
        <f>IF(OR(A1075&gt;=$C$13,B1075="Retired"),IF(V1075&gt;0,-V1075,U1075-'Model Inputs'!$B$18),"")</f>
        <v/>
      </c>
      <c r="X1075" s="138">
        <f>IF(AND($L$245&gt;0,A1075&gt;=$C$13),$L$245*(1+$C$25)^(A1075-$C$13),0)</f>
        <v/>
      </c>
      <c r="Y1075" s="138">
        <f>IF(OR($L$245&lt;=0,$C$17&lt;=0,A1075&lt;$C$13,MIN(MAX((A1075-$C$13+1)*12,0),$C$17*12)&gt;=$C$17*12),0,IF($C$16=0,MAX(MAX($L$245*(1-$C$15),0)-(IF($C$17&lt;=0,0,IF($C$16=0,MAX($L$245*(1-$C$15),0)/$C$17,-PMT($C$16/12,$C$17*12,MAX($L$245*(1-$C$15),0))*12))/12)*MIN(MAX((A1075-$C$13+1)*12,0),$C$17*12),0),MAX(MAX($L$245*(1-$C$15),0)*(1+$C$16/12)^MIN(MAX((A1075-$C$13+1)*12,0),$C$17*12)-(IF($C$17&lt;=0,0,IF($C$16=0,MAX($L$245*(1-$C$15),0)/$C$17,-PMT($C$16/12,$C$17*12,MAX($L$245*(1-$C$15),0))*12))/12)*(((1+$C$16/12)^MIN(MAX((A1075-$C$13+1)*12,0),$C$17*12)-1)/($C$16/12)),0)))</f>
        <v/>
      </c>
      <c r="Z1075" s="138">
        <f>MAX(X1075-Y1075,0)</f>
        <v/>
      </c>
      <c r="AA1075" s="139">
        <f>U1075+Z1075</f>
        <v/>
      </c>
      <c r="AB1075" s="5" t="n"/>
      <c r="AC1075" s="5" t="n"/>
      <c r="AD1075" s="5" t="n"/>
      <c r="AE1075" s="5" t="n"/>
      <c r="AF1075" s="5" t="n"/>
      <c r="AG1075" s="5" t="n"/>
    </row>
    <row r="1076" outlineLevel="1" s="326">
      <c r="A1076" s="140" t="n">
        <v>28</v>
      </c>
      <c r="B1076" s="40">
        <f>B107</f>
        <v/>
      </c>
      <c r="C1076" s="141">
        <f>D107</f>
        <v/>
      </c>
      <c r="D1076" s="141">
        <f>I107</f>
        <v/>
      </c>
      <c r="E1076" s="141">
        <f>J107</f>
        <v/>
      </c>
      <c r="F1076" s="141">
        <f>K107</f>
        <v/>
      </c>
      <c r="G1076" s="138">
        <f>IF(AND($L$245&gt;0,A1076=$C$13),$L$245*($C$15+$C$18),0)+IF(AND($L$245&gt;0,A1076=$C$13),$C$24,0)</f>
        <v/>
      </c>
      <c r="H1076" s="138">
        <f>IF(OR($L$245&lt;=0,A1076&lt;$C$13),0,IF(AND($L$245&gt;0,$C$17&gt;0,A1076&gt;=$C$13,A1076&lt;($C$13+$C$17)),IF($C$17&lt;=0,0,IF($C$16=0,MAX($L$245*(1-$C$15),0)/$C$17,-PMT($C$16/12,$C$17*12,MAX($L$245*(1-$C$15),0))*12)),0)+X1076*($C$19+$C$20+$C$21)+$C$22+$C$23)</f>
        <v/>
      </c>
      <c r="I1076" s="138">
        <f>IF(B1076="Working",MIN(MAX(D1076-E1076-F1076-G1076-H1076,0),'Tax Assumptions'!$B$20),0)</f>
        <v/>
      </c>
      <c r="J1076" s="138">
        <f>IF(B1076="Working",D1076-E1076-F1076-I1076-G1076-H1076,-L1076)</f>
        <v/>
      </c>
      <c r="K1076" s="141">
        <f>IF(B1076="Retired",$N$245+G1076+H1076,0)</f>
        <v/>
      </c>
      <c r="L1076" s="141">
        <f>M1076+N1076+O1076+P1076</f>
        <v/>
      </c>
      <c r="M1076" s="141">
        <f>IF(B1076="Retired",MIN(((Q1075)*(1+$C$10)+IF(B1076="Working",J1076,0)),K1076),0)</f>
        <v/>
      </c>
      <c r="N1076" s="141">
        <f>IF(B1076="Retired",MIN(MAX(K1076-M1076,0),((R1075)*(1+$C$10)+IF(B1076="Working",E107,0))),0)</f>
        <v/>
      </c>
      <c r="O1076" s="141">
        <f>IF(B1076="Retired",MIN(MAX(K1076-M1076-N1076,0),((S1075)*(1+$C$10)+IF(B1076="Working",I1076,0))),0)</f>
        <v/>
      </c>
      <c r="P1076" s="141">
        <f>IF(B1076="Retired",MIN(MAX(K1076-M1076-N1076-O1076,0),((T1075)*(1+$C$10)+IF(B1076="Working",F107,0))),0)</f>
        <v/>
      </c>
      <c r="Q1076" s="138">
        <f>MAX(((Q1075)*(1+$C$10)+IF(B1076="Working",J1076,0))-M1076,0)</f>
        <v/>
      </c>
      <c r="R1076" s="138">
        <f>MAX(((R1075)*(1+$C$10)+IF(B1076="Working",E107,0))-N1076,0)</f>
        <v/>
      </c>
      <c r="S1076" s="138">
        <f>MAX(((S1075)*(1+$C$10)+IF(B1076="Working",I1076,0))-O1076,0)</f>
        <v/>
      </c>
      <c r="T1076" s="138">
        <f>MAX(((T1075)*(1+$C$10)+IF(B1076="Working",F107,0))-P1076,0)</f>
        <v/>
      </c>
      <c r="U1076" s="138">
        <f>Q1076+R1076+S1076+T1076</f>
        <v/>
      </c>
      <c r="V1076" s="138">
        <f>IF(B1076="Working",MAX(-(((Q1075)*(1+$C$10)+IF(B1076="Working",J1076,0))),0),MAX(K1076-L1076,0))</f>
        <v/>
      </c>
      <c r="W1076" s="138">
        <f>IF(OR(A1076&gt;=$C$13,B1076="Retired"),IF(V1076&gt;0,-V1076,U1076-'Model Inputs'!$B$18),"")</f>
        <v/>
      </c>
      <c r="X1076" s="138">
        <f>IF(AND($L$245&gt;0,A1076&gt;=$C$13),$L$245*(1+$C$25)^(A1076-$C$13),0)</f>
        <v/>
      </c>
      <c r="Y1076" s="138">
        <f>IF(OR($L$245&lt;=0,$C$17&lt;=0,A1076&lt;$C$13,MIN(MAX((A1076-$C$13+1)*12,0),$C$17*12)&gt;=$C$17*12),0,IF($C$16=0,MAX(MAX($L$245*(1-$C$15),0)-(IF($C$17&lt;=0,0,IF($C$16=0,MAX($L$245*(1-$C$15),0)/$C$17,-PMT($C$16/12,$C$17*12,MAX($L$245*(1-$C$15),0))*12))/12)*MIN(MAX((A1076-$C$13+1)*12,0),$C$17*12),0),MAX(MAX($L$245*(1-$C$15),0)*(1+$C$16/12)^MIN(MAX((A1076-$C$13+1)*12,0),$C$17*12)-(IF($C$17&lt;=0,0,IF($C$16=0,MAX($L$245*(1-$C$15),0)/$C$17,-PMT($C$16/12,$C$17*12,MAX($L$245*(1-$C$15),0))*12))/12)*(((1+$C$16/12)^MIN(MAX((A1076-$C$13+1)*12,0),$C$17*12)-1)/($C$16/12)),0)))</f>
        <v/>
      </c>
      <c r="Z1076" s="138">
        <f>MAX(X1076-Y1076,0)</f>
        <v/>
      </c>
      <c r="AA1076" s="142">
        <f>U1076+Z1076</f>
        <v/>
      </c>
      <c r="AB1076" s="5" t="n"/>
      <c r="AC1076" s="5" t="n"/>
      <c r="AD1076" s="5" t="n"/>
      <c r="AE1076" s="5" t="n"/>
      <c r="AF1076" s="5" t="n"/>
      <c r="AG1076" s="5" t="n"/>
    </row>
    <row r="1077" outlineLevel="1" s="326">
      <c r="A1077" s="136" t="n">
        <v>29</v>
      </c>
      <c r="B1077" s="72">
        <f>B108</f>
        <v/>
      </c>
      <c r="C1077" s="137">
        <f>D108</f>
        <v/>
      </c>
      <c r="D1077" s="137">
        <f>I108</f>
        <v/>
      </c>
      <c r="E1077" s="137">
        <f>J108</f>
        <v/>
      </c>
      <c r="F1077" s="137">
        <f>K108</f>
        <v/>
      </c>
      <c r="G1077" s="138">
        <f>IF(AND($L$245&gt;0,A1077=$C$13),$L$245*($C$15+$C$18),0)+IF(AND($L$245&gt;0,A1077=$C$13),$C$24,0)</f>
        <v/>
      </c>
      <c r="H1077" s="138">
        <f>IF(OR($L$245&lt;=0,A1077&lt;$C$13),0,IF(AND($L$245&gt;0,$C$17&gt;0,A1077&gt;=$C$13,A1077&lt;($C$13+$C$17)),IF($C$17&lt;=0,0,IF($C$16=0,MAX($L$245*(1-$C$15),0)/$C$17,-PMT($C$16/12,$C$17*12,MAX($L$245*(1-$C$15),0))*12)),0)+X1077*($C$19+$C$20+$C$21)+$C$22+$C$23)</f>
        <v/>
      </c>
      <c r="I1077" s="138">
        <f>IF(B1077="Working",MIN(MAX(D1077-E1077-F1077-G1077-H1077,0),'Tax Assumptions'!$B$20),0)</f>
        <v/>
      </c>
      <c r="J1077" s="138">
        <f>IF(B1077="Working",D1077-E1077-F1077-I1077-G1077-H1077,-L1077)</f>
        <v/>
      </c>
      <c r="K1077" s="137">
        <f>IF(B1077="Retired",$N$245+G1077+H1077,0)</f>
        <v/>
      </c>
      <c r="L1077" s="137">
        <f>M1077+N1077+O1077+P1077</f>
        <v/>
      </c>
      <c r="M1077" s="137">
        <f>IF(B1077="Retired",MIN(((Q1076)*(1+$C$10)+IF(B1077="Working",J1077,0)),K1077),0)</f>
        <v/>
      </c>
      <c r="N1077" s="137">
        <f>IF(B1077="Retired",MIN(MAX(K1077-M1077,0),((R1076)*(1+$C$10)+IF(B1077="Working",E108,0))),0)</f>
        <v/>
      </c>
      <c r="O1077" s="137">
        <f>IF(B1077="Retired",MIN(MAX(K1077-M1077-N1077,0),((S1076)*(1+$C$10)+IF(B1077="Working",I1077,0))),0)</f>
        <v/>
      </c>
      <c r="P1077" s="137">
        <f>IF(B1077="Retired",MIN(MAX(K1077-M1077-N1077-O1077,0),((T1076)*(1+$C$10)+IF(B1077="Working",F108,0))),0)</f>
        <v/>
      </c>
      <c r="Q1077" s="138">
        <f>MAX(((Q1076)*(1+$C$10)+IF(B1077="Working",J1077,0))-M1077,0)</f>
        <v/>
      </c>
      <c r="R1077" s="138">
        <f>MAX(((R1076)*(1+$C$10)+IF(B1077="Working",E108,0))-N1077,0)</f>
        <v/>
      </c>
      <c r="S1077" s="138">
        <f>MAX(((S1076)*(1+$C$10)+IF(B1077="Working",I1077,0))-O1077,0)</f>
        <v/>
      </c>
      <c r="T1077" s="138">
        <f>MAX(((T1076)*(1+$C$10)+IF(B1077="Working",F108,0))-P1077,0)</f>
        <v/>
      </c>
      <c r="U1077" s="138">
        <f>Q1077+R1077+S1077+T1077</f>
        <v/>
      </c>
      <c r="V1077" s="138">
        <f>IF(B1077="Working",MAX(-(((Q1076)*(1+$C$10)+IF(B1077="Working",J1077,0))),0),MAX(K1077-L1077,0))</f>
        <v/>
      </c>
      <c r="W1077" s="138">
        <f>IF(OR(A1077&gt;=$C$13,B1077="Retired"),IF(V1077&gt;0,-V1077,U1077-'Model Inputs'!$B$18),"")</f>
        <v/>
      </c>
      <c r="X1077" s="138">
        <f>IF(AND($L$245&gt;0,A1077&gt;=$C$13),$L$245*(1+$C$25)^(A1077-$C$13),0)</f>
        <v/>
      </c>
      <c r="Y1077" s="138">
        <f>IF(OR($L$245&lt;=0,$C$17&lt;=0,A1077&lt;$C$13,MIN(MAX((A1077-$C$13+1)*12,0),$C$17*12)&gt;=$C$17*12),0,IF($C$16=0,MAX(MAX($L$245*(1-$C$15),0)-(IF($C$17&lt;=0,0,IF($C$16=0,MAX($L$245*(1-$C$15),0)/$C$17,-PMT($C$16/12,$C$17*12,MAX($L$245*(1-$C$15),0))*12))/12)*MIN(MAX((A1077-$C$13+1)*12,0),$C$17*12),0),MAX(MAX($L$245*(1-$C$15),0)*(1+$C$16/12)^MIN(MAX((A1077-$C$13+1)*12,0),$C$17*12)-(IF($C$17&lt;=0,0,IF($C$16=0,MAX($L$245*(1-$C$15),0)/$C$17,-PMT($C$16/12,$C$17*12,MAX($L$245*(1-$C$15),0))*12))/12)*(((1+$C$16/12)^MIN(MAX((A1077-$C$13+1)*12,0),$C$17*12)-1)/($C$16/12)),0)))</f>
        <v/>
      </c>
      <c r="Z1077" s="138">
        <f>MAX(X1077-Y1077,0)</f>
        <v/>
      </c>
      <c r="AA1077" s="139">
        <f>U1077+Z1077</f>
        <v/>
      </c>
      <c r="AB1077" s="5" t="n"/>
      <c r="AC1077" s="5" t="n"/>
      <c r="AD1077" s="5" t="n"/>
      <c r="AE1077" s="5" t="n"/>
      <c r="AF1077" s="5" t="n"/>
      <c r="AG1077" s="5" t="n"/>
    </row>
    <row r="1078" outlineLevel="1" s="326">
      <c r="A1078" s="140" t="n">
        <v>30</v>
      </c>
      <c r="B1078" s="40">
        <f>B109</f>
        <v/>
      </c>
      <c r="C1078" s="141">
        <f>D109</f>
        <v/>
      </c>
      <c r="D1078" s="141">
        <f>I109</f>
        <v/>
      </c>
      <c r="E1078" s="141">
        <f>J109</f>
        <v/>
      </c>
      <c r="F1078" s="141">
        <f>K109</f>
        <v/>
      </c>
      <c r="G1078" s="138">
        <f>IF(AND($L$245&gt;0,A1078=$C$13),$L$245*($C$15+$C$18),0)+IF(AND($L$245&gt;0,A1078=$C$13),$C$24,0)</f>
        <v/>
      </c>
      <c r="H1078" s="138">
        <f>IF(OR($L$245&lt;=0,A1078&lt;$C$13),0,IF(AND($L$245&gt;0,$C$17&gt;0,A1078&gt;=$C$13,A1078&lt;($C$13+$C$17)),IF($C$17&lt;=0,0,IF($C$16=0,MAX($L$245*(1-$C$15),0)/$C$17,-PMT($C$16/12,$C$17*12,MAX($L$245*(1-$C$15),0))*12)),0)+X1078*($C$19+$C$20+$C$21)+$C$22+$C$23)</f>
        <v/>
      </c>
      <c r="I1078" s="138">
        <f>IF(B1078="Working",MIN(MAX(D1078-E1078-F1078-G1078-H1078,0),'Tax Assumptions'!$B$20),0)</f>
        <v/>
      </c>
      <c r="J1078" s="138">
        <f>IF(B1078="Working",D1078-E1078-F1078-I1078-G1078-H1078,-L1078)</f>
        <v/>
      </c>
      <c r="K1078" s="141">
        <f>IF(B1078="Retired",$N$245+G1078+H1078,0)</f>
        <v/>
      </c>
      <c r="L1078" s="141">
        <f>M1078+N1078+O1078+P1078</f>
        <v/>
      </c>
      <c r="M1078" s="141">
        <f>IF(B1078="Retired",MIN(((Q1077)*(1+$C$10)+IF(B1078="Working",J1078,0)),K1078),0)</f>
        <v/>
      </c>
      <c r="N1078" s="141">
        <f>IF(B1078="Retired",MIN(MAX(K1078-M1078,0),((R1077)*(1+$C$10)+IF(B1078="Working",E109,0))),0)</f>
        <v/>
      </c>
      <c r="O1078" s="141">
        <f>IF(B1078="Retired",MIN(MAX(K1078-M1078-N1078,0),((S1077)*(1+$C$10)+IF(B1078="Working",I1078,0))),0)</f>
        <v/>
      </c>
      <c r="P1078" s="141">
        <f>IF(B1078="Retired",MIN(MAX(K1078-M1078-N1078-O1078,0),((T1077)*(1+$C$10)+IF(B1078="Working",F109,0))),0)</f>
        <v/>
      </c>
      <c r="Q1078" s="138">
        <f>MAX(((Q1077)*(1+$C$10)+IF(B1078="Working",J1078,0))-M1078,0)</f>
        <v/>
      </c>
      <c r="R1078" s="138">
        <f>MAX(((R1077)*(1+$C$10)+IF(B1078="Working",E109,0))-N1078,0)</f>
        <v/>
      </c>
      <c r="S1078" s="138">
        <f>MAX(((S1077)*(1+$C$10)+IF(B1078="Working",I1078,0))-O1078,0)</f>
        <v/>
      </c>
      <c r="T1078" s="138">
        <f>MAX(((T1077)*(1+$C$10)+IF(B1078="Working",F109,0))-P1078,0)</f>
        <v/>
      </c>
      <c r="U1078" s="138">
        <f>Q1078+R1078+S1078+T1078</f>
        <v/>
      </c>
      <c r="V1078" s="138">
        <f>IF(B1078="Working",MAX(-(((Q1077)*(1+$C$10)+IF(B1078="Working",J1078,0))),0),MAX(K1078-L1078,0))</f>
        <v/>
      </c>
      <c r="W1078" s="138">
        <f>IF(OR(A1078&gt;=$C$13,B1078="Retired"),IF(V1078&gt;0,-V1078,U1078-'Model Inputs'!$B$18),"")</f>
        <v/>
      </c>
      <c r="X1078" s="138">
        <f>IF(AND($L$245&gt;0,A1078&gt;=$C$13),$L$245*(1+$C$25)^(A1078-$C$13),0)</f>
        <v/>
      </c>
      <c r="Y1078" s="138">
        <f>IF(OR($L$245&lt;=0,$C$17&lt;=0,A1078&lt;$C$13,MIN(MAX((A1078-$C$13+1)*12,0),$C$17*12)&gt;=$C$17*12),0,IF($C$16=0,MAX(MAX($L$245*(1-$C$15),0)-(IF($C$17&lt;=0,0,IF($C$16=0,MAX($L$245*(1-$C$15),0)/$C$17,-PMT($C$16/12,$C$17*12,MAX($L$245*(1-$C$15),0))*12))/12)*MIN(MAX((A1078-$C$13+1)*12,0),$C$17*12),0),MAX(MAX($L$245*(1-$C$15),0)*(1+$C$16/12)^MIN(MAX((A1078-$C$13+1)*12,0),$C$17*12)-(IF($C$17&lt;=0,0,IF($C$16=0,MAX($L$245*(1-$C$15),0)/$C$17,-PMT($C$16/12,$C$17*12,MAX($L$245*(1-$C$15),0))*12))/12)*(((1+$C$16/12)^MIN(MAX((A1078-$C$13+1)*12,0),$C$17*12)-1)/($C$16/12)),0)))</f>
        <v/>
      </c>
      <c r="Z1078" s="138">
        <f>MAX(X1078-Y1078,0)</f>
        <v/>
      </c>
      <c r="AA1078" s="142">
        <f>U1078+Z1078</f>
        <v/>
      </c>
      <c r="AB1078" s="5" t="n"/>
      <c r="AC1078" s="5" t="n"/>
      <c r="AD1078" s="5" t="n"/>
      <c r="AE1078" s="5" t="n"/>
      <c r="AF1078" s="5" t="n"/>
      <c r="AG1078" s="5" t="n"/>
    </row>
    <row r="1079" outlineLevel="1" s="326">
      <c r="A1079" s="136" t="n">
        <v>31</v>
      </c>
      <c r="B1079" s="72">
        <f>B110</f>
        <v/>
      </c>
      <c r="C1079" s="137">
        <f>D110</f>
        <v/>
      </c>
      <c r="D1079" s="137">
        <f>I110</f>
        <v/>
      </c>
      <c r="E1079" s="137">
        <f>J110</f>
        <v/>
      </c>
      <c r="F1079" s="137">
        <f>K110</f>
        <v/>
      </c>
      <c r="G1079" s="138">
        <f>IF(AND($L$245&gt;0,A1079=$C$13),$L$245*($C$15+$C$18),0)+IF(AND($L$245&gt;0,A1079=$C$13),$C$24,0)</f>
        <v/>
      </c>
      <c r="H1079" s="138">
        <f>IF(OR($L$245&lt;=0,A1079&lt;$C$13),0,IF(AND($L$245&gt;0,$C$17&gt;0,A1079&gt;=$C$13,A1079&lt;($C$13+$C$17)),IF($C$17&lt;=0,0,IF($C$16=0,MAX($L$245*(1-$C$15),0)/$C$17,-PMT($C$16/12,$C$17*12,MAX($L$245*(1-$C$15),0))*12)),0)+X1079*($C$19+$C$20+$C$21)+$C$22+$C$23)</f>
        <v/>
      </c>
      <c r="I1079" s="138">
        <f>IF(B1079="Working",MIN(MAX(D1079-E1079-F1079-G1079-H1079,0),'Tax Assumptions'!$B$20),0)</f>
        <v/>
      </c>
      <c r="J1079" s="138">
        <f>IF(B1079="Working",D1079-E1079-F1079-I1079-G1079-H1079,-L1079)</f>
        <v/>
      </c>
      <c r="K1079" s="137">
        <f>IF(B1079="Retired",$N$245+G1079+H1079,0)</f>
        <v/>
      </c>
      <c r="L1079" s="137">
        <f>M1079+N1079+O1079+P1079</f>
        <v/>
      </c>
      <c r="M1079" s="137">
        <f>IF(B1079="Retired",MIN(((Q1078)*(1+$C$10)+IF(B1079="Working",J1079,0)),K1079),0)</f>
        <v/>
      </c>
      <c r="N1079" s="137">
        <f>IF(B1079="Retired",MIN(MAX(K1079-M1079,0),((R1078)*(1+$C$10)+IF(B1079="Working",E110,0))),0)</f>
        <v/>
      </c>
      <c r="O1079" s="137">
        <f>IF(B1079="Retired",MIN(MAX(K1079-M1079-N1079,0),((S1078)*(1+$C$10)+IF(B1079="Working",I1079,0))),0)</f>
        <v/>
      </c>
      <c r="P1079" s="137">
        <f>IF(B1079="Retired",MIN(MAX(K1079-M1079-N1079-O1079,0),((T1078)*(1+$C$10)+IF(B1079="Working",F110,0))),0)</f>
        <v/>
      </c>
      <c r="Q1079" s="138">
        <f>MAX(((Q1078)*(1+$C$10)+IF(B1079="Working",J1079,0))-M1079,0)</f>
        <v/>
      </c>
      <c r="R1079" s="138">
        <f>MAX(((R1078)*(1+$C$10)+IF(B1079="Working",E110,0))-N1079,0)</f>
        <v/>
      </c>
      <c r="S1079" s="138">
        <f>MAX(((S1078)*(1+$C$10)+IF(B1079="Working",I1079,0))-O1079,0)</f>
        <v/>
      </c>
      <c r="T1079" s="138">
        <f>MAX(((T1078)*(1+$C$10)+IF(B1079="Working",F110,0))-P1079,0)</f>
        <v/>
      </c>
      <c r="U1079" s="138">
        <f>Q1079+R1079+S1079+T1079</f>
        <v/>
      </c>
      <c r="V1079" s="138">
        <f>IF(B1079="Working",MAX(-(((Q1078)*(1+$C$10)+IF(B1079="Working",J1079,0))),0),MAX(K1079-L1079,0))</f>
        <v/>
      </c>
      <c r="W1079" s="138">
        <f>IF(OR(A1079&gt;=$C$13,B1079="Retired"),IF(V1079&gt;0,-V1079,U1079-'Model Inputs'!$B$18),"")</f>
        <v/>
      </c>
      <c r="X1079" s="138">
        <f>IF(AND($L$245&gt;0,A1079&gt;=$C$13),$L$245*(1+$C$25)^(A1079-$C$13),0)</f>
        <v/>
      </c>
      <c r="Y1079" s="138">
        <f>IF(OR($L$245&lt;=0,$C$17&lt;=0,A1079&lt;$C$13,MIN(MAX((A1079-$C$13+1)*12,0),$C$17*12)&gt;=$C$17*12),0,IF($C$16=0,MAX(MAX($L$245*(1-$C$15),0)-(IF($C$17&lt;=0,0,IF($C$16=0,MAX($L$245*(1-$C$15),0)/$C$17,-PMT($C$16/12,$C$17*12,MAX($L$245*(1-$C$15),0))*12))/12)*MIN(MAX((A1079-$C$13+1)*12,0),$C$17*12),0),MAX(MAX($L$245*(1-$C$15),0)*(1+$C$16/12)^MIN(MAX((A1079-$C$13+1)*12,0),$C$17*12)-(IF($C$17&lt;=0,0,IF($C$16=0,MAX($L$245*(1-$C$15),0)/$C$17,-PMT($C$16/12,$C$17*12,MAX($L$245*(1-$C$15),0))*12))/12)*(((1+$C$16/12)^MIN(MAX((A1079-$C$13+1)*12,0),$C$17*12)-1)/($C$16/12)),0)))</f>
        <v/>
      </c>
      <c r="Z1079" s="138">
        <f>MAX(X1079-Y1079,0)</f>
        <v/>
      </c>
      <c r="AA1079" s="139">
        <f>U1079+Z1079</f>
        <v/>
      </c>
      <c r="AB1079" s="5" t="n"/>
      <c r="AC1079" s="5" t="n"/>
      <c r="AD1079" s="5" t="n"/>
      <c r="AE1079" s="5" t="n"/>
      <c r="AF1079" s="5" t="n"/>
      <c r="AG1079" s="5" t="n"/>
    </row>
    <row r="1080" outlineLevel="1" s="326">
      <c r="A1080" s="140" t="n">
        <v>32</v>
      </c>
      <c r="B1080" s="40">
        <f>B111</f>
        <v/>
      </c>
      <c r="C1080" s="141">
        <f>D111</f>
        <v/>
      </c>
      <c r="D1080" s="141">
        <f>I111</f>
        <v/>
      </c>
      <c r="E1080" s="141">
        <f>J111</f>
        <v/>
      </c>
      <c r="F1080" s="141">
        <f>K111</f>
        <v/>
      </c>
      <c r="G1080" s="138">
        <f>IF(AND($L$245&gt;0,A1080=$C$13),$L$245*($C$15+$C$18),0)+IF(AND($L$245&gt;0,A1080=$C$13),$C$24,0)</f>
        <v/>
      </c>
      <c r="H1080" s="138">
        <f>IF(OR($L$245&lt;=0,A1080&lt;$C$13),0,IF(AND($L$245&gt;0,$C$17&gt;0,A1080&gt;=$C$13,A1080&lt;($C$13+$C$17)),IF($C$17&lt;=0,0,IF($C$16=0,MAX($L$245*(1-$C$15),0)/$C$17,-PMT($C$16/12,$C$17*12,MAX($L$245*(1-$C$15),0))*12)),0)+X1080*($C$19+$C$20+$C$21)+$C$22+$C$23)</f>
        <v/>
      </c>
      <c r="I1080" s="138">
        <f>IF(B1080="Working",MIN(MAX(D1080-E1080-F1080-G1080-H1080,0),'Tax Assumptions'!$B$20),0)</f>
        <v/>
      </c>
      <c r="J1080" s="138">
        <f>IF(B1080="Working",D1080-E1080-F1080-I1080-G1080-H1080,-L1080)</f>
        <v/>
      </c>
      <c r="K1080" s="141">
        <f>IF(B1080="Retired",$N$245+G1080+H1080,0)</f>
        <v/>
      </c>
      <c r="L1080" s="141">
        <f>M1080+N1080+O1080+P1080</f>
        <v/>
      </c>
      <c r="M1080" s="141">
        <f>IF(B1080="Retired",MIN(((Q1079)*(1+$C$10)+IF(B1080="Working",J1080,0)),K1080),0)</f>
        <v/>
      </c>
      <c r="N1080" s="141">
        <f>IF(B1080="Retired",MIN(MAX(K1080-M1080,0),((R1079)*(1+$C$10)+IF(B1080="Working",E111,0))),0)</f>
        <v/>
      </c>
      <c r="O1080" s="141">
        <f>IF(B1080="Retired",MIN(MAX(K1080-M1080-N1080,0),((S1079)*(1+$C$10)+IF(B1080="Working",I1080,0))),0)</f>
        <v/>
      </c>
      <c r="P1080" s="141">
        <f>IF(B1080="Retired",MIN(MAX(K1080-M1080-N1080-O1080,0),((T1079)*(1+$C$10)+IF(B1080="Working",F111,0))),0)</f>
        <v/>
      </c>
      <c r="Q1080" s="138">
        <f>MAX(((Q1079)*(1+$C$10)+IF(B1080="Working",J1080,0))-M1080,0)</f>
        <v/>
      </c>
      <c r="R1080" s="138">
        <f>MAX(((R1079)*(1+$C$10)+IF(B1080="Working",E111,0))-N1080,0)</f>
        <v/>
      </c>
      <c r="S1080" s="138">
        <f>MAX(((S1079)*(1+$C$10)+IF(B1080="Working",I1080,0))-O1080,0)</f>
        <v/>
      </c>
      <c r="T1080" s="138">
        <f>MAX(((T1079)*(1+$C$10)+IF(B1080="Working",F111,0))-P1080,0)</f>
        <v/>
      </c>
      <c r="U1080" s="138">
        <f>Q1080+R1080+S1080+T1080</f>
        <v/>
      </c>
      <c r="V1080" s="138">
        <f>IF(B1080="Working",MAX(-(((Q1079)*(1+$C$10)+IF(B1080="Working",J1080,0))),0),MAX(K1080-L1080,0))</f>
        <v/>
      </c>
      <c r="W1080" s="138">
        <f>IF(OR(A1080&gt;=$C$13,B1080="Retired"),IF(V1080&gt;0,-V1080,U1080-'Model Inputs'!$B$18),"")</f>
        <v/>
      </c>
      <c r="X1080" s="138">
        <f>IF(AND($L$245&gt;0,A1080&gt;=$C$13),$L$245*(1+$C$25)^(A1080-$C$13),0)</f>
        <v/>
      </c>
      <c r="Y1080" s="138">
        <f>IF(OR($L$245&lt;=0,$C$17&lt;=0,A1080&lt;$C$13,MIN(MAX((A1080-$C$13+1)*12,0),$C$17*12)&gt;=$C$17*12),0,IF($C$16=0,MAX(MAX($L$245*(1-$C$15),0)-(IF($C$17&lt;=0,0,IF($C$16=0,MAX($L$245*(1-$C$15),0)/$C$17,-PMT($C$16/12,$C$17*12,MAX($L$245*(1-$C$15),0))*12))/12)*MIN(MAX((A1080-$C$13+1)*12,0),$C$17*12),0),MAX(MAX($L$245*(1-$C$15),0)*(1+$C$16/12)^MIN(MAX((A1080-$C$13+1)*12,0),$C$17*12)-(IF($C$17&lt;=0,0,IF($C$16=0,MAX($L$245*(1-$C$15),0)/$C$17,-PMT($C$16/12,$C$17*12,MAX($L$245*(1-$C$15),0))*12))/12)*(((1+$C$16/12)^MIN(MAX((A1080-$C$13+1)*12,0),$C$17*12)-1)/($C$16/12)),0)))</f>
        <v/>
      </c>
      <c r="Z1080" s="138">
        <f>MAX(X1080-Y1080,0)</f>
        <v/>
      </c>
      <c r="AA1080" s="142">
        <f>U1080+Z1080</f>
        <v/>
      </c>
      <c r="AB1080" s="5" t="n"/>
      <c r="AC1080" s="5" t="n"/>
      <c r="AD1080" s="5" t="n"/>
      <c r="AE1080" s="5" t="n"/>
      <c r="AF1080" s="5" t="n"/>
      <c r="AG1080" s="5" t="n"/>
    </row>
    <row r="1081" outlineLevel="1" s="326">
      <c r="A1081" s="136" t="n">
        <v>33</v>
      </c>
      <c r="B1081" s="72">
        <f>B112</f>
        <v/>
      </c>
      <c r="C1081" s="137">
        <f>D112</f>
        <v/>
      </c>
      <c r="D1081" s="137">
        <f>I112</f>
        <v/>
      </c>
      <c r="E1081" s="137">
        <f>J112</f>
        <v/>
      </c>
      <c r="F1081" s="137">
        <f>K112</f>
        <v/>
      </c>
      <c r="G1081" s="138">
        <f>IF(AND($L$245&gt;0,A1081=$C$13),$L$245*($C$15+$C$18),0)+IF(AND($L$245&gt;0,A1081=$C$13),$C$24,0)</f>
        <v/>
      </c>
      <c r="H1081" s="138">
        <f>IF(OR($L$245&lt;=0,A1081&lt;$C$13),0,IF(AND($L$245&gt;0,$C$17&gt;0,A1081&gt;=$C$13,A1081&lt;($C$13+$C$17)),IF($C$17&lt;=0,0,IF($C$16=0,MAX($L$245*(1-$C$15),0)/$C$17,-PMT($C$16/12,$C$17*12,MAX($L$245*(1-$C$15),0))*12)),0)+X1081*($C$19+$C$20+$C$21)+$C$22+$C$23)</f>
        <v/>
      </c>
      <c r="I1081" s="138">
        <f>IF(B1081="Working",MIN(MAX(D1081-E1081-F1081-G1081-H1081,0),'Tax Assumptions'!$B$20),0)</f>
        <v/>
      </c>
      <c r="J1081" s="138">
        <f>IF(B1081="Working",D1081-E1081-F1081-I1081-G1081-H1081,-L1081)</f>
        <v/>
      </c>
      <c r="K1081" s="137">
        <f>IF(B1081="Retired",$N$245+G1081+H1081,0)</f>
        <v/>
      </c>
      <c r="L1081" s="137">
        <f>M1081+N1081+O1081+P1081</f>
        <v/>
      </c>
      <c r="M1081" s="137">
        <f>IF(B1081="Retired",MIN(((Q1080)*(1+$C$10)+IF(B1081="Working",J1081,0)),K1081),0)</f>
        <v/>
      </c>
      <c r="N1081" s="137">
        <f>IF(B1081="Retired",MIN(MAX(K1081-M1081,0),((R1080)*(1+$C$10)+IF(B1081="Working",E112,0))),0)</f>
        <v/>
      </c>
      <c r="O1081" s="137">
        <f>IF(B1081="Retired",MIN(MAX(K1081-M1081-N1081,0),((S1080)*(1+$C$10)+IF(B1081="Working",I1081,0))),0)</f>
        <v/>
      </c>
      <c r="P1081" s="137">
        <f>IF(B1081="Retired",MIN(MAX(K1081-M1081-N1081-O1081,0),((T1080)*(1+$C$10)+IF(B1081="Working",F112,0))),0)</f>
        <v/>
      </c>
      <c r="Q1081" s="138">
        <f>MAX(((Q1080)*(1+$C$10)+IF(B1081="Working",J1081,0))-M1081,0)</f>
        <v/>
      </c>
      <c r="R1081" s="138">
        <f>MAX(((R1080)*(1+$C$10)+IF(B1081="Working",E112,0))-N1081,0)</f>
        <v/>
      </c>
      <c r="S1081" s="138">
        <f>MAX(((S1080)*(1+$C$10)+IF(B1081="Working",I1081,0))-O1081,0)</f>
        <v/>
      </c>
      <c r="T1081" s="138">
        <f>MAX(((T1080)*(1+$C$10)+IF(B1081="Working",F112,0))-P1081,0)</f>
        <v/>
      </c>
      <c r="U1081" s="138">
        <f>Q1081+R1081+S1081+T1081</f>
        <v/>
      </c>
      <c r="V1081" s="138">
        <f>IF(B1081="Working",MAX(-(((Q1080)*(1+$C$10)+IF(B1081="Working",J1081,0))),0),MAX(K1081-L1081,0))</f>
        <v/>
      </c>
      <c r="W1081" s="138">
        <f>IF(OR(A1081&gt;=$C$13,B1081="Retired"),IF(V1081&gt;0,-V1081,U1081-'Model Inputs'!$B$18),"")</f>
        <v/>
      </c>
      <c r="X1081" s="138">
        <f>IF(AND($L$245&gt;0,A1081&gt;=$C$13),$L$245*(1+$C$25)^(A1081-$C$13),0)</f>
        <v/>
      </c>
      <c r="Y1081" s="138">
        <f>IF(OR($L$245&lt;=0,$C$17&lt;=0,A1081&lt;$C$13,MIN(MAX((A1081-$C$13+1)*12,0),$C$17*12)&gt;=$C$17*12),0,IF($C$16=0,MAX(MAX($L$245*(1-$C$15),0)-(IF($C$17&lt;=0,0,IF($C$16=0,MAX($L$245*(1-$C$15),0)/$C$17,-PMT($C$16/12,$C$17*12,MAX($L$245*(1-$C$15),0))*12))/12)*MIN(MAX((A1081-$C$13+1)*12,0),$C$17*12),0),MAX(MAX($L$245*(1-$C$15),0)*(1+$C$16/12)^MIN(MAX((A1081-$C$13+1)*12,0),$C$17*12)-(IF($C$17&lt;=0,0,IF($C$16=0,MAX($L$245*(1-$C$15),0)/$C$17,-PMT($C$16/12,$C$17*12,MAX($L$245*(1-$C$15),0))*12))/12)*(((1+$C$16/12)^MIN(MAX((A1081-$C$13+1)*12,0),$C$17*12)-1)/($C$16/12)),0)))</f>
        <v/>
      </c>
      <c r="Z1081" s="138">
        <f>MAX(X1081-Y1081,0)</f>
        <v/>
      </c>
      <c r="AA1081" s="139">
        <f>U1081+Z1081</f>
        <v/>
      </c>
      <c r="AB1081" s="5" t="n"/>
      <c r="AC1081" s="5" t="n"/>
      <c r="AD1081" s="5" t="n"/>
      <c r="AE1081" s="5" t="n"/>
      <c r="AF1081" s="5" t="n"/>
      <c r="AG1081" s="5" t="n"/>
    </row>
    <row r="1082" outlineLevel="1" s="326">
      <c r="A1082" s="140" t="n">
        <v>34</v>
      </c>
      <c r="B1082" s="40">
        <f>B113</f>
        <v/>
      </c>
      <c r="C1082" s="141">
        <f>D113</f>
        <v/>
      </c>
      <c r="D1082" s="141">
        <f>I113</f>
        <v/>
      </c>
      <c r="E1082" s="141">
        <f>J113</f>
        <v/>
      </c>
      <c r="F1082" s="141">
        <f>K113</f>
        <v/>
      </c>
      <c r="G1082" s="138">
        <f>IF(AND($L$245&gt;0,A1082=$C$13),$L$245*($C$15+$C$18),0)+IF(AND($L$245&gt;0,A1082=$C$13),$C$24,0)</f>
        <v/>
      </c>
      <c r="H1082" s="138">
        <f>IF(OR($L$245&lt;=0,A1082&lt;$C$13),0,IF(AND($L$245&gt;0,$C$17&gt;0,A1082&gt;=$C$13,A1082&lt;($C$13+$C$17)),IF($C$17&lt;=0,0,IF($C$16=0,MAX($L$245*(1-$C$15),0)/$C$17,-PMT($C$16/12,$C$17*12,MAX($L$245*(1-$C$15),0))*12)),0)+X1082*($C$19+$C$20+$C$21)+$C$22+$C$23)</f>
        <v/>
      </c>
      <c r="I1082" s="138">
        <f>IF(B1082="Working",MIN(MAX(D1082-E1082-F1082-G1082-H1082,0),'Tax Assumptions'!$B$20),0)</f>
        <v/>
      </c>
      <c r="J1082" s="138">
        <f>IF(B1082="Working",D1082-E1082-F1082-I1082-G1082-H1082,-L1082)</f>
        <v/>
      </c>
      <c r="K1082" s="141">
        <f>IF(B1082="Retired",$N$245+G1082+H1082,0)</f>
        <v/>
      </c>
      <c r="L1082" s="141">
        <f>M1082+N1082+O1082+P1082</f>
        <v/>
      </c>
      <c r="M1082" s="141">
        <f>IF(B1082="Retired",MIN(((Q1081)*(1+$C$10)+IF(B1082="Working",J1082,0)),K1082),0)</f>
        <v/>
      </c>
      <c r="N1082" s="141">
        <f>IF(B1082="Retired",MIN(MAX(K1082-M1082,0),((R1081)*(1+$C$10)+IF(B1082="Working",E113,0))),0)</f>
        <v/>
      </c>
      <c r="O1082" s="141">
        <f>IF(B1082="Retired",MIN(MAX(K1082-M1082-N1082,0),((S1081)*(1+$C$10)+IF(B1082="Working",I1082,0))),0)</f>
        <v/>
      </c>
      <c r="P1082" s="141">
        <f>IF(B1082="Retired",MIN(MAX(K1082-M1082-N1082-O1082,0),((T1081)*(1+$C$10)+IF(B1082="Working",F113,0))),0)</f>
        <v/>
      </c>
      <c r="Q1082" s="138">
        <f>MAX(((Q1081)*(1+$C$10)+IF(B1082="Working",J1082,0))-M1082,0)</f>
        <v/>
      </c>
      <c r="R1082" s="138">
        <f>MAX(((R1081)*(1+$C$10)+IF(B1082="Working",E113,0))-N1082,0)</f>
        <v/>
      </c>
      <c r="S1082" s="138">
        <f>MAX(((S1081)*(1+$C$10)+IF(B1082="Working",I1082,0))-O1082,0)</f>
        <v/>
      </c>
      <c r="T1082" s="138">
        <f>MAX(((T1081)*(1+$C$10)+IF(B1082="Working",F113,0))-P1082,0)</f>
        <v/>
      </c>
      <c r="U1082" s="138">
        <f>Q1082+R1082+S1082+T1082</f>
        <v/>
      </c>
      <c r="V1082" s="138">
        <f>IF(B1082="Working",MAX(-(((Q1081)*(1+$C$10)+IF(B1082="Working",J1082,0))),0),MAX(K1082-L1082,0))</f>
        <v/>
      </c>
      <c r="W1082" s="138">
        <f>IF(OR(A1082&gt;=$C$13,B1082="Retired"),IF(V1082&gt;0,-V1082,U1082-'Model Inputs'!$B$18),"")</f>
        <v/>
      </c>
      <c r="X1082" s="138">
        <f>IF(AND($L$245&gt;0,A1082&gt;=$C$13),$L$245*(1+$C$25)^(A1082-$C$13),0)</f>
        <v/>
      </c>
      <c r="Y1082" s="138">
        <f>IF(OR($L$245&lt;=0,$C$17&lt;=0,A1082&lt;$C$13,MIN(MAX((A1082-$C$13+1)*12,0),$C$17*12)&gt;=$C$17*12),0,IF($C$16=0,MAX(MAX($L$245*(1-$C$15),0)-(IF($C$17&lt;=0,0,IF($C$16=0,MAX($L$245*(1-$C$15),0)/$C$17,-PMT($C$16/12,$C$17*12,MAX($L$245*(1-$C$15),0))*12))/12)*MIN(MAX((A1082-$C$13+1)*12,0),$C$17*12),0),MAX(MAX($L$245*(1-$C$15),0)*(1+$C$16/12)^MIN(MAX((A1082-$C$13+1)*12,0),$C$17*12)-(IF($C$17&lt;=0,0,IF($C$16=0,MAX($L$245*(1-$C$15),0)/$C$17,-PMT($C$16/12,$C$17*12,MAX($L$245*(1-$C$15),0))*12))/12)*(((1+$C$16/12)^MIN(MAX((A1082-$C$13+1)*12,0),$C$17*12)-1)/($C$16/12)),0)))</f>
        <v/>
      </c>
      <c r="Z1082" s="138">
        <f>MAX(X1082-Y1082,0)</f>
        <v/>
      </c>
      <c r="AA1082" s="142">
        <f>U1082+Z1082</f>
        <v/>
      </c>
      <c r="AB1082" s="5" t="n"/>
      <c r="AC1082" s="5" t="n"/>
      <c r="AD1082" s="5" t="n"/>
      <c r="AE1082" s="5" t="n"/>
      <c r="AF1082" s="5" t="n"/>
      <c r="AG1082" s="5" t="n"/>
    </row>
    <row r="1083" outlineLevel="1" s="326">
      <c r="A1083" s="136" t="n">
        <v>35</v>
      </c>
      <c r="B1083" s="72">
        <f>B114</f>
        <v/>
      </c>
      <c r="C1083" s="137">
        <f>D114</f>
        <v/>
      </c>
      <c r="D1083" s="137">
        <f>I114</f>
        <v/>
      </c>
      <c r="E1083" s="137">
        <f>J114</f>
        <v/>
      </c>
      <c r="F1083" s="137">
        <f>K114</f>
        <v/>
      </c>
      <c r="G1083" s="138">
        <f>IF(AND($L$245&gt;0,A1083=$C$13),$L$245*($C$15+$C$18),0)+IF(AND($L$245&gt;0,A1083=$C$13),$C$24,0)</f>
        <v/>
      </c>
      <c r="H1083" s="138">
        <f>IF(OR($L$245&lt;=0,A1083&lt;$C$13),0,IF(AND($L$245&gt;0,$C$17&gt;0,A1083&gt;=$C$13,A1083&lt;($C$13+$C$17)),IF($C$17&lt;=0,0,IF($C$16=0,MAX($L$245*(1-$C$15),0)/$C$17,-PMT($C$16/12,$C$17*12,MAX($L$245*(1-$C$15),0))*12)),0)+X1083*($C$19+$C$20+$C$21)+$C$22+$C$23)</f>
        <v/>
      </c>
      <c r="I1083" s="138">
        <f>IF(B1083="Working",MIN(MAX(D1083-E1083-F1083-G1083-H1083,0),'Tax Assumptions'!$B$20),0)</f>
        <v/>
      </c>
      <c r="J1083" s="138">
        <f>IF(B1083="Working",D1083-E1083-F1083-I1083-G1083-H1083,-L1083)</f>
        <v/>
      </c>
      <c r="K1083" s="137">
        <f>IF(B1083="Retired",$N$245+G1083+H1083,0)</f>
        <v/>
      </c>
      <c r="L1083" s="137">
        <f>M1083+N1083+O1083+P1083</f>
        <v/>
      </c>
      <c r="M1083" s="137">
        <f>IF(B1083="Retired",MIN(((Q1082)*(1+$C$10)+IF(B1083="Working",J1083,0)),K1083),0)</f>
        <v/>
      </c>
      <c r="N1083" s="137">
        <f>IF(B1083="Retired",MIN(MAX(K1083-M1083,0),((R1082)*(1+$C$10)+IF(B1083="Working",E114,0))),0)</f>
        <v/>
      </c>
      <c r="O1083" s="137">
        <f>IF(B1083="Retired",MIN(MAX(K1083-M1083-N1083,0),((S1082)*(1+$C$10)+IF(B1083="Working",I1083,0))),0)</f>
        <v/>
      </c>
      <c r="P1083" s="137">
        <f>IF(B1083="Retired",MIN(MAX(K1083-M1083-N1083-O1083,0),((T1082)*(1+$C$10)+IF(B1083="Working",F114,0))),0)</f>
        <v/>
      </c>
      <c r="Q1083" s="138">
        <f>MAX(((Q1082)*(1+$C$10)+IF(B1083="Working",J1083,0))-M1083,0)</f>
        <v/>
      </c>
      <c r="R1083" s="138">
        <f>MAX(((R1082)*(1+$C$10)+IF(B1083="Working",E114,0))-N1083,0)</f>
        <v/>
      </c>
      <c r="S1083" s="138">
        <f>MAX(((S1082)*(1+$C$10)+IF(B1083="Working",I1083,0))-O1083,0)</f>
        <v/>
      </c>
      <c r="T1083" s="138">
        <f>MAX(((T1082)*(1+$C$10)+IF(B1083="Working",F114,0))-P1083,0)</f>
        <v/>
      </c>
      <c r="U1083" s="138">
        <f>Q1083+R1083+S1083+T1083</f>
        <v/>
      </c>
      <c r="V1083" s="138">
        <f>IF(B1083="Working",MAX(-(((Q1082)*(1+$C$10)+IF(B1083="Working",J1083,0))),0),MAX(K1083-L1083,0))</f>
        <v/>
      </c>
      <c r="W1083" s="138">
        <f>IF(OR(A1083&gt;=$C$13,B1083="Retired"),IF(V1083&gt;0,-V1083,U1083-'Model Inputs'!$B$18),"")</f>
        <v/>
      </c>
      <c r="X1083" s="138">
        <f>IF(AND($L$245&gt;0,A1083&gt;=$C$13),$L$245*(1+$C$25)^(A1083-$C$13),0)</f>
        <v/>
      </c>
      <c r="Y1083" s="138">
        <f>IF(OR($L$245&lt;=0,$C$17&lt;=0,A1083&lt;$C$13,MIN(MAX((A1083-$C$13+1)*12,0),$C$17*12)&gt;=$C$17*12),0,IF($C$16=0,MAX(MAX($L$245*(1-$C$15),0)-(IF($C$17&lt;=0,0,IF($C$16=0,MAX($L$245*(1-$C$15),0)/$C$17,-PMT($C$16/12,$C$17*12,MAX($L$245*(1-$C$15),0))*12))/12)*MIN(MAX((A1083-$C$13+1)*12,0),$C$17*12),0),MAX(MAX($L$245*(1-$C$15),0)*(1+$C$16/12)^MIN(MAX((A1083-$C$13+1)*12,0),$C$17*12)-(IF($C$17&lt;=0,0,IF($C$16=0,MAX($L$245*(1-$C$15),0)/$C$17,-PMT($C$16/12,$C$17*12,MAX($L$245*(1-$C$15),0))*12))/12)*(((1+$C$16/12)^MIN(MAX((A1083-$C$13+1)*12,0),$C$17*12)-1)/($C$16/12)),0)))</f>
        <v/>
      </c>
      <c r="Z1083" s="138">
        <f>MAX(X1083-Y1083,0)</f>
        <v/>
      </c>
      <c r="AA1083" s="139">
        <f>U1083+Z1083</f>
        <v/>
      </c>
      <c r="AB1083" s="5" t="n"/>
      <c r="AC1083" s="5" t="n"/>
      <c r="AD1083" s="5" t="n"/>
      <c r="AE1083" s="5" t="n"/>
      <c r="AF1083" s="5" t="n"/>
      <c r="AG1083" s="5" t="n"/>
    </row>
    <row r="1084" outlineLevel="1" s="326">
      <c r="A1084" s="140" t="n">
        <v>36</v>
      </c>
      <c r="B1084" s="40">
        <f>B115</f>
        <v/>
      </c>
      <c r="C1084" s="141">
        <f>D115</f>
        <v/>
      </c>
      <c r="D1084" s="141">
        <f>I115</f>
        <v/>
      </c>
      <c r="E1084" s="141">
        <f>J115</f>
        <v/>
      </c>
      <c r="F1084" s="141">
        <f>K115</f>
        <v/>
      </c>
      <c r="G1084" s="138">
        <f>IF(AND($L$245&gt;0,A1084=$C$13),$L$245*($C$15+$C$18),0)+IF(AND($L$245&gt;0,A1084=$C$13),$C$24,0)</f>
        <v/>
      </c>
      <c r="H1084" s="138">
        <f>IF(OR($L$245&lt;=0,A1084&lt;$C$13),0,IF(AND($L$245&gt;0,$C$17&gt;0,A1084&gt;=$C$13,A1084&lt;($C$13+$C$17)),IF($C$17&lt;=0,0,IF($C$16=0,MAX($L$245*(1-$C$15),0)/$C$17,-PMT($C$16/12,$C$17*12,MAX($L$245*(1-$C$15),0))*12)),0)+X1084*($C$19+$C$20+$C$21)+$C$22+$C$23)</f>
        <v/>
      </c>
      <c r="I1084" s="138">
        <f>IF(B1084="Working",MIN(MAX(D1084-E1084-F1084-G1084-H1084,0),'Tax Assumptions'!$B$20),0)</f>
        <v/>
      </c>
      <c r="J1084" s="138">
        <f>IF(B1084="Working",D1084-E1084-F1084-I1084-G1084-H1084,-L1084)</f>
        <v/>
      </c>
      <c r="K1084" s="141">
        <f>IF(B1084="Retired",$N$245+G1084+H1084,0)</f>
        <v/>
      </c>
      <c r="L1084" s="141">
        <f>M1084+N1084+O1084+P1084</f>
        <v/>
      </c>
      <c r="M1084" s="141">
        <f>IF(B1084="Retired",MIN(((Q1083)*(1+$C$10)+IF(B1084="Working",J1084,0)),K1084),0)</f>
        <v/>
      </c>
      <c r="N1084" s="141">
        <f>IF(B1084="Retired",MIN(MAX(K1084-M1084,0),((R1083)*(1+$C$10)+IF(B1084="Working",E115,0))),0)</f>
        <v/>
      </c>
      <c r="O1084" s="141">
        <f>IF(B1084="Retired",MIN(MAX(K1084-M1084-N1084,0),((S1083)*(1+$C$10)+IF(B1084="Working",I1084,0))),0)</f>
        <v/>
      </c>
      <c r="P1084" s="141">
        <f>IF(B1084="Retired",MIN(MAX(K1084-M1084-N1084-O1084,0),((T1083)*(1+$C$10)+IF(B1084="Working",F115,0))),0)</f>
        <v/>
      </c>
      <c r="Q1084" s="138">
        <f>MAX(((Q1083)*(1+$C$10)+IF(B1084="Working",J1084,0))-M1084,0)</f>
        <v/>
      </c>
      <c r="R1084" s="138">
        <f>MAX(((R1083)*(1+$C$10)+IF(B1084="Working",E115,0))-N1084,0)</f>
        <v/>
      </c>
      <c r="S1084" s="138">
        <f>MAX(((S1083)*(1+$C$10)+IF(B1084="Working",I1084,0))-O1084,0)</f>
        <v/>
      </c>
      <c r="T1084" s="138">
        <f>MAX(((T1083)*(1+$C$10)+IF(B1084="Working",F115,0))-P1084,0)</f>
        <v/>
      </c>
      <c r="U1084" s="138">
        <f>Q1084+R1084+S1084+T1084</f>
        <v/>
      </c>
      <c r="V1084" s="138">
        <f>IF(B1084="Working",MAX(-(((Q1083)*(1+$C$10)+IF(B1084="Working",J1084,0))),0),MAX(K1084-L1084,0))</f>
        <v/>
      </c>
      <c r="W1084" s="138">
        <f>IF(OR(A1084&gt;=$C$13,B1084="Retired"),IF(V1084&gt;0,-V1084,U1084-'Model Inputs'!$B$18),"")</f>
        <v/>
      </c>
      <c r="X1084" s="138">
        <f>IF(AND($L$245&gt;0,A1084&gt;=$C$13),$L$245*(1+$C$25)^(A1084-$C$13),0)</f>
        <v/>
      </c>
      <c r="Y1084" s="138">
        <f>IF(OR($L$245&lt;=0,$C$17&lt;=0,A1084&lt;$C$13,MIN(MAX((A1084-$C$13+1)*12,0),$C$17*12)&gt;=$C$17*12),0,IF($C$16=0,MAX(MAX($L$245*(1-$C$15),0)-(IF($C$17&lt;=0,0,IF($C$16=0,MAX($L$245*(1-$C$15),0)/$C$17,-PMT($C$16/12,$C$17*12,MAX($L$245*(1-$C$15),0))*12))/12)*MIN(MAX((A1084-$C$13+1)*12,0),$C$17*12),0),MAX(MAX($L$245*(1-$C$15),0)*(1+$C$16/12)^MIN(MAX((A1084-$C$13+1)*12,0),$C$17*12)-(IF($C$17&lt;=0,0,IF($C$16=0,MAX($L$245*(1-$C$15),0)/$C$17,-PMT($C$16/12,$C$17*12,MAX($L$245*(1-$C$15),0))*12))/12)*(((1+$C$16/12)^MIN(MAX((A1084-$C$13+1)*12,0),$C$17*12)-1)/($C$16/12)),0)))</f>
        <v/>
      </c>
      <c r="Z1084" s="138">
        <f>MAX(X1084-Y1084,0)</f>
        <v/>
      </c>
      <c r="AA1084" s="142">
        <f>U1084+Z1084</f>
        <v/>
      </c>
      <c r="AB1084" s="5" t="n"/>
      <c r="AC1084" s="5" t="n"/>
      <c r="AD1084" s="5" t="n"/>
      <c r="AE1084" s="5" t="n"/>
      <c r="AF1084" s="5" t="n"/>
      <c r="AG1084" s="5" t="n"/>
    </row>
    <row r="1085" outlineLevel="1" s="326">
      <c r="A1085" s="136" t="n">
        <v>37</v>
      </c>
      <c r="B1085" s="72">
        <f>B116</f>
        <v/>
      </c>
      <c r="C1085" s="137">
        <f>D116</f>
        <v/>
      </c>
      <c r="D1085" s="137">
        <f>I116</f>
        <v/>
      </c>
      <c r="E1085" s="137">
        <f>J116</f>
        <v/>
      </c>
      <c r="F1085" s="137">
        <f>K116</f>
        <v/>
      </c>
      <c r="G1085" s="138">
        <f>IF(AND($L$245&gt;0,A1085=$C$13),$L$245*($C$15+$C$18),0)+IF(AND($L$245&gt;0,A1085=$C$13),$C$24,0)</f>
        <v/>
      </c>
      <c r="H1085" s="138">
        <f>IF(OR($L$245&lt;=0,A1085&lt;$C$13),0,IF(AND($L$245&gt;0,$C$17&gt;0,A1085&gt;=$C$13,A1085&lt;($C$13+$C$17)),IF($C$17&lt;=0,0,IF($C$16=0,MAX($L$245*(1-$C$15),0)/$C$17,-PMT($C$16/12,$C$17*12,MAX($L$245*(1-$C$15),0))*12)),0)+X1085*($C$19+$C$20+$C$21)+$C$22+$C$23)</f>
        <v/>
      </c>
      <c r="I1085" s="138">
        <f>IF(B1085="Working",MIN(MAX(D1085-E1085-F1085-G1085-H1085,0),'Tax Assumptions'!$B$20),0)</f>
        <v/>
      </c>
      <c r="J1085" s="138">
        <f>IF(B1085="Working",D1085-E1085-F1085-I1085-G1085-H1085,-L1085)</f>
        <v/>
      </c>
      <c r="K1085" s="137">
        <f>IF(B1085="Retired",$N$245+G1085+H1085,0)</f>
        <v/>
      </c>
      <c r="L1085" s="137">
        <f>M1085+N1085+O1085+P1085</f>
        <v/>
      </c>
      <c r="M1085" s="137">
        <f>IF(B1085="Retired",MIN(((Q1084)*(1+$C$10)+IF(B1085="Working",J1085,0)),K1085),0)</f>
        <v/>
      </c>
      <c r="N1085" s="137">
        <f>IF(B1085="Retired",MIN(MAX(K1085-M1085,0),((R1084)*(1+$C$10)+IF(B1085="Working",E116,0))),0)</f>
        <v/>
      </c>
      <c r="O1085" s="137">
        <f>IF(B1085="Retired",MIN(MAX(K1085-M1085-N1085,0),((S1084)*(1+$C$10)+IF(B1085="Working",I1085,0))),0)</f>
        <v/>
      </c>
      <c r="P1085" s="137">
        <f>IF(B1085="Retired",MIN(MAX(K1085-M1085-N1085-O1085,0),((T1084)*(1+$C$10)+IF(B1085="Working",F116,0))),0)</f>
        <v/>
      </c>
      <c r="Q1085" s="138">
        <f>MAX(((Q1084)*(1+$C$10)+IF(B1085="Working",J1085,0))-M1085,0)</f>
        <v/>
      </c>
      <c r="R1085" s="138">
        <f>MAX(((R1084)*(1+$C$10)+IF(B1085="Working",E116,0))-N1085,0)</f>
        <v/>
      </c>
      <c r="S1085" s="138">
        <f>MAX(((S1084)*(1+$C$10)+IF(B1085="Working",I1085,0))-O1085,0)</f>
        <v/>
      </c>
      <c r="T1085" s="138">
        <f>MAX(((T1084)*(1+$C$10)+IF(B1085="Working",F116,0))-P1085,0)</f>
        <v/>
      </c>
      <c r="U1085" s="138">
        <f>Q1085+R1085+S1085+T1085</f>
        <v/>
      </c>
      <c r="V1085" s="138">
        <f>IF(B1085="Working",MAX(-(((Q1084)*(1+$C$10)+IF(B1085="Working",J1085,0))),0),MAX(K1085-L1085,0))</f>
        <v/>
      </c>
      <c r="W1085" s="138">
        <f>IF(OR(A1085&gt;=$C$13,B1085="Retired"),IF(V1085&gt;0,-V1085,U1085-'Model Inputs'!$B$18),"")</f>
        <v/>
      </c>
      <c r="X1085" s="138">
        <f>IF(AND($L$245&gt;0,A1085&gt;=$C$13),$L$245*(1+$C$25)^(A1085-$C$13),0)</f>
        <v/>
      </c>
      <c r="Y1085" s="138">
        <f>IF(OR($L$245&lt;=0,$C$17&lt;=0,A1085&lt;$C$13,MIN(MAX((A1085-$C$13+1)*12,0),$C$17*12)&gt;=$C$17*12),0,IF($C$16=0,MAX(MAX($L$245*(1-$C$15),0)-(IF($C$17&lt;=0,0,IF($C$16=0,MAX($L$245*(1-$C$15),0)/$C$17,-PMT($C$16/12,$C$17*12,MAX($L$245*(1-$C$15),0))*12))/12)*MIN(MAX((A1085-$C$13+1)*12,0),$C$17*12),0),MAX(MAX($L$245*(1-$C$15),0)*(1+$C$16/12)^MIN(MAX((A1085-$C$13+1)*12,0),$C$17*12)-(IF($C$17&lt;=0,0,IF($C$16=0,MAX($L$245*(1-$C$15),0)/$C$17,-PMT($C$16/12,$C$17*12,MAX($L$245*(1-$C$15),0))*12))/12)*(((1+$C$16/12)^MIN(MAX((A1085-$C$13+1)*12,0),$C$17*12)-1)/($C$16/12)),0)))</f>
        <v/>
      </c>
      <c r="Z1085" s="138">
        <f>MAX(X1085-Y1085,0)</f>
        <v/>
      </c>
      <c r="AA1085" s="139">
        <f>U1085+Z1085</f>
        <v/>
      </c>
      <c r="AB1085" s="5" t="n"/>
      <c r="AC1085" s="5" t="n"/>
      <c r="AD1085" s="5" t="n"/>
      <c r="AE1085" s="5" t="n"/>
      <c r="AF1085" s="5" t="n"/>
      <c r="AG1085" s="5" t="n"/>
    </row>
    <row r="1086" outlineLevel="1" s="326">
      <c r="A1086" s="140" t="n">
        <v>38</v>
      </c>
      <c r="B1086" s="40">
        <f>B117</f>
        <v/>
      </c>
      <c r="C1086" s="141">
        <f>D117</f>
        <v/>
      </c>
      <c r="D1086" s="141">
        <f>I117</f>
        <v/>
      </c>
      <c r="E1086" s="141">
        <f>J117</f>
        <v/>
      </c>
      <c r="F1086" s="141">
        <f>K117</f>
        <v/>
      </c>
      <c r="G1086" s="138">
        <f>IF(AND($L$245&gt;0,A1086=$C$13),$L$245*($C$15+$C$18),0)+IF(AND($L$245&gt;0,A1086=$C$13),$C$24,0)</f>
        <v/>
      </c>
      <c r="H1086" s="138">
        <f>IF(OR($L$245&lt;=0,A1086&lt;$C$13),0,IF(AND($L$245&gt;0,$C$17&gt;0,A1086&gt;=$C$13,A1086&lt;($C$13+$C$17)),IF($C$17&lt;=0,0,IF($C$16=0,MAX($L$245*(1-$C$15),0)/$C$17,-PMT($C$16/12,$C$17*12,MAX($L$245*(1-$C$15),0))*12)),0)+X1086*($C$19+$C$20+$C$21)+$C$22+$C$23)</f>
        <v/>
      </c>
      <c r="I1086" s="138">
        <f>IF(B1086="Working",MIN(MAX(D1086-E1086-F1086-G1086-H1086,0),'Tax Assumptions'!$B$20),0)</f>
        <v/>
      </c>
      <c r="J1086" s="138">
        <f>IF(B1086="Working",D1086-E1086-F1086-I1086-G1086-H1086,-L1086)</f>
        <v/>
      </c>
      <c r="K1086" s="141">
        <f>IF(B1086="Retired",$N$245+G1086+H1086,0)</f>
        <v/>
      </c>
      <c r="L1086" s="141">
        <f>M1086+N1086+O1086+P1086</f>
        <v/>
      </c>
      <c r="M1086" s="141">
        <f>IF(B1086="Retired",MIN(((Q1085)*(1+$C$10)+IF(B1086="Working",J1086,0)),K1086),0)</f>
        <v/>
      </c>
      <c r="N1086" s="141">
        <f>IF(B1086="Retired",MIN(MAX(K1086-M1086,0),((R1085)*(1+$C$10)+IF(B1086="Working",E117,0))),0)</f>
        <v/>
      </c>
      <c r="O1086" s="141">
        <f>IF(B1086="Retired",MIN(MAX(K1086-M1086-N1086,0),((S1085)*(1+$C$10)+IF(B1086="Working",I1086,0))),0)</f>
        <v/>
      </c>
      <c r="P1086" s="141">
        <f>IF(B1086="Retired",MIN(MAX(K1086-M1086-N1086-O1086,0),((T1085)*(1+$C$10)+IF(B1086="Working",F117,0))),0)</f>
        <v/>
      </c>
      <c r="Q1086" s="138">
        <f>MAX(((Q1085)*(1+$C$10)+IF(B1086="Working",J1086,0))-M1086,0)</f>
        <v/>
      </c>
      <c r="R1086" s="138">
        <f>MAX(((R1085)*(1+$C$10)+IF(B1086="Working",E117,0))-N1086,0)</f>
        <v/>
      </c>
      <c r="S1086" s="138">
        <f>MAX(((S1085)*(1+$C$10)+IF(B1086="Working",I1086,0))-O1086,0)</f>
        <v/>
      </c>
      <c r="T1086" s="138">
        <f>MAX(((T1085)*(1+$C$10)+IF(B1086="Working",F117,0))-P1086,0)</f>
        <v/>
      </c>
      <c r="U1086" s="138">
        <f>Q1086+R1086+S1086+T1086</f>
        <v/>
      </c>
      <c r="V1086" s="138">
        <f>IF(B1086="Working",MAX(-(((Q1085)*(1+$C$10)+IF(B1086="Working",J1086,0))),0),MAX(K1086-L1086,0))</f>
        <v/>
      </c>
      <c r="W1086" s="138">
        <f>IF(OR(A1086&gt;=$C$13,B1086="Retired"),IF(V1086&gt;0,-V1086,U1086-'Model Inputs'!$B$18),"")</f>
        <v/>
      </c>
      <c r="X1086" s="138">
        <f>IF(AND($L$245&gt;0,A1086&gt;=$C$13),$L$245*(1+$C$25)^(A1086-$C$13),0)</f>
        <v/>
      </c>
      <c r="Y1086" s="138">
        <f>IF(OR($L$245&lt;=0,$C$17&lt;=0,A1086&lt;$C$13,MIN(MAX((A1086-$C$13+1)*12,0),$C$17*12)&gt;=$C$17*12),0,IF($C$16=0,MAX(MAX($L$245*(1-$C$15),0)-(IF($C$17&lt;=0,0,IF($C$16=0,MAX($L$245*(1-$C$15),0)/$C$17,-PMT($C$16/12,$C$17*12,MAX($L$245*(1-$C$15),0))*12))/12)*MIN(MAX((A1086-$C$13+1)*12,0),$C$17*12),0),MAX(MAX($L$245*(1-$C$15),0)*(1+$C$16/12)^MIN(MAX((A1086-$C$13+1)*12,0),$C$17*12)-(IF($C$17&lt;=0,0,IF($C$16=0,MAX($L$245*(1-$C$15),0)/$C$17,-PMT($C$16/12,$C$17*12,MAX($L$245*(1-$C$15),0))*12))/12)*(((1+$C$16/12)^MIN(MAX((A1086-$C$13+1)*12,0),$C$17*12)-1)/($C$16/12)),0)))</f>
        <v/>
      </c>
      <c r="Z1086" s="138">
        <f>MAX(X1086-Y1086,0)</f>
        <v/>
      </c>
      <c r="AA1086" s="142">
        <f>U1086+Z1086</f>
        <v/>
      </c>
      <c r="AB1086" s="5" t="n"/>
      <c r="AC1086" s="5" t="n"/>
      <c r="AD1086" s="5" t="n"/>
      <c r="AE1086" s="5" t="n"/>
      <c r="AF1086" s="5" t="n"/>
      <c r="AG1086" s="5" t="n"/>
    </row>
    <row r="1087" outlineLevel="1" s="326">
      <c r="A1087" s="136" t="n">
        <v>39</v>
      </c>
      <c r="B1087" s="72">
        <f>B118</f>
        <v/>
      </c>
      <c r="C1087" s="137">
        <f>D118</f>
        <v/>
      </c>
      <c r="D1087" s="137">
        <f>I118</f>
        <v/>
      </c>
      <c r="E1087" s="137">
        <f>J118</f>
        <v/>
      </c>
      <c r="F1087" s="137">
        <f>K118</f>
        <v/>
      </c>
      <c r="G1087" s="138">
        <f>IF(AND($L$245&gt;0,A1087=$C$13),$L$245*($C$15+$C$18),0)+IF(AND($L$245&gt;0,A1087=$C$13),$C$24,0)</f>
        <v/>
      </c>
      <c r="H1087" s="138">
        <f>IF(OR($L$245&lt;=0,A1087&lt;$C$13),0,IF(AND($L$245&gt;0,$C$17&gt;0,A1087&gt;=$C$13,A1087&lt;($C$13+$C$17)),IF($C$17&lt;=0,0,IF($C$16=0,MAX($L$245*(1-$C$15),0)/$C$17,-PMT($C$16/12,$C$17*12,MAX($L$245*(1-$C$15),0))*12)),0)+X1087*($C$19+$C$20+$C$21)+$C$22+$C$23)</f>
        <v/>
      </c>
      <c r="I1087" s="138">
        <f>IF(B1087="Working",MIN(MAX(D1087-E1087-F1087-G1087-H1087,0),'Tax Assumptions'!$B$20),0)</f>
        <v/>
      </c>
      <c r="J1087" s="138">
        <f>IF(B1087="Working",D1087-E1087-F1087-I1087-G1087-H1087,-L1087)</f>
        <v/>
      </c>
      <c r="K1087" s="137">
        <f>IF(B1087="Retired",$N$245+G1087+H1087,0)</f>
        <v/>
      </c>
      <c r="L1087" s="137">
        <f>M1087+N1087+O1087+P1087</f>
        <v/>
      </c>
      <c r="M1087" s="137">
        <f>IF(B1087="Retired",MIN(((Q1086)*(1+$C$10)+IF(B1087="Working",J1087,0)),K1087),0)</f>
        <v/>
      </c>
      <c r="N1087" s="137">
        <f>IF(B1087="Retired",MIN(MAX(K1087-M1087,0),((R1086)*(1+$C$10)+IF(B1087="Working",E118,0))),0)</f>
        <v/>
      </c>
      <c r="O1087" s="137">
        <f>IF(B1087="Retired",MIN(MAX(K1087-M1087-N1087,0),((S1086)*(1+$C$10)+IF(B1087="Working",I1087,0))),0)</f>
        <v/>
      </c>
      <c r="P1087" s="137">
        <f>IF(B1087="Retired",MIN(MAX(K1087-M1087-N1087-O1087,0),((T1086)*(1+$C$10)+IF(B1087="Working",F118,0))),0)</f>
        <v/>
      </c>
      <c r="Q1087" s="138">
        <f>MAX(((Q1086)*(1+$C$10)+IF(B1087="Working",J1087,0))-M1087,0)</f>
        <v/>
      </c>
      <c r="R1087" s="138">
        <f>MAX(((R1086)*(1+$C$10)+IF(B1087="Working",E118,0))-N1087,0)</f>
        <v/>
      </c>
      <c r="S1087" s="138">
        <f>MAX(((S1086)*(1+$C$10)+IF(B1087="Working",I1087,0))-O1087,0)</f>
        <v/>
      </c>
      <c r="T1087" s="138">
        <f>MAX(((T1086)*(1+$C$10)+IF(B1087="Working",F118,0))-P1087,0)</f>
        <v/>
      </c>
      <c r="U1087" s="138">
        <f>Q1087+R1087+S1087+T1087</f>
        <v/>
      </c>
      <c r="V1087" s="138">
        <f>IF(B1087="Working",MAX(-(((Q1086)*(1+$C$10)+IF(B1087="Working",J1087,0))),0),MAX(K1087-L1087,0))</f>
        <v/>
      </c>
      <c r="W1087" s="138">
        <f>IF(OR(A1087&gt;=$C$13,B1087="Retired"),IF(V1087&gt;0,-V1087,U1087-'Model Inputs'!$B$18),"")</f>
        <v/>
      </c>
      <c r="X1087" s="138">
        <f>IF(AND($L$245&gt;0,A1087&gt;=$C$13),$L$245*(1+$C$25)^(A1087-$C$13),0)</f>
        <v/>
      </c>
      <c r="Y1087" s="138">
        <f>IF(OR($L$245&lt;=0,$C$17&lt;=0,A1087&lt;$C$13,MIN(MAX((A1087-$C$13+1)*12,0),$C$17*12)&gt;=$C$17*12),0,IF($C$16=0,MAX(MAX($L$245*(1-$C$15),0)-(IF($C$17&lt;=0,0,IF($C$16=0,MAX($L$245*(1-$C$15),0)/$C$17,-PMT($C$16/12,$C$17*12,MAX($L$245*(1-$C$15),0))*12))/12)*MIN(MAX((A1087-$C$13+1)*12,0),$C$17*12),0),MAX(MAX($L$245*(1-$C$15),0)*(1+$C$16/12)^MIN(MAX((A1087-$C$13+1)*12,0),$C$17*12)-(IF($C$17&lt;=0,0,IF($C$16=0,MAX($L$245*(1-$C$15),0)/$C$17,-PMT($C$16/12,$C$17*12,MAX($L$245*(1-$C$15),0))*12))/12)*(((1+$C$16/12)^MIN(MAX((A1087-$C$13+1)*12,0),$C$17*12)-1)/($C$16/12)),0)))</f>
        <v/>
      </c>
      <c r="Z1087" s="138">
        <f>MAX(X1087-Y1087,0)</f>
        <v/>
      </c>
      <c r="AA1087" s="139">
        <f>U1087+Z1087</f>
        <v/>
      </c>
      <c r="AB1087" s="5" t="n"/>
      <c r="AC1087" s="5" t="n"/>
      <c r="AD1087" s="5" t="n"/>
      <c r="AE1087" s="5" t="n"/>
      <c r="AF1087" s="5" t="n"/>
      <c r="AG1087" s="5" t="n"/>
    </row>
    <row r="1088" outlineLevel="1" s="326">
      <c r="A1088" s="140" t="n">
        <v>40</v>
      </c>
      <c r="B1088" s="40">
        <f>B119</f>
        <v/>
      </c>
      <c r="C1088" s="141">
        <f>D119</f>
        <v/>
      </c>
      <c r="D1088" s="141">
        <f>I119</f>
        <v/>
      </c>
      <c r="E1088" s="141">
        <f>J119</f>
        <v/>
      </c>
      <c r="F1088" s="141">
        <f>K119</f>
        <v/>
      </c>
      <c r="G1088" s="138">
        <f>IF(AND($L$245&gt;0,A1088=$C$13),$L$245*($C$15+$C$18),0)+IF(AND($L$245&gt;0,A1088=$C$13),$C$24,0)</f>
        <v/>
      </c>
      <c r="H1088" s="138">
        <f>IF(OR($L$245&lt;=0,A1088&lt;$C$13),0,IF(AND($L$245&gt;0,$C$17&gt;0,A1088&gt;=$C$13,A1088&lt;($C$13+$C$17)),IF($C$17&lt;=0,0,IF($C$16=0,MAX($L$245*(1-$C$15),0)/$C$17,-PMT($C$16/12,$C$17*12,MAX($L$245*(1-$C$15),0))*12)),0)+X1088*($C$19+$C$20+$C$21)+$C$22+$C$23)</f>
        <v/>
      </c>
      <c r="I1088" s="138">
        <f>IF(B1088="Working",MIN(MAX(D1088-E1088-F1088-G1088-H1088,0),'Tax Assumptions'!$B$20),0)</f>
        <v/>
      </c>
      <c r="J1088" s="138">
        <f>IF(B1088="Working",D1088-E1088-F1088-I1088-G1088-H1088,-L1088)</f>
        <v/>
      </c>
      <c r="K1088" s="141">
        <f>IF(B1088="Retired",$N$245+G1088+H1088,0)</f>
        <v/>
      </c>
      <c r="L1088" s="141">
        <f>M1088+N1088+O1088+P1088</f>
        <v/>
      </c>
      <c r="M1088" s="141">
        <f>IF(B1088="Retired",MIN(((Q1087)*(1+$C$10)+IF(B1088="Working",J1088,0)),K1088),0)</f>
        <v/>
      </c>
      <c r="N1088" s="141">
        <f>IF(B1088="Retired",MIN(MAX(K1088-M1088,0),((R1087)*(1+$C$10)+IF(B1088="Working",E119,0))),0)</f>
        <v/>
      </c>
      <c r="O1088" s="141">
        <f>IF(B1088="Retired",MIN(MAX(K1088-M1088-N1088,0),((S1087)*(1+$C$10)+IF(B1088="Working",I1088,0))),0)</f>
        <v/>
      </c>
      <c r="P1088" s="141">
        <f>IF(B1088="Retired",MIN(MAX(K1088-M1088-N1088-O1088,0),((T1087)*(1+$C$10)+IF(B1088="Working",F119,0))),0)</f>
        <v/>
      </c>
      <c r="Q1088" s="138">
        <f>MAX(((Q1087)*(1+$C$10)+IF(B1088="Working",J1088,0))-M1088,0)</f>
        <v/>
      </c>
      <c r="R1088" s="138">
        <f>MAX(((R1087)*(1+$C$10)+IF(B1088="Working",E119,0))-N1088,0)</f>
        <v/>
      </c>
      <c r="S1088" s="138">
        <f>MAX(((S1087)*(1+$C$10)+IF(B1088="Working",I1088,0))-O1088,0)</f>
        <v/>
      </c>
      <c r="T1088" s="138">
        <f>MAX(((T1087)*(1+$C$10)+IF(B1088="Working",F119,0))-P1088,0)</f>
        <v/>
      </c>
      <c r="U1088" s="138">
        <f>Q1088+R1088+S1088+T1088</f>
        <v/>
      </c>
      <c r="V1088" s="138">
        <f>IF(B1088="Working",MAX(-(((Q1087)*(1+$C$10)+IF(B1088="Working",J1088,0))),0),MAX(K1088-L1088,0))</f>
        <v/>
      </c>
      <c r="W1088" s="138">
        <f>IF(OR(A1088&gt;=$C$13,B1088="Retired"),IF(V1088&gt;0,-V1088,U1088-'Model Inputs'!$B$18),"")</f>
        <v/>
      </c>
      <c r="X1088" s="138">
        <f>IF(AND($L$245&gt;0,A1088&gt;=$C$13),$L$245*(1+$C$25)^(A1088-$C$13),0)</f>
        <v/>
      </c>
      <c r="Y1088" s="138">
        <f>IF(OR($L$245&lt;=0,$C$17&lt;=0,A1088&lt;$C$13,MIN(MAX((A1088-$C$13+1)*12,0),$C$17*12)&gt;=$C$17*12),0,IF($C$16=0,MAX(MAX($L$245*(1-$C$15),0)-(IF($C$17&lt;=0,0,IF($C$16=0,MAX($L$245*(1-$C$15),0)/$C$17,-PMT($C$16/12,$C$17*12,MAX($L$245*(1-$C$15),0))*12))/12)*MIN(MAX((A1088-$C$13+1)*12,0),$C$17*12),0),MAX(MAX($L$245*(1-$C$15),0)*(1+$C$16/12)^MIN(MAX((A1088-$C$13+1)*12,0),$C$17*12)-(IF($C$17&lt;=0,0,IF($C$16=0,MAX($L$245*(1-$C$15),0)/$C$17,-PMT($C$16/12,$C$17*12,MAX($L$245*(1-$C$15),0))*12))/12)*(((1+$C$16/12)^MIN(MAX((A1088-$C$13+1)*12,0),$C$17*12)-1)/($C$16/12)),0)))</f>
        <v/>
      </c>
      <c r="Z1088" s="138">
        <f>MAX(X1088-Y1088,0)</f>
        <v/>
      </c>
      <c r="AA1088" s="142">
        <f>U1088+Z1088</f>
        <v/>
      </c>
      <c r="AB1088" s="5" t="n"/>
      <c r="AC1088" s="5" t="n"/>
      <c r="AD1088" s="5" t="n"/>
      <c r="AE1088" s="5" t="n"/>
      <c r="AF1088" s="5" t="n"/>
      <c r="AG1088" s="5" t="n"/>
    </row>
    <row r="1089" outlineLevel="1" s="326">
      <c r="A1089" s="143" t="inlineStr">
        <is>
          <t>Case Summary</t>
        </is>
      </c>
      <c r="B1089" s="144" t="n"/>
      <c r="C1089" s="144" t="n"/>
      <c r="D1089" s="144" t="n"/>
      <c r="E1089" s="144" t="n"/>
      <c r="F1089" s="144" t="n"/>
      <c r="G1089" s="145">
        <f>SUM(G1049:G1088)</f>
        <v/>
      </c>
      <c r="H1089" s="145">
        <f>SUM(H1049:H1088)</f>
        <v/>
      </c>
      <c r="I1089" s="145">
        <f>SUM(I1049:I1088)</f>
        <v/>
      </c>
      <c r="J1089" s="145">
        <f>SUM(J1049:J1088)</f>
        <v/>
      </c>
      <c r="K1089" s="145">
        <f>SUM(K1049:K1088)</f>
        <v/>
      </c>
      <c r="L1089" s="145">
        <f>SUM(L1049:L1088)</f>
        <v/>
      </c>
      <c r="M1089" s="145">
        <f>SUM(M1049:M1088)</f>
        <v/>
      </c>
      <c r="N1089" s="145">
        <f>SUM(N1049:N1088)</f>
        <v/>
      </c>
      <c r="O1089" s="145">
        <f>SUM(O1049:O1088)</f>
        <v/>
      </c>
      <c r="P1089" s="145">
        <f>SUM(P1049:P1088)</f>
        <v/>
      </c>
      <c r="Q1089" s="145">
        <f>Q1088</f>
        <v/>
      </c>
      <c r="R1089" s="145">
        <f>R1088</f>
        <v/>
      </c>
      <c r="S1089" s="145">
        <f>S1088</f>
        <v/>
      </c>
      <c r="T1089" s="145">
        <f>T1088</f>
        <v/>
      </c>
      <c r="U1089" s="145">
        <f>U1088</f>
        <v/>
      </c>
      <c r="V1089" s="145">
        <f>SUM(V1049:V1088)</f>
        <v/>
      </c>
      <c r="W1089" s="145">
        <f>MIN(W1049:W1088)</f>
        <v/>
      </c>
      <c r="X1089" s="145">
        <f>X1088</f>
        <v/>
      </c>
      <c r="Y1089" s="145">
        <f>Y1088</f>
        <v/>
      </c>
      <c r="Z1089" s="145">
        <f>Z1088</f>
        <v/>
      </c>
      <c r="AA1089" s="146">
        <f>AA1088</f>
        <v/>
      </c>
      <c r="AB1089" s="5" t="n"/>
      <c r="AC1089" s="5" t="n"/>
      <c r="AD1089" s="5" t="n"/>
      <c r="AE1089" s="5" t="n"/>
      <c r="AF1089" s="5" t="n"/>
      <c r="AG1089" s="5" t="n"/>
    </row>
    <row r="1090" outlineLevel="1" s="326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5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5" t="n"/>
      <c r="AE1090" s="5" t="n"/>
      <c r="AF1090" s="5" t="n"/>
      <c r="AG1090" s="5" t="n"/>
    </row>
    <row r="1091" outlineLevel="1" s="326">
      <c r="A1091" s="387">
        <f>J246&amp;" | House "&amp;TEXT($L$246,"$#,##0")&amp;" | Spend "&amp;TEXT($N$246,"$#,##0")</f>
        <v/>
      </c>
      <c r="B1091" s="345" t="n"/>
      <c r="C1091" s="345" t="n"/>
      <c r="D1091" s="345" t="n"/>
      <c r="E1091" s="345" t="n"/>
      <c r="F1091" s="345" t="n"/>
      <c r="G1091" s="345" t="n"/>
      <c r="H1091" s="345" t="n"/>
      <c r="I1091" s="345" t="n"/>
      <c r="J1091" s="345" t="n"/>
      <c r="K1091" s="345" t="n"/>
      <c r="L1091" s="345" t="n"/>
      <c r="M1091" s="345" t="n"/>
      <c r="N1091" s="345" t="n"/>
      <c r="O1091" s="345" t="n"/>
      <c r="P1091" s="345" t="n"/>
      <c r="Q1091" s="345" t="n"/>
      <c r="R1091" s="345" t="n"/>
      <c r="S1091" s="345" t="n"/>
      <c r="T1091" s="345" t="n"/>
      <c r="U1091" s="345" t="n"/>
      <c r="V1091" s="345" t="n"/>
      <c r="W1091" s="345" t="n"/>
      <c r="X1091" s="345" t="n"/>
      <c r="Y1091" s="345" t="n"/>
      <c r="Z1091" s="345" t="n"/>
      <c r="AA1091" s="346" t="n"/>
      <c r="AB1091" s="5" t="n"/>
      <c r="AC1091" s="5" t="n"/>
      <c r="AD1091" s="5" t="n"/>
      <c r="AE1091" s="5" t="n"/>
      <c r="AF1091" s="5" t="n"/>
      <c r="AG1091" s="5" t="n"/>
    </row>
    <row r="1092" outlineLevel="1" ht="34" customHeight="1" s="326">
      <c r="A1092" s="134" t="inlineStr">
        <is>
          <t>Year</t>
        </is>
      </c>
      <c r="B1092" s="83" t="inlineStr">
        <is>
          <t>Phase</t>
        </is>
      </c>
      <c r="C1092" s="83" t="inlineStr">
        <is>
          <t>Gross</t>
        </is>
      </c>
      <c r="D1092" s="83" t="inlineStr">
        <is>
          <t>Post-Tax Cash</t>
        </is>
      </c>
      <c r="E1092" s="83" t="inlineStr">
        <is>
          <t>Rent</t>
        </is>
      </c>
      <c r="F1092" s="83" t="inlineStr">
        <is>
          <t>Living</t>
        </is>
      </c>
      <c r="G1092" s="83" t="inlineStr">
        <is>
          <t>House Cash</t>
        </is>
      </c>
      <c r="H1092" s="83" t="inlineStr">
        <is>
          <t>Housing Carry</t>
        </is>
      </c>
      <c r="I1092" s="83" t="inlineStr">
        <is>
          <t>Roth</t>
        </is>
      </c>
      <c r="J1092" s="83" t="inlineStr">
        <is>
          <t>Taxable Sav / (Draw)</t>
        </is>
      </c>
      <c r="K1092" s="83" t="inlineStr">
        <is>
          <t>Planned Need</t>
        </is>
      </c>
      <c r="L1092" s="83" t="inlineStr">
        <is>
          <t>Actual W/D</t>
        </is>
      </c>
      <c r="M1092" s="83" t="inlineStr">
        <is>
          <t>Taxable Draw</t>
        </is>
      </c>
      <c r="N1092" s="83" t="inlineStr">
        <is>
          <t>401(k) Draw</t>
        </is>
      </c>
      <c r="O1092" s="83" t="inlineStr">
        <is>
          <t>Roth Draw</t>
        </is>
      </c>
      <c r="P1092" s="83" t="inlineStr">
        <is>
          <t>HSA Draw</t>
        </is>
      </c>
      <c r="Q1092" s="83" t="inlineStr">
        <is>
          <t>Taxable Bal</t>
        </is>
      </c>
      <c r="R1092" s="83" t="inlineStr">
        <is>
          <t>401(k) Bal</t>
        </is>
      </c>
      <c r="S1092" s="83" t="inlineStr">
        <is>
          <t>Roth Bal</t>
        </is>
      </c>
      <c r="T1092" s="83" t="inlineStr">
        <is>
          <t>HSA Bal</t>
        </is>
      </c>
      <c r="U1092" s="83" t="inlineStr">
        <is>
          <t>Liquid Wealth</t>
        </is>
      </c>
      <c r="V1092" s="83" t="inlineStr">
        <is>
          <t>Funding Gap</t>
        </is>
      </c>
      <c r="W1092" s="83" t="inlineStr">
        <is>
          <t>Margin vs Reserve</t>
        </is>
      </c>
      <c r="X1092" s="83" t="inlineStr">
        <is>
          <t>House Value</t>
        </is>
      </c>
      <c r="Y1092" s="83" t="inlineStr">
        <is>
          <t>Mortgage Balance</t>
        </is>
      </c>
      <c r="Z1092" s="83" t="inlineStr">
        <is>
          <t>Home Equity</t>
        </is>
      </c>
      <c r="AA1092" s="135" t="inlineStr">
        <is>
          <t>Net Worth</t>
        </is>
      </c>
      <c r="AB1092" s="5" t="n"/>
      <c r="AC1092" s="5" t="n"/>
      <c r="AD1092" s="5" t="n"/>
      <c r="AE1092" s="5" t="n"/>
      <c r="AF1092" s="5" t="n"/>
      <c r="AG1092" s="5" t="n"/>
    </row>
    <row r="1093" outlineLevel="1" s="326">
      <c r="A1093" s="136" t="n">
        <v>1</v>
      </c>
      <c r="B1093" s="72">
        <f>B80</f>
        <v/>
      </c>
      <c r="C1093" s="137">
        <f>D80</f>
        <v/>
      </c>
      <c r="D1093" s="137">
        <f>I80</f>
        <v/>
      </c>
      <c r="E1093" s="137">
        <f>J80</f>
        <v/>
      </c>
      <c r="F1093" s="137">
        <f>K80</f>
        <v/>
      </c>
      <c r="G1093" s="138">
        <f>IF(AND($L$246&gt;0,A1093=$C$13),$L$246*($C$15+$C$18),0)+IF(AND($L$246&gt;0,A1093=$C$13),$C$24,0)</f>
        <v/>
      </c>
      <c r="H1093" s="138">
        <f>IF(OR($L$246&lt;=0,A1093&lt;$C$13),0,IF(AND($L$246&gt;0,$C$17&gt;0,A1093&gt;=$C$13,A1093&lt;($C$13+$C$17)),IF($C$17&lt;=0,0,IF($C$16=0,MAX($L$246*(1-$C$15),0)/$C$17,-PMT($C$16/12,$C$17*12,MAX($L$246*(1-$C$15),0))*12)),0)+X1093*($C$19+$C$20+$C$21)+$C$22+$C$23)</f>
        <v/>
      </c>
      <c r="I1093" s="138">
        <f>IF(B1093="Working",MIN(MAX(D1093-E1093-F1093-G1093-H1093,0),'Tax Assumptions'!$B$20),0)</f>
        <v/>
      </c>
      <c r="J1093" s="138">
        <f>IF(B1093="Working",D1093-E1093-F1093-I1093-G1093-H1093,-L1093)</f>
        <v/>
      </c>
      <c r="K1093" s="137">
        <f>IF(B1093="Retired",$N$246+G1093+H1093,0)</f>
        <v/>
      </c>
      <c r="L1093" s="137">
        <f>M1093+N1093+O1093+P1093</f>
        <v/>
      </c>
      <c r="M1093" s="137">
        <f>IF(B1093="Retired",MIN((('Savings Projection'!$B$7)*(1+$C$10)+IF(B1093="Working",J1093,0)),K1093),0)</f>
        <v/>
      </c>
      <c r="N1093" s="137">
        <f>IF(B1093="Retired",MIN(MAX(K1093-M1093,0),(('Savings Projection'!$B$8)*(1+$C$10)+IF(B1093="Working",E80,0))),0)</f>
        <v/>
      </c>
      <c r="O1093" s="137">
        <f>IF(B1093="Retired",MIN(MAX(K1093-M1093-N1093,0),(('Savings Projection'!$B$9)*(1+$C$10)+IF(B1093="Working",I1093,0))),0)</f>
        <v/>
      </c>
      <c r="P1093" s="137">
        <f>IF(B1093="Retired",MIN(MAX(K1093-M1093-N1093-O1093,0),(('Savings Projection'!$B$10)*(1+$C$10)+IF(B1093="Working",F80,0))),0)</f>
        <v/>
      </c>
      <c r="Q1093" s="138">
        <f>MAX((('Savings Projection'!$B$7)*(1+$C$10)+IF(B1093="Working",J1093,0))-M1093,0)</f>
        <v/>
      </c>
      <c r="R1093" s="138">
        <f>MAX((('Savings Projection'!$B$8)*(1+$C$10)+IF(B1093="Working",E80,0))-N1093,0)</f>
        <v/>
      </c>
      <c r="S1093" s="138">
        <f>MAX((('Savings Projection'!$B$9)*(1+$C$10)+IF(B1093="Working",I1093,0))-O1093,0)</f>
        <v/>
      </c>
      <c r="T1093" s="138">
        <f>MAX((('Savings Projection'!$B$10)*(1+$C$10)+IF(B1093="Working",F80,0))-P1093,0)</f>
        <v/>
      </c>
      <c r="U1093" s="138">
        <f>Q1093+R1093+S1093+T1093</f>
        <v/>
      </c>
      <c r="V1093" s="138">
        <f>IF(B1093="Working",MAX(-((('Savings Projection'!$B$7)*(1+$C$10)+IF(B1093="Working",J1093,0))),0),MAX(K1093-L1093,0))</f>
        <v/>
      </c>
      <c r="W1093" s="138">
        <f>IF(OR(A1093&gt;=$C$13,B1093="Retired"),IF(V1093&gt;0,-V1093,U1093-'Model Inputs'!$B$18),"")</f>
        <v/>
      </c>
      <c r="X1093" s="138">
        <f>IF(AND($L$246&gt;0,A1093&gt;=$C$13),$L$246*(1+$C$25)^(A1093-$C$13),0)</f>
        <v/>
      </c>
      <c r="Y1093" s="138">
        <f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/>
      </c>
      <c r="Z1093" s="138">
        <f>MAX(X1093-Y1093,0)</f>
        <v/>
      </c>
      <c r="AA1093" s="139">
        <f>U1093+Z1093</f>
        <v/>
      </c>
      <c r="AB1093" s="5" t="n"/>
      <c r="AC1093" s="5" t="n"/>
      <c r="AD1093" s="5" t="n"/>
      <c r="AE1093" s="5" t="n"/>
      <c r="AF1093" s="5" t="n"/>
      <c r="AG1093" s="5" t="n"/>
    </row>
    <row r="1094" outlineLevel="1" s="326">
      <c r="A1094" s="140" t="n">
        <v>2</v>
      </c>
      <c r="B1094" s="40">
        <f>B81</f>
        <v/>
      </c>
      <c r="C1094" s="141">
        <f>D81</f>
        <v/>
      </c>
      <c r="D1094" s="141">
        <f>I81</f>
        <v/>
      </c>
      <c r="E1094" s="141">
        <f>J81</f>
        <v/>
      </c>
      <c r="F1094" s="141">
        <f>K81</f>
        <v/>
      </c>
      <c r="G1094" s="138">
        <f>IF(AND($L$246&gt;0,A1094=$C$13),$L$246*($C$15+$C$18),0)+IF(AND($L$246&gt;0,A1094=$C$13),$C$24,0)</f>
        <v/>
      </c>
      <c r="H1094" s="138">
        <f>IF(OR($L$246&lt;=0,A1094&lt;$C$13),0,IF(AND($L$246&gt;0,$C$17&gt;0,A1094&gt;=$C$13,A1094&lt;($C$13+$C$17)),IF($C$17&lt;=0,0,IF($C$16=0,MAX($L$246*(1-$C$15),0)/$C$17,-PMT($C$16/12,$C$17*12,MAX($L$246*(1-$C$15),0))*12)),0)+X1094*($C$19+$C$20+$C$21)+$C$22+$C$23)</f>
        <v/>
      </c>
      <c r="I1094" s="138">
        <f>IF(B1094="Working",MIN(MAX(D1094-E1094-F1094-G1094-H1094,0),'Tax Assumptions'!$B$20),0)</f>
        <v/>
      </c>
      <c r="J1094" s="138">
        <f>IF(B1094="Working",D1094-E1094-F1094-I1094-G1094-H1094,-L1094)</f>
        <v/>
      </c>
      <c r="K1094" s="141">
        <f>IF(B1094="Retired",$N$246+G1094+H1094,0)</f>
        <v/>
      </c>
      <c r="L1094" s="141">
        <f>M1094+N1094+O1094+P1094</f>
        <v/>
      </c>
      <c r="M1094" s="141">
        <f>IF(B1094="Retired",MIN(((Q1093)*(1+$C$10)+IF(B1094="Working",J1094,0)),K1094),0)</f>
        <v/>
      </c>
      <c r="N1094" s="141">
        <f>IF(B1094="Retired",MIN(MAX(K1094-M1094,0),((R1093)*(1+$C$10)+IF(B1094="Working",E81,0))),0)</f>
        <v/>
      </c>
      <c r="O1094" s="141">
        <f>IF(B1094="Retired",MIN(MAX(K1094-M1094-N1094,0),((S1093)*(1+$C$10)+IF(B1094="Working",I1094,0))),0)</f>
        <v/>
      </c>
      <c r="P1094" s="141">
        <f>IF(B1094="Retired",MIN(MAX(K1094-M1094-N1094-O1094,0),((T1093)*(1+$C$10)+IF(B1094="Working",F81,0))),0)</f>
        <v/>
      </c>
      <c r="Q1094" s="138">
        <f>MAX(((Q1093)*(1+$C$10)+IF(B1094="Working",J1094,0))-M1094,0)</f>
        <v/>
      </c>
      <c r="R1094" s="138">
        <f>MAX(((R1093)*(1+$C$10)+IF(B1094="Working",E81,0))-N1094,0)</f>
        <v/>
      </c>
      <c r="S1094" s="138">
        <f>MAX(((S1093)*(1+$C$10)+IF(B1094="Working",I1094,0))-O1094,0)</f>
        <v/>
      </c>
      <c r="T1094" s="138">
        <f>MAX(((T1093)*(1+$C$10)+IF(B1094="Working",F81,0))-P1094,0)</f>
        <v/>
      </c>
      <c r="U1094" s="138">
        <f>Q1094+R1094+S1094+T1094</f>
        <v/>
      </c>
      <c r="V1094" s="138">
        <f>IF(B1094="Working",MAX(-(((Q1093)*(1+$C$10)+IF(B1094="Working",J1094,0))),0),MAX(K1094-L1094,0))</f>
        <v/>
      </c>
      <c r="W1094" s="138">
        <f>IF(OR(A1094&gt;=$C$13,B1094="Retired"),IF(V1094&gt;0,-V1094,U1094-'Model Inputs'!$B$18),"")</f>
        <v/>
      </c>
      <c r="X1094" s="138">
        <f>IF(AND($L$246&gt;0,A1094&gt;=$C$13),$L$246*(1+$C$25)^(A1094-$C$13),0)</f>
        <v/>
      </c>
      <c r="Y1094" s="138">
        <f>IF(OR($L$246&lt;=0,$C$17&lt;=0,A1094&lt;$C$13,MIN(MAX((A1094-$C$13+1)*12,0),$C$17*12)&gt;=$C$17*12),0,IF($C$16=0,MAX(MAX($L$246*(1-$C$15),0)-(IF($C$17&lt;=0,0,IF($C$16=0,MAX($L$246*(1-$C$15),0)/$C$17,-PMT($C$16/12,$C$17*12,MAX($L$246*(1-$C$15),0))*12))/12)*MIN(MAX((A1094-$C$13+1)*12,0),$C$17*12),0),MAX(MAX($L$246*(1-$C$15),0)*(1+$C$16/12)^MIN(MAX((A1094-$C$13+1)*12,0),$C$17*12)-(IF($C$17&lt;=0,0,IF($C$16=0,MAX($L$246*(1-$C$15),0)/$C$17,-PMT($C$16/12,$C$17*12,MAX($L$246*(1-$C$15),0))*12))/12)*(((1+$C$16/12)^MIN(MAX((A1094-$C$13+1)*12,0),$C$17*12)-1)/($C$16/12)),0)))</f>
        <v/>
      </c>
      <c r="Z1094" s="138">
        <f>MAX(X1094-Y1094,0)</f>
        <v/>
      </c>
      <c r="AA1094" s="142">
        <f>U1094+Z1094</f>
        <v/>
      </c>
      <c r="AB1094" s="5" t="n"/>
      <c r="AC1094" s="5" t="n"/>
      <c r="AD1094" s="5" t="n"/>
      <c r="AE1094" s="5" t="n"/>
      <c r="AF1094" s="5" t="n"/>
      <c r="AG1094" s="5" t="n"/>
    </row>
    <row r="1095" outlineLevel="1" s="326">
      <c r="A1095" s="136" t="n">
        <v>3</v>
      </c>
      <c r="B1095" s="72">
        <f>B82</f>
        <v/>
      </c>
      <c r="C1095" s="137">
        <f>D82</f>
        <v/>
      </c>
      <c r="D1095" s="137">
        <f>I82</f>
        <v/>
      </c>
      <c r="E1095" s="137">
        <f>J82</f>
        <v/>
      </c>
      <c r="F1095" s="137">
        <f>K82</f>
        <v/>
      </c>
      <c r="G1095" s="138">
        <f>IF(AND($L$246&gt;0,A1095=$C$13),$L$246*($C$15+$C$18),0)+IF(AND($L$246&gt;0,A1095=$C$13),$C$24,0)</f>
        <v/>
      </c>
      <c r="H1095" s="138">
        <f>IF(OR($L$246&lt;=0,A1095&lt;$C$13),0,IF(AND($L$246&gt;0,$C$17&gt;0,A1095&gt;=$C$13,A1095&lt;($C$13+$C$17)),IF($C$17&lt;=0,0,IF($C$16=0,MAX($L$246*(1-$C$15),0)/$C$17,-PMT($C$16/12,$C$17*12,MAX($L$246*(1-$C$15),0))*12)),0)+X1095*($C$19+$C$20+$C$21)+$C$22+$C$23)</f>
        <v/>
      </c>
      <c r="I1095" s="138">
        <f>IF(B1095="Working",MIN(MAX(D1095-E1095-F1095-G1095-H1095,0),'Tax Assumptions'!$B$20),0)</f>
        <v/>
      </c>
      <c r="J1095" s="138">
        <f>IF(B1095="Working",D1095-E1095-F1095-I1095-G1095-H1095,-L1095)</f>
        <v/>
      </c>
      <c r="K1095" s="137">
        <f>IF(B1095="Retired",$N$246+G1095+H1095,0)</f>
        <v/>
      </c>
      <c r="L1095" s="137">
        <f>M1095+N1095+O1095+P1095</f>
        <v/>
      </c>
      <c r="M1095" s="137">
        <f>IF(B1095="Retired",MIN(((Q1094)*(1+$C$10)+IF(B1095="Working",J1095,0)),K1095),0)</f>
        <v/>
      </c>
      <c r="N1095" s="137">
        <f>IF(B1095="Retired",MIN(MAX(K1095-M1095,0),((R1094)*(1+$C$10)+IF(B1095="Working",E82,0))),0)</f>
        <v/>
      </c>
      <c r="O1095" s="137">
        <f>IF(B1095="Retired",MIN(MAX(K1095-M1095-N1095,0),((S1094)*(1+$C$10)+IF(B1095="Working",I1095,0))),0)</f>
        <v/>
      </c>
      <c r="P1095" s="137">
        <f>IF(B1095="Retired",MIN(MAX(K1095-M1095-N1095-O1095,0),((T1094)*(1+$C$10)+IF(B1095="Working",F82,0))),0)</f>
        <v/>
      </c>
      <c r="Q1095" s="138">
        <f>MAX(((Q1094)*(1+$C$10)+IF(B1095="Working",J1095,0))-M1095,0)</f>
        <v/>
      </c>
      <c r="R1095" s="138">
        <f>MAX(((R1094)*(1+$C$10)+IF(B1095="Working",E82,0))-N1095,0)</f>
        <v/>
      </c>
      <c r="S1095" s="138">
        <f>MAX(((S1094)*(1+$C$10)+IF(B1095="Working",I1095,0))-O1095,0)</f>
        <v/>
      </c>
      <c r="T1095" s="138">
        <f>MAX(((T1094)*(1+$C$10)+IF(B1095="Working",F82,0))-P1095,0)</f>
        <v/>
      </c>
      <c r="U1095" s="138">
        <f>Q1095+R1095+S1095+T1095</f>
        <v/>
      </c>
      <c r="V1095" s="138">
        <f>IF(B1095="Working",MAX(-(((Q1094)*(1+$C$10)+IF(B1095="Working",J1095,0))),0),MAX(K1095-L1095,0))</f>
        <v/>
      </c>
      <c r="W1095" s="138">
        <f>IF(OR(A1095&gt;=$C$13,B1095="Retired"),IF(V1095&gt;0,-V1095,U1095-'Model Inputs'!$B$18),"")</f>
        <v/>
      </c>
      <c r="X1095" s="138">
        <f>IF(AND($L$246&gt;0,A1095&gt;=$C$13),$L$246*(1+$C$25)^(A1095-$C$13),0)</f>
        <v/>
      </c>
      <c r="Y1095" s="138">
        <f>IF(OR($L$246&lt;=0,$C$17&lt;=0,A1095&lt;$C$13,MIN(MAX((A1095-$C$13+1)*12,0),$C$17*12)&gt;=$C$17*12),0,IF($C$16=0,MAX(MAX($L$246*(1-$C$15),0)-(IF($C$17&lt;=0,0,IF($C$16=0,MAX($L$246*(1-$C$15),0)/$C$17,-PMT($C$16/12,$C$17*12,MAX($L$246*(1-$C$15),0))*12))/12)*MIN(MAX((A1095-$C$13+1)*12,0),$C$17*12),0),MAX(MAX($L$246*(1-$C$15),0)*(1+$C$16/12)^MIN(MAX((A1095-$C$13+1)*12,0),$C$17*12)-(IF($C$17&lt;=0,0,IF($C$16=0,MAX($L$246*(1-$C$15),0)/$C$17,-PMT($C$16/12,$C$17*12,MAX($L$246*(1-$C$15),0))*12))/12)*(((1+$C$16/12)^MIN(MAX((A1095-$C$13+1)*12,0),$C$17*12)-1)/($C$16/12)),0)))</f>
        <v/>
      </c>
      <c r="Z1095" s="138">
        <f>MAX(X1095-Y1095,0)</f>
        <v/>
      </c>
      <c r="AA1095" s="139">
        <f>U1095+Z1095</f>
        <v/>
      </c>
      <c r="AB1095" s="5" t="n"/>
      <c r="AC1095" s="5" t="n"/>
      <c r="AD1095" s="5" t="n"/>
      <c r="AE1095" s="5" t="n"/>
      <c r="AF1095" s="5" t="n"/>
      <c r="AG1095" s="5" t="n"/>
    </row>
    <row r="1096" outlineLevel="1" s="326">
      <c r="A1096" s="140" t="n">
        <v>4</v>
      </c>
      <c r="B1096" s="40">
        <f>B83</f>
        <v/>
      </c>
      <c r="C1096" s="141">
        <f>D83</f>
        <v/>
      </c>
      <c r="D1096" s="141">
        <f>I83</f>
        <v/>
      </c>
      <c r="E1096" s="141">
        <f>J83</f>
        <v/>
      </c>
      <c r="F1096" s="141">
        <f>K83</f>
        <v/>
      </c>
      <c r="G1096" s="138">
        <f>IF(AND($L$246&gt;0,A1096=$C$13),$L$246*($C$15+$C$18),0)+IF(AND($L$246&gt;0,A1096=$C$13),$C$24,0)</f>
        <v/>
      </c>
      <c r="H1096" s="138">
        <f>IF(OR($L$246&lt;=0,A1096&lt;$C$13),0,IF(AND($L$246&gt;0,$C$17&gt;0,A1096&gt;=$C$13,A1096&lt;($C$13+$C$17)),IF($C$17&lt;=0,0,IF($C$16=0,MAX($L$246*(1-$C$15),0)/$C$17,-PMT($C$16/12,$C$17*12,MAX($L$246*(1-$C$15),0))*12)),0)+X1096*($C$19+$C$20+$C$21)+$C$22+$C$23)</f>
        <v/>
      </c>
      <c r="I1096" s="138">
        <f>IF(B1096="Working",MIN(MAX(D1096-E1096-F1096-G1096-H1096,0),'Tax Assumptions'!$B$20),0)</f>
        <v/>
      </c>
      <c r="J1096" s="138">
        <f>IF(B1096="Working",D1096-E1096-F1096-I1096-G1096-H1096,-L1096)</f>
        <v/>
      </c>
      <c r="K1096" s="141">
        <f>IF(B1096="Retired",$N$246+G1096+H1096,0)</f>
        <v/>
      </c>
      <c r="L1096" s="141">
        <f>M1096+N1096+O1096+P1096</f>
        <v/>
      </c>
      <c r="M1096" s="141">
        <f>IF(B1096="Retired",MIN(((Q1095)*(1+$C$10)+IF(B1096="Working",J1096,0)),K1096),0)</f>
        <v/>
      </c>
      <c r="N1096" s="141">
        <f>IF(B1096="Retired",MIN(MAX(K1096-M1096,0),((R1095)*(1+$C$10)+IF(B1096="Working",E83,0))),0)</f>
        <v/>
      </c>
      <c r="O1096" s="141">
        <f>IF(B1096="Retired",MIN(MAX(K1096-M1096-N1096,0),((S1095)*(1+$C$10)+IF(B1096="Working",I1096,0))),0)</f>
        <v/>
      </c>
      <c r="P1096" s="141">
        <f>IF(B1096="Retired",MIN(MAX(K1096-M1096-N1096-O1096,0),((T1095)*(1+$C$10)+IF(B1096="Working",F83,0))),0)</f>
        <v/>
      </c>
      <c r="Q1096" s="138">
        <f>MAX(((Q1095)*(1+$C$10)+IF(B1096="Working",J1096,0))-M1096,0)</f>
        <v/>
      </c>
      <c r="R1096" s="138">
        <f>MAX(((R1095)*(1+$C$10)+IF(B1096="Working",E83,0))-N1096,0)</f>
        <v/>
      </c>
      <c r="S1096" s="138">
        <f>MAX(((S1095)*(1+$C$10)+IF(B1096="Working",I1096,0))-O1096,0)</f>
        <v/>
      </c>
      <c r="T1096" s="138">
        <f>MAX(((T1095)*(1+$C$10)+IF(B1096="Working",F83,0))-P1096,0)</f>
        <v/>
      </c>
      <c r="U1096" s="138">
        <f>Q1096+R1096+S1096+T1096</f>
        <v/>
      </c>
      <c r="V1096" s="138">
        <f>IF(B1096="Working",MAX(-(((Q1095)*(1+$C$10)+IF(B1096="Working",J1096,0))),0),MAX(K1096-L1096,0))</f>
        <v/>
      </c>
      <c r="W1096" s="138">
        <f>IF(OR(A1096&gt;=$C$13,B1096="Retired"),IF(V1096&gt;0,-V1096,U1096-'Model Inputs'!$B$18),"")</f>
        <v/>
      </c>
      <c r="X1096" s="138">
        <f>IF(AND($L$246&gt;0,A1096&gt;=$C$13),$L$246*(1+$C$25)^(A1096-$C$13),0)</f>
        <v/>
      </c>
      <c r="Y1096" s="138">
        <f>IF(OR($L$246&lt;=0,$C$17&lt;=0,A1096&lt;$C$13,MIN(MAX((A1096-$C$13+1)*12,0),$C$17*12)&gt;=$C$17*12),0,IF($C$16=0,MAX(MAX($L$246*(1-$C$15),0)-(IF($C$17&lt;=0,0,IF($C$16=0,MAX($L$246*(1-$C$15),0)/$C$17,-PMT($C$16/12,$C$17*12,MAX($L$246*(1-$C$15),0))*12))/12)*MIN(MAX((A1096-$C$13+1)*12,0),$C$17*12),0),MAX(MAX($L$246*(1-$C$15),0)*(1+$C$16/12)^MIN(MAX((A1096-$C$13+1)*12,0),$C$17*12)-(IF($C$17&lt;=0,0,IF($C$16=0,MAX($L$246*(1-$C$15),0)/$C$17,-PMT($C$16/12,$C$17*12,MAX($L$246*(1-$C$15),0))*12))/12)*(((1+$C$16/12)^MIN(MAX((A1096-$C$13+1)*12,0),$C$17*12)-1)/($C$16/12)),0)))</f>
        <v/>
      </c>
      <c r="Z1096" s="138">
        <f>MAX(X1096-Y1096,0)</f>
        <v/>
      </c>
      <c r="AA1096" s="142">
        <f>U1096+Z1096</f>
        <v/>
      </c>
      <c r="AB1096" s="5" t="n"/>
      <c r="AC1096" s="5" t="n"/>
      <c r="AD1096" s="5" t="n"/>
      <c r="AE1096" s="5" t="n"/>
      <c r="AF1096" s="5" t="n"/>
      <c r="AG1096" s="5" t="n"/>
    </row>
    <row r="1097" outlineLevel="1" s="326">
      <c r="A1097" s="136" t="n">
        <v>5</v>
      </c>
      <c r="B1097" s="72">
        <f>B84</f>
        <v/>
      </c>
      <c r="C1097" s="137">
        <f>D84</f>
        <v/>
      </c>
      <c r="D1097" s="137">
        <f>I84</f>
        <v/>
      </c>
      <c r="E1097" s="137">
        <f>J84</f>
        <v/>
      </c>
      <c r="F1097" s="137">
        <f>K84</f>
        <v/>
      </c>
      <c r="G1097" s="138">
        <f>IF(AND($L$246&gt;0,A1097=$C$13),$L$246*($C$15+$C$18),0)+IF(AND($L$246&gt;0,A1097=$C$13),$C$24,0)</f>
        <v/>
      </c>
      <c r="H1097" s="138">
        <f>IF(OR($L$246&lt;=0,A1097&lt;$C$13),0,IF(AND($L$246&gt;0,$C$17&gt;0,A1097&gt;=$C$13,A1097&lt;($C$13+$C$17)),IF($C$17&lt;=0,0,IF($C$16=0,MAX($L$246*(1-$C$15),0)/$C$17,-PMT($C$16/12,$C$17*12,MAX($L$246*(1-$C$15),0))*12)),0)+X1097*($C$19+$C$20+$C$21)+$C$22+$C$23)</f>
        <v/>
      </c>
      <c r="I1097" s="138">
        <f>IF(B1097="Working",MIN(MAX(D1097-E1097-F1097-G1097-H1097,0),'Tax Assumptions'!$B$20),0)</f>
        <v/>
      </c>
      <c r="J1097" s="138">
        <f>IF(B1097="Working",D1097-E1097-F1097-I1097-G1097-H1097,-L1097)</f>
        <v/>
      </c>
      <c r="K1097" s="137">
        <f>IF(B1097="Retired",$N$246+G1097+H1097,0)</f>
        <v/>
      </c>
      <c r="L1097" s="137">
        <f>M1097+N1097+O1097+P1097</f>
        <v/>
      </c>
      <c r="M1097" s="137">
        <f>IF(B1097="Retired",MIN(((Q1096)*(1+$C$10)+IF(B1097="Working",J1097,0)),K1097),0)</f>
        <v/>
      </c>
      <c r="N1097" s="137">
        <f>IF(B1097="Retired",MIN(MAX(K1097-M1097,0),((R1096)*(1+$C$10)+IF(B1097="Working",E84,0))),0)</f>
        <v/>
      </c>
      <c r="O1097" s="137">
        <f>IF(B1097="Retired",MIN(MAX(K1097-M1097-N1097,0),((S1096)*(1+$C$10)+IF(B1097="Working",I1097,0))),0)</f>
        <v/>
      </c>
      <c r="P1097" s="137">
        <f>IF(B1097="Retired",MIN(MAX(K1097-M1097-N1097-O1097,0),((T1096)*(1+$C$10)+IF(B1097="Working",F84,0))),0)</f>
        <v/>
      </c>
      <c r="Q1097" s="138">
        <f>MAX(((Q1096)*(1+$C$10)+IF(B1097="Working",J1097,0))-M1097,0)</f>
        <v/>
      </c>
      <c r="R1097" s="138">
        <f>MAX(((R1096)*(1+$C$10)+IF(B1097="Working",E84,0))-N1097,0)</f>
        <v/>
      </c>
      <c r="S1097" s="138">
        <f>MAX(((S1096)*(1+$C$10)+IF(B1097="Working",I1097,0))-O1097,0)</f>
        <v/>
      </c>
      <c r="T1097" s="138">
        <f>MAX(((T1096)*(1+$C$10)+IF(B1097="Working",F84,0))-P1097,0)</f>
        <v/>
      </c>
      <c r="U1097" s="138">
        <f>Q1097+R1097+S1097+T1097</f>
        <v/>
      </c>
      <c r="V1097" s="138">
        <f>IF(B1097="Working",MAX(-(((Q1096)*(1+$C$10)+IF(B1097="Working",J1097,0))),0),MAX(K1097-L1097,0))</f>
        <v/>
      </c>
      <c r="W1097" s="138">
        <f>IF(OR(A1097&gt;=$C$13,B1097="Retired"),IF(V1097&gt;0,-V1097,U1097-'Model Inputs'!$B$18),"")</f>
        <v/>
      </c>
      <c r="X1097" s="138">
        <f>IF(AND($L$246&gt;0,A1097&gt;=$C$13),$L$246*(1+$C$25)^(A1097-$C$13),0)</f>
        <v/>
      </c>
      <c r="Y1097" s="138">
        <f>IF(OR($L$246&lt;=0,$C$17&lt;=0,A1097&lt;$C$13,MIN(MAX((A1097-$C$13+1)*12,0),$C$17*12)&gt;=$C$17*12),0,IF($C$16=0,MAX(MAX($L$246*(1-$C$15),0)-(IF($C$17&lt;=0,0,IF($C$16=0,MAX($L$246*(1-$C$15),0)/$C$17,-PMT($C$16/12,$C$17*12,MAX($L$246*(1-$C$15),0))*12))/12)*MIN(MAX((A1097-$C$13+1)*12,0),$C$17*12),0),MAX(MAX($L$246*(1-$C$15),0)*(1+$C$16/12)^MIN(MAX((A1097-$C$13+1)*12,0),$C$17*12)-(IF($C$17&lt;=0,0,IF($C$16=0,MAX($L$246*(1-$C$15),0)/$C$17,-PMT($C$16/12,$C$17*12,MAX($L$246*(1-$C$15),0))*12))/12)*(((1+$C$16/12)^MIN(MAX((A1097-$C$13+1)*12,0),$C$17*12)-1)/($C$16/12)),0)))</f>
        <v/>
      </c>
      <c r="Z1097" s="138">
        <f>MAX(X1097-Y1097,0)</f>
        <v/>
      </c>
      <c r="AA1097" s="139">
        <f>U1097+Z1097</f>
        <v/>
      </c>
      <c r="AB1097" s="5" t="n"/>
      <c r="AC1097" s="5" t="n"/>
      <c r="AD1097" s="5" t="n"/>
      <c r="AE1097" s="5" t="n"/>
      <c r="AF1097" s="5" t="n"/>
      <c r="AG1097" s="5" t="n"/>
    </row>
    <row r="1098" outlineLevel="1" s="326">
      <c r="A1098" s="140" t="n">
        <v>6</v>
      </c>
      <c r="B1098" s="40">
        <f>B85</f>
        <v/>
      </c>
      <c r="C1098" s="141">
        <f>D85</f>
        <v/>
      </c>
      <c r="D1098" s="141">
        <f>I85</f>
        <v/>
      </c>
      <c r="E1098" s="141">
        <f>J85</f>
        <v/>
      </c>
      <c r="F1098" s="141">
        <f>K85</f>
        <v/>
      </c>
      <c r="G1098" s="138">
        <f>IF(AND($L$246&gt;0,A1098=$C$13),$L$246*($C$15+$C$18),0)+IF(AND($L$246&gt;0,A1098=$C$13),$C$24,0)</f>
        <v/>
      </c>
      <c r="H1098" s="138">
        <f>IF(OR($L$246&lt;=0,A1098&lt;$C$13),0,IF(AND($L$246&gt;0,$C$17&gt;0,A1098&gt;=$C$13,A1098&lt;($C$13+$C$17)),IF($C$17&lt;=0,0,IF($C$16=0,MAX($L$246*(1-$C$15),0)/$C$17,-PMT($C$16/12,$C$17*12,MAX($L$246*(1-$C$15),0))*12)),0)+X1098*($C$19+$C$20+$C$21)+$C$22+$C$23)</f>
        <v/>
      </c>
      <c r="I1098" s="138">
        <f>IF(B1098="Working",MIN(MAX(D1098-E1098-F1098-G1098-H1098,0),'Tax Assumptions'!$B$20),0)</f>
        <v/>
      </c>
      <c r="J1098" s="138">
        <f>IF(B1098="Working",D1098-E1098-F1098-I1098-G1098-H1098,-L1098)</f>
        <v/>
      </c>
      <c r="K1098" s="141">
        <f>IF(B1098="Retired",$N$246+G1098+H1098,0)</f>
        <v/>
      </c>
      <c r="L1098" s="141">
        <f>M1098+N1098+O1098+P1098</f>
        <v/>
      </c>
      <c r="M1098" s="141">
        <f>IF(B1098="Retired",MIN(((Q1097)*(1+$C$10)+IF(B1098="Working",J1098,0)),K1098),0)</f>
        <v/>
      </c>
      <c r="N1098" s="141">
        <f>IF(B1098="Retired",MIN(MAX(K1098-M1098,0),((R1097)*(1+$C$10)+IF(B1098="Working",E85,0))),0)</f>
        <v/>
      </c>
      <c r="O1098" s="141">
        <f>IF(B1098="Retired",MIN(MAX(K1098-M1098-N1098,0),((S1097)*(1+$C$10)+IF(B1098="Working",I1098,0))),0)</f>
        <v/>
      </c>
      <c r="P1098" s="141">
        <f>IF(B1098="Retired",MIN(MAX(K1098-M1098-N1098-O1098,0),((T1097)*(1+$C$10)+IF(B1098="Working",F85,0))),0)</f>
        <v/>
      </c>
      <c r="Q1098" s="138">
        <f>MAX(((Q1097)*(1+$C$10)+IF(B1098="Working",J1098,0))-M1098,0)</f>
        <v/>
      </c>
      <c r="R1098" s="138">
        <f>MAX(((R1097)*(1+$C$10)+IF(B1098="Working",E85,0))-N1098,0)</f>
        <v/>
      </c>
      <c r="S1098" s="138">
        <f>MAX(((S1097)*(1+$C$10)+IF(B1098="Working",I1098,0))-O1098,0)</f>
        <v/>
      </c>
      <c r="T1098" s="138">
        <f>MAX(((T1097)*(1+$C$10)+IF(B1098="Working",F85,0))-P1098,0)</f>
        <v/>
      </c>
      <c r="U1098" s="138">
        <f>Q1098+R1098+S1098+T1098</f>
        <v/>
      </c>
      <c r="V1098" s="138">
        <f>IF(B1098="Working",MAX(-(((Q1097)*(1+$C$10)+IF(B1098="Working",J1098,0))),0),MAX(K1098-L1098,0))</f>
        <v/>
      </c>
      <c r="W1098" s="138">
        <f>IF(OR(A1098&gt;=$C$13,B1098="Retired"),IF(V1098&gt;0,-V1098,U1098-'Model Inputs'!$B$18),"")</f>
        <v/>
      </c>
      <c r="X1098" s="138">
        <f>IF(AND($L$246&gt;0,A1098&gt;=$C$13),$L$246*(1+$C$25)^(A1098-$C$13),0)</f>
        <v/>
      </c>
      <c r="Y1098" s="138">
        <f>IF(OR($L$246&lt;=0,$C$17&lt;=0,A1098&lt;$C$13,MIN(MAX((A1098-$C$13+1)*12,0),$C$17*12)&gt;=$C$17*12),0,IF($C$16=0,MAX(MAX($L$246*(1-$C$15),0)-(IF($C$17&lt;=0,0,IF($C$16=0,MAX($L$246*(1-$C$15),0)/$C$17,-PMT($C$16/12,$C$17*12,MAX($L$246*(1-$C$15),0))*12))/12)*MIN(MAX((A1098-$C$13+1)*12,0),$C$17*12),0),MAX(MAX($L$246*(1-$C$15),0)*(1+$C$16/12)^MIN(MAX((A1098-$C$13+1)*12,0),$C$17*12)-(IF($C$17&lt;=0,0,IF($C$16=0,MAX($L$246*(1-$C$15),0)/$C$17,-PMT($C$16/12,$C$17*12,MAX($L$246*(1-$C$15),0))*12))/12)*(((1+$C$16/12)^MIN(MAX((A1098-$C$13+1)*12,0),$C$17*12)-1)/($C$16/12)),0)))</f>
        <v/>
      </c>
      <c r="Z1098" s="138">
        <f>MAX(X1098-Y1098,0)</f>
        <v/>
      </c>
      <c r="AA1098" s="142">
        <f>U1098+Z1098</f>
        <v/>
      </c>
      <c r="AB1098" s="5" t="n"/>
      <c r="AC1098" s="5" t="n"/>
      <c r="AD1098" s="5" t="n"/>
      <c r="AE1098" s="5" t="n"/>
      <c r="AF1098" s="5" t="n"/>
      <c r="AG1098" s="5" t="n"/>
    </row>
    <row r="1099" outlineLevel="1" s="326">
      <c r="A1099" s="136" t="n">
        <v>7</v>
      </c>
      <c r="B1099" s="72">
        <f>B86</f>
        <v/>
      </c>
      <c r="C1099" s="137">
        <f>D86</f>
        <v/>
      </c>
      <c r="D1099" s="137">
        <f>I86</f>
        <v/>
      </c>
      <c r="E1099" s="137">
        <f>J86</f>
        <v/>
      </c>
      <c r="F1099" s="137">
        <f>K86</f>
        <v/>
      </c>
      <c r="G1099" s="138">
        <f>IF(AND($L$246&gt;0,A1099=$C$13),$L$246*($C$15+$C$18),0)+IF(AND($L$246&gt;0,A1099=$C$13),$C$24,0)</f>
        <v/>
      </c>
      <c r="H1099" s="138">
        <f>IF(OR($L$246&lt;=0,A1099&lt;$C$13),0,IF(AND($L$246&gt;0,$C$17&gt;0,A1099&gt;=$C$13,A1099&lt;($C$13+$C$17)),IF($C$17&lt;=0,0,IF($C$16=0,MAX($L$246*(1-$C$15),0)/$C$17,-PMT($C$16/12,$C$17*12,MAX($L$246*(1-$C$15),0))*12)),0)+X1099*($C$19+$C$20+$C$21)+$C$22+$C$23)</f>
        <v/>
      </c>
      <c r="I1099" s="138">
        <f>IF(B1099="Working",MIN(MAX(D1099-E1099-F1099-G1099-H1099,0),'Tax Assumptions'!$B$20),0)</f>
        <v/>
      </c>
      <c r="J1099" s="138">
        <f>IF(B1099="Working",D1099-E1099-F1099-I1099-G1099-H1099,-L1099)</f>
        <v/>
      </c>
      <c r="K1099" s="137">
        <f>IF(B1099="Retired",$N$246+G1099+H1099,0)</f>
        <v/>
      </c>
      <c r="L1099" s="137">
        <f>M1099+N1099+O1099+P1099</f>
        <v/>
      </c>
      <c r="M1099" s="137">
        <f>IF(B1099="Retired",MIN(((Q1098)*(1+$C$10)+IF(B1099="Working",J1099,0)),K1099),0)</f>
        <v/>
      </c>
      <c r="N1099" s="137">
        <f>IF(B1099="Retired",MIN(MAX(K1099-M1099,0),((R1098)*(1+$C$10)+IF(B1099="Working",E86,0))),0)</f>
        <v/>
      </c>
      <c r="O1099" s="137">
        <f>IF(B1099="Retired",MIN(MAX(K1099-M1099-N1099,0),((S1098)*(1+$C$10)+IF(B1099="Working",I1099,0))),0)</f>
        <v/>
      </c>
      <c r="P1099" s="137">
        <f>IF(B1099="Retired",MIN(MAX(K1099-M1099-N1099-O1099,0),((T1098)*(1+$C$10)+IF(B1099="Working",F86,0))),0)</f>
        <v/>
      </c>
      <c r="Q1099" s="138">
        <f>MAX(((Q1098)*(1+$C$10)+IF(B1099="Working",J1099,0))-M1099,0)</f>
        <v/>
      </c>
      <c r="R1099" s="138">
        <f>MAX(((R1098)*(1+$C$10)+IF(B1099="Working",E86,0))-N1099,0)</f>
        <v/>
      </c>
      <c r="S1099" s="138">
        <f>MAX(((S1098)*(1+$C$10)+IF(B1099="Working",I1099,0))-O1099,0)</f>
        <v/>
      </c>
      <c r="T1099" s="138">
        <f>MAX(((T1098)*(1+$C$10)+IF(B1099="Working",F86,0))-P1099,0)</f>
        <v/>
      </c>
      <c r="U1099" s="138">
        <f>Q1099+R1099+S1099+T1099</f>
        <v/>
      </c>
      <c r="V1099" s="138">
        <f>IF(B1099="Working",MAX(-(((Q1098)*(1+$C$10)+IF(B1099="Working",J1099,0))),0),MAX(K1099-L1099,0))</f>
        <v/>
      </c>
      <c r="W1099" s="138">
        <f>IF(OR(A1099&gt;=$C$13,B1099="Retired"),IF(V1099&gt;0,-V1099,U1099-'Model Inputs'!$B$18),"")</f>
        <v/>
      </c>
      <c r="X1099" s="138">
        <f>IF(AND($L$246&gt;0,A1099&gt;=$C$13),$L$246*(1+$C$25)^(A1099-$C$13),0)</f>
        <v/>
      </c>
      <c r="Y1099" s="138">
        <f>IF(OR($L$246&lt;=0,$C$17&lt;=0,A1099&lt;$C$13,MIN(MAX((A1099-$C$13+1)*12,0),$C$17*12)&gt;=$C$17*12),0,IF($C$16=0,MAX(MAX($L$246*(1-$C$15),0)-(IF($C$17&lt;=0,0,IF($C$16=0,MAX($L$246*(1-$C$15),0)/$C$17,-PMT($C$16/12,$C$17*12,MAX($L$246*(1-$C$15),0))*12))/12)*MIN(MAX((A1099-$C$13+1)*12,0),$C$17*12),0),MAX(MAX($L$246*(1-$C$15),0)*(1+$C$16/12)^MIN(MAX((A1099-$C$13+1)*12,0),$C$17*12)-(IF($C$17&lt;=0,0,IF($C$16=0,MAX($L$246*(1-$C$15),0)/$C$17,-PMT($C$16/12,$C$17*12,MAX($L$246*(1-$C$15),0))*12))/12)*(((1+$C$16/12)^MIN(MAX((A1099-$C$13+1)*12,0),$C$17*12)-1)/($C$16/12)),0)))</f>
        <v/>
      </c>
      <c r="Z1099" s="138">
        <f>MAX(X1099-Y1099,0)</f>
        <v/>
      </c>
      <c r="AA1099" s="139">
        <f>U1099+Z1099</f>
        <v/>
      </c>
      <c r="AB1099" s="5" t="n"/>
      <c r="AC1099" s="5" t="n"/>
      <c r="AD1099" s="5" t="n"/>
      <c r="AE1099" s="5" t="n"/>
      <c r="AF1099" s="5" t="n"/>
      <c r="AG1099" s="5" t="n"/>
    </row>
    <row r="1100" outlineLevel="1" s="326">
      <c r="A1100" s="140" t="n">
        <v>8</v>
      </c>
      <c r="B1100" s="40">
        <f>B87</f>
        <v/>
      </c>
      <c r="C1100" s="141">
        <f>D87</f>
        <v/>
      </c>
      <c r="D1100" s="141">
        <f>I87</f>
        <v/>
      </c>
      <c r="E1100" s="141">
        <f>J87</f>
        <v/>
      </c>
      <c r="F1100" s="141">
        <f>K87</f>
        <v/>
      </c>
      <c r="G1100" s="138">
        <f>IF(AND($L$246&gt;0,A1100=$C$13),$L$246*($C$15+$C$18),0)+IF(AND($L$246&gt;0,A1100=$C$13),$C$24,0)</f>
        <v/>
      </c>
      <c r="H1100" s="138">
        <f>IF(OR($L$246&lt;=0,A1100&lt;$C$13),0,IF(AND($L$246&gt;0,$C$17&gt;0,A1100&gt;=$C$13,A1100&lt;($C$13+$C$17)),IF($C$17&lt;=0,0,IF($C$16=0,MAX($L$246*(1-$C$15),0)/$C$17,-PMT($C$16/12,$C$17*12,MAX($L$246*(1-$C$15),0))*12)),0)+X1100*($C$19+$C$20+$C$21)+$C$22+$C$23)</f>
        <v/>
      </c>
      <c r="I1100" s="138">
        <f>IF(B1100="Working",MIN(MAX(D1100-E1100-F1100-G1100-H1100,0),'Tax Assumptions'!$B$20),0)</f>
        <v/>
      </c>
      <c r="J1100" s="138">
        <f>IF(B1100="Working",D1100-E1100-F1100-I1100-G1100-H1100,-L1100)</f>
        <v/>
      </c>
      <c r="K1100" s="141">
        <f>IF(B1100="Retired",$N$246+G1100+H1100,0)</f>
        <v/>
      </c>
      <c r="L1100" s="141">
        <f>M1100+N1100+O1100+P1100</f>
        <v/>
      </c>
      <c r="M1100" s="141">
        <f>IF(B1100="Retired",MIN(((Q1099)*(1+$C$10)+IF(B1100="Working",J1100,0)),K1100),0)</f>
        <v/>
      </c>
      <c r="N1100" s="141">
        <f>IF(B1100="Retired",MIN(MAX(K1100-M1100,0),((R1099)*(1+$C$10)+IF(B1100="Working",E87,0))),0)</f>
        <v/>
      </c>
      <c r="O1100" s="141">
        <f>IF(B1100="Retired",MIN(MAX(K1100-M1100-N1100,0),((S1099)*(1+$C$10)+IF(B1100="Working",I1100,0))),0)</f>
        <v/>
      </c>
      <c r="P1100" s="141">
        <f>IF(B1100="Retired",MIN(MAX(K1100-M1100-N1100-O1100,0),((T1099)*(1+$C$10)+IF(B1100="Working",F87,0))),0)</f>
        <v/>
      </c>
      <c r="Q1100" s="138">
        <f>MAX(((Q1099)*(1+$C$10)+IF(B1100="Working",J1100,0))-M1100,0)</f>
        <v/>
      </c>
      <c r="R1100" s="138">
        <f>MAX(((R1099)*(1+$C$10)+IF(B1100="Working",E87,0))-N1100,0)</f>
        <v/>
      </c>
      <c r="S1100" s="138">
        <f>MAX(((S1099)*(1+$C$10)+IF(B1100="Working",I1100,0))-O1100,0)</f>
        <v/>
      </c>
      <c r="T1100" s="138">
        <f>MAX(((T1099)*(1+$C$10)+IF(B1100="Working",F87,0))-P1100,0)</f>
        <v/>
      </c>
      <c r="U1100" s="138">
        <f>Q1100+R1100+S1100+T1100</f>
        <v/>
      </c>
      <c r="V1100" s="138">
        <f>IF(B1100="Working",MAX(-(((Q1099)*(1+$C$10)+IF(B1100="Working",J1100,0))),0),MAX(K1100-L1100,0))</f>
        <v/>
      </c>
      <c r="W1100" s="138">
        <f>IF(OR(A1100&gt;=$C$13,B1100="Retired"),IF(V1100&gt;0,-V1100,U1100-'Model Inputs'!$B$18),"")</f>
        <v/>
      </c>
      <c r="X1100" s="138">
        <f>IF(AND($L$246&gt;0,A1100&gt;=$C$13),$L$246*(1+$C$25)^(A1100-$C$13),0)</f>
        <v/>
      </c>
      <c r="Y1100" s="138">
        <f>IF(OR($L$246&lt;=0,$C$17&lt;=0,A1100&lt;$C$13,MIN(MAX((A1100-$C$13+1)*12,0),$C$17*12)&gt;=$C$17*12),0,IF($C$16=0,MAX(MAX($L$246*(1-$C$15),0)-(IF($C$17&lt;=0,0,IF($C$16=0,MAX($L$246*(1-$C$15),0)/$C$17,-PMT($C$16/12,$C$17*12,MAX($L$246*(1-$C$15),0))*12))/12)*MIN(MAX((A1100-$C$13+1)*12,0),$C$17*12),0),MAX(MAX($L$246*(1-$C$15),0)*(1+$C$16/12)^MIN(MAX((A1100-$C$13+1)*12,0),$C$17*12)-(IF($C$17&lt;=0,0,IF($C$16=0,MAX($L$246*(1-$C$15),0)/$C$17,-PMT($C$16/12,$C$17*12,MAX($L$246*(1-$C$15),0))*12))/12)*(((1+$C$16/12)^MIN(MAX((A1100-$C$13+1)*12,0),$C$17*12)-1)/($C$16/12)),0)))</f>
        <v/>
      </c>
      <c r="Z1100" s="138">
        <f>MAX(X1100-Y1100,0)</f>
        <v/>
      </c>
      <c r="AA1100" s="142">
        <f>U1100+Z1100</f>
        <v/>
      </c>
      <c r="AB1100" s="5" t="n"/>
      <c r="AC1100" s="5" t="n"/>
      <c r="AD1100" s="5" t="n"/>
      <c r="AE1100" s="5" t="n"/>
      <c r="AF1100" s="5" t="n"/>
      <c r="AG1100" s="5" t="n"/>
    </row>
    <row r="1101" outlineLevel="1" s="326">
      <c r="A1101" s="136" t="n">
        <v>9</v>
      </c>
      <c r="B1101" s="72">
        <f>B88</f>
        <v/>
      </c>
      <c r="C1101" s="137">
        <f>D88</f>
        <v/>
      </c>
      <c r="D1101" s="137">
        <f>I88</f>
        <v/>
      </c>
      <c r="E1101" s="137">
        <f>J88</f>
        <v/>
      </c>
      <c r="F1101" s="137">
        <f>K88</f>
        <v/>
      </c>
      <c r="G1101" s="138">
        <f>IF(AND($L$246&gt;0,A1101=$C$13),$L$246*($C$15+$C$18),0)+IF(AND($L$246&gt;0,A1101=$C$13),$C$24,0)</f>
        <v/>
      </c>
      <c r="H1101" s="138">
        <f>IF(OR($L$246&lt;=0,A1101&lt;$C$13),0,IF(AND($L$246&gt;0,$C$17&gt;0,A1101&gt;=$C$13,A1101&lt;($C$13+$C$17)),IF($C$17&lt;=0,0,IF($C$16=0,MAX($L$246*(1-$C$15),0)/$C$17,-PMT($C$16/12,$C$17*12,MAX($L$246*(1-$C$15),0))*12)),0)+X1101*($C$19+$C$20+$C$21)+$C$22+$C$23)</f>
        <v/>
      </c>
      <c r="I1101" s="138">
        <f>IF(B1101="Working",MIN(MAX(D1101-E1101-F1101-G1101-H1101,0),'Tax Assumptions'!$B$20),0)</f>
        <v/>
      </c>
      <c r="J1101" s="138">
        <f>IF(B1101="Working",D1101-E1101-F1101-I1101-G1101-H1101,-L1101)</f>
        <v/>
      </c>
      <c r="K1101" s="137">
        <f>IF(B1101="Retired",$N$246+G1101+H1101,0)</f>
        <v/>
      </c>
      <c r="L1101" s="137">
        <f>M1101+N1101+O1101+P1101</f>
        <v/>
      </c>
      <c r="M1101" s="137">
        <f>IF(B1101="Retired",MIN(((Q1100)*(1+$C$10)+IF(B1101="Working",J1101,0)),K1101),0)</f>
        <v/>
      </c>
      <c r="N1101" s="137">
        <f>IF(B1101="Retired",MIN(MAX(K1101-M1101,0),((R1100)*(1+$C$10)+IF(B1101="Working",E88,0))),0)</f>
        <v/>
      </c>
      <c r="O1101" s="137">
        <f>IF(B1101="Retired",MIN(MAX(K1101-M1101-N1101,0),((S1100)*(1+$C$10)+IF(B1101="Working",I1101,0))),0)</f>
        <v/>
      </c>
      <c r="P1101" s="137">
        <f>IF(B1101="Retired",MIN(MAX(K1101-M1101-N1101-O1101,0),((T1100)*(1+$C$10)+IF(B1101="Working",F88,0))),0)</f>
        <v/>
      </c>
      <c r="Q1101" s="138">
        <f>MAX(((Q1100)*(1+$C$10)+IF(B1101="Working",J1101,0))-M1101,0)</f>
        <v/>
      </c>
      <c r="R1101" s="138">
        <f>MAX(((R1100)*(1+$C$10)+IF(B1101="Working",E88,0))-N1101,0)</f>
        <v/>
      </c>
      <c r="S1101" s="138">
        <f>MAX(((S1100)*(1+$C$10)+IF(B1101="Working",I1101,0))-O1101,0)</f>
        <v/>
      </c>
      <c r="T1101" s="138">
        <f>MAX(((T1100)*(1+$C$10)+IF(B1101="Working",F88,0))-P1101,0)</f>
        <v/>
      </c>
      <c r="U1101" s="138">
        <f>Q1101+R1101+S1101+T1101</f>
        <v/>
      </c>
      <c r="V1101" s="138">
        <f>IF(B1101="Working",MAX(-(((Q1100)*(1+$C$10)+IF(B1101="Working",J1101,0))),0),MAX(K1101-L1101,0))</f>
        <v/>
      </c>
      <c r="W1101" s="138">
        <f>IF(OR(A1101&gt;=$C$13,B1101="Retired"),IF(V1101&gt;0,-V1101,U1101-'Model Inputs'!$B$18),"")</f>
        <v/>
      </c>
      <c r="X1101" s="138">
        <f>IF(AND($L$246&gt;0,A1101&gt;=$C$13),$L$246*(1+$C$25)^(A1101-$C$13),0)</f>
        <v/>
      </c>
      <c r="Y1101" s="138">
        <f>IF(OR($L$246&lt;=0,$C$17&lt;=0,A1101&lt;$C$13,MIN(MAX((A1101-$C$13+1)*12,0),$C$17*12)&gt;=$C$17*12),0,IF($C$16=0,MAX(MAX($L$246*(1-$C$15),0)-(IF($C$17&lt;=0,0,IF($C$16=0,MAX($L$246*(1-$C$15),0)/$C$17,-PMT($C$16/12,$C$17*12,MAX($L$246*(1-$C$15),0))*12))/12)*MIN(MAX((A1101-$C$13+1)*12,0),$C$17*12),0),MAX(MAX($L$246*(1-$C$15),0)*(1+$C$16/12)^MIN(MAX((A1101-$C$13+1)*12,0),$C$17*12)-(IF($C$17&lt;=0,0,IF($C$16=0,MAX($L$246*(1-$C$15),0)/$C$17,-PMT($C$16/12,$C$17*12,MAX($L$246*(1-$C$15),0))*12))/12)*(((1+$C$16/12)^MIN(MAX((A1101-$C$13+1)*12,0),$C$17*12)-1)/($C$16/12)),0)))</f>
        <v/>
      </c>
      <c r="Z1101" s="138">
        <f>MAX(X1101-Y1101,0)</f>
        <v/>
      </c>
      <c r="AA1101" s="139">
        <f>U1101+Z1101</f>
        <v/>
      </c>
      <c r="AB1101" s="5" t="n"/>
      <c r="AC1101" s="5" t="n"/>
      <c r="AD1101" s="5" t="n"/>
      <c r="AE1101" s="5" t="n"/>
      <c r="AF1101" s="5" t="n"/>
      <c r="AG1101" s="5" t="n"/>
    </row>
    <row r="1102" outlineLevel="1" s="326">
      <c r="A1102" s="140" t="n">
        <v>10</v>
      </c>
      <c r="B1102" s="40">
        <f>B89</f>
        <v/>
      </c>
      <c r="C1102" s="141">
        <f>D89</f>
        <v/>
      </c>
      <c r="D1102" s="141">
        <f>I89</f>
        <v/>
      </c>
      <c r="E1102" s="141">
        <f>J89</f>
        <v/>
      </c>
      <c r="F1102" s="141">
        <f>K89</f>
        <v/>
      </c>
      <c r="G1102" s="138">
        <f>IF(AND($L$246&gt;0,A1102=$C$13),$L$246*($C$15+$C$18),0)+IF(AND($L$246&gt;0,A1102=$C$13),$C$24,0)</f>
        <v/>
      </c>
      <c r="H1102" s="138">
        <f>IF(OR($L$246&lt;=0,A1102&lt;$C$13),0,IF(AND($L$246&gt;0,$C$17&gt;0,A1102&gt;=$C$13,A1102&lt;($C$13+$C$17)),IF($C$17&lt;=0,0,IF($C$16=0,MAX($L$246*(1-$C$15),0)/$C$17,-PMT($C$16/12,$C$17*12,MAX($L$246*(1-$C$15),0))*12)),0)+X1102*($C$19+$C$20+$C$21)+$C$22+$C$23)</f>
        <v/>
      </c>
      <c r="I1102" s="138">
        <f>IF(B1102="Working",MIN(MAX(D1102-E1102-F1102-G1102-H1102,0),'Tax Assumptions'!$B$20),0)</f>
        <v/>
      </c>
      <c r="J1102" s="138">
        <f>IF(B1102="Working",D1102-E1102-F1102-I1102-G1102-H1102,-L1102)</f>
        <v/>
      </c>
      <c r="K1102" s="141">
        <f>IF(B1102="Retired",$N$246+G1102+H1102,0)</f>
        <v/>
      </c>
      <c r="L1102" s="141">
        <f>M1102+N1102+O1102+P1102</f>
        <v/>
      </c>
      <c r="M1102" s="141">
        <f>IF(B1102="Retired",MIN(((Q1101)*(1+$C$10)+IF(B1102="Working",J1102,0)),K1102),0)</f>
        <v/>
      </c>
      <c r="N1102" s="141">
        <f>IF(B1102="Retired",MIN(MAX(K1102-M1102,0),((R1101)*(1+$C$10)+IF(B1102="Working",E89,0))),0)</f>
        <v/>
      </c>
      <c r="O1102" s="141">
        <f>IF(B1102="Retired",MIN(MAX(K1102-M1102-N1102,0),((S1101)*(1+$C$10)+IF(B1102="Working",I1102,0))),0)</f>
        <v/>
      </c>
      <c r="P1102" s="141">
        <f>IF(B1102="Retired",MIN(MAX(K1102-M1102-N1102-O1102,0),((T1101)*(1+$C$10)+IF(B1102="Working",F89,0))),0)</f>
        <v/>
      </c>
      <c r="Q1102" s="138">
        <f>MAX(((Q1101)*(1+$C$10)+IF(B1102="Working",J1102,0))-M1102,0)</f>
        <v/>
      </c>
      <c r="R1102" s="138">
        <f>MAX(((R1101)*(1+$C$10)+IF(B1102="Working",E89,0))-N1102,0)</f>
        <v/>
      </c>
      <c r="S1102" s="138">
        <f>MAX(((S1101)*(1+$C$10)+IF(B1102="Working",I1102,0))-O1102,0)</f>
        <v/>
      </c>
      <c r="T1102" s="138">
        <f>MAX(((T1101)*(1+$C$10)+IF(B1102="Working",F89,0))-P1102,0)</f>
        <v/>
      </c>
      <c r="U1102" s="138">
        <f>Q1102+R1102+S1102+T1102</f>
        <v/>
      </c>
      <c r="V1102" s="138">
        <f>IF(B1102="Working",MAX(-(((Q1101)*(1+$C$10)+IF(B1102="Working",J1102,0))),0),MAX(K1102-L1102,0))</f>
        <v/>
      </c>
      <c r="W1102" s="138">
        <f>IF(OR(A1102&gt;=$C$13,B1102="Retired"),IF(V1102&gt;0,-V1102,U1102-'Model Inputs'!$B$18),"")</f>
        <v/>
      </c>
      <c r="X1102" s="138">
        <f>IF(AND($L$246&gt;0,A1102&gt;=$C$13),$L$246*(1+$C$25)^(A1102-$C$13),0)</f>
        <v/>
      </c>
      <c r="Y1102" s="138">
        <f>IF(OR($L$246&lt;=0,$C$17&lt;=0,A1102&lt;$C$13,MIN(MAX((A1102-$C$13+1)*12,0),$C$17*12)&gt;=$C$17*12),0,IF($C$16=0,MAX(MAX($L$246*(1-$C$15),0)-(IF($C$17&lt;=0,0,IF($C$16=0,MAX($L$246*(1-$C$15),0)/$C$17,-PMT($C$16/12,$C$17*12,MAX($L$246*(1-$C$15),0))*12))/12)*MIN(MAX((A1102-$C$13+1)*12,0),$C$17*12),0),MAX(MAX($L$246*(1-$C$15),0)*(1+$C$16/12)^MIN(MAX((A1102-$C$13+1)*12,0),$C$17*12)-(IF($C$17&lt;=0,0,IF($C$16=0,MAX($L$246*(1-$C$15),0)/$C$17,-PMT($C$16/12,$C$17*12,MAX($L$246*(1-$C$15),0))*12))/12)*(((1+$C$16/12)^MIN(MAX((A1102-$C$13+1)*12,0),$C$17*12)-1)/($C$16/12)),0)))</f>
        <v/>
      </c>
      <c r="Z1102" s="138">
        <f>MAX(X1102-Y1102,0)</f>
        <v/>
      </c>
      <c r="AA1102" s="142">
        <f>U1102+Z1102</f>
        <v/>
      </c>
      <c r="AB1102" s="5" t="n"/>
      <c r="AC1102" s="5" t="n"/>
      <c r="AD1102" s="5" t="n"/>
      <c r="AE1102" s="5" t="n"/>
      <c r="AF1102" s="5" t="n"/>
      <c r="AG1102" s="5" t="n"/>
    </row>
    <row r="1103" outlineLevel="1" s="326">
      <c r="A1103" s="136" t="n">
        <v>11</v>
      </c>
      <c r="B1103" s="72">
        <f>B90</f>
        <v/>
      </c>
      <c r="C1103" s="137">
        <f>D90</f>
        <v/>
      </c>
      <c r="D1103" s="137">
        <f>I90</f>
        <v/>
      </c>
      <c r="E1103" s="137">
        <f>J90</f>
        <v/>
      </c>
      <c r="F1103" s="137">
        <f>K90</f>
        <v/>
      </c>
      <c r="G1103" s="138">
        <f>IF(AND($L$246&gt;0,A1103=$C$13),$L$246*($C$15+$C$18),0)+IF(AND($L$246&gt;0,A1103=$C$13),$C$24,0)</f>
        <v/>
      </c>
      <c r="H1103" s="138">
        <f>IF(OR($L$246&lt;=0,A1103&lt;$C$13),0,IF(AND($L$246&gt;0,$C$17&gt;0,A1103&gt;=$C$13,A1103&lt;($C$13+$C$17)),IF($C$17&lt;=0,0,IF($C$16=0,MAX($L$246*(1-$C$15),0)/$C$17,-PMT($C$16/12,$C$17*12,MAX($L$246*(1-$C$15),0))*12)),0)+X1103*($C$19+$C$20+$C$21)+$C$22+$C$23)</f>
        <v/>
      </c>
      <c r="I1103" s="138">
        <f>IF(B1103="Working",MIN(MAX(D1103-E1103-F1103-G1103-H1103,0),'Tax Assumptions'!$B$20),0)</f>
        <v/>
      </c>
      <c r="J1103" s="138">
        <f>IF(B1103="Working",D1103-E1103-F1103-I1103-G1103-H1103,-L1103)</f>
        <v/>
      </c>
      <c r="K1103" s="137">
        <f>IF(B1103="Retired",$N$246+G1103+H1103,0)</f>
        <v/>
      </c>
      <c r="L1103" s="137">
        <f>M1103+N1103+O1103+P1103</f>
        <v/>
      </c>
      <c r="M1103" s="137">
        <f>IF(B1103="Retired",MIN(((Q1102)*(1+$C$10)+IF(B1103="Working",J1103,0)),K1103),0)</f>
        <v/>
      </c>
      <c r="N1103" s="137">
        <f>IF(B1103="Retired",MIN(MAX(K1103-M1103,0),((R1102)*(1+$C$10)+IF(B1103="Working",E90,0))),0)</f>
        <v/>
      </c>
      <c r="O1103" s="137">
        <f>IF(B1103="Retired",MIN(MAX(K1103-M1103-N1103,0),((S1102)*(1+$C$10)+IF(B1103="Working",I1103,0))),0)</f>
        <v/>
      </c>
      <c r="P1103" s="137">
        <f>IF(B1103="Retired",MIN(MAX(K1103-M1103-N1103-O1103,0),((T1102)*(1+$C$10)+IF(B1103="Working",F90,0))),0)</f>
        <v/>
      </c>
      <c r="Q1103" s="138">
        <f>MAX(((Q1102)*(1+$C$10)+IF(B1103="Working",J1103,0))-M1103,0)</f>
        <v/>
      </c>
      <c r="R1103" s="138">
        <f>MAX(((R1102)*(1+$C$10)+IF(B1103="Working",E90,0))-N1103,0)</f>
        <v/>
      </c>
      <c r="S1103" s="138">
        <f>MAX(((S1102)*(1+$C$10)+IF(B1103="Working",I1103,0))-O1103,0)</f>
        <v/>
      </c>
      <c r="T1103" s="138">
        <f>MAX(((T1102)*(1+$C$10)+IF(B1103="Working",F90,0))-P1103,0)</f>
        <v/>
      </c>
      <c r="U1103" s="138">
        <f>Q1103+R1103+S1103+T1103</f>
        <v/>
      </c>
      <c r="V1103" s="138">
        <f>IF(B1103="Working",MAX(-(((Q1102)*(1+$C$10)+IF(B1103="Working",J1103,0))),0),MAX(K1103-L1103,0))</f>
        <v/>
      </c>
      <c r="W1103" s="138">
        <f>IF(OR(A1103&gt;=$C$13,B1103="Retired"),IF(V1103&gt;0,-V1103,U1103-'Model Inputs'!$B$18),"")</f>
        <v/>
      </c>
      <c r="X1103" s="138">
        <f>IF(AND($L$246&gt;0,A1103&gt;=$C$13),$L$246*(1+$C$25)^(A1103-$C$13),0)</f>
        <v/>
      </c>
      <c r="Y1103" s="138">
        <f>IF(OR($L$246&lt;=0,$C$17&lt;=0,A1103&lt;$C$13,MIN(MAX((A1103-$C$13+1)*12,0),$C$17*12)&gt;=$C$17*12),0,IF($C$16=0,MAX(MAX($L$246*(1-$C$15),0)-(IF($C$17&lt;=0,0,IF($C$16=0,MAX($L$246*(1-$C$15),0)/$C$17,-PMT($C$16/12,$C$17*12,MAX($L$246*(1-$C$15),0))*12))/12)*MIN(MAX((A1103-$C$13+1)*12,0),$C$17*12),0),MAX(MAX($L$246*(1-$C$15),0)*(1+$C$16/12)^MIN(MAX((A1103-$C$13+1)*12,0),$C$17*12)-(IF($C$17&lt;=0,0,IF($C$16=0,MAX($L$246*(1-$C$15),0)/$C$17,-PMT($C$16/12,$C$17*12,MAX($L$246*(1-$C$15),0))*12))/12)*(((1+$C$16/12)^MIN(MAX((A1103-$C$13+1)*12,0),$C$17*12)-1)/($C$16/12)),0)))</f>
        <v/>
      </c>
      <c r="Z1103" s="138">
        <f>MAX(X1103-Y1103,0)</f>
        <v/>
      </c>
      <c r="AA1103" s="139">
        <f>U1103+Z1103</f>
        <v/>
      </c>
      <c r="AB1103" s="5" t="n"/>
      <c r="AC1103" s="5" t="n"/>
      <c r="AD1103" s="5" t="n"/>
      <c r="AE1103" s="5" t="n"/>
      <c r="AF1103" s="5" t="n"/>
      <c r="AG1103" s="5" t="n"/>
    </row>
    <row r="1104" outlineLevel="1" s="326">
      <c r="A1104" s="140" t="n">
        <v>12</v>
      </c>
      <c r="B1104" s="40">
        <f>B91</f>
        <v/>
      </c>
      <c r="C1104" s="141">
        <f>D91</f>
        <v/>
      </c>
      <c r="D1104" s="141">
        <f>I91</f>
        <v/>
      </c>
      <c r="E1104" s="141">
        <f>J91</f>
        <v/>
      </c>
      <c r="F1104" s="141">
        <f>K91</f>
        <v/>
      </c>
      <c r="G1104" s="138">
        <f>IF(AND($L$246&gt;0,A1104=$C$13),$L$246*($C$15+$C$18),0)+IF(AND($L$246&gt;0,A1104=$C$13),$C$24,0)</f>
        <v/>
      </c>
      <c r="H1104" s="138">
        <f>IF(OR($L$246&lt;=0,A1104&lt;$C$13),0,IF(AND($L$246&gt;0,$C$17&gt;0,A1104&gt;=$C$13,A1104&lt;($C$13+$C$17)),IF($C$17&lt;=0,0,IF($C$16=0,MAX($L$246*(1-$C$15),0)/$C$17,-PMT($C$16/12,$C$17*12,MAX($L$246*(1-$C$15),0))*12)),0)+X1104*($C$19+$C$20+$C$21)+$C$22+$C$23)</f>
        <v/>
      </c>
      <c r="I1104" s="138">
        <f>IF(B1104="Working",MIN(MAX(D1104-E1104-F1104-G1104-H1104,0),'Tax Assumptions'!$B$20),0)</f>
        <v/>
      </c>
      <c r="J1104" s="138">
        <f>IF(B1104="Working",D1104-E1104-F1104-I1104-G1104-H1104,-L1104)</f>
        <v/>
      </c>
      <c r="K1104" s="141">
        <f>IF(B1104="Retired",$N$246+G1104+H1104,0)</f>
        <v/>
      </c>
      <c r="L1104" s="141">
        <f>M1104+N1104+O1104+P1104</f>
        <v/>
      </c>
      <c r="M1104" s="141">
        <f>IF(B1104="Retired",MIN(((Q1103)*(1+$C$10)+IF(B1104="Working",J1104,0)),K1104),0)</f>
        <v/>
      </c>
      <c r="N1104" s="141">
        <f>IF(B1104="Retired",MIN(MAX(K1104-M1104,0),((R1103)*(1+$C$10)+IF(B1104="Working",E91,0))),0)</f>
        <v/>
      </c>
      <c r="O1104" s="141">
        <f>IF(B1104="Retired",MIN(MAX(K1104-M1104-N1104,0),((S1103)*(1+$C$10)+IF(B1104="Working",I1104,0))),0)</f>
        <v/>
      </c>
      <c r="P1104" s="141">
        <f>IF(B1104="Retired",MIN(MAX(K1104-M1104-N1104-O1104,0),((T1103)*(1+$C$10)+IF(B1104="Working",F91,0))),0)</f>
        <v/>
      </c>
      <c r="Q1104" s="138">
        <f>MAX(((Q1103)*(1+$C$10)+IF(B1104="Working",J1104,0))-M1104,0)</f>
        <v/>
      </c>
      <c r="R1104" s="138">
        <f>MAX(((R1103)*(1+$C$10)+IF(B1104="Working",E91,0))-N1104,0)</f>
        <v/>
      </c>
      <c r="S1104" s="138">
        <f>MAX(((S1103)*(1+$C$10)+IF(B1104="Working",I1104,0))-O1104,0)</f>
        <v/>
      </c>
      <c r="T1104" s="138">
        <f>MAX(((T1103)*(1+$C$10)+IF(B1104="Working",F91,0))-P1104,0)</f>
        <v/>
      </c>
      <c r="U1104" s="138">
        <f>Q1104+R1104+S1104+T1104</f>
        <v/>
      </c>
      <c r="V1104" s="138">
        <f>IF(B1104="Working",MAX(-(((Q1103)*(1+$C$10)+IF(B1104="Working",J1104,0))),0),MAX(K1104-L1104,0))</f>
        <v/>
      </c>
      <c r="W1104" s="138">
        <f>IF(OR(A1104&gt;=$C$13,B1104="Retired"),IF(V1104&gt;0,-V1104,U1104-'Model Inputs'!$B$18),"")</f>
        <v/>
      </c>
      <c r="X1104" s="138">
        <f>IF(AND($L$246&gt;0,A1104&gt;=$C$13),$L$246*(1+$C$25)^(A1104-$C$13),0)</f>
        <v/>
      </c>
      <c r="Y1104" s="138">
        <f>IF(OR($L$246&lt;=0,$C$17&lt;=0,A1104&lt;$C$13,MIN(MAX((A1104-$C$13+1)*12,0),$C$17*12)&gt;=$C$17*12),0,IF($C$16=0,MAX(MAX($L$246*(1-$C$15),0)-(IF($C$17&lt;=0,0,IF($C$16=0,MAX($L$246*(1-$C$15),0)/$C$17,-PMT($C$16/12,$C$17*12,MAX($L$246*(1-$C$15),0))*12))/12)*MIN(MAX((A1104-$C$13+1)*12,0),$C$17*12),0),MAX(MAX($L$246*(1-$C$15),0)*(1+$C$16/12)^MIN(MAX((A1104-$C$13+1)*12,0),$C$17*12)-(IF($C$17&lt;=0,0,IF($C$16=0,MAX($L$246*(1-$C$15),0)/$C$17,-PMT($C$16/12,$C$17*12,MAX($L$246*(1-$C$15),0))*12))/12)*(((1+$C$16/12)^MIN(MAX((A1104-$C$13+1)*12,0),$C$17*12)-1)/($C$16/12)),0)))</f>
        <v/>
      </c>
      <c r="Z1104" s="138">
        <f>MAX(X1104-Y1104,0)</f>
        <v/>
      </c>
      <c r="AA1104" s="142">
        <f>U1104+Z1104</f>
        <v/>
      </c>
      <c r="AB1104" s="5" t="n"/>
      <c r="AC1104" s="5" t="n"/>
      <c r="AD1104" s="5" t="n"/>
      <c r="AE1104" s="5" t="n"/>
      <c r="AF1104" s="5" t="n"/>
      <c r="AG1104" s="5" t="n"/>
    </row>
    <row r="1105" outlineLevel="1" s="326">
      <c r="A1105" s="136" t="n">
        <v>13</v>
      </c>
      <c r="B1105" s="72">
        <f>B92</f>
        <v/>
      </c>
      <c r="C1105" s="137">
        <f>D92</f>
        <v/>
      </c>
      <c r="D1105" s="137">
        <f>I92</f>
        <v/>
      </c>
      <c r="E1105" s="137">
        <f>J92</f>
        <v/>
      </c>
      <c r="F1105" s="137">
        <f>K92</f>
        <v/>
      </c>
      <c r="G1105" s="138">
        <f>IF(AND($L$246&gt;0,A1105=$C$13),$L$246*($C$15+$C$18),0)+IF(AND($L$246&gt;0,A1105=$C$13),$C$24,0)</f>
        <v/>
      </c>
      <c r="H1105" s="138">
        <f>IF(OR($L$246&lt;=0,A1105&lt;$C$13),0,IF(AND($L$246&gt;0,$C$17&gt;0,A1105&gt;=$C$13,A1105&lt;($C$13+$C$17)),IF($C$17&lt;=0,0,IF($C$16=0,MAX($L$246*(1-$C$15),0)/$C$17,-PMT($C$16/12,$C$17*12,MAX($L$246*(1-$C$15),0))*12)),0)+X1105*($C$19+$C$20+$C$21)+$C$22+$C$23)</f>
        <v/>
      </c>
      <c r="I1105" s="138">
        <f>IF(B1105="Working",MIN(MAX(D1105-E1105-F1105-G1105-H1105,0),'Tax Assumptions'!$B$20),0)</f>
        <v/>
      </c>
      <c r="J1105" s="138">
        <f>IF(B1105="Working",D1105-E1105-F1105-I1105-G1105-H1105,-L1105)</f>
        <v/>
      </c>
      <c r="K1105" s="137">
        <f>IF(B1105="Retired",$N$246+G1105+H1105,0)</f>
        <v/>
      </c>
      <c r="L1105" s="137">
        <f>M1105+N1105+O1105+P1105</f>
        <v/>
      </c>
      <c r="M1105" s="137">
        <f>IF(B1105="Retired",MIN(((Q1104)*(1+$C$10)+IF(B1105="Working",J1105,0)),K1105),0)</f>
        <v/>
      </c>
      <c r="N1105" s="137">
        <f>IF(B1105="Retired",MIN(MAX(K1105-M1105,0),((R1104)*(1+$C$10)+IF(B1105="Working",E92,0))),0)</f>
        <v/>
      </c>
      <c r="O1105" s="137">
        <f>IF(B1105="Retired",MIN(MAX(K1105-M1105-N1105,0),((S1104)*(1+$C$10)+IF(B1105="Working",I1105,0))),0)</f>
        <v/>
      </c>
      <c r="P1105" s="137">
        <f>IF(B1105="Retired",MIN(MAX(K1105-M1105-N1105-O1105,0),((T1104)*(1+$C$10)+IF(B1105="Working",F92,0))),0)</f>
        <v/>
      </c>
      <c r="Q1105" s="138">
        <f>MAX(((Q1104)*(1+$C$10)+IF(B1105="Working",J1105,0))-M1105,0)</f>
        <v/>
      </c>
      <c r="R1105" s="138">
        <f>MAX(((R1104)*(1+$C$10)+IF(B1105="Working",E92,0))-N1105,0)</f>
        <v/>
      </c>
      <c r="S1105" s="138">
        <f>MAX(((S1104)*(1+$C$10)+IF(B1105="Working",I1105,0))-O1105,0)</f>
        <v/>
      </c>
      <c r="T1105" s="138">
        <f>MAX(((T1104)*(1+$C$10)+IF(B1105="Working",F92,0))-P1105,0)</f>
        <v/>
      </c>
      <c r="U1105" s="138">
        <f>Q1105+R1105+S1105+T1105</f>
        <v/>
      </c>
      <c r="V1105" s="138">
        <f>IF(B1105="Working",MAX(-(((Q1104)*(1+$C$10)+IF(B1105="Working",J1105,0))),0),MAX(K1105-L1105,0))</f>
        <v/>
      </c>
      <c r="W1105" s="138">
        <f>IF(OR(A1105&gt;=$C$13,B1105="Retired"),IF(V1105&gt;0,-V1105,U1105-'Model Inputs'!$B$18),"")</f>
        <v/>
      </c>
      <c r="X1105" s="138">
        <f>IF(AND($L$246&gt;0,A1105&gt;=$C$13),$L$246*(1+$C$25)^(A1105-$C$13),0)</f>
        <v/>
      </c>
      <c r="Y1105" s="138">
        <f>IF(OR($L$246&lt;=0,$C$17&lt;=0,A1105&lt;$C$13,MIN(MAX((A1105-$C$13+1)*12,0),$C$17*12)&gt;=$C$17*12),0,IF($C$16=0,MAX(MAX($L$246*(1-$C$15),0)-(IF($C$17&lt;=0,0,IF($C$16=0,MAX($L$246*(1-$C$15),0)/$C$17,-PMT($C$16/12,$C$17*12,MAX($L$246*(1-$C$15),0))*12))/12)*MIN(MAX((A1105-$C$13+1)*12,0),$C$17*12),0),MAX(MAX($L$246*(1-$C$15),0)*(1+$C$16/12)^MIN(MAX((A1105-$C$13+1)*12,0),$C$17*12)-(IF($C$17&lt;=0,0,IF($C$16=0,MAX($L$246*(1-$C$15),0)/$C$17,-PMT($C$16/12,$C$17*12,MAX($L$246*(1-$C$15),0))*12))/12)*(((1+$C$16/12)^MIN(MAX((A1105-$C$13+1)*12,0),$C$17*12)-1)/($C$16/12)),0)))</f>
        <v/>
      </c>
      <c r="Z1105" s="138">
        <f>MAX(X1105-Y1105,0)</f>
        <v/>
      </c>
      <c r="AA1105" s="139">
        <f>U1105+Z1105</f>
        <v/>
      </c>
      <c r="AB1105" s="5" t="n"/>
      <c r="AC1105" s="5" t="n"/>
      <c r="AD1105" s="5" t="n"/>
      <c r="AE1105" s="5" t="n"/>
      <c r="AF1105" s="5" t="n"/>
      <c r="AG1105" s="5" t="n"/>
    </row>
    <row r="1106" outlineLevel="1" s="326">
      <c r="A1106" s="140" t="n">
        <v>14</v>
      </c>
      <c r="B1106" s="40">
        <f>B93</f>
        <v/>
      </c>
      <c r="C1106" s="141">
        <f>D93</f>
        <v/>
      </c>
      <c r="D1106" s="141">
        <f>I93</f>
        <v/>
      </c>
      <c r="E1106" s="141">
        <f>J93</f>
        <v/>
      </c>
      <c r="F1106" s="141">
        <f>K93</f>
        <v/>
      </c>
      <c r="G1106" s="138">
        <f>IF(AND($L$246&gt;0,A1106=$C$13),$L$246*($C$15+$C$18),0)+IF(AND($L$246&gt;0,A1106=$C$13),$C$24,0)</f>
        <v/>
      </c>
      <c r="H1106" s="138">
        <f>IF(OR($L$246&lt;=0,A1106&lt;$C$13),0,IF(AND($L$246&gt;0,$C$17&gt;0,A1106&gt;=$C$13,A1106&lt;($C$13+$C$17)),IF($C$17&lt;=0,0,IF($C$16=0,MAX($L$246*(1-$C$15),0)/$C$17,-PMT($C$16/12,$C$17*12,MAX($L$246*(1-$C$15),0))*12)),0)+X1106*($C$19+$C$20+$C$21)+$C$22+$C$23)</f>
        <v/>
      </c>
      <c r="I1106" s="138">
        <f>IF(B1106="Working",MIN(MAX(D1106-E1106-F1106-G1106-H1106,0),'Tax Assumptions'!$B$20),0)</f>
        <v/>
      </c>
      <c r="J1106" s="138">
        <f>IF(B1106="Working",D1106-E1106-F1106-I1106-G1106-H1106,-L1106)</f>
        <v/>
      </c>
      <c r="K1106" s="141">
        <f>IF(B1106="Retired",$N$246+G1106+H1106,0)</f>
        <v/>
      </c>
      <c r="L1106" s="141">
        <f>M1106+N1106+O1106+P1106</f>
        <v/>
      </c>
      <c r="M1106" s="141">
        <f>IF(B1106="Retired",MIN(((Q1105)*(1+$C$10)+IF(B1106="Working",J1106,0)),K1106),0)</f>
        <v/>
      </c>
      <c r="N1106" s="141">
        <f>IF(B1106="Retired",MIN(MAX(K1106-M1106,0),((R1105)*(1+$C$10)+IF(B1106="Working",E93,0))),0)</f>
        <v/>
      </c>
      <c r="O1106" s="141">
        <f>IF(B1106="Retired",MIN(MAX(K1106-M1106-N1106,0),((S1105)*(1+$C$10)+IF(B1106="Working",I1106,0))),0)</f>
        <v/>
      </c>
      <c r="P1106" s="141">
        <f>IF(B1106="Retired",MIN(MAX(K1106-M1106-N1106-O1106,0),((T1105)*(1+$C$10)+IF(B1106="Working",F93,0))),0)</f>
        <v/>
      </c>
      <c r="Q1106" s="138">
        <f>MAX(((Q1105)*(1+$C$10)+IF(B1106="Working",J1106,0))-M1106,0)</f>
        <v/>
      </c>
      <c r="R1106" s="138">
        <f>MAX(((R1105)*(1+$C$10)+IF(B1106="Working",E93,0))-N1106,0)</f>
        <v/>
      </c>
      <c r="S1106" s="138">
        <f>MAX(((S1105)*(1+$C$10)+IF(B1106="Working",I1106,0))-O1106,0)</f>
        <v/>
      </c>
      <c r="T1106" s="138">
        <f>MAX(((T1105)*(1+$C$10)+IF(B1106="Working",F93,0))-P1106,0)</f>
        <v/>
      </c>
      <c r="U1106" s="138">
        <f>Q1106+R1106+S1106+T1106</f>
        <v/>
      </c>
      <c r="V1106" s="138">
        <f>IF(B1106="Working",MAX(-(((Q1105)*(1+$C$10)+IF(B1106="Working",J1106,0))),0),MAX(K1106-L1106,0))</f>
        <v/>
      </c>
      <c r="W1106" s="138">
        <f>IF(OR(A1106&gt;=$C$13,B1106="Retired"),IF(V1106&gt;0,-V1106,U1106-'Model Inputs'!$B$18),"")</f>
        <v/>
      </c>
      <c r="X1106" s="138">
        <f>IF(AND($L$246&gt;0,A1106&gt;=$C$13),$L$246*(1+$C$25)^(A1106-$C$13),0)</f>
        <v/>
      </c>
      <c r="Y1106" s="138">
        <f>IF(OR($L$246&lt;=0,$C$17&lt;=0,A1106&lt;$C$13,MIN(MAX((A1106-$C$13+1)*12,0),$C$17*12)&gt;=$C$17*12),0,IF($C$16=0,MAX(MAX($L$246*(1-$C$15),0)-(IF($C$17&lt;=0,0,IF($C$16=0,MAX($L$246*(1-$C$15),0)/$C$17,-PMT($C$16/12,$C$17*12,MAX($L$246*(1-$C$15),0))*12))/12)*MIN(MAX((A1106-$C$13+1)*12,0),$C$17*12),0),MAX(MAX($L$246*(1-$C$15),0)*(1+$C$16/12)^MIN(MAX((A1106-$C$13+1)*12,0),$C$17*12)-(IF($C$17&lt;=0,0,IF($C$16=0,MAX($L$246*(1-$C$15),0)/$C$17,-PMT($C$16/12,$C$17*12,MAX($L$246*(1-$C$15),0))*12))/12)*(((1+$C$16/12)^MIN(MAX((A1106-$C$13+1)*12,0),$C$17*12)-1)/($C$16/12)),0)))</f>
        <v/>
      </c>
      <c r="Z1106" s="138">
        <f>MAX(X1106-Y1106,0)</f>
        <v/>
      </c>
      <c r="AA1106" s="142">
        <f>U1106+Z1106</f>
        <v/>
      </c>
      <c r="AB1106" s="5" t="n"/>
      <c r="AC1106" s="5" t="n"/>
      <c r="AD1106" s="5" t="n"/>
      <c r="AE1106" s="5" t="n"/>
      <c r="AF1106" s="5" t="n"/>
      <c r="AG1106" s="5" t="n"/>
    </row>
    <row r="1107" outlineLevel="1" s="326">
      <c r="A1107" s="136" t="n">
        <v>15</v>
      </c>
      <c r="B1107" s="72">
        <f>B94</f>
        <v/>
      </c>
      <c r="C1107" s="137">
        <f>D94</f>
        <v/>
      </c>
      <c r="D1107" s="137">
        <f>I94</f>
        <v/>
      </c>
      <c r="E1107" s="137">
        <f>J94</f>
        <v/>
      </c>
      <c r="F1107" s="137">
        <f>K94</f>
        <v/>
      </c>
      <c r="G1107" s="138">
        <f>IF(AND($L$246&gt;0,A1107=$C$13),$L$246*($C$15+$C$18),0)+IF(AND($L$246&gt;0,A1107=$C$13),$C$24,0)</f>
        <v/>
      </c>
      <c r="H1107" s="138">
        <f>IF(OR($L$246&lt;=0,A1107&lt;$C$13),0,IF(AND($L$246&gt;0,$C$17&gt;0,A1107&gt;=$C$13,A1107&lt;($C$13+$C$17)),IF($C$17&lt;=0,0,IF($C$16=0,MAX($L$246*(1-$C$15),0)/$C$17,-PMT($C$16/12,$C$17*12,MAX($L$246*(1-$C$15),0))*12)),0)+X1107*($C$19+$C$20+$C$21)+$C$22+$C$23)</f>
        <v/>
      </c>
      <c r="I1107" s="138">
        <f>IF(B1107="Working",MIN(MAX(D1107-E1107-F1107-G1107-H1107,0),'Tax Assumptions'!$B$20),0)</f>
        <v/>
      </c>
      <c r="J1107" s="138">
        <f>IF(B1107="Working",D1107-E1107-F1107-I1107-G1107-H1107,-L1107)</f>
        <v/>
      </c>
      <c r="K1107" s="137">
        <f>IF(B1107="Retired",$N$246+G1107+H1107,0)</f>
        <v/>
      </c>
      <c r="L1107" s="137">
        <f>M1107+N1107+O1107+P1107</f>
        <v/>
      </c>
      <c r="M1107" s="137">
        <f>IF(B1107="Retired",MIN(((Q1106)*(1+$C$10)+IF(B1107="Working",J1107,0)),K1107),0)</f>
        <v/>
      </c>
      <c r="N1107" s="137">
        <f>IF(B1107="Retired",MIN(MAX(K1107-M1107,0),((R1106)*(1+$C$10)+IF(B1107="Working",E94,0))),0)</f>
        <v/>
      </c>
      <c r="O1107" s="137">
        <f>IF(B1107="Retired",MIN(MAX(K1107-M1107-N1107,0),((S1106)*(1+$C$10)+IF(B1107="Working",I1107,0))),0)</f>
        <v/>
      </c>
      <c r="P1107" s="137">
        <f>IF(B1107="Retired",MIN(MAX(K1107-M1107-N1107-O1107,0),((T1106)*(1+$C$10)+IF(B1107="Working",F94,0))),0)</f>
        <v/>
      </c>
      <c r="Q1107" s="138">
        <f>MAX(((Q1106)*(1+$C$10)+IF(B1107="Working",J1107,0))-M1107,0)</f>
        <v/>
      </c>
      <c r="R1107" s="138">
        <f>MAX(((R1106)*(1+$C$10)+IF(B1107="Working",E94,0))-N1107,0)</f>
        <v/>
      </c>
      <c r="S1107" s="138">
        <f>MAX(((S1106)*(1+$C$10)+IF(B1107="Working",I1107,0))-O1107,0)</f>
        <v/>
      </c>
      <c r="T1107" s="138">
        <f>MAX(((T1106)*(1+$C$10)+IF(B1107="Working",F94,0))-P1107,0)</f>
        <v/>
      </c>
      <c r="U1107" s="138">
        <f>Q1107+R1107+S1107+T1107</f>
        <v/>
      </c>
      <c r="V1107" s="138">
        <f>IF(B1107="Working",MAX(-(((Q1106)*(1+$C$10)+IF(B1107="Working",J1107,0))),0),MAX(K1107-L1107,0))</f>
        <v/>
      </c>
      <c r="W1107" s="138">
        <f>IF(OR(A1107&gt;=$C$13,B1107="Retired"),IF(V1107&gt;0,-V1107,U1107-'Model Inputs'!$B$18),"")</f>
        <v/>
      </c>
      <c r="X1107" s="138">
        <f>IF(AND($L$246&gt;0,A1107&gt;=$C$13),$L$246*(1+$C$25)^(A1107-$C$13),0)</f>
        <v/>
      </c>
      <c r="Y1107" s="138">
        <f>IF(OR($L$246&lt;=0,$C$17&lt;=0,A1107&lt;$C$13,MIN(MAX((A1107-$C$13+1)*12,0),$C$17*12)&gt;=$C$17*12),0,IF($C$16=0,MAX(MAX($L$246*(1-$C$15),0)-(IF($C$17&lt;=0,0,IF($C$16=0,MAX($L$246*(1-$C$15),0)/$C$17,-PMT($C$16/12,$C$17*12,MAX($L$246*(1-$C$15),0))*12))/12)*MIN(MAX((A1107-$C$13+1)*12,0),$C$17*12),0),MAX(MAX($L$246*(1-$C$15),0)*(1+$C$16/12)^MIN(MAX((A1107-$C$13+1)*12,0),$C$17*12)-(IF($C$17&lt;=0,0,IF($C$16=0,MAX($L$246*(1-$C$15),0)/$C$17,-PMT($C$16/12,$C$17*12,MAX($L$246*(1-$C$15),0))*12))/12)*(((1+$C$16/12)^MIN(MAX((A1107-$C$13+1)*12,0),$C$17*12)-1)/($C$16/12)),0)))</f>
        <v/>
      </c>
      <c r="Z1107" s="138">
        <f>MAX(X1107-Y1107,0)</f>
        <v/>
      </c>
      <c r="AA1107" s="139">
        <f>U1107+Z1107</f>
        <v/>
      </c>
      <c r="AB1107" s="5" t="n"/>
      <c r="AC1107" s="5" t="n"/>
      <c r="AD1107" s="5" t="n"/>
      <c r="AE1107" s="5" t="n"/>
      <c r="AF1107" s="5" t="n"/>
      <c r="AG1107" s="5" t="n"/>
    </row>
    <row r="1108" outlineLevel="1" s="326">
      <c r="A1108" s="140" t="n">
        <v>16</v>
      </c>
      <c r="B1108" s="40">
        <f>B95</f>
        <v/>
      </c>
      <c r="C1108" s="141">
        <f>D95</f>
        <v/>
      </c>
      <c r="D1108" s="141">
        <f>I95</f>
        <v/>
      </c>
      <c r="E1108" s="141">
        <f>J95</f>
        <v/>
      </c>
      <c r="F1108" s="141">
        <f>K95</f>
        <v/>
      </c>
      <c r="G1108" s="138">
        <f>IF(AND($L$246&gt;0,A1108=$C$13),$L$246*($C$15+$C$18),0)+IF(AND($L$246&gt;0,A1108=$C$13),$C$24,0)</f>
        <v/>
      </c>
      <c r="H1108" s="138">
        <f>IF(OR($L$246&lt;=0,A1108&lt;$C$13),0,IF(AND($L$246&gt;0,$C$17&gt;0,A1108&gt;=$C$13,A1108&lt;($C$13+$C$17)),IF($C$17&lt;=0,0,IF($C$16=0,MAX($L$246*(1-$C$15),0)/$C$17,-PMT($C$16/12,$C$17*12,MAX($L$246*(1-$C$15),0))*12)),0)+X1108*($C$19+$C$20+$C$21)+$C$22+$C$23)</f>
        <v/>
      </c>
      <c r="I1108" s="138">
        <f>IF(B1108="Working",MIN(MAX(D1108-E1108-F1108-G1108-H1108,0),'Tax Assumptions'!$B$20),0)</f>
        <v/>
      </c>
      <c r="J1108" s="138">
        <f>IF(B1108="Working",D1108-E1108-F1108-I1108-G1108-H1108,-L1108)</f>
        <v/>
      </c>
      <c r="K1108" s="141">
        <f>IF(B1108="Retired",$N$246+G1108+H1108,0)</f>
        <v/>
      </c>
      <c r="L1108" s="141">
        <f>M1108+N1108+O1108+P1108</f>
        <v/>
      </c>
      <c r="M1108" s="141">
        <f>IF(B1108="Retired",MIN(((Q1107)*(1+$C$10)+IF(B1108="Working",J1108,0)),K1108),0)</f>
        <v/>
      </c>
      <c r="N1108" s="141">
        <f>IF(B1108="Retired",MIN(MAX(K1108-M1108,0),((R1107)*(1+$C$10)+IF(B1108="Working",E95,0))),0)</f>
        <v/>
      </c>
      <c r="O1108" s="141">
        <f>IF(B1108="Retired",MIN(MAX(K1108-M1108-N1108,0),((S1107)*(1+$C$10)+IF(B1108="Working",I1108,0))),0)</f>
        <v/>
      </c>
      <c r="P1108" s="141">
        <f>IF(B1108="Retired",MIN(MAX(K1108-M1108-N1108-O1108,0),((T1107)*(1+$C$10)+IF(B1108="Working",F95,0))),0)</f>
        <v/>
      </c>
      <c r="Q1108" s="138">
        <f>MAX(((Q1107)*(1+$C$10)+IF(B1108="Working",J1108,0))-M1108,0)</f>
        <v/>
      </c>
      <c r="R1108" s="138">
        <f>MAX(((R1107)*(1+$C$10)+IF(B1108="Working",E95,0))-N1108,0)</f>
        <v/>
      </c>
      <c r="S1108" s="138">
        <f>MAX(((S1107)*(1+$C$10)+IF(B1108="Working",I1108,0))-O1108,0)</f>
        <v/>
      </c>
      <c r="T1108" s="138">
        <f>MAX(((T1107)*(1+$C$10)+IF(B1108="Working",F95,0))-P1108,0)</f>
        <v/>
      </c>
      <c r="U1108" s="138">
        <f>Q1108+R1108+S1108+T1108</f>
        <v/>
      </c>
      <c r="V1108" s="138">
        <f>IF(B1108="Working",MAX(-(((Q1107)*(1+$C$10)+IF(B1108="Working",J1108,0))),0),MAX(K1108-L1108,0))</f>
        <v/>
      </c>
      <c r="W1108" s="138">
        <f>IF(OR(A1108&gt;=$C$13,B1108="Retired"),IF(V1108&gt;0,-V1108,U1108-'Model Inputs'!$B$18),"")</f>
        <v/>
      </c>
      <c r="X1108" s="138">
        <f>IF(AND($L$246&gt;0,A1108&gt;=$C$13),$L$246*(1+$C$25)^(A1108-$C$13),0)</f>
        <v/>
      </c>
      <c r="Y1108" s="138">
        <f>IF(OR($L$246&lt;=0,$C$17&lt;=0,A1108&lt;$C$13,MIN(MAX((A1108-$C$13+1)*12,0),$C$17*12)&gt;=$C$17*12),0,IF($C$16=0,MAX(MAX($L$246*(1-$C$15),0)-(IF($C$17&lt;=0,0,IF($C$16=0,MAX($L$246*(1-$C$15),0)/$C$17,-PMT($C$16/12,$C$17*12,MAX($L$246*(1-$C$15),0))*12))/12)*MIN(MAX((A1108-$C$13+1)*12,0),$C$17*12),0),MAX(MAX($L$246*(1-$C$15),0)*(1+$C$16/12)^MIN(MAX((A1108-$C$13+1)*12,0),$C$17*12)-(IF($C$17&lt;=0,0,IF($C$16=0,MAX($L$246*(1-$C$15),0)/$C$17,-PMT($C$16/12,$C$17*12,MAX($L$246*(1-$C$15),0))*12))/12)*(((1+$C$16/12)^MIN(MAX((A1108-$C$13+1)*12,0),$C$17*12)-1)/($C$16/12)),0)))</f>
        <v/>
      </c>
      <c r="Z1108" s="138">
        <f>MAX(X1108-Y1108,0)</f>
        <v/>
      </c>
      <c r="AA1108" s="142">
        <f>U1108+Z1108</f>
        <v/>
      </c>
      <c r="AB1108" s="5" t="n"/>
      <c r="AC1108" s="5" t="n"/>
      <c r="AD1108" s="5" t="n"/>
      <c r="AE1108" s="5" t="n"/>
      <c r="AF1108" s="5" t="n"/>
      <c r="AG1108" s="5" t="n"/>
    </row>
    <row r="1109" outlineLevel="1" s="326">
      <c r="A1109" s="136" t="n">
        <v>17</v>
      </c>
      <c r="B1109" s="72">
        <f>B96</f>
        <v/>
      </c>
      <c r="C1109" s="137">
        <f>D96</f>
        <v/>
      </c>
      <c r="D1109" s="137">
        <f>I96</f>
        <v/>
      </c>
      <c r="E1109" s="137">
        <f>J96</f>
        <v/>
      </c>
      <c r="F1109" s="137">
        <f>K96</f>
        <v/>
      </c>
      <c r="G1109" s="138">
        <f>IF(AND($L$246&gt;0,A1109=$C$13),$L$246*($C$15+$C$18),0)+IF(AND($L$246&gt;0,A1109=$C$13),$C$24,0)</f>
        <v/>
      </c>
      <c r="H1109" s="138">
        <f>IF(OR($L$246&lt;=0,A1109&lt;$C$13),0,IF(AND($L$246&gt;0,$C$17&gt;0,A1109&gt;=$C$13,A1109&lt;($C$13+$C$17)),IF($C$17&lt;=0,0,IF($C$16=0,MAX($L$246*(1-$C$15),0)/$C$17,-PMT($C$16/12,$C$17*12,MAX($L$246*(1-$C$15),0))*12)),0)+X1109*($C$19+$C$20+$C$21)+$C$22+$C$23)</f>
        <v/>
      </c>
      <c r="I1109" s="138">
        <f>IF(B1109="Working",MIN(MAX(D1109-E1109-F1109-G1109-H1109,0),'Tax Assumptions'!$B$20),0)</f>
        <v/>
      </c>
      <c r="J1109" s="138">
        <f>IF(B1109="Working",D1109-E1109-F1109-I1109-G1109-H1109,-L1109)</f>
        <v/>
      </c>
      <c r="K1109" s="137">
        <f>IF(B1109="Retired",$N$246+G1109+H1109,0)</f>
        <v/>
      </c>
      <c r="L1109" s="137">
        <f>M1109+N1109+O1109+P1109</f>
        <v/>
      </c>
      <c r="M1109" s="137">
        <f>IF(B1109="Retired",MIN(((Q1108)*(1+$C$10)+IF(B1109="Working",J1109,0)),K1109),0)</f>
        <v/>
      </c>
      <c r="N1109" s="137">
        <f>IF(B1109="Retired",MIN(MAX(K1109-M1109,0),((R1108)*(1+$C$10)+IF(B1109="Working",E96,0))),0)</f>
        <v/>
      </c>
      <c r="O1109" s="137">
        <f>IF(B1109="Retired",MIN(MAX(K1109-M1109-N1109,0),((S1108)*(1+$C$10)+IF(B1109="Working",I1109,0))),0)</f>
        <v/>
      </c>
      <c r="P1109" s="137">
        <f>IF(B1109="Retired",MIN(MAX(K1109-M1109-N1109-O1109,0),((T1108)*(1+$C$10)+IF(B1109="Working",F96,0))),0)</f>
        <v/>
      </c>
      <c r="Q1109" s="138">
        <f>MAX(((Q1108)*(1+$C$10)+IF(B1109="Working",J1109,0))-M1109,0)</f>
        <v/>
      </c>
      <c r="R1109" s="138">
        <f>MAX(((R1108)*(1+$C$10)+IF(B1109="Working",E96,0))-N1109,0)</f>
        <v/>
      </c>
      <c r="S1109" s="138">
        <f>MAX(((S1108)*(1+$C$10)+IF(B1109="Working",I1109,0))-O1109,0)</f>
        <v/>
      </c>
      <c r="T1109" s="138">
        <f>MAX(((T1108)*(1+$C$10)+IF(B1109="Working",F96,0))-P1109,0)</f>
        <v/>
      </c>
      <c r="U1109" s="138">
        <f>Q1109+R1109+S1109+T1109</f>
        <v/>
      </c>
      <c r="V1109" s="138">
        <f>IF(B1109="Working",MAX(-(((Q1108)*(1+$C$10)+IF(B1109="Working",J1109,0))),0),MAX(K1109-L1109,0))</f>
        <v/>
      </c>
      <c r="W1109" s="138">
        <f>IF(OR(A1109&gt;=$C$13,B1109="Retired"),IF(V1109&gt;0,-V1109,U1109-'Model Inputs'!$B$18),"")</f>
        <v/>
      </c>
      <c r="X1109" s="138">
        <f>IF(AND($L$246&gt;0,A1109&gt;=$C$13),$L$246*(1+$C$25)^(A1109-$C$13),0)</f>
        <v/>
      </c>
      <c r="Y1109" s="138">
        <f>IF(OR($L$246&lt;=0,$C$17&lt;=0,A1109&lt;$C$13,MIN(MAX((A1109-$C$13+1)*12,0),$C$17*12)&gt;=$C$17*12),0,IF($C$16=0,MAX(MAX($L$246*(1-$C$15),0)-(IF($C$17&lt;=0,0,IF($C$16=0,MAX($L$246*(1-$C$15),0)/$C$17,-PMT($C$16/12,$C$17*12,MAX($L$246*(1-$C$15),0))*12))/12)*MIN(MAX((A1109-$C$13+1)*12,0),$C$17*12),0),MAX(MAX($L$246*(1-$C$15),0)*(1+$C$16/12)^MIN(MAX((A1109-$C$13+1)*12,0),$C$17*12)-(IF($C$17&lt;=0,0,IF($C$16=0,MAX($L$246*(1-$C$15),0)/$C$17,-PMT($C$16/12,$C$17*12,MAX($L$246*(1-$C$15),0))*12))/12)*(((1+$C$16/12)^MIN(MAX((A1109-$C$13+1)*12,0),$C$17*12)-1)/($C$16/12)),0)))</f>
        <v/>
      </c>
      <c r="Z1109" s="138">
        <f>MAX(X1109-Y1109,0)</f>
        <v/>
      </c>
      <c r="AA1109" s="139">
        <f>U1109+Z1109</f>
        <v/>
      </c>
      <c r="AB1109" s="5" t="n"/>
      <c r="AC1109" s="5" t="n"/>
      <c r="AD1109" s="5" t="n"/>
      <c r="AE1109" s="5" t="n"/>
      <c r="AF1109" s="5" t="n"/>
      <c r="AG1109" s="5" t="n"/>
    </row>
    <row r="1110" outlineLevel="1" s="326">
      <c r="A1110" s="140" t="n">
        <v>18</v>
      </c>
      <c r="B1110" s="40">
        <f>B97</f>
        <v/>
      </c>
      <c r="C1110" s="141">
        <f>D97</f>
        <v/>
      </c>
      <c r="D1110" s="141">
        <f>I97</f>
        <v/>
      </c>
      <c r="E1110" s="141">
        <f>J97</f>
        <v/>
      </c>
      <c r="F1110" s="141">
        <f>K97</f>
        <v/>
      </c>
      <c r="G1110" s="138">
        <f>IF(AND($L$246&gt;0,A1110=$C$13),$L$246*($C$15+$C$18),0)+IF(AND($L$246&gt;0,A1110=$C$13),$C$24,0)</f>
        <v/>
      </c>
      <c r="H1110" s="138">
        <f>IF(OR($L$246&lt;=0,A1110&lt;$C$13),0,IF(AND($L$246&gt;0,$C$17&gt;0,A1110&gt;=$C$13,A1110&lt;($C$13+$C$17)),IF($C$17&lt;=0,0,IF($C$16=0,MAX($L$246*(1-$C$15),0)/$C$17,-PMT($C$16/12,$C$17*12,MAX($L$246*(1-$C$15),0))*12)),0)+X1110*($C$19+$C$20+$C$21)+$C$22+$C$23)</f>
        <v/>
      </c>
      <c r="I1110" s="138">
        <f>IF(B1110="Working",MIN(MAX(D1110-E1110-F1110-G1110-H1110,0),'Tax Assumptions'!$B$20),0)</f>
        <v/>
      </c>
      <c r="J1110" s="138">
        <f>IF(B1110="Working",D1110-E1110-F1110-I1110-G1110-H1110,-L1110)</f>
        <v/>
      </c>
      <c r="K1110" s="141">
        <f>IF(B1110="Retired",$N$246+G1110+H1110,0)</f>
        <v/>
      </c>
      <c r="L1110" s="141">
        <f>M1110+N1110+O1110+P1110</f>
        <v/>
      </c>
      <c r="M1110" s="141">
        <f>IF(B1110="Retired",MIN(((Q1109)*(1+$C$10)+IF(B1110="Working",J1110,0)),K1110),0)</f>
        <v/>
      </c>
      <c r="N1110" s="141">
        <f>IF(B1110="Retired",MIN(MAX(K1110-M1110,0),((R1109)*(1+$C$10)+IF(B1110="Working",E97,0))),0)</f>
        <v/>
      </c>
      <c r="O1110" s="141">
        <f>IF(B1110="Retired",MIN(MAX(K1110-M1110-N1110,0),((S1109)*(1+$C$10)+IF(B1110="Working",I1110,0))),0)</f>
        <v/>
      </c>
      <c r="P1110" s="141">
        <f>IF(B1110="Retired",MIN(MAX(K1110-M1110-N1110-O1110,0),((T1109)*(1+$C$10)+IF(B1110="Working",F97,0))),0)</f>
        <v/>
      </c>
      <c r="Q1110" s="138">
        <f>MAX(((Q1109)*(1+$C$10)+IF(B1110="Working",J1110,0))-M1110,0)</f>
        <v/>
      </c>
      <c r="R1110" s="138">
        <f>MAX(((R1109)*(1+$C$10)+IF(B1110="Working",E97,0))-N1110,0)</f>
        <v/>
      </c>
      <c r="S1110" s="138">
        <f>MAX(((S1109)*(1+$C$10)+IF(B1110="Working",I1110,0))-O1110,0)</f>
        <v/>
      </c>
      <c r="T1110" s="138">
        <f>MAX(((T1109)*(1+$C$10)+IF(B1110="Working",F97,0))-P1110,0)</f>
        <v/>
      </c>
      <c r="U1110" s="138">
        <f>Q1110+R1110+S1110+T1110</f>
        <v/>
      </c>
      <c r="V1110" s="138">
        <f>IF(B1110="Working",MAX(-(((Q1109)*(1+$C$10)+IF(B1110="Working",J1110,0))),0),MAX(K1110-L1110,0))</f>
        <v/>
      </c>
      <c r="W1110" s="138">
        <f>IF(OR(A1110&gt;=$C$13,B1110="Retired"),IF(V1110&gt;0,-V1110,U1110-'Model Inputs'!$B$18),"")</f>
        <v/>
      </c>
      <c r="X1110" s="138">
        <f>IF(AND($L$246&gt;0,A1110&gt;=$C$13),$L$246*(1+$C$25)^(A1110-$C$13),0)</f>
        <v/>
      </c>
      <c r="Y1110" s="138">
        <f>IF(OR($L$246&lt;=0,$C$17&lt;=0,A1110&lt;$C$13,MIN(MAX((A1110-$C$13+1)*12,0),$C$17*12)&gt;=$C$17*12),0,IF($C$16=0,MAX(MAX($L$246*(1-$C$15),0)-(IF($C$17&lt;=0,0,IF($C$16=0,MAX($L$246*(1-$C$15),0)/$C$17,-PMT($C$16/12,$C$17*12,MAX($L$246*(1-$C$15),0))*12))/12)*MIN(MAX((A1110-$C$13+1)*12,0),$C$17*12),0),MAX(MAX($L$246*(1-$C$15),0)*(1+$C$16/12)^MIN(MAX((A1110-$C$13+1)*12,0),$C$17*12)-(IF($C$17&lt;=0,0,IF($C$16=0,MAX($L$246*(1-$C$15),0)/$C$17,-PMT($C$16/12,$C$17*12,MAX($L$246*(1-$C$15),0))*12))/12)*(((1+$C$16/12)^MIN(MAX((A1110-$C$13+1)*12,0),$C$17*12)-1)/($C$16/12)),0)))</f>
        <v/>
      </c>
      <c r="Z1110" s="138">
        <f>MAX(X1110-Y1110,0)</f>
        <v/>
      </c>
      <c r="AA1110" s="142">
        <f>U1110+Z1110</f>
        <v/>
      </c>
      <c r="AB1110" s="5" t="n"/>
      <c r="AC1110" s="5" t="n"/>
      <c r="AD1110" s="5" t="n"/>
      <c r="AE1110" s="5" t="n"/>
      <c r="AF1110" s="5" t="n"/>
      <c r="AG1110" s="5" t="n"/>
    </row>
    <row r="1111" outlineLevel="1" s="326">
      <c r="A1111" s="136" t="n">
        <v>19</v>
      </c>
      <c r="B1111" s="72">
        <f>B98</f>
        <v/>
      </c>
      <c r="C1111" s="137">
        <f>D98</f>
        <v/>
      </c>
      <c r="D1111" s="137">
        <f>I98</f>
        <v/>
      </c>
      <c r="E1111" s="137">
        <f>J98</f>
        <v/>
      </c>
      <c r="F1111" s="137">
        <f>K98</f>
        <v/>
      </c>
      <c r="G1111" s="138">
        <f>IF(AND($L$246&gt;0,A1111=$C$13),$L$246*($C$15+$C$18),0)+IF(AND($L$246&gt;0,A1111=$C$13),$C$24,0)</f>
        <v/>
      </c>
      <c r="H1111" s="138">
        <f>IF(OR($L$246&lt;=0,A1111&lt;$C$13),0,IF(AND($L$246&gt;0,$C$17&gt;0,A1111&gt;=$C$13,A1111&lt;($C$13+$C$17)),IF($C$17&lt;=0,0,IF($C$16=0,MAX($L$246*(1-$C$15),0)/$C$17,-PMT($C$16/12,$C$17*12,MAX($L$246*(1-$C$15),0))*12)),0)+X1111*($C$19+$C$20+$C$21)+$C$22+$C$23)</f>
        <v/>
      </c>
      <c r="I1111" s="138">
        <f>IF(B1111="Working",MIN(MAX(D1111-E1111-F1111-G1111-H1111,0),'Tax Assumptions'!$B$20),0)</f>
        <v/>
      </c>
      <c r="J1111" s="138">
        <f>IF(B1111="Working",D1111-E1111-F1111-I1111-G1111-H1111,-L1111)</f>
        <v/>
      </c>
      <c r="K1111" s="137">
        <f>IF(B1111="Retired",$N$246+G1111+H1111,0)</f>
        <v/>
      </c>
      <c r="L1111" s="137">
        <f>M1111+N1111+O1111+P1111</f>
        <v/>
      </c>
      <c r="M1111" s="137">
        <f>IF(B1111="Retired",MIN(((Q1110)*(1+$C$10)+IF(B1111="Working",J1111,0)),K1111),0)</f>
        <v/>
      </c>
      <c r="N1111" s="137">
        <f>IF(B1111="Retired",MIN(MAX(K1111-M1111,0),((R1110)*(1+$C$10)+IF(B1111="Working",E98,0))),0)</f>
        <v/>
      </c>
      <c r="O1111" s="137">
        <f>IF(B1111="Retired",MIN(MAX(K1111-M1111-N1111,0),((S1110)*(1+$C$10)+IF(B1111="Working",I1111,0))),0)</f>
        <v/>
      </c>
      <c r="P1111" s="137">
        <f>IF(B1111="Retired",MIN(MAX(K1111-M1111-N1111-O1111,0),((T1110)*(1+$C$10)+IF(B1111="Working",F98,0))),0)</f>
        <v/>
      </c>
      <c r="Q1111" s="138">
        <f>MAX(((Q1110)*(1+$C$10)+IF(B1111="Working",J1111,0))-M1111,0)</f>
        <v/>
      </c>
      <c r="R1111" s="138">
        <f>MAX(((R1110)*(1+$C$10)+IF(B1111="Working",E98,0))-N1111,0)</f>
        <v/>
      </c>
      <c r="S1111" s="138">
        <f>MAX(((S1110)*(1+$C$10)+IF(B1111="Working",I1111,0))-O1111,0)</f>
        <v/>
      </c>
      <c r="T1111" s="138">
        <f>MAX(((T1110)*(1+$C$10)+IF(B1111="Working",F98,0))-P1111,0)</f>
        <v/>
      </c>
      <c r="U1111" s="138">
        <f>Q1111+R1111+S1111+T1111</f>
        <v/>
      </c>
      <c r="V1111" s="138">
        <f>IF(B1111="Working",MAX(-(((Q1110)*(1+$C$10)+IF(B1111="Working",J1111,0))),0),MAX(K1111-L1111,0))</f>
        <v/>
      </c>
      <c r="W1111" s="138">
        <f>IF(OR(A1111&gt;=$C$13,B1111="Retired"),IF(V1111&gt;0,-V1111,U1111-'Model Inputs'!$B$18),"")</f>
        <v/>
      </c>
      <c r="X1111" s="138">
        <f>IF(AND($L$246&gt;0,A1111&gt;=$C$13),$L$246*(1+$C$25)^(A1111-$C$13),0)</f>
        <v/>
      </c>
      <c r="Y1111" s="138">
        <f>IF(OR($L$246&lt;=0,$C$17&lt;=0,A1111&lt;$C$13,MIN(MAX((A1111-$C$13+1)*12,0),$C$17*12)&gt;=$C$17*12),0,IF($C$16=0,MAX(MAX($L$246*(1-$C$15),0)-(IF($C$17&lt;=0,0,IF($C$16=0,MAX($L$246*(1-$C$15),0)/$C$17,-PMT($C$16/12,$C$17*12,MAX($L$246*(1-$C$15),0))*12))/12)*MIN(MAX((A1111-$C$13+1)*12,0),$C$17*12),0),MAX(MAX($L$246*(1-$C$15),0)*(1+$C$16/12)^MIN(MAX((A1111-$C$13+1)*12,0),$C$17*12)-(IF($C$17&lt;=0,0,IF($C$16=0,MAX($L$246*(1-$C$15),0)/$C$17,-PMT($C$16/12,$C$17*12,MAX($L$246*(1-$C$15),0))*12))/12)*(((1+$C$16/12)^MIN(MAX((A1111-$C$13+1)*12,0),$C$17*12)-1)/($C$16/12)),0)))</f>
        <v/>
      </c>
      <c r="Z1111" s="138">
        <f>MAX(X1111-Y1111,0)</f>
        <v/>
      </c>
      <c r="AA1111" s="139">
        <f>U1111+Z1111</f>
        <v/>
      </c>
      <c r="AB1111" s="5" t="n"/>
      <c r="AC1111" s="5" t="n"/>
      <c r="AD1111" s="5" t="n"/>
      <c r="AE1111" s="5" t="n"/>
      <c r="AF1111" s="5" t="n"/>
      <c r="AG1111" s="5" t="n"/>
    </row>
    <row r="1112" outlineLevel="1" s="326">
      <c r="A1112" s="140" t="n">
        <v>20</v>
      </c>
      <c r="B1112" s="40">
        <f>B99</f>
        <v/>
      </c>
      <c r="C1112" s="141">
        <f>D99</f>
        <v/>
      </c>
      <c r="D1112" s="141">
        <f>I99</f>
        <v/>
      </c>
      <c r="E1112" s="141">
        <f>J99</f>
        <v/>
      </c>
      <c r="F1112" s="141">
        <f>K99</f>
        <v/>
      </c>
      <c r="G1112" s="138">
        <f>IF(AND($L$246&gt;0,A1112=$C$13),$L$246*($C$15+$C$18),0)+IF(AND($L$246&gt;0,A1112=$C$13),$C$24,0)</f>
        <v/>
      </c>
      <c r="H1112" s="138">
        <f>IF(OR($L$246&lt;=0,A1112&lt;$C$13),0,IF(AND($L$246&gt;0,$C$17&gt;0,A1112&gt;=$C$13,A1112&lt;($C$13+$C$17)),IF($C$17&lt;=0,0,IF($C$16=0,MAX($L$246*(1-$C$15),0)/$C$17,-PMT($C$16/12,$C$17*12,MAX($L$246*(1-$C$15),0))*12)),0)+X1112*($C$19+$C$20+$C$21)+$C$22+$C$23)</f>
        <v/>
      </c>
      <c r="I1112" s="138">
        <f>IF(B1112="Working",MIN(MAX(D1112-E1112-F1112-G1112-H1112,0),'Tax Assumptions'!$B$20),0)</f>
        <v/>
      </c>
      <c r="J1112" s="138">
        <f>IF(B1112="Working",D1112-E1112-F1112-I1112-G1112-H1112,-L1112)</f>
        <v/>
      </c>
      <c r="K1112" s="141">
        <f>IF(B1112="Retired",$N$246+G1112+H1112,0)</f>
        <v/>
      </c>
      <c r="L1112" s="141">
        <f>M1112+N1112+O1112+P1112</f>
        <v/>
      </c>
      <c r="M1112" s="141">
        <f>IF(B1112="Retired",MIN(((Q1111)*(1+$C$10)+IF(B1112="Working",J1112,0)),K1112),0)</f>
        <v/>
      </c>
      <c r="N1112" s="141">
        <f>IF(B1112="Retired",MIN(MAX(K1112-M1112,0),((R1111)*(1+$C$10)+IF(B1112="Working",E99,0))),0)</f>
        <v/>
      </c>
      <c r="O1112" s="141">
        <f>IF(B1112="Retired",MIN(MAX(K1112-M1112-N1112,0),((S1111)*(1+$C$10)+IF(B1112="Working",I1112,0))),0)</f>
        <v/>
      </c>
      <c r="P1112" s="141">
        <f>IF(B1112="Retired",MIN(MAX(K1112-M1112-N1112-O1112,0),((T1111)*(1+$C$10)+IF(B1112="Working",F99,0))),0)</f>
        <v/>
      </c>
      <c r="Q1112" s="138">
        <f>MAX(((Q1111)*(1+$C$10)+IF(B1112="Working",J1112,0))-M1112,0)</f>
        <v/>
      </c>
      <c r="R1112" s="138">
        <f>MAX(((R1111)*(1+$C$10)+IF(B1112="Working",E99,0))-N1112,0)</f>
        <v/>
      </c>
      <c r="S1112" s="138">
        <f>MAX(((S1111)*(1+$C$10)+IF(B1112="Working",I1112,0))-O1112,0)</f>
        <v/>
      </c>
      <c r="T1112" s="138">
        <f>MAX(((T1111)*(1+$C$10)+IF(B1112="Working",F99,0))-P1112,0)</f>
        <v/>
      </c>
      <c r="U1112" s="138">
        <f>Q1112+R1112+S1112+T1112</f>
        <v/>
      </c>
      <c r="V1112" s="138">
        <f>IF(B1112="Working",MAX(-(((Q1111)*(1+$C$10)+IF(B1112="Working",J1112,0))),0),MAX(K1112-L1112,0))</f>
        <v/>
      </c>
      <c r="W1112" s="138">
        <f>IF(OR(A1112&gt;=$C$13,B1112="Retired"),IF(V1112&gt;0,-V1112,U1112-'Model Inputs'!$B$18),"")</f>
        <v/>
      </c>
      <c r="X1112" s="138">
        <f>IF(AND($L$246&gt;0,A1112&gt;=$C$13),$L$246*(1+$C$25)^(A1112-$C$13),0)</f>
        <v/>
      </c>
      <c r="Y1112" s="138">
        <f>IF(OR($L$246&lt;=0,$C$17&lt;=0,A1112&lt;$C$13,MIN(MAX((A1112-$C$13+1)*12,0),$C$17*12)&gt;=$C$17*12),0,IF($C$16=0,MAX(MAX($L$246*(1-$C$15),0)-(IF($C$17&lt;=0,0,IF($C$16=0,MAX($L$246*(1-$C$15),0)/$C$17,-PMT($C$16/12,$C$17*12,MAX($L$246*(1-$C$15),0))*12))/12)*MIN(MAX((A1112-$C$13+1)*12,0),$C$17*12),0),MAX(MAX($L$246*(1-$C$15),0)*(1+$C$16/12)^MIN(MAX((A1112-$C$13+1)*12,0),$C$17*12)-(IF($C$17&lt;=0,0,IF($C$16=0,MAX($L$246*(1-$C$15),0)/$C$17,-PMT($C$16/12,$C$17*12,MAX($L$246*(1-$C$15),0))*12))/12)*(((1+$C$16/12)^MIN(MAX((A1112-$C$13+1)*12,0),$C$17*12)-1)/($C$16/12)),0)))</f>
        <v/>
      </c>
      <c r="Z1112" s="138">
        <f>MAX(X1112-Y1112,0)</f>
        <v/>
      </c>
      <c r="AA1112" s="142">
        <f>U1112+Z1112</f>
        <v/>
      </c>
      <c r="AB1112" s="5" t="n"/>
      <c r="AC1112" s="5" t="n"/>
      <c r="AD1112" s="5" t="n"/>
      <c r="AE1112" s="5" t="n"/>
      <c r="AF1112" s="5" t="n"/>
      <c r="AG1112" s="5" t="n"/>
    </row>
    <row r="1113" outlineLevel="1" s="326">
      <c r="A1113" s="136" t="n">
        <v>21</v>
      </c>
      <c r="B1113" s="72">
        <f>B100</f>
        <v/>
      </c>
      <c r="C1113" s="137">
        <f>D100</f>
        <v/>
      </c>
      <c r="D1113" s="137">
        <f>I100</f>
        <v/>
      </c>
      <c r="E1113" s="137">
        <f>J100</f>
        <v/>
      </c>
      <c r="F1113" s="137">
        <f>K100</f>
        <v/>
      </c>
      <c r="G1113" s="138">
        <f>IF(AND($L$246&gt;0,A1113=$C$13),$L$246*($C$15+$C$18),0)+IF(AND($L$246&gt;0,A1113=$C$13),$C$24,0)</f>
        <v/>
      </c>
      <c r="H1113" s="138">
        <f>IF(OR($L$246&lt;=0,A1113&lt;$C$13),0,IF(AND($L$246&gt;0,$C$17&gt;0,A1113&gt;=$C$13,A1113&lt;($C$13+$C$17)),IF($C$17&lt;=0,0,IF($C$16=0,MAX($L$246*(1-$C$15),0)/$C$17,-PMT($C$16/12,$C$17*12,MAX($L$246*(1-$C$15),0))*12)),0)+X1113*($C$19+$C$20+$C$21)+$C$22+$C$23)</f>
        <v/>
      </c>
      <c r="I1113" s="138">
        <f>IF(B1113="Working",MIN(MAX(D1113-E1113-F1113-G1113-H1113,0),'Tax Assumptions'!$B$20),0)</f>
        <v/>
      </c>
      <c r="J1113" s="138">
        <f>IF(B1113="Working",D1113-E1113-F1113-I1113-G1113-H1113,-L1113)</f>
        <v/>
      </c>
      <c r="K1113" s="137">
        <f>IF(B1113="Retired",$N$246+G1113+H1113,0)</f>
        <v/>
      </c>
      <c r="L1113" s="137">
        <f>M1113+N1113+O1113+P1113</f>
        <v/>
      </c>
      <c r="M1113" s="137">
        <f>IF(B1113="Retired",MIN(((Q1112)*(1+$C$10)+IF(B1113="Working",J1113,0)),K1113),0)</f>
        <v/>
      </c>
      <c r="N1113" s="137">
        <f>IF(B1113="Retired",MIN(MAX(K1113-M1113,0),((R1112)*(1+$C$10)+IF(B1113="Working",E100,0))),0)</f>
        <v/>
      </c>
      <c r="O1113" s="137">
        <f>IF(B1113="Retired",MIN(MAX(K1113-M1113-N1113,0),((S1112)*(1+$C$10)+IF(B1113="Working",I1113,0))),0)</f>
        <v/>
      </c>
      <c r="P1113" s="137">
        <f>IF(B1113="Retired",MIN(MAX(K1113-M1113-N1113-O1113,0),((T1112)*(1+$C$10)+IF(B1113="Working",F100,0))),0)</f>
        <v/>
      </c>
      <c r="Q1113" s="138">
        <f>MAX(((Q1112)*(1+$C$10)+IF(B1113="Working",J1113,0))-M1113,0)</f>
        <v/>
      </c>
      <c r="R1113" s="138">
        <f>MAX(((R1112)*(1+$C$10)+IF(B1113="Working",E100,0))-N1113,0)</f>
        <v/>
      </c>
      <c r="S1113" s="138">
        <f>MAX(((S1112)*(1+$C$10)+IF(B1113="Working",I1113,0))-O1113,0)</f>
        <v/>
      </c>
      <c r="T1113" s="138">
        <f>MAX(((T1112)*(1+$C$10)+IF(B1113="Working",F100,0))-P1113,0)</f>
        <v/>
      </c>
      <c r="U1113" s="138">
        <f>Q1113+R1113+S1113+T1113</f>
        <v/>
      </c>
      <c r="V1113" s="138">
        <f>IF(B1113="Working",MAX(-(((Q1112)*(1+$C$10)+IF(B1113="Working",J1113,0))),0),MAX(K1113-L1113,0))</f>
        <v/>
      </c>
      <c r="W1113" s="138">
        <f>IF(OR(A1113&gt;=$C$13,B1113="Retired"),IF(V1113&gt;0,-V1113,U1113-'Model Inputs'!$B$18),"")</f>
        <v/>
      </c>
      <c r="X1113" s="138">
        <f>IF(AND($L$246&gt;0,A1113&gt;=$C$13),$L$246*(1+$C$25)^(A1113-$C$13),0)</f>
        <v/>
      </c>
      <c r="Y1113" s="138">
        <f>IF(OR($L$246&lt;=0,$C$17&lt;=0,A1113&lt;$C$13,MIN(MAX((A1113-$C$13+1)*12,0),$C$17*12)&gt;=$C$17*12),0,IF($C$16=0,MAX(MAX($L$246*(1-$C$15),0)-(IF($C$17&lt;=0,0,IF($C$16=0,MAX($L$246*(1-$C$15),0)/$C$17,-PMT($C$16/12,$C$17*12,MAX($L$246*(1-$C$15),0))*12))/12)*MIN(MAX((A1113-$C$13+1)*12,0),$C$17*12),0),MAX(MAX($L$246*(1-$C$15),0)*(1+$C$16/12)^MIN(MAX((A1113-$C$13+1)*12,0),$C$17*12)-(IF($C$17&lt;=0,0,IF($C$16=0,MAX($L$246*(1-$C$15),0)/$C$17,-PMT($C$16/12,$C$17*12,MAX($L$246*(1-$C$15),0))*12))/12)*(((1+$C$16/12)^MIN(MAX((A1113-$C$13+1)*12,0),$C$17*12)-1)/($C$16/12)),0)))</f>
        <v/>
      </c>
      <c r="Z1113" s="138">
        <f>MAX(X1113-Y1113,0)</f>
        <v/>
      </c>
      <c r="AA1113" s="139">
        <f>U1113+Z1113</f>
        <v/>
      </c>
      <c r="AB1113" s="5" t="n"/>
      <c r="AC1113" s="5" t="n"/>
      <c r="AD1113" s="5" t="n"/>
      <c r="AE1113" s="5" t="n"/>
      <c r="AF1113" s="5" t="n"/>
      <c r="AG1113" s="5" t="n"/>
    </row>
    <row r="1114" outlineLevel="1" s="326">
      <c r="A1114" s="140" t="n">
        <v>22</v>
      </c>
      <c r="B1114" s="40">
        <f>B101</f>
        <v/>
      </c>
      <c r="C1114" s="141">
        <f>D101</f>
        <v/>
      </c>
      <c r="D1114" s="141">
        <f>I101</f>
        <v/>
      </c>
      <c r="E1114" s="141">
        <f>J101</f>
        <v/>
      </c>
      <c r="F1114" s="141">
        <f>K101</f>
        <v/>
      </c>
      <c r="G1114" s="138">
        <f>IF(AND($L$246&gt;0,A1114=$C$13),$L$246*($C$15+$C$18),0)+IF(AND($L$246&gt;0,A1114=$C$13),$C$24,0)</f>
        <v/>
      </c>
      <c r="H1114" s="138">
        <f>IF(OR($L$246&lt;=0,A1114&lt;$C$13),0,IF(AND($L$246&gt;0,$C$17&gt;0,A1114&gt;=$C$13,A1114&lt;($C$13+$C$17)),IF($C$17&lt;=0,0,IF($C$16=0,MAX($L$246*(1-$C$15),0)/$C$17,-PMT($C$16/12,$C$17*12,MAX($L$246*(1-$C$15),0))*12)),0)+X1114*($C$19+$C$20+$C$21)+$C$22+$C$23)</f>
        <v/>
      </c>
      <c r="I1114" s="138">
        <f>IF(B1114="Working",MIN(MAX(D1114-E1114-F1114-G1114-H1114,0),'Tax Assumptions'!$B$20),0)</f>
        <v/>
      </c>
      <c r="J1114" s="138">
        <f>IF(B1114="Working",D1114-E1114-F1114-I1114-G1114-H1114,-L1114)</f>
        <v/>
      </c>
      <c r="K1114" s="141">
        <f>IF(B1114="Retired",$N$246+G1114+H1114,0)</f>
        <v/>
      </c>
      <c r="L1114" s="141">
        <f>M1114+N1114+O1114+P1114</f>
        <v/>
      </c>
      <c r="M1114" s="141">
        <f>IF(B1114="Retired",MIN(((Q1113)*(1+$C$10)+IF(B1114="Working",J1114,0)),K1114),0)</f>
        <v/>
      </c>
      <c r="N1114" s="141">
        <f>IF(B1114="Retired",MIN(MAX(K1114-M1114,0),((R1113)*(1+$C$10)+IF(B1114="Working",E101,0))),0)</f>
        <v/>
      </c>
      <c r="O1114" s="141">
        <f>IF(B1114="Retired",MIN(MAX(K1114-M1114-N1114,0),((S1113)*(1+$C$10)+IF(B1114="Working",I1114,0))),0)</f>
        <v/>
      </c>
      <c r="P1114" s="141">
        <f>IF(B1114="Retired",MIN(MAX(K1114-M1114-N1114-O1114,0),((T1113)*(1+$C$10)+IF(B1114="Working",F101,0))),0)</f>
        <v/>
      </c>
      <c r="Q1114" s="138">
        <f>MAX(((Q1113)*(1+$C$10)+IF(B1114="Working",J1114,0))-M1114,0)</f>
        <v/>
      </c>
      <c r="R1114" s="138">
        <f>MAX(((R1113)*(1+$C$10)+IF(B1114="Working",E101,0))-N1114,0)</f>
        <v/>
      </c>
      <c r="S1114" s="138">
        <f>MAX(((S1113)*(1+$C$10)+IF(B1114="Working",I1114,0))-O1114,0)</f>
        <v/>
      </c>
      <c r="T1114" s="138">
        <f>MAX(((T1113)*(1+$C$10)+IF(B1114="Working",F101,0))-P1114,0)</f>
        <v/>
      </c>
      <c r="U1114" s="138">
        <f>Q1114+R1114+S1114+T1114</f>
        <v/>
      </c>
      <c r="V1114" s="138">
        <f>IF(B1114="Working",MAX(-(((Q1113)*(1+$C$10)+IF(B1114="Working",J1114,0))),0),MAX(K1114-L1114,0))</f>
        <v/>
      </c>
      <c r="W1114" s="138">
        <f>IF(OR(A1114&gt;=$C$13,B1114="Retired"),IF(V1114&gt;0,-V1114,U1114-'Model Inputs'!$B$18),"")</f>
        <v/>
      </c>
      <c r="X1114" s="138">
        <f>IF(AND($L$246&gt;0,A1114&gt;=$C$13),$L$246*(1+$C$25)^(A1114-$C$13),0)</f>
        <v/>
      </c>
      <c r="Y1114" s="138">
        <f>IF(OR($L$246&lt;=0,$C$17&lt;=0,A1114&lt;$C$13,MIN(MAX((A1114-$C$13+1)*12,0),$C$17*12)&gt;=$C$17*12),0,IF($C$16=0,MAX(MAX($L$246*(1-$C$15),0)-(IF($C$17&lt;=0,0,IF($C$16=0,MAX($L$246*(1-$C$15),0)/$C$17,-PMT($C$16/12,$C$17*12,MAX($L$246*(1-$C$15),0))*12))/12)*MIN(MAX((A1114-$C$13+1)*12,0),$C$17*12),0),MAX(MAX($L$246*(1-$C$15),0)*(1+$C$16/12)^MIN(MAX((A1114-$C$13+1)*12,0),$C$17*12)-(IF($C$17&lt;=0,0,IF($C$16=0,MAX($L$246*(1-$C$15),0)/$C$17,-PMT($C$16/12,$C$17*12,MAX($L$246*(1-$C$15),0))*12))/12)*(((1+$C$16/12)^MIN(MAX((A1114-$C$13+1)*12,0),$C$17*12)-1)/($C$16/12)),0)))</f>
        <v/>
      </c>
      <c r="Z1114" s="138">
        <f>MAX(X1114-Y1114,0)</f>
        <v/>
      </c>
      <c r="AA1114" s="142">
        <f>U1114+Z1114</f>
        <v/>
      </c>
      <c r="AB1114" s="5" t="n"/>
      <c r="AC1114" s="5" t="n"/>
      <c r="AD1114" s="5" t="n"/>
      <c r="AE1114" s="5" t="n"/>
      <c r="AF1114" s="5" t="n"/>
      <c r="AG1114" s="5" t="n"/>
    </row>
    <row r="1115" outlineLevel="1" s="326">
      <c r="A1115" s="136" t="n">
        <v>23</v>
      </c>
      <c r="B1115" s="72">
        <f>B102</f>
        <v/>
      </c>
      <c r="C1115" s="137">
        <f>D102</f>
        <v/>
      </c>
      <c r="D1115" s="137">
        <f>I102</f>
        <v/>
      </c>
      <c r="E1115" s="137">
        <f>J102</f>
        <v/>
      </c>
      <c r="F1115" s="137">
        <f>K102</f>
        <v/>
      </c>
      <c r="G1115" s="138">
        <f>IF(AND($L$246&gt;0,A1115=$C$13),$L$246*($C$15+$C$18),0)+IF(AND($L$246&gt;0,A1115=$C$13),$C$24,0)</f>
        <v/>
      </c>
      <c r="H1115" s="138">
        <f>IF(OR($L$246&lt;=0,A1115&lt;$C$13),0,IF(AND($L$246&gt;0,$C$17&gt;0,A1115&gt;=$C$13,A1115&lt;($C$13+$C$17)),IF($C$17&lt;=0,0,IF($C$16=0,MAX($L$246*(1-$C$15),0)/$C$17,-PMT($C$16/12,$C$17*12,MAX($L$246*(1-$C$15),0))*12)),0)+X1115*($C$19+$C$20+$C$21)+$C$22+$C$23)</f>
        <v/>
      </c>
      <c r="I1115" s="138">
        <f>IF(B1115="Working",MIN(MAX(D1115-E1115-F1115-G1115-H1115,0),'Tax Assumptions'!$B$20),0)</f>
        <v/>
      </c>
      <c r="J1115" s="138">
        <f>IF(B1115="Working",D1115-E1115-F1115-I1115-G1115-H1115,-L1115)</f>
        <v/>
      </c>
      <c r="K1115" s="137">
        <f>IF(B1115="Retired",$N$246+G1115+H1115,0)</f>
        <v/>
      </c>
      <c r="L1115" s="137">
        <f>M1115+N1115+O1115+P1115</f>
        <v/>
      </c>
      <c r="M1115" s="137">
        <f>IF(B1115="Retired",MIN(((Q1114)*(1+$C$10)+IF(B1115="Working",J1115,0)),K1115),0)</f>
        <v/>
      </c>
      <c r="N1115" s="137">
        <f>IF(B1115="Retired",MIN(MAX(K1115-M1115,0),((R1114)*(1+$C$10)+IF(B1115="Working",E102,0))),0)</f>
        <v/>
      </c>
      <c r="O1115" s="137">
        <f>IF(B1115="Retired",MIN(MAX(K1115-M1115-N1115,0),((S1114)*(1+$C$10)+IF(B1115="Working",I1115,0))),0)</f>
        <v/>
      </c>
      <c r="P1115" s="137">
        <f>IF(B1115="Retired",MIN(MAX(K1115-M1115-N1115-O1115,0),((T1114)*(1+$C$10)+IF(B1115="Working",F102,0))),0)</f>
        <v/>
      </c>
      <c r="Q1115" s="138">
        <f>MAX(((Q1114)*(1+$C$10)+IF(B1115="Working",J1115,0))-M1115,0)</f>
        <v/>
      </c>
      <c r="R1115" s="138">
        <f>MAX(((R1114)*(1+$C$10)+IF(B1115="Working",E102,0))-N1115,0)</f>
        <v/>
      </c>
      <c r="S1115" s="138">
        <f>MAX(((S1114)*(1+$C$10)+IF(B1115="Working",I1115,0))-O1115,0)</f>
        <v/>
      </c>
      <c r="T1115" s="138">
        <f>MAX(((T1114)*(1+$C$10)+IF(B1115="Working",F102,0))-P1115,0)</f>
        <v/>
      </c>
      <c r="U1115" s="138">
        <f>Q1115+R1115+S1115+T1115</f>
        <v/>
      </c>
      <c r="V1115" s="138">
        <f>IF(B1115="Working",MAX(-(((Q1114)*(1+$C$10)+IF(B1115="Working",J1115,0))),0),MAX(K1115-L1115,0))</f>
        <v/>
      </c>
      <c r="W1115" s="138">
        <f>IF(OR(A1115&gt;=$C$13,B1115="Retired"),IF(V1115&gt;0,-V1115,U1115-'Model Inputs'!$B$18),"")</f>
        <v/>
      </c>
      <c r="X1115" s="138">
        <f>IF(AND($L$246&gt;0,A1115&gt;=$C$13),$L$246*(1+$C$25)^(A1115-$C$13),0)</f>
        <v/>
      </c>
      <c r="Y1115" s="138">
        <f>IF(OR($L$246&lt;=0,$C$17&lt;=0,A1115&lt;$C$13,MIN(MAX((A1115-$C$13+1)*12,0),$C$17*12)&gt;=$C$17*12),0,IF($C$16=0,MAX(MAX($L$246*(1-$C$15),0)-(IF($C$17&lt;=0,0,IF($C$16=0,MAX($L$246*(1-$C$15),0)/$C$17,-PMT($C$16/12,$C$17*12,MAX($L$246*(1-$C$15),0))*12))/12)*MIN(MAX((A1115-$C$13+1)*12,0),$C$17*12),0),MAX(MAX($L$246*(1-$C$15),0)*(1+$C$16/12)^MIN(MAX((A1115-$C$13+1)*12,0),$C$17*12)-(IF($C$17&lt;=0,0,IF($C$16=0,MAX($L$246*(1-$C$15),0)/$C$17,-PMT($C$16/12,$C$17*12,MAX($L$246*(1-$C$15),0))*12))/12)*(((1+$C$16/12)^MIN(MAX((A1115-$C$13+1)*12,0),$C$17*12)-1)/($C$16/12)),0)))</f>
        <v/>
      </c>
      <c r="Z1115" s="138">
        <f>MAX(X1115-Y1115,0)</f>
        <v/>
      </c>
      <c r="AA1115" s="139">
        <f>U1115+Z1115</f>
        <v/>
      </c>
      <c r="AB1115" s="5" t="n"/>
      <c r="AC1115" s="5" t="n"/>
      <c r="AD1115" s="5" t="n"/>
      <c r="AE1115" s="5" t="n"/>
      <c r="AF1115" s="5" t="n"/>
      <c r="AG1115" s="5" t="n"/>
    </row>
    <row r="1116" outlineLevel="1" s="326">
      <c r="A1116" s="140" t="n">
        <v>24</v>
      </c>
      <c r="B1116" s="40">
        <f>B103</f>
        <v/>
      </c>
      <c r="C1116" s="141">
        <f>D103</f>
        <v/>
      </c>
      <c r="D1116" s="141">
        <f>I103</f>
        <v/>
      </c>
      <c r="E1116" s="141">
        <f>J103</f>
        <v/>
      </c>
      <c r="F1116" s="141">
        <f>K103</f>
        <v/>
      </c>
      <c r="G1116" s="138">
        <f>IF(AND($L$246&gt;0,A1116=$C$13),$L$246*($C$15+$C$18),0)+IF(AND($L$246&gt;0,A1116=$C$13),$C$24,0)</f>
        <v/>
      </c>
      <c r="H1116" s="138">
        <f>IF(OR($L$246&lt;=0,A1116&lt;$C$13),0,IF(AND($L$246&gt;0,$C$17&gt;0,A1116&gt;=$C$13,A1116&lt;($C$13+$C$17)),IF($C$17&lt;=0,0,IF($C$16=0,MAX($L$246*(1-$C$15),0)/$C$17,-PMT($C$16/12,$C$17*12,MAX($L$246*(1-$C$15),0))*12)),0)+X1116*($C$19+$C$20+$C$21)+$C$22+$C$23)</f>
        <v/>
      </c>
      <c r="I1116" s="138">
        <f>IF(B1116="Working",MIN(MAX(D1116-E1116-F1116-G1116-H1116,0),'Tax Assumptions'!$B$20),0)</f>
        <v/>
      </c>
      <c r="J1116" s="138">
        <f>IF(B1116="Working",D1116-E1116-F1116-I1116-G1116-H1116,-L1116)</f>
        <v/>
      </c>
      <c r="K1116" s="141">
        <f>IF(B1116="Retired",$N$246+G1116+H1116,0)</f>
        <v/>
      </c>
      <c r="L1116" s="141">
        <f>M1116+N1116+O1116+P1116</f>
        <v/>
      </c>
      <c r="M1116" s="141">
        <f>IF(B1116="Retired",MIN(((Q1115)*(1+$C$10)+IF(B1116="Working",J1116,0)),K1116),0)</f>
        <v/>
      </c>
      <c r="N1116" s="141">
        <f>IF(B1116="Retired",MIN(MAX(K1116-M1116,0),((R1115)*(1+$C$10)+IF(B1116="Working",E103,0))),0)</f>
        <v/>
      </c>
      <c r="O1116" s="141">
        <f>IF(B1116="Retired",MIN(MAX(K1116-M1116-N1116,0),((S1115)*(1+$C$10)+IF(B1116="Working",I1116,0))),0)</f>
        <v/>
      </c>
      <c r="P1116" s="141">
        <f>IF(B1116="Retired",MIN(MAX(K1116-M1116-N1116-O1116,0),((T1115)*(1+$C$10)+IF(B1116="Working",F103,0))),0)</f>
        <v/>
      </c>
      <c r="Q1116" s="138">
        <f>MAX(((Q1115)*(1+$C$10)+IF(B1116="Working",J1116,0))-M1116,0)</f>
        <v/>
      </c>
      <c r="R1116" s="138">
        <f>MAX(((R1115)*(1+$C$10)+IF(B1116="Working",E103,0))-N1116,0)</f>
        <v/>
      </c>
      <c r="S1116" s="138">
        <f>MAX(((S1115)*(1+$C$10)+IF(B1116="Working",I1116,0))-O1116,0)</f>
        <v/>
      </c>
      <c r="T1116" s="138">
        <f>MAX(((T1115)*(1+$C$10)+IF(B1116="Working",F103,0))-P1116,0)</f>
        <v/>
      </c>
      <c r="U1116" s="138">
        <f>Q1116+R1116+S1116+T1116</f>
        <v/>
      </c>
      <c r="V1116" s="138">
        <f>IF(B1116="Working",MAX(-(((Q1115)*(1+$C$10)+IF(B1116="Working",J1116,0))),0),MAX(K1116-L1116,0))</f>
        <v/>
      </c>
      <c r="W1116" s="138">
        <f>IF(OR(A1116&gt;=$C$13,B1116="Retired"),IF(V1116&gt;0,-V1116,U1116-'Model Inputs'!$B$18),"")</f>
        <v/>
      </c>
      <c r="X1116" s="138">
        <f>IF(AND($L$246&gt;0,A1116&gt;=$C$13),$L$246*(1+$C$25)^(A1116-$C$13),0)</f>
        <v/>
      </c>
      <c r="Y1116" s="138">
        <f>IF(OR($L$246&lt;=0,$C$17&lt;=0,A1116&lt;$C$13,MIN(MAX((A1116-$C$13+1)*12,0),$C$17*12)&gt;=$C$17*12),0,IF($C$16=0,MAX(MAX($L$246*(1-$C$15),0)-(IF($C$17&lt;=0,0,IF($C$16=0,MAX($L$246*(1-$C$15),0)/$C$17,-PMT($C$16/12,$C$17*12,MAX($L$246*(1-$C$15),0))*12))/12)*MIN(MAX((A1116-$C$13+1)*12,0),$C$17*12),0),MAX(MAX($L$246*(1-$C$15),0)*(1+$C$16/12)^MIN(MAX((A1116-$C$13+1)*12,0),$C$17*12)-(IF($C$17&lt;=0,0,IF($C$16=0,MAX($L$246*(1-$C$15),0)/$C$17,-PMT($C$16/12,$C$17*12,MAX($L$246*(1-$C$15),0))*12))/12)*(((1+$C$16/12)^MIN(MAX((A1116-$C$13+1)*12,0),$C$17*12)-1)/($C$16/12)),0)))</f>
        <v/>
      </c>
      <c r="Z1116" s="138">
        <f>MAX(X1116-Y1116,0)</f>
        <v/>
      </c>
      <c r="AA1116" s="142">
        <f>U1116+Z1116</f>
        <v/>
      </c>
      <c r="AB1116" s="5" t="n"/>
      <c r="AC1116" s="5" t="n"/>
      <c r="AD1116" s="5" t="n"/>
      <c r="AE1116" s="5" t="n"/>
      <c r="AF1116" s="5" t="n"/>
      <c r="AG1116" s="5" t="n"/>
    </row>
    <row r="1117" outlineLevel="1" s="326">
      <c r="A1117" s="136" t="n">
        <v>25</v>
      </c>
      <c r="B1117" s="72">
        <f>B104</f>
        <v/>
      </c>
      <c r="C1117" s="137">
        <f>D104</f>
        <v/>
      </c>
      <c r="D1117" s="137">
        <f>I104</f>
        <v/>
      </c>
      <c r="E1117" s="137">
        <f>J104</f>
        <v/>
      </c>
      <c r="F1117" s="137">
        <f>K104</f>
        <v/>
      </c>
      <c r="G1117" s="138">
        <f>IF(AND($L$246&gt;0,A1117=$C$13),$L$246*($C$15+$C$18),0)+IF(AND($L$246&gt;0,A1117=$C$13),$C$24,0)</f>
        <v/>
      </c>
      <c r="H1117" s="138">
        <f>IF(OR($L$246&lt;=0,A1117&lt;$C$13),0,IF(AND($L$246&gt;0,$C$17&gt;0,A1117&gt;=$C$13,A1117&lt;($C$13+$C$17)),IF($C$17&lt;=0,0,IF($C$16=0,MAX($L$246*(1-$C$15),0)/$C$17,-PMT($C$16/12,$C$17*12,MAX($L$246*(1-$C$15),0))*12)),0)+X1117*($C$19+$C$20+$C$21)+$C$22+$C$23)</f>
        <v/>
      </c>
      <c r="I1117" s="138">
        <f>IF(B1117="Working",MIN(MAX(D1117-E1117-F1117-G1117-H1117,0),'Tax Assumptions'!$B$20),0)</f>
        <v/>
      </c>
      <c r="J1117" s="138">
        <f>IF(B1117="Working",D1117-E1117-F1117-I1117-G1117-H1117,-L1117)</f>
        <v/>
      </c>
      <c r="K1117" s="137">
        <f>IF(B1117="Retired",$N$246+G1117+H1117,0)</f>
        <v/>
      </c>
      <c r="L1117" s="137">
        <f>M1117+N1117+O1117+P1117</f>
        <v/>
      </c>
      <c r="M1117" s="137">
        <f>IF(B1117="Retired",MIN(((Q1116)*(1+$C$10)+IF(B1117="Working",J1117,0)),K1117),0)</f>
        <v/>
      </c>
      <c r="N1117" s="137">
        <f>IF(B1117="Retired",MIN(MAX(K1117-M1117,0),((R1116)*(1+$C$10)+IF(B1117="Working",E104,0))),0)</f>
        <v/>
      </c>
      <c r="O1117" s="137">
        <f>IF(B1117="Retired",MIN(MAX(K1117-M1117-N1117,0),((S1116)*(1+$C$10)+IF(B1117="Working",I1117,0))),0)</f>
        <v/>
      </c>
      <c r="P1117" s="137">
        <f>IF(B1117="Retired",MIN(MAX(K1117-M1117-N1117-O1117,0),((T1116)*(1+$C$10)+IF(B1117="Working",F104,0))),0)</f>
        <v/>
      </c>
      <c r="Q1117" s="138">
        <f>MAX(((Q1116)*(1+$C$10)+IF(B1117="Working",J1117,0))-M1117,0)</f>
        <v/>
      </c>
      <c r="R1117" s="138">
        <f>MAX(((R1116)*(1+$C$10)+IF(B1117="Working",E104,0))-N1117,0)</f>
        <v/>
      </c>
      <c r="S1117" s="138">
        <f>MAX(((S1116)*(1+$C$10)+IF(B1117="Working",I1117,0))-O1117,0)</f>
        <v/>
      </c>
      <c r="T1117" s="138">
        <f>MAX(((T1116)*(1+$C$10)+IF(B1117="Working",F104,0))-P1117,0)</f>
        <v/>
      </c>
      <c r="U1117" s="138">
        <f>Q1117+R1117+S1117+T1117</f>
        <v/>
      </c>
      <c r="V1117" s="138">
        <f>IF(B1117="Working",MAX(-(((Q1116)*(1+$C$10)+IF(B1117="Working",J1117,0))),0),MAX(K1117-L1117,0))</f>
        <v/>
      </c>
      <c r="W1117" s="138">
        <f>IF(OR(A1117&gt;=$C$13,B1117="Retired"),IF(V1117&gt;0,-V1117,U1117-'Model Inputs'!$B$18),"")</f>
        <v/>
      </c>
      <c r="X1117" s="138">
        <f>IF(AND($L$246&gt;0,A1117&gt;=$C$13),$L$246*(1+$C$25)^(A1117-$C$13),0)</f>
        <v/>
      </c>
      <c r="Y1117" s="138">
        <f>IF(OR($L$246&lt;=0,$C$17&lt;=0,A1117&lt;$C$13,MIN(MAX((A1117-$C$13+1)*12,0),$C$17*12)&gt;=$C$17*12),0,IF($C$16=0,MAX(MAX($L$246*(1-$C$15),0)-(IF($C$17&lt;=0,0,IF($C$16=0,MAX($L$246*(1-$C$15),0)/$C$17,-PMT($C$16/12,$C$17*12,MAX($L$246*(1-$C$15),0))*12))/12)*MIN(MAX((A1117-$C$13+1)*12,0),$C$17*12),0),MAX(MAX($L$246*(1-$C$15),0)*(1+$C$16/12)^MIN(MAX((A1117-$C$13+1)*12,0),$C$17*12)-(IF($C$17&lt;=0,0,IF($C$16=0,MAX($L$246*(1-$C$15),0)/$C$17,-PMT($C$16/12,$C$17*12,MAX($L$246*(1-$C$15),0))*12))/12)*(((1+$C$16/12)^MIN(MAX((A1117-$C$13+1)*12,0),$C$17*12)-1)/($C$16/12)),0)))</f>
        <v/>
      </c>
      <c r="Z1117" s="138">
        <f>MAX(X1117-Y1117,0)</f>
        <v/>
      </c>
      <c r="AA1117" s="139">
        <f>U1117+Z1117</f>
        <v/>
      </c>
      <c r="AB1117" s="5" t="n"/>
      <c r="AC1117" s="5" t="n"/>
      <c r="AD1117" s="5" t="n"/>
      <c r="AE1117" s="5" t="n"/>
      <c r="AF1117" s="5" t="n"/>
      <c r="AG1117" s="5" t="n"/>
    </row>
    <row r="1118" outlineLevel="1" s="326">
      <c r="A1118" s="140" t="n">
        <v>26</v>
      </c>
      <c r="B1118" s="40">
        <f>B105</f>
        <v/>
      </c>
      <c r="C1118" s="141">
        <f>D105</f>
        <v/>
      </c>
      <c r="D1118" s="141">
        <f>I105</f>
        <v/>
      </c>
      <c r="E1118" s="141">
        <f>J105</f>
        <v/>
      </c>
      <c r="F1118" s="141">
        <f>K105</f>
        <v/>
      </c>
      <c r="G1118" s="138">
        <f>IF(AND($L$246&gt;0,A1118=$C$13),$L$246*($C$15+$C$18),0)+IF(AND($L$246&gt;0,A1118=$C$13),$C$24,0)</f>
        <v/>
      </c>
      <c r="H1118" s="138">
        <f>IF(OR($L$246&lt;=0,A1118&lt;$C$13),0,IF(AND($L$246&gt;0,$C$17&gt;0,A1118&gt;=$C$13,A1118&lt;($C$13+$C$17)),IF($C$17&lt;=0,0,IF($C$16=0,MAX($L$246*(1-$C$15),0)/$C$17,-PMT($C$16/12,$C$17*12,MAX($L$246*(1-$C$15),0))*12)),0)+X1118*($C$19+$C$20+$C$21)+$C$22+$C$23)</f>
        <v/>
      </c>
      <c r="I1118" s="138">
        <f>IF(B1118="Working",MIN(MAX(D1118-E1118-F1118-G1118-H1118,0),'Tax Assumptions'!$B$20),0)</f>
        <v/>
      </c>
      <c r="J1118" s="138">
        <f>IF(B1118="Working",D1118-E1118-F1118-I1118-G1118-H1118,-L1118)</f>
        <v/>
      </c>
      <c r="K1118" s="141">
        <f>IF(B1118="Retired",$N$246+G1118+H1118,0)</f>
        <v/>
      </c>
      <c r="L1118" s="141">
        <f>M1118+N1118+O1118+P1118</f>
        <v/>
      </c>
      <c r="M1118" s="141">
        <f>IF(B1118="Retired",MIN(((Q1117)*(1+$C$10)+IF(B1118="Working",J1118,0)),K1118),0)</f>
        <v/>
      </c>
      <c r="N1118" s="141">
        <f>IF(B1118="Retired",MIN(MAX(K1118-M1118,0),((R1117)*(1+$C$10)+IF(B1118="Working",E105,0))),0)</f>
        <v/>
      </c>
      <c r="O1118" s="141">
        <f>IF(B1118="Retired",MIN(MAX(K1118-M1118-N1118,0),((S1117)*(1+$C$10)+IF(B1118="Working",I1118,0))),0)</f>
        <v/>
      </c>
      <c r="P1118" s="141">
        <f>IF(B1118="Retired",MIN(MAX(K1118-M1118-N1118-O1118,0),((T1117)*(1+$C$10)+IF(B1118="Working",F105,0))),0)</f>
        <v/>
      </c>
      <c r="Q1118" s="138">
        <f>MAX(((Q1117)*(1+$C$10)+IF(B1118="Working",J1118,0))-M1118,0)</f>
        <v/>
      </c>
      <c r="R1118" s="138">
        <f>MAX(((R1117)*(1+$C$10)+IF(B1118="Working",E105,0))-N1118,0)</f>
        <v/>
      </c>
      <c r="S1118" s="138">
        <f>MAX(((S1117)*(1+$C$10)+IF(B1118="Working",I1118,0))-O1118,0)</f>
        <v/>
      </c>
      <c r="T1118" s="138">
        <f>MAX(((T1117)*(1+$C$10)+IF(B1118="Working",F105,0))-P1118,0)</f>
        <v/>
      </c>
      <c r="U1118" s="138">
        <f>Q1118+R1118+S1118+T1118</f>
        <v/>
      </c>
      <c r="V1118" s="138">
        <f>IF(B1118="Working",MAX(-(((Q1117)*(1+$C$10)+IF(B1118="Working",J1118,0))),0),MAX(K1118-L1118,0))</f>
        <v/>
      </c>
      <c r="W1118" s="138">
        <f>IF(OR(A1118&gt;=$C$13,B1118="Retired"),IF(V1118&gt;0,-V1118,U1118-'Model Inputs'!$B$18),"")</f>
        <v/>
      </c>
      <c r="X1118" s="138">
        <f>IF(AND($L$246&gt;0,A1118&gt;=$C$13),$L$246*(1+$C$25)^(A1118-$C$13),0)</f>
        <v/>
      </c>
      <c r="Y1118" s="138">
        <f>IF(OR($L$246&lt;=0,$C$17&lt;=0,A1118&lt;$C$13,MIN(MAX((A1118-$C$13+1)*12,0),$C$17*12)&gt;=$C$17*12),0,IF($C$16=0,MAX(MAX($L$246*(1-$C$15),0)-(IF($C$17&lt;=0,0,IF($C$16=0,MAX($L$246*(1-$C$15),0)/$C$17,-PMT($C$16/12,$C$17*12,MAX($L$246*(1-$C$15),0))*12))/12)*MIN(MAX((A1118-$C$13+1)*12,0),$C$17*12),0),MAX(MAX($L$246*(1-$C$15),0)*(1+$C$16/12)^MIN(MAX((A1118-$C$13+1)*12,0),$C$17*12)-(IF($C$17&lt;=0,0,IF($C$16=0,MAX($L$246*(1-$C$15),0)/$C$17,-PMT($C$16/12,$C$17*12,MAX($L$246*(1-$C$15),0))*12))/12)*(((1+$C$16/12)^MIN(MAX((A1118-$C$13+1)*12,0),$C$17*12)-1)/($C$16/12)),0)))</f>
        <v/>
      </c>
      <c r="Z1118" s="138">
        <f>MAX(X1118-Y1118,0)</f>
        <v/>
      </c>
      <c r="AA1118" s="142">
        <f>U1118+Z1118</f>
        <v/>
      </c>
      <c r="AB1118" s="5" t="n"/>
      <c r="AC1118" s="5" t="n"/>
      <c r="AD1118" s="5" t="n"/>
      <c r="AE1118" s="5" t="n"/>
      <c r="AF1118" s="5" t="n"/>
      <c r="AG1118" s="5" t="n"/>
    </row>
    <row r="1119" outlineLevel="1" s="326">
      <c r="A1119" s="136" t="n">
        <v>27</v>
      </c>
      <c r="B1119" s="72">
        <f>B106</f>
        <v/>
      </c>
      <c r="C1119" s="137">
        <f>D106</f>
        <v/>
      </c>
      <c r="D1119" s="137">
        <f>I106</f>
        <v/>
      </c>
      <c r="E1119" s="137">
        <f>J106</f>
        <v/>
      </c>
      <c r="F1119" s="137">
        <f>K106</f>
        <v/>
      </c>
      <c r="G1119" s="138">
        <f>IF(AND($L$246&gt;0,A1119=$C$13),$L$246*($C$15+$C$18),0)+IF(AND($L$246&gt;0,A1119=$C$13),$C$24,0)</f>
        <v/>
      </c>
      <c r="H1119" s="138">
        <f>IF(OR($L$246&lt;=0,A1119&lt;$C$13),0,IF(AND($L$246&gt;0,$C$17&gt;0,A1119&gt;=$C$13,A1119&lt;($C$13+$C$17)),IF($C$17&lt;=0,0,IF($C$16=0,MAX($L$246*(1-$C$15),0)/$C$17,-PMT($C$16/12,$C$17*12,MAX($L$246*(1-$C$15),0))*12)),0)+X1119*($C$19+$C$20+$C$21)+$C$22+$C$23)</f>
        <v/>
      </c>
      <c r="I1119" s="138">
        <f>IF(B1119="Working",MIN(MAX(D1119-E1119-F1119-G1119-H1119,0),'Tax Assumptions'!$B$20),0)</f>
        <v/>
      </c>
      <c r="J1119" s="138">
        <f>IF(B1119="Working",D1119-E1119-F1119-I1119-G1119-H1119,-L1119)</f>
        <v/>
      </c>
      <c r="K1119" s="137">
        <f>IF(B1119="Retired",$N$246+G1119+H1119,0)</f>
        <v/>
      </c>
      <c r="L1119" s="137">
        <f>M1119+N1119+O1119+P1119</f>
        <v/>
      </c>
      <c r="M1119" s="137">
        <f>IF(B1119="Retired",MIN(((Q1118)*(1+$C$10)+IF(B1119="Working",J1119,0)),K1119),0)</f>
        <v/>
      </c>
      <c r="N1119" s="137">
        <f>IF(B1119="Retired",MIN(MAX(K1119-M1119,0),((R1118)*(1+$C$10)+IF(B1119="Working",E106,0))),0)</f>
        <v/>
      </c>
      <c r="O1119" s="137">
        <f>IF(B1119="Retired",MIN(MAX(K1119-M1119-N1119,0),((S1118)*(1+$C$10)+IF(B1119="Working",I1119,0))),0)</f>
        <v/>
      </c>
      <c r="P1119" s="137">
        <f>IF(B1119="Retired",MIN(MAX(K1119-M1119-N1119-O1119,0),((T1118)*(1+$C$10)+IF(B1119="Working",F106,0))),0)</f>
        <v/>
      </c>
      <c r="Q1119" s="138">
        <f>MAX(((Q1118)*(1+$C$10)+IF(B1119="Working",J1119,0))-M1119,0)</f>
        <v/>
      </c>
      <c r="R1119" s="138">
        <f>MAX(((R1118)*(1+$C$10)+IF(B1119="Working",E106,0))-N1119,0)</f>
        <v/>
      </c>
      <c r="S1119" s="138">
        <f>MAX(((S1118)*(1+$C$10)+IF(B1119="Working",I1119,0))-O1119,0)</f>
        <v/>
      </c>
      <c r="T1119" s="138">
        <f>MAX(((T1118)*(1+$C$10)+IF(B1119="Working",F106,0))-P1119,0)</f>
        <v/>
      </c>
      <c r="U1119" s="138">
        <f>Q1119+R1119+S1119+T1119</f>
        <v/>
      </c>
      <c r="V1119" s="138">
        <f>IF(B1119="Working",MAX(-(((Q1118)*(1+$C$10)+IF(B1119="Working",J1119,0))),0),MAX(K1119-L1119,0))</f>
        <v/>
      </c>
      <c r="W1119" s="138">
        <f>IF(OR(A1119&gt;=$C$13,B1119="Retired"),IF(V1119&gt;0,-V1119,U1119-'Model Inputs'!$B$18),"")</f>
        <v/>
      </c>
      <c r="X1119" s="138">
        <f>IF(AND($L$246&gt;0,A1119&gt;=$C$13),$L$246*(1+$C$25)^(A1119-$C$13),0)</f>
        <v/>
      </c>
      <c r="Y1119" s="138">
        <f>IF(OR($L$246&lt;=0,$C$17&lt;=0,A1119&lt;$C$13,MIN(MAX((A1119-$C$13+1)*12,0),$C$17*12)&gt;=$C$17*12),0,IF($C$16=0,MAX(MAX($L$246*(1-$C$15),0)-(IF($C$17&lt;=0,0,IF($C$16=0,MAX($L$246*(1-$C$15),0)/$C$17,-PMT($C$16/12,$C$17*12,MAX($L$246*(1-$C$15),0))*12))/12)*MIN(MAX((A1119-$C$13+1)*12,0),$C$17*12),0),MAX(MAX($L$246*(1-$C$15),0)*(1+$C$16/12)^MIN(MAX((A1119-$C$13+1)*12,0),$C$17*12)-(IF($C$17&lt;=0,0,IF($C$16=0,MAX($L$246*(1-$C$15),0)/$C$17,-PMT($C$16/12,$C$17*12,MAX($L$246*(1-$C$15),0))*12))/12)*(((1+$C$16/12)^MIN(MAX((A1119-$C$13+1)*12,0),$C$17*12)-1)/($C$16/12)),0)))</f>
        <v/>
      </c>
      <c r="Z1119" s="138">
        <f>MAX(X1119-Y1119,0)</f>
        <v/>
      </c>
      <c r="AA1119" s="139">
        <f>U1119+Z1119</f>
        <v/>
      </c>
      <c r="AB1119" s="5" t="n"/>
      <c r="AC1119" s="5" t="n"/>
      <c r="AD1119" s="5" t="n"/>
      <c r="AE1119" s="5" t="n"/>
      <c r="AF1119" s="5" t="n"/>
      <c r="AG1119" s="5" t="n"/>
    </row>
    <row r="1120" outlineLevel="1" s="326">
      <c r="A1120" s="140" t="n">
        <v>28</v>
      </c>
      <c r="B1120" s="40">
        <f>B107</f>
        <v/>
      </c>
      <c r="C1120" s="141">
        <f>D107</f>
        <v/>
      </c>
      <c r="D1120" s="141">
        <f>I107</f>
        <v/>
      </c>
      <c r="E1120" s="141">
        <f>J107</f>
        <v/>
      </c>
      <c r="F1120" s="141">
        <f>K107</f>
        <v/>
      </c>
      <c r="G1120" s="138">
        <f>IF(AND($L$246&gt;0,A1120=$C$13),$L$246*($C$15+$C$18),0)+IF(AND($L$246&gt;0,A1120=$C$13),$C$24,0)</f>
        <v/>
      </c>
      <c r="H1120" s="138">
        <f>IF(OR($L$246&lt;=0,A1120&lt;$C$13),0,IF(AND($L$246&gt;0,$C$17&gt;0,A1120&gt;=$C$13,A1120&lt;($C$13+$C$17)),IF($C$17&lt;=0,0,IF($C$16=0,MAX($L$246*(1-$C$15),0)/$C$17,-PMT($C$16/12,$C$17*12,MAX($L$246*(1-$C$15),0))*12)),0)+X1120*($C$19+$C$20+$C$21)+$C$22+$C$23)</f>
        <v/>
      </c>
      <c r="I1120" s="138">
        <f>IF(B1120="Working",MIN(MAX(D1120-E1120-F1120-G1120-H1120,0),'Tax Assumptions'!$B$20),0)</f>
        <v/>
      </c>
      <c r="J1120" s="138">
        <f>IF(B1120="Working",D1120-E1120-F1120-I1120-G1120-H1120,-L1120)</f>
        <v/>
      </c>
      <c r="K1120" s="141">
        <f>IF(B1120="Retired",$N$246+G1120+H1120,0)</f>
        <v/>
      </c>
      <c r="L1120" s="141">
        <f>M1120+N1120+O1120+P1120</f>
        <v/>
      </c>
      <c r="M1120" s="141">
        <f>IF(B1120="Retired",MIN(((Q1119)*(1+$C$10)+IF(B1120="Working",J1120,0)),K1120),0)</f>
        <v/>
      </c>
      <c r="N1120" s="141">
        <f>IF(B1120="Retired",MIN(MAX(K1120-M1120,0),((R1119)*(1+$C$10)+IF(B1120="Working",E107,0))),0)</f>
        <v/>
      </c>
      <c r="O1120" s="141">
        <f>IF(B1120="Retired",MIN(MAX(K1120-M1120-N1120,0),((S1119)*(1+$C$10)+IF(B1120="Working",I1120,0))),0)</f>
        <v/>
      </c>
      <c r="P1120" s="141">
        <f>IF(B1120="Retired",MIN(MAX(K1120-M1120-N1120-O1120,0),((T1119)*(1+$C$10)+IF(B1120="Working",F107,0))),0)</f>
        <v/>
      </c>
      <c r="Q1120" s="138">
        <f>MAX(((Q1119)*(1+$C$10)+IF(B1120="Working",J1120,0))-M1120,0)</f>
        <v/>
      </c>
      <c r="R1120" s="138">
        <f>MAX(((R1119)*(1+$C$10)+IF(B1120="Working",E107,0))-N1120,0)</f>
        <v/>
      </c>
      <c r="S1120" s="138">
        <f>MAX(((S1119)*(1+$C$10)+IF(B1120="Working",I1120,0))-O1120,0)</f>
        <v/>
      </c>
      <c r="T1120" s="138">
        <f>MAX(((T1119)*(1+$C$10)+IF(B1120="Working",F107,0))-P1120,0)</f>
        <v/>
      </c>
      <c r="U1120" s="138">
        <f>Q1120+R1120+S1120+T1120</f>
        <v/>
      </c>
      <c r="V1120" s="138">
        <f>IF(B1120="Working",MAX(-(((Q1119)*(1+$C$10)+IF(B1120="Working",J1120,0))),0),MAX(K1120-L1120,0))</f>
        <v/>
      </c>
      <c r="W1120" s="138">
        <f>IF(OR(A1120&gt;=$C$13,B1120="Retired"),IF(V1120&gt;0,-V1120,U1120-'Model Inputs'!$B$18),"")</f>
        <v/>
      </c>
      <c r="X1120" s="138">
        <f>IF(AND($L$246&gt;0,A1120&gt;=$C$13),$L$246*(1+$C$25)^(A1120-$C$13),0)</f>
        <v/>
      </c>
      <c r="Y1120" s="138">
        <f>IF(OR($L$246&lt;=0,$C$17&lt;=0,A1120&lt;$C$13,MIN(MAX((A1120-$C$13+1)*12,0),$C$17*12)&gt;=$C$17*12),0,IF($C$16=0,MAX(MAX($L$246*(1-$C$15),0)-(IF($C$17&lt;=0,0,IF($C$16=0,MAX($L$246*(1-$C$15),0)/$C$17,-PMT($C$16/12,$C$17*12,MAX($L$246*(1-$C$15),0))*12))/12)*MIN(MAX((A1120-$C$13+1)*12,0),$C$17*12),0),MAX(MAX($L$246*(1-$C$15),0)*(1+$C$16/12)^MIN(MAX((A1120-$C$13+1)*12,0),$C$17*12)-(IF($C$17&lt;=0,0,IF($C$16=0,MAX($L$246*(1-$C$15),0)/$C$17,-PMT($C$16/12,$C$17*12,MAX($L$246*(1-$C$15),0))*12))/12)*(((1+$C$16/12)^MIN(MAX((A1120-$C$13+1)*12,0),$C$17*12)-1)/($C$16/12)),0)))</f>
        <v/>
      </c>
      <c r="Z1120" s="138">
        <f>MAX(X1120-Y1120,0)</f>
        <v/>
      </c>
      <c r="AA1120" s="142">
        <f>U1120+Z1120</f>
        <v/>
      </c>
      <c r="AB1120" s="5" t="n"/>
      <c r="AC1120" s="5" t="n"/>
      <c r="AD1120" s="5" t="n"/>
      <c r="AE1120" s="5" t="n"/>
      <c r="AF1120" s="5" t="n"/>
      <c r="AG1120" s="5" t="n"/>
    </row>
    <row r="1121" outlineLevel="1" s="326">
      <c r="A1121" s="136" t="n">
        <v>29</v>
      </c>
      <c r="B1121" s="72">
        <f>B108</f>
        <v/>
      </c>
      <c r="C1121" s="137">
        <f>D108</f>
        <v/>
      </c>
      <c r="D1121" s="137">
        <f>I108</f>
        <v/>
      </c>
      <c r="E1121" s="137">
        <f>J108</f>
        <v/>
      </c>
      <c r="F1121" s="137">
        <f>K108</f>
        <v/>
      </c>
      <c r="G1121" s="138">
        <f>IF(AND($L$246&gt;0,A1121=$C$13),$L$246*($C$15+$C$18),0)+IF(AND($L$246&gt;0,A1121=$C$13),$C$24,0)</f>
        <v/>
      </c>
      <c r="H1121" s="138">
        <f>IF(OR($L$246&lt;=0,A1121&lt;$C$13),0,IF(AND($L$246&gt;0,$C$17&gt;0,A1121&gt;=$C$13,A1121&lt;($C$13+$C$17)),IF($C$17&lt;=0,0,IF($C$16=0,MAX($L$246*(1-$C$15),0)/$C$17,-PMT($C$16/12,$C$17*12,MAX($L$246*(1-$C$15),0))*12)),0)+X1121*($C$19+$C$20+$C$21)+$C$22+$C$23)</f>
        <v/>
      </c>
      <c r="I1121" s="138">
        <f>IF(B1121="Working",MIN(MAX(D1121-E1121-F1121-G1121-H1121,0),'Tax Assumptions'!$B$20),0)</f>
        <v/>
      </c>
      <c r="J1121" s="138">
        <f>IF(B1121="Working",D1121-E1121-F1121-I1121-G1121-H1121,-L1121)</f>
        <v/>
      </c>
      <c r="K1121" s="137">
        <f>IF(B1121="Retired",$N$246+G1121+H1121,0)</f>
        <v/>
      </c>
      <c r="L1121" s="137">
        <f>M1121+N1121+O1121+P1121</f>
        <v/>
      </c>
      <c r="M1121" s="137">
        <f>IF(B1121="Retired",MIN(((Q1120)*(1+$C$10)+IF(B1121="Working",J1121,0)),K1121),0)</f>
        <v/>
      </c>
      <c r="N1121" s="137">
        <f>IF(B1121="Retired",MIN(MAX(K1121-M1121,0),((R1120)*(1+$C$10)+IF(B1121="Working",E108,0))),0)</f>
        <v/>
      </c>
      <c r="O1121" s="137">
        <f>IF(B1121="Retired",MIN(MAX(K1121-M1121-N1121,0),((S1120)*(1+$C$10)+IF(B1121="Working",I1121,0))),0)</f>
        <v/>
      </c>
      <c r="P1121" s="137">
        <f>IF(B1121="Retired",MIN(MAX(K1121-M1121-N1121-O1121,0),((T1120)*(1+$C$10)+IF(B1121="Working",F108,0))),0)</f>
        <v/>
      </c>
      <c r="Q1121" s="138">
        <f>MAX(((Q1120)*(1+$C$10)+IF(B1121="Working",J1121,0))-M1121,0)</f>
        <v/>
      </c>
      <c r="R1121" s="138">
        <f>MAX(((R1120)*(1+$C$10)+IF(B1121="Working",E108,0))-N1121,0)</f>
        <v/>
      </c>
      <c r="S1121" s="138">
        <f>MAX(((S1120)*(1+$C$10)+IF(B1121="Working",I1121,0))-O1121,0)</f>
        <v/>
      </c>
      <c r="T1121" s="138">
        <f>MAX(((T1120)*(1+$C$10)+IF(B1121="Working",F108,0))-P1121,0)</f>
        <v/>
      </c>
      <c r="U1121" s="138">
        <f>Q1121+R1121+S1121+T1121</f>
        <v/>
      </c>
      <c r="V1121" s="138">
        <f>IF(B1121="Working",MAX(-(((Q1120)*(1+$C$10)+IF(B1121="Working",J1121,0))),0),MAX(K1121-L1121,0))</f>
        <v/>
      </c>
      <c r="W1121" s="138">
        <f>IF(OR(A1121&gt;=$C$13,B1121="Retired"),IF(V1121&gt;0,-V1121,U1121-'Model Inputs'!$B$18),"")</f>
        <v/>
      </c>
      <c r="X1121" s="138">
        <f>IF(AND($L$246&gt;0,A1121&gt;=$C$13),$L$246*(1+$C$25)^(A1121-$C$13),0)</f>
        <v/>
      </c>
      <c r="Y1121" s="138">
        <f>IF(OR($L$246&lt;=0,$C$17&lt;=0,A1121&lt;$C$13,MIN(MAX((A1121-$C$13+1)*12,0),$C$17*12)&gt;=$C$17*12),0,IF($C$16=0,MAX(MAX($L$246*(1-$C$15),0)-(IF($C$17&lt;=0,0,IF($C$16=0,MAX($L$246*(1-$C$15),0)/$C$17,-PMT($C$16/12,$C$17*12,MAX($L$246*(1-$C$15),0))*12))/12)*MIN(MAX((A1121-$C$13+1)*12,0),$C$17*12),0),MAX(MAX($L$246*(1-$C$15),0)*(1+$C$16/12)^MIN(MAX((A1121-$C$13+1)*12,0),$C$17*12)-(IF($C$17&lt;=0,0,IF($C$16=0,MAX($L$246*(1-$C$15),0)/$C$17,-PMT($C$16/12,$C$17*12,MAX($L$246*(1-$C$15),0))*12))/12)*(((1+$C$16/12)^MIN(MAX((A1121-$C$13+1)*12,0),$C$17*12)-1)/($C$16/12)),0)))</f>
        <v/>
      </c>
      <c r="Z1121" s="138">
        <f>MAX(X1121-Y1121,0)</f>
        <v/>
      </c>
      <c r="AA1121" s="139">
        <f>U1121+Z1121</f>
        <v/>
      </c>
      <c r="AB1121" s="5" t="n"/>
      <c r="AC1121" s="5" t="n"/>
      <c r="AD1121" s="5" t="n"/>
      <c r="AE1121" s="5" t="n"/>
      <c r="AF1121" s="5" t="n"/>
      <c r="AG1121" s="5" t="n"/>
    </row>
    <row r="1122" outlineLevel="1" s="326">
      <c r="A1122" s="140" t="n">
        <v>30</v>
      </c>
      <c r="B1122" s="40">
        <f>B109</f>
        <v/>
      </c>
      <c r="C1122" s="141">
        <f>D109</f>
        <v/>
      </c>
      <c r="D1122" s="141">
        <f>I109</f>
        <v/>
      </c>
      <c r="E1122" s="141">
        <f>J109</f>
        <v/>
      </c>
      <c r="F1122" s="141">
        <f>K109</f>
        <v/>
      </c>
      <c r="G1122" s="138">
        <f>IF(AND($L$246&gt;0,A1122=$C$13),$L$246*($C$15+$C$18),0)+IF(AND($L$246&gt;0,A1122=$C$13),$C$24,0)</f>
        <v/>
      </c>
      <c r="H1122" s="138">
        <f>IF(OR($L$246&lt;=0,A1122&lt;$C$13),0,IF(AND($L$246&gt;0,$C$17&gt;0,A1122&gt;=$C$13,A1122&lt;($C$13+$C$17)),IF($C$17&lt;=0,0,IF($C$16=0,MAX($L$246*(1-$C$15),0)/$C$17,-PMT($C$16/12,$C$17*12,MAX($L$246*(1-$C$15),0))*12)),0)+X1122*($C$19+$C$20+$C$21)+$C$22+$C$23)</f>
        <v/>
      </c>
      <c r="I1122" s="138">
        <f>IF(B1122="Working",MIN(MAX(D1122-E1122-F1122-G1122-H1122,0),'Tax Assumptions'!$B$20),0)</f>
        <v/>
      </c>
      <c r="J1122" s="138">
        <f>IF(B1122="Working",D1122-E1122-F1122-I1122-G1122-H1122,-L1122)</f>
        <v/>
      </c>
      <c r="K1122" s="141">
        <f>IF(B1122="Retired",$N$246+G1122+H1122,0)</f>
        <v/>
      </c>
      <c r="L1122" s="141">
        <f>M1122+N1122+O1122+P1122</f>
        <v/>
      </c>
      <c r="M1122" s="141">
        <f>IF(B1122="Retired",MIN(((Q1121)*(1+$C$10)+IF(B1122="Working",J1122,0)),K1122),0)</f>
        <v/>
      </c>
      <c r="N1122" s="141">
        <f>IF(B1122="Retired",MIN(MAX(K1122-M1122,0),((R1121)*(1+$C$10)+IF(B1122="Working",E109,0))),0)</f>
        <v/>
      </c>
      <c r="O1122" s="141">
        <f>IF(B1122="Retired",MIN(MAX(K1122-M1122-N1122,0),((S1121)*(1+$C$10)+IF(B1122="Working",I1122,0))),0)</f>
        <v/>
      </c>
      <c r="P1122" s="141">
        <f>IF(B1122="Retired",MIN(MAX(K1122-M1122-N1122-O1122,0),((T1121)*(1+$C$10)+IF(B1122="Working",F109,0))),0)</f>
        <v/>
      </c>
      <c r="Q1122" s="138">
        <f>MAX(((Q1121)*(1+$C$10)+IF(B1122="Working",J1122,0))-M1122,0)</f>
        <v/>
      </c>
      <c r="R1122" s="138">
        <f>MAX(((R1121)*(1+$C$10)+IF(B1122="Working",E109,0))-N1122,0)</f>
        <v/>
      </c>
      <c r="S1122" s="138">
        <f>MAX(((S1121)*(1+$C$10)+IF(B1122="Working",I1122,0))-O1122,0)</f>
        <v/>
      </c>
      <c r="T1122" s="138">
        <f>MAX(((T1121)*(1+$C$10)+IF(B1122="Working",F109,0))-P1122,0)</f>
        <v/>
      </c>
      <c r="U1122" s="138">
        <f>Q1122+R1122+S1122+T1122</f>
        <v/>
      </c>
      <c r="V1122" s="138">
        <f>IF(B1122="Working",MAX(-(((Q1121)*(1+$C$10)+IF(B1122="Working",J1122,0))),0),MAX(K1122-L1122,0))</f>
        <v/>
      </c>
      <c r="W1122" s="138">
        <f>IF(OR(A1122&gt;=$C$13,B1122="Retired"),IF(V1122&gt;0,-V1122,U1122-'Model Inputs'!$B$18),"")</f>
        <v/>
      </c>
      <c r="X1122" s="138">
        <f>IF(AND($L$246&gt;0,A1122&gt;=$C$13),$L$246*(1+$C$25)^(A1122-$C$13),0)</f>
        <v/>
      </c>
      <c r="Y1122" s="138">
        <f>IF(OR($L$246&lt;=0,$C$17&lt;=0,A1122&lt;$C$13,MIN(MAX((A1122-$C$13+1)*12,0),$C$17*12)&gt;=$C$17*12),0,IF($C$16=0,MAX(MAX($L$246*(1-$C$15),0)-(IF($C$17&lt;=0,0,IF($C$16=0,MAX($L$246*(1-$C$15),0)/$C$17,-PMT($C$16/12,$C$17*12,MAX($L$246*(1-$C$15),0))*12))/12)*MIN(MAX((A1122-$C$13+1)*12,0),$C$17*12),0),MAX(MAX($L$246*(1-$C$15),0)*(1+$C$16/12)^MIN(MAX((A1122-$C$13+1)*12,0),$C$17*12)-(IF($C$17&lt;=0,0,IF($C$16=0,MAX($L$246*(1-$C$15),0)/$C$17,-PMT($C$16/12,$C$17*12,MAX($L$246*(1-$C$15),0))*12))/12)*(((1+$C$16/12)^MIN(MAX((A1122-$C$13+1)*12,0),$C$17*12)-1)/($C$16/12)),0)))</f>
        <v/>
      </c>
      <c r="Z1122" s="138">
        <f>MAX(X1122-Y1122,0)</f>
        <v/>
      </c>
      <c r="AA1122" s="142">
        <f>U1122+Z1122</f>
        <v/>
      </c>
      <c r="AB1122" s="5" t="n"/>
      <c r="AC1122" s="5" t="n"/>
      <c r="AD1122" s="5" t="n"/>
      <c r="AE1122" s="5" t="n"/>
      <c r="AF1122" s="5" t="n"/>
      <c r="AG1122" s="5" t="n"/>
    </row>
    <row r="1123" outlineLevel="1" s="326">
      <c r="A1123" s="136" t="n">
        <v>31</v>
      </c>
      <c r="B1123" s="72">
        <f>B110</f>
        <v/>
      </c>
      <c r="C1123" s="137">
        <f>D110</f>
        <v/>
      </c>
      <c r="D1123" s="137">
        <f>I110</f>
        <v/>
      </c>
      <c r="E1123" s="137">
        <f>J110</f>
        <v/>
      </c>
      <c r="F1123" s="137">
        <f>K110</f>
        <v/>
      </c>
      <c r="G1123" s="138">
        <f>IF(AND($L$246&gt;0,A1123=$C$13),$L$246*($C$15+$C$18),0)+IF(AND($L$246&gt;0,A1123=$C$13),$C$24,0)</f>
        <v/>
      </c>
      <c r="H1123" s="138">
        <f>IF(OR($L$246&lt;=0,A1123&lt;$C$13),0,IF(AND($L$246&gt;0,$C$17&gt;0,A1123&gt;=$C$13,A1123&lt;($C$13+$C$17)),IF($C$17&lt;=0,0,IF($C$16=0,MAX($L$246*(1-$C$15),0)/$C$17,-PMT($C$16/12,$C$17*12,MAX($L$246*(1-$C$15),0))*12)),0)+X1123*($C$19+$C$20+$C$21)+$C$22+$C$23)</f>
        <v/>
      </c>
      <c r="I1123" s="138">
        <f>IF(B1123="Working",MIN(MAX(D1123-E1123-F1123-G1123-H1123,0),'Tax Assumptions'!$B$20),0)</f>
        <v/>
      </c>
      <c r="J1123" s="138">
        <f>IF(B1123="Working",D1123-E1123-F1123-I1123-G1123-H1123,-L1123)</f>
        <v/>
      </c>
      <c r="K1123" s="137">
        <f>IF(B1123="Retired",$N$246+G1123+H1123,0)</f>
        <v/>
      </c>
      <c r="L1123" s="137">
        <f>M1123+N1123+O1123+P1123</f>
        <v/>
      </c>
      <c r="M1123" s="137">
        <f>IF(B1123="Retired",MIN(((Q1122)*(1+$C$10)+IF(B1123="Working",J1123,0)),K1123),0)</f>
        <v/>
      </c>
      <c r="N1123" s="137">
        <f>IF(B1123="Retired",MIN(MAX(K1123-M1123,0),((R1122)*(1+$C$10)+IF(B1123="Working",E110,0))),0)</f>
        <v/>
      </c>
      <c r="O1123" s="137">
        <f>IF(B1123="Retired",MIN(MAX(K1123-M1123-N1123,0),((S1122)*(1+$C$10)+IF(B1123="Working",I1123,0))),0)</f>
        <v/>
      </c>
      <c r="P1123" s="137">
        <f>IF(B1123="Retired",MIN(MAX(K1123-M1123-N1123-O1123,0),((T1122)*(1+$C$10)+IF(B1123="Working",F110,0))),0)</f>
        <v/>
      </c>
      <c r="Q1123" s="138">
        <f>MAX(((Q1122)*(1+$C$10)+IF(B1123="Working",J1123,0))-M1123,0)</f>
        <v/>
      </c>
      <c r="R1123" s="138">
        <f>MAX(((R1122)*(1+$C$10)+IF(B1123="Working",E110,0))-N1123,0)</f>
        <v/>
      </c>
      <c r="S1123" s="138">
        <f>MAX(((S1122)*(1+$C$10)+IF(B1123="Working",I1123,0))-O1123,0)</f>
        <v/>
      </c>
      <c r="T1123" s="138">
        <f>MAX(((T1122)*(1+$C$10)+IF(B1123="Working",F110,0))-P1123,0)</f>
        <v/>
      </c>
      <c r="U1123" s="138">
        <f>Q1123+R1123+S1123+T1123</f>
        <v/>
      </c>
      <c r="V1123" s="138">
        <f>IF(B1123="Working",MAX(-(((Q1122)*(1+$C$10)+IF(B1123="Working",J1123,0))),0),MAX(K1123-L1123,0))</f>
        <v/>
      </c>
      <c r="W1123" s="138">
        <f>IF(OR(A1123&gt;=$C$13,B1123="Retired"),IF(V1123&gt;0,-V1123,U1123-'Model Inputs'!$B$18),"")</f>
        <v/>
      </c>
      <c r="X1123" s="138">
        <f>IF(AND($L$246&gt;0,A1123&gt;=$C$13),$L$246*(1+$C$25)^(A1123-$C$13),0)</f>
        <v/>
      </c>
      <c r="Y1123" s="138">
        <f>IF(OR($L$246&lt;=0,$C$17&lt;=0,A1123&lt;$C$13,MIN(MAX((A1123-$C$13+1)*12,0),$C$17*12)&gt;=$C$17*12),0,IF($C$16=0,MAX(MAX($L$246*(1-$C$15),0)-(IF($C$17&lt;=0,0,IF($C$16=0,MAX($L$246*(1-$C$15),0)/$C$17,-PMT($C$16/12,$C$17*12,MAX($L$246*(1-$C$15),0))*12))/12)*MIN(MAX((A1123-$C$13+1)*12,0),$C$17*12),0),MAX(MAX($L$246*(1-$C$15),0)*(1+$C$16/12)^MIN(MAX((A1123-$C$13+1)*12,0),$C$17*12)-(IF($C$17&lt;=0,0,IF($C$16=0,MAX($L$246*(1-$C$15),0)/$C$17,-PMT($C$16/12,$C$17*12,MAX($L$246*(1-$C$15),0))*12))/12)*(((1+$C$16/12)^MIN(MAX((A1123-$C$13+1)*12,0),$C$17*12)-1)/($C$16/12)),0)))</f>
        <v/>
      </c>
      <c r="Z1123" s="138">
        <f>MAX(X1123-Y1123,0)</f>
        <v/>
      </c>
      <c r="AA1123" s="139">
        <f>U1123+Z1123</f>
        <v/>
      </c>
      <c r="AB1123" s="5" t="n"/>
      <c r="AC1123" s="5" t="n"/>
      <c r="AD1123" s="5" t="n"/>
      <c r="AE1123" s="5" t="n"/>
      <c r="AF1123" s="5" t="n"/>
      <c r="AG1123" s="5" t="n"/>
    </row>
    <row r="1124" outlineLevel="1" s="326">
      <c r="A1124" s="140" t="n">
        <v>32</v>
      </c>
      <c r="B1124" s="40">
        <f>B111</f>
        <v/>
      </c>
      <c r="C1124" s="141">
        <f>D111</f>
        <v/>
      </c>
      <c r="D1124" s="141">
        <f>I111</f>
        <v/>
      </c>
      <c r="E1124" s="141">
        <f>J111</f>
        <v/>
      </c>
      <c r="F1124" s="141">
        <f>K111</f>
        <v/>
      </c>
      <c r="G1124" s="138">
        <f>IF(AND($L$246&gt;0,A1124=$C$13),$L$246*($C$15+$C$18),0)+IF(AND($L$246&gt;0,A1124=$C$13),$C$24,0)</f>
        <v/>
      </c>
      <c r="H1124" s="138">
        <f>IF(OR($L$246&lt;=0,A1124&lt;$C$13),0,IF(AND($L$246&gt;0,$C$17&gt;0,A1124&gt;=$C$13,A1124&lt;($C$13+$C$17)),IF($C$17&lt;=0,0,IF($C$16=0,MAX($L$246*(1-$C$15),0)/$C$17,-PMT($C$16/12,$C$17*12,MAX($L$246*(1-$C$15),0))*12)),0)+X1124*($C$19+$C$20+$C$21)+$C$22+$C$23)</f>
        <v/>
      </c>
      <c r="I1124" s="138">
        <f>IF(B1124="Working",MIN(MAX(D1124-E1124-F1124-G1124-H1124,0),'Tax Assumptions'!$B$20),0)</f>
        <v/>
      </c>
      <c r="J1124" s="138">
        <f>IF(B1124="Working",D1124-E1124-F1124-I1124-G1124-H1124,-L1124)</f>
        <v/>
      </c>
      <c r="K1124" s="141">
        <f>IF(B1124="Retired",$N$246+G1124+H1124,0)</f>
        <v/>
      </c>
      <c r="L1124" s="141">
        <f>M1124+N1124+O1124+P1124</f>
        <v/>
      </c>
      <c r="M1124" s="141">
        <f>IF(B1124="Retired",MIN(((Q1123)*(1+$C$10)+IF(B1124="Working",J1124,0)),K1124),0)</f>
        <v/>
      </c>
      <c r="N1124" s="141">
        <f>IF(B1124="Retired",MIN(MAX(K1124-M1124,0),((R1123)*(1+$C$10)+IF(B1124="Working",E111,0))),0)</f>
        <v/>
      </c>
      <c r="O1124" s="141">
        <f>IF(B1124="Retired",MIN(MAX(K1124-M1124-N1124,0),((S1123)*(1+$C$10)+IF(B1124="Working",I1124,0))),0)</f>
        <v/>
      </c>
      <c r="P1124" s="141">
        <f>IF(B1124="Retired",MIN(MAX(K1124-M1124-N1124-O1124,0),((T1123)*(1+$C$10)+IF(B1124="Working",F111,0))),0)</f>
        <v/>
      </c>
      <c r="Q1124" s="138">
        <f>MAX(((Q1123)*(1+$C$10)+IF(B1124="Working",J1124,0))-M1124,0)</f>
        <v/>
      </c>
      <c r="R1124" s="138">
        <f>MAX(((R1123)*(1+$C$10)+IF(B1124="Working",E111,0))-N1124,0)</f>
        <v/>
      </c>
      <c r="S1124" s="138">
        <f>MAX(((S1123)*(1+$C$10)+IF(B1124="Working",I1124,0))-O1124,0)</f>
        <v/>
      </c>
      <c r="T1124" s="138">
        <f>MAX(((T1123)*(1+$C$10)+IF(B1124="Working",F111,0))-P1124,0)</f>
        <v/>
      </c>
      <c r="U1124" s="138">
        <f>Q1124+R1124+S1124+T1124</f>
        <v/>
      </c>
      <c r="V1124" s="138">
        <f>IF(B1124="Working",MAX(-(((Q1123)*(1+$C$10)+IF(B1124="Working",J1124,0))),0),MAX(K1124-L1124,0))</f>
        <v/>
      </c>
      <c r="W1124" s="138">
        <f>IF(OR(A1124&gt;=$C$13,B1124="Retired"),IF(V1124&gt;0,-V1124,U1124-'Model Inputs'!$B$18),"")</f>
        <v/>
      </c>
      <c r="X1124" s="138">
        <f>IF(AND($L$246&gt;0,A1124&gt;=$C$13),$L$246*(1+$C$25)^(A1124-$C$13),0)</f>
        <v/>
      </c>
      <c r="Y1124" s="138">
        <f>IF(OR($L$246&lt;=0,$C$17&lt;=0,A1124&lt;$C$13,MIN(MAX((A1124-$C$13+1)*12,0),$C$17*12)&gt;=$C$17*12),0,IF($C$16=0,MAX(MAX($L$246*(1-$C$15),0)-(IF($C$17&lt;=0,0,IF($C$16=0,MAX($L$246*(1-$C$15),0)/$C$17,-PMT($C$16/12,$C$17*12,MAX($L$246*(1-$C$15),0))*12))/12)*MIN(MAX((A1124-$C$13+1)*12,0),$C$17*12),0),MAX(MAX($L$246*(1-$C$15),0)*(1+$C$16/12)^MIN(MAX((A1124-$C$13+1)*12,0),$C$17*12)-(IF($C$17&lt;=0,0,IF($C$16=0,MAX($L$246*(1-$C$15),0)/$C$17,-PMT($C$16/12,$C$17*12,MAX($L$246*(1-$C$15),0))*12))/12)*(((1+$C$16/12)^MIN(MAX((A1124-$C$13+1)*12,0),$C$17*12)-1)/($C$16/12)),0)))</f>
        <v/>
      </c>
      <c r="Z1124" s="138">
        <f>MAX(X1124-Y1124,0)</f>
        <v/>
      </c>
      <c r="AA1124" s="142">
        <f>U1124+Z1124</f>
        <v/>
      </c>
      <c r="AB1124" s="5" t="n"/>
      <c r="AC1124" s="5" t="n"/>
      <c r="AD1124" s="5" t="n"/>
      <c r="AE1124" s="5" t="n"/>
      <c r="AF1124" s="5" t="n"/>
      <c r="AG1124" s="5" t="n"/>
    </row>
    <row r="1125" outlineLevel="1" s="326">
      <c r="A1125" s="136" t="n">
        <v>33</v>
      </c>
      <c r="B1125" s="72">
        <f>B112</f>
        <v/>
      </c>
      <c r="C1125" s="137">
        <f>D112</f>
        <v/>
      </c>
      <c r="D1125" s="137">
        <f>I112</f>
        <v/>
      </c>
      <c r="E1125" s="137">
        <f>J112</f>
        <v/>
      </c>
      <c r="F1125" s="137">
        <f>K112</f>
        <v/>
      </c>
      <c r="G1125" s="138">
        <f>IF(AND($L$246&gt;0,A1125=$C$13),$L$246*($C$15+$C$18),0)+IF(AND($L$246&gt;0,A1125=$C$13),$C$24,0)</f>
        <v/>
      </c>
      <c r="H1125" s="138">
        <f>IF(OR($L$246&lt;=0,A1125&lt;$C$13),0,IF(AND($L$246&gt;0,$C$17&gt;0,A1125&gt;=$C$13,A1125&lt;($C$13+$C$17)),IF($C$17&lt;=0,0,IF($C$16=0,MAX($L$246*(1-$C$15),0)/$C$17,-PMT($C$16/12,$C$17*12,MAX($L$246*(1-$C$15),0))*12)),0)+X1125*($C$19+$C$20+$C$21)+$C$22+$C$23)</f>
        <v/>
      </c>
      <c r="I1125" s="138">
        <f>IF(B1125="Working",MIN(MAX(D1125-E1125-F1125-G1125-H1125,0),'Tax Assumptions'!$B$20),0)</f>
        <v/>
      </c>
      <c r="J1125" s="138">
        <f>IF(B1125="Working",D1125-E1125-F1125-I1125-G1125-H1125,-L1125)</f>
        <v/>
      </c>
      <c r="K1125" s="137">
        <f>IF(B1125="Retired",$N$246+G1125+H1125,0)</f>
        <v/>
      </c>
      <c r="L1125" s="137">
        <f>M1125+N1125+O1125+P1125</f>
        <v/>
      </c>
      <c r="M1125" s="137">
        <f>IF(B1125="Retired",MIN(((Q1124)*(1+$C$10)+IF(B1125="Working",J1125,0)),K1125),0)</f>
        <v/>
      </c>
      <c r="N1125" s="137">
        <f>IF(B1125="Retired",MIN(MAX(K1125-M1125,0),((R1124)*(1+$C$10)+IF(B1125="Working",E112,0))),0)</f>
        <v/>
      </c>
      <c r="O1125" s="137">
        <f>IF(B1125="Retired",MIN(MAX(K1125-M1125-N1125,0),((S1124)*(1+$C$10)+IF(B1125="Working",I1125,0))),0)</f>
        <v/>
      </c>
      <c r="P1125" s="137">
        <f>IF(B1125="Retired",MIN(MAX(K1125-M1125-N1125-O1125,0),((T1124)*(1+$C$10)+IF(B1125="Working",F112,0))),0)</f>
        <v/>
      </c>
      <c r="Q1125" s="138">
        <f>MAX(((Q1124)*(1+$C$10)+IF(B1125="Working",J1125,0))-M1125,0)</f>
        <v/>
      </c>
      <c r="R1125" s="138">
        <f>MAX(((R1124)*(1+$C$10)+IF(B1125="Working",E112,0))-N1125,0)</f>
        <v/>
      </c>
      <c r="S1125" s="138">
        <f>MAX(((S1124)*(1+$C$10)+IF(B1125="Working",I1125,0))-O1125,0)</f>
        <v/>
      </c>
      <c r="T1125" s="138">
        <f>MAX(((T1124)*(1+$C$10)+IF(B1125="Working",F112,0))-P1125,0)</f>
        <v/>
      </c>
      <c r="U1125" s="138">
        <f>Q1125+R1125+S1125+T1125</f>
        <v/>
      </c>
      <c r="V1125" s="138">
        <f>IF(B1125="Working",MAX(-(((Q1124)*(1+$C$10)+IF(B1125="Working",J1125,0))),0),MAX(K1125-L1125,0))</f>
        <v/>
      </c>
      <c r="W1125" s="138">
        <f>IF(OR(A1125&gt;=$C$13,B1125="Retired"),IF(V1125&gt;0,-V1125,U1125-'Model Inputs'!$B$18),"")</f>
        <v/>
      </c>
      <c r="X1125" s="138">
        <f>IF(AND($L$246&gt;0,A1125&gt;=$C$13),$L$246*(1+$C$25)^(A1125-$C$13),0)</f>
        <v/>
      </c>
      <c r="Y1125" s="138">
        <f>IF(OR($L$246&lt;=0,$C$17&lt;=0,A1125&lt;$C$13,MIN(MAX((A1125-$C$13+1)*12,0),$C$17*12)&gt;=$C$17*12),0,IF($C$16=0,MAX(MAX($L$246*(1-$C$15),0)-(IF($C$17&lt;=0,0,IF($C$16=0,MAX($L$246*(1-$C$15),0)/$C$17,-PMT($C$16/12,$C$17*12,MAX($L$246*(1-$C$15),0))*12))/12)*MIN(MAX((A1125-$C$13+1)*12,0),$C$17*12),0),MAX(MAX($L$246*(1-$C$15),0)*(1+$C$16/12)^MIN(MAX((A1125-$C$13+1)*12,0),$C$17*12)-(IF($C$17&lt;=0,0,IF($C$16=0,MAX($L$246*(1-$C$15),0)/$C$17,-PMT($C$16/12,$C$17*12,MAX($L$246*(1-$C$15),0))*12))/12)*(((1+$C$16/12)^MIN(MAX((A1125-$C$13+1)*12,0),$C$17*12)-1)/($C$16/12)),0)))</f>
        <v/>
      </c>
      <c r="Z1125" s="138">
        <f>MAX(X1125-Y1125,0)</f>
        <v/>
      </c>
      <c r="AA1125" s="139">
        <f>U1125+Z1125</f>
        <v/>
      </c>
      <c r="AB1125" s="5" t="n"/>
      <c r="AC1125" s="5" t="n"/>
      <c r="AD1125" s="5" t="n"/>
      <c r="AE1125" s="5" t="n"/>
      <c r="AF1125" s="5" t="n"/>
      <c r="AG1125" s="5" t="n"/>
    </row>
    <row r="1126" outlineLevel="1" s="326">
      <c r="A1126" s="140" t="n">
        <v>34</v>
      </c>
      <c r="B1126" s="40">
        <f>B113</f>
        <v/>
      </c>
      <c r="C1126" s="141">
        <f>D113</f>
        <v/>
      </c>
      <c r="D1126" s="141">
        <f>I113</f>
        <v/>
      </c>
      <c r="E1126" s="141">
        <f>J113</f>
        <v/>
      </c>
      <c r="F1126" s="141">
        <f>K113</f>
        <v/>
      </c>
      <c r="G1126" s="138">
        <f>IF(AND($L$246&gt;0,A1126=$C$13),$L$246*($C$15+$C$18),0)+IF(AND($L$246&gt;0,A1126=$C$13),$C$24,0)</f>
        <v/>
      </c>
      <c r="H1126" s="138">
        <f>IF(OR($L$246&lt;=0,A1126&lt;$C$13),0,IF(AND($L$246&gt;0,$C$17&gt;0,A1126&gt;=$C$13,A1126&lt;($C$13+$C$17)),IF($C$17&lt;=0,0,IF($C$16=0,MAX($L$246*(1-$C$15),0)/$C$17,-PMT($C$16/12,$C$17*12,MAX($L$246*(1-$C$15),0))*12)),0)+X1126*($C$19+$C$20+$C$21)+$C$22+$C$23)</f>
        <v/>
      </c>
      <c r="I1126" s="138">
        <f>IF(B1126="Working",MIN(MAX(D1126-E1126-F1126-G1126-H1126,0),'Tax Assumptions'!$B$20),0)</f>
        <v/>
      </c>
      <c r="J1126" s="138">
        <f>IF(B1126="Working",D1126-E1126-F1126-I1126-G1126-H1126,-L1126)</f>
        <v/>
      </c>
      <c r="K1126" s="141">
        <f>IF(B1126="Retired",$N$246+G1126+H1126,0)</f>
        <v/>
      </c>
      <c r="L1126" s="141">
        <f>M1126+N1126+O1126+P1126</f>
        <v/>
      </c>
      <c r="M1126" s="141">
        <f>IF(B1126="Retired",MIN(((Q1125)*(1+$C$10)+IF(B1126="Working",J1126,0)),K1126),0)</f>
        <v/>
      </c>
      <c r="N1126" s="141">
        <f>IF(B1126="Retired",MIN(MAX(K1126-M1126,0),((R1125)*(1+$C$10)+IF(B1126="Working",E113,0))),0)</f>
        <v/>
      </c>
      <c r="O1126" s="141">
        <f>IF(B1126="Retired",MIN(MAX(K1126-M1126-N1126,0),((S1125)*(1+$C$10)+IF(B1126="Working",I1126,0))),0)</f>
        <v/>
      </c>
      <c r="P1126" s="141">
        <f>IF(B1126="Retired",MIN(MAX(K1126-M1126-N1126-O1126,0),((T1125)*(1+$C$10)+IF(B1126="Working",F113,0))),0)</f>
        <v/>
      </c>
      <c r="Q1126" s="138">
        <f>MAX(((Q1125)*(1+$C$10)+IF(B1126="Working",J1126,0))-M1126,0)</f>
        <v/>
      </c>
      <c r="R1126" s="138">
        <f>MAX(((R1125)*(1+$C$10)+IF(B1126="Working",E113,0))-N1126,0)</f>
        <v/>
      </c>
      <c r="S1126" s="138">
        <f>MAX(((S1125)*(1+$C$10)+IF(B1126="Working",I1126,0))-O1126,0)</f>
        <v/>
      </c>
      <c r="T1126" s="138">
        <f>MAX(((T1125)*(1+$C$10)+IF(B1126="Working",F113,0))-P1126,0)</f>
        <v/>
      </c>
      <c r="U1126" s="138">
        <f>Q1126+R1126+S1126+T1126</f>
        <v/>
      </c>
      <c r="V1126" s="138">
        <f>IF(B1126="Working",MAX(-(((Q1125)*(1+$C$10)+IF(B1126="Working",J1126,0))),0),MAX(K1126-L1126,0))</f>
        <v/>
      </c>
      <c r="W1126" s="138">
        <f>IF(OR(A1126&gt;=$C$13,B1126="Retired"),IF(V1126&gt;0,-V1126,U1126-'Model Inputs'!$B$18),"")</f>
        <v/>
      </c>
      <c r="X1126" s="138">
        <f>IF(AND($L$246&gt;0,A1126&gt;=$C$13),$L$246*(1+$C$25)^(A1126-$C$13),0)</f>
        <v/>
      </c>
      <c r="Y1126" s="138">
        <f>IF(OR($L$246&lt;=0,$C$17&lt;=0,A1126&lt;$C$13,MIN(MAX((A1126-$C$13+1)*12,0),$C$17*12)&gt;=$C$17*12),0,IF($C$16=0,MAX(MAX($L$246*(1-$C$15),0)-(IF($C$17&lt;=0,0,IF($C$16=0,MAX($L$246*(1-$C$15),0)/$C$17,-PMT($C$16/12,$C$17*12,MAX($L$246*(1-$C$15),0))*12))/12)*MIN(MAX((A1126-$C$13+1)*12,0),$C$17*12),0),MAX(MAX($L$246*(1-$C$15),0)*(1+$C$16/12)^MIN(MAX((A1126-$C$13+1)*12,0),$C$17*12)-(IF($C$17&lt;=0,0,IF($C$16=0,MAX($L$246*(1-$C$15),0)/$C$17,-PMT($C$16/12,$C$17*12,MAX($L$246*(1-$C$15),0))*12))/12)*(((1+$C$16/12)^MIN(MAX((A1126-$C$13+1)*12,0),$C$17*12)-1)/($C$16/12)),0)))</f>
        <v/>
      </c>
      <c r="Z1126" s="138">
        <f>MAX(X1126-Y1126,0)</f>
        <v/>
      </c>
      <c r="AA1126" s="142">
        <f>U1126+Z1126</f>
        <v/>
      </c>
      <c r="AB1126" s="5" t="n"/>
      <c r="AC1126" s="5" t="n"/>
      <c r="AD1126" s="5" t="n"/>
      <c r="AE1126" s="5" t="n"/>
      <c r="AF1126" s="5" t="n"/>
      <c r="AG1126" s="5" t="n"/>
    </row>
    <row r="1127" outlineLevel="1" s="326">
      <c r="A1127" s="136" t="n">
        <v>35</v>
      </c>
      <c r="B1127" s="72">
        <f>B114</f>
        <v/>
      </c>
      <c r="C1127" s="137">
        <f>D114</f>
        <v/>
      </c>
      <c r="D1127" s="137">
        <f>I114</f>
        <v/>
      </c>
      <c r="E1127" s="137">
        <f>J114</f>
        <v/>
      </c>
      <c r="F1127" s="137">
        <f>K114</f>
        <v/>
      </c>
      <c r="G1127" s="138">
        <f>IF(AND($L$246&gt;0,A1127=$C$13),$L$246*($C$15+$C$18),0)+IF(AND($L$246&gt;0,A1127=$C$13),$C$24,0)</f>
        <v/>
      </c>
      <c r="H1127" s="138">
        <f>IF(OR($L$246&lt;=0,A1127&lt;$C$13),0,IF(AND($L$246&gt;0,$C$17&gt;0,A1127&gt;=$C$13,A1127&lt;($C$13+$C$17)),IF($C$17&lt;=0,0,IF($C$16=0,MAX($L$246*(1-$C$15),0)/$C$17,-PMT($C$16/12,$C$17*12,MAX($L$246*(1-$C$15),0))*12)),0)+X1127*($C$19+$C$20+$C$21)+$C$22+$C$23)</f>
        <v/>
      </c>
      <c r="I1127" s="138">
        <f>IF(B1127="Working",MIN(MAX(D1127-E1127-F1127-G1127-H1127,0),'Tax Assumptions'!$B$20),0)</f>
        <v/>
      </c>
      <c r="J1127" s="138">
        <f>IF(B1127="Working",D1127-E1127-F1127-I1127-G1127-H1127,-L1127)</f>
        <v/>
      </c>
      <c r="K1127" s="137">
        <f>IF(B1127="Retired",$N$246+G1127+H1127,0)</f>
        <v/>
      </c>
      <c r="L1127" s="137">
        <f>M1127+N1127+O1127+P1127</f>
        <v/>
      </c>
      <c r="M1127" s="137">
        <f>IF(B1127="Retired",MIN(((Q1126)*(1+$C$10)+IF(B1127="Working",J1127,0)),K1127),0)</f>
        <v/>
      </c>
      <c r="N1127" s="137">
        <f>IF(B1127="Retired",MIN(MAX(K1127-M1127,0),((R1126)*(1+$C$10)+IF(B1127="Working",E114,0))),0)</f>
        <v/>
      </c>
      <c r="O1127" s="137">
        <f>IF(B1127="Retired",MIN(MAX(K1127-M1127-N1127,0),((S1126)*(1+$C$10)+IF(B1127="Working",I1127,0))),0)</f>
        <v/>
      </c>
      <c r="P1127" s="137">
        <f>IF(B1127="Retired",MIN(MAX(K1127-M1127-N1127-O1127,0),((T1126)*(1+$C$10)+IF(B1127="Working",F114,0))),0)</f>
        <v/>
      </c>
      <c r="Q1127" s="138">
        <f>MAX(((Q1126)*(1+$C$10)+IF(B1127="Working",J1127,0))-M1127,0)</f>
        <v/>
      </c>
      <c r="R1127" s="138">
        <f>MAX(((R1126)*(1+$C$10)+IF(B1127="Working",E114,0))-N1127,0)</f>
        <v/>
      </c>
      <c r="S1127" s="138">
        <f>MAX(((S1126)*(1+$C$10)+IF(B1127="Working",I1127,0))-O1127,0)</f>
        <v/>
      </c>
      <c r="T1127" s="138">
        <f>MAX(((T1126)*(1+$C$10)+IF(B1127="Working",F114,0))-P1127,0)</f>
        <v/>
      </c>
      <c r="U1127" s="138">
        <f>Q1127+R1127+S1127+T1127</f>
        <v/>
      </c>
      <c r="V1127" s="138">
        <f>IF(B1127="Working",MAX(-(((Q1126)*(1+$C$10)+IF(B1127="Working",J1127,0))),0),MAX(K1127-L1127,0))</f>
        <v/>
      </c>
      <c r="W1127" s="138">
        <f>IF(OR(A1127&gt;=$C$13,B1127="Retired"),IF(V1127&gt;0,-V1127,U1127-'Model Inputs'!$B$18),"")</f>
        <v/>
      </c>
      <c r="X1127" s="138">
        <f>IF(AND($L$246&gt;0,A1127&gt;=$C$13),$L$246*(1+$C$25)^(A1127-$C$13),0)</f>
        <v/>
      </c>
      <c r="Y1127" s="138">
        <f>IF(OR($L$246&lt;=0,$C$17&lt;=0,A1127&lt;$C$13,MIN(MAX((A1127-$C$13+1)*12,0),$C$17*12)&gt;=$C$17*12),0,IF($C$16=0,MAX(MAX($L$246*(1-$C$15),0)-(IF($C$17&lt;=0,0,IF($C$16=0,MAX($L$246*(1-$C$15),0)/$C$17,-PMT($C$16/12,$C$17*12,MAX($L$246*(1-$C$15),0))*12))/12)*MIN(MAX((A1127-$C$13+1)*12,0),$C$17*12),0),MAX(MAX($L$246*(1-$C$15),0)*(1+$C$16/12)^MIN(MAX((A1127-$C$13+1)*12,0),$C$17*12)-(IF($C$17&lt;=0,0,IF($C$16=0,MAX($L$246*(1-$C$15),0)/$C$17,-PMT($C$16/12,$C$17*12,MAX($L$246*(1-$C$15),0))*12))/12)*(((1+$C$16/12)^MIN(MAX((A1127-$C$13+1)*12,0),$C$17*12)-1)/($C$16/12)),0)))</f>
        <v/>
      </c>
      <c r="Z1127" s="138">
        <f>MAX(X1127-Y1127,0)</f>
        <v/>
      </c>
      <c r="AA1127" s="139">
        <f>U1127+Z1127</f>
        <v/>
      </c>
      <c r="AB1127" s="5" t="n"/>
      <c r="AC1127" s="5" t="n"/>
      <c r="AD1127" s="5" t="n"/>
      <c r="AE1127" s="5" t="n"/>
      <c r="AF1127" s="5" t="n"/>
      <c r="AG1127" s="5" t="n"/>
    </row>
    <row r="1128" outlineLevel="1" s="326">
      <c r="A1128" s="140" t="n">
        <v>36</v>
      </c>
      <c r="B1128" s="40">
        <f>B115</f>
        <v/>
      </c>
      <c r="C1128" s="141">
        <f>D115</f>
        <v/>
      </c>
      <c r="D1128" s="141">
        <f>I115</f>
        <v/>
      </c>
      <c r="E1128" s="141">
        <f>J115</f>
        <v/>
      </c>
      <c r="F1128" s="141">
        <f>K115</f>
        <v/>
      </c>
      <c r="G1128" s="138">
        <f>IF(AND($L$246&gt;0,A1128=$C$13),$L$246*($C$15+$C$18),0)+IF(AND($L$246&gt;0,A1128=$C$13),$C$24,0)</f>
        <v/>
      </c>
      <c r="H1128" s="138">
        <f>IF(OR($L$246&lt;=0,A1128&lt;$C$13),0,IF(AND($L$246&gt;0,$C$17&gt;0,A1128&gt;=$C$13,A1128&lt;($C$13+$C$17)),IF($C$17&lt;=0,0,IF($C$16=0,MAX($L$246*(1-$C$15),0)/$C$17,-PMT($C$16/12,$C$17*12,MAX($L$246*(1-$C$15),0))*12)),0)+X1128*($C$19+$C$20+$C$21)+$C$22+$C$23)</f>
        <v/>
      </c>
      <c r="I1128" s="138">
        <f>IF(B1128="Working",MIN(MAX(D1128-E1128-F1128-G1128-H1128,0),'Tax Assumptions'!$B$20),0)</f>
        <v/>
      </c>
      <c r="J1128" s="138">
        <f>IF(B1128="Working",D1128-E1128-F1128-I1128-G1128-H1128,-L1128)</f>
        <v/>
      </c>
      <c r="K1128" s="141">
        <f>IF(B1128="Retired",$N$246+G1128+H1128,0)</f>
        <v/>
      </c>
      <c r="L1128" s="141">
        <f>M1128+N1128+O1128+P1128</f>
        <v/>
      </c>
      <c r="M1128" s="141">
        <f>IF(B1128="Retired",MIN(((Q1127)*(1+$C$10)+IF(B1128="Working",J1128,0)),K1128),0)</f>
        <v/>
      </c>
      <c r="N1128" s="141">
        <f>IF(B1128="Retired",MIN(MAX(K1128-M1128,0),((R1127)*(1+$C$10)+IF(B1128="Working",E115,0))),0)</f>
        <v/>
      </c>
      <c r="O1128" s="141">
        <f>IF(B1128="Retired",MIN(MAX(K1128-M1128-N1128,0),((S1127)*(1+$C$10)+IF(B1128="Working",I1128,0))),0)</f>
        <v/>
      </c>
      <c r="P1128" s="141">
        <f>IF(B1128="Retired",MIN(MAX(K1128-M1128-N1128-O1128,0),((T1127)*(1+$C$10)+IF(B1128="Working",F115,0))),0)</f>
        <v/>
      </c>
      <c r="Q1128" s="138">
        <f>MAX(((Q1127)*(1+$C$10)+IF(B1128="Working",J1128,0))-M1128,0)</f>
        <v/>
      </c>
      <c r="R1128" s="138">
        <f>MAX(((R1127)*(1+$C$10)+IF(B1128="Working",E115,0))-N1128,0)</f>
        <v/>
      </c>
      <c r="S1128" s="138">
        <f>MAX(((S1127)*(1+$C$10)+IF(B1128="Working",I1128,0))-O1128,0)</f>
        <v/>
      </c>
      <c r="T1128" s="138">
        <f>MAX(((T1127)*(1+$C$10)+IF(B1128="Working",F115,0))-P1128,0)</f>
        <v/>
      </c>
      <c r="U1128" s="138">
        <f>Q1128+R1128+S1128+T1128</f>
        <v/>
      </c>
      <c r="V1128" s="138">
        <f>IF(B1128="Working",MAX(-(((Q1127)*(1+$C$10)+IF(B1128="Working",J1128,0))),0),MAX(K1128-L1128,0))</f>
        <v/>
      </c>
      <c r="W1128" s="138">
        <f>IF(OR(A1128&gt;=$C$13,B1128="Retired"),IF(V1128&gt;0,-V1128,U1128-'Model Inputs'!$B$18),"")</f>
        <v/>
      </c>
      <c r="X1128" s="138">
        <f>IF(AND($L$246&gt;0,A1128&gt;=$C$13),$L$246*(1+$C$25)^(A1128-$C$13),0)</f>
        <v/>
      </c>
      <c r="Y1128" s="138">
        <f>IF(OR($L$246&lt;=0,$C$17&lt;=0,A1128&lt;$C$13,MIN(MAX((A1128-$C$13+1)*12,0),$C$17*12)&gt;=$C$17*12),0,IF($C$16=0,MAX(MAX($L$246*(1-$C$15),0)-(IF($C$17&lt;=0,0,IF($C$16=0,MAX($L$246*(1-$C$15),0)/$C$17,-PMT($C$16/12,$C$17*12,MAX($L$246*(1-$C$15),0))*12))/12)*MIN(MAX((A1128-$C$13+1)*12,0),$C$17*12),0),MAX(MAX($L$246*(1-$C$15),0)*(1+$C$16/12)^MIN(MAX((A1128-$C$13+1)*12,0),$C$17*12)-(IF($C$17&lt;=0,0,IF($C$16=0,MAX($L$246*(1-$C$15),0)/$C$17,-PMT($C$16/12,$C$17*12,MAX($L$246*(1-$C$15),0))*12))/12)*(((1+$C$16/12)^MIN(MAX((A1128-$C$13+1)*12,0),$C$17*12)-1)/($C$16/12)),0)))</f>
        <v/>
      </c>
      <c r="Z1128" s="138">
        <f>MAX(X1128-Y1128,0)</f>
        <v/>
      </c>
      <c r="AA1128" s="142">
        <f>U1128+Z1128</f>
        <v/>
      </c>
      <c r="AB1128" s="5" t="n"/>
      <c r="AC1128" s="5" t="n"/>
      <c r="AD1128" s="5" t="n"/>
      <c r="AE1128" s="5" t="n"/>
      <c r="AF1128" s="5" t="n"/>
      <c r="AG1128" s="5" t="n"/>
    </row>
    <row r="1129" outlineLevel="1" s="326">
      <c r="A1129" s="136" t="n">
        <v>37</v>
      </c>
      <c r="B1129" s="72">
        <f>B116</f>
        <v/>
      </c>
      <c r="C1129" s="137">
        <f>D116</f>
        <v/>
      </c>
      <c r="D1129" s="137">
        <f>I116</f>
        <v/>
      </c>
      <c r="E1129" s="137">
        <f>J116</f>
        <v/>
      </c>
      <c r="F1129" s="137">
        <f>K116</f>
        <v/>
      </c>
      <c r="G1129" s="138">
        <f>IF(AND($L$246&gt;0,A1129=$C$13),$L$246*($C$15+$C$18),0)+IF(AND($L$246&gt;0,A1129=$C$13),$C$24,0)</f>
        <v/>
      </c>
      <c r="H1129" s="138">
        <f>IF(OR($L$246&lt;=0,A1129&lt;$C$13),0,IF(AND($L$246&gt;0,$C$17&gt;0,A1129&gt;=$C$13,A1129&lt;($C$13+$C$17)),IF($C$17&lt;=0,0,IF($C$16=0,MAX($L$246*(1-$C$15),0)/$C$17,-PMT($C$16/12,$C$17*12,MAX($L$246*(1-$C$15),0))*12)),0)+X1129*($C$19+$C$20+$C$21)+$C$22+$C$23)</f>
        <v/>
      </c>
      <c r="I1129" s="138">
        <f>IF(B1129="Working",MIN(MAX(D1129-E1129-F1129-G1129-H1129,0),'Tax Assumptions'!$B$20),0)</f>
        <v/>
      </c>
      <c r="J1129" s="138">
        <f>IF(B1129="Working",D1129-E1129-F1129-I1129-G1129-H1129,-L1129)</f>
        <v/>
      </c>
      <c r="K1129" s="137">
        <f>IF(B1129="Retired",$N$246+G1129+H1129,0)</f>
        <v/>
      </c>
      <c r="L1129" s="137">
        <f>M1129+N1129+O1129+P1129</f>
        <v/>
      </c>
      <c r="M1129" s="137">
        <f>IF(B1129="Retired",MIN(((Q1128)*(1+$C$10)+IF(B1129="Working",J1129,0)),K1129),0)</f>
        <v/>
      </c>
      <c r="N1129" s="137">
        <f>IF(B1129="Retired",MIN(MAX(K1129-M1129,0),((R1128)*(1+$C$10)+IF(B1129="Working",E116,0))),0)</f>
        <v/>
      </c>
      <c r="O1129" s="137">
        <f>IF(B1129="Retired",MIN(MAX(K1129-M1129-N1129,0),((S1128)*(1+$C$10)+IF(B1129="Working",I1129,0))),0)</f>
        <v/>
      </c>
      <c r="P1129" s="137">
        <f>IF(B1129="Retired",MIN(MAX(K1129-M1129-N1129-O1129,0),((T1128)*(1+$C$10)+IF(B1129="Working",F116,0))),0)</f>
        <v/>
      </c>
      <c r="Q1129" s="138">
        <f>MAX(((Q1128)*(1+$C$10)+IF(B1129="Working",J1129,0))-M1129,0)</f>
        <v/>
      </c>
      <c r="R1129" s="138">
        <f>MAX(((R1128)*(1+$C$10)+IF(B1129="Working",E116,0))-N1129,0)</f>
        <v/>
      </c>
      <c r="S1129" s="138">
        <f>MAX(((S1128)*(1+$C$10)+IF(B1129="Working",I1129,0))-O1129,0)</f>
        <v/>
      </c>
      <c r="T1129" s="138">
        <f>MAX(((T1128)*(1+$C$10)+IF(B1129="Working",F116,0))-P1129,0)</f>
        <v/>
      </c>
      <c r="U1129" s="138">
        <f>Q1129+R1129+S1129+T1129</f>
        <v/>
      </c>
      <c r="V1129" s="138">
        <f>IF(B1129="Working",MAX(-(((Q1128)*(1+$C$10)+IF(B1129="Working",J1129,0))),0),MAX(K1129-L1129,0))</f>
        <v/>
      </c>
      <c r="W1129" s="138">
        <f>IF(OR(A1129&gt;=$C$13,B1129="Retired"),IF(V1129&gt;0,-V1129,U1129-'Model Inputs'!$B$18),"")</f>
        <v/>
      </c>
      <c r="X1129" s="138">
        <f>IF(AND($L$246&gt;0,A1129&gt;=$C$13),$L$246*(1+$C$25)^(A1129-$C$13),0)</f>
        <v/>
      </c>
      <c r="Y1129" s="138">
        <f>IF(OR($L$246&lt;=0,$C$17&lt;=0,A1129&lt;$C$13,MIN(MAX((A1129-$C$13+1)*12,0),$C$17*12)&gt;=$C$17*12),0,IF($C$16=0,MAX(MAX($L$246*(1-$C$15),0)-(IF($C$17&lt;=0,0,IF($C$16=0,MAX($L$246*(1-$C$15),0)/$C$17,-PMT($C$16/12,$C$17*12,MAX($L$246*(1-$C$15),0))*12))/12)*MIN(MAX((A1129-$C$13+1)*12,0),$C$17*12),0),MAX(MAX($L$246*(1-$C$15),0)*(1+$C$16/12)^MIN(MAX((A1129-$C$13+1)*12,0),$C$17*12)-(IF($C$17&lt;=0,0,IF($C$16=0,MAX($L$246*(1-$C$15),0)/$C$17,-PMT($C$16/12,$C$17*12,MAX($L$246*(1-$C$15),0))*12))/12)*(((1+$C$16/12)^MIN(MAX((A1129-$C$13+1)*12,0),$C$17*12)-1)/($C$16/12)),0)))</f>
        <v/>
      </c>
      <c r="Z1129" s="138">
        <f>MAX(X1129-Y1129,0)</f>
        <v/>
      </c>
      <c r="AA1129" s="139">
        <f>U1129+Z1129</f>
        <v/>
      </c>
      <c r="AB1129" s="5" t="n"/>
      <c r="AC1129" s="5" t="n"/>
      <c r="AD1129" s="5" t="n"/>
      <c r="AE1129" s="5" t="n"/>
      <c r="AF1129" s="5" t="n"/>
      <c r="AG1129" s="5" t="n"/>
    </row>
    <row r="1130" outlineLevel="1" s="326">
      <c r="A1130" s="140" t="n">
        <v>38</v>
      </c>
      <c r="B1130" s="40">
        <f>B117</f>
        <v/>
      </c>
      <c r="C1130" s="141">
        <f>D117</f>
        <v/>
      </c>
      <c r="D1130" s="141">
        <f>I117</f>
        <v/>
      </c>
      <c r="E1130" s="141">
        <f>J117</f>
        <v/>
      </c>
      <c r="F1130" s="141">
        <f>K117</f>
        <v/>
      </c>
      <c r="G1130" s="138">
        <f>IF(AND($L$246&gt;0,A1130=$C$13),$L$246*($C$15+$C$18),0)+IF(AND($L$246&gt;0,A1130=$C$13),$C$24,0)</f>
        <v/>
      </c>
      <c r="H1130" s="138">
        <f>IF(OR($L$246&lt;=0,A1130&lt;$C$13),0,IF(AND($L$246&gt;0,$C$17&gt;0,A1130&gt;=$C$13,A1130&lt;($C$13+$C$17)),IF($C$17&lt;=0,0,IF($C$16=0,MAX($L$246*(1-$C$15),0)/$C$17,-PMT($C$16/12,$C$17*12,MAX($L$246*(1-$C$15),0))*12)),0)+X1130*($C$19+$C$20+$C$21)+$C$22+$C$23)</f>
        <v/>
      </c>
      <c r="I1130" s="138">
        <f>IF(B1130="Working",MIN(MAX(D1130-E1130-F1130-G1130-H1130,0),'Tax Assumptions'!$B$20),0)</f>
        <v/>
      </c>
      <c r="J1130" s="138">
        <f>IF(B1130="Working",D1130-E1130-F1130-I1130-G1130-H1130,-L1130)</f>
        <v/>
      </c>
      <c r="K1130" s="141">
        <f>IF(B1130="Retired",$N$246+G1130+H1130,0)</f>
        <v/>
      </c>
      <c r="L1130" s="141">
        <f>M1130+N1130+O1130+P1130</f>
        <v/>
      </c>
      <c r="M1130" s="141">
        <f>IF(B1130="Retired",MIN(((Q1129)*(1+$C$10)+IF(B1130="Working",J1130,0)),K1130),0)</f>
        <v/>
      </c>
      <c r="N1130" s="141">
        <f>IF(B1130="Retired",MIN(MAX(K1130-M1130,0),((R1129)*(1+$C$10)+IF(B1130="Working",E117,0))),0)</f>
        <v/>
      </c>
      <c r="O1130" s="141">
        <f>IF(B1130="Retired",MIN(MAX(K1130-M1130-N1130,0),((S1129)*(1+$C$10)+IF(B1130="Working",I1130,0))),0)</f>
        <v/>
      </c>
      <c r="P1130" s="141">
        <f>IF(B1130="Retired",MIN(MAX(K1130-M1130-N1130-O1130,0),((T1129)*(1+$C$10)+IF(B1130="Working",F117,0))),0)</f>
        <v/>
      </c>
      <c r="Q1130" s="138">
        <f>MAX(((Q1129)*(1+$C$10)+IF(B1130="Working",J1130,0))-M1130,0)</f>
        <v/>
      </c>
      <c r="R1130" s="138">
        <f>MAX(((R1129)*(1+$C$10)+IF(B1130="Working",E117,0))-N1130,0)</f>
        <v/>
      </c>
      <c r="S1130" s="138">
        <f>MAX(((S1129)*(1+$C$10)+IF(B1130="Working",I1130,0))-O1130,0)</f>
        <v/>
      </c>
      <c r="T1130" s="138">
        <f>MAX(((T1129)*(1+$C$10)+IF(B1130="Working",F117,0))-P1130,0)</f>
        <v/>
      </c>
      <c r="U1130" s="138">
        <f>Q1130+R1130+S1130+T1130</f>
        <v/>
      </c>
      <c r="V1130" s="138">
        <f>IF(B1130="Working",MAX(-(((Q1129)*(1+$C$10)+IF(B1130="Working",J1130,0))),0),MAX(K1130-L1130,0))</f>
        <v/>
      </c>
      <c r="W1130" s="138">
        <f>IF(OR(A1130&gt;=$C$13,B1130="Retired"),IF(V1130&gt;0,-V1130,U1130-'Model Inputs'!$B$18),"")</f>
        <v/>
      </c>
      <c r="X1130" s="138">
        <f>IF(AND($L$246&gt;0,A1130&gt;=$C$13),$L$246*(1+$C$25)^(A1130-$C$13),0)</f>
        <v/>
      </c>
      <c r="Y1130" s="138">
        <f>IF(OR($L$246&lt;=0,$C$17&lt;=0,A1130&lt;$C$13,MIN(MAX((A1130-$C$13+1)*12,0),$C$17*12)&gt;=$C$17*12),0,IF($C$16=0,MAX(MAX($L$246*(1-$C$15),0)-(IF($C$17&lt;=0,0,IF($C$16=0,MAX($L$246*(1-$C$15),0)/$C$17,-PMT($C$16/12,$C$17*12,MAX($L$246*(1-$C$15),0))*12))/12)*MIN(MAX((A1130-$C$13+1)*12,0),$C$17*12),0),MAX(MAX($L$246*(1-$C$15),0)*(1+$C$16/12)^MIN(MAX((A1130-$C$13+1)*12,0),$C$17*12)-(IF($C$17&lt;=0,0,IF($C$16=0,MAX($L$246*(1-$C$15),0)/$C$17,-PMT($C$16/12,$C$17*12,MAX($L$246*(1-$C$15),0))*12))/12)*(((1+$C$16/12)^MIN(MAX((A1130-$C$13+1)*12,0),$C$17*12)-1)/($C$16/12)),0)))</f>
        <v/>
      </c>
      <c r="Z1130" s="138">
        <f>MAX(X1130-Y1130,0)</f>
        <v/>
      </c>
      <c r="AA1130" s="142">
        <f>U1130+Z1130</f>
        <v/>
      </c>
      <c r="AB1130" s="5" t="n"/>
      <c r="AC1130" s="5" t="n"/>
      <c r="AD1130" s="5" t="n"/>
      <c r="AE1130" s="5" t="n"/>
      <c r="AF1130" s="5" t="n"/>
      <c r="AG1130" s="5" t="n"/>
    </row>
    <row r="1131" outlineLevel="1" s="326">
      <c r="A1131" s="136" t="n">
        <v>39</v>
      </c>
      <c r="B1131" s="72">
        <f>B118</f>
        <v/>
      </c>
      <c r="C1131" s="137">
        <f>D118</f>
        <v/>
      </c>
      <c r="D1131" s="137">
        <f>I118</f>
        <v/>
      </c>
      <c r="E1131" s="137">
        <f>J118</f>
        <v/>
      </c>
      <c r="F1131" s="137">
        <f>K118</f>
        <v/>
      </c>
      <c r="G1131" s="138">
        <f>IF(AND($L$246&gt;0,A1131=$C$13),$L$246*($C$15+$C$18),0)+IF(AND($L$246&gt;0,A1131=$C$13),$C$24,0)</f>
        <v/>
      </c>
      <c r="H1131" s="138">
        <f>IF(OR($L$246&lt;=0,A1131&lt;$C$13),0,IF(AND($L$246&gt;0,$C$17&gt;0,A1131&gt;=$C$13,A1131&lt;($C$13+$C$17)),IF($C$17&lt;=0,0,IF($C$16=0,MAX($L$246*(1-$C$15),0)/$C$17,-PMT($C$16/12,$C$17*12,MAX($L$246*(1-$C$15),0))*12)),0)+X1131*($C$19+$C$20+$C$21)+$C$22+$C$23)</f>
        <v/>
      </c>
      <c r="I1131" s="138">
        <f>IF(B1131="Working",MIN(MAX(D1131-E1131-F1131-G1131-H1131,0),'Tax Assumptions'!$B$20),0)</f>
        <v/>
      </c>
      <c r="J1131" s="138">
        <f>IF(B1131="Working",D1131-E1131-F1131-I1131-G1131-H1131,-L1131)</f>
        <v/>
      </c>
      <c r="K1131" s="137">
        <f>IF(B1131="Retired",$N$246+G1131+H1131,0)</f>
        <v/>
      </c>
      <c r="L1131" s="137">
        <f>M1131+N1131+O1131+P1131</f>
        <v/>
      </c>
      <c r="M1131" s="137">
        <f>IF(B1131="Retired",MIN(((Q1130)*(1+$C$10)+IF(B1131="Working",J1131,0)),K1131),0)</f>
        <v/>
      </c>
      <c r="N1131" s="137">
        <f>IF(B1131="Retired",MIN(MAX(K1131-M1131,0),((R1130)*(1+$C$10)+IF(B1131="Working",E118,0))),0)</f>
        <v/>
      </c>
      <c r="O1131" s="137">
        <f>IF(B1131="Retired",MIN(MAX(K1131-M1131-N1131,0),((S1130)*(1+$C$10)+IF(B1131="Working",I1131,0))),0)</f>
        <v/>
      </c>
      <c r="P1131" s="137">
        <f>IF(B1131="Retired",MIN(MAX(K1131-M1131-N1131-O1131,0),((T1130)*(1+$C$10)+IF(B1131="Working",F118,0))),0)</f>
        <v/>
      </c>
      <c r="Q1131" s="138">
        <f>MAX(((Q1130)*(1+$C$10)+IF(B1131="Working",J1131,0))-M1131,0)</f>
        <v/>
      </c>
      <c r="R1131" s="138">
        <f>MAX(((R1130)*(1+$C$10)+IF(B1131="Working",E118,0))-N1131,0)</f>
        <v/>
      </c>
      <c r="S1131" s="138">
        <f>MAX(((S1130)*(1+$C$10)+IF(B1131="Working",I1131,0))-O1131,0)</f>
        <v/>
      </c>
      <c r="T1131" s="138">
        <f>MAX(((T1130)*(1+$C$10)+IF(B1131="Working",F118,0))-P1131,0)</f>
        <v/>
      </c>
      <c r="U1131" s="138">
        <f>Q1131+R1131+S1131+T1131</f>
        <v/>
      </c>
      <c r="V1131" s="138">
        <f>IF(B1131="Working",MAX(-(((Q1130)*(1+$C$10)+IF(B1131="Working",J1131,0))),0),MAX(K1131-L1131,0))</f>
        <v/>
      </c>
      <c r="W1131" s="138">
        <f>IF(OR(A1131&gt;=$C$13,B1131="Retired"),IF(V1131&gt;0,-V1131,U1131-'Model Inputs'!$B$18),"")</f>
        <v/>
      </c>
      <c r="X1131" s="138">
        <f>IF(AND($L$246&gt;0,A1131&gt;=$C$13),$L$246*(1+$C$25)^(A1131-$C$13),0)</f>
        <v/>
      </c>
      <c r="Y1131" s="138">
        <f>IF(OR($L$246&lt;=0,$C$17&lt;=0,A1131&lt;$C$13,MIN(MAX((A1131-$C$13+1)*12,0),$C$17*12)&gt;=$C$17*12),0,IF($C$16=0,MAX(MAX($L$246*(1-$C$15),0)-(IF($C$17&lt;=0,0,IF($C$16=0,MAX($L$246*(1-$C$15),0)/$C$17,-PMT($C$16/12,$C$17*12,MAX($L$246*(1-$C$15),0))*12))/12)*MIN(MAX((A1131-$C$13+1)*12,0),$C$17*12),0),MAX(MAX($L$246*(1-$C$15),0)*(1+$C$16/12)^MIN(MAX((A1131-$C$13+1)*12,0),$C$17*12)-(IF($C$17&lt;=0,0,IF($C$16=0,MAX($L$246*(1-$C$15),0)/$C$17,-PMT($C$16/12,$C$17*12,MAX($L$246*(1-$C$15),0))*12))/12)*(((1+$C$16/12)^MIN(MAX((A1131-$C$13+1)*12,0),$C$17*12)-1)/($C$16/12)),0)))</f>
        <v/>
      </c>
      <c r="Z1131" s="138">
        <f>MAX(X1131-Y1131,0)</f>
        <v/>
      </c>
      <c r="AA1131" s="139">
        <f>U1131+Z1131</f>
        <v/>
      </c>
      <c r="AB1131" s="5" t="n"/>
      <c r="AC1131" s="5" t="n"/>
      <c r="AD1131" s="5" t="n"/>
      <c r="AE1131" s="5" t="n"/>
      <c r="AF1131" s="5" t="n"/>
      <c r="AG1131" s="5" t="n"/>
    </row>
    <row r="1132" outlineLevel="1" s="326">
      <c r="A1132" s="140" t="n">
        <v>40</v>
      </c>
      <c r="B1132" s="40">
        <f>B119</f>
        <v/>
      </c>
      <c r="C1132" s="141">
        <f>D119</f>
        <v/>
      </c>
      <c r="D1132" s="141">
        <f>I119</f>
        <v/>
      </c>
      <c r="E1132" s="141">
        <f>J119</f>
        <v/>
      </c>
      <c r="F1132" s="141">
        <f>K119</f>
        <v/>
      </c>
      <c r="G1132" s="138">
        <f>IF(AND($L$246&gt;0,A1132=$C$13),$L$246*($C$15+$C$18),0)+IF(AND($L$246&gt;0,A1132=$C$13),$C$24,0)</f>
        <v/>
      </c>
      <c r="H1132" s="138">
        <f>IF(OR($L$246&lt;=0,A1132&lt;$C$13),0,IF(AND($L$246&gt;0,$C$17&gt;0,A1132&gt;=$C$13,A1132&lt;($C$13+$C$17)),IF($C$17&lt;=0,0,IF($C$16=0,MAX($L$246*(1-$C$15),0)/$C$17,-PMT($C$16/12,$C$17*12,MAX($L$246*(1-$C$15),0))*12)),0)+X1132*($C$19+$C$20+$C$21)+$C$22+$C$23)</f>
        <v/>
      </c>
      <c r="I1132" s="138">
        <f>IF(B1132="Working",MIN(MAX(D1132-E1132-F1132-G1132-H1132,0),'Tax Assumptions'!$B$20),0)</f>
        <v/>
      </c>
      <c r="J1132" s="138">
        <f>IF(B1132="Working",D1132-E1132-F1132-I1132-G1132-H1132,-L1132)</f>
        <v/>
      </c>
      <c r="K1132" s="141">
        <f>IF(B1132="Retired",$N$246+G1132+H1132,0)</f>
        <v/>
      </c>
      <c r="L1132" s="141">
        <f>M1132+N1132+O1132+P1132</f>
        <v/>
      </c>
      <c r="M1132" s="141">
        <f>IF(B1132="Retired",MIN(((Q1131)*(1+$C$10)+IF(B1132="Working",J1132,0)),K1132),0)</f>
        <v/>
      </c>
      <c r="N1132" s="141">
        <f>IF(B1132="Retired",MIN(MAX(K1132-M1132,0),((R1131)*(1+$C$10)+IF(B1132="Working",E119,0))),0)</f>
        <v/>
      </c>
      <c r="O1132" s="141">
        <f>IF(B1132="Retired",MIN(MAX(K1132-M1132-N1132,0),((S1131)*(1+$C$10)+IF(B1132="Working",I1132,0))),0)</f>
        <v/>
      </c>
      <c r="P1132" s="141">
        <f>IF(B1132="Retired",MIN(MAX(K1132-M1132-N1132-O1132,0),((T1131)*(1+$C$10)+IF(B1132="Working",F119,0))),0)</f>
        <v/>
      </c>
      <c r="Q1132" s="138">
        <f>MAX(((Q1131)*(1+$C$10)+IF(B1132="Working",J1132,0))-M1132,0)</f>
        <v/>
      </c>
      <c r="R1132" s="138">
        <f>MAX(((R1131)*(1+$C$10)+IF(B1132="Working",E119,0))-N1132,0)</f>
        <v/>
      </c>
      <c r="S1132" s="138">
        <f>MAX(((S1131)*(1+$C$10)+IF(B1132="Working",I1132,0))-O1132,0)</f>
        <v/>
      </c>
      <c r="T1132" s="138">
        <f>MAX(((T1131)*(1+$C$10)+IF(B1132="Working",F119,0))-P1132,0)</f>
        <v/>
      </c>
      <c r="U1132" s="138">
        <f>Q1132+R1132+S1132+T1132</f>
        <v/>
      </c>
      <c r="V1132" s="138">
        <f>IF(B1132="Working",MAX(-(((Q1131)*(1+$C$10)+IF(B1132="Working",J1132,0))),0),MAX(K1132-L1132,0))</f>
        <v/>
      </c>
      <c r="W1132" s="138">
        <f>IF(OR(A1132&gt;=$C$13,B1132="Retired"),IF(V1132&gt;0,-V1132,U1132-'Model Inputs'!$B$18),"")</f>
        <v/>
      </c>
      <c r="X1132" s="138">
        <f>IF(AND($L$246&gt;0,A1132&gt;=$C$13),$L$246*(1+$C$25)^(A1132-$C$13),0)</f>
        <v/>
      </c>
      <c r="Y1132" s="138">
        <f>IF(OR($L$246&lt;=0,$C$17&lt;=0,A1132&lt;$C$13,MIN(MAX((A1132-$C$13+1)*12,0),$C$17*12)&gt;=$C$17*12),0,IF($C$16=0,MAX(MAX($L$246*(1-$C$15),0)-(IF($C$17&lt;=0,0,IF($C$16=0,MAX($L$246*(1-$C$15),0)/$C$17,-PMT($C$16/12,$C$17*12,MAX($L$246*(1-$C$15),0))*12))/12)*MIN(MAX((A1132-$C$13+1)*12,0),$C$17*12),0),MAX(MAX($L$246*(1-$C$15),0)*(1+$C$16/12)^MIN(MAX((A1132-$C$13+1)*12,0),$C$17*12)-(IF($C$17&lt;=0,0,IF($C$16=0,MAX($L$246*(1-$C$15),0)/$C$17,-PMT($C$16/12,$C$17*12,MAX($L$246*(1-$C$15),0))*12))/12)*(((1+$C$16/12)^MIN(MAX((A1132-$C$13+1)*12,0),$C$17*12)-1)/($C$16/12)),0)))</f>
        <v/>
      </c>
      <c r="Z1132" s="138">
        <f>MAX(X1132-Y1132,0)</f>
        <v/>
      </c>
      <c r="AA1132" s="142">
        <f>U1132+Z1132</f>
        <v/>
      </c>
      <c r="AB1132" s="5" t="n"/>
      <c r="AC1132" s="5" t="n"/>
      <c r="AD1132" s="5" t="n"/>
      <c r="AE1132" s="5" t="n"/>
      <c r="AF1132" s="5" t="n"/>
      <c r="AG1132" s="5" t="n"/>
    </row>
    <row r="1133" outlineLevel="1" s="326">
      <c r="A1133" s="143" t="inlineStr">
        <is>
          <t>Case Summary</t>
        </is>
      </c>
      <c r="B1133" s="144" t="n"/>
      <c r="C1133" s="144" t="n"/>
      <c r="D1133" s="144" t="n"/>
      <c r="E1133" s="144" t="n"/>
      <c r="F1133" s="144" t="n"/>
      <c r="G1133" s="145">
        <f>SUM(G1093:G1132)</f>
        <v/>
      </c>
      <c r="H1133" s="145">
        <f>SUM(H1093:H1132)</f>
        <v/>
      </c>
      <c r="I1133" s="145">
        <f>SUM(I1093:I1132)</f>
        <v/>
      </c>
      <c r="J1133" s="145">
        <f>SUM(J1093:J1132)</f>
        <v/>
      </c>
      <c r="K1133" s="145">
        <f>SUM(K1093:K1132)</f>
        <v/>
      </c>
      <c r="L1133" s="145">
        <f>SUM(L1093:L1132)</f>
        <v/>
      </c>
      <c r="M1133" s="145">
        <f>SUM(M1093:M1132)</f>
        <v/>
      </c>
      <c r="N1133" s="145">
        <f>SUM(N1093:N1132)</f>
        <v/>
      </c>
      <c r="O1133" s="145">
        <f>SUM(O1093:O1132)</f>
        <v/>
      </c>
      <c r="P1133" s="145">
        <f>SUM(P1093:P1132)</f>
        <v/>
      </c>
      <c r="Q1133" s="145">
        <f>Q1132</f>
        <v/>
      </c>
      <c r="R1133" s="145">
        <f>R1132</f>
        <v/>
      </c>
      <c r="S1133" s="145">
        <f>S1132</f>
        <v/>
      </c>
      <c r="T1133" s="145">
        <f>T1132</f>
        <v/>
      </c>
      <c r="U1133" s="145">
        <f>U1132</f>
        <v/>
      </c>
      <c r="V1133" s="145">
        <f>SUM(V1093:V1132)</f>
        <v/>
      </c>
      <c r="W1133" s="145">
        <f>MIN(W1093:W1132)</f>
        <v/>
      </c>
      <c r="X1133" s="145">
        <f>X1132</f>
        <v/>
      </c>
      <c r="Y1133" s="145">
        <f>Y1132</f>
        <v/>
      </c>
      <c r="Z1133" s="145">
        <f>Z1132</f>
        <v/>
      </c>
      <c r="AA1133" s="146">
        <f>AA1132</f>
        <v/>
      </c>
      <c r="AB1133" s="5" t="n"/>
      <c r="AC1133" s="5" t="n"/>
      <c r="AD1133" s="5" t="n"/>
      <c r="AE1133" s="5" t="n"/>
      <c r="AF1133" s="5" t="n"/>
      <c r="AG1133" s="5" t="n"/>
    </row>
    <row r="1134" outlineLevel="1" s="326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5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5" t="n"/>
      <c r="AE1134" s="5" t="n"/>
      <c r="AF1134" s="5" t="n"/>
      <c r="AG1134" s="5" t="n"/>
    </row>
    <row r="1135" outlineLevel="1" s="326">
      <c r="A1135" s="387">
        <f>J247&amp;" | House "&amp;TEXT($L$247,"$#,##0")&amp;" | Spend "&amp;TEXT($N$247,"$#,##0")</f>
        <v/>
      </c>
      <c r="B1135" s="345" t="n"/>
      <c r="C1135" s="345" t="n"/>
      <c r="D1135" s="345" t="n"/>
      <c r="E1135" s="345" t="n"/>
      <c r="F1135" s="345" t="n"/>
      <c r="G1135" s="345" t="n"/>
      <c r="H1135" s="345" t="n"/>
      <c r="I1135" s="345" t="n"/>
      <c r="J1135" s="345" t="n"/>
      <c r="K1135" s="345" t="n"/>
      <c r="L1135" s="345" t="n"/>
      <c r="M1135" s="345" t="n"/>
      <c r="N1135" s="345" t="n"/>
      <c r="O1135" s="345" t="n"/>
      <c r="P1135" s="345" t="n"/>
      <c r="Q1135" s="345" t="n"/>
      <c r="R1135" s="345" t="n"/>
      <c r="S1135" s="345" t="n"/>
      <c r="T1135" s="345" t="n"/>
      <c r="U1135" s="345" t="n"/>
      <c r="V1135" s="345" t="n"/>
      <c r="W1135" s="345" t="n"/>
      <c r="X1135" s="345" t="n"/>
      <c r="Y1135" s="345" t="n"/>
      <c r="Z1135" s="345" t="n"/>
      <c r="AA1135" s="346" t="n"/>
      <c r="AB1135" s="5" t="n"/>
      <c r="AC1135" s="5" t="n"/>
      <c r="AD1135" s="5" t="n"/>
      <c r="AE1135" s="5" t="n"/>
      <c r="AF1135" s="5" t="n"/>
      <c r="AG1135" s="5" t="n"/>
    </row>
    <row r="1136" outlineLevel="1" ht="34" customHeight="1" s="326">
      <c r="A1136" s="134" t="inlineStr">
        <is>
          <t>Year</t>
        </is>
      </c>
      <c r="B1136" s="83" t="inlineStr">
        <is>
          <t>Phase</t>
        </is>
      </c>
      <c r="C1136" s="83" t="inlineStr">
        <is>
          <t>Gross</t>
        </is>
      </c>
      <c r="D1136" s="83" t="inlineStr">
        <is>
          <t>Post-Tax Cash</t>
        </is>
      </c>
      <c r="E1136" s="83" t="inlineStr">
        <is>
          <t>Rent</t>
        </is>
      </c>
      <c r="F1136" s="83" t="inlineStr">
        <is>
          <t>Living</t>
        </is>
      </c>
      <c r="G1136" s="83" t="inlineStr">
        <is>
          <t>House Cash</t>
        </is>
      </c>
      <c r="H1136" s="83" t="inlineStr">
        <is>
          <t>Housing Carry</t>
        </is>
      </c>
      <c r="I1136" s="83" t="inlineStr">
        <is>
          <t>Roth</t>
        </is>
      </c>
      <c r="J1136" s="83" t="inlineStr">
        <is>
          <t>Taxable Sav / (Draw)</t>
        </is>
      </c>
      <c r="K1136" s="83" t="inlineStr">
        <is>
          <t>Planned Need</t>
        </is>
      </c>
      <c r="L1136" s="83" t="inlineStr">
        <is>
          <t>Actual W/D</t>
        </is>
      </c>
      <c r="M1136" s="83" t="inlineStr">
        <is>
          <t>Taxable Draw</t>
        </is>
      </c>
      <c r="N1136" s="83" t="inlineStr">
        <is>
          <t>401(k) Draw</t>
        </is>
      </c>
      <c r="O1136" s="83" t="inlineStr">
        <is>
          <t>Roth Draw</t>
        </is>
      </c>
      <c r="P1136" s="83" t="inlineStr">
        <is>
          <t>HSA Draw</t>
        </is>
      </c>
      <c r="Q1136" s="83" t="inlineStr">
        <is>
          <t>Taxable Bal</t>
        </is>
      </c>
      <c r="R1136" s="83" t="inlineStr">
        <is>
          <t>401(k) Bal</t>
        </is>
      </c>
      <c r="S1136" s="83" t="inlineStr">
        <is>
          <t>Roth Bal</t>
        </is>
      </c>
      <c r="T1136" s="83" t="inlineStr">
        <is>
          <t>HSA Bal</t>
        </is>
      </c>
      <c r="U1136" s="83" t="inlineStr">
        <is>
          <t>Liquid Wealth</t>
        </is>
      </c>
      <c r="V1136" s="83" t="inlineStr">
        <is>
          <t>Funding Gap</t>
        </is>
      </c>
      <c r="W1136" s="83" t="inlineStr">
        <is>
          <t>Margin vs Reserve</t>
        </is>
      </c>
      <c r="X1136" s="83" t="inlineStr">
        <is>
          <t>House Value</t>
        </is>
      </c>
      <c r="Y1136" s="83" t="inlineStr">
        <is>
          <t>Mortgage Balance</t>
        </is>
      </c>
      <c r="Z1136" s="83" t="inlineStr">
        <is>
          <t>Home Equity</t>
        </is>
      </c>
      <c r="AA1136" s="135" t="inlineStr">
        <is>
          <t>Net Worth</t>
        </is>
      </c>
      <c r="AB1136" s="5" t="n"/>
      <c r="AC1136" s="5" t="n"/>
      <c r="AD1136" s="5" t="n"/>
      <c r="AE1136" s="5" t="n"/>
      <c r="AF1136" s="5" t="n"/>
      <c r="AG1136" s="5" t="n"/>
    </row>
    <row r="1137" outlineLevel="1" s="326">
      <c r="A1137" s="136" t="n">
        <v>1</v>
      </c>
      <c r="B1137" s="72">
        <f>B80</f>
        <v/>
      </c>
      <c r="C1137" s="137">
        <f>D80</f>
        <v/>
      </c>
      <c r="D1137" s="137">
        <f>I80</f>
        <v/>
      </c>
      <c r="E1137" s="137">
        <f>J80</f>
        <v/>
      </c>
      <c r="F1137" s="137">
        <f>K80</f>
        <v/>
      </c>
      <c r="G1137" s="138">
        <f>IF(AND($L$247&gt;0,A1137=$C$13),$L$247*($C$15+$C$18),0)+IF(AND($L$247&gt;0,A1137=$C$13),$C$24,0)</f>
        <v/>
      </c>
      <c r="H1137" s="138">
        <f>IF(OR($L$247&lt;=0,A1137&lt;$C$13),0,IF(AND($L$247&gt;0,$C$17&gt;0,A1137&gt;=$C$13,A1137&lt;($C$13+$C$17)),IF($C$17&lt;=0,0,IF($C$16=0,MAX($L$247*(1-$C$15),0)/$C$17,-PMT($C$16/12,$C$17*12,MAX($L$247*(1-$C$15),0))*12)),0)+X1137*($C$19+$C$20+$C$21)+$C$22+$C$23)</f>
        <v/>
      </c>
      <c r="I1137" s="138">
        <f>IF(B1137="Working",MIN(MAX(D1137-E1137-F1137-G1137-H1137,0),'Tax Assumptions'!$B$20),0)</f>
        <v/>
      </c>
      <c r="J1137" s="138">
        <f>IF(B1137="Working",D1137-E1137-F1137-I1137-G1137-H1137,-L1137)</f>
        <v/>
      </c>
      <c r="K1137" s="137">
        <f>IF(B1137="Retired",$N$247+G1137+H1137,0)</f>
        <v/>
      </c>
      <c r="L1137" s="137">
        <f>M1137+N1137+O1137+P1137</f>
        <v/>
      </c>
      <c r="M1137" s="137">
        <f>IF(B1137="Retired",MIN((('Savings Projection'!$B$7)*(1+$C$10)+IF(B1137="Working",J1137,0)),K1137),0)</f>
        <v/>
      </c>
      <c r="N1137" s="137">
        <f>IF(B1137="Retired",MIN(MAX(K1137-M1137,0),(('Savings Projection'!$B$8)*(1+$C$10)+IF(B1137="Working",E80,0))),0)</f>
        <v/>
      </c>
      <c r="O1137" s="137">
        <f>IF(B1137="Retired",MIN(MAX(K1137-M1137-N1137,0),(('Savings Projection'!$B$9)*(1+$C$10)+IF(B1137="Working",I1137,0))),0)</f>
        <v/>
      </c>
      <c r="P1137" s="137">
        <f>IF(B1137="Retired",MIN(MAX(K1137-M1137-N1137-O1137,0),(('Savings Projection'!$B$10)*(1+$C$10)+IF(B1137="Working",F80,0))),0)</f>
        <v/>
      </c>
      <c r="Q1137" s="138">
        <f>MAX((('Savings Projection'!$B$7)*(1+$C$10)+IF(B1137="Working",J1137,0))-M1137,0)</f>
        <v/>
      </c>
      <c r="R1137" s="138">
        <f>MAX((('Savings Projection'!$B$8)*(1+$C$10)+IF(B1137="Working",E80,0))-N1137,0)</f>
        <v/>
      </c>
      <c r="S1137" s="138">
        <f>MAX((('Savings Projection'!$B$9)*(1+$C$10)+IF(B1137="Working",I1137,0))-O1137,0)</f>
        <v/>
      </c>
      <c r="T1137" s="138">
        <f>MAX((('Savings Projection'!$B$10)*(1+$C$10)+IF(B1137="Working",F80,0))-P1137,0)</f>
        <v/>
      </c>
      <c r="U1137" s="138">
        <f>Q1137+R1137+S1137+T1137</f>
        <v/>
      </c>
      <c r="V1137" s="138">
        <f>IF(B1137="Working",MAX(-((('Savings Projection'!$B$7)*(1+$C$10)+IF(B1137="Working",J1137,0))),0),MAX(K1137-L1137,0))</f>
        <v/>
      </c>
      <c r="W1137" s="138">
        <f>IF(OR(A1137&gt;=$C$13,B1137="Retired"),IF(V1137&gt;0,-V1137,U1137-'Model Inputs'!$B$18),"")</f>
        <v/>
      </c>
      <c r="X1137" s="138">
        <f>IF(AND($L$247&gt;0,A1137&gt;=$C$13),$L$247*(1+$C$25)^(A1137-$C$13),0)</f>
        <v/>
      </c>
      <c r="Y1137" s="138">
        <f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/>
      </c>
      <c r="Z1137" s="138">
        <f>MAX(X1137-Y1137,0)</f>
        <v/>
      </c>
      <c r="AA1137" s="139">
        <f>U1137+Z1137</f>
        <v/>
      </c>
      <c r="AB1137" s="5" t="n"/>
      <c r="AC1137" s="5" t="n"/>
      <c r="AD1137" s="5" t="n"/>
      <c r="AE1137" s="5" t="n"/>
      <c r="AF1137" s="5" t="n"/>
      <c r="AG1137" s="5" t="n"/>
    </row>
    <row r="1138" outlineLevel="1" s="326">
      <c r="A1138" s="140" t="n">
        <v>2</v>
      </c>
      <c r="B1138" s="40">
        <f>B81</f>
        <v/>
      </c>
      <c r="C1138" s="141">
        <f>D81</f>
        <v/>
      </c>
      <c r="D1138" s="141">
        <f>I81</f>
        <v/>
      </c>
      <c r="E1138" s="141">
        <f>J81</f>
        <v/>
      </c>
      <c r="F1138" s="141">
        <f>K81</f>
        <v/>
      </c>
      <c r="G1138" s="138">
        <f>IF(AND($L$247&gt;0,A1138=$C$13),$L$247*($C$15+$C$18),0)+IF(AND($L$247&gt;0,A1138=$C$13),$C$24,0)</f>
        <v/>
      </c>
      <c r="H1138" s="138">
        <f>IF(OR($L$247&lt;=0,A1138&lt;$C$13),0,IF(AND($L$247&gt;0,$C$17&gt;0,A1138&gt;=$C$13,A1138&lt;($C$13+$C$17)),IF($C$17&lt;=0,0,IF($C$16=0,MAX($L$247*(1-$C$15),0)/$C$17,-PMT($C$16/12,$C$17*12,MAX($L$247*(1-$C$15),0))*12)),0)+X1138*($C$19+$C$20+$C$21)+$C$22+$C$23)</f>
        <v/>
      </c>
      <c r="I1138" s="138">
        <f>IF(B1138="Working",MIN(MAX(D1138-E1138-F1138-G1138-H1138,0),'Tax Assumptions'!$B$20),0)</f>
        <v/>
      </c>
      <c r="J1138" s="138">
        <f>IF(B1138="Working",D1138-E1138-F1138-I1138-G1138-H1138,-L1138)</f>
        <v/>
      </c>
      <c r="K1138" s="141">
        <f>IF(B1138="Retired",$N$247+G1138+H1138,0)</f>
        <v/>
      </c>
      <c r="L1138" s="141">
        <f>M1138+N1138+O1138+P1138</f>
        <v/>
      </c>
      <c r="M1138" s="141">
        <f>IF(B1138="Retired",MIN(((Q1137)*(1+$C$10)+IF(B1138="Working",J1138,0)),K1138),0)</f>
        <v/>
      </c>
      <c r="N1138" s="141">
        <f>IF(B1138="Retired",MIN(MAX(K1138-M1138,0),((R1137)*(1+$C$10)+IF(B1138="Working",E81,0))),0)</f>
        <v/>
      </c>
      <c r="O1138" s="141">
        <f>IF(B1138="Retired",MIN(MAX(K1138-M1138-N1138,0),((S1137)*(1+$C$10)+IF(B1138="Working",I1138,0))),0)</f>
        <v/>
      </c>
      <c r="P1138" s="141">
        <f>IF(B1138="Retired",MIN(MAX(K1138-M1138-N1138-O1138,0),((T1137)*(1+$C$10)+IF(B1138="Working",F81,0))),0)</f>
        <v/>
      </c>
      <c r="Q1138" s="138">
        <f>MAX(((Q1137)*(1+$C$10)+IF(B1138="Working",J1138,0))-M1138,0)</f>
        <v/>
      </c>
      <c r="R1138" s="138">
        <f>MAX(((R1137)*(1+$C$10)+IF(B1138="Working",E81,0))-N1138,0)</f>
        <v/>
      </c>
      <c r="S1138" s="138">
        <f>MAX(((S1137)*(1+$C$10)+IF(B1138="Working",I1138,0))-O1138,0)</f>
        <v/>
      </c>
      <c r="T1138" s="138">
        <f>MAX(((T1137)*(1+$C$10)+IF(B1138="Working",F81,0))-P1138,0)</f>
        <v/>
      </c>
      <c r="U1138" s="138">
        <f>Q1138+R1138+S1138+T1138</f>
        <v/>
      </c>
      <c r="V1138" s="138">
        <f>IF(B1138="Working",MAX(-(((Q1137)*(1+$C$10)+IF(B1138="Working",J1138,0))),0),MAX(K1138-L1138,0))</f>
        <v/>
      </c>
      <c r="W1138" s="138">
        <f>IF(OR(A1138&gt;=$C$13,B1138="Retired"),IF(V1138&gt;0,-V1138,U1138-'Model Inputs'!$B$18),"")</f>
        <v/>
      </c>
      <c r="X1138" s="138">
        <f>IF(AND($L$247&gt;0,A1138&gt;=$C$13),$L$247*(1+$C$25)^(A1138-$C$13),0)</f>
        <v/>
      </c>
      <c r="Y1138" s="138">
        <f>IF(OR($L$247&lt;=0,$C$17&lt;=0,A1138&lt;$C$13,MIN(MAX((A1138-$C$13+1)*12,0),$C$17*12)&gt;=$C$17*12),0,IF($C$16=0,MAX(MAX($L$247*(1-$C$15),0)-(IF($C$17&lt;=0,0,IF($C$16=0,MAX($L$247*(1-$C$15),0)/$C$17,-PMT($C$16/12,$C$17*12,MAX($L$247*(1-$C$15),0))*12))/12)*MIN(MAX((A1138-$C$13+1)*12,0),$C$17*12),0),MAX(MAX($L$247*(1-$C$15),0)*(1+$C$16/12)^MIN(MAX((A1138-$C$13+1)*12,0),$C$17*12)-(IF($C$17&lt;=0,0,IF($C$16=0,MAX($L$247*(1-$C$15),0)/$C$17,-PMT($C$16/12,$C$17*12,MAX($L$247*(1-$C$15),0))*12))/12)*(((1+$C$16/12)^MIN(MAX((A1138-$C$13+1)*12,0),$C$17*12)-1)/($C$16/12)),0)))</f>
        <v/>
      </c>
      <c r="Z1138" s="138">
        <f>MAX(X1138-Y1138,0)</f>
        <v/>
      </c>
      <c r="AA1138" s="142">
        <f>U1138+Z1138</f>
        <v/>
      </c>
      <c r="AB1138" s="5" t="n"/>
      <c r="AC1138" s="5" t="n"/>
      <c r="AD1138" s="5" t="n"/>
      <c r="AE1138" s="5" t="n"/>
      <c r="AF1138" s="5" t="n"/>
      <c r="AG1138" s="5" t="n"/>
    </row>
    <row r="1139" outlineLevel="1" s="326">
      <c r="A1139" s="136" t="n">
        <v>3</v>
      </c>
      <c r="B1139" s="72">
        <f>B82</f>
        <v/>
      </c>
      <c r="C1139" s="137">
        <f>D82</f>
        <v/>
      </c>
      <c r="D1139" s="137">
        <f>I82</f>
        <v/>
      </c>
      <c r="E1139" s="137">
        <f>J82</f>
        <v/>
      </c>
      <c r="F1139" s="137">
        <f>K82</f>
        <v/>
      </c>
      <c r="G1139" s="138">
        <f>IF(AND($L$247&gt;0,A1139=$C$13),$L$247*($C$15+$C$18),0)+IF(AND($L$247&gt;0,A1139=$C$13),$C$24,0)</f>
        <v/>
      </c>
      <c r="H1139" s="138">
        <f>IF(OR($L$247&lt;=0,A1139&lt;$C$13),0,IF(AND($L$247&gt;0,$C$17&gt;0,A1139&gt;=$C$13,A1139&lt;($C$13+$C$17)),IF($C$17&lt;=0,0,IF($C$16=0,MAX($L$247*(1-$C$15),0)/$C$17,-PMT($C$16/12,$C$17*12,MAX($L$247*(1-$C$15),0))*12)),0)+X1139*($C$19+$C$20+$C$21)+$C$22+$C$23)</f>
        <v/>
      </c>
      <c r="I1139" s="138">
        <f>IF(B1139="Working",MIN(MAX(D1139-E1139-F1139-G1139-H1139,0),'Tax Assumptions'!$B$20),0)</f>
        <v/>
      </c>
      <c r="J1139" s="138">
        <f>IF(B1139="Working",D1139-E1139-F1139-I1139-G1139-H1139,-L1139)</f>
        <v/>
      </c>
      <c r="K1139" s="137">
        <f>IF(B1139="Retired",$N$247+G1139+H1139,0)</f>
        <v/>
      </c>
      <c r="L1139" s="137">
        <f>M1139+N1139+O1139+P1139</f>
        <v/>
      </c>
      <c r="M1139" s="137">
        <f>IF(B1139="Retired",MIN(((Q1138)*(1+$C$10)+IF(B1139="Working",J1139,0)),K1139),0)</f>
        <v/>
      </c>
      <c r="N1139" s="137">
        <f>IF(B1139="Retired",MIN(MAX(K1139-M1139,0),((R1138)*(1+$C$10)+IF(B1139="Working",E82,0))),0)</f>
        <v/>
      </c>
      <c r="O1139" s="137">
        <f>IF(B1139="Retired",MIN(MAX(K1139-M1139-N1139,0),((S1138)*(1+$C$10)+IF(B1139="Working",I1139,0))),0)</f>
        <v/>
      </c>
      <c r="P1139" s="137">
        <f>IF(B1139="Retired",MIN(MAX(K1139-M1139-N1139-O1139,0),((T1138)*(1+$C$10)+IF(B1139="Working",F82,0))),0)</f>
        <v/>
      </c>
      <c r="Q1139" s="138">
        <f>MAX(((Q1138)*(1+$C$10)+IF(B1139="Working",J1139,0))-M1139,0)</f>
        <v/>
      </c>
      <c r="R1139" s="138">
        <f>MAX(((R1138)*(1+$C$10)+IF(B1139="Working",E82,0))-N1139,0)</f>
        <v/>
      </c>
      <c r="S1139" s="138">
        <f>MAX(((S1138)*(1+$C$10)+IF(B1139="Working",I1139,0))-O1139,0)</f>
        <v/>
      </c>
      <c r="T1139" s="138">
        <f>MAX(((T1138)*(1+$C$10)+IF(B1139="Working",F82,0))-P1139,0)</f>
        <v/>
      </c>
      <c r="U1139" s="138">
        <f>Q1139+R1139+S1139+T1139</f>
        <v/>
      </c>
      <c r="V1139" s="138">
        <f>IF(B1139="Working",MAX(-(((Q1138)*(1+$C$10)+IF(B1139="Working",J1139,0))),0),MAX(K1139-L1139,0))</f>
        <v/>
      </c>
      <c r="W1139" s="138">
        <f>IF(OR(A1139&gt;=$C$13,B1139="Retired"),IF(V1139&gt;0,-V1139,U1139-'Model Inputs'!$B$18),"")</f>
        <v/>
      </c>
      <c r="X1139" s="138">
        <f>IF(AND($L$247&gt;0,A1139&gt;=$C$13),$L$247*(1+$C$25)^(A1139-$C$13),0)</f>
        <v/>
      </c>
      <c r="Y1139" s="138">
        <f>IF(OR($L$247&lt;=0,$C$17&lt;=0,A1139&lt;$C$13,MIN(MAX((A1139-$C$13+1)*12,0),$C$17*12)&gt;=$C$17*12),0,IF($C$16=0,MAX(MAX($L$247*(1-$C$15),0)-(IF($C$17&lt;=0,0,IF($C$16=0,MAX($L$247*(1-$C$15),0)/$C$17,-PMT($C$16/12,$C$17*12,MAX($L$247*(1-$C$15),0))*12))/12)*MIN(MAX((A1139-$C$13+1)*12,0),$C$17*12),0),MAX(MAX($L$247*(1-$C$15),0)*(1+$C$16/12)^MIN(MAX((A1139-$C$13+1)*12,0),$C$17*12)-(IF($C$17&lt;=0,0,IF($C$16=0,MAX($L$247*(1-$C$15),0)/$C$17,-PMT($C$16/12,$C$17*12,MAX($L$247*(1-$C$15),0))*12))/12)*(((1+$C$16/12)^MIN(MAX((A1139-$C$13+1)*12,0),$C$17*12)-1)/($C$16/12)),0)))</f>
        <v/>
      </c>
      <c r="Z1139" s="138">
        <f>MAX(X1139-Y1139,0)</f>
        <v/>
      </c>
      <c r="AA1139" s="139">
        <f>U1139+Z1139</f>
        <v/>
      </c>
      <c r="AB1139" s="5" t="n"/>
      <c r="AC1139" s="5" t="n"/>
      <c r="AD1139" s="5" t="n"/>
      <c r="AE1139" s="5" t="n"/>
      <c r="AF1139" s="5" t="n"/>
      <c r="AG1139" s="5" t="n"/>
    </row>
    <row r="1140" outlineLevel="1" s="326">
      <c r="A1140" s="140" t="n">
        <v>4</v>
      </c>
      <c r="B1140" s="40">
        <f>B83</f>
        <v/>
      </c>
      <c r="C1140" s="141">
        <f>D83</f>
        <v/>
      </c>
      <c r="D1140" s="141">
        <f>I83</f>
        <v/>
      </c>
      <c r="E1140" s="141">
        <f>J83</f>
        <v/>
      </c>
      <c r="F1140" s="141">
        <f>K83</f>
        <v/>
      </c>
      <c r="G1140" s="138">
        <f>IF(AND($L$247&gt;0,A1140=$C$13),$L$247*($C$15+$C$18),0)+IF(AND($L$247&gt;0,A1140=$C$13),$C$24,0)</f>
        <v/>
      </c>
      <c r="H1140" s="138">
        <f>IF(OR($L$247&lt;=0,A1140&lt;$C$13),0,IF(AND($L$247&gt;0,$C$17&gt;0,A1140&gt;=$C$13,A1140&lt;($C$13+$C$17)),IF($C$17&lt;=0,0,IF($C$16=0,MAX($L$247*(1-$C$15),0)/$C$17,-PMT($C$16/12,$C$17*12,MAX($L$247*(1-$C$15),0))*12)),0)+X1140*($C$19+$C$20+$C$21)+$C$22+$C$23)</f>
        <v/>
      </c>
      <c r="I1140" s="138">
        <f>IF(B1140="Working",MIN(MAX(D1140-E1140-F1140-G1140-H1140,0),'Tax Assumptions'!$B$20),0)</f>
        <v/>
      </c>
      <c r="J1140" s="138">
        <f>IF(B1140="Working",D1140-E1140-F1140-I1140-G1140-H1140,-L1140)</f>
        <v/>
      </c>
      <c r="K1140" s="141">
        <f>IF(B1140="Retired",$N$247+G1140+H1140,0)</f>
        <v/>
      </c>
      <c r="L1140" s="141">
        <f>M1140+N1140+O1140+P1140</f>
        <v/>
      </c>
      <c r="M1140" s="141">
        <f>IF(B1140="Retired",MIN(((Q1139)*(1+$C$10)+IF(B1140="Working",J1140,0)),K1140),0)</f>
        <v/>
      </c>
      <c r="N1140" s="141">
        <f>IF(B1140="Retired",MIN(MAX(K1140-M1140,0),((R1139)*(1+$C$10)+IF(B1140="Working",E83,0))),0)</f>
        <v/>
      </c>
      <c r="O1140" s="141">
        <f>IF(B1140="Retired",MIN(MAX(K1140-M1140-N1140,0),((S1139)*(1+$C$10)+IF(B1140="Working",I1140,0))),0)</f>
        <v/>
      </c>
      <c r="P1140" s="141">
        <f>IF(B1140="Retired",MIN(MAX(K1140-M1140-N1140-O1140,0),((T1139)*(1+$C$10)+IF(B1140="Working",F83,0))),0)</f>
        <v/>
      </c>
      <c r="Q1140" s="138">
        <f>MAX(((Q1139)*(1+$C$10)+IF(B1140="Working",J1140,0))-M1140,0)</f>
        <v/>
      </c>
      <c r="R1140" s="138">
        <f>MAX(((R1139)*(1+$C$10)+IF(B1140="Working",E83,0))-N1140,0)</f>
        <v/>
      </c>
      <c r="S1140" s="138">
        <f>MAX(((S1139)*(1+$C$10)+IF(B1140="Working",I1140,0))-O1140,0)</f>
        <v/>
      </c>
      <c r="T1140" s="138">
        <f>MAX(((T1139)*(1+$C$10)+IF(B1140="Working",F83,0))-P1140,0)</f>
        <v/>
      </c>
      <c r="U1140" s="138">
        <f>Q1140+R1140+S1140+T1140</f>
        <v/>
      </c>
      <c r="V1140" s="138">
        <f>IF(B1140="Working",MAX(-(((Q1139)*(1+$C$10)+IF(B1140="Working",J1140,0))),0),MAX(K1140-L1140,0))</f>
        <v/>
      </c>
      <c r="W1140" s="138">
        <f>IF(OR(A1140&gt;=$C$13,B1140="Retired"),IF(V1140&gt;0,-V1140,U1140-'Model Inputs'!$B$18),"")</f>
        <v/>
      </c>
      <c r="X1140" s="138">
        <f>IF(AND($L$247&gt;0,A1140&gt;=$C$13),$L$247*(1+$C$25)^(A1140-$C$13),0)</f>
        <v/>
      </c>
      <c r="Y1140" s="138">
        <f>IF(OR($L$247&lt;=0,$C$17&lt;=0,A1140&lt;$C$13,MIN(MAX((A1140-$C$13+1)*12,0),$C$17*12)&gt;=$C$17*12),0,IF($C$16=0,MAX(MAX($L$247*(1-$C$15),0)-(IF($C$17&lt;=0,0,IF($C$16=0,MAX($L$247*(1-$C$15),0)/$C$17,-PMT($C$16/12,$C$17*12,MAX($L$247*(1-$C$15),0))*12))/12)*MIN(MAX((A1140-$C$13+1)*12,0),$C$17*12),0),MAX(MAX($L$247*(1-$C$15),0)*(1+$C$16/12)^MIN(MAX((A1140-$C$13+1)*12,0),$C$17*12)-(IF($C$17&lt;=0,0,IF($C$16=0,MAX($L$247*(1-$C$15),0)/$C$17,-PMT($C$16/12,$C$17*12,MAX($L$247*(1-$C$15),0))*12))/12)*(((1+$C$16/12)^MIN(MAX((A1140-$C$13+1)*12,0),$C$17*12)-1)/($C$16/12)),0)))</f>
        <v/>
      </c>
      <c r="Z1140" s="138">
        <f>MAX(X1140-Y1140,0)</f>
        <v/>
      </c>
      <c r="AA1140" s="142">
        <f>U1140+Z1140</f>
        <v/>
      </c>
      <c r="AB1140" s="5" t="n"/>
      <c r="AC1140" s="5" t="n"/>
      <c r="AD1140" s="5" t="n"/>
      <c r="AE1140" s="5" t="n"/>
      <c r="AF1140" s="5" t="n"/>
      <c r="AG1140" s="5" t="n"/>
    </row>
    <row r="1141" outlineLevel="1" s="326">
      <c r="A1141" s="136" t="n">
        <v>5</v>
      </c>
      <c r="B1141" s="72">
        <f>B84</f>
        <v/>
      </c>
      <c r="C1141" s="137">
        <f>D84</f>
        <v/>
      </c>
      <c r="D1141" s="137">
        <f>I84</f>
        <v/>
      </c>
      <c r="E1141" s="137">
        <f>J84</f>
        <v/>
      </c>
      <c r="F1141" s="137">
        <f>K84</f>
        <v/>
      </c>
      <c r="G1141" s="138">
        <f>IF(AND($L$247&gt;0,A1141=$C$13),$L$247*($C$15+$C$18),0)+IF(AND($L$247&gt;0,A1141=$C$13),$C$24,0)</f>
        <v/>
      </c>
      <c r="H1141" s="138">
        <f>IF(OR($L$247&lt;=0,A1141&lt;$C$13),0,IF(AND($L$247&gt;0,$C$17&gt;0,A1141&gt;=$C$13,A1141&lt;($C$13+$C$17)),IF($C$17&lt;=0,0,IF($C$16=0,MAX($L$247*(1-$C$15),0)/$C$17,-PMT($C$16/12,$C$17*12,MAX($L$247*(1-$C$15),0))*12)),0)+X1141*($C$19+$C$20+$C$21)+$C$22+$C$23)</f>
        <v/>
      </c>
      <c r="I1141" s="138">
        <f>IF(B1141="Working",MIN(MAX(D1141-E1141-F1141-G1141-H1141,0),'Tax Assumptions'!$B$20),0)</f>
        <v/>
      </c>
      <c r="J1141" s="138">
        <f>IF(B1141="Working",D1141-E1141-F1141-I1141-G1141-H1141,-L1141)</f>
        <v/>
      </c>
      <c r="K1141" s="137">
        <f>IF(B1141="Retired",$N$247+G1141+H1141,0)</f>
        <v/>
      </c>
      <c r="L1141" s="137">
        <f>M1141+N1141+O1141+P1141</f>
        <v/>
      </c>
      <c r="M1141" s="137">
        <f>IF(B1141="Retired",MIN(((Q1140)*(1+$C$10)+IF(B1141="Working",J1141,0)),K1141),0)</f>
        <v/>
      </c>
      <c r="N1141" s="137">
        <f>IF(B1141="Retired",MIN(MAX(K1141-M1141,0),((R1140)*(1+$C$10)+IF(B1141="Working",E84,0))),0)</f>
        <v/>
      </c>
      <c r="O1141" s="137">
        <f>IF(B1141="Retired",MIN(MAX(K1141-M1141-N1141,0),((S1140)*(1+$C$10)+IF(B1141="Working",I1141,0))),0)</f>
        <v/>
      </c>
      <c r="P1141" s="137">
        <f>IF(B1141="Retired",MIN(MAX(K1141-M1141-N1141-O1141,0),((T1140)*(1+$C$10)+IF(B1141="Working",F84,0))),0)</f>
        <v/>
      </c>
      <c r="Q1141" s="138">
        <f>MAX(((Q1140)*(1+$C$10)+IF(B1141="Working",J1141,0))-M1141,0)</f>
        <v/>
      </c>
      <c r="R1141" s="138">
        <f>MAX(((R1140)*(1+$C$10)+IF(B1141="Working",E84,0))-N1141,0)</f>
        <v/>
      </c>
      <c r="S1141" s="138">
        <f>MAX(((S1140)*(1+$C$10)+IF(B1141="Working",I1141,0))-O1141,0)</f>
        <v/>
      </c>
      <c r="T1141" s="138">
        <f>MAX(((T1140)*(1+$C$10)+IF(B1141="Working",F84,0))-P1141,0)</f>
        <v/>
      </c>
      <c r="U1141" s="138">
        <f>Q1141+R1141+S1141+T1141</f>
        <v/>
      </c>
      <c r="V1141" s="138">
        <f>IF(B1141="Working",MAX(-(((Q1140)*(1+$C$10)+IF(B1141="Working",J1141,0))),0),MAX(K1141-L1141,0))</f>
        <v/>
      </c>
      <c r="W1141" s="138">
        <f>IF(OR(A1141&gt;=$C$13,B1141="Retired"),IF(V1141&gt;0,-V1141,U1141-'Model Inputs'!$B$18),"")</f>
        <v/>
      </c>
      <c r="X1141" s="138">
        <f>IF(AND($L$247&gt;0,A1141&gt;=$C$13),$L$247*(1+$C$25)^(A1141-$C$13),0)</f>
        <v/>
      </c>
      <c r="Y1141" s="138">
        <f>IF(OR($L$247&lt;=0,$C$17&lt;=0,A1141&lt;$C$13,MIN(MAX((A1141-$C$13+1)*12,0),$C$17*12)&gt;=$C$17*12),0,IF($C$16=0,MAX(MAX($L$247*(1-$C$15),0)-(IF($C$17&lt;=0,0,IF($C$16=0,MAX($L$247*(1-$C$15),0)/$C$17,-PMT($C$16/12,$C$17*12,MAX($L$247*(1-$C$15),0))*12))/12)*MIN(MAX((A1141-$C$13+1)*12,0),$C$17*12),0),MAX(MAX($L$247*(1-$C$15),0)*(1+$C$16/12)^MIN(MAX((A1141-$C$13+1)*12,0),$C$17*12)-(IF($C$17&lt;=0,0,IF($C$16=0,MAX($L$247*(1-$C$15),0)/$C$17,-PMT($C$16/12,$C$17*12,MAX($L$247*(1-$C$15),0))*12))/12)*(((1+$C$16/12)^MIN(MAX((A1141-$C$13+1)*12,0),$C$17*12)-1)/($C$16/12)),0)))</f>
        <v/>
      </c>
      <c r="Z1141" s="138">
        <f>MAX(X1141-Y1141,0)</f>
        <v/>
      </c>
      <c r="AA1141" s="139">
        <f>U1141+Z1141</f>
        <v/>
      </c>
      <c r="AB1141" s="5" t="n"/>
      <c r="AC1141" s="5" t="n"/>
      <c r="AD1141" s="5" t="n"/>
      <c r="AE1141" s="5" t="n"/>
      <c r="AF1141" s="5" t="n"/>
      <c r="AG1141" s="5" t="n"/>
    </row>
    <row r="1142" outlineLevel="1" s="326">
      <c r="A1142" s="140" t="n">
        <v>6</v>
      </c>
      <c r="B1142" s="40">
        <f>B85</f>
        <v/>
      </c>
      <c r="C1142" s="141">
        <f>D85</f>
        <v/>
      </c>
      <c r="D1142" s="141">
        <f>I85</f>
        <v/>
      </c>
      <c r="E1142" s="141">
        <f>J85</f>
        <v/>
      </c>
      <c r="F1142" s="141">
        <f>K85</f>
        <v/>
      </c>
      <c r="G1142" s="138">
        <f>IF(AND($L$247&gt;0,A1142=$C$13),$L$247*($C$15+$C$18),0)+IF(AND($L$247&gt;0,A1142=$C$13),$C$24,0)</f>
        <v/>
      </c>
      <c r="H1142" s="138">
        <f>IF(OR($L$247&lt;=0,A1142&lt;$C$13),0,IF(AND($L$247&gt;0,$C$17&gt;0,A1142&gt;=$C$13,A1142&lt;($C$13+$C$17)),IF($C$17&lt;=0,0,IF($C$16=0,MAX($L$247*(1-$C$15),0)/$C$17,-PMT($C$16/12,$C$17*12,MAX($L$247*(1-$C$15),0))*12)),0)+X1142*($C$19+$C$20+$C$21)+$C$22+$C$23)</f>
        <v/>
      </c>
      <c r="I1142" s="138">
        <f>IF(B1142="Working",MIN(MAX(D1142-E1142-F1142-G1142-H1142,0),'Tax Assumptions'!$B$20),0)</f>
        <v/>
      </c>
      <c r="J1142" s="138">
        <f>IF(B1142="Working",D1142-E1142-F1142-I1142-G1142-H1142,-L1142)</f>
        <v/>
      </c>
      <c r="K1142" s="141">
        <f>IF(B1142="Retired",$N$247+G1142+H1142,0)</f>
        <v/>
      </c>
      <c r="L1142" s="141">
        <f>M1142+N1142+O1142+P1142</f>
        <v/>
      </c>
      <c r="M1142" s="141">
        <f>IF(B1142="Retired",MIN(((Q1141)*(1+$C$10)+IF(B1142="Working",J1142,0)),K1142),0)</f>
        <v/>
      </c>
      <c r="N1142" s="141">
        <f>IF(B1142="Retired",MIN(MAX(K1142-M1142,0),((R1141)*(1+$C$10)+IF(B1142="Working",E85,0))),0)</f>
        <v/>
      </c>
      <c r="O1142" s="141">
        <f>IF(B1142="Retired",MIN(MAX(K1142-M1142-N1142,0),((S1141)*(1+$C$10)+IF(B1142="Working",I1142,0))),0)</f>
        <v/>
      </c>
      <c r="P1142" s="141">
        <f>IF(B1142="Retired",MIN(MAX(K1142-M1142-N1142-O1142,0),((T1141)*(1+$C$10)+IF(B1142="Working",F85,0))),0)</f>
        <v/>
      </c>
      <c r="Q1142" s="138">
        <f>MAX(((Q1141)*(1+$C$10)+IF(B1142="Working",J1142,0))-M1142,0)</f>
        <v/>
      </c>
      <c r="R1142" s="138">
        <f>MAX(((R1141)*(1+$C$10)+IF(B1142="Working",E85,0))-N1142,0)</f>
        <v/>
      </c>
      <c r="S1142" s="138">
        <f>MAX(((S1141)*(1+$C$10)+IF(B1142="Working",I1142,0))-O1142,0)</f>
        <v/>
      </c>
      <c r="T1142" s="138">
        <f>MAX(((T1141)*(1+$C$10)+IF(B1142="Working",F85,0))-P1142,0)</f>
        <v/>
      </c>
      <c r="U1142" s="138">
        <f>Q1142+R1142+S1142+T1142</f>
        <v/>
      </c>
      <c r="V1142" s="138">
        <f>IF(B1142="Working",MAX(-(((Q1141)*(1+$C$10)+IF(B1142="Working",J1142,0))),0),MAX(K1142-L1142,0))</f>
        <v/>
      </c>
      <c r="W1142" s="138">
        <f>IF(OR(A1142&gt;=$C$13,B1142="Retired"),IF(V1142&gt;0,-V1142,U1142-'Model Inputs'!$B$18),"")</f>
        <v/>
      </c>
      <c r="X1142" s="138">
        <f>IF(AND($L$247&gt;0,A1142&gt;=$C$13),$L$247*(1+$C$25)^(A1142-$C$13),0)</f>
        <v/>
      </c>
      <c r="Y1142" s="138">
        <f>IF(OR($L$247&lt;=0,$C$17&lt;=0,A1142&lt;$C$13,MIN(MAX((A1142-$C$13+1)*12,0),$C$17*12)&gt;=$C$17*12),0,IF($C$16=0,MAX(MAX($L$247*(1-$C$15),0)-(IF($C$17&lt;=0,0,IF($C$16=0,MAX($L$247*(1-$C$15),0)/$C$17,-PMT($C$16/12,$C$17*12,MAX($L$247*(1-$C$15),0))*12))/12)*MIN(MAX((A1142-$C$13+1)*12,0),$C$17*12),0),MAX(MAX($L$247*(1-$C$15),0)*(1+$C$16/12)^MIN(MAX((A1142-$C$13+1)*12,0),$C$17*12)-(IF($C$17&lt;=0,0,IF($C$16=0,MAX($L$247*(1-$C$15),0)/$C$17,-PMT($C$16/12,$C$17*12,MAX($L$247*(1-$C$15),0))*12))/12)*(((1+$C$16/12)^MIN(MAX((A1142-$C$13+1)*12,0),$C$17*12)-1)/($C$16/12)),0)))</f>
        <v/>
      </c>
      <c r="Z1142" s="138">
        <f>MAX(X1142-Y1142,0)</f>
        <v/>
      </c>
      <c r="AA1142" s="142">
        <f>U1142+Z1142</f>
        <v/>
      </c>
      <c r="AB1142" s="5" t="n"/>
      <c r="AC1142" s="5" t="n"/>
      <c r="AD1142" s="5" t="n"/>
      <c r="AE1142" s="5" t="n"/>
      <c r="AF1142" s="5" t="n"/>
      <c r="AG1142" s="5" t="n"/>
    </row>
    <row r="1143" outlineLevel="1" s="326">
      <c r="A1143" s="136" t="n">
        <v>7</v>
      </c>
      <c r="B1143" s="72">
        <f>B86</f>
        <v/>
      </c>
      <c r="C1143" s="137">
        <f>D86</f>
        <v/>
      </c>
      <c r="D1143" s="137">
        <f>I86</f>
        <v/>
      </c>
      <c r="E1143" s="137">
        <f>J86</f>
        <v/>
      </c>
      <c r="F1143" s="137">
        <f>K86</f>
        <v/>
      </c>
      <c r="G1143" s="138">
        <f>IF(AND($L$247&gt;0,A1143=$C$13),$L$247*($C$15+$C$18),0)+IF(AND($L$247&gt;0,A1143=$C$13),$C$24,0)</f>
        <v/>
      </c>
      <c r="H1143" s="138">
        <f>IF(OR($L$247&lt;=0,A1143&lt;$C$13),0,IF(AND($L$247&gt;0,$C$17&gt;0,A1143&gt;=$C$13,A1143&lt;($C$13+$C$17)),IF($C$17&lt;=0,0,IF($C$16=0,MAX($L$247*(1-$C$15),0)/$C$17,-PMT($C$16/12,$C$17*12,MAX($L$247*(1-$C$15),0))*12)),0)+X1143*($C$19+$C$20+$C$21)+$C$22+$C$23)</f>
        <v/>
      </c>
      <c r="I1143" s="138">
        <f>IF(B1143="Working",MIN(MAX(D1143-E1143-F1143-G1143-H1143,0),'Tax Assumptions'!$B$20),0)</f>
        <v/>
      </c>
      <c r="J1143" s="138">
        <f>IF(B1143="Working",D1143-E1143-F1143-I1143-G1143-H1143,-L1143)</f>
        <v/>
      </c>
      <c r="K1143" s="137">
        <f>IF(B1143="Retired",$N$247+G1143+H1143,0)</f>
        <v/>
      </c>
      <c r="L1143" s="137">
        <f>M1143+N1143+O1143+P1143</f>
        <v/>
      </c>
      <c r="M1143" s="137">
        <f>IF(B1143="Retired",MIN(((Q1142)*(1+$C$10)+IF(B1143="Working",J1143,0)),K1143),0)</f>
        <v/>
      </c>
      <c r="N1143" s="137">
        <f>IF(B1143="Retired",MIN(MAX(K1143-M1143,0),((R1142)*(1+$C$10)+IF(B1143="Working",E86,0))),0)</f>
        <v/>
      </c>
      <c r="O1143" s="137">
        <f>IF(B1143="Retired",MIN(MAX(K1143-M1143-N1143,0),((S1142)*(1+$C$10)+IF(B1143="Working",I1143,0))),0)</f>
        <v/>
      </c>
      <c r="P1143" s="137">
        <f>IF(B1143="Retired",MIN(MAX(K1143-M1143-N1143-O1143,0),((T1142)*(1+$C$10)+IF(B1143="Working",F86,0))),0)</f>
        <v/>
      </c>
      <c r="Q1143" s="138">
        <f>MAX(((Q1142)*(1+$C$10)+IF(B1143="Working",J1143,0))-M1143,0)</f>
        <v/>
      </c>
      <c r="R1143" s="138">
        <f>MAX(((R1142)*(1+$C$10)+IF(B1143="Working",E86,0))-N1143,0)</f>
        <v/>
      </c>
      <c r="S1143" s="138">
        <f>MAX(((S1142)*(1+$C$10)+IF(B1143="Working",I1143,0))-O1143,0)</f>
        <v/>
      </c>
      <c r="T1143" s="138">
        <f>MAX(((T1142)*(1+$C$10)+IF(B1143="Working",F86,0))-P1143,0)</f>
        <v/>
      </c>
      <c r="U1143" s="138">
        <f>Q1143+R1143+S1143+T1143</f>
        <v/>
      </c>
      <c r="V1143" s="138">
        <f>IF(B1143="Working",MAX(-(((Q1142)*(1+$C$10)+IF(B1143="Working",J1143,0))),0),MAX(K1143-L1143,0))</f>
        <v/>
      </c>
      <c r="W1143" s="138">
        <f>IF(OR(A1143&gt;=$C$13,B1143="Retired"),IF(V1143&gt;0,-V1143,U1143-'Model Inputs'!$B$18),"")</f>
        <v/>
      </c>
      <c r="X1143" s="138">
        <f>IF(AND($L$247&gt;0,A1143&gt;=$C$13),$L$247*(1+$C$25)^(A1143-$C$13),0)</f>
        <v/>
      </c>
      <c r="Y1143" s="138">
        <f>IF(OR($L$247&lt;=0,$C$17&lt;=0,A1143&lt;$C$13,MIN(MAX((A1143-$C$13+1)*12,0),$C$17*12)&gt;=$C$17*12),0,IF($C$16=0,MAX(MAX($L$247*(1-$C$15),0)-(IF($C$17&lt;=0,0,IF($C$16=0,MAX($L$247*(1-$C$15),0)/$C$17,-PMT($C$16/12,$C$17*12,MAX($L$247*(1-$C$15),0))*12))/12)*MIN(MAX((A1143-$C$13+1)*12,0),$C$17*12),0),MAX(MAX($L$247*(1-$C$15),0)*(1+$C$16/12)^MIN(MAX((A1143-$C$13+1)*12,0),$C$17*12)-(IF($C$17&lt;=0,0,IF($C$16=0,MAX($L$247*(1-$C$15),0)/$C$17,-PMT($C$16/12,$C$17*12,MAX($L$247*(1-$C$15),0))*12))/12)*(((1+$C$16/12)^MIN(MAX((A1143-$C$13+1)*12,0),$C$17*12)-1)/($C$16/12)),0)))</f>
        <v/>
      </c>
      <c r="Z1143" s="138">
        <f>MAX(X1143-Y1143,0)</f>
        <v/>
      </c>
      <c r="AA1143" s="139">
        <f>U1143+Z1143</f>
        <v/>
      </c>
      <c r="AB1143" s="5" t="n"/>
      <c r="AC1143" s="5" t="n"/>
      <c r="AD1143" s="5" t="n"/>
      <c r="AE1143" s="5" t="n"/>
      <c r="AF1143" s="5" t="n"/>
      <c r="AG1143" s="5" t="n"/>
    </row>
    <row r="1144" outlineLevel="1" s="326">
      <c r="A1144" s="140" t="n">
        <v>8</v>
      </c>
      <c r="B1144" s="40">
        <f>B87</f>
        <v/>
      </c>
      <c r="C1144" s="141">
        <f>D87</f>
        <v/>
      </c>
      <c r="D1144" s="141">
        <f>I87</f>
        <v/>
      </c>
      <c r="E1144" s="141">
        <f>J87</f>
        <v/>
      </c>
      <c r="F1144" s="141">
        <f>K87</f>
        <v/>
      </c>
      <c r="G1144" s="138">
        <f>IF(AND($L$247&gt;0,A1144=$C$13),$L$247*($C$15+$C$18),0)+IF(AND($L$247&gt;0,A1144=$C$13),$C$24,0)</f>
        <v/>
      </c>
      <c r="H1144" s="138">
        <f>IF(OR($L$247&lt;=0,A1144&lt;$C$13),0,IF(AND($L$247&gt;0,$C$17&gt;0,A1144&gt;=$C$13,A1144&lt;($C$13+$C$17)),IF($C$17&lt;=0,0,IF($C$16=0,MAX($L$247*(1-$C$15),0)/$C$17,-PMT($C$16/12,$C$17*12,MAX($L$247*(1-$C$15),0))*12)),0)+X1144*($C$19+$C$20+$C$21)+$C$22+$C$23)</f>
        <v/>
      </c>
      <c r="I1144" s="138">
        <f>IF(B1144="Working",MIN(MAX(D1144-E1144-F1144-G1144-H1144,0),'Tax Assumptions'!$B$20),0)</f>
        <v/>
      </c>
      <c r="J1144" s="138">
        <f>IF(B1144="Working",D1144-E1144-F1144-I1144-G1144-H1144,-L1144)</f>
        <v/>
      </c>
      <c r="K1144" s="141">
        <f>IF(B1144="Retired",$N$247+G1144+H1144,0)</f>
        <v/>
      </c>
      <c r="L1144" s="141">
        <f>M1144+N1144+O1144+P1144</f>
        <v/>
      </c>
      <c r="M1144" s="141">
        <f>IF(B1144="Retired",MIN(((Q1143)*(1+$C$10)+IF(B1144="Working",J1144,0)),K1144),0)</f>
        <v/>
      </c>
      <c r="N1144" s="141">
        <f>IF(B1144="Retired",MIN(MAX(K1144-M1144,0),((R1143)*(1+$C$10)+IF(B1144="Working",E87,0))),0)</f>
        <v/>
      </c>
      <c r="O1144" s="141">
        <f>IF(B1144="Retired",MIN(MAX(K1144-M1144-N1144,0),((S1143)*(1+$C$10)+IF(B1144="Working",I1144,0))),0)</f>
        <v/>
      </c>
      <c r="P1144" s="141">
        <f>IF(B1144="Retired",MIN(MAX(K1144-M1144-N1144-O1144,0),((T1143)*(1+$C$10)+IF(B1144="Working",F87,0))),0)</f>
        <v/>
      </c>
      <c r="Q1144" s="138">
        <f>MAX(((Q1143)*(1+$C$10)+IF(B1144="Working",J1144,0))-M1144,0)</f>
        <v/>
      </c>
      <c r="R1144" s="138">
        <f>MAX(((R1143)*(1+$C$10)+IF(B1144="Working",E87,0))-N1144,0)</f>
        <v/>
      </c>
      <c r="S1144" s="138">
        <f>MAX(((S1143)*(1+$C$10)+IF(B1144="Working",I1144,0))-O1144,0)</f>
        <v/>
      </c>
      <c r="T1144" s="138">
        <f>MAX(((T1143)*(1+$C$10)+IF(B1144="Working",F87,0))-P1144,0)</f>
        <v/>
      </c>
      <c r="U1144" s="138">
        <f>Q1144+R1144+S1144+T1144</f>
        <v/>
      </c>
      <c r="V1144" s="138">
        <f>IF(B1144="Working",MAX(-(((Q1143)*(1+$C$10)+IF(B1144="Working",J1144,0))),0),MAX(K1144-L1144,0))</f>
        <v/>
      </c>
      <c r="W1144" s="138">
        <f>IF(OR(A1144&gt;=$C$13,B1144="Retired"),IF(V1144&gt;0,-V1144,U1144-'Model Inputs'!$B$18),"")</f>
        <v/>
      </c>
      <c r="X1144" s="138">
        <f>IF(AND($L$247&gt;0,A1144&gt;=$C$13),$L$247*(1+$C$25)^(A1144-$C$13),0)</f>
        <v/>
      </c>
      <c r="Y1144" s="138">
        <f>IF(OR($L$247&lt;=0,$C$17&lt;=0,A1144&lt;$C$13,MIN(MAX((A1144-$C$13+1)*12,0),$C$17*12)&gt;=$C$17*12),0,IF($C$16=0,MAX(MAX($L$247*(1-$C$15),0)-(IF($C$17&lt;=0,0,IF($C$16=0,MAX($L$247*(1-$C$15),0)/$C$17,-PMT($C$16/12,$C$17*12,MAX($L$247*(1-$C$15),0))*12))/12)*MIN(MAX((A1144-$C$13+1)*12,0),$C$17*12),0),MAX(MAX($L$247*(1-$C$15),0)*(1+$C$16/12)^MIN(MAX((A1144-$C$13+1)*12,0),$C$17*12)-(IF($C$17&lt;=0,0,IF($C$16=0,MAX($L$247*(1-$C$15),0)/$C$17,-PMT($C$16/12,$C$17*12,MAX($L$247*(1-$C$15),0))*12))/12)*(((1+$C$16/12)^MIN(MAX((A1144-$C$13+1)*12,0),$C$17*12)-1)/($C$16/12)),0)))</f>
        <v/>
      </c>
      <c r="Z1144" s="138">
        <f>MAX(X1144-Y1144,0)</f>
        <v/>
      </c>
      <c r="AA1144" s="142">
        <f>U1144+Z1144</f>
        <v/>
      </c>
      <c r="AB1144" s="5" t="n"/>
      <c r="AC1144" s="5" t="n"/>
      <c r="AD1144" s="5" t="n"/>
      <c r="AE1144" s="5" t="n"/>
      <c r="AF1144" s="5" t="n"/>
      <c r="AG1144" s="5" t="n"/>
    </row>
    <row r="1145" outlineLevel="1" s="326">
      <c r="A1145" s="136" t="n">
        <v>9</v>
      </c>
      <c r="B1145" s="72">
        <f>B88</f>
        <v/>
      </c>
      <c r="C1145" s="137">
        <f>D88</f>
        <v/>
      </c>
      <c r="D1145" s="137">
        <f>I88</f>
        <v/>
      </c>
      <c r="E1145" s="137">
        <f>J88</f>
        <v/>
      </c>
      <c r="F1145" s="137">
        <f>K88</f>
        <v/>
      </c>
      <c r="G1145" s="138">
        <f>IF(AND($L$247&gt;0,A1145=$C$13),$L$247*($C$15+$C$18),0)+IF(AND($L$247&gt;0,A1145=$C$13),$C$24,0)</f>
        <v/>
      </c>
      <c r="H1145" s="138">
        <f>IF(OR($L$247&lt;=0,A1145&lt;$C$13),0,IF(AND($L$247&gt;0,$C$17&gt;0,A1145&gt;=$C$13,A1145&lt;($C$13+$C$17)),IF($C$17&lt;=0,0,IF($C$16=0,MAX($L$247*(1-$C$15),0)/$C$17,-PMT($C$16/12,$C$17*12,MAX($L$247*(1-$C$15),0))*12)),0)+X1145*($C$19+$C$20+$C$21)+$C$22+$C$23)</f>
        <v/>
      </c>
      <c r="I1145" s="138">
        <f>IF(B1145="Working",MIN(MAX(D1145-E1145-F1145-G1145-H1145,0),'Tax Assumptions'!$B$20),0)</f>
        <v/>
      </c>
      <c r="J1145" s="138">
        <f>IF(B1145="Working",D1145-E1145-F1145-I1145-G1145-H1145,-L1145)</f>
        <v/>
      </c>
      <c r="K1145" s="137">
        <f>IF(B1145="Retired",$N$247+G1145+H1145,0)</f>
        <v/>
      </c>
      <c r="L1145" s="137">
        <f>M1145+N1145+O1145+P1145</f>
        <v/>
      </c>
      <c r="M1145" s="137">
        <f>IF(B1145="Retired",MIN(((Q1144)*(1+$C$10)+IF(B1145="Working",J1145,0)),K1145),0)</f>
        <v/>
      </c>
      <c r="N1145" s="137">
        <f>IF(B1145="Retired",MIN(MAX(K1145-M1145,0),((R1144)*(1+$C$10)+IF(B1145="Working",E88,0))),0)</f>
        <v/>
      </c>
      <c r="O1145" s="137">
        <f>IF(B1145="Retired",MIN(MAX(K1145-M1145-N1145,0),((S1144)*(1+$C$10)+IF(B1145="Working",I1145,0))),0)</f>
        <v/>
      </c>
      <c r="P1145" s="137">
        <f>IF(B1145="Retired",MIN(MAX(K1145-M1145-N1145-O1145,0),((T1144)*(1+$C$10)+IF(B1145="Working",F88,0))),0)</f>
        <v/>
      </c>
      <c r="Q1145" s="138">
        <f>MAX(((Q1144)*(1+$C$10)+IF(B1145="Working",J1145,0))-M1145,0)</f>
        <v/>
      </c>
      <c r="R1145" s="138">
        <f>MAX(((R1144)*(1+$C$10)+IF(B1145="Working",E88,0))-N1145,0)</f>
        <v/>
      </c>
      <c r="S1145" s="138">
        <f>MAX(((S1144)*(1+$C$10)+IF(B1145="Working",I1145,0))-O1145,0)</f>
        <v/>
      </c>
      <c r="T1145" s="138">
        <f>MAX(((T1144)*(1+$C$10)+IF(B1145="Working",F88,0))-P1145,0)</f>
        <v/>
      </c>
      <c r="U1145" s="138">
        <f>Q1145+R1145+S1145+T1145</f>
        <v/>
      </c>
      <c r="V1145" s="138">
        <f>IF(B1145="Working",MAX(-(((Q1144)*(1+$C$10)+IF(B1145="Working",J1145,0))),0),MAX(K1145-L1145,0))</f>
        <v/>
      </c>
      <c r="W1145" s="138">
        <f>IF(OR(A1145&gt;=$C$13,B1145="Retired"),IF(V1145&gt;0,-V1145,U1145-'Model Inputs'!$B$18),"")</f>
        <v/>
      </c>
      <c r="X1145" s="138">
        <f>IF(AND($L$247&gt;0,A1145&gt;=$C$13),$L$247*(1+$C$25)^(A1145-$C$13),0)</f>
        <v/>
      </c>
      <c r="Y1145" s="138">
        <f>IF(OR($L$247&lt;=0,$C$17&lt;=0,A1145&lt;$C$13,MIN(MAX((A1145-$C$13+1)*12,0),$C$17*12)&gt;=$C$17*12),0,IF($C$16=0,MAX(MAX($L$247*(1-$C$15),0)-(IF($C$17&lt;=0,0,IF($C$16=0,MAX($L$247*(1-$C$15),0)/$C$17,-PMT($C$16/12,$C$17*12,MAX($L$247*(1-$C$15),0))*12))/12)*MIN(MAX((A1145-$C$13+1)*12,0),$C$17*12),0),MAX(MAX($L$247*(1-$C$15),0)*(1+$C$16/12)^MIN(MAX((A1145-$C$13+1)*12,0),$C$17*12)-(IF($C$17&lt;=0,0,IF($C$16=0,MAX($L$247*(1-$C$15),0)/$C$17,-PMT($C$16/12,$C$17*12,MAX($L$247*(1-$C$15),0))*12))/12)*(((1+$C$16/12)^MIN(MAX((A1145-$C$13+1)*12,0),$C$17*12)-1)/($C$16/12)),0)))</f>
        <v/>
      </c>
      <c r="Z1145" s="138">
        <f>MAX(X1145-Y1145,0)</f>
        <v/>
      </c>
      <c r="AA1145" s="139">
        <f>U1145+Z1145</f>
        <v/>
      </c>
      <c r="AB1145" s="5" t="n"/>
      <c r="AC1145" s="5" t="n"/>
      <c r="AD1145" s="5" t="n"/>
      <c r="AE1145" s="5" t="n"/>
      <c r="AF1145" s="5" t="n"/>
      <c r="AG1145" s="5" t="n"/>
    </row>
    <row r="1146" outlineLevel="1" s="326">
      <c r="A1146" s="140" t="n">
        <v>10</v>
      </c>
      <c r="B1146" s="40">
        <f>B89</f>
        <v/>
      </c>
      <c r="C1146" s="141">
        <f>D89</f>
        <v/>
      </c>
      <c r="D1146" s="141">
        <f>I89</f>
        <v/>
      </c>
      <c r="E1146" s="141">
        <f>J89</f>
        <v/>
      </c>
      <c r="F1146" s="141">
        <f>K89</f>
        <v/>
      </c>
      <c r="G1146" s="138">
        <f>IF(AND($L$247&gt;0,A1146=$C$13),$L$247*($C$15+$C$18),0)+IF(AND($L$247&gt;0,A1146=$C$13),$C$24,0)</f>
        <v/>
      </c>
      <c r="H1146" s="138">
        <f>IF(OR($L$247&lt;=0,A1146&lt;$C$13),0,IF(AND($L$247&gt;0,$C$17&gt;0,A1146&gt;=$C$13,A1146&lt;($C$13+$C$17)),IF($C$17&lt;=0,0,IF($C$16=0,MAX($L$247*(1-$C$15),0)/$C$17,-PMT($C$16/12,$C$17*12,MAX($L$247*(1-$C$15),0))*12)),0)+X1146*($C$19+$C$20+$C$21)+$C$22+$C$23)</f>
        <v/>
      </c>
      <c r="I1146" s="138">
        <f>IF(B1146="Working",MIN(MAX(D1146-E1146-F1146-G1146-H1146,0),'Tax Assumptions'!$B$20),0)</f>
        <v/>
      </c>
      <c r="J1146" s="138">
        <f>IF(B1146="Working",D1146-E1146-F1146-I1146-G1146-H1146,-L1146)</f>
        <v/>
      </c>
      <c r="K1146" s="141">
        <f>IF(B1146="Retired",$N$247+G1146+H1146,0)</f>
        <v/>
      </c>
      <c r="L1146" s="141">
        <f>M1146+N1146+O1146+P1146</f>
        <v/>
      </c>
      <c r="M1146" s="141">
        <f>IF(B1146="Retired",MIN(((Q1145)*(1+$C$10)+IF(B1146="Working",J1146,0)),K1146),0)</f>
        <v/>
      </c>
      <c r="N1146" s="141">
        <f>IF(B1146="Retired",MIN(MAX(K1146-M1146,0),((R1145)*(1+$C$10)+IF(B1146="Working",E89,0))),0)</f>
        <v/>
      </c>
      <c r="O1146" s="141">
        <f>IF(B1146="Retired",MIN(MAX(K1146-M1146-N1146,0),((S1145)*(1+$C$10)+IF(B1146="Working",I1146,0))),0)</f>
        <v/>
      </c>
      <c r="P1146" s="141">
        <f>IF(B1146="Retired",MIN(MAX(K1146-M1146-N1146-O1146,0),((T1145)*(1+$C$10)+IF(B1146="Working",F89,0))),0)</f>
        <v/>
      </c>
      <c r="Q1146" s="138">
        <f>MAX(((Q1145)*(1+$C$10)+IF(B1146="Working",J1146,0))-M1146,0)</f>
        <v/>
      </c>
      <c r="R1146" s="138">
        <f>MAX(((R1145)*(1+$C$10)+IF(B1146="Working",E89,0))-N1146,0)</f>
        <v/>
      </c>
      <c r="S1146" s="138">
        <f>MAX(((S1145)*(1+$C$10)+IF(B1146="Working",I1146,0))-O1146,0)</f>
        <v/>
      </c>
      <c r="T1146" s="138">
        <f>MAX(((T1145)*(1+$C$10)+IF(B1146="Working",F89,0))-P1146,0)</f>
        <v/>
      </c>
      <c r="U1146" s="138">
        <f>Q1146+R1146+S1146+T1146</f>
        <v/>
      </c>
      <c r="V1146" s="138">
        <f>IF(B1146="Working",MAX(-(((Q1145)*(1+$C$10)+IF(B1146="Working",J1146,0))),0),MAX(K1146-L1146,0))</f>
        <v/>
      </c>
      <c r="W1146" s="138">
        <f>IF(OR(A1146&gt;=$C$13,B1146="Retired"),IF(V1146&gt;0,-V1146,U1146-'Model Inputs'!$B$18),"")</f>
        <v/>
      </c>
      <c r="X1146" s="138">
        <f>IF(AND($L$247&gt;0,A1146&gt;=$C$13),$L$247*(1+$C$25)^(A1146-$C$13),0)</f>
        <v/>
      </c>
      <c r="Y1146" s="138">
        <f>IF(OR($L$247&lt;=0,$C$17&lt;=0,A1146&lt;$C$13,MIN(MAX((A1146-$C$13+1)*12,0),$C$17*12)&gt;=$C$17*12),0,IF($C$16=0,MAX(MAX($L$247*(1-$C$15),0)-(IF($C$17&lt;=0,0,IF($C$16=0,MAX($L$247*(1-$C$15),0)/$C$17,-PMT($C$16/12,$C$17*12,MAX($L$247*(1-$C$15),0))*12))/12)*MIN(MAX((A1146-$C$13+1)*12,0),$C$17*12),0),MAX(MAX($L$247*(1-$C$15),0)*(1+$C$16/12)^MIN(MAX((A1146-$C$13+1)*12,0),$C$17*12)-(IF($C$17&lt;=0,0,IF($C$16=0,MAX($L$247*(1-$C$15),0)/$C$17,-PMT($C$16/12,$C$17*12,MAX($L$247*(1-$C$15),0))*12))/12)*(((1+$C$16/12)^MIN(MAX((A1146-$C$13+1)*12,0),$C$17*12)-1)/($C$16/12)),0)))</f>
        <v/>
      </c>
      <c r="Z1146" s="138">
        <f>MAX(X1146-Y1146,0)</f>
        <v/>
      </c>
      <c r="AA1146" s="142">
        <f>U1146+Z1146</f>
        <v/>
      </c>
      <c r="AB1146" s="5" t="n"/>
      <c r="AC1146" s="5" t="n"/>
      <c r="AD1146" s="5" t="n"/>
      <c r="AE1146" s="5" t="n"/>
      <c r="AF1146" s="5" t="n"/>
      <c r="AG1146" s="5" t="n"/>
    </row>
    <row r="1147" outlineLevel="1" s="326">
      <c r="A1147" s="136" t="n">
        <v>11</v>
      </c>
      <c r="B1147" s="72">
        <f>B90</f>
        <v/>
      </c>
      <c r="C1147" s="137">
        <f>D90</f>
        <v/>
      </c>
      <c r="D1147" s="137">
        <f>I90</f>
        <v/>
      </c>
      <c r="E1147" s="137">
        <f>J90</f>
        <v/>
      </c>
      <c r="F1147" s="137">
        <f>K90</f>
        <v/>
      </c>
      <c r="G1147" s="138">
        <f>IF(AND($L$247&gt;0,A1147=$C$13),$L$247*($C$15+$C$18),0)+IF(AND($L$247&gt;0,A1147=$C$13),$C$24,0)</f>
        <v/>
      </c>
      <c r="H1147" s="138">
        <f>IF(OR($L$247&lt;=0,A1147&lt;$C$13),0,IF(AND($L$247&gt;0,$C$17&gt;0,A1147&gt;=$C$13,A1147&lt;($C$13+$C$17)),IF($C$17&lt;=0,0,IF($C$16=0,MAX($L$247*(1-$C$15),0)/$C$17,-PMT($C$16/12,$C$17*12,MAX($L$247*(1-$C$15),0))*12)),0)+X1147*($C$19+$C$20+$C$21)+$C$22+$C$23)</f>
        <v/>
      </c>
      <c r="I1147" s="138">
        <f>IF(B1147="Working",MIN(MAX(D1147-E1147-F1147-G1147-H1147,0),'Tax Assumptions'!$B$20),0)</f>
        <v/>
      </c>
      <c r="J1147" s="138">
        <f>IF(B1147="Working",D1147-E1147-F1147-I1147-G1147-H1147,-L1147)</f>
        <v/>
      </c>
      <c r="K1147" s="137">
        <f>IF(B1147="Retired",$N$247+G1147+H1147,0)</f>
        <v/>
      </c>
      <c r="L1147" s="137">
        <f>M1147+N1147+O1147+P1147</f>
        <v/>
      </c>
      <c r="M1147" s="137">
        <f>IF(B1147="Retired",MIN(((Q1146)*(1+$C$10)+IF(B1147="Working",J1147,0)),K1147),0)</f>
        <v/>
      </c>
      <c r="N1147" s="137">
        <f>IF(B1147="Retired",MIN(MAX(K1147-M1147,0),((R1146)*(1+$C$10)+IF(B1147="Working",E90,0))),0)</f>
        <v/>
      </c>
      <c r="O1147" s="137">
        <f>IF(B1147="Retired",MIN(MAX(K1147-M1147-N1147,0),((S1146)*(1+$C$10)+IF(B1147="Working",I1147,0))),0)</f>
        <v/>
      </c>
      <c r="P1147" s="137">
        <f>IF(B1147="Retired",MIN(MAX(K1147-M1147-N1147-O1147,0),((T1146)*(1+$C$10)+IF(B1147="Working",F90,0))),0)</f>
        <v/>
      </c>
      <c r="Q1147" s="138">
        <f>MAX(((Q1146)*(1+$C$10)+IF(B1147="Working",J1147,0))-M1147,0)</f>
        <v/>
      </c>
      <c r="R1147" s="138">
        <f>MAX(((R1146)*(1+$C$10)+IF(B1147="Working",E90,0))-N1147,0)</f>
        <v/>
      </c>
      <c r="S1147" s="138">
        <f>MAX(((S1146)*(1+$C$10)+IF(B1147="Working",I1147,0))-O1147,0)</f>
        <v/>
      </c>
      <c r="T1147" s="138">
        <f>MAX(((T1146)*(1+$C$10)+IF(B1147="Working",F90,0))-P1147,0)</f>
        <v/>
      </c>
      <c r="U1147" s="138">
        <f>Q1147+R1147+S1147+T1147</f>
        <v/>
      </c>
      <c r="V1147" s="138">
        <f>IF(B1147="Working",MAX(-(((Q1146)*(1+$C$10)+IF(B1147="Working",J1147,0))),0),MAX(K1147-L1147,0))</f>
        <v/>
      </c>
      <c r="W1147" s="138">
        <f>IF(OR(A1147&gt;=$C$13,B1147="Retired"),IF(V1147&gt;0,-V1147,U1147-'Model Inputs'!$B$18),"")</f>
        <v/>
      </c>
      <c r="X1147" s="138">
        <f>IF(AND($L$247&gt;0,A1147&gt;=$C$13),$L$247*(1+$C$25)^(A1147-$C$13),0)</f>
        <v/>
      </c>
      <c r="Y1147" s="138">
        <f>IF(OR($L$247&lt;=0,$C$17&lt;=0,A1147&lt;$C$13,MIN(MAX((A1147-$C$13+1)*12,0),$C$17*12)&gt;=$C$17*12),0,IF($C$16=0,MAX(MAX($L$247*(1-$C$15),0)-(IF($C$17&lt;=0,0,IF($C$16=0,MAX($L$247*(1-$C$15),0)/$C$17,-PMT($C$16/12,$C$17*12,MAX($L$247*(1-$C$15),0))*12))/12)*MIN(MAX((A1147-$C$13+1)*12,0),$C$17*12),0),MAX(MAX($L$247*(1-$C$15),0)*(1+$C$16/12)^MIN(MAX((A1147-$C$13+1)*12,0),$C$17*12)-(IF($C$17&lt;=0,0,IF($C$16=0,MAX($L$247*(1-$C$15),0)/$C$17,-PMT($C$16/12,$C$17*12,MAX($L$247*(1-$C$15),0))*12))/12)*(((1+$C$16/12)^MIN(MAX((A1147-$C$13+1)*12,0),$C$17*12)-1)/($C$16/12)),0)))</f>
        <v/>
      </c>
      <c r="Z1147" s="138">
        <f>MAX(X1147-Y1147,0)</f>
        <v/>
      </c>
      <c r="AA1147" s="139">
        <f>U1147+Z1147</f>
        <v/>
      </c>
      <c r="AB1147" s="5" t="n"/>
      <c r="AC1147" s="5" t="n"/>
      <c r="AD1147" s="5" t="n"/>
      <c r="AE1147" s="5" t="n"/>
      <c r="AF1147" s="5" t="n"/>
      <c r="AG1147" s="5" t="n"/>
    </row>
    <row r="1148" outlineLevel="1" s="326">
      <c r="A1148" s="140" t="n">
        <v>12</v>
      </c>
      <c r="B1148" s="40">
        <f>B91</f>
        <v/>
      </c>
      <c r="C1148" s="141">
        <f>D91</f>
        <v/>
      </c>
      <c r="D1148" s="141">
        <f>I91</f>
        <v/>
      </c>
      <c r="E1148" s="141">
        <f>J91</f>
        <v/>
      </c>
      <c r="F1148" s="141">
        <f>K91</f>
        <v/>
      </c>
      <c r="G1148" s="138">
        <f>IF(AND($L$247&gt;0,A1148=$C$13),$L$247*($C$15+$C$18),0)+IF(AND($L$247&gt;0,A1148=$C$13),$C$24,0)</f>
        <v/>
      </c>
      <c r="H1148" s="138">
        <f>IF(OR($L$247&lt;=0,A1148&lt;$C$13),0,IF(AND($L$247&gt;0,$C$17&gt;0,A1148&gt;=$C$13,A1148&lt;($C$13+$C$17)),IF($C$17&lt;=0,0,IF($C$16=0,MAX($L$247*(1-$C$15),0)/$C$17,-PMT($C$16/12,$C$17*12,MAX($L$247*(1-$C$15),0))*12)),0)+X1148*($C$19+$C$20+$C$21)+$C$22+$C$23)</f>
        <v/>
      </c>
      <c r="I1148" s="138">
        <f>IF(B1148="Working",MIN(MAX(D1148-E1148-F1148-G1148-H1148,0),'Tax Assumptions'!$B$20),0)</f>
        <v/>
      </c>
      <c r="J1148" s="138">
        <f>IF(B1148="Working",D1148-E1148-F1148-I1148-G1148-H1148,-L1148)</f>
        <v/>
      </c>
      <c r="K1148" s="141">
        <f>IF(B1148="Retired",$N$247+G1148+H1148,0)</f>
        <v/>
      </c>
      <c r="L1148" s="141">
        <f>M1148+N1148+O1148+P1148</f>
        <v/>
      </c>
      <c r="M1148" s="141">
        <f>IF(B1148="Retired",MIN(((Q1147)*(1+$C$10)+IF(B1148="Working",J1148,0)),K1148),0)</f>
        <v/>
      </c>
      <c r="N1148" s="141">
        <f>IF(B1148="Retired",MIN(MAX(K1148-M1148,0),((R1147)*(1+$C$10)+IF(B1148="Working",E91,0))),0)</f>
        <v/>
      </c>
      <c r="O1148" s="141">
        <f>IF(B1148="Retired",MIN(MAX(K1148-M1148-N1148,0),((S1147)*(1+$C$10)+IF(B1148="Working",I1148,0))),0)</f>
        <v/>
      </c>
      <c r="P1148" s="141">
        <f>IF(B1148="Retired",MIN(MAX(K1148-M1148-N1148-O1148,0),((T1147)*(1+$C$10)+IF(B1148="Working",F91,0))),0)</f>
        <v/>
      </c>
      <c r="Q1148" s="138">
        <f>MAX(((Q1147)*(1+$C$10)+IF(B1148="Working",J1148,0))-M1148,0)</f>
        <v/>
      </c>
      <c r="R1148" s="138">
        <f>MAX(((R1147)*(1+$C$10)+IF(B1148="Working",E91,0))-N1148,0)</f>
        <v/>
      </c>
      <c r="S1148" s="138">
        <f>MAX(((S1147)*(1+$C$10)+IF(B1148="Working",I1148,0))-O1148,0)</f>
        <v/>
      </c>
      <c r="T1148" s="138">
        <f>MAX(((T1147)*(1+$C$10)+IF(B1148="Working",F91,0))-P1148,0)</f>
        <v/>
      </c>
      <c r="U1148" s="138">
        <f>Q1148+R1148+S1148+T1148</f>
        <v/>
      </c>
      <c r="V1148" s="138">
        <f>IF(B1148="Working",MAX(-(((Q1147)*(1+$C$10)+IF(B1148="Working",J1148,0))),0),MAX(K1148-L1148,0))</f>
        <v/>
      </c>
      <c r="W1148" s="138">
        <f>IF(OR(A1148&gt;=$C$13,B1148="Retired"),IF(V1148&gt;0,-V1148,U1148-'Model Inputs'!$B$18),"")</f>
        <v/>
      </c>
      <c r="X1148" s="138">
        <f>IF(AND($L$247&gt;0,A1148&gt;=$C$13),$L$247*(1+$C$25)^(A1148-$C$13),0)</f>
        <v/>
      </c>
      <c r="Y1148" s="138">
        <f>IF(OR($L$247&lt;=0,$C$17&lt;=0,A1148&lt;$C$13,MIN(MAX((A1148-$C$13+1)*12,0),$C$17*12)&gt;=$C$17*12),0,IF($C$16=0,MAX(MAX($L$247*(1-$C$15),0)-(IF($C$17&lt;=0,0,IF($C$16=0,MAX($L$247*(1-$C$15),0)/$C$17,-PMT($C$16/12,$C$17*12,MAX($L$247*(1-$C$15),0))*12))/12)*MIN(MAX((A1148-$C$13+1)*12,0),$C$17*12),0),MAX(MAX($L$247*(1-$C$15),0)*(1+$C$16/12)^MIN(MAX((A1148-$C$13+1)*12,0),$C$17*12)-(IF($C$17&lt;=0,0,IF($C$16=0,MAX($L$247*(1-$C$15),0)/$C$17,-PMT($C$16/12,$C$17*12,MAX($L$247*(1-$C$15),0))*12))/12)*(((1+$C$16/12)^MIN(MAX((A1148-$C$13+1)*12,0),$C$17*12)-1)/($C$16/12)),0)))</f>
        <v/>
      </c>
      <c r="Z1148" s="138">
        <f>MAX(X1148-Y1148,0)</f>
        <v/>
      </c>
      <c r="AA1148" s="142">
        <f>U1148+Z1148</f>
        <v/>
      </c>
      <c r="AB1148" s="5" t="n"/>
      <c r="AC1148" s="5" t="n"/>
      <c r="AD1148" s="5" t="n"/>
      <c r="AE1148" s="5" t="n"/>
      <c r="AF1148" s="5" t="n"/>
      <c r="AG1148" s="5" t="n"/>
    </row>
    <row r="1149" outlineLevel="1" s="326">
      <c r="A1149" s="136" t="n">
        <v>13</v>
      </c>
      <c r="B1149" s="72">
        <f>B92</f>
        <v/>
      </c>
      <c r="C1149" s="137">
        <f>D92</f>
        <v/>
      </c>
      <c r="D1149" s="137">
        <f>I92</f>
        <v/>
      </c>
      <c r="E1149" s="137">
        <f>J92</f>
        <v/>
      </c>
      <c r="F1149" s="137">
        <f>K92</f>
        <v/>
      </c>
      <c r="G1149" s="138">
        <f>IF(AND($L$247&gt;0,A1149=$C$13),$L$247*($C$15+$C$18),0)+IF(AND($L$247&gt;0,A1149=$C$13),$C$24,0)</f>
        <v/>
      </c>
      <c r="H1149" s="138">
        <f>IF(OR($L$247&lt;=0,A1149&lt;$C$13),0,IF(AND($L$247&gt;0,$C$17&gt;0,A1149&gt;=$C$13,A1149&lt;($C$13+$C$17)),IF($C$17&lt;=0,0,IF($C$16=0,MAX($L$247*(1-$C$15),0)/$C$17,-PMT($C$16/12,$C$17*12,MAX($L$247*(1-$C$15),0))*12)),0)+X1149*($C$19+$C$20+$C$21)+$C$22+$C$23)</f>
        <v/>
      </c>
      <c r="I1149" s="138">
        <f>IF(B1149="Working",MIN(MAX(D1149-E1149-F1149-G1149-H1149,0),'Tax Assumptions'!$B$20),0)</f>
        <v/>
      </c>
      <c r="J1149" s="138">
        <f>IF(B1149="Working",D1149-E1149-F1149-I1149-G1149-H1149,-L1149)</f>
        <v/>
      </c>
      <c r="K1149" s="137">
        <f>IF(B1149="Retired",$N$247+G1149+H1149,0)</f>
        <v/>
      </c>
      <c r="L1149" s="137">
        <f>M1149+N1149+O1149+P1149</f>
        <v/>
      </c>
      <c r="M1149" s="137">
        <f>IF(B1149="Retired",MIN(((Q1148)*(1+$C$10)+IF(B1149="Working",J1149,0)),K1149),0)</f>
        <v/>
      </c>
      <c r="N1149" s="137">
        <f>IF(B1149="Retired",MIN(MAX(K1149-M1149,0),((R1148)*(1+$C$10)+IF(B1149="Working",E92,0))),0)</f>
        <v/>
      </c>
      <c r="O1149" s="137">
        <f>IF(B1149="Retired",MIN(MAX(K1149-M1149-N1149,0),((S1148)*(1+$C$10)+IF(B1149="Working",I1149,0))),0)</f>
        <v/>
      </c>
      <c r="P1149" s="137">
        <f>IF(B1149="Retired",MIN(MAX(K1149-M1149-N1149-O1149,0),((T1148)*(1+$C$10)+IF(B1149="Working",F92,0))),0)</f>
        <v/>
      </c>
      <c r="Q1149" s="138">
        <f>MAX(((Q1148)*(1+$C$10)+IF(B1149="Working",J1149,0))-M1149,0)</f>
        <v/>
      </c>
      <c r="R1149" s="138">
        <f>MAX(((R1148)*(1+$C$10)+IF(B1149="Working",E92,0))-N1149,0)</f>
        <v/>
      </c>
      <c r="S1149" s="138">
        <f>MAX(((S1148)*(1+$C$10)+IF(B1149="Working",I1149,0))-O1149,0)</f>
        <v/>
      </c>
      <c r="T1149" s="138">
        <f>MAX(((T1148)*(1+$C$10)+IF(B1149="Working",F92,0))-P1149,0)</f>
        <v/>
      </c>
      <c r="U1149" s="138">
        <f>Q1149+R1149+S1149+T1149</f>
        <v/>
      </c>
      <c r="V1149" s="138">
        <f>IF(B1149="Working",MAX(-(((Q1148)*(1+$C$10)+IF(B1149="Working",J1149,0))),0),MAX(K1149-L1149,0))</f>
        <v/>
      </c>
      <c r="W1149" s="138">
        <f>IF(OR(A1149&gt;=$C$13,B1149="Retired"),IF(V1149&gt;0,-V1149,U1149-'Model Inputs'!$B$18),"")</f>
        <v/>
      </c>
      <c r="X1149" s="138">
        <f>IF(AND($L$247&gt;0,A1149&gt;=$C$13),$L$247*(1+$C$25)^(A1149-$C$13),0)</f>
        <v/>
      </c>
      <c r="Y1149" s="138">
        <f>IF(OR($L$247&lt;=0,$C$17&lt;=0,A1149&lt;$C$13,MIN(MAX((A1149-$C$13+1)*12,0),$C$17*12)&gt;=$C$17*12),0,IF($C$16=0,MAX(MAX($L$247*(1-$C$15),0)-(IF($C$17&lt;=0,0,IF($C$16=0,MAX($L$247*(1-$C$15),0)/$C$17,-PMT($C$16/12,$C$17*12,MAX($L$247*(1-$C$15),0))*12))/12)*MIN(MAX((A1149-$C$13+1)*12,0),$C$17*12),0),MAX(MAX($L$247*(1-$C$15),0)*(1+$C$16/12)^MIN(MAX((A1149-$C$13+1)*12,0),$C$17*12)-(IF($C$17&lt;=0,0,IF($C$16=0,MAX($L$247*(1-$C$15),0)/$C$17,-PMT($C$16/12,$C$17*12,MAX($L$247*(1-$C$15),0))*12))/12)*(((1+$C$16/12)^MIN(MAX((A1149-$C$13+1)*12,0),$C$17*12)-1)/($C$16/12)),0)))</f>
        <v/>
      </c>
      <c r="Z1149" s="138">
        <f>MAX(X1149-Y1149,0)</f>
        <v/>
      </c>
      <c r="AA1149" s="139">
        <f>U1149+Z1149</f>
        <v/>
      </c>
      <c r="AB1149" s="5" t="n"/>
      <c r="AC1149" s="5" t="n"/>
      <c r="AD1149" s="5" t="n"/>
      <c r="AE1149" s="5" t="n"/>
      <c r="AF1149" s="5" t="n"/>
      <c r="AG1149" s="5" t="n"/>
    </row>
    <row r="1150" outlineLevel="1" s="326">
      <c r="A1150" s="140" t="n">
        <v>14</v>
      </c>
      <c r="B1150" s="40">
        <f>B93</f>
        <v/>
      </c>
      <c r="C1150" s="141">
        <f>D93</f>
        <v/>
      </c>
      <c r="D1150" s="141">
        <f>I93</f>
        <v/>
      </c>
      <c r="E1150" s="141">
        <f>J93</f>
        <v/>
      </c>
      <c r="F1150" s="141">
        <f>K93</f>
        <v/>
      </c>
      <c r="G1150" s="138">
        <f>IF(AND($L$247&gt;0,A1150=$C$13),$L$247*($C$15+$C$18),0)+IF(AND($L$247&gt;0,A1150=$C$13),$C$24,0)</f>
        <v/>
      </c>
      <c r="H1150" s="138">
        <f>IF(OR($L$247&lt;=0,A1150&lt;$C$13),0,IF(AND($L$247&gt;0,$C$17&gt;0,A1150&gt;=$C$13,A1150&lt;($C$13+$C$17)),IF($C$17&lt;=0,0,IF($C$16=0,MAX($L$247*(1-$C$15),0)/$C$17,-PMT($C$16/12,$C$17*12,MAX($L$247*(1-$C$15),0))*12)),0)+X1150*($C$19+$C$20+$C$21)+$C$22+$C$23)</f>
        <v/>
      </c>
      <c r="I1150" s="138">
        <f>IF(B1150="Working",MIN(MAX(D1150-E1150-F1150-G1150-H1150,0),'Tax Assumptions'!$B$20),0)</f>
        <v/>
      </c>
      <c r="J1150" s="138">
        <f>IF(B1150="Working",D1150-E1150-F1150-I1150-G1150-H1150,-L1150)</f>
        <v/>
      </c>
      <c r="K1150" s="141">
        <f>IF(B1150="Retired",$N$247+G1150+H1150,0)</f>
        <v/>
      </c>
      <c r="L1150" s="141">
        <f>M1150+N1150+O1150+P1150</f>
        <v/>
      </c>
      <c r="M1150" s="141">
        <f>IF(B1150="Retired",MIN(((Q1149)*(1+$C$10)+IF(B1150="Working",J1150,0)),K1150),0)</f>
        <v/>
      </c>
      <c r="N1150" s="141">
        <f>IF(B1150="Retired",MIN(MAX(K1150-M1150,0),((R1149)*(1+$C$10)+IF(B1150="Working",E93,0))),0)</f>
        <v/>
      </c>
      <c r="O1150" s="141">
        <f>IF(B1150="Retired",MIN(MAX(K1150-M1150-N1150,0),((S1149)*(1+$C$10)+IF(B1150="Working",I1150,0))),0)</f>
        <v/>
      </c>
      <c r="P1150" s="141">
        <f>IF(B1150="Retired",MIN(MAX(K1150-M1150-N1150-O1150,0),((T1149)*(1+$C$10)+IF(B1150="Working",F93,0))),0)</f>
        <v/>
      </c>
      <c r="Q1150" s="138">
        <f>MAX(((Q1149)*(1+$C$10)+IF(B1150="Working",J1150,0))-M1150,0)</f>
        <v/>
      </c>
      <c r="R1150" s="138">
        <f>MAX(((R1149)*(1+$C$10)+IF(B1150="Working",E93,0))-N1150,0)</f>
        <v/>
      </c>
      <c r="S1150" s="138">
        <f>MAX(((S1149)*(1+$C$10)+IF(B1150="Working",I1150,0))-O1150,0)</f>
        <v/>
      </c>
      <c r="T1150" s="138">
        <f>MAX(((T1149)*(1+$C$10)+IF(B1150="Working",F93,0))-P1150,0)</f>
        <v/>
      </c>
      <c r="U1150" s="138">
        <f>Q1150+R1150+S1150+T1150</f>
        <v/>
      </c>
      <c r="V1150" s="138">
        <f>IF(B1150="Working",MAX(-(((Q1149)*(1+$C$10)+IF(B1150="Working",J1150,0))),0),MAX(K1150-L1150,0))</f>
        <v/>
      </c>
      <c r="W1150" s="138">
        <f>IF(OR(A1150&gt;=$C$13,B1150="Retired"),IF(V1150&gt;0,-V1150,U1150-'Model Inputs'!$B$18),"")</f>
        <v/>
      </c>
      <c r="X1150" s="138">
        <f>IF(AND($L$247&gt;0,A1150&gt;=$C$13),$L$247*(1+$C$25)^(A1150-$C$13),0)</f>
        <v/>
      </c>
      <c r="Y1150" s="138">
        <f>IF(OR($L$247&lt;=0,$C$17&lt;=0,A1150&lt;$C$13,MIN(MAX((A1150-$C$13+1)*12,0),$C$17*12)&gt;=$C$17*12),0,IF($C$16=0,MAX(MAX($L$247*(1-$C$15),0)-(IF($C$17&lt;=0,0,IF($C$16=0,MAX($L$247*(1-$C$15),0)/$C$17,-PMT($C$16/12,$C$17*12,MAX($L$247*(1-$C$15),0))*12))/12)*MIN(MAX((A1150-$C$13+1)*12,0),$C$17*12),0),MAX(MAX($L$247*(1-$C$15),0)*(1+$C$16/12)^MIN(MAX((A1150-$C$13+1)*12,0),$C$17*12)-(IF($C$17&lt;=0,0,IF($C$16=0,MAX($L$247*(1-$C$15),0)/$C$17,-PMT($C$16/12,$C$17*12,MAX($L$247*(1-$C$15),0))*12))/12)*(((1+$C$16/12)^MIN(MAX((A1150-$C$13+1)*12,0),$C$17*12)-1)/($C$16/12)),0)))</f>
        <v/>
      </c>
      <c r="Z1150" s="138">
        <f>MAX(X1150-Y1150,0)</f>
        <v/>
      </c>
      <c r="AA1150" s="142">
        <f>U1150+Z1150</f>
        <v/>
      </c>
      <c r="AB1150" s="5" t="n"/>
      <c r="AC1150" s="5" t="n"/>
      <c r="AD1150" s="5" t="n"/>
      <c r="AE1150" s="5" t="n"/>
      <c r="AF1150" s="5" t="n"/>
      <c r="AG1150" s="5" t="n"/>
    </row>
    <row r="1151" outlineLevel="1" s="326">
      <c r="A1151" s="136" t="n">
        <v>15</v>
      </c>
      <c r="B1151" s="72">
        <f>B94</f>
        <v/>
      </c>
      <c r="C1151" s="137">
        <f>D94</f>
        <v/>
      </c>
      <c r="D1151" s="137">
        <f>I94</f>
        <v/>
      </c>
      <c r="E1151" s="137">
        <f>J94</f>
        <v/>
      </c>
      <c r="F1151" s="137">
        <f>K94</f>
        <v/>
      </c>
      <c r="G1151" s="138">
        <f>IF(AND($L$247&gt;0,A1151=$C$13),$L$247*($C$15+$C$18),0)+IF(AND($L$247&gt;0,A1151=$C$13),$C$24,0)</f>
        <v/>
      </c>
      <c r="H1151" s="138">
        <f>IF(OR($L$247&lt;=0,A1151&lt;$C$13),0,IF(AND($L$247&gt;0,$C$17&gt;0,A1151&gt;=$C$13,A1151&lt;($C$13+$C$17)),IF($C$17&lt;=0,0,IF($C$16=0,MAX($L$247*(1-$C$15),0)/$C$17,-PMT($C$16/12,$C$17*12,MAX($L$247*(1-$C$15),0))*12)),0)+X1151*($C$19+$C$20+$C$21)+$C$22+$C$23)</f>
        <v/>
      </c>
      <c r="I1151" s="138">
        <f>IF(B1151="Working",MIN(MAX(D1151-E1151-F1151-G1151-H1151,0),'Tax Assumptions'!$B$20),0)</f>
        <v/>
      </c>
      <c r="J1151" s="138">
        <f>IF(B1151="Working",D1151-E1151-F1151-I1151-G1151-H1151,-L1151)</f>
        <v/>
      </c>
      <c r="K1151" s="137">
        <f>IF(B1151="Retired",$N$247+G1151+H1151,0)</f>
        <v/>
      </c>
      <c r="L1151" s="137">
        <f>M1151+N1151+O1151+P1151</f>
        <v/>
      </c>
      <c r="M1151" s="137">
        <f>IF(B1151="Retired",MIN(((Q1150)*(1+$C$10)+IF(B1151="Working",J1151,0)),K1151),0)</f>
        <v/>
      </c>
      <c r="N1151" s="137">
        <f>IF(B1151="Retired",MIN(MAX(K1151-M1151,0),((R1150)*(1+$C$10)+IF(B1151="Working",E94,0))),0)</f>
        <v/>
      </c>
      <c r="O1151" s="137">
        <f>IF(B1151="Retired",MIN(MAX(K1151-M1151-N1151,0),((S1150)*(1+$C$10)+IF(B1151="Working",I1151,0))),0)</f>
        <v/>
      </c>
      <c r="P1151" s="137">
        <f>IF(B1151="Retired",MIN(MAX(K1151-M1151-N1151-O1151,0),((T1150)*(1+$C$10)+IF(B1151="Working",F94,0))),0)</f>
        <v/>
      </c>
      <c r="Q1151" s="138">
        <f>MAX(((Q1150)*(1+$C$10)+IF(B1151="Working",J1151,0))-M1151,0)</f>
        <v/>
      </c>
      <c r="R1151" s="138">
        <f>MAX(((R1150)*(1+$C$10)+IF(B1151="Working",E94,0))-N1151,0)</f>
        <v/>
      </c>
      <c r="S1151" s="138">
        <f>MAX(((S1150)*(1+$C$10)+IF(B1151="Working",I1151,0))-O1151,0)</f>
        <v/>
      </c>
      <c r="T1151" s="138">
        <f>MAX(((T1150)*(1+$C$10)+IF(B1151="Working",F94,0))-P1151,0)</f>
        <v/>
      </c>
      <c r="U1151" s="138">
        <f>Q1151+R1151+S1151+T1151</f>
        <v/>
      </c>
      <c r="V1151" s="138">
        <f>IF(B1151="Working",MAX(-(((Q1150)*(1+$C$10)+IF(B1151="Working",J1151,0))),0),MAX(K1151-L1151,0))</f>
        <v/>
      </c>
      <c r="W1151" s="138">
        <f>IF(OR(A1151&gt;=$C$13,B1151="Retired"),IF(V1151&gt;0,-V1151,U1151-'Model Inputs'!$B$18),"")</f>
        <v/>
      </c>
      <c r="X1151" s="138">
        <f>IF(AND($L$247&gt;0,A1151&gt;=$C$13),$L$247*(1+$C$25)^(A1151-$C$13),0)</f>
        <v/>
      </c>
      <c r="Y1151" s="138">
        <f>IF(OR($L$247&lt;=0,$C$17&lt;=0,A1151&lt;$C$13,MIN(MAX((A1151-$C$13+1)*12,0),$C$17*12)&gt;=$C$17*12),0,IF($C$16=0,MAX(MAX($L$247*(1-$C$15),0)-(IF($C$17&lt;=0,0,IF($C$16=0,MAX($L$247*(1-$C$15),0)/$C$17,-PMT($C$16/12,$C$17*12,MAX($L$247*(1-$C$15),0))*12))/12)*MIN(MAX((A1151-$C$13+1)*12,0),$C$17*12),0),MAX(MAX($L$247*(1-$C$15),0)*(1+$C$16/12)^MIN(MAX((A1151-$C$13+1)*12,0),$C$17*12)-(IF($C$17&lt;=0,0,IF($C$16=0,MAX($L$247*(1-$C$15),0)/$C$17,-PMT($C$16/12,$C$17*12,MAX($L$247*(1-$C$15),0))*12))/12)*(((1+$C$16/12)^MIN(MAX((A1151-$C$13+1)*12,0),$C$17*12)-1)/($C$16/12)),0)))</f>
        <v/>
      </c>
      <c r="Z1151" s="138">
        <f>MAX(X1151-Y1151,0)</f>
        <v/>
      </c>
      <c r="AA1151" s="139">
        <f>U1151+Z1151</f>
        <v/>
      </c>
      <c r="AB1151" s="5" t="n"/>
      <c r="AC1151" s="5" t="n"/>
      <c r="AD1151" s="5" t="n"/>
      <c r="AE1151" s="5" t="n"/>
      <c r="AF1151" s="5" t="n"/>
      <c r="AG1151" s="5" t="n"/>
    </row>
    <row r="1152" outlineLevel="1" s="326">
      <c r="A1152" s="140" t="n">
        <v>16</v>
      </c>
      <c r="B1152" s="40">
        <f>B95</f>
        <v/>
      </c>
      <c r="C1152" s="141">
        <f>D95</f>
        <v/>
      </c>
      <c r="D1152" s="141">
        <f>I95</f>
        <v/>
      </c>
      <c r="E1152" s="141">
        <f>J95</f>
        <v/>
      </c>
      <c r="F1152" s="141">
        <f>K95</f>
        <v/>
      </c>
      <c r="G1152" s="138">
        <f>IF(AND($L$247&gt;0,A1152=$C$13),$L$247*($C$15+$C$18),0)+IF(AND($L$247&gt;0,A1152=$C$13),$C$24,0)</f>
        <v/>
      </c>
      <c r="H1152" s="138">
        <f>IF(OR($L$247&lt;=0,A1152&lt;$C$13),0,IF(AND($L$247&gt;0,$C$17&gt;0,A1152&gt;=$C$13,A1152&lt;($C$13+$C$17)),IF($C$17&lt;=0,0,IF($C$16=0,MAX($L$247*(1-$C$15),0)/$C$17,-PMT($C$16/12,$C$17*12,MAX($L$247*(1-$C$15),0))*12)),0)+X1152*($C$19+$C$20+$C$21)+$C$22+$C$23)</f>
        <v/>
      </c>
      <c r="I1152" s="138">
        <f>IF(B1152="Working",MIN(MAX(D1152-E1152-F1152-G1152-H1152,0),'Tax Assumptions'!$B$20),0)</f>
        <v/>
      </c>
      <c r="J1152" s="138">
        <f>IF(B1152="Working",D1152-E1152-F1152-I1152-G1152-H1152,-L1152)</f>
        <v/>
      </c>
      <c r="K1152" s="141">
        <f>IF(B1152="Retired",$N$247+G1152+H1152,0)</f>
        <v/>
      </c>
      <c r="L1152" s="141">
        <f>M1152+N1152+O1152+P1152</f>
        <v/>
      </c>
      <c r="M1152" s="141">
        <f>IF(B1152="Retired",MIN(((Q1151)*(1+$C$10)+IF(B1152="Working",J1152,0)),K1152),0)</f>
        <v/>
      </c>
      <c r="N1152" s="141">
        <f>IF(B1152="Retired",MIN(MAX(K1152-M1152,0),((R1151)*(1+$C$10)+IF(B1152="Working",E95,0))),0)</f>
        <v/>
      </c>
      <c r="O1152" s="141">
        <f>IF(B1152="Retired",MIN(MAX(K1152-M1152-N1152,0),((S1151)*(1+$C$10)+IF(B1152="Working",I1152,0))),0)</f>
        <v/>
      </c>
      <c r="P1152" s="141">
        <f>IF(B1152="Retired",MIN(MAX(K1152-M1152-N1152-O1152,0),((T1151)*(1+$C$10)+IF(B1152="Working",F95,0))),0)</f>
        <v/>
      </c>
      <c r="Q1152" s="138">
        <f>MAX(((Q1151)*(1+$C$10)+IF(B1152="Working",J1152,0))-M1152,0)</f>
        <v/>
      </c>
      <c r="R1152" s="138">
        <f>MAX(((R1151)*(1+$C$10)+IF(B1152="Working",E95,0))-N1152,0)</f>
        <v/>
      </c>
      <c r="S1152" s="138">
        <f>MAX(((S1151)*(1+$C$10)+IF(B1152="Working",I1152,0))-O1152,0)</f>
        <v/>
      </c>
      <c r="T1152" s="138">
        <f>MAX(((T1151)*(1+$C$10)+IF(B1152="Working",F95,0))-P1152,0)</f>
        <v/>
      </c>
      <c r="U1152" s="138">
        <f>Q1152+R1152+S1152+T1152</f>
        <v/>
      </c>
      <c r="V1152" s="138">
        <f>IF(B1152="Working",MAX(-(((Q1151)*(1+$C$10)+IF(B1152="Working",J1152,0))),0),MAX(K1152-L1152,0))</f>
        <v/>
      </c>
      <c r="W1152" s="138">
        <f>IF(OR(A1152&gt;=$C$13,B1152="Retired"),IF(V1152&gt;0,-V1152,U1152-'Model Inputs'!$B$18),"")</f>
        <v/>
      </c>
      <c r="X1152" s="138">
        <f>IF(AND($L$247&gt;0,A1152&gt;=$C$13),$L$247*(1+$C$25)^(A1152-$C$13),0)</f>
        <v/>
      </c>
      <c r="Y1152" s="138">
        <f>IF(OR($L$247&lt;=0,$C$17&lt;=0,A1152&lt;$C$13,MIN(MAX((A1152-$C$13+1)*12,0),$C$17*12)&gt;=$C$17*12),0,IF($C$16=0,MAX(MAX($L$247*(1-$C$15),0)-(IF($C$17&lt;=0,0,IF($C$16=0,MAX($L$247*(1-$C$15),0)/$C$17,-PMT($C$16/12,$C$17*12,MAX($L$247*(1-$C$15),0))*12))/12)*MIN(MAX((A1152-$C$13+1)*12,0),$C$17*12),0),MAX(MAX($L$247*(1-$C$15),0)*(1+$C$16/12)^MIN(MAX((A1152-$C$13+1)*12,0),$C$17*12)-(IF($C$17&lt;=0,0,IF($C$16=0,MAX($L$247*(1-$C$15),0)/$C$17,-PMT($C$16/12,$C$17*12,MAX($L$247*(1-$C$15),0))*12))/12)*(((1+$C$16/12)^MIN(MAX((A1152-$C$13+1)*12,0),$C$17*12)-1)/($C$16/12)),0)))</f>
        <v/>
      </c>
      <c r="Z1152" s="138">
        <f>MAX(X1152-Y1152,0)</f>
        <v/>
      </c>
      <c r="AA1152" s="142">
        <f>U1152+Z1152</f>
        <v/>
      </c>
      <c r="AB1152" s="5" t="n"/>
      <c r="AC1152" s="5" t="n"/>
      <c r="AD1152" s="5" t="n"/>
      <c r="AE1152" s="5" t="n"/>
      <c r="AF1152" s="5" t="n"/>
      <c r="AG1152" s="5" t="n"/>
    </row>
    <row r="1153" outlineLevel="1" s="326">
      <c r="A1153" s="136" t="n">
        <v>17</v>
      </c>
      <c r="B1153" s="72">
        <f>B96</f>
        <v/>
      </c>
      <c r="C1153" s="137">
        <f>D96</f>
        <v/>
      </c>
      <c r="D1153" s="137">
        <f>I96</f>
        <v/>
      </c>
      <c r="E1153" s="137">
        <f>J96</f>
        <v/>
      </c>
      <c r="F1153" s="137">
        <f>K96</f>
        <v/>
      </c>
      <c r="G1153" s="138">
        <f>IF(AND($L$247&gt;0,A1153=$C$13),$L$247*($C$15+$C$18),0)+IF(AND($L$247&gt;0,A1153=$C$13),$C$24,0)</f>
        <v/>
      </c>
      <c r="H1153" s="138">
        <f>IF(OR($L$247&lt;=0,A1153&lt;$C$13),0,IF(AND($L$247&gt;0,$C$17&gt;0,A1153&gt;=$C$13,A1153&lt;($C$13+$C$17)),IF($C$17&lt;=0,0,IF($C$16=0,MAX($L$247*(1-$C$15),0)/$C$17,-PMT($C$16/12,$C$17*12,MAX($L$247*(1-$C$15),0))*12)),0)+X1153*($C$19+$C$20+$C$21)+$C$22+$C$23)</f>
        <v/>
      </c>
      <c r="I1153" s="138">
        <f>IF(B1153="Working",MIN(MAX(D1153-E1153-F1153-G1153-H1153,0),'Tax Assumptions'!$B$20),0)</f>
        <v/>
      </c>
      <c r="J1153" s="138">
        <f>IF(B1153="Working",D1153-E1153-F1153-I1153-G1153-H1153,-L1153)</f>
        <v/>
      </c>
      <c r="K1153" s="137">
        <f>IF(B1153="Retired",$N$247+G1153+H1153,0)</f>
        <v/>
      </c>
      <c r="L1153" s="137">
        <f>M1153+N1153+O1153+P1153</f>
        <v/>
      </c>
      <c r="M1153" s="137">
        <f>IF(B1153="Retired",MIN(((Q1152)*(1+$C$10)+IF(B1153="Working",J1153,0)),K1153),0)</f>
        <v/>
      </c>
      <c r="N1153" s="137">
        <f>IF(B1153="Retired",MIN(MAX(K1153-M1153,0),((R1152)*(1+$C$10)+IF(B1153="Working",E96,0))),0)</f>
        <v/>
      </c>
      <c r="O1153" s="137">
        <f>IF(B1153="Retired",MIN(MAX(K1153-M1153-N1153,0),((S1152)*(1+$C$10)+IF(B1153="Working",I1153,0))),0)</f>
        <v/>
      </c>
      <c r="P1153" s="137">
        <f>IF(B1153="Retired",MIN(MAX(K1153-M1153-N1153-O1153,0),((T1152)*(1+$C$10)+IF(B1153="Working",F96,0))),0)</f>
        <v/>
      </c>
      <c r="Q1153" s="138">
        <f>MAX(((Q1152)*(1+$C$10)+IF(B1153="Working",J1153,0))-M1153,0)</f>
        <v/>
      </c>
      <c r="R1153" s="138">
        <f>MAX(((R1152)*(1+$C$10)+IF(B1153="Working",E96,0))-N1153,0)</f>
        <v/>
      </c>
      <c r="S1153" s="138">
        <f>MAX(((S1152)*(1+$C$10)+IF(B1153="Working",I1153,0))-O1153,0)</f>
        <v/>
      </c>
      <c r="T1153" s="138">
        <f>MAX(((T1152)*(1+$C$10)+IF(B1153="Working",F96,0))-P1153,0)</f>
        <v/>
      </c>
      <c r="U1153" s="138">
        <f>Q1153+R1153+S1153+T1153</f>
        <v/>
      </c>
      <c r="V1153" s="138">
        <f>IF(B1153="Working",MAX(-(((Q1152)*(1+$C$10)+IF(B1153="Working",J1153,0))),0),MAX(K1153-L1153,0))</f>
        <v/>
      </c>
      <c r="W1153" s="138">
        <f>IF(OR(A1153&gt;=$C$13,B1153="Retired"),IF(V1153&gt;0,-V1153,U1153-'Model Inputs'!$B$18),"")</f>
        <v/>
      </c>
      <c r="X1153" s="138">
        <f>IF(AND($L$247&gt;0,A1153&gt;=$C$13),$L$247*(1+$C$25)^(A1153-$C$13),0)</f>
        <v/>
      </c>
      <c r="Y1153" s="138">
        <f>IF(OR($L$247&lt;=0,$C$17&lt;=0,A1153&lt;$C$13,MIN(MAX((A1153-$C$13+1)*12,0),$C$17*12)&gt;=$C$17*12),0,IF($C$16=0,MAX(MAX($L$247*(1-$C$15),0)-(IF($C$17&lt;=0,0,IF($C$16=0,MAX($L$247*(1-$C$15),0)/$C$17,-PMT($C$16/12,$C$17*12,MAX($L$247*(1-$C$15),0))*12))/12)*MIN(MAX((A1153-$C$13+1)*12,0),$C$17*12),0),MAX(MAX($L$247*(1-$C$15),0)*(1+$C$16/12)^MIN(MAX((A1153-$C$13+1)*12,0),$C$17*12)-(IF($C$17&lt;=0,0,IF($C$16=0,MAX($L$247*(1-$C$15),0)/$C$17,-PMT($C$16/12,$C$17*12,MAX($L$247*(1-$C$15),0))*12))/12)*(((1+$C$16/12)^MIN(MAX((A1153-$C$13+1)*12,0),$C$17*12)-1)/($C$16/12)),0)))</f>
        <v/>
      </c>
      <c r="Z1153" s="138">
        <f>MAX(X1153-Y1153,0)</f>
        <v/>
      </c>
      <c r="AA1153" s="139">
        <f>U1153+Z1153</f>
        <v/>
      </c>
      <c r="AB1153" s="5" t="n"/>
      <c r="AC1153" s="5" t="n"/>
      <c r="AD1153" s="5" t="n"/>
      <c r="AE1153" s="5" t="n"/>
      <c r="AF1153" s="5" t="n"/>
      <c r="AG1153" s="5" t="n"/>
    </row>
    <row r="1154" outlineLevel="1" s="326">
      <c r="A1154" s="140" t="n">
        <v>18</v>
      </c>
      <c r="B1154" s="40">
        <f>B97</f>
        <v/>
      </c>
      <c r="C1154" s="141">
        <f>D97</f>
        <v/>
      </c>
      <c r="D1154" s="141">
        <f>I97</f>
        <v/>
      </c>
      <c r="E1154" s="141">
        <f>J97</f>
        <v/>
      </c>
      <c r="F1154" s="141">
        <f>K97</f>
        <v/>
      </c>
      <c r="G1154" s="138">
        <f>IF(AND($L$247&gt;0,A1154=$C$13),$L$247*($C$15+$C$18),0)+IF(AND($L$247&gt;0,A1154=$C$13),$C$24,0)</f>
        <v/>
      </c>
      <c r="H1154" s="138">
        <f>IF(OR($L$247&lt;=0,A1154&lt;$C$13),0,IF(AND($L$247&gt;0,$C$17&gt;0,A1154&gt;=$C$13,A1154&lt;($C$13+$C$17)),IF($C$17&lt;=0,0,IF($C$16=0,MAX($L$247*(1-$C$15),0)/$C$17,-PMT($C$16/12,$C$17*12,MAX($L$247*(1-$C$15),0))*12)),0)+X1154*($C$19+$C$20+$C$21)+$C$22+$C$23)</f>
        <v/>
      </c>
      <c r="I1154" s="138">
        <f>IF(B1154="Working",MIN(MAX(D1154-E1154-F1154-G1154-H1154,0),'Tax Assumptions'!$B$20),0)</f>
        <v/>
      </c>
      <c r="J1154" s="138">
        <f>IF(B1154="Working",D1154-E1154-F1154-I1154-G1154-H1154,-L1154)</f>
        <v/>
      </c>
      <c r="K1154" s="141">
        <f>IF(B1154="Retired",$N$247+G1154+H1154,0)</f>
        <v/>
      </c>
      <c r="L1154" s="141">
        <f>M1154+N1154+O1154+P1154</f>
        <v/>
      </c>
      <c r="M1154" s="141">
        <f>IF(B1154="Retired",MIN(((Q1153)*(1+$C$10)+IF(B1154="Working",J1154,0)),K1154),0)</f>
        <v/>
      </c>
      <c r="N1154" s="141">
        <f>IF(B1154="Retired",MIN(MAX(K1154-M1154,0),((R1153)*(1+$C$10)+IF(B1154="Working",E97,0))),0)</f>
        <v/>
      </c>
      <c r="O1154" s="141">
        <f>IF(B1154="Retired",MIN(MAX(K1154-M1154-N1154,0),((S1153)*(1+$C$10)+IF(B1154="Working",I1154,0))),0)</f>
        <v/>
      </c>
      <c r="P1154" s="141">
        <f>IF(B1154="Retired",MIN(MAX(K1154-M1154-N1154-O1154,0),((T1153)*(1+$C$10)+IF(B1154="Working",F97,0))),0)</f>
        <v/>
      </c>
      <c r="Q1154" s="138">
        <f>MAX(((Q1153)*(1+$C$10)+IF(B1154="Working",J1154,0))-M1154,0)</f>
        <v/>
      </c>
      <c r="R1154" s="138">
        <f>MAX(((R1153)*(1+$C$10)+IF(B1154="Working",E97,0))-N1154,0)</f>
        <v/>
      </c>
      <c r="S1154" s="138">
        <f>MAX(((S1153)*(1+$C$10)+IF(B1154="Working",I1154,0))-O1154,0)</f>
        <v/>
      </c>
      <c r="T1154" s="138">
        <f>MAX(((T1153)*(1+$C$10)+IF(B1154="Working",F97,0))-P1154,0)</f>
        <v/>
      </c>
      <c r="U1154" s="138">
        <f>Q1154+R1154+S1154+T1154</f>
        <v/>
      </c>
      <c r="V1154" s="138">
        <f>IF(B1154="Working",MAX(-(((Q1153)*(1+$C$10)+IF(B1154="Working",J1154,0))),0),MAX(K1154-L1154,0))</f>
        <v/>
      </c>
      <c r="W1154" s="138">
        <f>IF(OR(A1154&gt;=$C$13,B1154="Retired"),IF(V1154&gt;0,-V1154,U1154-'Model Inputs'!$B$18),"")</f>
        <v/>
      </c>
      <c r="X1154" s="138">
        <f>IF(AND($L$247&gt;0,A1154&gt;=$C$13),$L$247*(1+$C$25)^(A1154-$C$13),0)</f>
        <v/>
      </c>
      <c r="Y1154" s="138">
        <f>IF(OR($L$247&lt;=0,$C$17&lt;=0,A1154&lt;$C$13,MIN(MAX((A1154-$C$13+1)*12,0),$C$17*12)&gt;=$C$17*12),0,IF($C$16=0,MAX(MAX($L$247*(1-$C$15),0)-(IF($C$17&lt;=0,0,IF($C$16=0,MAX($L$247*(1-$C$15),0)/$C$17,-PMT($C$16/12,$C$17*12,MAX($L$247*(1-$C$15),0))*12))/12)*MIN(MAX((A1154-$C$13+1)*12,0),$C$17*12),0),MAX(MAX($L$247*(1-$C$15),0)*(1+$C$16/12)^MIN(MAX((A1154-$C$13+1)*12,0),$C$17*12)-(IF($C$17&lt;=0,0,IF($C$16=0,MAX($L$247*(1-$C$15),0)/$C$17,-PMT($C$16/12,$C$17*12,MAX($L$247*(1-$C$15),0))*12))/12)*(((1+$C$16/12)^MIN(MAX((A1154-$C$13+1)*12,0),$C$17*12)-1)/($C$16/12)),0)))</f>
        <v/>
      </c>
      <c r="Z1154" s="138">
        <f>MAX(X1154-Y1154,0)</f>
        <v/>
      </c>
      <c r="AA1154" s="142">
        <f>U1154+Z1154</f>
        <v/>
      </c>
      <c r="AB1154" s="5" t="n"/>
      <c r="AC1154" s="5" t="n"/>
      <c r="AD1154" s="5" t="n"/>
      <c r="AE1154" s="5" t="n"/>
      <c r="AF1154" s="5" t="n"/>
      <c r="AG1154" s="5" t="n"/>
    </row>
    <row r="1155" outlineLevel="1" s="326">
      <c r="A1155" s="136" t="n">
        <v>19</v>
      </c>
      <c r="B1155" s="72">
        <f>B98</f>
        <v/>
      </c>
      <c r="C1155" s="137">
        <f>D98</f>
        <v/>
      </c>
      <c r="D1155" s="137">
        <f>I98</f>
        <v/>
      </c>
      <c r="E1155" s="137">
        <f>J98</f>
        <v/>
      </c>
      <c r="F1155" s="137">
        <f>K98</f>
        <v/>
      </c>
      <c r="G1155" s="138">
        <f>IF(AND($L$247&gt;0,A1155=$C$13),$L$247*($C$15+$C$18),0)+IF(AND($L$247&gt;0,A1155=$C$13),$C$24,0)</f>
        <v/>
      </c>
      <c r="H1155" s="138">
        <f>IF(OR($L$247&lt;=0,A1155&lt;$C$13),0,IF(AND($L$247&gt;0,$C$17&gt;0,A1155&gt;=$C$13,A1155&lt;($C$13+$C$17)),IF($C$17&lt;=0,0,IF($C$16=0,MAX($L$247*(1-$C$15),0)/$C$17,-PMT($C$16/12,$C$17*12,MAX($L$247*(1-$C$15),0))*12)),0)+X1155*($C$19+$C$20+$C$21)+$C$22+$C$23)</f>
        <v/>
      </c>
      <c r="I1155" s="138">
        <f>IF(B1155="Working",MIN(MAX(D1155-E1155-F1155-G1155-H1155,0),'Tax Assumptions'!$B$20),0)</f>
        <v/>
      </c>
      <c r="J1155" s="138">
        <f>IF(B1155="Working",D1155-E1155-F1155-I1155-G1155-H1155,-L1155)</f>
        <v/>
      </c>
      <c r="K1155" s="137">
        <f>IF(B1155="Retired",$N$247+G1155+H1155,0)</f>
        <v/>
      </c>
      <c r="L1155" s="137">
        <f>M1155+N1155+O1155+P1155</f>
        <v/>
      </c>
      <c r="M1155" s="137">
        <f>IF(B1155="Retired",MIN(((Q1154)*(1+$C$10)+IF(B1155="Working",J1155,0)),K1155),0)</f>
        <v/>
      </c>
      <c r="N1155" s="137">
        <f>IF(B1155="Retired",MIN(MAX(K1155-M1155,0),((R1154)*(1+$C$10)+IF(B1155="Working",E98,0))),0)</f>
        <v/>
      </c>
      <c r="O1155" s="137">
        <f>IF(B1155="Retired",MIN(MAX(K1155-M1155-N1155,0),((S1154)*(1+$C$10)+IF(B1155="Working",I1155,0))),0)</f>
        <v/>
      </c>
      <c r="P1155" s="137">
        <f>IF(B1155="Retired",MIN(MAX(K1155-M1155-N1155-O1155,0),((T1154)*(1+$C$10)+IF(B1155="Working",F98,0))),0)</f>
        <v/>
      </c>
      <c r="Q1155" s="138">
        <f>MAX(((Q1154)*(1+$C$10)+IF(B1155="Working",J1155,0))-M1155,0)</f>
        <v/>
      </c>
      <c r="R1155" s="138">
        <f>MAX(((R1154)*(1+$C$10)+IF(B1155="Working",E98,0))-N1155,0)</f>
        <v/>
      </c>
      <c r="S1155" s="138">
        <f>MAX(((S1154)*(1+$C$10)+IF(B1155="Working",I1155,0))-O1155,0)</f>
        <v/>
      </c>
      <c r="T1155" s="138">
        <f>MAX(((T1154)*(1+$C$10)+IF(B1155="Working",F98,0))-P1155,0)</f>
        <v/>
      </c>
      <c r="U1155" s="138">
        <f>Q1155+R1155+S1155+T1155</f>
        <v/>
      </c>
      <c r="V1155" s="138">
        <f>IF(B1155="Working",MAX(-(((Q1154)*(1+$C$10)+IF(B1155="Working",J1155,0))),0),MAX(K1155-L1155,0))</f>
        <v/>
      </c>
      <c r="W1155" s="138">
        <f>IF(OR(A1155&gt;=$C$13,B1155="Retired"),IF(V1155&gt;0,-V1155,U1155-'Model Inputs'!$B$18),"")</f>
        <v/>
      </c>
      <c r="X1155" s="138">
        <f>IF(AND($L$247&gt;0,A1155&gt;=$C$13),$L$247*(1+$C$25)^(A1155-$C$13),0)</f>
        <v/>
      </c>
      <c r="Y1155" s="138">
        <f>IF(OR($L$247&lt;=0,$C$17&lt;=0,A1155&lt;$C$13,MIN(MAX((A1155-$C$13+1)*12,0),$C$17*12)&gt;=$C$17*12),0,IF($C$16=0,MAX(MAX($L$247*(1-$C$15),0)-(IF($C$17&lt;=0,0,IF($C$16=0,MAX($L$247*(1-$C$15),0)/$C$17,-PMT($C$16/12,$C$17*12,MAX($L$247*(1-$C$15),0))*12))/12)*MIN(MAX((A1155-$C$13+1)*12,0),$C$17*12),0),MAX(MAX($L$247*(1-$C$15),0)*(1+$C$16/12)^MIN(MAX((A1155-$C$13+1)*12,0),$C$17*12)-(IF($C$17&lt;=0,0,IF($C$16=0,MAX($L$247*(1-$C$15),0)/$C$17,-PMT($C$16/12,$C$17*12,MAX($L$247*(1-$C$15),0))*12))/12)*(((1+$C$16/12)^MIN(MAX((A1155-$C$13+1)*12,0),$C$17*12)-1)/($C$16/12)),0)))</f>
        <v/>
      </c>
      <c r="Z1155" s="138">
        <f>MAX(X1155-Y1155,0)</f>
        <v/>
      </c>
      <c r="AA1155" s="139">
        <f>U1155+Z1155</f>
        <v/>
      </c>
      <c r="AB1155" s="5" t="n"/>
      <c r="AC1155" s="5" t="n"/>
      <c r="AD1155" s="5" t="n"/>
      <c r="AE1155" s="5" t="n"/>
      <c r="AF1155" s="5" t="n"/>
      <c r="AG1155" s="5" t="n"/>
    </row>
    <row r="1156" outlineLevel="1" s="326">
      <c r="A1156" s="140" t="n">
        <v>20</v>
      </c>
      <c r="B1156" s="40">
        <f>B99</f>
        <v/>
      </c>
      <c r="C1156" s="141">
        <f>D99</f>
        <v/>
      </c>
      <c r="D1156" s="141">
        <f>I99</f>
        <v/>
      </c>
      <c r="E1156" s="141">
        <f>J99</f>
        <v/>
      </c>
      <c r="F1156" s="141">
        <f>K99</f>
        <v/>
      </c>
      <c r="G1156" s="138">
        <f>IF(AND($L$247&gt;0,A1156=$C$13),$L$247*($C$15+$C$18),0)+IF(AND($L$247&gt;0,A1156=$C$13),$C$24,0)</f>
        <v/>
      </c>
      <c r="H1156" s="138">
        <f>IF(OR($L$247&lt;=0,A1156&lt;$C$13),0,IF(AND($L$247&gt;0,$C$17&gt;0,A1156&gt;=$C$13,A1156&lt;($C$13+$C$17)),IF($C$17&lt;=0,0,IF($C$16=0,MAX($L$247*(1-$C$15),0)/$C$17,-PMT($C$16/12,$C$17*12,MAX($L$247*(1-$C$15),0))*12)),0)+X1156*($C$19+$C$20+$C$21)+$C$22+$C$23)</f>
        <v/>
      </c>
      <c r="I1156" s="138">
        <f>IF(B1156="Working",MIN(MAX(D1156-E1156-F1156-G1156-H1156,0),'Tax Assumptions'!$B$20),0)</f>
        <v/>
      </c>
      <c r="J1156" s="138">
        <f>IF(B1156="Working",D1156-E1156-F1156-I1156-G1156-H1156,-L1156)</f>
        <v/>
      </c>
      <c r="K1156" s="141">
        <f>IF(B1156="Retired",$N$247+G1156+H1156,0)</f>
        <v/>
      </c>
      <c r="L1156" s="141">
        <f>M1156+N1156+O1156+P1156</f>
        <v/>
      </c>
      <c r="M1156" s="141">
        <f>IF(B1156="Retired",MIN(((Q1155)*(1+$C$10)+IF(B1156="Working",J1156,0)),K1156),0)</f>
        <v/>
      </c>
      <c r="N1156" s="141">
        <f>IF(B1156="Retired",MIN(MAX(K1156-M1156,0),((R1155)*(1+$C$10)+IF(B1156="Working",E99,0))),0)</f>
        <v/>
      </c>
      <c r="O1156" s="141">
        <f>IF(B1156="Retired",MIN(MAX(K1156-M1156-N1156,0),((S1155)*(1+$C$10)+IF(B1156="Working",I1156,0))),0)</f>
        <v/>
      </c>
      <c r="P1156" s="141">
        <f>IF(B1156="Retired",MIN(MAX(K1156-M1156-N1156-O1156,0),((T1155)*(1+$C$10)+IF(B1156="Working",F99,0))),0)</f>
        <v/>
      </c>
      <c r="Q1156" s="138">
        <f>MAX(((Q1155)*(1+$C$10)+IF(B1156="Working",J1156,0))-M1156,0)</f>
        <v/>
      </c>
      <c r="R1156" s="138">
        <f>MAX(((R1155)*(1+$C$10)+IF(B1156="Working",E99,0))-N1156,0)</f>
        <v/>
      </c>
      <c r="S1156" s="138">
        <f>MAX(((S1155)*(1+$C$10)+IF(B1156="Working",I1156,0))-O1156,0)</f>
        <v/>
      </c>
      <c r="T1156" s="138">
        <f>MAX(((T1155)*(1+$C$10)+IF(B1156="Working",F99,0))-P1156,0)</f>
        <v/>
      </c>
      <c r="U1156" s="138">
        <f>Q1156+R1156+S1156+T1156</f>
        <v/>
      </c>
      <c r="V1156" s="138">
        <f>IF(B1156="Working",MAX(-(((Q1155)*(1+$C$10)+IF(B1156="Working",J1156,0))),0),MAX(K1156-L1156,0))</f>
        <v/>
      </c>
      <c r="W1156" s="138">
        <f>IF(OR(A1156&gt;=$C$13,B1156="Retired"),IF(V1156&gt;0,-V1156,U1156-'Model Inputs'!$B$18),"")</f>
        <v/>
      </c>
      <c r="X1156" s="138">
        <f>IF(AND($L$247&gt;0,A1156&gt;=$C$13),$L$247*(1+$C$25)^(A1156-$C$13),0)</f>
        <v/>
      </c>
      <c r="Y1156" s="138">
        <f>IF(OR($L$247&lt;=0,$C$17&lt;=0,A1156&lt;$C$13,MIN(MAX((A1156-$C$13+1)*12,0),$C$17*12)&gt;=$C$17*12),0,IF($C$16=0,MAX(MAX($L$247*(1-$C$15),0)-(IF($C$17&lt;=0,0,IF($C$16=0,MAX($L$247*(1-$C$15),0)/$C$17,-PMT($C$16/12,$C$17*12,MAX($L$247*(1-$C$15),0))*12))/12)*MIN(MAX((A1156-$C$13+1)*12,0),$C$17*12),0),MAX(MAX($L$247*(1-$C$15),0)*(1+$C$16/12)^MIN(MAX((A1156-$C$13+1)*12,0),$C$17*12)-(IF($C$17&lt;=0,0,IF($C$16=0,MAX($L$247*(1-$C$15),0)/$C$17,-PMT($C$16/12,$C$17*12,MAX($L$247*(1-$C$15),0))*12))/12)*(((1+$C$16/12)^MIN(MAX((A1156-$C$13+1)*12,0),$C$17*12)-1)/($C$16/12)),0)))</f>
        <v/>
      </c>
      <c r="Z1156" s="138">
        <f>MAX(X1156-Y1156,0)</f>
        <v/>
      </c>
      <c r="AA1156" s="142">
        <f>U1156+Z1156</f>
        <v/>
      </c>
      <c r="AB1156" s="5" t="n"/>
      <c r="AC1156" s="5" t="n"/>
      <c r="AD1156" s="5" t="n"/>
      <c r="AE1156" s="5" t="n"/>
      <c r="AF1156" s="5" t="n"/>
      <c r="AG1156" s="5" t="n"/>
    </row>
    <row r="1157" outlineLevel="1" s="326">
      <c r="A1157" s="136" t="n">
        <v>21</v>
      </c>
      <c r="B1157" s="72">
        <f>B100</f>
        <v/>
      </c>
      <c r="C1157" s="137">
        <f>D100</f>
        <v/>
      </c>
      <c r="D1157" s="137">
        <f>I100</f>
        <v/>
      </c>
      <c r="E1157" s="137">
        <f>J100</f>
        <v/>
      </c>
      <c r="F1157" s="137">
        <f>K100</f>
        <v/>
      </c>
      <c r="G1157" s="138">
        <f>IF(AND($L$247&gt;0,A1157=$C$13),$L$247*($C$15+$C$18),0)+IF(AND($L$247&gt;0,A1157=$C$13),$C$24,0)</f>
        <v/>
      </c>
      <c r="H1157" s="138">
        <f>IF(OR($L$247&lt;=0,A1157&lt;$C$13),0,IF(AND($L$247&gt;0,$C$17&gt;0,A1157&gt;=$C$13,A1157&lt;($C$13+$C$17)),IF($C$17&lt;=0,0,IF($C$16=0,MAX($L$247*(1-$C$15),0)/$C$17,-PMT($C$16/12,$C$17*12,MAX($L$247*(1-$C$15),0))*12)),0)+X1157*($C$19+$C$20+$C$21)+$C$22+$C$23)</f>
        <v/>
      </c>
      <c r="I1157" s="138">
        <f>IF(B1157="Working",MIN(MAX(D1157-E1157-F1157-G1157-H1157,0),'Tax Assumptions'!$B$20),0)</f>
        <v/>
      </c>
      <c r="J1157" s="138">
        <f>IF(B1157="Working",D1157-E1157-F1157-I1157-G1157-H1157,-L1157)</f>
        <v/>
      </c>
      <c r="K1157" s="137">
        <f>IF(B1157="Retired",$N$247+G1157+H1157,0)</f>
        <v/>
      </c>
      <c r="L1157" s="137">
        <f>M1157+N1157+O1157+P1157</f>
        <v/>
      </c>
      <c r="M1157" s="137">
        <f>IF(B1157="Retired",MIN(((Q1156)*(1+$C$10)+IF(B1157="Working",J1157,0)),K1157),0)</f>
        <v/>
      </c>
      <c r="N1157" s="137">
        <f>IF(B1157="Retired",MIN(MAX(K1157-M1157,0),((R1156)*(1+$C$10)+IF(B1157="Working",E100,0))),0)</f>
        <v/>
      </c>
      <c r="O1157" s="137">
        <f>IF(B1157="Retired",MIN(MAX(K1157-M1157-N1157,0),((S1156)*(1+$C$10)+IF(B1157="Working",I1157,0))),0)</f>
        <v/>
      </c>
      <c r="P1157" s="137">
        <f>IF(B1157="Retired",MIN(MAX(K1157-M1157-N1157-O1157,0),((T1156)*(1+$C$10)+IF(B1157="Working",F100,0))),0)</f>
        <v/>
      </c>
      <c r="Q1157" s="138">
        <f>MAX(((Q1156)*(1+$C$10)+IF(B1157="Working",J1157,0))-M1157,0)</f>
        <v/>
      </c>
      <c r="R1157" s="138">
        <f>MAX(((R1156)*(1+$C$10)+IF(B1157="Working",E100,0))-N1157,0)</f>
        <v/>
      </c>
      <c r="S1157" s="138">
        <f>MAX(((S1156)*(1+$C$10)+IF(B1157="Working",I1157,0))-O1157,0)</f>
        <v/>
      </c>
      <c r="T1157" s="138">
        <f>MAX(((T1156)*(1+$C$10)+IF(B1157="Working",F100,0))-P1157,0)</f>
        <v/>
      </c>
      <c r="U1157" s="138">
        <f>Q1157+R1157+S1157+T1157</f>
        <v/>
      </c>
      <c r="V1157" s="138">
        <f>IF(B1157="Working",MAX(-(((Q1156)*(1+$C$10)+IF(B1157="Working",J1157,0))),0),MAX(K1157-L1157,0))</f>
        <v/>
      </c>
      <c r="W1157" s="138">
        <f>IF(OR(A1157&gt;=$C$13,B1157="Retired"),IF(V1157&gt;0,-V1157,U1157-'Model Inputs'!$B$18),"")</f>
        <v/>
      </c>
      <c r="X1157" s="138">
        <f>IF(AND($L$247&gt;0,A1157&gt;=$C$13),$L$247*(1+$C$25)^(A1157-$C$13),0)</f>
        <v/>
      </c>
      <c r="Y1157" s="138">
        <f>IF(OR($L$247&lt;=0,$C$17&lt;=0,A1157&lt;$C$13,MIN(MAX((A1157-$C$13+1)*12,0),$C$17*12)&gt;=$C$17*12),0,IF($C$16=0,MAX(MAX($L$247*(1-$C$15),0)-(IF($C$17&lt;=0,0,IF($C$16=0,MAX($L$247*(1-$C$15),0)/$C$17,-PMT($C$16/12,$C$17*12,MAX($L$247*(1-$C$15),0))*12))/12)*MIN(MAX((A1157-$C$13+1)*12,0),$C$17*12),0),MAX(MAX($L$247*(1-$C$15),0)*(1+$C$16/12)^MIN(MAX((A1157-$C$13+1)*12,0),$C$17*12)-(IF($C$17&lt;=0,0,IF($C$16=0,MAX($L$247*(1-$C$15),0)/$C$17,-PMT($C$16/12,$C$17*12,MAX($L$247*(1-$C$15),0))*12))/12)*(((1+$C$16/12)^MIN(MAX((A1157-$C$13+1)*12,0),$C$17*12)-1)/($C$16/12)),0)))</f>
        <v/>
      </c>
      <c r="Z1157" s="138">
        <f>MAX(X1157-Y1157,0)</f>
        <v/>
      </c>
      <c r="AA1157" s="139">
        <f>U1157+Z1157</f>
        <v/>
      </c>
      <c r="AB1157" s="5" t="n"/>
      <c r="AC1157" s="5" t="n"/>
      <c r="AD1157" s="5" t="n"/>
      <c r="AE1157" s="5" t="n"/>
      <c r="AF1157" s="5" t="n"/>
      <c r="AG1157" s="5" t="n"/>
    </row>
    <row r="1158" outlineLevel="1" s="326">
      <c r="A1158" s="140" t="n">
        <v>22</v>
      </c>
      <c r="B1158" s="40">
        <f>B101</f>
        <v/>
      </c>
      <c r="C1158" s="141">
        <f>D101</f>
        <v/>
      </c>
      <c r="D1158" s="141">
        <f>I101</f>
        <v/>
      </c>
      <c r="E1158" s="141">
        <f>J101</f>
        <v/>
      </c>
      <c r="F1158" s="141">
        <f>K101</f>
        <v/>
      </c>
      <c r="G1158" s="138">
        <f>IF(AND($L$247&gt;0,A1158=$C$13),$L$247*($C$15+$C$18),0)+IF(AND($L$247&gt;0,A1158=$C$13),$C$24,0)</f>
        <v/>
      </c>
      <c r="H1158" s="138">
        <f>IF(OR($L$247&lt;=0,A1158&lt;$C$13),0,IF(AND($L$247&gt;0,$C$17&gt;0,A1158&gt;=$C$13,A1158&lt;($C$13+$C$17)),IF($C$17&lt;=0,0,IF($C$16=0,MAX($L$247*(1-$C$15),0)/$C$17,-PMT($C$16/12,$C$17*12,MAX($L$247*(1-$C$15),0))*12)),0)+X1158*($C$19+$C$20+$C$21)+$C$22+$C$23)</f>
        <v/>
      </c>
      <c r="I1158" s="138">
        <f>IF(B1158="Working",MIN(MAX(D1158-E1158-F1158-G1158-H1158,0),'Tax Assumptions'!$B$20),0)</f>
        <v/>
      </c>
      <c r="J1158" s="138">
        <f>IF(B1158="Working",D1158-E1158-F1158-I1158-G1158-H1158,-L1158)</f>
        <v/>
      </c>
      <c r="K1158" s="141">
        <f>IF(B1158="Retired",$N$247+G1158+H1158,0)</f>
        <v/>
      </c>
      <c r="L1158" s="141">
        <f>M1158+N1158+O1158+P1158</f>
        <v/>
      </c>
      <c r="M1158" s="141">
        <f>IF(B1158="Retired",MIN(((Q1157)*(1+$C$10)+IF(B1158="Working",J1158,0)),K1158),0)</f>
        <v/>
      </c>
      <c r="N1158" s="141">
        <f>IF(B1158="Retired",MIN(MAX(K1158-M1158,0),((R1157)*(1+$C$10)+IF(B1158="Working",E101,0))),0)</f>
        <v/>
      </c>
      <c r="O1158" s="141">
        <f>IF(B1158="Retired",MIN(MAX(K1158-M1158-N1158,0),((S1157)*(1+$C$10)+IF(B1158="Working",I1158,0))),0)</f>
        <v/>
      </c>
      <c r="P1158" s="141">
        <f>IF(B1158="Retired",MIN(MAX(K1158-M1158-N1158-O1158,0),((T1157)*(1+$C$10)+IF(B1158="Working",F101,0))),0)</f>
        <v/>
      </c>
      <c r="Q1158" s="138">
        <f>MAX(((Q1157)*(1+$C$10)+IF(B1158="Working",J1158,0))-M1158,0)</f>
        <v/>
      </c>
      <c r="R1158" s="138">
        <f>MAX(((R1157)*(1+$C$10)+IF(B1158="Working",E101,0))-N1158,0)</f>
        <v/>
      </c>
      <c r="S1158" s="138">
        <f>MAX(((S1157)*(1+$C$10)+IF(B1158="Working",I1158,0))-O1158,0)</f>
        <v/>
      </c>
      <c r="T1158" s="138">
        <f>MAX(((T1157)*(1+$C$10)+IF(B1158="Working",F101,0))-P1158,0)</f>
        <v/>
      </c>
      <c r="U1158" s="138">
        <f>Q1158+R1158+S1158+T1158</f>
        <v/>
      </c>
      <c r="V1158" s="138">
        <f>IF(B1158="Working",MAX(-(((Q1157)*(1+$C$10)+IF(B1158="Working",J1158,0))),0),MAX(K1158-L1158,0))</f>
        <v/>
      </c>
      <c r="W1158" s="138">
        <f>IF(OR(A1158&gt;=$C$13,B1158="Retired"),IF(V1158&gt;0,-V1158,U1158-'Model Inputs'!$B$18),"")</f>
        <v/>
      </c>
      <c r="X1158" s="138">
        <f>IF(AND($L$247&gt;0,A1158&gt;=$C$13),$L$247*(1+$C$25)^(A1158-$C$13),0)</f>
        <v/>
      </c>
      <c r="Y1158" s="138">
        <f>IF(OR($L$247&lt;=0,$C$17&lt;=0,A1158&lt;$C$13,MIN(MAX((A1158-$C$13+1)*12,0),$C$17*12)&gt;=$C$17*12),0,IF($C$16=0,MAX(MAX($L$247*(1-$C$15),0)-(IF($C$17&lt;=0,0,IF($C$16=0,MAX($L$247*(1-$C$15),0)/$C$17,-PMT($C$16/12,$C$17*12,MAX($L$247*(1-$C$15),0))*12))/12)*MIN(MAX((A1158-$C$13+1)*12,0),$C$17*12),0),MAX(MAX($L$247*(1-$C$15),0)*(1+$C$16/12)^MIN(MAX((A1158-$C$13+1)*12,0),$C$17*12)-(IF($C$17&lt;=0,0,IF($C$16=0,MAX($L$247*(1-$C$15),0)/$C$17,-PMT($C$16/12,$C$17*12,MAX($L$247*(1-$C$15),0))*12))/12)*(((1+$C$16/12)^MIN(MAX((A1158-$C$13+1)*12,0),$C$17*12)-1)/($C$16/12)),0)))</f>
        <v/>
      </c>
      <c r="Z1158" s="138">
        <f>MAX(X1158-Y1158,0)</f>
        <v/>
      </c>
      <c r="AA1158" s="142">
        <f>U1158+Z1158</f>
        <v/>
      </c>
      <c r="AB1158" s="5" t="n"/>
      <c r="AC1158" s="5" t="n"/>
      <c r="AD1158" s="5" t="n"/>
      <c r="AE1158" s="5" t="n"/>
      <c r="AF1158" s="5" t="n"/>
      <c r="AG1158" s="5" t="n"/>
    </row>
    <row r="1159" outlineLevel="1" s="326">
      <c r="A1159" s="136" t="n">
        <v>23</v>
      </c>
      <c r="B1159" s="72">
        <f>B102</f>
        <v/>
      </c>
      <c r="C1159" s="137">
        <f>D102</f>
        <v/>
      </c>
      <c r="D1159" s="137">
        <f>I102</f>
        <v/>
      </c>
      <c r="E1159" s="137">
        <f>J102</f>
        <v/>
      </c>
      <c r="F1159" s="137">
        <f>K102</f>
        <v/>
      </c>
      <c r="G1159" s="138">
        <f>IF(AND($L$247&gt;0,A1159=$C$13),$L$247*($C$15+$C$18),0)+IF(AND($L$247&gt;0,A1159=$C$13),$C$24,0)</f>
        <v/>
      </c>
      <c r="H1159" s="138">
        <f>IF(OR($L$247&lt;=0,A1159&lt;$C$13),0,IF(AND($L$247&gt;0,$C$17&gt;0,A1159&gt;=$C$13,A1159&lt;($C$13+$C$17)),IF($C$17&lt;=0,0,IF($C$16=0,MAX($L$247*(1-$C$15),0)/$C$17,-PMT($C$16/12,$C$17*12,MAX($L$247*(1-$C$15),0))*12)),0)+X1159*($C$19+$C$20+$C$21)+$C$22+$C$23)</f>
        <v/>
      </c>
      <c r="I1159" s="138">
        <f>IF(B1159="Working",MIN(MAX(D1159-E1159-F1159-G1159-H1159,0),'Tax Assumptions'!$B$20),0)</f>
        <v/>
      </c>
      <c r="J1159" s="138">
        <f>IF(B1159="Working",D1159-E1159-F1159-I1159-G1159-H1159,-L1159)</f>
        <v/>
      </c>
      <c r="K1159" s="137">
        <f>IF(B1159="Retired",$N$247+G1159+H1159,0)</f>
        <v/>
      </c>
      <c r="L1159" s="137">
        <f>M1159+N1159+O1159+P1159</f>
        <v/>
      </c>
      <c r="M1159" s="137">
        <f>IF(B1159="Retired",MIN(((Q1158)*(1+$C$10)+IF(B1159="Working",J1159,0)),K1159),0)</f>
        <v/>
      </c>
      <c r="N1159" s="137">
        <f>IF(B1159="Retired",MIN(MAX(K1159-M1159,0),((R1158)*(1+$C$10)+IF(B1159="Working",E102,0))),0)</f>
        <v/>
      </c>
      <c r="O1159" s="137">
        <f>IF(B1159="Retired",MIN(MAX(K1159-M1159-N1159,0),((S1158)*(1+$C$10)+IF(B1159="Working",I1159,0))),0)</f>
        <v/>
      </c>
      <c r="P1159" s="137">
        <f>IF(B1159="Retired",MIN(MAX(K1159-M1159-N1159-O1159,0),((T1158)*(1+$C$10)+IF(B1159="Working",F102,0))),0)</f>
        <v/>
      </c>
      <c r="Q1159" s="138">
        <f>MAX(((Q1158)*(1+$C$10)+IF(B1159="Working",J1159,0))-M1159,0)</f>
        <v/>
      </c>
      <c r="R1159" s="138">
        <f>MAX(((R1158)*(1+$C$10)+IF(B1159="Working",E102,0))-N1159,0)</f>
        <v/>
      </c>
      <c r="S1159" s="138">
        <f>MAX(((S1158)*(1+$C$10)+IF(B1159="Working",I1159,0))-O1159,0)</f>
        <v/>
      </c>
      <c r="T1159" s="138">
        <f>MAX(((T1158)*(1+$C$10)+IF(B1159="Working",F102,0))-P1159,0)</f>
        <v/>
      </c>
      <c r="U1159" s="138">
        <f>Q1159+R1159+S1159+T1159</f>
        <v/>
      </c>
      <c r="V1159" s="138">
        <f>IF(B1159="Working",MAX(-(((Q1158)*(1+$C$10)+IF(B1159="Working",J1159,0))),0),MAX(K1159-L1159,0))</f>
        <v/>
      </c>
      <c r="W1159" s="138">
        <f>IF(OR(A1159&gt;=$C$13,B1159="Retired"),IF(V1159&gt;0,-V1159,U1159-'Model Inputs'!$B$18),"")</f>
        <v/>
      </c>
      <c r="X1159" s="138">
        <f>IF(AND($L$247&gt;0,A1159&gt;=$C$13),$L$247*(1+$C$25)^(A1159-$C$13),0)</f>
        <v/>
      </c>
      <c r="Y1159" s="138">
        <f>IF(OR($L$247&lt;=0,$C$17&lt;=0,A1159&lt;$C$13,MIN(MAX((A1159-$C$13+1)*12,0),$C$17*12)&gt;=$C$17*12),0,IF($C$16=0,MAX(MAX($L$247*(1-$C$15),0)-(IF($C$17&lt;=0,0,IF($C$16=0,MAX($L$247*(1-$C$15),0)/$C$17,-PMT($C$16/12,$C$17*12,MAX($L$247*(1-$C$15),0))*12))/12)*MIN(MAX((A1159-$C$13+1)*12,0),$C$17*12),0),MAX(MAX($L$247*(1-$C$15),0)*(1+$C$16/12)^MIN(MAX((A1159-$C$13+1)*12,0),$C$17*12)-(IF($C$17&lt;=0,0,IF($C$16=0,MAX($L$247*(1-$C$15),0)/$C$17,-PMT($C$16/12,$C$17*12,MAX($L$247*(1-$C$15),0))*12))/12)*(((1+$C$16/12)^MIN(MAX((A1159-$C$13+1)*12,0),$C$17*12)-1)/($C$16/12)),0)))</f>
        <v/>
      </c>
      <c r="Z1159" s="138">
        <f>MAX(X1159-Y1159,0)</f>
        <v/>
      </c>
      <c r="AA1159" s="139">
        <f>U1159+Z1159</f>
        <v/>
      </c>
      <c r="AB1159" s="5" t="n"/>
      <c r="AC1159" s="5" t="n"/>
      <c r="AD1159" s="5" t="n"/>
      <c r="AE1159" s="5" t="n"/>
      <c r="AF1159" s="5" t="n"/>
      <c r="AG1159" s="5" t="n"/>
    </row>
    <row r="1160" outlineLevel="1" s="326">
      <c r="A1160" s="140" t="n">
        <v>24</v>
      </c>
      <c r="B1160" s="40">
        <f>B103</f>
        <v/>
      </c>
      <c r="C1160" s="141">
        <f>D103</f>
        <v/>
      </c>
      <c r="D1160" s="141">
        <f>I103</f>
        <v/>
      </c>
      <c r="E1160" s="141">
        <f>J103</f>
        <v/>
      </c>
      <c r="F1160" s="141">
        <f>K103</f>
        <v/>
      </c>
      <c r="G1160" s="138">
        <f>IF(AND($L$247&gt;0,A1160=$C$13),$L$247*($C$15+$C$18),0)+IF(AND($L$247&gt;0,A1160=$C$13),$C$24,0)</f>
        <v/>
      </c>
      <c r="H1160" s="138">
        <f>IF(OR($L$247&lt;=0,A1160&lt;$C$13),0,IF(AND($L$247&gt;0,$C$17&gt;0,A1160&gt;=$C$13,A1160&lt;($C$13+$C$17)),IF($C$17&lt;=0,0,IF($C$16=0,MAX($L$247*(1-$C$15),0)/$C$17,-PMT($C$16/12,$C$17*12,MAX($L$247*(1-$C$15),0))*12)),0)+X1160*($C$19+$C$20+$C$21)+$C$22+$C$23)</f>
        <v/>
      </c>
      <c r="I1160" s="138">
        <f>IF(B1160="Working",MIN(MAX(D1160-E1160-F1160-G1160-H1160,0),'Tax Assumptions'!$B$20),0)</f>
        <v/>
      </c>
      <c r="J1160" s="138">
        <f>IF(B1160="Working",D1160-E1160-F1160-I1160-G1160-H1160,-L1160)</f>
        <v/>
      </c>
      <c r="K1160" s="141">
        <f>IF(B1160="Retired",$N$247+G1160+H1160,0)</f>
        <v/>
      </c>
      <c r="L1160" s="141">
        <f>M1160+N1160+O1160+P1160</f>
        <v/>
      </c>
      <c r="M1160" s="141">
        <f>IF(B1160="Retired",MIN(((Q1159)*(1+$C$10)+IF(B1160="Working",J1160,0)),K1160),0)</f>
        <v/>
      </c>
      <c r="N1160" s="141">
        <f>IF(B1160="Retired",MIN(MAX(K1160-M1160,0),((R1159)*(1+$C$10)+IF(B1160="Working",E103,0))),0)</f>
        <v/>
      </c>
      <c r="O1160" s="141">
        <f>IF(B1160="Retired",MIN(MAX(K1160-M1160-N1160,0),((S1159)*(1+$C$10)+IF(B1160="Working",I1160,0))),0)</f>
        <v/>
      </c>
      <c r="P1160" s="141">
        <f>IF(B1160="Retired",MIN(MAX(K1160-M1160-N1160-O1160,0),((T1159)*(1+$C$10)+IF(B1160="Working",F103,0))),0)</f>
        <v/>
      </c>
      <c r="Q1160" s="138">
        <f>MAX(((Q1159)*(1+$C$10)+IF(B1160="Working",J1160,0))-M1160,0)</f>
        <v/>
      </c>
      <c r="R1160" s="138">
        <f>MAX(((R1159)*(1+$C$10)+IF(B1160="Working",E103,0))-N1160,0)</f>
        <v/>
      </c>
      <c r="S1160" s="138">
        <f>MAX(((S1159)*(1+$C$10)+IF(B1160="Working",I1160,0))-O1160,0)</f>
        <v/>
      </c>
      <c r="T1160" s="138">
        <f>MAX(((T1159)*(1+$C$10)+IF(B1160="Working",F103,0))-P1160,0)</f>
        <v/>
      </c>
      <c r="U1160" s="138">
        <f>Q1160+R1160+S1160+T1160</f>
        <v/>
      </c>
      <c r="V1160" s="138">
        <f>IF(B1160="Working",MAX(-(((Q1159)*(1+$C$10)+IF(B1160="Working",J1160,0))),0),MAX(K1160-L1160,0))</f>
        <v/>
      </c>
      <c r="W1160" s="138">
        <f>IF(OR(A1160&gt;=$C$13,B1160="Retired"),IF(V1160&gt;0,-V1160,U1160-'Model Inputs'!$B$18),"")</f>
        <v/>
      </c>
      <c r="X1160" s="138">
        <f>IF(AND($L$247&gt;0,A1160&gt;=$C$13),$L$247*(1+$C$25)^(A1160-$C$13),0)</f>
        <v/>
      </c>
      <c r="Y1160" s="138">
        <f>IF(OR($L$247&lt;=0,$C$17&lt;=0,A1160&lt;$C$13,MIN(MAX((A1160-$C$13+1)*12,0),$C$17*12)&gt;=$C$17*12),0,IF($C$16=0,MAX(MAX($L$247*(1-$C$15),0)-(IF($C$17&lt;=0,0,IF($C$16=0,MAX($L$247*(1-$C$15),0)/$C$17,-PMT($C$16/12,$C$17*12,MAX($L$247*(1-$C$15),0))*12))/12)*MIN(MAX((A1160-$C$13+1)*12,0),$C$17*12),0),MAX(MAX($L$247*(1-$C$15),0)*(1+$C$16/12)^MIN(MAX((A1160-$C$13+1)*12,0),$C$17*12)-(IF($C$17&lt;=0,0,IF($C$16=0,MAX($L$247*(1-$C$15),0)/$C$17,-PMT($C$16/12,$C$17*12,MAX($L$247*(1-$C$15),0))*12))/12)*(((1+$C$16/12)^MIN(MAX((A1160-$C$13+1)*12,0),$C$17*12)-1)/($C$16/12)),0)))</f>
        <v/>
      </c>
      <c r="Z1160" s="138">
        <f>MAX(X1160-Y1160,0)</f>
        <v/>
      </c>
      <c r="AA1160" s="142">
        <f>U1160+Z1160</f>
        <v/>
      </c>
      <c r="AB1160" s="5" t="n"/>
      <c r="AC1160" s="5" t="n"/>
      <c r="AD1160" s="5" t="n"/>
      <c r="AE1160" s="5" t="n"/>
      <c r="AF1160" s="5" t="n"/>
      <c r="AG1160" s="5" t="n"/>
    </row>
    <row r="1161" outlineLevel="1" s="326">
      <c r="A1161" s="136" t="n">
        <v>25</v>
      </c>
      <c r="B1161" s="72">
        <f>B104</f>
        <v/>
      </c>
      <c r="C1161" s="137">
        <f>D104</f>
        <v/>
      </c>
      <c r="D1161" s="137">
        <f>I104</f>
        <v/>
      </c>
      <c r="E1161" s="137">
        <f>J104</f>
        <v/>
      </c>
      <c r="F1161" s="137">
        <f>K104</f>
        <v/>
      </c>
      <c r="G1161" s="138">
        <f>IF(AND($L$247&gt;0,A1161=$C$13),$L$247*($C$15+$C$18),0)+IF(AND($L$247&gt;0,A1161=$C$13),$C$24,0)</f>
        <v/>
      </c>
      <c r="H1161" s="138">
        <f>IF(OR($L$247&lt;=0,A1161&lt;$C$13),0,IF(AND($L$247&gt;0,$C$17&gt;0,A1161&gt;=$C$13,A1161&lt;($C$13+$C$17)),IF($C$17&lt;=0,0,IF($C$16=0,MAX($L$247*(1-$C$15),0)/$C$17,-PMT($C$16/12,$C$17*12,MAX($L$247*(1-$C$15),0))*12)),0)+X1161*($C$19+$C$20+$C$21)+$C$22+$C$23)</f>
        <v/>
      </c>
      <c r="I1161" s="138">
        <f>IF(B1161="Working",MIN(MAX(D1161-E1161-F1161-G1161-H1161,0),'Tax Assumptions'!$B$20),0)</f>
        <v/>
      </c>
      <c r="J1161" s="138">
        <f>IF(B1161="Working",D1161-E1161-F1161-I1161-G1161-H1161,-L1161)</f>
        <v/>
      </c>
      <c r="K1161" s="137">
        <f>IF(B1161="Retired",$N$247+G1161+H1161,0)</f>
        <v/>
      </c>
      <c r="L1161" s="137">
        <f>M1161+N1161+O1161+P1161</f>
        <v/>
      </c>
      <c r="M1161" s="137">
        <f>IF(B1161="Retired",MIN(((Q1160)*(1+$C$10)+IF(B1161="Working",J1161,0)),K1161),0)</f>
        <v/>
      </c>
      <c r="N1161" s="137">
        <f>IF(B1161="Retired",MIN(MAX(K1161-M1161,0),((R1160)*(1+$C$10)+IF(B1161="Working",E104,0))),0)</f>
        <v/>
      </c>
      <c r="O1161" s="137">
        <f>IF(B1161="Retired",MIN(MAX(K1161-M1161-N1161,0),((S1160)*(1+$C$10)+IF(B1161="Working",I1161,0))),0)</f>
        <v/>
      </c>
      <c r="P1161" s="137">
        <f>IF(B1161="Retired",MIN(MAX(K1161-M1161-N1161-O1161,0),((T1160)*(1+$C$10)+IF(B1161="Working",F104,0))),0)</f>
        <v/>
      </c>
      <c r="Q1161" s="138">
        <f>MAX(((Q1160)*(1+$C$10)+IF(B1161="Working",J1161,0))-M1161,0)</f>
        <v/>
      </c>
      <c r="R1161" s="138">
        <f>MAX(((R1160)*(1+$C$10)+IF(B1161="Working",E104,0))-N1161,0)</f>
        <v/>
      </c>
      <c r="S1161" s="138">
        <f>MAX(((S1160)*(1+$C$10)+IF(B1161="Working",I1161,0))-O1161,0)</f>
        <v/>
      </c>
      <c r="T1161" s="138">
        <f>MAX(((T1160)*(1+$C$10)+IF(B1161="Working",F104,0))-P1161,0)</f>
        <v/>
      </c>
      <c r="U1161" s="138">
        <f>Q1161+R1161+S1161+T1161</f>
        <v/>
      </c>
      <c r="V1161" s="138">
        <f>IF(B1161="Working",MAX(-(((Q1160)*(1+$C$10)+IF(B1161="Working",J1161,0))),0),MAX(K1161-L1161,0))</f>
        <v/>
      </c>
      <c r="W1161" s="138">
        <f>IF(OR(A1161&gt;=$C$13,B1161="Retired"),IF(V1161&gt;0,-V1161,U1161-'Model Inputs'!$B$18),"")</f>
        <v/>
      </c>
      <c r="X1161" s="138">
        <f>IF(AND($L$247&gt;0,A1161&gt;=$C$13),$L$247*(1+$C$25)^(A1161-$C$13),0)</f>
        <v/>
      </c>
      <c r="Y1161" s="138">
        <f>IF(OR($L$247&lt;=0,$C$17&lt;=0,A1161&lt;$C$13,MIN(MAX((A1161-$C$13+1)*12,0),$C$17*12)&gt;=$C$17*12),0,IF($C$16=0,MAX(MAX($L$247*(1-$C$15),0)-(IF($C$17&lt;=0,0,IF($C$16=0,MAX($L$247*(1-$C$15),0)/$C$17,-PMT($C$16/12,$C$17*12,MAX($L$247*(1-$C$15),0))*12))/12)*MIN(MAX((A1161-$C$13+1)*12,0),$C$17*12),0),MAX(MAX($L$247*(1-$C$15),0)*(1+$C$16/12)^MIN(MAX((A1161-$C$13+1)*12,0),$C$17*12)-(IF($C$17&lt;=0,0,IF($C$16=0,MAX($L$247*(1-$C$15),0)/$C$17,-PMT($C$16/12,$C$17*12,MAX($L$247*(1-$C$15),0))*12))/12)*(((1+$C$16/12)^MIN(MAX((A1161-$C$13+1)*12,0),$C$17*12)-1)/($C$16/12)),0)))</f>
        <v/>
      </c>
      <c r="Z1161" s="138">
        <f>MAX(X1161-Y1161,0)</f>
        <v/>
      </c>
      <c r="AA1161" s="139">
        <f>U1161+Z1161</f>
        <v/>
      </c>
      <c r="AB1161" s="5" t="n"/>
      <c r="AC1161" s="5" t="n"/>
      <c r="AD1161" s="5" t="n"/>
      <c r="AE1161" s="5" t="n"/>
      <c r="AF1161" s="5" t="n"/>
      <c r="AG1161" s="5" t="n"/>
    </row>
    <row r="1162" outlineLevel="1" s="326">
      <c r="A1162" s="140" t="n">
        <v>26</v>
      </c>
      <c r="B1162" s="40">
        <f>B105</f>
        <v/>
      </c>
      <c r="C1162" s="141">
        <f>D105</f>
        <v/>
      </c>
      <c r="D1162" s="141">
        <f>I105</f>
        <v/>
      </c>
      <c r="E1162" s="141">
        <f>J105</f>
        <v/>
      </c>
      <c r="F1162" s="141">
        <f>K105</f>
        <v/>
      </c>
      <c r="G1162" s="138">
        <f>IF(AND($L$247&gt;0,A1162=$C$13),$L$247*($C$15+$C$18),0)+IF(AND($L$247&gt;0,A1162=$C$13),$C$24,0)</f>
        <v/>
      </c>
      <c r="H1162" s="138">
        <f>IF(OR($L$247&lt;=0,A1162&lt;$C$13),0,IF(AND($L$247&gt;0,$C$17&gt;0,A1162&gt;=$C$13,A1162&lt;($C$13+$C$17)),IF($C$17&lt;=0,0,IF($C$16=0,MAX($L$247*(1-$C$15),0)/$C$17,-PMT($C$16/12,$C$17*12,MAX($L$247*(1-$C$15),0))*12)),0)+X1162*($C$19+$C$20+$C$21)+$C$22+$C$23)</f>
        <v/>
      </c>
      <c r="I1162" s="138">
        <f>IF(B1162="Working",MIN(MAX(D1162-E1162-F1162-G1162-H1162,0),'Tax Assumptions'!$B$20),0)</f>
        <v/>
      </c>
      <c r="J1162" s="138">
        <f>IF(B1162="Working",D1162-E1162-F1162-I1162-G1162-H1162,-L1162)</f>
        <v/>
      </c>
      <c r="K1162" s="141">
        <f>IF(B1162="Retired",$N$247+G1162+H1162,0)</f>
        <v/>
      </c>
      <c r="L1162" s="141">
        <f>M1162+N1162+O1162+P1162</f>
        <v/>
      </c>
      <c r="M1162" s="141">
        <f>IF(B1162="Retired",MIN(((Q1161)*(1+$C$10)+IF(B1162="Working",J1162,0)),K1162),0)</f>
        <v/>
      </c>
      <c r="N1162" s="141">
        <f>IF(B1162="Retired",MIN(MAX(K1162-M1162,0),((R1161)*(1+$C$10)+IF(B1162="Working",E105,0))),0)</f>
        <v/>
      </c>
      <c r="O1162" s="141">
        <f>IF(B1162="Retired",MIN(MAX(K1162-M1162-N1162,0),((S1161)*(1+$C$10)+IF(B1162="Working",I1162,0))),0)</f>
        <v/>
      </c>
      <c r="P1162" s="141">
        <f>IF(B1162="Retired",MIN(MAX(K1162-M1162-N1162-O1162,0),((T1161)*(1+$C$10)+IF(B1162="Working",F105,0))),0)</f>
        <v/>
      </c>
      <c r="Q1162" s="138">
        <f>MAX(((Q1161)*(1+$C$10)+IF(B1162="Working",J1162,0))-M1162,0)</f>
        <v/>
      </c>
      <c r="R1162" s="138">
        <f>MAX(((R1161)*(1+$C$10)+IF(B1162="Working",E105,0))-N1162,0)</f>
        <v/>
      </c>
      <c r="S1162" s="138">
        <f>MAX(((S1161)*(1+$C$10)+IF(B1162="Working",I1162,0))-O1162,0)</f>
        <v/>
      </c>
      <c r="T1162" s="138">
        <f>MAX(((T1161)*(1+$C$10)+IF(B1162="Working",F105,0))-P1162,0)</f>
        <v/>
      </c>
      <c r="U1162" s="138">
        <f>Q1162+R1162+S1162+T1162</f>
        <v/>
      </c>
      <c r="V1162" s="138">
        <f>IF(B1162="Working",MAX(-(((Q1161)*(1+$C$10)+IF(B1162="Working",J1162,0))),0),MAX(K1162-L1162,0))</f>
        <v/>
      </c>
      <c r="W1162" s="138">
        <f>IF(OR(A1162&gt;=$C$13,B1162="Retired"),IF(V1162&gt;0,-V1162,U1162-'Model Inputs'!$B$18),"")</f>
        <v/>
      </c>
      <c r="X1162" s="138">
        <f>IF(AND($L$247&gt;0,A1162&gt;=$C$13),$L$247*(1+$C$25)^(A1162-$C$13),0)</f>
        <v/>
      </c>
      <c r="Y1162" s="138">
        <f>IF(OR($L$247&lt;=0,$C$17&lt;=0,A1162&lt;$C$13,MIN(MAX((A1162-$C$13+1)*12,0),$C$17*12)&gt;=$C$17*12),0,IF($C$16=0,MAX(MAX($L$247*(1-$C$15),0)-(IF($C$17&lt;=0,0,IF($C$16=0,MAX($L$247*(1-$C$15),0)/$C$17,-PMT($C$16/12,$C$17*12,MAX($L$247*(1-$C$15),0))*12))/12)*MIN(MAX((A1162-$C$13+1)*12,0),$C$17*12),0),MAX(MAX($L$247*(1-$C$15),0)*(1+$C$16/12)^MIN(MAX((A1162-$C$13+1)*12,0),$C$17*12)-(IF($C$17&lt;=0,0,IF($C$16=0,MAX($L$247*(1-$C$15),0)/$C$17,-PMT($C$16/12,$C$17*12,MAX($L$247*(1-$C$15),0))*12))/12)*(((1+$C$16/12)^MIN(MAX((A1162-$C$13+1)*12,0),$C$17*12)-1)/($C$16/12)),0)))</f>
        <v/>
      </c>
      <c r="Z1162" s="138">
        <f>MAX(X1162-Y1162,0)</f>
        <v/>
      </c>
      <c r="AA1162" s="142">
        <f>U1162+Z1162</f>
        <v/>
      </c>
      <c r="AB1162" s="5" t="n"/>
      <c r="AC1162" s="5" t="n"/>
      <c r="AD1162" s="5" t="n"/>
      <c r="AE1162" s="5" t="n"/>
      <c r="AF1162" s="5" t="n"/>
      <c r="AG1162" s="5" t="n"/>
    </row>
    <row r="1163" outlineLevel="1" s="326">
      <c r="A1163" s="136" t="n">
        <v>27</v>
      </c>
      <c r="B1163" s="72">
        <f>B106</f>
        <v/>
      </c>
      <c r="C1163" s="137">
        <f>D106</f>
        <v/>
      </c>
      <c r="D1163" s="137">
        <f>I106</f>
        <v/>
      </c>
      <c r="E1163" s="137">
        <f>J106</f>
        <v/>
      </c>
      <c r="F1163" s="137">
        <f>K106</f>
        <v/>
      </c>
      <c r="G1163" s="138">
        <f>IF(AND($L$247&gt;0,A1163=$C$13),$L$247*($C$15+$C$18),0)+IF(AND($L$247&gt;0,A1163=$C$13),$C$24,0)</f>
        <v/>
      </c>
      <c r="H1163" s="138">
        <f>IF(OR($L$247&lt;=0,A1163&lt;$C$13),0,IF(AND($L$247&gt;0,$C$17&gt;0,A1163&gt;=$C$13,A1163&lt;($C$13+$C$17)),IF($C$17&lt;=0,0,IF($C$16=0,MAX($L$247*(1-$C$15),0)/$C$17,-PMT($C$16/12,$C$17*12,MAX($L$247*(1-$C$15),0))*12)),0)+X1163*($C$19+$C$20+$C$21)+$C$22+$C$23)</f>
        <v/>
      </c>
      <c r="I1163" s="138">
        <f>IF(B1163="Working",MIN(MAX(D1163-E1163-F1163-G1163-H1163,0),'Tax Assumptions'!$B$20),0)</f>
        <v/>
      </c>
      <c r="J1163" s="138">
        <f>IF(B1163="Working",D1163-E1163-F1163-I1163-G1163-H1163,-L1163)</f>
        <v/>
      </c>
      <c r="K1163" s="137">
        <f>IF(B1163="Retired",$N$247+G1163+H1163,0)</f>
        <v/>
      </c>
      <c r="L1163" s="137">
        <f>M1163+N1163+O1163+P1163</f>
        <v/>
      </c>
      <c r="M1163" s="137">
        <f>IF(B1163="Retired",MIN(((Q1162)*(1+$C$10)+IF(B1163="Working",J1163,0)),K1163),0)</f>
        <v/>
      </c>
      <c r="N1163" s="137">
        <f>IF(B1163="Retired",MIN(MAX(K1163-M1163,0),((R1162)*(1+$C$10)+IF(B1163="Working",E106,0))),0)</f>
        <v/>
      </c>
      <c r="O1163" s="137">
        <f>IF(B1163="Retired",MIN(MAX(K1163-M1163-N1163,0),((S1162)*(1+$C$10)+IF(B1163="Working",I1163,0))),0)</f>
        <v/>
      </c>
      <c r="P1163" s="137">
        <f>IF(B1163="Retired",MIN(MAX(K1163-M1163-N1163-O1163,0),((T1162)*(1+$C$10)+IF(B1163="Working",F106,0))),0)</f>
        <v/>
      </c>
      <c r="Q1163" s="138">
        <f>MAX(((Q1162)*(1+$C$10)+IF(B1163="Working",J1163,0))-M1163,0)</f>
        <v/>
      </c>
      <c r="R1163" s="138">
        <f>MAX(((R1162)*(1+$C$10)+IF(B1163="Working",E106,0))-N1163,0)</f>
        <v/>
      </c>
      <c r="S1163" s="138">
        <f>MAX(((S1162)*(1+$C$10)+IF(B1163="Working",I1163,0))-O1163,0)</f>
        <v/>
      </c>
      <c r="T1163" s="138">
        <f>MAX(((T1162)*(1+$C$10)+IF(B1163="Working",F106,0))-P1163,0)</f>
        <v/>
      </c>
      <c r="U1163" s="138">
        <f>Q1163+R1163+S1163+T1163</f>
        <v/>
      </c>
      <c r="V1163" s="138">
        <f>IF(B1163="Working",MAX(-(((Q1162)*(1+$C$10)+IF(B1163="Working",J1163,0))),0),MAX(K1163-L1163,0))</f>
        <v/>
      </c>
      <c r="W1163" s="138">
        <f>IF(OR(A1163&gt;=$C$13,B1163="Retired"),IF(V1163&gt;0,-V1163,U1163-'Model Inputs'!$B$18),"")</f>
        <v/>
      </c>
      <c r="X1163" s="138">
        <f>IF(AND($L$247&gt;0,A1163&gt;=$C$13),$L$247*(1+$C$25)^(A1163-$C$13),0)</f>
        <v/>
      </c>
      <c r="Y1163" s="138">
        <f>IF(OR($L$247&lt;=0,$C$17&lt;=0,A1163&lt;$C$13,MIN(MAX((A1163-$C$13+1)*12,0),$C$17*12)&gt;=$C$17*12),0,IF($C$16=0,MAX(MAX($L$247*(1-$C$15),0)-(IF($C$17&lt;=0,0,IF($C$16=0,MAX($L$247*(1-$C$15),0)/$C$17,-PMT($C$16/12,$C$17*12,MAX($L$247*(1-$C$15),0))*12))/12)*MIN(MAX((A1163-$C$13+1)*12,0),$C$17*12),0),MAX(MAX($L$247*(1-$C$15),0)*(1+$C$16/12)^MIN(MAX((A1163-$C$13+1)*12,0),$C$17*12)-(IF($C$17&lt;=0,0,IF($C$16=0,MAX($L$247*(1-$C$15),0)/$C$17,-PMT($C$16/12,$C$17*12,MAX($L$247*(1-$C$15),0))*12))/12)*(((1+$C$16/12)^MIN(MAX((A1163-$C$13+1)*12,0),$C$17*12)-1)/($C$16/12)),0)))</f>
        <v/>
      </c>
      <c r="Z1163" s="138">
        <f>MAX(X1163-Y1163,0)</f>
        <v/>
      </c>
      <c r="AA1163" s="139">
        <f>U1163+Z1163</f>
        <v/>
      </c>
      <c r="AB1163" s="5" t="n"/>
      <c r="AC1163" s="5" t="n"/>
      <c r="AD1163" s="5" t="n"/>
      <c r="AE1163" s="5" t="n"/>
      <c r="AF1163" s="5" t="n"/>
      <c r="AG1163" s="5" t="n"/>
    </row>
    <row r="1164" outlineLevel="1" s="326">
      <c r="A1164" s="140" t="n">
        <v>28</v>
      </c>
      <c r="B1164" s="40">
        <f>B107</f>
        <v/>
      </c>
      <c r="C1164" s="141">
        <f>D107</f>
        <v/>
      </c>
      <c r="D1164" s="141">
        <f>I107</f>
        <v/>
      </c>
      <c r="E1164" s="141">
        <f>J107</f>
        <v/>
      </c>
      <c r="F1164" s="141">
        <f>K107</f>
        <v/>
      </c>
      <c r="G1164" s="138">
        <f>IF(AND($L$247&gt;0,A1164=$C$13),$L$247*($C$15+$C$18),0)+IF(AND($L$247&gt;0,A1164=$C$13),$C$24,0)</f>
        <v/>
      </c>
      <c r="H1164" s="138">
        <f>IF(OR($L$247&lt;=0,A1164&lt;$C$13),0,IF(AND($L$247&gt;0,$C$17&gt;0,A1164&gt;=$C$13,A1164&lt;($C$13+$C$17)),IF($C$17&lt;=0,0,IF($C$16=0,MAX($L$247*(1-$C$15),0)/$C$17,-PMT($C$16/12,$C$17*12,MAX($L$247*(1-$C$15),0))*12)),0)+X1164*($C$19+$C$20+$C$21)+$C$22+$C$23)</f>
        <v/>
      </c>
      <c r="I1164" s="138">
        <f>IF(B1164="Working",MIN(MAX(D1164-E1164-F1164-G1164-H1164,0),'Tax Assumptions'!$B$20),0)</f>
        <v/>
      </c>
      <c r="J1164" s="138">
        <f>IF(B1164="Working",D1164-E1164-F1164-I1164-G1164-H1164,-L1164)</f>
        <v/>
      </c>
      <c r="K1164" s="141">
        <f>IF(B1164="Retired",$N$247+G1164+H1164,0)</f>
        <v/>
      </c>
      <c r="L1164" s="141">
        <f>M1164+N1164+O1164+P1164</f>
        <v/>
      </c>
      <c r="M1164" s="141">
        <f>IF(B1164="Retired",MIN(((Q1163)*(1+$C$10)+IF(B1164="Working",J1164,0)),K1164),0)</f>
        <v/>
      </c>
      <c r="N1164" s="141">
        <f>IF(B1164="Retired",MIN(MAX(K1164-M1164,0),((R1163)*(1+$C$10)+IF(B1164="Working",E107,0))),0)</f>
        <v/>
      </c>
      <c r="O1164" s="141">
        <f>IF(B1164="Retired",MIN(MAX(K1164-M1164-N1164,0),((S1163)*(1+$C$10)+IF(B1164="Working",I1164,0))),0)</f>
        <v/>
      </c>
      <c r="P1164" s="141">
        <f>IF(B1164="Retired",MIN(MAX(K1164-M1164-N1164-O1164,0),((T1163)*(1+$C$10)+IF(B1164="Working",F107,0))),0)</f>
        <v/>
      </c>
      <c r="Q1164" s="138">
        <f>MAX(((Q1163)*(1+$C$10)+IF(B1164="Working",J1164,0))-M1164,0)</f>
        <v/>
      </c>
      <c r="R1164" s="138">
        <f>MAX(((R1163)*(1+$C$10)+IF(B1164="Working",E107,0))-N1164,0)</f>
        <v/>
      </c>
      <c r="S1164" s="138">
        <f>MAX(((S1163)*(1+$C$10)+IF(B1164="Working",I1164,0))-O1164,0)</f>
        <v/>
      </c>
      <c r="T1164" s="138">
        <f>MAX(((T1163)*(1+$C$10)+IF(B1164="Working",F107,0))-P1164,0)</f>
        <v/>
      </c>
      <c r="U1164" s="138">
        <f>Q1164+R1164+S1164+T1164</f>
        <v/>
      </c>
      <c r="V1164" s="138">
        <f>IF(B1164="Working",MAX(-(((Q1163)*(1+$C$10)+IF(B1164="Working",J1164,0))),0),MAX(K1164-L1164,0))</f>
        <v/>
      </c>
      <c r="W1164" s="138">
        <f>IF(OR(A1164&gt;=$C$13,B1164="Retired"),IF(V1164&gt;0,-V1164,U1164-'Model Inputs'!$B$18),"")</f>
        <v/>
      </c>
      <c r="X1164" s="138">
        <f>IF(AND($L$247&gt;0,A1164&gt;=$C$13),$L$247*(1+$C$25)^(A1164-$C$13),0)</f>
        <v/>
      </c>
      <c r="Y1164" s="138">
        <f>IF(OR($L$247&lt;=0,$C$17&lt;=0,A1164&lt;$C$13,MIN(MAX((A1164-$C$13+1)*12,0),$C$17*12)&gt;=$C$17*12),0,IF($C$16=0,MAX(MAX($L$247*(1-$C$15),0)-(IF($C$17&lt;=0,0,IF($C$16=0,MAX($L$247*(1-$C$15),0)/$C$17,-PMT($C$16/12,$C$17*12,MAX($L$247*(1-$C$15),0))*12))/12)*MIN(MAX((A1164-$C$13+1)*12,0),$C$17*12),0),MAX(MAX($L$247*(1-$C$15),0)*(1+$C$16/12)^MIN(MAX((A1164-$C$13+1)*12,0),$C$17*12)-(IF($C$17&lt;=0,0,IF($C$16=0,MAX($L$247*(1-$C$15),0)/$C$17,-PMT($C$16/12,$C$17*12,MAX($L$247*(1-$C$15),0))*12))/12)*(((1+$C$16/12)^MIN(MAX((A1164-$C$13+1)*12,0),$C$17*12)-1)/($C$16/12)),0)))</f>
        <v/>
      </c>
      <c r="Z1164" s="138">
        <f>MAX(X1164-Y1164,0)</f>
        <v/>
      </c>
      <c r="AA1164" s="142">
        <f>U1164+Z1164</f>
        <v/>
      </c>
      <c r="AB1164" s="5" t="n"/>
      <c r="AC1164" s="5" t="n"/>
      <c r="AD1164" s="5" t="n"/>
      <c r="AE1164" s="5" t="n"/>
      <c r="AF1164" s="5" t="n"/>
      <c r="AG1164" s="5" t="n"/>
    </row>
    <row r="1165" outlineLevel="1" s="326">
      <c r="A1165" s="136" t="n">
        <v>29</v>
      </c>
      <c r="B1165" s="72">
        <f>B108</f>
        <v/>
      </c>
      <c r="C1165" s="137">
        <f>D108</f>
        <v/>
      </c>
      <c r="D1165" s="137">
        <f>I108</f>
        <v/>
      </c>
      <c r="E1165" s="137">
        <f>J108</f>
        <v/>
      </c>
      <c r="F1165" s="137">
        <f>K108</f>
        <v/>
      </c>
      <c r="G1165" s="138">
        <f>IF(AND($L$247&gt;0,A1165=$C$13),$L$247*($C$15+$C$18),0)+IF(AND($L$247&gt;0,A1165=$C$13),$C$24,0)</f>
        <v/>
      </c>
      <c r="H1165" s="138">
        <f>IF(OR($L$247&lt;=0,A1165&lt;$C$13),0,IF(AND($L$247&gt;0,$C$17&gt;0,A1165&gt;=$C$13,A1165&lt;($C$13+$C$17)),IF($C$17&lt;=0,0,IF($C$16=0,MAX($L$247*(1-$C$15),0)/$C$17,-PMT($C$16/12,$C$17*12,MAX($L$247*(1-$C$15),0))*12)),0)+X1165*($C$19+$C$20+$C$21)+$C$22+$C$23)</f>
        <v/>
      </c>
      <c r="I1165" s="138">
        <f>IF(B1165="Working",MIN(MAX(D1165-E1165-F1165-G1165-H1165,0),'Tax Assumptions'!$B$20),0)</f>
        <v/>
      </c>
      <c r="J1165" s="138">
        <f>IF(B1165="Working",D1165-E1165-F1165-I1165-G1165-H1165,-L1165)</f>
        <v/>
      </c>
      <c r="K1165" s="137">
        <f>IF(B1165="Retired",$N$247+G1165+H1165,0)</f>
        <v/>
      </c>
      <c r="L1165" s="137">
        <f>M1165+N1165+O1165+P1165</f>
        <v/>
      </c>
      <c r="M1165" s="137">
        <f>IF(B1165="Retired",MIN(((Q1164)*(1+$C$10)+IF(B1165="Working",J1165,0)),K1165),0)</f>
        <v/>
      </c>
      <c r="N1165" s="137">
        <f>IF(B1165="Retired",MIN(MAX(K1165-M1165,0),((R1164)*(1+$C$10)+IF(B1165="Working",E108,0))),0)</f>
        <v/>
      </c>
      <c r="O1165" s="137">
        <f>IF(B1165="Retired",MIN(MAX(K1165-M1165-N1165,0),((S1164)*(1+$C$10)+IF(B1165="Working",I1165,0))),0)</f>
        <v/>
      </c>
      <c r="P1165" s="137">
        <f>IF(B1165="Retired",MIN(MAX(K1165-M1165-N1165-O1165,0),((T1164)*(1+$C$10)+IF(B1165="Working",F108,0))),0)</f>
        <v/>
      </c>
      <c r="Q1165" s="138">
        <f>MAX(((Q1164)*(1+$C$10)+IF(B1165="Working",J1165,0))-M1165,0)</f>
        <v/>
      </c>
      <c r="R1165" s="138">
        <f>MAX(((R1164)*(1+$C$10)+IF(B1165="Working",E108,0))-N1165,0)</f>
        <v/>
      </c>
      <c r="S1165" s="138">
        <f>MAX(((S1164)*(1+$C$10)+IF(B1165="Working",I1165,0))-O1165,0)</f>
        <v/>
      </c>
      <c r="T1165" s="138">
        <f>MAX(((T1164)*(1+$C$10)+IF(B1165="Working",F108,0))-P1165,0)</f>
        <v/>
      </c>
      <c r="U1165" s="138">
        <f>Q1165+R1165+S1165+T1165</f>
        <v/>
      </c>
      <c r="V1165" s="138">
        <f>IF(B1165="Working",MAX(-(((Q1164)*(1+$C$10)+IF(B1165="Working",J1165,0))),0),MAX(K1165-L1165,0))</f>
        <v/>
      </c>
      <c r="W1165" s="138">
        <f>IF(OR(A1165&gt;=$C$13,B1165="Retired"),IF(V1165&gt;0,-V1165,U1165-'Model Inputs'!$B$18),"")</f>
        <v/>
      </c>
      <c r="X1165" s="138">
        <f>IF(AND($L$247&gt;0,A1165&gt;=$C$13),$L$247*(1+$C$25)^(A1165-$C$13),0)</f>
        <v/>
      </c>
      <c r="Y1165" s="138">
        <f>IF(OR($L$247&lt;=0,$C$17&lt;=0,A1165&lt;$C$13,MIN(MAX((A1165-$C$13+1)*12,0),$C$17*12)&gt;=$C$17*12),0,IF($C$16=0,MAX(MAX($L$247*(1-$C$15),0)-(IF($C$17&lt;=0,0,IF($C$16=0,MAX($L$247*(1-$C$15),0)/$C$17,-PMT($C$16/12,$C$17*12,MAX($L$247*(1-$C$15),0))*12))/12)*MIN(MAX((A1165-$C$13+1)*12,0),$C$17*12),0),MAX(MAX($L$247*(1-$C$15),0)*(1+$C$16/12)^MIN(MAX((A1165-$C$13+1)*12,0),$C$17*12)-(IF($C$17&lt;=0,0,IF($C$16=0,MAX($L$247*(1-$C$15),0)/$C$17,-PMT($C$16/12,$C$17*12,MAX($L$247*(1-$C$15),0))*12))/12)*(((1+$C$16/12)^MIN(MAX((A1165-$C$13+1)*12,0),$C$17*12)-1)/($C$16/12)),0)))</f>
        <v/>
      </c>
      <c r="Z1165" s="138">
        <f>MAX(X1165-Y1165,0)</f>
        <v/>
      </c>
      <c r="AA1165" s="139">
        <f>U1165+Z1165</f>
        <v/>
      </c>
      <c r="AB1165" s="5" t="n"/>
      <c r="AC1165" s="5" t="n"/>
      <c r="AD1165" s="5" t="n"/>
      <c r="AE1165" s="5" t="n"/>
      <c r="AF1165" s="5" t="n"/>
      <c r="AG1165" s="5" t="n"/>
    </row>
    <row r="1166" outlineLevel="1" s="326">
      <c r="A1166" s="140" t="n">
        <v>30</v>
      </c>
      <c r="B1166" s="40">
        <f>B109</f>
        <v/>
      </c>
      <c r="C1166" s="141">
        <f>D109</f>
        <v/>
      </c>
      <c r="D1166" s="141">
        <f>I109</f>
        <v/>
      </c>
      <c r="E1166" s="141">
        <f>J109</f>
        <v/>
      </c>
      <c r="F1166" s="141">
        <f>K109</f>
        <v/>
      </c>
      <c r="G1166" s="138">
        <f>IF(AND($L$247&gt;0,A1166=$C$13),$L$247*($C$15+$C$18),0)+IF(AND($L$247&gt;0,A1166=$C$13),$C$24,0)</f>
        <v/>
      </c>
      <c r="H1166" s="138">
        <f>IF(OR($L$247&lt;=0,A1166&lt;$C$13),0,IF(AND($L$247&gt;0,$C$17&gt;0,A1166&gt;=$C$13,A1166&lt;($C$13+$C$17)),IF($C$17&lt;=0,0,IF($C$16=0,MAX($L$247*(1-$C$15),0)/$C$17,-PMT($C$16/12,$C$17*12,MAX($L$247*(1-$C$15),0))*12)),0)+X1166*($C$19+$C$20+$C$21)+$C$22+$C$23)</f>
        <v/>
      </c>
      <c r="I1166" s="138">
        <f>IF(B1166="Working",MIN(MAX(D1166-E1166-F1166-G1166-H1166,0),'Tax Assumptions'!$B$20),0)</f>
        <v/>
      </c>
      <c r="J1166" s="138">
        <f>IF(B1166="Working",D1166-E1166-F1166-I1166-G1166-H1166,-L1166)</f>
        <v/>
      </c>
      <c r="K1166" s="141">
        <f>IF(B1166="Retired",$N$247+G1166+H1166,0)</f>
        <v/>
      </c>
      <c r="L1166" s="141">
        <f>M1166+N1166+O1166+P1166</f>
        <v/>
      </c>
      <c r="M1166" s="141">
        <f>IF(B1166="Retired",MIN(((Q1165)*(1+$C$10)+IF(B1166="Working",J1166,0)),K1166),0)</f>
        <v/>
      </c>
      <c r="N1166" s="141">
        <f>IF(B1166="Retired",MIN(MAX(K1166-M1166,0),((R1165)*(1+$C$10)+IF(B1166="Working",E109,0))),0)</f>
        <v/>
      </c>
      <c r="O1166" s="141">
        <f>IF(B1166="Retired",MIN(MAX(K1166-M1166-N1166,0),((S1165)*(1+$C$10)+IF(B1166="Working",I1166,0))),0)</f>
        <v/>
      </c>
      <c r="P1166" s="141">
        <f>IF(B1166="Retired",MIN(MAX(K1166-M1166-N1166-O1166,0),((T1165)*(1+$C$10)+IF(B1166="Working",F109,0))),0)</f>
        <v/>
      </c>
      <c r="Q1166" s="138">
        <f>MAX(((Q1165)*(1+$C$10)+IF(B1166="Working",J1166,0))-M1166,0)</f>
        <v/>
      </c>
      <c r="R1166" s="138">
        <f>MAX(((R1165)*(1+$C$10)+IF(B1166="Working",E109,0))-N1166,0)</f>
        <v/>
      </c>
      <c r="S1166" s="138">
        <f>MAX(((S1165)*(1+$C$10)+IF(B1166="Working",I1166,0))-O1166,0)</f>
        <v/>
      </c>
      <c r="T1166" s="138">
        <f>MAX(((T1165)*(1+$C$10)+IF(B1166="Working",F109,0))-P1166,0)</f>
        <v/>
      </c>
      <c r="U1166" s="138">
        <f>Q1166+R1166+S1166+T1166</f>
        <v/>
      </c>
      <c r="V1166" s="138">
        <f>IF(B1166="Working",MAX(-(((Q1165)*(1+$C$10)+IF(B1166="Working",J1166,0))),0),MAX(K1166-L1166,0))</f>
        <v/>
      </c>
      <c r="W1166" s="138">
        <f>IF(OR(A1166&gt;=$C$13,B1166="Retired"),IF(V1166&gt;0,-V1166,U1166-'Model Inputs'!$B$18),"")</f>
        <v/>
      </c>
      <c r="X1166" s="138">
        <f>IF(AND($L$247&gt;0,A1166&gt;=$C$13),$L$247*(1+$C$25)^(A1166-$C$13),0)</f>
        <v/>
      </c>
      <c r="Y1166" s="138">
        <f>IF(OR($L$247&lt;=0,$C$17&lt;=0,A1166&lt;$C$13,MIN(MAX((A1166-$C$13+1)*12,0),$C$17*12)&gt;=$C$17*12),0,IF($C$16=0,MAX(MAX($L$247*(1-$C$15),0)-(IF($C$17&lt;=0,0,IF($C$16=0,MAX($L$247*(1-$C$15),0)/$C$17,-PMT($C$16/12,$C$17*12,MAX($L$247*(1-$C$15),0))*12))/12)*MIN(MAX((A1166-$C$13+1)*12,0),$C$17*12),0),MAX(MAX($L$247*(1-$C$15),0)*(1+$C$16/12)^MIN(MAX((A1166-$C$13+1)*12,0),$C$17*12)-(IF($C$17&lt;=0,0,IF($C$16=0,MAX($L$247*(1-$C$15),0)/$C$17,-PMT($C$16/12,$C$17*12,MAX($L$247*(1-$C$15),0))*12))/12)*(((1+$C$16/12)^MIN(MAX((A1166-$C$13+1)*12,0),$C$17*12)-1)/($C$16/12)),0)))</f>
        <v/>
      </c>
      <c r="Z1166" s="138">
        <f>MAX(X1166-Y1166,0)</f>
        <v/>
      </c>
      <c r="AA1166" s="142">
        <f>U1166+Z1166</f>
        <v/>
      </c>
      <c r="AB1166" s="5" t="n"/>
      <c r="AC1166" s="5" t="n"/>
      <c r="AD1166" s="5" t="n"/>
      <c r="AE1166" s="5" t="n"/>
      <c r="AF1166" s="5" t="n"/>
      <c r="AG1166" s="5" t="n"/>
    </row>
    <row r="1167" outlineLevel="1" s="326">
      <c r="A1167" s="136" t="n">
        <v>31</v>
      </c>
      <c r="B1167" s="72">
        <f>B110</f>
        <v/>
      </c>
      <c r="C1167" s="137">
        <f>D110</f>
        <v/>
      </c>
      <c r="D1167" s="137">
        <f>I110</f>
        <v/>
      </c>
      <c r="E1167" s="137">
        <f>J110</f>
        <v/>
      </c>
      <c r="F1167" s="137">
        <f>K110</f>
        <v/>
      </c>
      <c r="G1167" s="138">
        <f>IF(AND($L$247&gt;0,A1167=$C$13),$L$247*($C$15+$C$18),0)+IF(AND($L$247&gt;0,A1167=$C$13),$C$24,0)</f>
        <v/>
      </c>
      <c r="H1167" s="138">
        <f>IF(OR($L$247&lt;=0,A1167&lt;$C$13),0,IF(AND($L$247&gt;0,$C$17&gt;0,A1167&gt;=$C$13,A1167&lt;($C$13+$C$17)),IF($C$17&lt;=0,0,IF($C$16=0,MAX($L$247*(1-$C$15),0)/$C$17,-PMT($C$16/12,$C$17*12,MAX($L$247*(1-$C$15),0))*12)),0)+X1167*($C$19+$C$20+$C$21)+$C$22+$C$23)</f>
        <v/>
      </c>
      <c r="I1167" s="138">
        <f>IF(B1167="Working",MIN(MAX(D1167-E1167-F1167-G1167-H1167,0),'Tax Assumptions'!$B$20),0)</f>
        <v/>
      </c>
      <c r="J1167" s="138">
        <f>IF(B1167="Working",D1167-E1167-F1167-I1167-G1167-H1167,-L1167)</f>
        <v/>
      </c>
      <c r="K1167" s="137">
        <f>IF(B1167="Retired",$N$247+G1167+H1167,0)</f>
        <v/>
      </c>
      <c r="L1167" s="137">
        <f>M1167+N1167+O1167+P1167</f>
        <v/>
      </c>
      <c r="M1167" s="137">
        <f>IF(B1167="Retired",MIN(((Q1166)*(1+$C$10)+IF(B1167="Working",J1167,0)),K1167),0)</f>
        <v/>
      </c>
      <c r="N1167" s="137">
        <f>IF(B1167="Retired",MIN(MAX(K1167-M1167,0),((R1166)*(1+$C$10)+IF(B1167="Working",E110,0))),0)</f>
        <v/>
      </c>
      <c r="O1167" s="137">
        <f>IF(B1167="Retired",MIN(MAX(K1167-M1167-N1167,0),((S1166)*(1+$C$10)+IF(B1167="Working",I1167,0))),0)</f>
        <v/>
      </c>
      <c r="P1167" s="137">
        <f>IF(B1167="Retired",MIN(MAX(K1167-M1167-N1167-O1167,0),((T1166)*(1+$C$10)+IF(B1167="Working",F110,0))),0)</f>
        <v/>
      </c>
      <c r="Q1167" s="138">
        <f>MAX(((Q1166)*(1+$C$10)+IF(B1167="Working",J1167,0))-M1167,0)</f>
        <v/>
      </c>
      <c r="R1167" s="138">
        <f>MAX(((R1166)*(1+$C$10)+IF(B1167="Working",E110,0))-N1167,0)</f>
        <v/>
      </c>
      <c r="S1167" s="138">
        <f>MAX(((S1166)*(1+$C$10)+IF(B1167="Working",I1167,0))-O1167,0)</f>
        <v/>
      </c>
      <c r="T1167" s="138">
        <f>MAX(((T1166)*(1+$C$10)+IF(B1167="Working",F110,0))-P1167,0)</f>
        <v/>
      </c>
      <c r="U1167" s="138">
        <f>Q1167+R1167+S1167+T1167</f>
        <v/>
      </c>
      <c r="V1167" s="138">
        <f>IF(B1167="Working",MAX(-(((Q1166)*(1+$C$10)+IF(B1167="Working",J1167,0))),0),MAX(K1167-L1167,0))</f>
        <v/>
      </c>
      <c r="W1167" s="138">
        <f>IF(OR(A1167&gt;=$C$13,B1167="Retired"),IF(V1167&gt;0,-V1167,U1167-'Model Inputs'!$B$18),"")</f>
        <v/>
      </c>
      <c r="X1167" s="138">
        <f>IF(AND($L$247&gt;0,A1167&gt;=$C$13),$L$247*(1+$C$25)^(A1167-$C$13),0)</f>
        <v/>
      </c>
      <c r="Y1167" s="138">
        <f>IF(OR($L$247&lt;=0,$C$17&lt;=0,A1167&lt;$C$13,MIN(MAX((A1167-$C$13+1)*12,0),$C$17*12)&gt;=$C$17*12),0,IF($C$16=0,MAX(MAX($L$247*(1-$C$15),0)-(IF($C$17&lt;=0,0,IF($C$16=0,MAX($L$247*(1-$C$15),0)/$C$17,-PMT($C$16/12,$C$17*12,MAX($L$247*(1-$C$15),0))*12))/12)*MIN(MAX((A1167-$C$13+1)*12,0),$C$17*12),0),MAX(MAX($L$247*(1-$C$15),0)*(1+$C$16/12)^MIN(MAX((A1167-$C$13+1)*12,0),$C$17*12)-(IF($C$17&lt;=0,0,IF($C$16=0,MAX($L$247*(1-$C$15),0)/$C$17,-PMT($C$16/12,$C$17*12,MAX($L$247*(1-$C$15),0))*12))/12)*(((1+$C$16/12)^MIN(MAX((A1167-$C$13+1)*12,0),$C$17*12)-1)/($C$16/12)),0)))</f>
        <v/>
      </c>
      <c r="Z1167" s="138">
        <f>MAX(X1167-Y1167,0)</f>
        <v/>
      </c>
      <c r="AA1167" s="139">
        <f>U1167+Z1167</f>
        <v/>
      </c>
      <c r="AB1167" s="5" t="n"/>
      <c r="AC1167" s="5" t="n"/>
      <c r="AD1167" s="5" t="n"/>
      <c r="AE1167" s="5" t="n"/>
      <c r="AF1167" s="5" t="n"/>
      <c r="AG1167" s="5" t="n"/>
    </row>
    <row r="1168" outlineLevel="1" s="326">
      <c r="A1168" s="140" t="n">
        <v>32</v>
      </c>
      <c r="B1168" s="40">
        <f>B111</f>
        <v/>
      </c>
      <c r="C1168" s="141">
        <f>D111</f>
        <v/>
      </c>
      <c r="D1168" s="141">
        <f>I111</f>
        <v/>
      </c>
      <c r="E1168" s="141">
        <f>J111</f>
        <v/>
      </c>
      <c r="F1168" s="141">
        <f>K111</f>
        <v/>
      </c>
      <c r="G1168" s="138">
        <f>IF(AND($L$247&gt;0,A1168=$C$13),$L$247*($C$15+$C$18),0)+IF(AND($L$247&gt;0,A1168=$C$13),$C$24,0)</f>
        <v/>
      </c>
      <c r="H1168" s="138">
        <f>IF(OR($L$247&lt;=0,A1168&lt;$C$13),0,IF(AND($L$247&gt;0,$C$17&gt;0,A1168&gt;=$C$13,A1168&lt;($C$13+$C$17)),IF($C$17&lt;=0,0,IF($C$16=0,MAX($L$247*(1-$C$15),0)/$C$17,-PMT($C$16/12,$C$17*12,MAX($L$247*(1-$C$15),0))*12)),0)+X1168*($C$19+$C$20+$C$21)+$C$22+$C$23)</f>
        <v/>
      </c>
      <c r="I1168" s="138">
        <f>IF(B1168="Working",MIN(MAX(D1168-E1168-F1168-G1168-H1168,0),'Tax Assumptions'!$B$20),0)</f>
        <v/>
      </c>
      <c r="J1168" s="138">
        <f>IF(B1168="Working",D1168-E1168-F1168-I1168-G1168-H1168,-L1168)</f>
        <v/>
      </c>
      <c r="K1168" s="141">
        <f>IF(B1168="Retired",$N$247+G1168+H1168,0)</f>
        <v/>
      </c>
      <c r="L1168" s="141">
        <f>M1168+N1168+O1168+P1168</f>
        <v/>
      </c>
      <c r="M1168" s="141">
        <f>IF(B1168="Retired",MIN(((Q1167)*(1+$C$10)+IF(B1168="Working",J1168,0)),K1168),0)</f>
        <v/>
      </c>
      <c r="N1168" s="141">
        <f>IF(B1168="Retired",MIN(MAX(K1168-M1168,0),((R1167)*(1+$C$10)+IF(B1168="Working",E111,0))),0)</f>
        <v/>
      </c>
      <c r="O1168" s="141">
        <f>IF(B1168="Retired",MIN(MAX(K1168-M1168-N1168,0),((S1167)*(1+$C$10)+IF(B1168="Working",I1168,0))),0)</f>
        <v/>
      </c>
      <c r="P1168" s="141">
        <f>IF(B1168="Retired",MIN(MAX(K1168-M1168-N1168-O1168,0),((T1167)*(1+$C$10)+IF(B1168="Working",F111,0))),0)</f>
        <v/>
      </c>
      <c r="Q1168" s="138">
        <f>MAX(((Q1167)*(1+$C$10)+IF(B1168="Working",J1168,0))-M1168,0)</f>
        <v/>
      </c>
      <c r="R1168" s="138">
        <f>MAX(((R1167)*(1+$C$10)+IF(B1168="Working",E111,0))-N1168,0)</f>
        <v/>
      </c>
      <c r="S1168" s="138">
        <f>MAX(((S1167)*(1+$C$10)+IF(B1168="Working",I1168,0))-O1168,0)</f>
        <v/>
      </c>
      <c r="T1168" s="138">
        <f>MAX(((T1167)*(1+$C$10)+IF(B1168="Working",F111,0))-P1168,0)</f>
        <v/>
      </c>
      <c r="U1168" s="138">
        <f>Q1168+R1168+S1168+T1168</f>
        <v/>
      </c>
      <c r="V1168" s="138">
        <f>IF(B1168="Working",MAX(-(((Q1167)*(1+$C$10)+IF(B1168="Working",J1168,0))),0),MAX(K1168-L1168,0))</f>
        <v/>
      </c>
      <c r="W1168" s="138">
        <f>IF(OR(A1168&gt;=$C$13,B1168="Retired"),IF(V1168&gt;0,-V1168,U1168-'Model Inputs'!$B$18),"")</f>
        <v/>
      </c>
      <c r="X1168" s="138">
        <f>IF(AND($L$247&gt;0,A1168&gt;=$C$13),$L$247*(1+$C$25)^(A1168-$C$13),0)</f>
        <v/>
      </c>
      <c r="Y1168" s="138">
        <f>IF(OR($L$247&lt;=0,$C$17&lt;=0,A1168&lt;$C$13,MIN(MAX((A1168-$C$13+1)*12,0),$C$17*12)&gt;=$C$17*12),0,IF($C$16=0,MAX(MAX($L$247*(1-$C$15),0)-(IF($C$17&lt;=0,0,IF($C$16=0,MAX($L$247*(1-$C$15),0)/$C$17,-PMT($C$16/12,$C$17*12,MAX($L$247*(1-$C$15),0))*12))/12)*MIN(MAX((A1168-$C$13+1)*12,0),$C$17*12),0),MAX(MAX($L$247*(1-$C$15),0)*(1+$C$16/12)^MIN(MAX((A1168-$C$13+1)*12,0),$C$17*12)-(IF($C$17&lt;=0,0,IF($C$16=0,MAX($L$247*(1-$C$15),0)/$C$17,-PMT($C$16/12,$C$17*12,MAX($L$247*(1-$C$15),0))*12))/12)*(((1+$C$16/12)^MIN(MAX((A1168-$C$13+1)*12,0),$C$17*12)-1)/($C$16/12)),0)))</f>
        <v/>
      </c>
      <c r="Z1168" s="138">
        <f>MAX(X1168-Y1168,0)</f>
        <v/>
      </c>
      <c r="AA1168" s="142">
        <f>U1168+Z1168</f>
        <v/>
      </c>
      <c r="AB1168" s="5" t="n"/>
      <c r="AC1168" s="5" t="n"/>
      <c r="AD1168" s="5" t="n"/>
      <c r="AE1168" s="5" t="n"/>
      <c r="AF1168" s="5" t="n"/>
      <c r="AG1168" s="5" t="n"/>
    </row>
    <row r="1169" outlineLevel="1" s="326">
      <c r="A1169" s="136" t="n">
        <v>33</v>
      </c>
      <c r="B1169" s="72">
        <f>B112</f>
        <v/>
      </c>
      <c r="C1169" s="137">
        <f>D112</f>
        <v/>
      </c>
      <c r="D1169" s="137">
        <f>I112</f>
        <v/>
      </c>
      <c r="E1169" s="137">
        <f>J112</f>
        <v/>
      </c>
      <c r="F1169" s="137">
        <f>K112</f>
        <v/>
      </c>
      <c r="G1169" s="138">
        <f>IF(AND($L$247&gt;0,A1169=$C$13),$L$247*($C$15+$C$18),0)+IF(AND($L$247&gt;0,A1169=$C$13),$C$24,0)</f>
        <v/>
      </c>
      <c r="H1169" s="138">
        <f>IF(OR($L$247&lt;=0,A1169&lt;$C$13),0,IF(AND($L$247&gt;0,$C$17&gt;0,A1169&gt;=$C$13,A1169&lt;($C$13+$C$17)),IF($C$17&lt;=0,0,IF($C$16=0,MAX($L$247*(1-$C$15),0)/$C$17,-PMT($C$16/12,$C$17*12,MAX($L$247*(1-$C$15),0))*12)),0)+X1169*($C$19+$C$20+$C$21)+$C$22+$C$23)</f>
        <v/>
      </c>
      <c r="I1169" s="138">
        <f>IF(B1169="Working",MIN(MAX(D1169-E1169-F1169-G1169-H1169,0),'Tax Assumptions'!$B$20),0)</f>
        <v/>
      </c>
      <c r="J1169" s="138">
        <f>IF(B1169="Working",D1169-E1169-F1169-I1169-G1169-H1169,-L1169)</f>
        <v/>
      </c>
      <c r="K1169" s="137">
        <f>IF(B1169="Retired",$N$247+G1169+H1169,0)</f>
        <v/>
      </c>
      <c r="L1169" s="137">
        <f>M1169+N1169+O1169+P1169</f>
        <v/>
      </c>
      <c r="M1169" s="137">
        <f>IF(B1169="Retired",MIN(((Q1168)*(1+$C$10)+IF(B1169="Working",J1169,0)),K1169),0)</f>
        <v/>
      </c>
      <c r="N1169" s="137">
        <f>IF(B1169="Retired",MIN(MAX(K1169-M1169,0),((R1168)*(1+$C$10)+IF(B1169="Working",E112,0))),0)</f>
        <v/>
      </c>
      <c r="O1169" s="137">
        <f>IF(B1169="Retired",MIN(MAX(K1169-M1169-N1169,0),((S1168)*(1+$C$10)+IF(B1169="Working",I1169,0))),0)</f>
        <v/>
      </c>
      <c r="P1169" s="137">
        <f>IF(B1169="Retired",MIN(MAX(K1169-M1169-N1169-O1169,0),((T1168)*(1+$C$10)+IF(B1169="Working",F112,0))),0)</f>
        <v/>
      </c>
      <c r="Q1169" s="138">
        <f>MAX(((Q1168)*(1+$C$10)+IF(B1169="Working",J1169,0))-M1169,0)</f>
        <v/>
      </c>
      <c r="R1169" s="138">
        <f>MAX(((R1168)*(1+$C$10)+IF(B1169="Working",E112,0))-N1169,0)</f>
        <v/>
      </c>
      <c r="S1169" s="138">
        <f>MAX(((S1168)*(1+$C$10)+IF(B1169="Working",I1169,0))-O1169,0)</f>
        <v/>
      </c>
      <c r="T1169" s="138">
        <f>MAX(((T1168)*(1+$C$10)+IF(B1169="Working",F112,0))-P1169,0)</f>
        <v/>
      </c>
      <c r="U1169" s="138">
        <f>Q1169+R1169+S1169+T1169</f>
        <v/>
      </c>
      <c r="V1169" s="138">
        <f>IF(B1169="Working",MAX(-(((Q1168)*(1+$C$10)+IF(B1169="Working",J1169,0))),0),MAX(K1169-L1169,0))</f>
        <v/>
      </c>
      <c r="W1169" s="138">
        <f>IF(OR(A1169&gt;=$C$13,B1169="Retired"),IF(V1169&gt;0,-V1169,U1169-'Model Inputs'!$B$18),"")</f>
        <v/>
      </c>
      <c r="X1169" s="138">
        <f>IF(AND($L$247&gt;0,A1169&gt;=$C$13),$L$247*(1+$C$25)^(A1169-$C$13),0)</f>
        <v/>
      </c>
      <c r="Y1169" s="138">
        <f>IF(OR($L$247&lt;=0,$C$17&lt;=0,A1169&lt;$C$13,MIN(MAX((A1169-$C$13+1)*12,0),$C$17*12)&gt;=$C$17*12),0,IF($C$16=0,MAX(MAX($L$247*(1-$C$15),0)-(IF($C$17&lt;=0,0,IF($C$16=0,MAX($L$247*(1-$C$15),0)/$C$17,-PMT($C$16/12,$C$17*12,MAX($L$247*(1-$C$15),0))*12))/12)*MIN(MAX((A1169-$C$13+1)*12,0),$C$17*12),0),MAX(MAX($L$247*(1-$C$15),0)*(1+$C$16/12)^MIN(MAX((A1169-$C$13+1)*12,0),$C$17*12)-(IF($C$17&lt;=0,0,IF($C$16=0,MAX($L$247*(1-$C$15),0)/$C$17,-PMT($C$16/12,$C$17*12,MAX($L$247*(1-$C$15),0))*12))/12)*(((1+$C$16/12)^MIN(MAX((A1169-$C$13+1)*12,0),$C$17*12)-1)/($C$16/12)),0)))</f>
        <v/>
      </c>
      <c r="Z1169" s="138">
        <f>MAX(X1169-Y1169,0)</f>
        <v/>
      </c>
      <c r="AA1169" s="139">
        <f>U1169+Z1169</f>
        <v/>
      </c>
      <c r="AB1169" s="5" t="n"/>
      <c r="AC1169" s="5" t="n"/>
      <c r="AD1169" s="5" t="n"/>
      <c r="AE1169" s="5" t="n"/>
      <c r="AF1169" s="5" t="n"/>
      <c r="AG1169" s="5" t="n"/>
    </row>
    <row r="1170" outlineLevel="1" s="326">
      <c r="A1170" s="140" t="n">
        <v>34</v>
      </c>
      <c r="B1170" s="40">
        <f>B113</f>
        <v/>
      </c>
      <c r="C1170" s="141">
        <f>D113</f>
        <v/>
      </c>
      <c r="D1170" s="141">
        <f>I113</f>
        <v/>
      </c>
      <c r="E1170" s="141">
        <f>J113</f>
        <v/>
      </c>
      <c r="F1170" s="141">
        <f>K113</f>
        <v/>
      </c>
      <c r="G1170" s="138">
        <f>IF(AND($L$247&gt;0,A1170=$C$13),$L$247*($C$15+$C$18),0)+IF(AND($L$247&gt;0,A1170=$C$13),$C$24,0)</f>
        <v/>
      </c>
      <c r="H1170" s="138">
        <f>IF(OR($L$247&lt;=0,A1170&lt;$C$13),0,IF(AND($L$247&gt;0,$C$17&gt;0,A1170&gt;=$C$13,A1170&lt;($C$13+$C$17)),IF($C$17&lt;=0,0,IF($C$16=0,MAX($L$247*(1-$C$15),0)/$C$17,-PMT($C$16/12,$C$17*12,MAX($L$247*(1-$C$15),0))*12)),0)+X1170*($C$19+$C$20+$C$21)+$C$22+$C$23)</f>
        <v/>
      </c>
      <c r="I1170" s="138">
        <f>IF(B1170="Working",MIN(MAX(D1170-E1170-F1170-G1170-H1170,0),'Tax Assumptions'!$B$20),0)</f>
        <v/>
      </c>
      <c r="J1170" s="138">
        <f>IF(B1170="Working",D1170-E1170-F1170-I1170-G1170-H1170,-L1170)</f>
        <v/>
      </c>
      <c r="K1170" s="141">
        <f>IF(B1170="Retired",$N$247+G1170+H1170,0)</f>
        <v/>
      </c>
      <c r="L1170" s="141">
        <f>M1170+N1170+O1170+P1170</f>
        <v/>
      </c>
      <c r="M1170" s="141">
        <f>IF(B1170="Retired",MIN(((Q1169)*(1+$C$10)+IF(B1170="Working",J1170,0)),K1170),0)</f>
        <v/>
      </c>
      <c r="N1170" s="141">
        <f>IF(B1170="Retired",MIN(MAX(K1170-M1170,0),((R1169)*(1+$C$10)+IF(B1170="Working",E113,0))),0)</f>
        <v/>
      </c>
      <c r="O1170" s="141">
        <f>IF(B1170="Retired",MIN(MAX(K1170-M1170-N1170,0),((S1169)*(1+$C$10)+IF(B1170="Working",I1170,0))),0)</f>
        <v/>
      </c>
      <c r="P1170" s="141">
        <f>IF(B1170="Retired",MIN(MAX(K1170-M1170-N1170-O1170,0),((T1169)*(1+$C$10)+IF(B1170="Working",F113,0))),0)</f>
        <v/>
      </c>
      <c r="Q1170" s="138">
        <f>MAX(((Q1169)*(1+$C$10)+IF(B1170="Working",J1170,0))-M1170,0)</f>
        <v/>
      </c>
      <c r="R1170" s="138">
        <f>MAX(((R1169)*(1+$C$10)+IF(B1170="Working",E113,0))-N1170,0)</f>
        <v/>
      </c>
      <c r="S1170" s="138">
        <f>MAX(((S1169)*(1+$C$10)+IF(B1170="Working",I1170,0))-O1170,0)</f>
        <v/>
      </c>
      <c r="T1170" s="138">
        <f>MAX(((T1169)*(1+$C$10)+IF(B1170="Working",F113,0))-P1170,0)</f>
        <v/>
      </c>
      <c r="U1170" s="138">
        <f>Q1170+R1170+S1170+T1170</f>
        <v/>
      </c>
      <c r="V1170" s="138">
        <f>IF(B1170="Working",MAX(-(((Q1169)*(1+$C$10)+IF(B1170="Working",J1170,0))),0),MAX(K1170-L1170,0))</f>
        <v/>
      </c>
      <c r="W1170" s="138">
        <f>IF(OR(A1170&gt;=$C$13,B1170="Retired"),IF(V1170&gt;0,-V1170,U1170-'Model Inputs'!$B$18),"")</f>
        <v/>
      </c>
      <c r="X1170" s="138">
        <f>IF(AND($L$247&gt;0,A1170&gt;=$C$13),$L$247*(1+$C$25)^(A1170-$C$13),0)</f>
        <v/>
      </c>
      <c r="Y1170" s="138">
        <f>IF(OR($L$247&lt;=0,$C$17&lt;=0,A1170&lt;$C$13,MIN(MAX((A1170-$C$13+1)*12,0),$C$17*12)&gt;=$C$17*12),0,IF($C$16=0,MAX(MAX($L$247*(1-$C$15),0)-(IF($C$17&lt;=0,0,IF($C$16=0,MAX($L$247*(1-$C$15),0)/$C$17,-PMT($C$16/12,$C$17*12,MAX($L$247*(1-$C$15),0))*12))/12)*MIN(MAX((A1170-$C$13+1)*12,0),$C$17*12),0),MAX(MAX($L$247*(1-$C$15),0)*(1+$C$16/12)^MIN(MAX((A1170-$C$13+1)*12,0),$C$17*12)-(IF($C$17&lt;=0,0,IF($C$16=0,MAX($L$247*(1-$C$15),0)/$C$17,-PMT($C$16/12,$C$17*12,MAX($L$247*(1-$C$15),0))*12))/12)*(((1+$C$16/12)^MIN(MAX((A1170-$C$13+1)*12,0),$C$17*12)-1)/($C$16/12)),0)))</f>
        <v/>
      </c>
      <c r="Z1170" s="138">
        <f>MAX(X1170-Y1170,0)</f>
        <v/>
      </c>
      <c r="AA1170" s="142">
        <f>U1170+Z1170</f>
        <v/>
      </c>
      <c r="AB1170" s="5" t="n"/>
      <c r="AC1170" s="5" t="n"/>
      <c r="AD1170" s="5" t="n"/>
      <c r="AE1170" s="5" t="n"/>
      <c r="AF1170" s="5" t="n"/>
      <c r="AG1170" s="5" t="n"/>
    </row>
    <row r="1171" outlineLevel="1" s="326">
      <c r="A1171" s="136" t="n">
        <v>35</v>
      </c>
      <c r="B1171" s="72">
        <f>B114</f>
        <v/>
      </c>
      <c r="C1171" s="137">
        <f>D114</f>
        <v/>
      </c>
      <c r="D1171" s="137">
        <f>I114</f>
        <v/>
      </c>
      <c r="E1171" s="137">
        <f>J114</f>
        <v/>
      </c>
      <c r="F1171" s="137">
        <f>K114</f>
        <v/>
      </c>
      <c r="G1171" s="138">
        <f>IF(AND($L$247&gt;0,A1171=$C$13),$L$247*($C$15+$C$18),0)+IF(AND($L$247&gt;0,A1171=$C$13),$C$24,0)</f>
        <v/>
      </c>
      <c r="H1171" s="138">
        <f>IF(OR($L$247&lt;=0,A1171&lt;$C$13),0,IF(AND($L$247&gt;0,$C$17&gt;0,A1171&gt;=$C$13,A1171&lt;($C$13+$C$17)),IF($C$17&lt;=0,0,IF($C$16=0,MAX($L$247*(1-$C$15),0)/$C$17,-PMT($C$16/12,$C$17*12,MAX($L$247*(1-$C$15),0))*12)),0)+X1171*($C$19+$C$20+$C$21)+$C$22+$C$23)</f>
        <v/>
      </c>
      <c r="I1171" s="138">
        <f>IF(B1171="Working",MIN(MAX(D1171-E1171-F1171-G1171-H1171,0),'Tax Assumptions'!$B$20),0)</f>
        <v/>
      </c>
      <c r="J1171" s="138">
        <f>IF(B1171="Working",D1171-E1171-F1171-I1171-G1171-H1171,-L1171)</f>
        <v/>
      </c>
      <c r="K1171" s="137">
        <f>IF(B1171="Retired",$N$247+G1171+H1171,0)</f>
        <v/>
      </c>
      <c r="L1171" s="137">
        <f>M1171+N1171+O1171+P1171</f>
        <v/>
      </c>
      <c r="M1171" s="137">
        <f>IF(B1171="Retired",MIN(((Q1170)*(1+$C$10)+IF(B1171="Working",J1171,0)),K1171),0)</f>
        <v/>
      </c>
      <c r="N1171" s="137">
        <f>IF(B1171="Retired",MIN(MAX(K1171-M1171,0),((R1170)*(1+$C$10)+IF(B1171="Working",E114,0))),0)</f>
        <v/>
      </c>
      <c r="O1171" s="137">
        <f>IF(B1171="Retired",MIN(MAX(K1171-M1171-N1171,0),((S1170)*(1+$C$10)+IF(B1171="Working",I1171,0))),0)</f>
        <v/>
      </c>
      <c r="P1171" s="137">
        <f>IF(B1171="Retired",MIN(MAX(K1171-M1171-N1171-O1171,0),((T1170)*(1+$C$10)+IF(B1171="Working",F114,0))),0)</f>
        <v/>
      </c>
      <c r="Q1171" s="138">
        <f>MAX(((Q1170)*(1+$C$10)+IF(B1171="Working",J1171,0))-M1171,0)</f>
        <v/>
      </c>
      <c r="R1171" s="138">
        <f>MAX(((R1170)*(1+$C$10)+IF(B1171="Working",E114,0))-N1171,0)</f>
        <v/>
      </c>
      <c r="S1171" s="138">
        <f>MAX(((S1170)*(1+$C$10)+IF(B1171="Working",I1171,0))-O1171,0)</f>
        <v/>
      </c>
      <c r="T1171" s="138">
        <f>MAX(((T1170)*(1+$C$10)+IF(B1171="Working",F114,0))-P1171,0)</f>
        <v/>
      </c>
      <c r="U1171" s="138">
        <f>Q1171+R1171+S1171+T1171</f>
        <v/>
      </c>
      <c r="V1171" s="138">
        <f>IF(B1171="Working",MAX(-(((Q1170)*(1+$C$10)+IF(B1171="Working",J1171,0))),0),MAX(K1171-L1171,0))</f>
        <v/>
      </c>
      <c r="W1171" s="138">
        <f>IF(OR(A1171&gt;=$C$13,B1171="Retired"),IF(V1171&gt;0,-V1171,U1171-'Model Inputs'!$B$18),"")</f>
        <v/>
      </c>
      <c r="X1171" s="138">
        <f>IF(AND($L$247&gt;0,A1171&gt;=$C$13),$L$247*(1+$C$25)^(A1171-$C$13),0)</f>
        <v/>
      </c>
      <c r="Y1171" s="138">
        <f>IF(OR($L$247&lt;=0,$C$17&lt;=0,A1171&lt;$C$13,MIN(MAX((A1171-$C$13+1)*12,0),$C$17*12)&gt;=$C$17*12),0,IF($C$16=0,MAX(MAX($L$247*(1-$C$15),0)-(IF($C$17&lt;=0,0,IF($C$16=0,MAX($L$247*(1-$C$15),0)/$C$17,-PMT($C$16/12,$C$17*12,MAX($L$247*(1-$C$15),0))*12))/12)*MIN(MAX((A1171-$C$13+1)*12,0),$C$17*12),0),MAX(MAX($L$247*(1-$C$15),0)*(1+$C$16/12)^MIN(MAX((A1171-$C$13+1)*12,0),$C$17*12)-(IF($C$17&lt;=0,0,IF($C$16=0,MAX($L$247*(1-$C$15),0)/$C$17,-PMT($C$16/12,$C$17*12,MAX($L$247*(1-$C$15),0))*12))/12)*(((1+$C$16/12)^MIN(MAX((A1171-$C$13+1)*12,0),$C$17*12)-1)/($C$16/12)),0)))</f>
        <v/>
      </c>
      <c r="Z1171" s="138">
        <f>MAX(X1171-Y1171,0)</f>
        <v/>
      </c>
      <c r="AA1171" s="139">
        <f>U1171+Z1171</f>
        <v/>
      </c>
      <c r="AB1171" s="5" t="n"/>
      <c r="AC1171" s="5" t="n"/>
      <c r="AD1171" s="5" t="n"/>
      <c r="AE1171" s="5" t="n"/>
      <c r="AF1171" s="5" t="n"/>
      <c r="AG1171" s="5" t="n"/>
    </row>
    <row r="1172" outlineLevel="1" s="326">
      <c r="A1172" s="140" t="n">
        <v>36</v>
      </c>
      <c r="B1172" s="40">
        <f>B115</f>
        <v/>
      </c>
      <c r="C1172" s="141">
        <f>D115</f>
        <v/>
      </c>
      <c r="D1172" s="141">
        <f>I115</f>
        <v/>
      </c>
      <c r="E1172" s="141">
        <f>J115</f>
        <v/>
      </c>
      <c r="F1172" s="141">
        <f>K115</f>
        <v/>
      </c>
      <c r="G1172" s="138">
        <f>IF(AND($L$247&gt;0,A1172=$C$13),$L$247*($C$15+$C$18),0)+IF(AND($L$247&gt;0,A1172=$C$13),$C$24,0)</f>
        <v/>
      </c>
      <c r="H1172" s="138">
        <f>IF(OR($L$247&lt;=0,A1172&lt;$C$13),0,IF(AND($L$247&gt;0,$C$17&gt;0,A1172&gt;=$C$13,A1172&lt;($C$13+$C$17)),IF($C$17&lt;=0,0,IF($C$16=0,MAX($L$247*(1-$C$15),0)/$C$17,-PMT($C$16/12,$C$17*12,MAX($L$247*(1-$C$15),0))*12)),0)+X1172*($C$19+$C$20+$C$21)+$C$22+$C$23)</f>
        <v/>
      </c>
      <c r="I1172" s="138">
        <f>IF(B1172="Working",MIN(MAX(D1172-E1172-F1172-G1172-H1172,0),'Tax Assumptions'!$B$20),0)</f>
        <v/>
      </c>
      <c r="J1172" s="138">
        <f>IF(B1172="Working",D1172-E1172-F1172-I1172-G1172-H1172,-L1172)</f>
        <v/>
      </c>
      <c r="K1172" s="141">
        <f>IF(B1172="Retired",$N$247+G1172+H1172,0)</f>
        <v/>
      </c>
      <c r="L1172" s="141">
        <f>M1172+N1172+O1172+P1172</f>
        <v/>
      </c>
      <c r="M1172" s="141">
        <f>IF(B1172="Retired",MIN(((Q1171)*(1+$C$10)+IF(B1172="Working",J1172,0)),K1172),0)</f>
        <v/>
      </c>
      <c r="N1172" s="141">
        <f>IF(B1172="Retired",MIN(MAX(K1172-M1172,0),((R1171)*(1+$C$10)+IF(B1172="Working",E115,0))),0)</f>
        <v/>
      </c>
      <c r="O1172" s="141">
        <f>IF(B1172="Retired",MIN(MAX(K1172-M1172-N1172,0),((S1171)*(1+$C$10)+IF(B1172="Working",I1172,0))),0)</f>
        <v/>
      </c>
      <c r="P1172" s="141">
        <f>IF(B1172="Retired",MIN(MAX(K1172-M1172-N1172-O1172,0),((T1171)*(1+$C$10)+IF(B1172="Working",F115,0))),0)</f>
        <v/>
      </c>
      <c r="Q1172" s="138">
        <f>MAX(((Q1171)*(1+$C$10)+IF(B1172="Working",J1172,0))-M1172,0)</f>
        <v/>
      </c>
      <c r="R1172" s="138">
        <f>MAX(((R1171)*(1+$C$10)+IF(B1172="Working",E115,0))-N1172,0)</f>
        <v/>
      </c>
      <c r="S1172" s="138">
        <f>MAX(((S1171)*(1+$C$10)+IF(B1172="Working",I1172,0))-O1172,0)</f>
        <v/>
      </c>
      <c r="T1172" s="138">
        <f>MAX(((T1171)*(1+$C$10)+IF(B1172="Working",F115,0))-P1172,0)</f>
        <v/>
      </c>
      <c r="U1172" s="138">
        <f>Q1172+R1172+S1172+T1172</f>
        <v/>
      </c>
      <c r="V1172" s="138">
        <f>IF(B1172="Working",MAX(-(((Q1171)*(1+$C$10)+IF(B1172="Working",J1172,0))),0),MAX(K1172-L1172,0))</f>
        <v/>
      </c>
      <c r="W1172" s="138">
        <f>IF(OR(A1172&gt;=$C$13,B1172="Retired"),IF(V1172&gt;0,-V1172,U1172-'Model Inputs'!$B$18),"")</f>
        <v/>
      </c>
      <c r="X1172" s="138">
        <f>IF(AND($L$247&gt;0,A1172&gt;=$C$13),$L$247*(1+$C$25)^(A1172-$C$13),0)</f>
        <v/>
      </c>
      <c r="Y1172" s="138">
        <f>IF(OR($L$247&lt;=0,$C$17&lt;=0,A1172&lt;$C$13,MIN(MAX((A1172-$C$13+1)*12,0),$C$17*12)&gt;=$C$17*12),0,IF($C$16=0,MAX(MAX($L$247*(1-$C$15),0)-(IF($C$17&lt;=0,0,IF($C$16=0,MAX($L$247*(1-$C$15),0)/$C$17,-PMT($C$16/12,$C$17*12,MAX($L$247*(1-$C$15),0))*12))/12)*MIN(MAX((A1172-$C$13+1)*12,0),$C$17*12),0),MAX(MAX($L$247*(1-$C$15),0)*(1+$C$16/12)^MIN(MAX((A1172-$C$13+1)*12,0),$C$17*12)-(IF($C$17&lt;=0,0,IF($C$16=0,MAX($L$247*(1-$C$15),0)/$C$17,-PMT($C$16/12,$C$17*12,MAX($L$247*(1-$C$15),0))*12))/12)*(((1+$C$16/12)^MIN(MAX((A1172-$C$13+1)*12,0),$C$17*12)-1)/($C$16/12)),0)))</f>
        <v/>
      </c>
      <c r="Z1172" s="138">
        <f>MAX(X1172-Y1172,0)</f>
        <v/>
      </c>
      <c r="AA1172" s="142">
        <f>U1172+Z1172</f>
        <v/>
      </c>
      <c r="AB1172" s="5" t="n"/>
      <c r="AC1172" s="5" t="n"/>
      <c r="AD1172" s="5" t="n"/>
      <c r="AE1172" s="5" t="n"/>
      <c r="AF1172" s="5" t="n"/>
      <c r="AG1172" s="5" t="n"/>
    </row>
    <row r="1173" outlineLevel="1" s="326">
      <c r="A1173" s="136" t="n">
        <v>37</v>
      </c>
      <c r="B1173" s="72">
        <f>B116</f>
        <v/>
      </c>
      <c r="C1173" s="137">
        <f>D116</f>
        <v/>
      </c>
      <c r="D1173" s="137">
        <f>I116</f>
        <v/>
      </c>
      <c r="E1173" s="137">
        <f>J116</f>
        <v/>
      </c>
      <c r="F1173" s="137">
        <f>K116</f>
        <v/>
      </c>
      <c r="G1173" s="138">
        <f>IF(AND($L$247&gt;0,A1173=$C$13),$L$247*($C$15+$C$18),0)+IF(AND($L$247&gt;0,A1173=$C$13),$C$24,0)</f>
        <v/>
      </c>
      <c r="H1173" s="138">
        <f>IF(OR($L$247&lt;=0,A1173&lt;$C$13),0,IF(AND($L$247&gt;0,$C$17&gt;0,A1173&gt;=$C$13,A1173&lt;($C$13+$C$17)),IF($C$17&lt;=0,0,IF($C$16=0,MAX($L$247*(1-$C$15),0)/$C$17,-PMT($C$16/12,$C$17*12,MAX($L$247*(1-$C$15),0))*12)),0)+X1173*($C$19+$C$20+$C$21)+$C$22+$C$23)</f>
        <v/>
      </c>
      <c r="I1173" s="138">
        <f>IF(B1173="Working",MIN(MAX(D1173-E1173-F1173-G1173-H1173,0),'Tax Assumptions'!$B$20),0)</f>
        <v/>
      </c>
      <c r="J1173" s="138">
        <f>IF(B1173="Working",D1173-E1173-F1173-I1173-G1173-H1173,-L1173)</f>
        <v/>
      </c>
      <c r="K1173" s="137">
        <f>IF(B1173="Retired",$N$247+G1173+H1173,0)</f>
        <v/>
      </c>
      <c r="L1173" s="137">
        <f>M1173+N1173+O1173+P1173</f>
        <v/>
      </c>
      <c r="M1173" s="137">
        <f>IF(B1173="Retired",MIN(((Q1172)*(1+$C$10)+IF(B1173="Working",J1173,0)),K1173),0)</f>
        <v/>
      </c>
      <c r="N1173" s="137">
        <f>IF(B1173="Retired",MIN(MAX(K1173-M1173,0),((R1172)*(1+$C$10)+IF(B1173="Working",E116,0))),0)</f>
        <v/>
      </c>
      <c r="O1173" s="137">
        <f>IF(B1173="Retired",MIN(MAX(K1173-M1173-N1173,0),((S1172)*(1+$C$10)+IF(B1173="Working",I1173,0))),0)</f>
        <v/>
      </c>
      <c r="P1173" s="137">
        <f>IF(B1173="Retired",MIN(MAX(K1173-M1173-N1173-O1173,0),((T1172)*(1+$C$10)+IF(B1173="Working",F116,0))),0)</f>
        <v/>
      </c>
      <c r="Q1173" s="138">
        <f>MAX(((Q1172)*(1+$C$10)+IF(B1173="Working",J1173,0))-M1173,0)</f>
        <v/>
      </c>
      <c r="R1173" s="138">
        <f>MAX(((R1172)*(1+$C$10)+IF(B1173="Working",E116,0))-N1173,0)</f>
        <v/>
      </c>
      <c r="S1173" s="138">
        <f>MAX(((S1172)*(1+$C$10)+IF(B1173="Working",I1173,0))-O1173,0)</f>
        <v/>
      </c>
      <c r="T1173" s="138">
        <f>MAX(((T1172)*(1+$C$10)+IF(B1173="Working",F116,0))-P1173,0)</f>
        <v/>
      </c>
      <c r="U1173" s="138">
        <f>Q1173+R1173+S1173+T1173</f>
        <v/>
      </c>
      <c r="V1173" s="138">
        <f>IF(B1173="Working",MAX(-(((Q1172)*(1+$C$10)+IF(B1173="Working",J1173,0))),0),MAX(K1173-L1173,0))</f>
        <v/>
      </c>
      <c r="W1173" s="138">
        <f>IF(OR(A1173&gt;=$C$13,B1173="Retired"),IF(V1173&gt;0,-V1173,U1173-'Model Inputs'!$B$18),"")</f>
        <v/>
      </c>
      <c r="X1173" s="138">
        <f>IF(AND($L$247&gt;0,A1173&gt;=$C$13),$L$247*(1+$C$25)^(A1173-$C$13),0)</f>
        <v/>
      </c>
      <c r="Y1173" s="138">
        <f>IF(OR($L$247&lt;=0,$C$17&lt;=0,A1173&lt;$C$13,MIN(MAX((A1173-$C$13+1)*12,0),$C$17*12)&gt;=$C$17*12),0,IF($C$16=0,MAX(MAX($L$247*(1-$C$15),0)-(IF($C$17&lt;=0,0,IF($C$16=0,MAX($L$247*(1-$C$15),0)/$C$17,-PMT($C$16/12,$C$17*12,MAX($L$247*(1-$C$15),0))*12))/12)*MIN(MAX((A1173-$C$13+1)*12,0),$C$17*12),0),MAX(MAX($L$247*(1-$C$15),0)*(1+$C$16/12)^MIN(MAX((A1173-$C$13+1)*12,0),$C$17*12)-(IF($C$17&lt;=0,0,IF($C$16=0,MAX($L$247*(1-$C$15),0)/$C$17,-PMT($C$16/12,$C$17*12,MAX($L$247*(1-$C$15),0))*12))/12)*(((1+$C$16/12)^MIN(MAX((A1173-$C$13+1)*12,0),$C$17*12)-1)/($C$16/12)),0)))</f>
        <v/>
      </c>
      <c r="Z1173" s="138">
        <f>MAX(X1173-Y1173,0)</f>
        <v/>
      </c>
      <c r="AA1173" s="139">
        <f>U1173+Z1173</f>
        <v/>
      </c>
      <c r="AB1173" s="5" t="n"/>
      <c r="AC1173" s="5" t="n"/>
      <c r="AD1173" s="5" t="n"/>
      <c r="AE1173" s="5" t="n"/>
      <c r="AF1173" s="5" t="n"/>
      <c r="AG1173" s="5" t="n"/>
    </row>
    <row r="1174" outlineLevel="1" s="326">
      <c r="A1174" s="140" t="n">
        <v>38</v>
      </c>
      <c r="B1174" s="40">
        <f>B117</f>
        <v/>
      </c>
      <c r="C1174" s="141">
        <f>D117</f>
        <v/>
      </c>
      <c r="D1174" s="141">
        <f>I117</f>
        <v/>
      </c>
      <c r="E1174" s="141">
        <f>J117</f>
        <v/>
      </c>
      <c r="F1174" s="141">
        <f>K117</f>
        <v/>
      </c>
      <c r="G1174" s="138">
        <f>IF(AND($L$247&gt;0,A1174=$C$13),$L$247*($C$15+$C$18),0)+IF(AND($L$247&gt;0,A1174=$C$13),$C$24,0)</f>
        <v/>
      </c>
      <c r="H1174" s="138">
        <f>IF(OR($L$247&lt;=0,A1174&lt;$C$13),0,IF(AND($L$247&gt;0,$C$17&gt;0,A1174&gt;=$C$13,A1174&lt;($C$13+$C$17)),IF($C$17&lt;=0,0,IF($C$16=0,MAX($L$247*(1-$C$15),0)/$C$17,-PMT($C$16/12,$C$17*12,MAX($L$247*(1-$C$15),0))*12)),0)+X1174*($C$19+$C$20+$C$21)+$C$22+$C$23)</f>
        <v/>
      </c>
      <c r="I1174" s="138">
        <f>IF(B1174="Working",MIN(MAX(D1174-E1174-F1174-G1174-H1174,0),'Tax Assumptions'!$B$20),0)</f>
        <v/>
      </c>
      <c r="J1174" s="138">
        <f>IF(B1174="Working",D1174-E1174-F1174-I1174-G1174-H1174,-L1174)</f>
        <v/>
      </c>
      <c r="K1174" s="141">
        <f>IF(B1174="Retired",$N$247+G1174+H1174,0)</f>
        <v/>
      </c>
      <c r="L1174" s="141">
        <f>M1174+N1174+O1174+P1174</f>
        <v/>
      </c>
      <c r="M1174" s="141">
        <f>IF(B1174="Retired",MIN(((Q1173)*(1+$C$10)+IF(B1174="Working",J1174,0)),K1174),0)</f>
        <v/>
      </c>
      <c r="N1174" s="141">
        <f>IF(B1174="Retired",MIN(MAX(K1174-M1174,0),((R1173)*(1+$C$10)+IF(B1174="Working",E117,0))),0)</f>
        <v/>
      </c>
      <c r="O1174" s="141">
        <f>IF(B1174="Retired",MIN(MAX(K1174-M1174-N1174,0),((S1173)*(1+$C$10)+IF(B1174="Working",I1174,0))),0)</f>
        <v/>
      </c>
      <c r="P1174" s="141">
        <f>IF(B1174="Retired",MIN(MAX(K1174-M1174-N1174-O1174,0),((T1173)*(1+$C$10)+IF(B1174="Working",F117,0))),0)</f>
        <v/>
      </c>
      <c r="Q1174" s="138">
        <f>MAX(((Q1173)*(1+$C$10)+IF(B1174="Working",J1174,0))-M1174,0)</f>
        <v/>
      </c>
      <c r="R1174" s="138">
        <f>MAX(((R1173)*(1+$C$10)+IF(B1174="Working",E117,0))-N1174,0)</f>
        <v/>
      </c>
      <c r="S1174" s="138">
        <f>MAX(((S1173)*(1+$C$10)+IF(B1174="Working",I1174,0))-O1174,0)</f>
        <v/>
      </c>
      <c r="T1174" s="138">
        <f>MAX(((T1173)*(1+$C$10)+IF(B1174="Working",F117,0))-P1174,0)</f>
        <v/>
      </c>
      <c r="U1174" s="138">
        <f>Q1174+R1174+S1174+T1174</f>
        <v/>
      </c>
      <c r="V1174" s="138">
        <f>IF(B1174="Working",MAX(-(((Q1173)*(1+$C$10)+IF(B1174="Working",J1174,0))),0),MAX(K1174-L1174,0))</f>
        <v/>
      </c>
      <c r="W1174" s="138">
        <f>IF(OR(A1174&gt;=$C$13,B1174="Retired"),IF(V1174&gt;0,-V1174,U1174-'Model Inputs'!$B$18),"")</f>
        <v/>
      </c>
      <c r="X1174" s="138">
        <f>IF(AND($L$247&gt;0,A1174&gt;=$C$13),$L$247*(1+$C$25)^(A1174-$C$13),0)</f>
        <v/>
      </c>
      <c r="Y1174" s="138">
        <f>IF(OR($L$247&lt;=0,$C$17&lt;=0,A1174&lt;$C$13,MIN(MAX((A1174-$C$13+1)*12,0),$C$17*12)&gt;=$C$17*12),0,IF($C$16=0,MAX(MAX($L$247*(1-$C$15),0)-(IF($C$17&lt;=0,0,IF($C$16=0,MAX($L$247*(1-$C$15),0)/$C$17,-PMT($C$16/12,$C$17*12,MAX($L$247*(1-$C$15),0))*12))/12)*MIN(MAX((A1174-$C$13+1)*12,0),$C$17*12),0),MAX(MAX($L$247*(1-$C$15),0)*(1+$C$16/12)^MIN(MAX((A1174-$C$13+1)*12,0),$C$17*12)-(IF($C$17&lt;=0,0,IF($C$16=0,MAX($L$247*(1-$C$15),0)/$C$17,-PMT($C$16/12,$C$17*12,MAX($L$247*(1-$C$15),0))*12))/12)*(((1+$C$16/12)^MIN(MAX((A1174-$C$13+1)*12,0),$C$17*12)-1)/($C$16/12)),0)))</f>
        <v/>
      </c>
      <c r="Z1174" s="138">
        <f>MAX(X1174-Y1174,0)</f>
        <v/>
      </c>
      <c r="AA1174" s="142">
        <f>U1174+Z1174</f>
        <v/>
      </c>
      <c r="AB1174" s="5" t="n"/>
      <c r="AC1174" s="5" t="n"/>
      <c r="AD1174" s="5" t="n"/>
      <c r="AE1174" s="5" t="n"/>
      <c r="AF1174" s="5" t="n"/>
      <c r="AG1174" s="5" t="n"/>
    </row>
    <row r="1175" outlineLevel="1" s="326">
      <c r="A1175" s="136" t="n">
        <v>39</v>
      </c>
      <c r="B1175" s="72">
        <f>B118</f>
        <v/>
      </c>
      <c r="C1175" s="137">
        <f>D118</f>
        <v/>
      </c>
      <c r="D1175" s="137">
        <f>I118</f>
        <v/>
      </c>
      <c r="E1175" s="137">
        <f>J118</f>
        <v/>
      </c>
      <c r="F1175" s="137">
        <f>K118</f>
        <v/>
      </c>
      <c r="G1175" s="138">
        <f>IF(AND($L$247&gt;0,A1175=$C$13),$L$247*($C$15+$C$18),0)+IF(AND($L$247&gt;0,A1175=$C$13),$C$24,0)</f>
        <v/>
      </c>
      <c r="H1175" s="138">
        <f>IF(OR($L$247&lt;=0,A1175&lt;$C$13),0,IF(AND($L$247&gt;0,$C$17&gt;0,A1175&gt;=$C$13,A1175&lt;($C$13+$C$17)),IF($C$17&lt;=0,0,IF($C$16=0,MAX($L$247*(1-$C$15),0)/$C$17,-PMT($C$16/12,$C$17*12,MAX($L$247*(1-$C$15),0))*12)),0)+X1175*($C$19+$C$20+$C$21)+$C$22+$C$23)</f>
        <v/>
      </c>
      <c r="I1175" s="138">
        <f>IF(B1175="Working",MIN(MAX(D1175-E1175-F1175-G1175-H1175,0),'Tax Assumptions'!$B$20),0)</f>
        <v/>
      </c>
      <c r="J1175" s="138">
        <f>IF(B1175="Working",D1175-E1175-F1175-I1175-G1175-H1175,-L1175)</f>
        <v/>
      </c>
      <c r="K1175" s="137">
        <f>IF(B1175="Retired",$N$247+G1175+H1175,0)</f>
        <v/>
      </c>
      <c r="L1175" s="137">
        <f>M1175+N1175+O1175+P1175</f>
        <v/>
      </c>
      <c r="M1175" s="137">
        <f>IF(B1175="Retired",MIN(((Q1174)*(1+$C$10)+IF(B1175="Working",J1175,0)),K1175),0)</f>
        <v/>
      </c>
      <c r="N1175" s="137">
        <f>IF(B1175="Retired",MIN(MAX(K1175-M1175,0),((R1174)*(1+$C$10)+IF(B1175="Working",E118,0))),0)</f>
        <v/>
      </c>
      <c r="O1175" s="137">
        <f>IF(B1175="Retired",MIN(MAX(K1175-M1175-N1175,0),((S1174)*(1+$C$10)+IF(B1175="Working",I1175,0))),0)</f>
        <v/>
      </c>
      <c r="P1175" s="137">
        <f>IF(B1175="Retired",MIN(MAX(K1175-M1175-N1175-O1175,0),((T1174)*(1+$C$10)+IF(B1175="Working",F118,0))),0)</f>
        <v/>
      </c>
      <c r="Q1175" s="138">
        <f>MAX(((Q1174)*(1+$C$10)+IF(B1175="Working",J1175,0))-M1175,0)</f>
        <v/>
      </c>
      <c r="R1175" s="138">
        <f>MAX(((R1174)*(1+$C$10)+IF(B1175="Working",E118,0))-N1175,0)</f>
        <v/>
      </c>
      <c r="S1175" s="138">
        <f>MAX(((S1174)*(1+$C$10)+IF(B1175="Working",I1175,0))-O1175,0)</f>
        <v/>
      </c>
      <c r="T1175" s="138">
        <f>MAX(((T1174)*(1+$C$10)+IF(B1175="Working",F118,0))-P1175,0)</f>
        <v/>
      </c>
      <c r="U1175" s="138">
        <f>Q1175+R1175+S1175+T1175</f>
        <v/>
      </c>
      <c r="V1175" s="138">
        <f>IF(B1175="Working",MAX(-(((Q1174)*(1+$C$10)+IF(B1175="Working",J1175,0))),0),MAX(K1175-L1175,0))</f>
        <v/>
      </c>
      <c r="W1175" s="138">
        <f>IF(OR(A1175&gt;=$C$13,B1175="Retired"),IF(V1175&gt;0,-V1175,U1175-'Model Inputs'!$B$18),"")</f>
        <v/>
      </c>
      <c r="X1175" s="138">
        <f>IF(AND($L$247&gt;0,A1175&gt;=$C$13),$L$247*(1+$C$25)^(A1175-$C$13),0)</f>
        <v/>
      </c>
      <c r="Y1175" s="138">
        <f>IF(OR($L$247&lt;=0,$C$17&lt;=0,A1175&lt;$C$13,MIN(MAX((A1175-$C$13+1)*12,0),$C$17*12)&gt;=$C$17*12),0,IF($C$16=0,MAX(MAX($L$247*(1-$C$15),0)-(IF($C$17&lt;=0,0,IF($C$16=0,MAX($L$247*(1-$C$15),0)/$C$17,-PMT($C$16/12,$C$17*12,MAX($L$247*(1-$C$15),0))*12))/12)*MIN(MAX((A1175-$C$13+1)*12,0),$C$17*12),0),MAX(MAX($L$247*(1-$C$15),0)*(1+$C$16/12)^MIN(MAX((A1175-$C$13+1)*12,0),$C$17*12)-(IF($C$17&lt;=0,0,IF($C$16=0,MAX($L$247*(1-$C$15),0)/$C$17,-PMT($C$16/12,$C$17*12,MAX($L$247*(1-$C$15),0))*12))/12)*(((1+$C$16/12)^MIN(MAX((A1175-$C$13+1)*12,0),$C$17*12)-1)/($C$16/12)),0)))</f>
        <v/>
      </c>
      <c r="Z1175" s="138">
        <f>MAX(X1175-Y1175,0)</f>
        <v/>
      </c>
      <c r="AA1175" s="139">
        <f>U1175+Z1175</f>
        <v/>
      </c>
      <c r="AB1175" s="5" t="n"/>
      <c r="AC1175" s="5" t="n"/>
      <c r="AD1175" s="5" t="n"/>
      <c r="AE1175" s="5" t="n"/>
      <c r="AF1175" s="5" t="n"/>
      <c r="AG1175" s="5" t="n"/>
    </row>
    <row r="1176" outlineLevel="1" s="326">
      <c r="A1176" s="140" t="n">
        <v>40</v>
      </c>
      <c r="B1176" s="40">
        <f>B119</f>
        <v/>
      </c>
      <c r="C1176" s="141">
        <f>D119</f>
        <v/>
      </c>
      <c r="D1176" s="141">
        <f>I119</f>
        <v/>
      </c>
      <c r="E1176" s="141">
        <f>J119</f>
        <v/>
      </c>
      <c r="F1176" s="141">
        <f>K119</f>
        <v/>
      </c>
      <c r="G1176" s="138">
        <f>IF(AND($L$247&gt;0,A1176=$C$13),$L$247*($C$15+$C$18),0)+IF(AND($L$247&gt;0,A1176=$C$13),$C$24,0)</f>
        <v/>
      </c>
      <c r="H1176" s="138">
        <f>IF(OR($L$247&lt;=0,A1176&lt;$C$13),0,IF(AND($L$247&gt;0,$C$17&gt;0,A1176&gt;=$C$13,A1176&lt;($C$13+$C$17)),IF($C$17&lt;=0,0,IF($C$16=0,MAX($L$247*(1-$C$15),0)/$C$17,-PMT($C$16/12,$C$17*12,MAX($L$247*(1-$C$15),0))*12)),0)+X1176*($C$19+$C$20+$C$21)+$C$22+$C$23)</f>
        <v/>
      </c>
      <c r="I1176" s="138">
        <f>IF(B1176="Working",MIN(MAX(D1176-E1176-F1176-G1176-H1176,0),'Tax Assumptions'!$B$20),0)</f>
        <v/>
      </c>
      <c r="J1176" s="138">
        <f>IF(B1176="Working",D1176-E1176-F1176-I1176-G1176-H1176,-L1176)</f>
        <v/>
      </c>
      <c r="K1176" s="141">
        <f>IF(B1176="Retired",$N$247+G1176+H1176,0)</f>
        <v/>
      </c>
      <c r="L1176" s="141">
        <f>M1176+N1176+O1176+P1176</f>
        <v/>
      </c>
      <c r="M1176" s="141">
        <f>IF(B1176="Retired",MIN(((Q1175)*(1+$C$10)+IF(B1176="Working",J1176,0)),K1176),0)</f>
        <v/>
      </c>
      <c r="N1176" s="141">
        <f>IF(B1176="Retired",MIN(MAX(K1176-M1176,0),((R1175)*(1+$C$10)+IF(B1176="Working",E119,0))),0)</f>
        <v/>
      </c>
      <c r="O1176" s="141">
        <f>IF(B1176="Retired",MIN(MAX(K1176-M1176-N1176,0),((S1175)*(1+$C$10)+IF(B1176="Working",I1176,0))),0)</f>
        <v/>
      </c>
      <c r="P1176" s="141">
        <f>IF(B1176="Retired",MIN(MAX(K1176-M1176-N1176-O1176,0),((T1175)*(1+$C$10)+IF(B1176="Working",F119,0))),0)</f>
        <v/>
      </c>
      <c r="Q1176" s="138">
        <f>MAX(((Q1175)*(1+$C$10)+IF(B1176="Working",J1176,0))-M1176,0)</f>
        <v/>
      </c>
      <c r="R1176" s="138">
        <f>MAX(((R1175)*(1+$C$10)+IF(B1176="Working",E119,0))-N1176,0)</f>
        <v/>
      </c>
      <c r="S1176" s="138">
        <f>MAX(((S1175)*(1+$C$10)+IF(B1176="Working",I1176,0))-O1176,0)</f>
        <v/>
      </c>
      <c r="T1176" s="138">
        <f>MAX(((T1175)*(1+$C$10)+IF(B1176="Working",F119,0))-P1176,0)</f>
        <v/>
      </c>
      <c r="U1176" s="138">
        <f>Q1176+R1176+S1176+T1176</f>
        <v/>
      </c>
      <c r="V1176" s="138">
        <f>IF(B1176="Working",MAX(-(((Q1175)*(1+$C$10)+IF(B1176="Working",J1176,0))),0),MAX(K1176-L1176,0))</f>
        <v/>
      </c>
      <c r="W1176" s="138">
        <f>IF(OR(A1176&gt;=$C$13,B1176="Retired"),IF(V1176&gt;0,-V1176,U1176-'Model Inputs'!$B$18),"")</f>
        <v/>
      </c>
      <c r="X1176" s="138">
        <f>IF(AND($L$247&gt;0,A1176&gt;=$C$13),$L$247*(1+$C$25)^(A1176-$C$13),0)</f>
        <v/>
      </c>
      <c r="Y1176" s="138">
        <f>IF(OR($L$247&lt;=0,$C$17&lt;=0,A1176&lt;$C$13,MIN(MAX((A1176-$C$13+1)*12,0),$C$17*12)&gt;=$C$17*12),0,IF($C$16=0,MAX(MAX($L$247*(1-$C$15),0)-(IF($C$17&lt;=0,0,IF($C$16=0,MAX($L$247*(1-$C$15),0)/$C$17,-PMT($C$16/12,$C$17*12,MAX($L$247*(1-$C$15),0))*12))/12)*MIN(MAX((A1176-$C$13+1)*12,0),$C$17*12),0),MAX(MAX($L$247*(1-$C$15),0)*(1+$C$16/12)^MIN(MAX((A1176-$C$13+1)*12,0),$C$17*12)-(IF($C$17&lt;=0,0,IF($C$16=0,MAX($L$247*(1-$C$15),0)/$C$17,-PMT($C$16/12,$C$17*12,MAX($L$247*(1-$C$15),0))*12))/12)*(((1+$C$16/12)^MIN(MAX((A1176-$C$13+1)*12,0),$C$17*12)-1)/($C$16/12)),0)))</f>
        <v/>
      </c>
      <c r="Z1176" s="138">
        <f>MAX(X1176-Y1176,0)</f>
        <v/>
      </c>
      <c r="AA1176" s="142">
        <f>U1176+Z1176</f>
        <v/>
      </c>
      <c r="AB1176" s="5" t="n"/>
      <c r="AC1176" s="5" t="n"/>
      <c r="AD1176" s="5" t="n"/>
      <c r="AE1176" s="5" t="n"/>
      <c r="AF1176" s="5" t="n"/>
      <c r="AG1176" s="5" t="n"/>
    </row>
    <row r="1177" outlineLevel="1" s="326">
      <c r="A1177" s="143" t="inlineStr">
        <is>
          <t>Case Summary</t>
        </is>
      </c>
      <c r="B1177" s="144" t="n"/>
      <c r="C1177" s="144" t="n"/>
      <c r="D1177" s="144" t="n"/>
      <c r="E1177" s="144" t="n"/>
      <c r="F1177" s="144" t="n"/>
      <c r="G1177" s="145">
        <f>SUM(G1137:G1176)</f>
        <v/>
      </c>
      <c r="H1177" s="145">
        <f>SUM(H1137:H1176)</f>
        <v/>
      </c>
      <c r="I1177" s="145">
        <f>SUM(I1137:I1176)</f>
        <v/>
      </c>
      <c r="J1177" s="145">
        <f>SUM(J1137:J1176)</f>
        <v/>
      </c>
      <c r="K1177" s="145">
        <f>SUM(K1137:K1176)</f>
        <v/>
      </c>
      <c r="L1177" s="145">
        <f>SUM(L1137:L1176)</f>
        <v/>
      </c>
      <c r="M1177" s="145">
        <f>SUM(M1137:M1176)</f>
        <v/>
      </c>
      <c r="N1177" s="145">
        <f>SUM(N1137:N1176)</f>
        <v/>
      </c>
      <c r="O1177" s="145">
        <f>SUM(O1137:O1176)</f>
        <v/>
      </c>
      <c r="P1177" s="145">
        <f>SUM(P1137:P1176)</f>
        <v/>
      </c>
      <c r="Q1177" s="145">
        <f>Q1176</f>
        <v/>
      </c>
      <c r="R1177" s="145">
        <f>R1176</f>
        <v/>
      </c>
      <c r="S1177" s="145">
        <f>S1176</f>
        <v/>
      </c>
      <c r="T1177" s="145">
        <f>T1176</f>
        <v/>
      </c>
      <c r="U1177" s="145">
        <f>U1176</f>
        <v/>
      </c>
      <c r="V1177" s="145">
        <f>SUM(V1137:V1176)</f>
        <v/>
      </c>
      <c r="W1177" s="145">
        <f>MIN(W1137:W1176)</f>
        <v/>
      </c>
      <c r="X1177" s="145">
        <f>X1176</f>
        <v/>
      </c>
      <c r="Y1177" s="145">
        <f>Y1176</f>
        <v/>
      </c>
      <c r="Z1177" s="145">
        <f>Z1176</f>
        <v/>
      </c>
      <c r="AA1177" s="146">
        <f>AA1176</f>
        <v/>
      </c>
      <c r="AB1177" s="5" t="n"/>
      <c r="AC1177" s="5" t="n"/>
      <c r="AD1177" s="5" t="n"/>
      <c r="AE1177" s="5" t="n"/>
      <c r="AF1177" s="5" t="n"/>
      <c r="AG1177" s="5" t="n"/>
    </row>
    <row r="1178" outlineLevel="1" s="326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/>
      <c r="O1178" s="5" t="n"/>
      <c r="P1178" s="5" t="n"/>
      <c r="Q1178" s="5" t="n"/>
      <c r="R1178" s="5" t="n"/>
      <c r="S1178" s="5" t="n"/>
      <c r="T1178" s="5" t="n"/>
      <c r="U1178" s="5" t="n"/>
      <c r="V1178" s="5" t="n"/>
      <c r="W1178" s="5" t="n"/>
      <c r="X1178" s="5" t="n"/>
      <c r="Y1178" s="5" t="n"/>
      <c r="Z1178" s="5" t="n"/>
      <c r="AA1178" s="5" t="n"/>
      <c r="AB1178" s="5" t="n"/>
      <c r="AC1178" s="5" t="n"/>
      <c r="AD1178" s="5" t="n"/>
      <c r="AE1178" s="5" t="n"/>
      <c r="AF1178" s="5" t="n"/>
      <c r="AG1178" s="5" t="n"/>
    </row>
    <row r="1179" outlineLevel="1" s="326">
      <c r="A1179" s="387">
        <f>J248&amp;" | House "&amp;TEXT($L$248,"$#,##0")&amp;" | Spend "&amp;TEXT($N$248,"$#,##0")</f>
        <v/>
      </c>
      <c r="B1179" s="345" t="n"/>
      <c r="C1179" s="345" t="n"/>
      <c r="D1179" s="345" t="n"/>
      <c r="E1179" s="345" t="n"/>
      <c r="F1179" s="345" t="n"/>
      <c r="G1179" s="345" t="n"/>
      <c r="H1179" s="345" t="n"/>
      <c r="I1179" s="345" t="n"/>
      <c r="J1179" s="345" t="n"/>
      <c r="K1179" s="345" t="n"/>
      <c r="L1179" s="345" t="n"/>
      <c r="M1179" s="345" t="n"/>
      <c r="N1179" s="345" t="n"/>
      <c r="O1179" s="345" t="n"/>
      <c r="P1179" s="345" t="n"/>
      <c r="Q1179" s="345" t="n"/>
      <c r="R1179" s="345" t="n"/>
      <c r="S1179" s="345" t="n"/>
      <c r="T1179" s="345" t="n"/>
      <c r="U1179" s="345" t="n"/>
      <c r="V1179" s="345" t="n"/>
      <c r="W1179" s="345" t="n"/>
      <c r="X1179" s="345" t="n"/>
      <c r="Y1179" s="345" t="n"/>
      <c r="Z1179" s="345" t="n"/>
      <c r="AA1179" s="346" t="n"/>
      <c r="AB1179" s="5" t="n"/>
      <c r="AC1179" s="5" t="n"/>
      <c r="AD1179" s="5" t="n"/>
      <c r="AE1179" s="5" t="n"/>
      <c r="AF1179" s="5" t="n"/>
      <c r="AG1179" s="5" t="n"/>
    </row>
    <row r="1180" outlineLevel="1" ht="34" customHeight="1" s="326">
      <c r="A1180" s="134" t="inlineStr">
        <is>
          <t>Year</t>
        </is>
      </c>
      <c r="B1180" s="83" t="inlineStr">
        <is>
          <t>Phase</t>
        </is>
      </c>
      <c r="C1180" s="83" t="inlineStr">
        <is>
          <t>Gross</t>
        </is>
      </c>
      <c r="D1180" s="83" t="inlineStr">
        <is>
          <t>Post-Tax Cash</t>
        </is>
      </c>
      <c r="E1180" s="83" t="inlineStr">
        <is>
          <t>Rent</t>
        </is>
      </c>
      <c r="F1180" s="83" t="inlineStr">
        <is>
          <t>Living</t>
        </is>
      </c>
      <c r="G1180" s="83" t="inlineStr">
        <is>
          <t>House Cash</t>
        </is>
      </c>
      <c r="H1180" s="83" t="inlineStr">
        <is>
          <t>Housing Carry</t>
        </is>
      </c>
      <c r="I1180" s="83" t="inlineStr">
        <is>
          <t>Roth</t>
        </is>
      </c>
      <c r="J1180" s="83" t="inlineStr">
        <is>
          <t>Taxable Sav / (Draw)</t>
        </is>
      </c>
      <c r="K1180" s="83" t="inlineStr">
        <is>
          <t>Planned Need</t>
        </is>
      </c>
      <c r="L1180" s="83" t="inlineStr">
        <is>
          <t>Actual W/D</t>
        </is>
      </c>
      <c r="M1180" s="83" t="inlineStr">
        <is>
          <t>Taxable Draw</t>
        </is>
      </c>
      <c r="N1180" s="83" t="inlineStr">
        <is>
          <t>401(k) Draw</t>
        </is>
      </c>
      <c r="O1180" s="83" t="inlineStr">
        <is>
          <t>Roth Draw</t>
        </is>
      </c>
      <c r="P1180" s="83" t="inlineStr">
        <is>
          <t>HSA Draw</t>
        </is>
      </c>
      <c r="Q1180" s="83" t="inlineStr">
        <is>
          <t>Taxable Bal</t>
        </is>
      </c>
      <c r="R1180" s="83" t="inlineStr">
        <is>
          <t>401(k) Bal</t>
        </is>
      </c>
      <c r="S1180" s="83" t="inlineStr">
        <is>
          <t>Roth Bal</t>
        </is>
      </c>
      <c r="T1180" s="83" t="inlineStr">
        <is>
          <t>HSA Bal</t>
        </is>
      </c>
      <c r="U1180" s="83" t="inlineStr">
        <is>
          <t>Liquid Wealth</t>
        </is>
      </c>
      <c r="V1180" s="83" t="inlineStr">
        <is>
          <t>Funding Gap</t>
        </is>
      </c>
      <c r="W1180" s="83" t="inlineStr">
        <is>
          <t>Margin vs Reserve</t>
        </is>
      </c>
      <c r="X1180" s="83" t="inlineStr">
        <is>
          <t>House Value</t>
        </is>
      </c>
      <c r="Y1180" s="83" t="inlineStr">
        <is>
          <t>Mortgage Balance</t>
        </is>
      </c>
      <c r="Z1180" s="83" t="inlineStr">
        <is>
          <t>Home Equity</t>
        </is>
      </c>
      <c r="AA1180" s="135" t="inlineStr">
        <is>
          <t>Net Worth</t>
        </is>
      </c>
      <c r="AB1180" s="5" t="n"/>
      <c r="AC1180" s="5" t="n"/>
      <c r="AD1180" s="5" t="n"/>
      <c r="AE1180" s="5" t="n"/>
      <c r="AF1180" s="5" t="n"/>
      <c r="AG1180" s="5" t="n"/>
    </row>
    <row r="1181" outlineLevel="1" s="326">
      <c r="A1181" s="136" t="n">
        <v>1</v>
      </c>
      <c r="B1181" s="72">
        <f>B80</f>
        <v/>
      </c>
      <c r="C1181" s="137">
        <f>D80</f>
        <v/>
      </c>
      <c r="D1181" s="137">
        <f>I80</f>
        <v/>
      </c>
      <c r="E1181" s="137">
        <f>J80</f>
        <v/>
      </c>
      <c r="F1181" s="137">
        <f>K80</f>
        <v/>
      </c>
      <c r="G1181" s="138">
        <f>IF(AND($L$248&gt;0,A1181=$C$13),$L$248*($C$15+$C$18),0)+IF(AND($L$248&gt;0,A1181=$C$13),$C$24,0)</f>
        <v/>
      </c>
      <c r="H1181" s="138">
        <f>IF(OR($L$248&lt;=0,A1181&lt;$C$13),0,IF(AND($L$248&gt;0,$C$17&gt;0,A1181&gt;=$C$13,A1181&lt;($C$13+$C$17)),IF($C$17&lt;=0,0,IF($C$16=0,MAX($L$248*(1-$C$15),0)/$C$17,-PMT($C$16/12,$C$17*12,MAX($L$248*(1-$C$15),0))*12)),0)+X1181*($C$19+$C$20+$C$21)+$C$22+$C$23)</f>
        <v/>
      </c>
      <c r="I1181" s="138">
        <f>IF(B1181="Working",MIN(MAX(D1181-E1181-F1181-G1181-H1181,0),'Tax Assumptions'!$B$20),0)</f>
        <v/>
      </c>
      <c r="J1181" s="138">
        <f>IF(B1181="Working",D1181-E1181-F1181-I1181-G1181-H1181,-L1181)</f>
        <v/>
      </c>
      <c r="K1181" s="137">
        <f>IF(B1181="Retired",$N$248+G1181+H1181,0)</f>
        <v/>
      </c>
      <c r="L1181" s="137">
        <f>M1181+N1181+O1181+P1181</f>
        <v/>
      </c>
      <c r="M1181" s="137">
        <f>IF(B1181="Retired",MIN((('Savings Projection'!$B$7)*(1+$C$10)+IF(B1181="Working",J1181,0)),K1181),0)</f>
        <v/>
      </c>
      <c r="N1181" s="137">
        <f>IF(B1181="Retired",MIN(MAX(K1181-M1181,0),(('Savings Projection'!$B$8)*(1+$C$10)+IF(B1181="Working",E80,0))),0)</f>
        <v/>
      </c>
      <c r="O1181" s="137">
        <f>IF(B1181="Retired",MIN(MAX(K1181-M1181-N1181,0),(('Savings Projection'!$B$9)*(1+$C$10)+IF(B1181="Working",I1181,0))),0)</f>
        <v/>
      </c>
      <c r="P1181" s="137">
        <f>IF(B1181="Retired",MIN(MAX(K1181-M1181-N1181-O1181,0),(('Savings Projection'!$B$10)*(1+$C$10)+IF(B1181="Working",F80,0))),0)</f>
        <v/>
      </c>
      <c r="Q1181" s="138">
        <f>MAX((('Savings Projection'!$B$7)*(1+$C$10)+IF(B1181="Working",J1181,0))-M1181,0)</f>
        <v/>
      </c>
      <c r="R1181" s="138">
        <f>MAX((('Savings Projection'!$B$8)*(1+$C$10)+IF(B1181="Working",E80,0))-N1181,0)</f>
        <v/>
      </c>
      <c r="S1181" s="138">
        <f>MAX((('Savings Projection'!$B$9)*(1+$C$10)+IF(B1181="Working",I1181,0))-O1181,0)</f>
        <v/>
      </c>
      <c r="T1181" s="138">
        <f>MAX((('Savings Projection'!$B$10)*(1+$C$10)+IF(B1181="Working",F80,0))-P1181,0)</f>
        <v/>
      </c>
      <c r="U1181" s="138">
        <f>Q1181+R1181+S1181+T1181</f>
        <v/>
      </c>
      <c r="V1181" s="138">
        <f>IF(B1181="Working",MAX(-((('Savings Projection'!$B$7)*(1+$C$10)+IF(B1181="Working",J1181,0))),0),MAX(K1181-L1181,0))</f>
        <v/>
      </c>
      <c r="W1181" s="138">
        <f>IF(OR(A1181&gt;=$C$13,B1181="Retired"),IF(V1181&gt;0,-V1181,U1181-'Model Inputs'!$B$18),"")</f>
        <v/>
      </c>
      <c r="X1181" s="138">
        <f>IF(AND($L$248&gt;0,A1181&gt;=$C$13),$L$248*(1+$C$25)^(A1181-$C$13),0)</f>
        <v/>
      </c>
      <c r="Y1181" s="138">
        <f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/>
      </c>
      <c r="Z1181" s="138">
        <f>MAX(X1181-Y1181,0)</f>
        <v/>
      </c>
      <c r="AA1181" s="139">
        <f>U1181+Z1181</f>
        <v/>
      </c>
      <c r="AB1181" s="5" t="n"/>
      <c r="AC1181" s="5" t="n"/>
      <c r="AD1181" s="5" t="n"/>
      <c r="AE1181" s="5" t="n"/>
      <c r="AF1181" s="5" t="n"/>
      <c r="AG1181" s="5" t="n"/>
    </row>
    <row r="1182" outlineLevel="1" s="326">
      <c r="A1182" s="140" t="n">
        <v>2</v>
      </c>
      <c r="B1182" s="40">
        <f>B81</f>
        <v/>
      </c>
      <c r="C1182" s="141">
        <f>D81</f>
        <v/>
      </c>
      <c r="D1182" s="141">
        <f>I81</f>
        <v/>
      </c>
      <c r="E1182" s="141">
        <f>J81</f>
        <v/>
      </c>
      <c r="F1182" s="141">
        <f>K81</f>
        <v/>
      </c>
      <c r="G1182" s="138">
        <f>IF(AND($L$248&gt;0,A1182=$C$13),$L$248*($C$15+$C$18),0)+IF(AND($L$248&gt;0,A1182=$C$13),$C$24,0)</f>
        <v/>
      </c>
      <c r="H1182" s="138">
        <f>IF(OR($L$248&lt;=0,A1182&lt;$C$13),0,IF(AND($L$248&gt;0,$C$17&gt;0,A1182&gt;=$C$13,A1182&lt;($C$13+$C$17)),IF($C$17&lt;=0,0,IF($C$16=0,MAX($L$248*(1-$C$15),0)/$C$17,-PMT($C$16/12,$C$17*12,MAX($L$248*(1-$C$15),0))*12)),0)+X1182*($C$19+$C$20+$C$21)+$C$22+$C$23)</f>
        <v/>
      </c>
      <c r="I1182" s="138">
        <f>IF(B1182="Working",MIN(MAX(D1182-E1182-F1182-G1182-H1182,0),'Tax Assumptions'!$B$20),0)</f>
        <v/>
      </c>
      <c r="J1182" s="138">
        <f>IF(B1182="Working",D1182-E1182-F1182-I1182-G1182-H1182,-L1182)</f>
        <v/>
      </c>
      <c r="K1182" s="141">
        <f>IF(B1182="Retired",$N$248+G1182+H1182,0)</f>
        <v/>
      </c>
      <c r="L1182" s="141">
        <f>M1182+N1182+O1182+P1182</f>
        <v/>
      </c>
      <c r="M1182" s="141">
        <f>IF(B1182="Retired",MIN(((Q1181)*(1+$C$10)+IF(B1182="Working",J1182,0)),K1182),0)</f>
        <v/>
      </c>
      <c r="N1182" s="141">
        <f>IF(B1182="Retired",MIN(MAX(K1182-M1182,0),((R1181)*(1+$C$10)+IF(B1182="Working",E81,0))),0)</f>
        <v/>
      </c>
      <c r="O1182" s="141">
        <f>IF(B1182="Retired",MIN(MAX(K1182-M1182-N1182,0),((S1181)*(1+$C$10)+IF(B1182="Working",I1182,0))),0)</f>
        <v/>
      </c>
      <c r="P1182" s="141">
        <f>IF(B1182="Retired",MIN(MAX(K1182-M1182-N1182-O1182,0),((T1181)*(1+$C$10)+IF(B1182="Working",F81,0))),0)</f>
        <v/>
      </c>
      <c r="Q1182" s="138">
        <f>MAX(((Q1181)*(1+$C$10)+IF(B1182="Working",J1182,0))-M1182,0)</f>
        <v/>
      </c>
      <c r="R1182" s="138">
        <f>MAX(((R1181)*(1+$C$10)+IF(B1182="Working",E81,0))-N1182,0)</f>
        <v/>
      </c>
      <c r="S1182" s="138">
        <f>MAX(((S1181)*(1+$C$10)+IF(B1182="Working",I1182,0))-O1182,0)</f>
        <v/>
      </c>
      <c r="T1182" s="138">
        <f>MAX(((T1181)*(1+$C$10)+IF(B1182="Working",F81,0))-P1182,0)</f>
        <v/>
      </c>
      <c r="U1182" s="138">
        <f>Q1182+R1182+S1182+T1182</f>
        <v/>
      </c>
      <c r="V1182" s="138">
        <f>IF(B1182="Working",MAX(-(((Q1181)*(1+$C$10)+IF(B1182="Working",J1182,0))),0),MAX(K1182-L1182,0))</f>
        <v/>
      </c>
      <c r="W1182" s="138">
        <f>IF(OR(A1182&gt;=$C$13,B1182="Retired"),IF(V1182&gt;0,-V1182,U1182-'Model Inputs'!$B$18),"")</f>
        <v/>
      </c>
      <c r="X1182" s="138">
        <f>IF(AND($L$248&gt;0,A1182&gt;=$C$13),$L$248*(1+$C$25)^(A1182-$C$13),0)</f>
        <v/>
      </c>
      <c r="Y1182" s="138">
        <f>IF(OR($L$248&lt;=0,$C$17&lt;=0,A1182&lt;$C$13,MIN(MAX((A1182-$C$13+1)*12,0),$C$17*12)&gt;=$C$17*12),0,IF($C$16=0,MAX(MAX($L$248*(1-$C$15),0)-(IF($C$17&lt;=0,0,IF($C$16=0,MAX($L$248*(1-$C$15),0)/$C$17,-PMT($C$16/12,$C$17*12,MAX($L$248*(1-$C$15),0))*12))/12)*MIN(MAX((A1182-$C$13+1)*12,0),$C$17*12),0),MAX(MAX($L$248*(1-$C$15),0)*(1+$C$16/12)^MIN(MAX((A1182-$C$13+1)*12,0),$C$17*12)-(IF($C$17&lt;=0,0,IF($C$16=0,MAX($L$248*(1-$C$15),0)/$C$17,-PMT($C$16/12,$C$17*12,MAX($L$248*(1-$C$15),0))*12))/12)*(((1+$C$16/12)^MIN(MAX((A1182-$C$13+1)*12,0),$C$17*12)-1)/($C$16/12)),0)))</f>
        <v/>
      </c>
      <c r="Z1182" s="138">
        <f>MAX(X1182-Y1182,0)</f>
        <v/>
      </c>
      <c r="AA1182" s="142">
        <f>U1182+Z1182</f>
        <v/>
      </c>
      <c r="AB1182" s="5" t="n"/>
      <c r="AC1182" s="5" t="n"/>
      <c r="AD1182" s="5" t="n"/>
      <c r="AE1182" s="5" t="n"/>
      <c r="AF1182" s="5" t="n"/>
      <c r="AG1182" s="5" t="n"/>
    </row>
    <row r="1183" outlineLevel="1" s="326">
      <c r="A1183" s="136" t="n">
        <v>3</v>
      </c>
      <c r="B1183" s="72">
        <f>B82</f>
        <v/>
      </c>
      <c r="C1183" s="137">
        <f>D82</f>
        <v/>
      </c>
      <c r="D1183" s="137">
        <f>I82</f>
        <v/>
      </c>
      <c r="E1183" s="137">
        <f>J82</f>
        <v/>
      </c>
      <c r="F1183" s="137">
        <f>K82</f>
        <v/>
      </c>
      <c r="G1183" s="138">
        <f>IF(AND($L$248&gt;0,A1183=$C$13),$L$248*($C$15+$C$18),0)+IF(AND($L$248&gt;0,A1183=$C$13),$C$24,0)</f>
        <v/>
      </c>
      <c r="H1183" s="138">
        <f>IF(OR($L$248&lt;=0,A1183&lt;$C$13),0,IF(AND($L$248&gt;0,$C$17&gt;0,A1183&gt;=$C$13,A1183&lt;($C$13+$C$17)),IF($C$17&lt;=0,0,IF($C$16=0,MAX($L$248*(1-$C$15),0)/$C$17,-PMT($C$16/12,$C$17*12,MAX($L$248*(1-$C$15),0))*12)),0)+X1183*($C$19+$C$20+$C$21)+$C$22+$C$23)</f>
        <v/>
      </c>
      <c r="I1183" s="138">
        <f>IF(B1183="Working",MIN(MAX(D1183-E1183-F1183-G1183-H1183,0),'Tax Assumptions'!$B$20),0)</f>
        <v/>
      </c>
      <c r="J1183" s="138">
        <f>IF(B1183="Working",D1183-E1183-F1183-I1183-G1183-H1183,-L1183)</f>
        <v/>
      </c>
      <c r="K1183" s="137">
        <f>IF(B1183="Retired",$N$248+G1183+H1183,0)</f>
        <v/>
      </c>
      <c r="L1183" s="137">
        <f>M1183+N1183+O1183+P1183</f>
        <v/>
      </c>
      <c r="M1183" s="137">
        <f>IF(B1183="Retired",MIN(((Q1182)*(1+$C$10)+IF(B1183="Working",J1183,0)),K1183),0)</f>
        <v/>
      </c>
      <c r="N1183" s="137">
        <f>IF(B1183="Retired",MIN(MAX(K1183-M1183,0),((R1182)*(1+$C$10)+IF(B1183="Working",E82,0))),0)</f>
        <v/>
      </c>
      <c r="O1183" s="137">
        <f>IF(B1183="Retired",MIN(MAX(K1183-M1183-N1183,0),((S1182)*(1+$C$10)+IF(B1183="Working",I1183,0))),0)</f>
        <v/>
      </c>
      <c r="P1183" s="137">
        <f>IF(B1183="Retired",MIN(MAX(K1183-M1183-N1183-O1183,0),((T1182)*(1+$C$10)+IF(B1183="Working",F82,0))),0)</f>
        <v/>
      </c>
      <c r="Q1183" s="138">
        <f>MAX(((Q1182)*(1+$C$10)+IF(B1183="Working",J1183,0))-M1183,0)</f>
        <v/>
      </c>
      <c r="R1183" s="138">
        <f>MAX(((R1182)*(1+$C$10)+IF(B1183="Working",E82,0))-N1183,0)</f>
        <v/>
      </c>
      <c r="S1183" s="138">
        <f>MAX(((S1182)*(1+$C$10)+IF(B1183="Working",I1183,0))-O1183,0)</f>
        <v/>
      </c>
      <c r="T1183" s="138">
        <f>MAX(((T1182)*(1+$C$10)+IF(B1183="Working",F82,0))-P1183,0)</f>
        <v/>
      </c>
      <c r="U1183" s="138">
        <f>Q1183+R1183+S1183+T1183</f>
        <v/>
      </c>
      <c r="V1183" s="138">
        <f>IF(B1183="Working",MAX(-(((Q1182)*(1+$C$10)+IF(B1183="Working",J1183,0))),0),MAX(K1183-L1183,0))</f>
        <v/>
      </c>
      <c r="W1183" s="138">
        <f>IF(OR(A1183&gt;=$C$13,B1183="Retired"),IF(V1183&gt;0,-V1183,U1183-'Model Inputs'!$B$18),"")</f>
        <v/>
      </c>
      <c r="X1183" s="138">
        <f>IF(AND($L$248&gt;0,A1183&gt;=$C$13),$L$248*(1+$C$25)^(A1183-$C$13),0)</f>
        <v/>
      </c>
      <c r="Y1183" s="138">
        <f>IF(OR($L$248&lt;=0,$C$17&lt;=0,A1183&lt;$C$13,MIN(MAX((A1183-$C$13+1)*12,0),$C$17*12)&gt;=$C$17*12),0,IF($C$16=0,MAX(MAX($L$248*(1-$C$15),0)-(IF($C$17&lt;=0,0,IF($C$16=0,MAX($L$248*(1-$C$15),0)/$C$17,-PMT($C$16/12,$C$17*12,MAX($L$248*(1-$C$15),0))*12))/12)*MIN(MAX((A1183-$C$13+1)*12,0),$C$17*12),0),MAX(MAX($L$248*(1-$C$15),0)*(1+$C$16/12)^MIN(MAX((A1183-$C$13+1)*12,0),$C$17*12)-(IF($C$17&lt;=0,0,IF($C$16=0,MAX($L$248*(1-$C$15),0)/$C$17,-PMT($C$16/12,$C$17*12,MAX($L$248*(1-$C$15),0))*12))/12)*(((1+$C$16/12)^MIN(MAX((A1183-$C$13+1)*12,0),$C$17*12)-1)/($C$16/12)),0)))</f>
        <v/>
      </c>
      <c r="Z1183" s="138">
        <f>MAX(X1183-Y1183,0)</f>
        <v/>
      </c>
      <c r="AA1183" s="139">
        <f>U1183+Z1183</f>
        <v/>
      </c>
      <c r="AB1183" s="5" t="n"/>
      <c r="AC1183" s="5" t="n"/>
      <c r="AD1183" s="5" t="n"/>
      <c r="AE1183" s="5" t="n"/>
      <c r="AF1183" s="5" t="n"/>
      <c r="AG1183" s="5" t="n"/>
    </row>
    <row r="1184" outlineLevel="1" s="326">
      <c r="A1184" s="140" t="n">
        <v>4</v>
      </c>
      <c r="B1184" s="40">
        <f>B83</f>
        <v/>
      </c>
      <c r="C1184" s="141">
        <f>D83</f>
        <v/>
      </c>
      <c r="D1184" s="141">
        <f>I83</f>
        <v/>
      </c>
      <c r="E1184" s="141">
        <f>J83</f>
        <v/>
      </c>
      <c r="F1184" s="141">
        <f>K83</f>
        <v/>
      </c>
      <c r="G1184" s="138">
        <f>IF(AND($L$248&gt;0,A1184=$C$13),$L$248*($C$15+$C$18),0)+IF(AND($L$248&gt;0,A1184=$C$13),$C$24,0)</f>
        <v/>
      </c>
      <c r="H1184" s="138">
        <f>IF(OR($L$248&lt;=0,A1184&lt;$C$13),0,IF(AND($L$248&gt;0,$C$17&gt;0,A1184&gt;=$C$13,A1184&lt;($C$13+$C$17)),IF($C$17&lt;=0,0,IF($C$16=0,MAX($L$248*(1-$C$15),0)/$C$17,-PMT($C$16/12,$C$17*12,MAX($L$248*(1-$C$15),0))*12)),0)+X1184*($C$19+$C$20+$C$21)+$C$22+$C$23)</f>
        <v/>
      </c>
      <c r="I1184" s="138">
        <f>IF(B1184="Working",MIN(MAX(D1184-E1184-F1184-G1184-H1184,0),'Tax Assumptions'!$B$20),0)</f>
        <v/>
      </c>
      <c r="J1184" s="138">
        <f>IF(B1184="Working",D1184-E1184-F1184-I1184-G1184-H1184,-L1184)</f>
        <v/>
      </c>
      <c r="K1184" s="141">
        <f>IF(B1184="Retired",$N$248+G1184+H1184,0)</f>
        <v/>
      </c>
      <c r="L1184" s="141">
        <f>M1184+N1184+O1184+P1184</f>
        <v/>
      </c>
      <c r="M1184" s="141">
        <f>IF(B1184="Retired",MIN(((Q1183)*(1+$C$10)+IF(B1184="Working",J1184,0)),K1184),0)</f>
        <v/>
      </c>
      <c r="N1184" s="141">
        <f>IF(B1184="Retired",MIN(MAX(K1184-M1184,0),((R1183)*(1+$C$10)+IF(B1184="Working",E83,0))),0)</f>
        <v/>
      </c>
      <c r="O1184" s="141">
        <f>IF(B1184="Retired",MIN(MAX(K1184-M1184-N1184,0),((S1183)*(1+$C$10)+IF(B1184="Working",I1184,0))),0)</f>
        <v/>
      </c>
      <c r="P1184" s="141">
        <f>IF(B1184="Retired",MIN(MAX(K1184-M1184-N1184-O1184,0),((T1183)*(1+$C$10)+IF(B1184="Working",F83,0))),0)</f>
        <v/>
      </c>
      <c r="Q1184" s="138">
        <f>MAX(((Q1183)*(1+$C$10)+IF(B1184="Working",J1184,0))-M1184,0)</f>
        <v/>
      </c>
      <c r="R1184" s="138">
        <f>MAX(((R1183)*(1+$C$10)+IF(B1184="Working",E83,0))-N1184,0)</f>
        <v/>
      </c>
      <c r="S1184" s="138">
        <f>MAX(((S1183)*(1+$C$10)+IF(B1184="Working",I1184,0))-O1184,0)</f>
        <v/>
      </c>
      <c r="T1184" s="138">
        <f>MAX(((T1183)*(1+$C$10)+IF(B1184="Working",F83,0))-P1184,0)</f>
        <v/>
      </c>
      <c r="U1184" s="138">
        <f>Q1184+R1184+S1184+T1184</f>
        <v/>
      </c>
      <c r="V1184" s="138">
        <f>IF(B1184="Working",MAX(-(((Q1183)*(1+$C$10)+IF(B1184="Working",J1184,0))),0),MAX(K1184-L1184,0))</f>
        <v/>
      </c>
      <c r="W1184" s="138">
        <f>IF(OR(A1184&gt;=$C$13,B1184="Retired"),IF(V1184&gt;0,-V1184,U1184-'Model Inputs'!$B$18),"")</f>
        <v/>
      </c>
      <c r="X1184" s="138">
        <f>IF(AND($L$248&gt;0,A1184&gt;=$C$13),$L$248*(1+$C$25)^(A1184-$C$13),0)</f>
        <v/>
      </c>
      <c r="Y1184" s="138">
        <f>IF(OR($L$248&lt;=0,$C$17&lt;=0,A1184&lt;$C$13,MIN(MAX((A1184-$C$13+1)*12,0),$C$17*12)&gt;=$C$17*12),0,IF($C$16=0,MAX(MAX($L$248*(1-$C$15),0)-(IF($C$17&lt;=0,0,IF($C$16=0,MAX($L$248*(1-$C$15),0)/$C$17,-PMT($C$16/12,$C$17*12,MAX($L$248*(1-$C$15),0))*12))/12)*MIN(MAX((A1184-$C$13+1)*12,0),$C$17*12),0),MAX(MAX($L$248*(1-$C$15),0)*(1+$C$16/12)^MIN(MAX((A1184-$C$13+1)*12,0),$C$17*12)-(IF($C$17&lt;=0,0,IF($C$16=0,MAX($L$248*(1-$C$15),0)/$C$17,-PMT($C$16/12,$C$17*12,MAX($L$248*(1-$C$15),0))*12))/12)*(((1+$C$16/12)^MIN(MAX((A1184-$C$13+1)*12,0),$C$17*12)-1)/($C$16/12)),0)))</f>
        <v/>
      </c>
      <c r="Z1184" s="138">
        <f>MAX(X1184-Y1184,0)</f>
        <v/>
      </c>
      <c r="AA1184" s="142">
        <f>U1184+Z1184</f>
        <v/>
      </c>
      <c r="AB1184" s="5" t="n"/>
      <c r="AC1184" s="5" t="n"/>
      <c r="AD1184" s="5" t="n"/>
      <c r="AE1184" s="5" t="n"/>
      <c r="AF1184" s="5" t="n"/>
      <c r="AG1184" s="5" t="n"/>
    </row>
    <row r="1185" outlineLevel="1" s="326">
      <c r="A1185" s="136" t="n">
        <v>5</v>
      </c>
      <c r="B1185" s="72">
        <f>B84</f>
        <v/>
      </c>
      <c r="C1185" s="137">
        <f>D84</f>
        <v/>
      </c>
      <c r="D1185" s="137">
        <f>I84</f>
        <v/>
      </c>
      <c r="E1185" s="137">
        <f>J84</f>
        <v/>
      </c>
      <c r="F1185" s="137">
        <f>K84</f>
        <v/>
      </c>
      <c r="G1185" s="138">
        <f>IF(AND($L$248&gt;0,A1185=$C$13),$L$248*($C$15+$C$18),0)+IF(AND($L$248&gt;0,A1185=$C$13),$C$24,0)</f>
        <v/>
      </c>
      <c r="H1185" s="138">
        <f>IF(OR($L$248&lt;=0,A1185&lt;$C$13),0,IF(AND($L$248&gt;0,$C$17&gt;0,A1185&gt;=$C$13,A1185&lt;($C$13+$C$17)),IF($C$17&lt;=0,0,IF($C$16=0,MAX($L$248*(1-$C$15),0)/$C$17,-PMT($C$16/12,$C$17*12,MAX($L$248*(1-$C$15),0))*12)),0)+X1185*($C$19+$C$20+$C$21)+$C$22+$C$23)</f>
        <v/>
      </c>
      <c r="I1185" s="138">
        <f>IF(B1185="Working",MIN(MAX(D1185-E1185-F1185-G1185-H1185,0),'Tax Assumptions'!$B$20),0)</f>
        <v/>
      </c>
      <c r="J1185" s="138">
        <f>IF(B1185="Working",D1185-E1185-F1185-I1185-G1185-H1185,-L1185)</f>
        <v/>
      </c>
      <c r="K1185" s="137">
        <f>IF(B1185="Retired",$N$248+G1185+H1185,0)</f>
        <v/>
      </c>
      <c r="L1185" s="137">
        <f>M1185+N1185+O1185+P1185</f>
        <v/>
      </c>
      <c r="M1185" s="137">
        <f>IF(B1185="Retired",MIN(((Q1184)*(1+$C$10)+IF(B1185="Working",J1185,0)),K1185),0)</f>
        <v/>
      </c>
      <c r="N1185" s="137">
        <f>IF(B1185="Retired",MIN(MAX(K1185-M1185,0),((R1184)*(1+$C$10)+IF(B1185="Working",E84,0))),0)</f>
        <v/>
      </c>
      <c r="O1185" s="137">
        <f>IF(B1185="Retired",MIN(MAX(K1185-M1185-N1185,0),((S1184)*(1+$C$10)+IF(B1185="Working",I1185,0))),0)</f>
        <v/>
      </c>
      <c r="P1185" s="137">
        <f>IF(B1185="Retired",MIN(MAX(K1185-M1185-N1185-O1185,0),((T1184)*(1+$C$10)+IF(B1185="Working",F84,0))),0)</f>
        <v/>
      </c>
      <c r="Q1185" s="138">
        <f>MAX(((Q1184)*(1+$C$10)+IF(B1185="Working",J1185,0))-M1185,0)</f>
        <v/>
      </c>
      <c r="R1185" s="138">
        <f>MAX(((R1184)*(1+$C$10)+IF(B1185="Working",E84,0))-N1185,0)</f>
        <v/>
      </c>
      <c r="S1185" s="138">
        <f>MAX(((S1184)*(1+$C$10)+IF(B1185="Working",I1185,0))-O1185,0)</f>
        <v/>
      </c>
      <c r="T1185" s="138">
        <f>MAX(((T1184)*(1+$C$10)+IF(B1185="Working",F84,0))-P1185,0)</f>
        <v/>
      </c>
      <c r="U1185" s="138">
        <f>Q1185+R1185+S1185+T1185</f>
        <v/>
      </c>
      <c r="V1185" s="138">
        <f>IF(B1185="Working",MAX(-(((Q1184)*(1+$C$10)+IF(B1185="Working",J1185,0))),0),MAX(K1185-L1185,0))</f>
        <v/>
      </c>
      <c r="W1185" s="138">
        <f>IF(OR(A1185&gt;=$C$13,B1185="Retired"),IF(V1185&gt;0,-V1185,U1185-'Model Inputs'!$B$18),"")</f>
        <v/>
      </c>
      <c r="X1185" s="138">
        <f>IF(AND($L$248&gt;0,A1185&gt;=$C$13),$L$248*(1+$C$25)^(A1185-$C$13),0)</f>
        <v/>
      </c>
      <c r="Y1185" s="138">
        <f>IF(OR($L$248&lt;=0,$C$17&lt;=0,A1185&lt;$C$13,MIN(MAX((A1185-$C$13+1)*12,0),$C$17*12)&gt;=$C$17*12),0,IF($C$16=0,MAX(MAX($L$248*(1-$C$15),0)-(IF($C$17&lt;=0,0,IF($C$16=0,MAX($L$248*(1-$C$15),0)/$C$17,-PMT($C$16/12,$C$17*12,MAX($L$248*(1-$C$15),0))*12))/12)*MIN(MAX((A1185-$C$13+1)*12,0),$C$17*12),0),MAX(MAX($L$248*(1-$C$15),0)*(1+$C$16/12)^MIN(MAX((A1185-$C$13+1)*12,0),$C$17*12)-(IF($C$17&lt;=0,0,IF($C$16=0,MAX($L$248*(1-$C$15),0)/$C$17,-PMT($C$16/12,$C$17*12,MAX($L$248*(1-$C$15),0))*12))/12)*(((1+$C$16/12)^MIN(MAX((A1185-$C$13+1)*12,0),$C$17*12)-1)/($C$16/12)),0)))</f>
        <v/>
      </c>
      <c r="Z1185" s="138">
        <f>MAX(X1185-Y1185,0)</f>
        <v/>
      </c>
      <c r="AA1185" s="139">
        <f>U1185+Z1185</f>
        <v/>
      </c>
      <c r="AB1185" s="5" t="n"/>
      <c r="AC1185" s="5" t="n"/>
      <c r="AD1185" s="5" t="n"/>
      <c r="AE1185" s="5" t="n"/>
      <c r="AF1185" s="5" t="n"/>
      <c r="AG1185" s="5" t="n"/>
    </row>
    <row r="1186" outlineLevel="1" s="326">
      <c r="A1186" s="140" t="n">
        <v>6</v>
      </c>
      <c r="B1186" s="40">
        <f>B85</f>
        <v/>
      </c>
      <c r="C1186" s="141">
        <f>D85</f>
        <v/>
      </c>
      <c r="D1186" s="141">
        <f>I85</f>
        <v/>
      </c>
      <c r="E1186" s="141">
        <f>J85</f>
        <v/>
      </c>
      <c r="F1186" s="141">
        <f>K85</f>
        <v/>
      </c>
      <c r="G1186" s="138">
        <f>IF(AND($L$248&gt;0,A1186=$C$13),$L$248*($C$15+$C$18),0)+IF(AND($L$248&gt;0,A1186=$C$13),$C$24,0)</f>
        <v/>
      </c>
      <c r="H1186" s="138">
        <f>IF(OR($L$248&lt;=0,A1186&lt;$C$13),0,IF(AND($L$248&gt;0,$C$17&gt;0,A1186&gt;=$C$13,A1186&lt;($C$13+$C$17)),IF($C$17&lt;=0,0,IF($C$16=0,MAX($L$248*(1-$C$15),0)/$C$17,-PMT($C$16/12,$C$17*12,MAX($L$248*(1-$C$15),0))*12)),0)+X1186*($C$19+$C$20+$C$21)+$C$22+$C$23)</f>
        <v/>
      </c>
      <c r="I1186" s="138">
        <f>IF(B1186="Working",MIN(MAX(D1186-E1186-F1186-G1186-H1186,0),'Tax Assumptions'!$B$20),0)</f>
        <v/>
      </c>
      <c r="J1186" s="138">
        <f>IF(B1186="Working",D1186-E1186-F1186-I1186-G1186-H1186,-L1186)</f>
        <v/>
      </c>
      <c r="K1186" s="141">
        <f>IF(B1186="Retired",$N$248+G1186+H1186,0)</f>
        <v/>
      </c>
      <c r="L1186" s="141">
        <f>M1186+N1186+O1186+P1186</f>
        <v/>
      </c>
      <c r="M1186" s="141">
        <f>IF(B1186="Retired",MIN(((Q1185)*(1+$C$10)+IF(B1186="Working",J1186,0)),K1186),0)</f>
        <v/>
      </c>
      <c r="N1186" s="141">
        <f>IF(B1186="Retired",MIN(MAX(K1186-M1186,0),((R1185)*(1+$C$10)+IF(B1186="Working",E85,0))),0)</f>
        <v/>
      </c>
      <c r="O1186" s="141">
        <f>IF(B1186="Retired",MIN(MAX(K1186-M1186-N1186,0),((S1185)*(1+$C$10)+IF(B1186="Working",I1186,0))),0)</f>
        <v/>
      </c>
      <c r="P1186" s="141">
        <f>IF(B1186="Retired",MIN(MAX(K1186-M1186-N1186-O1186,0),((T1185)*(1+$C$10)+IF(B1186="Working",F85,0))),0)</f>
        <v/>
      </c>
      <c r="Q1186" s="138">
        <f>MAX(((Q1185)*(1+$C$10)+IF(B1186="Working",J1186,0))-M1186,0)</f>
        <v/>
      </c>
      <c r="R1186" s="138">
        <f>MAX(((R1185)*(1+$C$10)+IF(B1186="Working",E85,0))-N1186,0)</f>
        <v/>
      </c>
      <c r="S1186" s="138">
        <f>MAX(((S1185)*(1+$C$10)+IF(B1186="Working",I1186,0))-O1186,0)</f>
        <v/>
      </c>
      <c r="T1186" s="138">
        <f>MAX(((T1185)*(1+$C$10)+IF(B1186="Working",F85,0))-P1186,0)</f>
        <v/>
      </c>
      <c r="U1186" s="138">
        <f>Q1186+R1186+S1186+T1186</f>
        <v/>
      </c>
      <c r="V1186" s="138">
        <f>IF(B1186="Working",MAX(-(((Q1185)*(1+$C$10)+IF(B1186="Working",J1186,0))),0),MAX(K1186-L1186,0))</f>
        <v/>
      </c>
      <c r="W1186" s="138">
        <f>IF(OR(A1186&gt;=$C$13,B1186="Retired"),IF(V1186&gt;0,-V1186,U1186-'Model Inputs'!$B$18),"")</f>
        <v/>
      </c>
      <c r="X1186" s="138">
        <f>IF(AND($L$248&gt;0,A1186&gt;=$C$13),$L$248*(1+$C$25)^(A1186-$C$13),0)</f>
        <v/>
      </c>
      <c r="Y1186" s="138">
        <f>IF(OR($L$248&lt;=0,$C$17&lt;=0,A1186&lt;$C$13,MIN(MAX((A1186-$C$13+1)*12,0),$C$17*12)&gt;=$C$17*12),0,IF($C$16=0,MAX(MAX($L$248*(1-$C$15),0)-(IF($C$17&lt;=0,0,IF($C$16=0,MAX($L$248*(1-$C$15),0)/$C$17,-PMT($C$16/12,$C$17*12,MAX($L$248*(1-$C$15),0))*12))/12)*MIN(MAX((A1186-$C$13+1)*12,0),$C$17*12),0),MAX(MAX($L$248*(1-$C$15),0)*(1+$C$16/12)^MIN(MAX((A1186-$C$13+1)*12,0),$C$17*12)-(IF($C$17&lt;=0,0,IF($C$16=0,MAX($L$248*(1-$C$15),0)/$C$17,-PMT($C$16/12,$C$17*12,MAX($L$248*(1-$C$15),0))*12))/12)*(((1+$C$16/12)^MIN(MAX((A1186-$C$13+1)*12,0),$C$17*12)-1)/($C$16/12)),0)))</f>
        <v/>
      </c>
      <c r="Z1186" s="138">
        <f>MAX(X1186-Y1186,0)</f>
        <v/>
      </c>
      <c r="AA1186" s="142">
        <f>U1186+Z1186</f>
        <v/>
      </c>
      <c r="AB1186" s="5" t="n"/>
      <c r="AC1186" s="5" t="n"/>
      <c r="AD1186" s="5" t="n"/>
      <c r="AE1186" s="5" t="n"/>
      <c r="AF1186" s="5" t="n"/>
      <c r="AG1186" s="5" t="n"/>
    </row>
    <row r="1187" outlineLevel="1" s="326">
      <c r="A1187" s="136" t="n">
        <v>7</v>
      </c>
      <c r="B1187" s="72">
        <f>B86</f>
        <v/>
      </c>
      <c r="C1187" s="137">
        <f>D86</f>
        <v/>
      </c>
      <c r="D1187" s="137">
        <f>I86</f>
        <v/>
      </c>
      <c r="E1187" s="137">
        <f>J86</f>
        <v/>
      </c>
      <c r="F1187" s="137">
        <f>K86</f>
        <v/>
      </c>
      <c r="G1187" s="138">
        <f>IF(AND($L$248&gt;0,A1187=$C$13),$L$248*($C$15+$C$18),0)+IF(AND($L$248&gt;0,A1187=$C$13),$C$24,0)</f>
        <v/>
      </c>
      <c r="H1187" s="138">
        <f>IF(OR($L$248&lt;=0,A1187&lt;$C$13),0,IF(AND($L$248&gt;0,$C$17&gt;0,A1187&gt;=$C$13,A1187&lt;($C$13+$C$17)),IF($C$17&lt;=0,0,IF($C$16=0,MAX($L$248*(1-$C$15),0)/$C$17,-PMT($C$16/12,$C$17*12,MAX($L$248*(1-$C$15),0))*12)),0)+X1187*($C$19+$C$20+$C$21)+$C$22+$C$23)</f>
        <v/>
      </c>
      <c r="I1187" s="138">
        <f>IF(B1187="Working",MIN(MAX(D1187-E1187-F1187-G1187-H1187,0),'Tax Assumptions'!$B$20),0)</f>
        <v/>
      </c>
      <c r="J1187" s="138">
        <f>IF(B1187="Working",D1187-E1187-F1187-I1187-G1187-H1187,-L1187)</f>
        <v/>
      </c>
      <c r="K1187" s="137">
        <f>IF(B1187="Retired",$N$248+G1187+H1187,0)</f>
        <v/>
      </c>
      <c r="L1187" s="137">
        <f>M1187+N1187+O1187+P1187</f>
        <v/>
      </c>
      <c r="M1187" s="137">
        <f>IF(B1187="Retired",MIN(((Q1186)*(1+$C$10)+IF(B1187="Working",J1187,0)),K1187),0)</f>
        <v/>
      </c>
      <c r="N1187" s="137">
        <f>IF(B1187="Retired",MIN(MAX(K1187-M1187,0),((R1186)*(1+$C$10)+IF(B1187="Working",E86,0))),0)</f>
        <v/>
      </c>
      <c r="O1187" s="137">
        <f>IF(B1187="Retired",MIN(MAX(K1187-M1187-N1187,0),((S1186)*(1+$C$10)+IF(B1187="Working",I1187,0))),0)</f>
        <v/>
      </c>
      <c r="P1187" s="137">
        <f>IF(B1187="Retired",MIN(MAX(K1187-M1187-N1187-O1187,0),((T1186)*(1+$C$10)+IF(B1187="Working",F86,0))),0)</f>
        <v/>
      </c>
      <c r="Q1187" s="138">
        <f>MAX(((Q1186)*(1+$C$10)+IF(B1187="Working",J1187,0))-M1187,0)</f>
        <v/>
      </c>
      <c r="R1187" s="138">
        <f>MAX(((R1186)*(1+$C$10)+IF(B1187="Working",E86,0))-N1187,0)</f>
        <v/>
      </c>
      <c r="S1187" s="138">
        <f>MAX(((S1186)*(1+$C$10)+IF(B1187="Working",I1187,0))-O1187,0)</f>
        <v/>
      </c>
      <c r="T1187" s="138">
        <f>MAX(((T1186)*(1+$C$10)+IF(B1187="Working",F86,0))-P1187,0)</f>
        <v/>
      </c>
      <c r="U1187" s="138">
        <f>Q1187+R1187+S1187+T1187</f>
        <v/>
      </c>
      <c r="V1187" s="138">
        <f>IF(B1187="Working",MAX(-(((Q1186)*(1+$C$10)+IF(B1187="Working",J1187,0))),0),MAX(K1187-L1187,0))</f>
        <v/>
      </c>
      <c r="W1187" s="138">
        <f>IF(OR(A1187&gt;=$C$13,B1187="Retired"),IF(V1187&gt;0,-V1187,U1187-'Model Inputs'!$B$18),"")</f>
        <v/>
      </c>
      <c r="X1187" s="138">
        <f>IF(AND($L$248&gt;0,A1187&gt;=$C$13),$L$248*(1+$C$25)^(A1187-$C$13),0)</f>
        <v/>
      </c>
      <c r="Y1187" s="138">
        <f>IF(OR($L$248&lt;=0,$C$17&lt;=0,A1187&lt;$C$13,MIN(MAX((A1187-$C$13+1)*12,0),$C$17*12)&gt;=$C$17*12),0,IF($C$16=0,MAX(MAX($L$248*(1-$C$15),0)-(IF($C$17&lt;=0,0,IF($C$16=0,MAX($L$248*(1-$C$15),0)/$C$17,-PMT($C$16/12,$C$17*12,MAX($L$248*(1-$C$15),0))*12))/12)*MIN(MAX((A1187-$C$13+1)*12,0),$C$17*12),0),MAX(MAX($L$248*(1-$C$15),0)*(1+$C$16/12)^MIN(MAX((A1187-$C$13+1)*12,0),$C$17*12)-(IF($C$17&lt;=0,0,IF($C$16=0,MAX($L$248*(1-$C$15),0)/$C$17,-PMT($C$16/12,$C$17*12,MAX($L$248*(1-$C$15),0))*12))/12)*(((1+$C$16/12)^MIN(MAX((A1187-$C$13+1)*12,0),$C$17*12)-1)/($C$16/12)),0)))</f>
        <v/>
      </c>
      <c r="Z1187" s="138">
        <f>MAX(X1187-Y1187,0)</f>
        <v/>
      </c>
      <c r="AA1187" s="139">
        <f>U1187+Z1187</f>
        <v/>
      </c>
      <c r="AB1187" s="5" t="n"/>
      <c r="AC1187" s="5" t="n"/>
      <c r="AD1187" s="5" t="n"/>
      <c r="AE1187" s="5" t="n"/>
      <c r="AF1187" s="5" t="n"/>
      <c r="AG1187" s="5" t="n"/>
    </row>
    <row r="1188" outlineLevel="1" s="326">
      <c r="A1188" s="140" t="n">
        <v>8</v>
      </c>
      <c r="B1188" s="40">
        <f>B87</f>
        <v/>
      </c>
      <c r="C1188" s="141">
        <f>D87</f>
        <v/>
      </c>
      <c r="D1188" s="141">
        <f>I87</f>
        <v/>
      </c>
      <c r="E1188" s="141">
        <f>J87</f>
        <v/>
      </c>
      <c r="F1188" s="141">
        <f>K87</f>
        <v/>
      </c>
      <c r="G1188" s="138">
        <f>IF(AND($L$248&gt;0,A1188=$C$13),$L$248*($C$15+$C$18),0)+IF(AND($L$248&gt;0,A1188=$C$13),$C$24,0)</f>
        <v/>
      </c>
      <c r="H1188" s="138">
        <f>IF(OR($L$248&lt;=0,A1188&lt;$C$13),0,IF(AND($L$248&gt;0,$C$17&gt;0,A1188&gt;=$C$13,A1188&lt;($C$13+$C$17)),IF($C$17&lt;=0,0,IF($C$16=0,MAX($L$248*(1-$C$15),0)/$C$17,-PMT($C$16/12,$C$17*12,MAX($L$248*(1-$C$15),0))*12)),0)+X1188*($C$19+$C$20+$C$21)+$C$22+$C$23)</f>
        <v/>
      </c>
      <c r="I1188" s="138">
        <f>IF(B1188="Working",MIN(MAX(D1188-E1188-F1188-G1188-H1188,0),'Tax Assumptions'!$B$20),0)</f>
        <v/>
      </c>
      <c r="J1188" s="138">
        <f>IF(B1188="Working",D1188-E1188-F1188-I1188-G1188-H1188,-L1188)</f>
        <v/>
      </c>
      <c r="K1188" s="141">
        <f>IF(B1188="Retired",$N$248+G1188+H1188,0)</f>
        <v/>
      </c>
      <c r="L1188" s="141">
        <f>M1188+N1188+O1188+P1188</f>
        <v/>
      </c>
      <c r="M1188" s="141">
        <f>IF(B1188="Retired",MIN(((Q1187)*(1+$C$10)+IF(B1188="Working",J1188,0)),K1188),0)</f>
        <v/>
      </c>
      <c r="N1188" s="141">
        <f>IF(B1188="Retired",MIN(MAX(K1188-M1188,0),((R1187)*(1+$C$10)+IF(B1188="Working",E87,0))),0)</f>
        <v/>
      </c>
      <c r="O1188" s="141">
        <f>IF(B1188="Retired",MIN(MAX(K1188-M1188-N1188,0),((S1187)*(1+$C$10)+IF(B1188="Working",I1188,0))),0)</f>
        <v/>
      </c>
      <c r="P1188" s="141">
        <f>IF(B1188="Retired",MIN(MAX(K1188-M1188-N1188-O1188,0),((T1187)*(1+$C$10)+IF(B1188="Working",F87,0))),0)</f>
        <v/>
      </c>
      <c r="Q1188" s="138">
        <f>MAX(((Q1187)*(1+$C$10)+IF(B1188="Working",J1188,0))-M1188,0)</f>
        <v/>
      </c>
      <c r="R1188" s="138">
        <f>MAX(((R1187)*(1+$C$10)+IF(B1188="Working",E87,0))-N1188,0)</f>
        <v/>
      </c>
      <c r="S1188" s="138">
        <f>MAX(((S1187)*(1+$C$10)+IF(B1188="Working",I1188,0))-O1188,0)</f>
        <v/>
      </c>
      <c r="T1188" s="138">
        <f>MAX(((T1187)*(1+$C$10)+IF(B1188="Working",F87,0))-P1188,0)</f>
        <v/>
      </c>
      <c r="U1188" s="138">
        <f>Q1188+R1188+S1188+T1188</f>
        <v/>
      </c>
      <c r="V1188" s="138">
        <f>IF(B1188="Working",MAX(-(((Q1187)*(1+$C$10)+IF(B1188="Working",J1188,0))),0),MAX(K1188-L1188,0))</f>
        <v/>
      </c>
      <c r="W1188" s="138">
        <f>IF(OR(A1188&gt;=$C$13,B1188="Retired"),IF(V1188&gt;0,-V1188,U1188-'Model Inputs'!$B$18),"")</f>
        <v/>
      </c>
      <c r="X1188" s="138">
        <f>IF(AND($L$248&gt;0,A1188&gt;=$C$13),$L$248*(1+$C$25)^(A1188-$C$13),0)</f>
        <v/>
      </c>
      <c r="Y1188" s="138">
        <f>IF(OR($L$248&lt;=0,$C$17&lt;=0,A1188&lt;$C$13,MIN(MAX((A1188-$C$13+1)*12,0),$C$17*12)&gt;=$C$17*12),0,IF($C$16=0,MAX(MAX($L$248*(1-$C$15),0)-(IF($C$17&lt;=0,0,IF($C$16=0,MAX($L$248*(1-$C$15),0)/$C$17,-PMT($C$16/12,$C$17*12,MAX($L$248*(1-$C$15),0))*12))/12)*MIN(MAX((A1188-$C$13+1)*12,0),$C$17*12),0),MAX(MAX($L$248*(1-$C$15),0)*(1+$C$16/12)^MIN(MAX((A1188-$C$13+1)*12,0),$C$17*12)-(IF($C$17&lt;=0,0,IF($C$16=0,MAX($L$248*(1-$C$15),0)/$C$17,-PMT($C$16/12,$C$17*12,MAX($L$248*(1-$C$15),0))*12))/12)*(((1+$C$16/12)^MIN(MAX((A1188-$C$13+1)*12,0),$C$17*12)-1)/($C$16/12)),0)))</f>
        <v/>
      </c>
      <c r="Z1188" s="138">
        <f>MAX(X1188-Y1188,0)</f>
        <v/>
      </c>
      <c r="AA1188" s="142">
        <f>U1188+Z1188</f>
        <v/>
      </c>
      <c r="AB1188" s="5" t="n"/>
      <c r="AC1188" s="5" t="n"/>
      <c r="AD1188" s="5" t="n"/>
      <c r="AE1188" s="5" t="n"/>
      <c r="AF1188" s="5" t="n"/>
      <c r="AG1188" s="5" t="n"/>
    </row>
    <row r="1189" outlineLevel="1" s="326">
      <c r="A1189" s="136" t="n">
        <v>9</v>
      </c>
      <c r="B1189" s="72">
        <f>B88</f>
        <v/>
      </c>
      <c r="C1189" s="137">
        <f>D88</f>
        <v/>
      </c>
      <c r="D1189" s="137">
        <f>I88</f>
        <v/>
      </c>
      <c r="E1189" s="137">
        <f>J88</f>
        <v/>
      </c>
      <c r="F1189" s="137">
        <f>K88</f>
        <v/>
      </c>
      <c r="G1189" s="138">
        <f>IF(AND($L$248&gt;0,A1189=$C$13),$L$248*($C$15+$C$18),0)+IF(AND($L$248&gt;0,A1189=$C$13),$C$24,0)</f>
        <v/>
      </c>
      <c r="H1189" s="138">
        <f>IF(OR($L$248&lt;=0,A1189&lt;$C$13),0,IF(AND($L$248&gt;0,$C$17&gt;0,A1189&gt;=$C$13,A1189&lt;($C$13+$C$17)),IF($C$17&lt;=0,0,IF($C$16=0,MAX($L$248*(1-$C$15),0)/$C$17,-PMT($C$16/12,$C$17*12,MAX($L$248*(1-$C$15),0))*12)),0)+X1189*($C$19+$C$20+$C$21)+$C$22+$C$23)</f>
        <v/>
      </c>
      <c r="I1189" s="138">
        <f>IF(B1189="Working",MIN(MAX(D1189-E1189-F1189-G1189-H1189,0),'Tax Assumptions'!$B$20),0)</f>
        <v/>
      </c>
      <c r="J1189" s="138">
        <f>IF(B1189="Working",D1189-E1189-F1189-I1189-G1189-H1189,-L1189)</f>
        <v/>
      </c>
      <c r="K1189" s="137">
        <f>IF(B1189="Retired",$N$248+G1189+H1189,0)</f>
        <v/>
      </c>
      <c r="L1189" s="137">
        <f>M1189+N1189+O1189+P1189</f>
        <v/>
      </c>
      <c r="M1189" s="137">
        <f>IF(B1189="Retired",MIN(((Q1188)*(1+$C$10)+IF(B1189="Working",J1189,0)),K1189),0)</f>
        <v/>
      </c>
      <c r="N1189" s="137">
        <f>IF(B1189="Retired",MIN(MAX(K1189-M1189,0),((R1188)*(1+$C$10)+IF(B1189="Working",E88,0))),0)</f>
        <v/>
      </c>
      <c r="O1189" s="137">
        <f>IF(B1189="Retired",MIN(MAX(K1189-M1189-N1189,0),((S1188)*(1+$C$10)+IF(B1189="Working",I1189,0))),0)</f>
        <v/>
      </c>
      <c r="P1189" s="137">
        <f>IF(B1189="Retired",MIN(MAX(K1189-M1189-N1189-O1189,0),((T1188)*(1+$C$10)+IF(B1189="Working",F88,0))),0)</f>
        <v/>
      </c>
      <c r="Q1189" s="138">
        <f>MAX(((Q1188)*(1+$C$10)+IF(B1189="Working",J1189,0))-M1189,0)</f>
        <v/>
      </c>
      <c r="R1189" s="138">
        <f>MAX(((R1188)*(1+$C$10)+IF(B1189="Working",E88,0))-N1189,0)</f>
        <v/>
      </c>
      <c r="S1189" s="138">
        <f>MAX(((S1188)*(1+$C$10)+IF(B1189="Working",I1189,0))-O1189,0)</f>
        <v/>
      </c>
      <c r="T1189" s="138">
        <f>MAX(((T1188)*(1+$C$10)+IF(B1189="Working",F88,0))-P1189,0)</f>
        <v/>
      </c>
      <c r="U1189" s="138">
        <f>Q1189+R1189+S1189+T1189</f>
        <v/>
      </c>
      <c r="V1189" s="138">
        <f>IF(B1189="Working",MAX(-(((Q1188)*(1+$C$10)+IF(B1189="Working",J1189,0))),0),MAX(K1189-L1189,0))</f>
        <v/>
      </c>
      <c r="W1189" s="138">
        <f>IF(OR(A1189&gt;=$C$13,B1189="Retired"),IF(V1189&gt;0,-V1189,U1189-'Model Inputs'!$B$18),"")</f>
        <v/>
      </c>
      <c r="X1189" s="138">
        <f>IF(AND($L$248&gt;0,A1189&gt;=$C$13),$L$248*(1+$C$25)^(A1189-$C$13),0)</f>
        <v/>
      </c>
      <c r="Y1189" s="138">
        <f>IF(OR($L$248&lt;=0,$C$17&lt;=0,A1189&lt;$C$13,MIN(MAX((A1189-$C$13+1)*12,0),$C$17*12)&gt;=$C$17*12),0,IF($C$16=0,MAX(MAX($L$248*(1-$C$15),0)-(IF($C$17&lt;=0,0,IF($C$16=0,MAX($L$248*(1-$C$15),0)/$C$17,-PMT($C$16/12,$C$17*12,MAX($L$248*(1-$C$15),0))*12))/12)*MIN(MAX((A1189-$C$13+1)*12,0),$C$17*12),0),MAX(MAX($L$248*(1-$C$15),0)*(1+$C$16/12)^MIN(MAX((A1189-$C$13+1)*12,0),$C$17*12)-(IF($C$17&lt;=0,0,IF($C$16=0,MAX($L$248*(1-$C$15),0)/$C$17,-PMT($C$16/12,$C$17*12,MAX($L$248*(1-$C$15),0))*12))/12)*(((1+$C$16/12)^MIN(MAX((A1189-$C$13+1)*12,0),$C$17*12)-1)/($C$16/12)),0)))</f>
        <v/>
      </c>
      <c r="Z1189" s="138">
        <f>MAX(X1189-Y1189,0)</f>
        <v/>
      </c>
      <c r="AA1189" s="139">
        <f>U1189+Z1189</f>
        <v/>
      </c>
      <c r="AB1189" s="5" t="n"/>
      <c r="AC1189" s="5" t="n"/>
      <c r="AD1189" s="5" t="n"/>
      <c r="AE1189" s="5" t="n"/>
      <c r="AF1189" s="5" t="n"/>
      <c r="AG1189" s="5" t="n"/>
    </row>
    <row r="1190" outlineLevel="1" s="326">
      <c r="A1190" s="140" t="n">
        <v>10</v>
      </c>
      <c r="B1190" s="40">
        <f>B89</f>
        <v/>
      </c>
      <c r="C1190" s="141">
        <f>D89</f>
        <v/>
      </c>
      <c r="D1190" s="141">
        <f>I89</f>
        <v/>
      </c>
      <c r="E1190" s="141">
        <f>J89</f>
        <v/>
      </c>
      <c r="F1190" s="141">
        <f>K89</f>
        <v/>
      </c>
      <c r="G1190" s="138">
        <f>IF(AND($L$248&gt;0,A1190=$C$13),$L$248*($C$15+$C$18),0)+IF(AND($L$248&gt;0,A1190=$C$13),$C$24,0)</f>
        <v/>
      </c>
      <c r="H1190" s="138">
        <f>IF(OR($L$248&lt;=0,A1190&lt;$C$13),0,IF(AND($L$248&gt;0,$C$17&gt;0,A1190&gt;=$C$13,A1190&lt;($C$13+$C$17)),IF($C$17&lt;=0,0,IF($C$16=0,MAX($L$248*(1-$C$15),0)/$C$17,-PMT($C$16/12,$C$17*12,MAX($L$248*(1-$C$15),0))*12)),0)+X1190*($C$19+$C$20+$C$21)+$C$22+$C$23)</f>
        <v/>
      </c>
      <c r="I1190" s="138">
        <f>IF(B1190="Working",MIN(MAX(D1190-E1190-F1190-G1190-H1190,0),'Tax Assumptions'!$B$20),0)</f>
        <v/>
      </c>
      <c r="J1190" s="138">
        <f>IF(B1190="Working",D1190-E1190-F1190-I1190-G1190-H1190,-L1190)</f>
        <v/>
      </c>
      <c r="K1190" s="141">
        <f>IF(B1190="Retired",$N$248+G1190+H1190,0)</f>
        <v/>
      </c>
      <c r="L1190" s="141">
        <f>M1190+N1190+O1190+P1190</f>
        <v/>
      </c>
      <c r="M1190" s="141">
        <f>IF(B1190="Retired",MIN(((Q1189)*(1+$C$10)+IF(B1190="Working",J1190,0)),K1190),0)</f>
        <v/>
      </c>
      <c r="N1190" s="141">
        <f>IF(B1190="Retired",MIN(MAX(K1190-M1190,0),((R1189)*(1+$C$10)+IF(B1190="Working",E89,0))),0)</f>
        <v/>
      </c>
      <c r="O1190" s="141">
        <f>IF(B1190="Retired",MIN(MAX(K1190-M1190-N1190,0),((S1189)*(1+$C$10)+IF(B1190="Working",I1190,0))),0)</f>
        <v/>
      </c>
      <c r="P1190" s="141">
        <f>IF(B1190="Retired",MIN(MAX(K1190-M1190-N1190-O1190,0),((T1189)*(1+$C$10)+IF(B1190="Working",F89,0))),0)</f>
        <v/>
      </c>
      <c r="Q1190" s="138">
        <f>MAX(((Q1189)*(1+$C$10)+IF(B1190="Working",J1190,0))-M1190,0)</f>
        <v/>
      </c>
      <c r="R1190" s="138">
        <f>MAX(((R1189)*(1+$C$10)+IF(B1190="Working",E89,0))-N1190,0)</f>
        <v/>
      </c>
      <c r="S1190" s="138">
        <f>MAX(((S1189)*(1+$C$10)+IF(B1190="Working",I1190,0))-O1190,0)</f>
        <v/>
      </c>
      <c r="T1190" s="138">
        <f>MAX(((T1189)*(1+$C$10)+IF(B1190="Working",F89,0))-P1190,0)</f>
        <v/>
      </c>
      <c r="U1190" s="138">
        <f>Q1190+R1190+S1190+T1190</f>
        <v/>
      </c>
      <c r="V1190" s="138">
        <f>IF(B1190="Working",MAX(-(((Q1189)*(1+$C$10)+IF(B1190="Working",J1190,0))),0),MAX(K1190-L1190,0))</f>
        <v/>
      </c>
      <c r="W1190" s="138">
        <f>IF(OR(A1190&gt;=$C$13,B1190="Retired"),IF(V1190&gt;0,-V1190,U1190-'Model Inputs'!$B$18),"")</f>
        <v/>
      </c>
      <c r="X1190" s="138">
        <f>IF(AND($L$248&gt;0,A1190&gt;=$C$13),$L$248*(1+$C$25)^(A1190-$C$13),0)</f>
        <v/>
      </c>
      <c r="Y1190" s="138">
        <f>IF(OR($L$248&lt;=0,$C$17&lt;=0,A1190&lt;$C$13,MIN(MAX((A1190-$C$13+1)*12,0),$C$17*12)&gt;=$C$17*12),0,IF($C$16=0,MAX(MAX($L$248*(1-$C$15),0)-(IF($C$17&lt;=0,0,IF($C$16=0,MAX($L$248*(1-$C$15),0)/$C$17,-PMT($C$16/12,$C$17*12,MAX($L$248*(1-$C$15),0))*12))/12)*MIN(MAX((A1190-$C$13+1)*12,0),$C$17*12),0),MAX(MAX($L$248*(1-$C$15),0)*(1+$C$16/12)^MIN(MAX((A1190-$C$13+1)*12,0),$C$17*12)-(IF($C$17&lt;=0,0,IF($C$16=0,MAX($L$248*(1-$C$15),0)/$C$17,-PMT($C$16/12,$C$17*12,MAX($L$248*(1-$C$15),0))*12))/12)*(((1+$C$16/12)^MIN(MAX((A1190-$C$13+1)*12,0),$C$17*12)-1)/($C$16/12)),0)))</f>
        <v/>
      </c>
      <c r="Z1190" s="138">
        <f>MAX(X1190-Y1190,0)</f>
        <v/>
      </c>
      <c r="AA1190" s="142">
        <f>U1190+Z1190</f>
        <v/>
      </c>
      <c r="AB1190" s="5" t="n"/>
      <c r="AC1190" s="5" t="n"/>
      <c r="AD1190" s="5" t="n"/>
      <c r="AE1190" s="5" t="n"/>
      <c r="AF1190" s="5" t="n"/>
      <c r="AG1190" s="5" t="n"/>
    </row>
    <row r="1191" outlineLevel="1" s="326">
      <c r="A1191" s="136" t="n">
        <v>11</v>
      </c>
      <c r="B1191" s="72">
        <f>B90</f>
        <v/>
      </c>
      <c r="C1191" s="137">
        <f>D90</f>
        <v/>
      </c>
      <c r="D1191" s="137">
        <f>I90</f>
        <v/>
      </c>
      <c r="E1191" s="137">
        <f>J90</f>
        <v/>
      </c>
      <c r="F1191" s="137">
        <f>K90</f>
        <v/>
      </c>
      <c r="G1191" s="138">
        <f>IF(AND($L$248&gt;0,A1191=$C$13),$L$248*($C$15+$C$18),0)+IF(AND($L$248&gt;0,A1191=$C$13),$C$24,0)</f>
        <v/>
      </c>
      <c r="H1191" s="138">
        <f>IF(OR($L$248&lt;=0,A1191&lt;$C$13),0,IF(AND($L$248&gt;0,$C$17&gt;0,A1191&gt;=$C$13,A1191&lt;($C$13+$C$17)),IF($C$17&lt;=0,0,IF($C$16=0,MAX($L$248*(1-$C$15),0)/$C$17,-PMT($C$16/12,$C$17*12,MAX($L$248*(1-$C$15),0))*12)),0)+X1191*($C$19+$C$20+$C$21)+$C$22+$C$23)</f>
        <v/>
      </c>
      <c r="I1191" s="138">
        <f>IF(B1191="Working",MIN(MAX(D1191-E1191-F1191-G1191-H1191,0),'Tax Assumptions'!$B$20),0)</f>
        <v/>
      </c>
      <c r="J1191" s="138">
        <f>IF(B1191="Working",D1191-E1191-F1191-I1191-G1191-H1191,-L1191)</f>
        <v/>
      </c>
      <c r="K1191" s="137">
        <f>IF(B1191="Retired",$N$248+G1191+H1191,0)</f>
        <v/>
      </c>
      <c r="L1191" s="137">
        <f>M1191+N1191+O1191+P1191</f>
        <v/>
      </c>
      <c r="M1191" s="137">
        <f>IF(B1191="Retired",MIN(((Q1190)*(1+$C$10)+IF(B1191="Working",J1191,0)),K1191),0)</f>
        <v/>
      </c>
      <c r="N1191" s="137">
        <f>IF(B1191="Retired",MIN(MAX(K1191-M1191,0),((R1190)*(1+$C$10)+IF(B1191="Working",E90,0))),0)</f>
        <v/>
      </c>
      <c r="O1191" s="137">
        <f>IF(B1191="Retired",MIN(MAX(K1191-M1191-N1191,0),((S1190)*(1+$C$10)+IF(B1191="Working",I1191,0))),0)</f>
        <v/>
      </c>
      <c r="P1191" s="137">
        <f>IF(B1191="Retired",MIN(MAX(K1191-M1191-N1191-O1191,0),((T1190)*(1+$C$10)+IF(B1191="Working",F90,0))),0)</f>
        <v/>
      </c>
      <c r="Q1191" s="138">
        <f>MAX(((Q1190)*(1+$C$10)+IF(B1191="Working",J1191,0))-M1191,0)</f>
        <v/>
      </c>
      <c r="R1191" s="138">
        <f>MAX(((R1190)*(1+$C$10)+IF(B1191="Working",E90,0))-N1191,0)</f>
        <v/>
      </c>
      <c r="S1191" s="138">
        <f>MAX(((S1190)*(1+$C$10)+IF(B1191="Working",I1191,0))-O1191,0)</f>
        <v/>
      </c>
      <c r="T1191" s="138">
        <f>MAX(((T1190)*(1+$C$10)+IF(B1191="Working",F90,0))-P1191,0)</f>
        <v/>
      </c>
      <c r="U1191" s="138">
        <f>Q1191+R1191+S1191+T1191</f>
        <v/>
      </c>
      <c r="V1191" s="138">
        <f>IF(B1191="Working",MAX(-(((Q1190)*(1+$C$10)+IF(B1191="Working",J1191,0))),0),MAX(K1191-L1191,0))</f>
        <v/>
      </c>
      <c r="W1191" s="138">
        <f>IF(OR(A1191&gt;=$C$13,B1191="Retired"),IF(V1191&gt;0,-V1191,U1191-'Model Inputs'!$B$18),"")</f>
        <v/>
      </c>
      <c r="X1191" s="138">
        <f>IF(AND($L$248&gt;0,A1191&gt;=$C$13),$L$248*(1+$C$25)^(A1191-$C$13),0)</f>
        <v/>
      </c>
      <c r="Y1191" s="138">
        <f>IF(OR($L$248&lt;=0,$C$17&lt;=0,A1191&lt;$C$13,MIN(MAX((A1191-$C$13+1)*12,0),$C$17*12)&gt;=$C$17*12),0,IF($C$16=0,MAX(MAX($L$248*(1-$C$15),0)-(IF($C$17&lt;=0,0,IF($C$16=0,MAX($L$248*(1-$C$15),0)/$C$17,-PMT($C$16/12,$C$17*12,MAX($L$248*(1-$C$15),0))*12))/12)*MIN(MAX((A1191-$C$13+1)*12,0),$C$17*12),0),MAX(MAX($L$248*(1-$C$15),0)*(1+$C$16/12)^MIN(MAX((A1191-$C$13+1)*12,0),$C$17*12)-(IF($C$17&lt;=0,0,IF($C$16=0,MAX($L$248*(1-$C$15),0)/$C$17,-PMT($C$16/12,$C$17*12,MAX($L$248*(1-$C$15),0))*12))/12)*(((1+$C$16/12)^MIN(MAX((A1191-$C$13+1)*12,0),$C$17*12)-1)/($C$16/12)),0)))</f>
        <v/>
      </c>
      <c r="Z1191" s="138">
        <f>MAX(X1191-Y1191,0)</f>
        <v/>
      </c>
      <c r="AA1191" s="139">
        <f>U1191+Z1191</f>
        <v/>
      </c>
      <c r="AB1191" s="5" t="n"/>
      <c r="AC1191" s="5" t="n"/>
      <c r="AD1191" s="5" t="n"/>
      <c r="AE1191" s="5" t="n"/>
      <c r="AF1191" s="5" t="n"/>
      <c r="AG1191" s="5" t="n"/>
    </row>
    <row r="1192" outlineLevel="1" s="326">
      <c r="A1192" s="140" t="n">
        <v>12</v>
      </c>
      <c r="B1192" s="40">
        <f>B91</f>
        <v/>
      </c>
      <c r="C1192" s="141">
        <f>D91</f>
        <v/>
      </c>
      <c r="D1192" s="141">
        <f>I91</f>
        <v/>
      </c>
      <c r="E1192" s="141">
        <f>J91</f>
        <v/>
      </c>
      <c r="F1192" s="141">
        <f>K91</f>
        <v/>
      </c>
      <c r="G1192" s="138">
        <f>IF(AND($L$248&gt;0,A1192=$C$13),$L$248*($C$15+$C$18),0)+IF(AND($L$248&gt;0,A1192=$C$13),$C$24,0)</f>
        <v/>
      </c>
      <c r="H1192" s="138">
        <f>IF(OR($L$248&lt;=0,A1192&lt;$C$13),0,IF(AND($L$248&gt;0,$C$17&gt;0,A1192&gt;=$C$13,A1192&lt;($C$13+$C$17)),IF($C$17&lt;=0,0,IF($C$16=0,MAX($L$248*(1-$C$15),0)/$C$17,-PMT($C$16/12,$C$17*12,MAX($L$248*(1-$C$15),0))*12)),0)+X1192*($C$19+$C$20+$C$21)+$C$22+$C$23)</f>
        <v/>
      </c>
      <c r="I1192" s="138">
        <f>IF(B1192="Working",MIN(MAX(D1192-E1192-F1192-G1192-H1192,0),'Tax Assumptions'!$B$20),0)</f>
        <v/>
      </c>
      <c r="J1192" s="138">
        <f>IF(B1192="Working",D1192-E1192-F1192-I1192-G1192-H1192,-L1192)</f>
        <v/>
      </c>
      <c r="K1192" s="141">
        <f>IF(B1192="Retired",$N$248+G1192+H1192,0)</f>
        <v/>
      </c>
      <c r="L1192" s="141">
        <f>M1192+N1192+O1192+P1192</f>
        <v/>
      </c>
      <c r="M1192" s="141">
        <f>IF(B1192="Retired",MIN(((Q1191)*(1+$C$10)+IF(B1192="Working",J1192,0)),K1192),0)</f>
        <v/>
      </c>
      <c r="N1192" s="141">
        <f>IF(B1192="Retired",MIN(MAX(K1192-M1192,0),((R1191)*(1+$C$10)+IF(B1192="Working",E91,0))),0)</f>
        <v/>
      </c>
      <c r="O1192" s="141">
        <f>IF(B1192="Retired",MIN(MAX(K1192-M1192-N1192,0),((S1191)*(1+$C$10)+IF(B1192="Working",I1192,0))),0)</f>
        <v/>
      </c>
      <c r="P1192" s="141">
        <f>IF(B1192="Retired",MIN(MAX(K1192-M1192-N1192-O1192,0),((T1191)*(1+$C$10)+IF(B1192="Working",F91,0))),0)</f>
        <v/>
      </c>
      <c r="Q1192" s="138">
        <f>MAX(((Q1191)*(1+$C$10)+IF(B1192="Working",J1192,0))-M1192,0)</f>
        <v/>
      </c>
      <c r="R1192" s="138">
        <f>MAX(((R1191)*(1+$C$10)+IF(B1192="Working",E91,0))-N1192,0)</f>
        <v/>
      </c>
      <c r="S1192" s="138">
        <f>MAX(((S1191)*(1+$C$10)+IF(B1192="Working",I1192,0))-O1192,0)</f>
        <v/>
      </c>
      <c r="T1192" s="138">
        <f>MAX(((T1191)*(1+$C$10)+IF(B1192="Working",F91,0))-P1192,0)</f>
        <v/>
      </c>
      <c r="U1192" s="138">
        <f>Q1192+R1192+S1192+T1192</f>
        <v/>
      </c>
      <c r="V1192" s="138">
        <f>IF(B1192="Working",MAX(-(((Q1191)*(1+$C$10)+IF(B1192="Working",J1192,0))),0),MAX(K1192-L1192,0))</f>
        <v/>
      </c>
      <c r="W1192" s="138">
        <f>IF(OR(A1192&gt;=$C$13,B1192="Retired"),IF(V1192&gt;0,-V1192,U1192-'Model Inputs'!$B$18),"")</f>
        <v/>
      </c>
      <c r="X1192" s="138">
        <f>IF(AND($L$248&gt;0,A1192&gt;=$C$13),$L$248*(1+$C$25)^(A1192-$C$13),0)</f>
        <v/>
      </c>
      <c r="Y1192" s="138">
        <f>IF(OR($L$248&lt;=0,$C$17&lt;=0,A1192&lt;$C$13,MIN(MAX((A1192-$C$13+1)*12,0),$C$17*12)&gt;=$C$17*12),0,IF($C$16=0,MAX(MAX($L$248*(1-$C$15),0)-(IF($C$17&lt;=0,0,IF($C$16=0,MAX($L$248*(1-$C$15),0)/$C$17,-PMT($C$16/12,$C$17*12,MAX($L$248*(1-$C$15),0))*12))/12)*MIN(MAX((A1192-$C$13+1)*12,0),$C$17*12),0),MAX(MAX($L$248*(1-$C$15),0)*(1+$C$16/12)^MIN(MAX((A1192-$C$13+1)*12,0),$C$17*12)-(IF($C$17&lt;=0,0,IF($C$16=0,MAX($L$248*(1-$C$15),0)/$C$17,-PMT($C$16/12,$C$17*12,MAX($L$248*(1-$C$15),0))*12))/12)*(((1+$C$16/12)^MIN(MAX((A1192-$C$13+1)*12,0),$C$17*12)-1)/($C$16/12)),0)))</f>
        <v/>
      </c>
      <c r="Z1192" s="138">
        <f>MAX(X1192-Y1192,0)</f>
        <v/>
      </c>
      <c r="AA1192" s="142">
        <f>U1192+Z1192</f>
        <v/>
      </c>
      <c r="AB1192" s="5" t="n"/>
      <c r="AC1192" s="5" t="n"/>
      <c r="AD1192" s="5" t="n"/>
      <c r="AE1192" s="5" t="n"/>
      <c r="AF1192" s="5" t="n"/>
      <c r="AG1192" s="5" t="n"/>
    </row>
    <row r="1193" outlineLevel="1" s="326">
      <c r="A1193" s="136" t="n">
        <v>13</v>
      </c>
      <c r="B1193" s="72">
        <f>B92</f>
        <v/>
      </c>
      <c r="C1193" s="137">
        <f>D92</f>
        <v/>
      </c>
      <c r="D1193" s="137">
        <f>I92</f>
        <v/>
      </c>
      <c r="E1193" s="137">
        <f>J92</f>
        <v/>
      </c>
      <c r="F1193" s="137">
        <f>K92</f>
        <v/>
      </c>
      <c r="G1193" s="138">
        <f>IF(AND($L$248&gt;0,A1193=$C$13),$L$248*($C$15+$C$18),0)+IF(AND($L$248&gt;0,A1193=$C$13),$C$24,0)</f>
        <v/>
      </c>
      <c r="H1193" s="138">
        <f>IF(OR($L$248&lt;=0,A1193&lt;$C$13),0,IF(AND($L$248&gt;0,$C$17&gt;0,A1193&gt;=$C$13,A1193&lt;($C$13+$C$17)),IF($C$17&lt;=0,0,IF($C$16=0,MAX($L$248*(1-$C$15),0)/$C$17,-PMT($C$16/12,$C$17*12,MAX($L$248*(1-$C$15),0))*12)),0)+X1193*($C$19+$C$20+$C$21)+$C$22+$C$23)</f>
        <v/>
      </c>
      <c r="I1193" s="138">
        <f>IF(B1193="Working",MIN(MAX(D1193-E1193-F1193-G1193-H1193,0),'Tax Assumptions'!$B$20),0)</f>
        <v/>
      </c>
      <c r="J1193" s="138">
        <f>IF(B1193="Working",D1193-E1193-F1193-I1193-G1193-H1193,-L1193)</f>
        <v/>
      </c>
      <c r="K1193" s="137">
        <f>IF(B1193="Retired",$N$248+G1193+H1193,0)</f>
        <v/>
      </c>
      <c r="L1193" s="137">
        <f>M1193+N1193+O1193+P1193</f>
        <v/>
      </c>
      <c r="M1193" s="137">
        <f>IF(B1193="Retired",MIN(((Q1192)*(1+$C$10)+IF(B1193="Working",J1193,0)),K1193),0)</f>
        <v/>
      </c>
      <c r="N1193" s="137">
        <f>IF(B1193="Retired",MIN(MAX(K1193-M1193,0),((R1192)*(1+$C$10)+IF(B1193="Working",E92,0))),0)</f>
        <v/>
      </c>
      <c r="O1193" s="137">
        <f>IF(B1193="Retired",MIN(MAX(K1193-M1193-N1193,0),((S1192)*(1+$C$10)+IF(B1193="Working",I1193,0))),0)</f>
        <v/>
      </c>
      <c r="P1193" s="137">
        <f>IF(B1193="Retired",MIN(MAX(K1193-M1193-N1193-O1193,0),((T1192)*(1+$C$10)+IF(B1193="Working",F92,0))),0)</f>
        <v/>
      </c>
      <c r="Q1193" s="138">
        <f>MAX(((Q1192)*(1+$C$10)+IF(B1193="Working",J1193,0))-M1193,0)</f>
        <v/>
      </c>
      <c r="R1193" s="138">
        <f>MAX(((R1192)*(1+$C$10)+IF(B1193="Working",E92,0))-N1193,0)</f>
        <v/>
      </c>
      <c r="S1193" s="138">
        <f>MAX(((S1192)*(1+$C$10)+IF(B1193="Working",I1193,0))-O1193,0)</f>
        <v/>
      </c>
      <c r="T1193" s="138">
        <f>MAX(((T1192)*(1+$C$10)+IF(B1193="Working",F92,0))-P1193,0)</f>
        <v/>
      </c>
      <c r="U1193" s="138">
        <f>Q1193+R1193+S1193+T1193</f>
        <v/>
      </c>
      <c r="V1193" s="138">
        <f>IF(B1193="Working",MAX(-(((Q1192)*(1+$C$10)+IF(B1193="Working",J1193,0))),0),MAX(K1193-L1193,0))</f>
        <v/>
      </c>
      <c r="W1193" s="138">
        <f>IF(OR(A1193&gt;=$C$13,B1193="Retired"),IF(V1193&gt;0,-V1193,U1193-'Model Inputs'!$B$18),"")</f>
        <v/>
      </c>
      <c r="X1193" s="138">
        <f>IF(AND($L$248&gt;0,A1193&gt;=$C$13),$L$248*(1+$C$25)^(A1193-$C$13),0)</f>
        <v/>
      </c>
      <c r="Y1193" s="138">
        <f>IF(OR($L$248&lt;=0,$C$17&lt;=0,A1193&lt;$C$13,MIN(MAX((A1193-$C$13+1)*12,0),$C$17*12)&gt;=$C$17*12),0,IF($C$16=0,MAX(MAX($L$248*(1-$C$15),0)-(IF($C$17&lt;=0,0,IF($C$16=0,MAX($L$248*(1-$C$15),0)/$C$17,-PMT($C$16/12,$C$17*12,MAX($L$248*(1-$C$15),0))*12))/12)*MIN(MAX((A1193-$C$13+1)*12,0),$C$17*12),0),MAX(MAX($L$248*(1-$C$15),0)*(1+$C$16/12)^MIN(MAX((A1193-$C$13+1)*12,0),$C$17*12)-(IF($C$17&lt;=0,0,IF($C$16=0,MAX($L$248*(1-$C$15),0)/$C$17,-PMT($C$16/12,$C$17*12,MAX($L$248*(1-$C$15),0))*12))/12)*(((1+$C$16/12)^MIN(MAX((A1193-$C$13+1)*12,0),$C$17*12)-1)/($C$16/12)),0)))</f>
        <v/>
      </c>
      <c r="Z1193" s="138">
        <f>MAX(X1193-Y1193,0)</f>
        <v/>
      </c>
      <c r="AA1193" s="139">
        <f>U1193+Z1193</f>
        <v/>
      </c>
      <c r="AB1193" s="5" t="n"/>
      <c r="AC1193" s="5" t="n"/>
      <c r="AD1193" s="5" t="n"/>
      <c r="AE1193" s="5" t="n"/>
      <c r="AF1193" s="5" t="n"/>
      <c r="AG1193" s="5" t="n"/>
    </row>
    <row r="1194" outlineLevel="1" s="326">
      <c r="A1194" s="140" t="n">
        <v>14</v>
      </c>
      <c r="B1194" s="40">
        <f>B93</f>
        <v/>
      </c>
      <c r="C1194" s="141">
        <f>D93</f>
        <v/>
      </c>
      <c r="D1194" s="141">
        <f>I93</f>
        <v/>
      </c>
      <c r="E1194" s="141">
        <f>J93</f>
        <v/>
      </c>
      <c r="F1194" s="141">
        <f>K93</f>
        <v/>
      </c>
      <c r="G1194" s="138">
        <f>IF(AND($L$248&gt;0,A1194=$C$13),$L$248*($C$15+$C$18),0)+IF(AND($L$248&gt;0,A1194=$C$13),$C$24,0)</f>
        <v/>
      </c>
      <c r="H1194" s="138">
        <f>IF(OR($L$248&lt;=0,A1194&lt;$C$13),0,IF(AND($L$248&gt;0,$C$17&gt;0,A1194&gt;=$C$13,A1194&lt;($C$13+$C$17)),IF($C$17&lt;=0,0,IF($C$16=0,MAX($L$248*(1-$C$15),0)/$C$17,-PMT($C$16/12,$C$17*12,MAX($L$248*(1-$C$15),0))*12)),0)+X1194*($C$19+$C$20+$C$21)+$C$22+$C$23)</f>
        <v/>
      </c>
      <c r="I1194" s="138">
        <f>IF(B1194="Working",MIN(MAX(D1194-E1194-F1194-G1194-H1194,0),'Tax Assumptions'!$B$20),0)</f>
        <v/>
      </c>
      <c r="J1194" s="138">
        <f>IF(B1194="Working",D1194-E1194-F1194-I1194-G1194-H1194,-L1194)</f>
        <v/>
      </c>
      <c r="K1194" s="141">
        <f>IF(B1194="Retired",$N$248+G1194+H1194,0)</f>
        <v/>
      </c>
      <c r="L1194" s="141">
        <f>M1194+N1194+O1194+P1194</f>
        <v/>
      </c>
      <c r="M1194" s="141">
        <f>IF(B1194="Retired",MIN(((Q1193)*(1+$C$10)+IF(B1194="Working",J1194,0)),K1194),0)</f>
        <v/>
      </c>
      <c r="N1194" s="141">
        <f>IF(B1194="Retired",MIN(MAX(K1194-M1194,0),((R1193)*(1+$C$10)+IF(B1194="Working",E93,0))),0)</f>
        <v/>
      </c>
      <c r="O1194" s="141">
        <f>IF(B1194="Retired",MIN(MAX(K1194-M1194-N1194,0),((S1193)*(1+$C$10)+IF(B1194="Working",I1194,0))),0)</f>
        <v/>
      </c>
      <c r="P1194" s="141">
        <f>IF(B1194="Retired",MIN(MAX(K1194-M1194-N1194-O1194,0),((T1193)*(1+$C$10)+IF(B1194="Working",F93,0))),0)</f>
        <v/>
      </c>
      <c r="Q1194" s="138">
        <f>MAX(((Q1193)*(1+$C$10)+IF(B1194="Working",J1194,0))-M1194,0)</f>
        <v/>
      </c>
      <c r="R1194" s="138">
        <f>MAX(((R1193)*(1+$C$10)+IF(B1194="Working",E93,0))-N1194,0)</f>
        <v/>
      </c>
      <c r="S1194" s="138">
        <f>MAX(((S1193)*(1+$C$10)+IF(B1194="Working",I1194,0))-O1194,0)</f>
        <v/>
      </c>
      <c r="T1194" s="138">
        <f>MAX(((T1193)*(1+$C$10)+IF(B1194="Working",F93,0))-P1194,0)</f>
        <v/>
      </c>
      <c r="U1194" s="138">
        <f>Q1194+R1194+S1194+T1194</f>
        <v/>
      </c>
      <c r="V1194" s="138">
        <f>IF(B1194="Working",MAX(-(((Q1193)*(1+$C$10)+IF(B1194="Working",J1194,0))),0),MAX(K1194-L1194,0))</f>
        <v/>
      </c>
      <c r="W1194" s="138">
        <f>IF(OR(A1194&gt;=$C$13,B1194="Retired"),IF(V1194&gt;0,-V1194,U1194-'Model Inputs'!$B$18),"")</f>
        <v/>
      </c>
      <c r="X1194" s="138">
        <f>IF(AND($L$248&gt;0,A1194&gt;=$C$13),$L$248*(1+$C$25)^(A1194-$C$13),0)</f>
        <v/>
      </c>
      <c r="Y1194" s="138">
        <f>IF(OR($L$248&lt;=0,$C$17&lt;=0,A1194&lt;$C$13,MIN(MAX((A1194-$C$13+1)*12,0),$C$17*12)&gt;=$C$17*12),0,IF($C$16=0,MAX(MAX($L$248*(1-$C$15),0)-(IF($C$17&lt;=0,0,IF($C$16=0,MAX($L$248*(1-$C$15),0)/$C$17,-PMT($C$16/12,$C$17*12,MAX($L$248*(1-$C$15),0))*12))/12)*MIN(MAX((A1194-$C$13+1)*12,0),$C$17*12),0),MAX(MAX($L$248*(1-$C$15),0)*(1+$C$16/12)^MIN(MAX((A1194-$C$13+1)*12,0),$C$17*12)-(IF($C$17&lt;=0,0,IF($C$16=0,MAX($L$248*(1-$C$15),0)/$C$17,-PMT($C$16/12,$C$17*12,MAX($L$248*(1-$C$15),0))*12))/12)*(((1+$C$16/12)^MIN(MAX((A1194-$C$13+1)*12,0),$C$17*12)-1)/($C$16/12)),0)))</f>
        <v/>
      </c>
      <c r="Z1194" s="138">
        <f>MAX(X1194-Y1194,0)</f>
        <v/>
      </c>
      <c r="AA1194" s="142">
        <f>U1194+Z1194</f>
        <v/>
      </c>
      <c r="AB1194" s="5" t="n"/>
      <c r="AC1194" s="5" t="n"/>
      <c r="AD1194" s="5" t="n"/>
      <c r="AE1194" s="5" t="n"/>
      <c r="AF1194" s="5" t="n"/>
      <c r="AG1194" s="5" t="n"/>
    </row>
    <row r="1195" outlineLevel="1" s="326">
      <c r="A1195" s="136" t="n">
        <v>15</v>
      </c>
      <c r="B1195" s="72">
        <f>B94</f>
        <v/>
      </c>
      <c r="C1195" s="137">
        <f>D94</f>
        <v/>
      </c>
      <c r="D1195" s="137">
        <f>I94</f>
        <v/>
      </c>
      <c r="E1195" s="137">
        <f>J94</f>
        <v/>
      </c>
      <c r="F1195" s="137">
        <f>K94</f>
        <v/>
      </c>
      <c r="G1195" s="138">
        <f>IF(AND($L$248&gt;0,A1195=$C$13),$L$248*($C$15+$C$18),0)+IF(AND($L$248&gt;0,A1195=$C$13),$C$24,0)</f>
        <v/>
      </c>
      <c r="H1195" s="138">
        <f>IF(OR($L$248&lt;=0,A1195&lt;$C$13),0,IF(AND($L$248&gt;0,$C$17&gt;0,A1195&gt;=$C$13,A1195&lt;($C$13+$C$17)),IF($C$17&lt;=0,0,IF($C$16=0,MAX($L$248*(1-$C$15),0)/$C$17,-PMT($C$16/12,$C$17*12,MAX($L$248*(1-$C$15),0))*12)),0)+X1195*($C$19+$C$20+$C$21)+$C$22+$C$23)</f>
        <v/>
      </c>
      <c r="I1195" s="138">
        <f>IF(B1195="Working",MIN(MAX(D1195-E1195-F1195-G1195-H1195,0),'Tax Assumptions'!$B$20),0)</f>
        <v/>
      </c>
      <c r="J1195" s="138">
        <f>IF(B1195="Working",D1195-E1195-F1195-I1195-G1195-H1195,-L1195)</f>
        <v/>
      </c>
      <c r="K1195" s="137">
        <f>IF(B1195="Retired",$N$248+G1195+H1195,0)</f>
        <v/>
      </c>
      <c r="L1195" s="137">
        <f>M1195+N1195+O1195+P1195</f>
        <v/>
      </c>
      <c r="M1195" s="137">
        <f>IF(B1195="Retired",MIN(((Q1194)*(1+$C$10)+IF(B1195="Working",J1195,0)),K1195),0)</f>
        <v/>
      </c>
      <c r="N1195" s="137">
        <f>IF(B1195="Retired",MIN(MAX(K1195-M1195,0),((R1194)*(1+$C$10)+IF(B1195="Working",E94,0))),0)</f>
        <v/>
      </c>
      <c r="O1195" s="137">
        <f>IF(B1195="Retired",MIN(MAX(K1195-M1195-N1195,0),((S1194)*(1+$C$10)+IF(B1195="Working",I1195,0))),0)</f>
        <v/>
      </c>
      <c r="P1195" s="137">
        <f>IF(B1195="Retired",MIN(MAX(K1195-M1195-N1195-O1195,0),((T1194)*(1+$C$10)+IF(B1195="Working",F94,0))),0)</f>
        <v/>
      </c>
      <c r="Q1195" s="138">
        <f>MAX(((Q1194)*(1+$C$10)+IF(B1195="Working",J1195,0))-M1195,0)</f>
        <v/>
      </c>
      <c r="R1195" s="138">
        <f>MAX(((R1194)*(1+$C$10)+IF(B1195="Working",E94,0))-N1195,0)</f>
        <v/>
      </c>
      <c r="S1195" s="138">
        <f>MAX(((S1194)*(1+$C$10)+IF(B1195="Working",I1195,0))-O1195,0)</f>
        <v/>
      </c>
      <c r="T1195" s="138">
        <f>MAX(((T1194)*(1+$C$10)+IF(B1195="Working",F94,0))-P1195,0)</f>
        <v/>
      </c>
      <c r="U1195" s="138">
        <f>Q1195+R1195+S1195+T1195</f>
        <v/>
      </c>
      <c r="V1195" s="138">
        <f>IF(B1195="Working",MAX(-(((Q1194)*(1+$C$10)+IF(B1195="Working",J1195,0))),0),MAX(K1195-L1195,0))</f>
        <v/>
      </c>
      <c r="W1195" s="138">
        <f>IF(OR(A1195&gt;=$C$13,B1195="Retired"),IF(V1195&gt;0,-V1195,U1195-'Model Inputs'!$B$18),"")</f>
        <v/>
      </c>
      <c r="X1195" s="138">
        <f>IF(AND($L$248&gt;0,A1195&gt;=$C$13),$L$248*(1+$C$25)^(A1195-$C$13),0)</f>
        <v/>
      </c>
      <c r="Y1195" s="138">
        <f>IF(OR($L$248&lt;=0,$C$17&lt;=0,A1195&lt;$C$13,MIN(MAX((A1195-$C$13+1)*12,0),$C$17*12)&gt;=$C$17*12),0,IF($C$16=0,MAX(MAX($L$248*(1-$C$15),0)-(IF($C$17&lt;=0,0,IF($C$16=0,MAX($L$248*(1-$C$15),0)/$C$17,-PMT($C$16/12,$C$17*12,MAX($L$248*(1-$C$15),0))*12))/12)*MIN(MAX((A1195-$C$13+1)*12,0),$C$17*12),0),MAX(MAX($L$248*(1-$C$15),0)*(1+$C$16/12)^MIN(MAX((A1195-$C$13+1)*12,0),$C$17*12)-(IF($C$17&lt;=0,0,IF($C$16=0,MAX($L$248*(1-$C$15),0)/$C$17,-PMT($C$16/12,$C$17*12,MAX($L$248*(1-$C$15),0))*12))/12)*(((1+$C$16/12)^MIN(MAX((A1195-$C$13+1)*12,0),$C$17*12)-1)/($C$16/12)),0)))</f>
        <v/>
      </c>
      <c r="Z1195" s="138">
        <f>MAX(X1195-Y1195,0)</f>
        <v/>
      </c>
      <c r="AA1195" s="139">
        <f>U1195+Z1195</f>
        <v/>
      </c>
      <c r="AB1195" s="5" t="n"/>
      <c r="AC1195" s="5" t="n"/>
      <c r="AD1195" s="5" t="n"/>
      <c r="AE1195" s="5" t="n"/>
      <c r="AF1195" s="5" t="n"/>
      <c r="AG1195" s="5" t="n"/>
    </row>
    <row r="1196" outlineLevel="1" s="326">
      <c r="A1196" s="140" t="n">
        <v>16</v>
      </c>
      <c r="B1196" s="40">
        <f>B95</f>
        <v/>
      </c>
      <c r="C1196" s="141">
        <f>D95</f>
        <v/>
      </c>
      <c r="D1196" s="141">
        <f>I95</f>
        <v/>
      </c>
      <c r="E1196" s="141">
        <f>J95</f>
        <v/>
      </c>
      <c r="F1196" s="141">
        <f>K95</f>
        <v/>
      </c>
      <c r="G1196" s="138">
        <f>IF(AND($L$248&gt;0,A1196=$C$13),$L$248*($C$15+$C$18),0)+IF(AND($L$248&gt;0,A1196=$C$13),$C$24,0)</f>
        <v/>
      </c>
      <c r="H1196" s="138">
        <f>IF(OR($L$248&lt;=0,A1196&lt;$C$13),0,IF(AND($L$248&gt;0,$C$17&gt;0,A1196&gt;=$C$13,A1196&lt;($C$13+$C$17)),IF($C$17&lt;=0,0,IF($C$16=0,MAX($L$248*(1-$C$15),0)/$C$17,-PMT($C$16/12,$C$17*12,MAX($L$248*(1-$C$15),0))*12)),0)+X1196*($C$19+$C$20+$C$21)+$C$22+$C$23)</f>
        <v/>
      </c>
      <c r="I1196" s="138">
        <f>IF(B1196="Working",MIN(MAX(D1196-E1196-F1196-G1196-H1196,0),'Tax Assumptions'!$B$20),0)</f>
        <v/>
      </c>
      <c r="J1196" s="138">
        <f>IF(B1196="Working",D1196-E1196-F1196-I1196-G1196-H1196,-L1196)</f>
        <v/>
      </c>
      <c r="K1196" s="141">
        <f>IF(B1196="Retired",$N$248+G1196+H1196,0)</f>
        <v/>
      </c>
      <c r="L1196" s="141">
        <f>M1196+N1196+O1196+P1196</f>
        <v/>
      </c>
      <c r="M1196" s="141">
        <f>IF(B1196="Retired",MIN(((Q1195)*(1+$C$10)+IF(B1196="Working",J1196,0)),K1196),0)</f>
        <v/>
      </c>
      <c r="N1196" s="141">
        <f>IF(B1196="Retired",MIN(MAX(K1196-M1196,0),((R1195)*(1+$C$10)+IF(B1196="Working",E95,0))),0)</f>
        <v/>
      </c>
      <c r="O1196" s="141">
        <f>IF(B1196="Retired",MIN(MAX(K1196-M1196-N1196,0),((S1195)*(1+$C$10)+IF(B1196="Working",I1196,0))),0)</f>
        <v/>
      </c>
      <c r="P1196" s="141">
        <f>IF(B1196="Retired",MIN(MAX(K1196-M1196-N1196-O1196,0),((T1195)*(1+$C$10)+IF(B1196="Working",F95,0))),0)</f>
        <v/>
      </c>
      <c r="Q1196" s="138">
        <f>MAX(((Q1195)*(1+$C$10)+IF(B1196="Working",J1196,0))-M1196,0)</f>
        <v/>
      </c>
      <c r="R1196" s="138">
        <f>MAX(((R1195)*(1+$C$10)+IF(B1196="Working",E95,0))-N1196,0)</f>
        <v/>
      </c>
      <c r="S1196" s="138">
        <f>MAX(((S1195)*(1+$C$10)+IF(B1196="Working",I1196,0))-O1196,0)</f>
        <v/>
      </c>
      <c r="T1196" s="138">
        <f>MAX(((T1195)*(1+$C$10)+IF(B1196="Working",F95,0))-P1196,0)</f>
        <v/>
      </c>
      <c r="U1196" s="138">
        <f>Q1196+R1196+S1196+T1196</f>
        <v/>
      </c>
      <c r="V1196" s="138">
        <f>IF(B1196="Working",MAX(-(((Q1195)*(1+$C$10)+IF(B1196="Working",J1196,0))),0),MAX(K1196-L1196,0))</f>
        <v/>
      </c>
      <c r="W1196" s="138">
        <f>IF(OR(A1196&gt;=$C$13,B1196="Retired"),IF(V1196&gt;0,-V1196,U1196-'Model Inputs'!$B$18),"")</f>
        <v/>
      </c>
      <c r="X1196" s="138">
        <f>IF(AND($L$248&gt;0,A1196&gt;=$C$13),$L$248*(1+$C$25)^(A1196-$C$13),0)</f>
        <v/>
      </c>
      <c r="Y1196" s="138">
        <f>IF(OR($L$248&lt;=0,$C$17&lt;=0,A1196&lt;$C$13,MIN(MAX((A1196-$C$13+1)*12,0),$C$17*12)&gt;=$C$17*12),0,IF($C$16=0,MAX(MAX($L$248*(1-$C$15),0)-(IF($C$17&lt;=0,0,IF($C$16=0,MAX($L$248*(1-$C$15),0)/$C$17,-PMT($C$16/12,$C$17*12,MAX($L$248*(1-$C$15),0))*12))/12)*MIN(MAX((A1196-$C$13+1)*12,0),$C$17*12),0),MAX(MAX($L$248*(1-$C$15),0)*(1+$C$16/12)^MIN(MAX((A1196-$C$13+1)*12,0),$C$17*12)-(IF($C$17&lt;=0,0,IF($C$16=0,MAX($L$248*(1-$C$15),0)/$C$17,-PMT($C$16/12,$C$17*12,MAX($L$248*(1-$C$15),0))*12))/12)*(((1+$C$16/12)^MIN(MAX((A1196-$C$13+1)*12,0),$C$17*12)-1)/($C$16/12)),0)))</f>
        <v/>
      </c>
      <c r="Z1196" s="138">
        <f>MAX(X1196-Y1196,0)</f>
        <v/>
      </c>
      <c r="AA1196" s="142">
        <f>U1196+Z1196</f>
        <v/>
      </c>
      <c r="AB1196" s="5" t="n"/>
      <c r="AC1196" s="5" t="n"/>
      <c r="AD1196" s="5" t="n"/>
      <c r="AE1196" s="5" t="n"/>
      <c r="AF1196" s="5" t="n"/>
      <c r="AG1196" s="5" t="n"/>
    </row>
    <row r="1197" outlineLevel="1" s="326">
      <c r="A1197" s="136" t="n">
        <v>17</v>
      </c>
      <c r="B1197" s="72">
        <f>B96</f>
        <v/>
      </c>
      <c r="C1197" s="137">
        <f>D96</f>
        <v/>
      </c>
      <c r="D1197" s="137">
        <f>I96</f>
        <v/>
      </c>
      <c r="E1197" s="137">
        <f>J96</f>
        <v/>
      </c>
      <c r="F1197" s="137">
        <f>K96</f>
        <v/>
      </c>
      <c r="G1197" s="138">
        <f>IF(AND($L$248&gt;0,A1197=$C$13),$L$248*($C$15+$C$18),0)+IF(AND($L$248&gt;0,A1197=$C$13),$C$24,0)</f>
        <v/>
      </c>
      <c r="H1197" s="138">
        <f>IF(OR($L$248&lt;=0,A1197&lt;$C$13),0,IF(AND($L$248&gt;0,$C$17&gt;0,A1197&gt;=$C$13,A1197&lt;($C$13+$C$17)),IF($C$17&lt;=0,0,IF($C$16=0,MAX($L$248*(1-$C$15),0)/$C$17,-PMT($C$16/12,$C$17*12,MAX($L$248*(1-$C$15),0))*12)),0)+X1197*($C$19+$C$20+$C$21)+$C$22+$C$23)</f>
        <v/>
      </c>
      <c r="I1197" s="138">
        <f>IF(B1197="Working",MIN(MAX(D1197-E1197-F1197-G1197-H1197,0),'Tax Assumptions'!$B$20),0)</f>
        <v/>
      </c>
      <c r="J1197" s="138">
        <f>IF(B1197="Working",D1197-E1197-F1197-I1197-G1197-H1197,-L1197)</f>
        <v/>
      </c>
      <c r="K1197" s="137">
        <f>IF(B1197="Retired",$N$248+G1197+H1197,0)</f>
        <v/>
      </c>
      <c r="L1197" s="137">
        <f>M1197+N1197+O1197+P1197</f>
        <v/>
      </c>
      <c r="M1197" s="137">
        <f>IF(B1197="Retired",MIN(((Q1196)*(1+$C$10)+IF(B1197="Working",J1197,0)),K1197),0)</f>
        <v/>
      </c>
      <c r="N1197" s="137">
        <f>IF(B1197="Retired",MIN(MAX(K1197-M1197,0),((R1196)*(1+$C$10)+IF(B1197="Working",E96,0))),0)</f>
        <v/>
      </c>
      <c r="O1197" s="137">
        <f>IF(B1197="Retired",MIN(MAX(K1197-M1197-N1197,0),((S1196)*(1+$C$10)+IF(B1197="Working",I1197,0))),0)</f>
        <v/>
      </c>
      <c r="P1197" s="137">
        <f>IF(B1197="Retired",MIN(MAX(K1197-M1197-N1197-O1197,0),((T1196)*(1+$C$10)+IF(B1197="Working",F96,0))),0)</f>
        <v/>
      </c>
      <c r="Q1197" s="138">
        <f>MAX(((Q1196)*(1+$C$10)+IF(B1197="Working",J1197,0))-M1197,0)</f>
        <v/>
      </c>
      <c r="R1197" s="138">
        <f>MAX(((R1196)*(1+$C$10)+IF(B1197="Working",E96,0))-N1197,0)</f>
        <v/>
      </c>
      <c r="S1197" s="138">
        <f>MAX(((S1196)*(1+$C$10)+IF(B1197="Working",I1197,0))-O1197,0)</f>
        <v/>
      </c>
      <c r="T1197" s="138">
        <f>MAX(((T1196)*(1+$C$10)+IF(B1197="Working",F96,0))-P1197,0)</f>
        <v/>
      </c>
      <c r="U1197" s="138">
        <f>Q1197+R1197+S1197+T1197</f>
        <v/>
      </c>
      <c r="V1197" s="138">
        <f>IF(B1197="Working",MAX(-(((Q1196)*(1+$C$10)+IF(B1197="Working",J1197,0))),0),MAX(K1197-L1197,0))</f>
        <v/>
      </c>
      <c r="W1197" s="138">
        <f>IF(OR(A1197&gt;=$C$13,B1197="Retired"),IF(V1197&gt;0,-V1197,U1197-'Model Inputs'!$B$18),"")</f>
        <v/>
      </c>
      <c r="X1197" s="138">
        <f>IF(AND($L$248&gt;0,A1197&gt;=$C$13),$L$248*(1+$C$25)^(A1197-$C$13),0)</f>
        <v/>
      </c>
      <c r="Y1197" s="138">
        <f>IF(OR($L$248&lt;=0,$C$17&lt;=0,A1197&lt;$C$13,MIN(MAX((A1197-$C$13+1)*12,0),$C$17*12)&gt;=$C$17*12),0,IF($C$16=0,MAX(MAX($L$248*(1-$C$15),0)-(IF($C$17&lt;=0,0,IF($C$16=0,MAX($L$248*(1-$C$15),0)/$C$17,-PMT($C$16/12,$C$17*12,MAX($L$248*(1-$C$15),0))*12))/12)*MIN(MAX((A1197-$C$13+1)*12,0),$C$17*12),0),MAX(MAX($L$248*(1-$C$15),0)*(1+$C$16/12)^MIN(MAX((A1197-$C$13+1)*12,0),$C$17*12)-(IF($C$17&lt;=0,0,IF($C$16=0,MAX($L$248*(1-$C$15),0)/$C$17,-PMT($C$16/12,$C$17*12,MAX($L$248*(1-$C$15),0))*12))/12)*(((1+$C$16/12)^MIN(MAX((A1197-$C$13+1)*12,0),$C$17*12)-1)/($C$16/12)),0)))</f>
        <v/>
      </c>
      <c r="Z1197" s="138">
        <f>MAX(X1197-Y1197,0)</f>
        <v/>
      </c>
      <c r="AA1197" s="139">
        <f>U1197+Z1197</f>
        <v/>
      </c>
      <c r="AB1197" s="5" t="n"/>
      <c r="AC1197" s="5" t="n"/>
      <c r="AD1197" s="5" t="n"/>
      <c r="AE1197" s="5" t="n"/>
      <c r="AF1197" s="5" t="n"/>
      <c r="AG1197" s="5" t="n"/>
    </row>
    <row r="1198" outlineLevel="1" s="326">
      <c r="A1198" s="140" t="n">
        <v>18</v>
      </c>
      <c r="B1198" s="40">
        <f>B97</f>
        <v/>
      </c>
      <c r="C1198" s="141">
        <f>D97</f>
        <v/>
      </c>
      <c r="D1198" s="141">
        <f>I97</f>
        <v/>
      </c>
      <c r="E1198" s="141">
        <f>J97</f>
        <v/>
      </c>
      <c r="F1198" s="141">
        <f>K97</f>
        <v/>
      </c>
      <c r="G1198" s="138">
        <f>IF(AND($L$248&gt;0,A1198=$C$13),$L$248*($C$15+$C$18),0)+IF(AND($L$248&gt;0,A1198=$C$13),$C$24,0)</f>
        <v/>
      </c>
      <c r="H1198" s="138">
        <f>IF(OR($L$248&lt;=0,A1198&lt;$C$13),0,IF(AND($L$248&gt;0,$C$17&gt;0,A1198&gt;=$C$13,A1198&lt;($C$13+$C$17)),IF($C$17&lt;=0,0,IF($C$16=0,MAX($L$248*(1-$C$15),0)/$C$17,-PMT($C$16/12,$C$17*12,MAX($L$248*(1-$C$15),0))*12)),0)+X1198*($C$19+$C$20+$C$21)+$C$22+$C$23)</f>
        <v/>
      </c>
      <c r="I1198" s="138">
        <f>IF(B1198="Working",MIN(MAX(D1198-E1198-F1198-G1198-H1198,0),'Tax Assumptions'!$B$20),0)</f>
        <v/>
      </c>
      <c r="J1198" s="138">
        <f>IF(B1198="Working",D1198-E1198-F1198-I1198-G1198-H1198,-L1198)</f>
        <v/>
      </c>
      <c r="K1198" s="141">
        <f>IF(B1198="Retired",$N$248+G1198+H1198,0)</f>
        <v/>
      </c>
      <c r="L1198" s="141">
        <f>M1198+N1198+O1198+P1198</f>
        <v/>
      </c>
      <c r="M1198" s="141">
        <f>IF(B1198="Retired",MIN(((Q1197)*(1+$C$10)+IF(B1198="Working",J1198,0)),K1198),0)</f>
        <v/>
      </c>
      <c r="N1198" s="141">
        <f>IF(B1198="Retired",MIN(MAX(K1198-M1198,0),((R1197)*(1+$C$10)+IF(B1198="Working",E97,0))),0)</f>
        <v/>
      </c>
      <c r="O1198" s="141">
        <f>IF(B1198="Retired",MIN(MAX(K1198-M1198-N1198,0),((S1197)*(1+$C$10)+IF(B1198="Working",I1198,0))),0)</f>
        <v/>
      </c>
      <c r="P1198" s="141">
        <f>IF(B1198="Retired",MIN(MAX(K1198-M1198-N1198-O1198,0),((T1197)*(1+$C$10)+IF(B1198="Working",F97,0))),0)</f>
        <v/>
      </c>
      <c r="Q1198" s="138">
        <f>MAX(((Q1197)*(1+$C$10)+IF(B1198="Working",J1198,0))-M1198,0)</f>
        <v/>
      </c>
      <c r="R1198" s="138">
        <f>MAX(((R1197)*(1+$C$10)+IF(B1198="Working",E97,0))-N1198,0)</f>
        <v/>
      </c>
      <c r="S1198" s="138">
        <f>MAX(((S1197)*(1+$C$10)+IF(B1198="Working",I1198,0))-O1198,0)</f>
        <v/>
      </c>
      <c r="T1198" s="138">
        <f>MAX(((T1197)*(1+$C$10)+IF(B1198="Working",F97,0))-P1198,0)</f>
        <v/>
      </c>
      <c r="U1198" s="138">
        <f>Q1198+R1198+S1198+T1198</f>
        <v/>
      </c>
      <c r="V1198" s="138">
        <f>IF(B1198="Working",MAX(-(((Q1197)*(1+$C$10)+IF(B1198="Working",J1198,0))),0),MAX(K1198-L1198,0))</f>
        <v/>
      </c>
      <c r="W1198" s="138">
        <f>IF(OR(A1198&gt;=$C$13,B1198="Retired"),IF(V1198&gt;0,-V1198,U1198-'Model Inputs'!$B$18),"")</f>
        <v/>
      </c>
      <c r="X1198" s="138">
        <f>IF(AND($L$248&gt;0,A1198&gt;=$C$13),$L$248*(1+$C$25)^(A1198-$C$13),0)</f>
        <v/>
      </c>
      <c r="Y1198" s="138">
        <f>IF(OR($L$248&lt;=0,$C$17&lt;=0,A1198&lt;$C$13,MIN(MAX((A1198-$C$13+1)*12,0),$C$17*12)&gt;=$C$17*12),0,IF($C$16=0,MAX(MAX($L$248*(1-$C$15),0)-(IF($C$17&lt;=0,0,IF($C$16=0,MAX($L$248*(1-$C$15),0)/$C$17,-PMT($C$16/12,$C$17*12,MAX($L$248*(1-$C$15),0))*12))/12)*MIN(MAX((A1198-$C$13+1)*12,0),$C$17*12),0),MAX(MAX($L$248*(1-$C$15),0)*(1+$C$16/12)^MIN(MAX((A1198-$C$13+1)*12,0),$C$17*12)-(IF($C$17&lt;=0,0,IF($C$16=0,MAX($L$248*(1-$C$15),0)/$C$17,-PMT($C$16/12,$C$17*12,MAX($L$248*(1-$C$15),0))*12))/12)*(((1+$C$16/12)^MIN(MAX((A1198-$C$13+1)*12,0),$C$17*12)-1)/($C$16/12)),0)))</f>
        <v/>
      </c>
      <c r="Z1198" s="138">
        <f>MAX(X1198-Y1198,0)</f>
        <v/>
      </c>
      <c r="AA1198" s="142">
        <f>U1198+Z1198</f>
        <v/>
      </c>
      <c r="AB1198" s="5" t="n"/>
      <c r="AC1198" s="5" t="n"/>
      <c r="AD1198" s="5" t="n"/>
      <c r="AE1198" s="5" t="n"/>
      <c r="AF1198" s="5" t="n"/>
      <c r="AG1198" s="5" t="n"/>
    </row>
    <row r="1199" outlineLevel="1" s="326">
      <c r="A1199" s="136" t="n">
        <v>19</v>
      </c>
      <c r="B1199" s="72">
        <f>B98</f>
        <v/>
      </c>
      <c r="C1199" s="137">
        <f>D98</f>
        <v/>
      </c>
      <c r="D1199" s="137">
        <f>I98</f>
        <v/>
      </c>
      <c r="E1199" s="137">
        <f>J98</f>
        <v/>
      </c>
      <c r="F1199" s="137">
        <f>K98</f>
        <v/>
      </c>
      <c r="G1199" s="138">
        <f>IF(AND($L$248&gt;0,A1199=$C$13),$L$248*($C$15+$C$18),0)+IF(AND($L$248&gt;0,A1199=$C$13),$C$24,0)</f>
        <v/>
      </c>
      <c r="H1199" s="138">
        <f>IF(OR($L$248&lt;=0,A1199&lt;$C$13),0,IF(AND($L$248&gt;0,$C$17&gt;0,A1199&gt;=$C$13,A1199&lt;($C$13+$C$17)),IF($C$17&lt;=0,0,IF($C$16=0,MAX($L$248*(1-$C$15),0)/$C$17,-PMT($C$16/12,$C$17*12,MAX($L$248*(1-$C$15),0))*12)),0)+X1199*($C$19+$C$20+$C$21)+$C$22+$C$23)</f>
        <v/>
      </c>
      <c r="I1199" s="138">
        <f>IF(B1199="Working",MIN(MAX(D1199-E1199-F1199-G1199-H1199,0),'Tax Assumptions'!$B$20),0)</f>
        <v/>
      </c>
      <c r="J1199" s="138">
        <f>IF(B1199="Working",D1199-E1199-F1199-I1199-G1199-H1199,-L1199)</f>
        <v/>
      </c>
      <c r="K1199" s="137">
        <f>IF(B1199="Retired",$N$248+G1199+H1199,0)</f>
        <v/>
      </c>
      <c r="L1199" s="137">
        <f>M1199+N1199+O1199+P1199</f>
        <v/>
      </c>
      <c r="M1199" s="137">
        <f>IF(B1199="Retired",MIN(((Q1198)*(1+$C$10)+IF(B1199="Working",J1199,0)),K1199),0)</f>
        <v/>
      </c>
      <c r="N1199" s="137">
        <f>IF(B1199="Retired",MIN(MAX(K1199-M1199,0),((R1198)*(1+$C$10)+IF(B1199="Working",E98,0))),0)</f>
        <v/>
      </c>
      <c r="O1199" s="137">
        <f>IF(B1199="Retired",MIN(MAX(K1199-M1199-N1199,0),((S1198)*(1+$C$10)+IF(B1199="Working",I1199,0))),0)</f>
        <v/>
      </c>
      <c r="P1199" s="137">
        <f>IF(B1199="Retired",MIN(MAX(K1199-M1199-N1199-O1199,0),((T1198)*(1+$C$10)+IF(B1199="Working",F98,0))),0)</f>
        <v/>
      </c>
      <c r="Q1199" s="138">
        <f>MAX(((Q1198)*(1+$C$10)+IF(B1199="Working",J1199,0))-M1199,0)</f>
        <v/>
      </c>
      <c r="R1199" s="138">
        <f>MAX(((R1198)*(1+$C$10)+IF(B1199="Working",E98,0))-N1199,0)</f>
        <v/>
      </c>
      <c r="S1199" s="138">
        <f>MAX(((S1198)*(1+$C$10)+IF(B1199="Working",I1199,0))-O1199,0)</f>
        <v/>
      </c>
      <c r="T1199" s="138">
        <f>MAX(((T1198)*(1+$C$10)+IF(B1199="Working",F98,0))-P1199,0)</f>
        <v/>
      </c>
      <c r="U1199" s="138">
        <f>Q1199+R1199+S1199+T1199</f>
        <v/>
      </c>
      <c r="V1199" s="138">
        <f>IF(B1199="Working",MAX(-(((Q1198)*(1+$C$10)+IF(B1199="Working",J1199,0))),0),MAX(K1199-L1199,0))</f>
        <v/>
      </c>
      <c r="W1199" s="138">
        <f>IF(OR(A1199&gt;=$C$13,B1199="Retired"),IF(V1199&gt;0,-V1199,U1199-'Model Inputs'!$B$18),"")</f>
        <v/>
      </c>
      <c r="X1199" s="138">
        <f>IF(AND($L$248&gt;0,A1199&gt;=$C$13),$L$248*(1+$C$25)^(A1199-$C$13),0)</f>
        <v/>
      </c>
      <c r="Y1199" s="138">
        <f>IF(OR($L$248&lt;=0,$C$17&lt;=0,A1199&lt;$C$13,MIN(MAX((A1199-$C$13+1)*12,0),$C$17*12)&gt;=$C$17*12),0,IF($C$16=0,MAX(MAX($L$248*(1-$C$15),0)-(IF($C$17&lt;=0,0,IF($C$16=0,MAX($L$248*(1-$C$15),0)/$C$17,-PMT($C$16/12,$C$17*12,MAX($L$248*(1-$C$15),0))*12))/12)*MIN(MAX((A1199-$C$13+1)*12,0),$C$17*12),0),MAX(MAX($L$248*(1-$C$15),0)*(1+$C$16/12)^MIN(MAX((A1199-$C$13+1)*12,0),$C$17*12)-(IF($C$17&lt;=0,0,IF($C$16=0,MAX($L$248*(1-$C$15),0)/$C$17,-PMT($C$16/12,$C$17*12,MAX($L$248*(1-$C$15),0))*12))/12)*(((1+$C$16/12)^MIN(MAX((A1199-$C$13+1)*12,0),$C$17*12)-1)/($C$16/12)),0)))</f>
        <v/>
      </c>
      <c r="Z1199" s="138">
        <f>MAX(X1199-Y1199,0)</f>
        <v/>
      </c>
      <c r="AA1199" s="139">
        <f>U1199+Z1199</f>
        <v/>
      </c>
      <c r="AB1199" s="5" t="n"/>
      <c r="AC1199" s="5" t="n"/>
      <c r="AD1199" s="5" t="n"/>
      <c r="AE1199" s="5" t="n"/>
      <c r="AF1199" s="5" t="n"/>
      <c r="AG1199" s="5" t="n"/>
    </row>
    <row r="1200" outlineLevel="1" s="326">
      <c r="A1200" s="140" t="n">
        <v>20</v>
      </c>
      <c r="B1200" s="40">
        <f>B99</f>
        <v/>
      </c>
      <c r="C1200" s="141">
        <f>D99</f>
        <v/>
      </c>
      <c r="D1200" s="141">
        <f>I99</f>
        <v/>
      </c>
      <c r="E1200" s="141">
        <f>J99</f>
        <v/>
      </c>
      <c r="F1200" s="141">
        <f>K99</f>
        <v/>
      </c>
      <c r="G1200" s="138">
        <f>IF(AND($L$248&gt;0,A1200=$C$13),$L$248*($C$15+$C$18),0)+IF(AND($L$248&gt;0,A1200=$C$13),$C$24,0)</f>
        <v/>
      </c>
      <c r="H1200" s="138">
        <f>IF(OR($L$248&lt;=0,A1200&lt;$C$13),0,IF(AND($L$248&gt;0,$C$17&gt;0,A1200&gt;=$C$13,A1200&lt;($C$13+$C$17)),IF($C$17&lt;=0,0,IF($C$16=0,MAX($L$248*(1-$C$15),0)/$C$17,-PMT($C$16/12,$C$17*12,MAX($L$248*(1-$C$15),0))*12)),0)+X1200*($C$19+$C$20+$C$21)+$C$22+$C$23)</f>
        <v/>
      </c>
      <c r="I1200" s="138">
        <f>IF(B1200="Working",MIN(MAX(D1200-E1200-F1200-G1200-H1200,0),'Tax Assumptions'!$B$20),0)</f>
        <v/>
      </c>
      <c r="J1200" s="138">
        <f>IF(B1200="Working",D1200-E1200-F1200-I1200-G1200-H1200,-L1200)</f>
        <v/>
      </c>
      <c r="K1200" s="141">
        <f>IF(B1200="Retired",$N$248+G1200+H1200,0)</f>
        <v/>
      </c>
      <c r="L1200" s="141">
        <f>M1200+N1200+O1200+P1200</f>
        <v/>
      </c>
      <c r="M1200" s="141">
        <f>IF(B1200="Retired",MIN(((Q1199)*(1+$C$10)+IF(B1200="Working",J1200,0)),K1200),0)</f>
        <v/>
      </c>
      <c r="N1200" s="141">
        <f>IF(B1200="Retired",MIN(MAX(K1200-M1200,0),((R1199)*(1+$C$10)+IF(B1200="Working",E99,0))),0)</f>
        <v/>
      </c>
      <c r="O1200" s="141">
        <f>IF(B1200="Retired",MIN(MAX(K1200-M1200-N1200,0),((S1199)*(1+$C$10)+IF(B1200="Working",I1200,0))),0)</f>
        <v/>
      </c>
      <c r="P1200" s="141">
        <f>IF(B1200="Retired",MIN(MAX(K1200-M1200-N1200-O1200,0),((T1199)*(1+$C$10)+IF(B1200="Working",F99,0))),0)</f>
        <v/>
      </c>
      <c r="Q1200" s="138">
        <f>MAX(((Q1199)*(1+$C$10)+IF(B1200="Working",J1200,0))-M1200,0)</f>
        <v/>
      </c>
      <c r="R1200" s="138">
        <f>MAX(((R1199)*(1+$C$10)+IF(B1200="Working",E99,0))-N1200,0)</f>
        <v/>
      </c>
      <c r="S1200" s="138">
        <f>MAX(((S1199)*(1+$C$10)+IF(B1200="Working",I1200,0))-O1200,0)</f>
        <v/>
      </c>
      <c r="T1200" s="138">
        <f>MAX(((T1199)*(1+$C$10)+IF(B1200="Working",F99,0))-P1200,0)</f>
        <v/>
      </c>
      <c r="U1200" s="138">
        <f>Q1200+R1200+S1200+T1200</f>
        <v/>
      </c>
      <c r="V1200" s="138">
        <f>IF(B1200="Working",MAX(-(((Q1199)*(1+$C$10)+IF(B1200="Working",J1200,0))),0),MAX(K1200-L1200,0))</f>
        <v/>
      </c>
      <c r="W1200" s="138">
        <f>IF(OR(A1200&gt;=$C$13,B1200="Retired"),IF(V1200&gt;0,-V1200,U1200-'Model Inputs'!$B$18),"")</f>
        <v/>
      </c>
      <c r="X1200" s="138">
        <f>IF(AND($L$248&gt;0,A1200&gt;=$C$13),$L$248*(1+$C$25)^(A1200-$C$13),0)</f>
        <v/>
      </c>
      <c r="Y1200" s="138">
        <f>IF(OR($L$248&lt;=0,$C$17&lt;=0,A1200&lt;$C$13,MIN(MAX((A1200-$C$13+1)*12,0),$C$17*12)&gt;=$C$17*12),0,IF($C$16=0,MAX(MAX($L$248*(1-$C$15),0)-(IF($C$17&lt;=0,0,IF($C$16=0,MAX($L$248*(1-$C$15),0)/$C$17,-PMT($C$16/12,$C$17*12,MAX($L$248*(1-$C$15),0))*12))/12)*MIN(MAX((A1200-$C$13+1)*12,0),$C$17*12),0),MAX(MAX($L$248*(1-$C$15),0)*(1+$C$16/12)^MIN(MAX((A1200-$C$13+1)*12,0),$C$17*12)-(IF($C$17&lt;=0,0,IF($C$16=0,MAX($L$248*(1-$C$15),0)/$C$17,-PMT($C$16/12,$C$17*12,MAX($L$248*(1-$C$15),0))*12))/12)*(((1+$C$16/12)^MIN(MAX((A1200-$C$13+1)*12,0),$C$17*12)-1)/($C$16/12)),0)))</f>
        <v/>
      </c>
      <c r="Z1200" s="138">
        <f>MAX(X1200-Y1200,0)</f>
        <v/>
      </c>
      <c r="AA1200" s="142">
        <f>U1200+Z1200</f>
        <v/>
      </c>
      <c r="AB1200" s="5" t="n"/>
      <c r="AC1200" s="5" t="n"/>
      <c r="AD1200" s="5" t="n"/>
      <c r="AE1200" s="5" t="n"/>
      <c r="AF1200" s="5" t="n"/>
      <c r="AG1200" s="5" t="n"/>
    </row>
    <row r="1201" outlineLevel="1" s="326">
      <c r="A1201" s="136" t="n">
        <v>21</v>
      </c>
      <c r="B1201" s="72">
        <f>B100</f>
        <v/>
      </c>
      <c r="C1201" s="137">
        <f>D100</f>
        <v/>
      </c>
      <c r="D1201" s="137">
        <f>I100</f>
        <v/>
      </c>
      <c r="E1201" s="137">
        <f>J100</f>
        <v/>
      </c>
      <c r="F1201" s="137">
        <f>K100</f>
        <v/>
      </c>
      <c r="G1201" s="138">
        <f>IF(AND($L$248&gt;0,A1201=$C$13),$L$248*($C$15+$C$18),0)+IF(AND($L$248&gt;0,A1201=$C$13),$C$24,0)</f>
        <v/>
      </c>
      <c r="H1201" s="138">
        <f>IF(OR($L$248&lt;=0,A1201&lt;$C$13),0,IF(AND($L$248&gt;0,$C$17&gt;0,A1201&gt;=$C$13,A1201&lt;($C$13+$C$17)),IF($C$17&lt;=0,0,IF($C$16=0,MAX($L$248*(1-$C$15),0)/$C$17,-PMT($C$16/12,$C$17*12,MAX($L$248*(1-$C$15),0))*12)),0)+X1201*($C$19+$C$20+$C$21)+$C$22+$C$23)</f>
        <v/>
      </c>
      <c r="I1201" s="138">
        <f>IF(B1201="Working",MIN(MAX(D1201-E1201-F1201-G1201-H1201,0),'Tax Assumptions'!$B$20),0)</f>
        <v/>
      </c>
      <c r="J1201" s="138">
        <f>IF(B1201="Working",D1201-E1201-F1201-I1201-G1201-H1201,-L1201)</f>
        <v/>
      </c>
      <c r="K1201" s="137">
        <f>IF(B1201="Retired",$N$248+G1201+H1201,0)</f>
        <v/>
      </c>
      <c r="L1201" s="137">
        <f>M1201+N1201+O1201+P1201</f>
        <v/>
      </c>
      <c r="M1201" s="137">
        <f>IF(B1201="Retired",MIN(((Q1200)*(1+$C$10)+IF(B1201="Working",J1201,0)),K1201),0)</f>
        <v/>
      </c>
      <c r="N1201" s="137">
        <f>IF(B1201="Retired",MIN(MAX(K1201-M1201,0),((R1200)*(1+$C$10)+IF(B1201="Working",E100,0))),0)</f>
        <v/>
      </c>
      <c r="O1201" s="137">
        <f>IF(B1201="Retired",MIN(MAX(K1201-M1201-N1201,0),((S1200)*(1+$C$10)+IF(B1201="Working",I1201,0))),0)</f>
        <v/>
      </c>
      <c r="P1201" s="137">
        <f>IF(B1201="Retired",MIN(MAX(K1201-M1201-N1201-O1201,0),((T1200)*(1+$C$10)+IF(B1201="Working",F100,0))),0)</f>
        <v/>
      </c>
      <c r="Q1201" s="138">
        <f>MAX(((Q1200)*(1+$C$10)+IF(B1201="Working",J1201,0))-M1201,0)</f>
        <v/>
      </c>
      <c r="R1201" s="138">
        <f>MAX(((R1200)*(1+$C$10)+IF(B1201="Working",E100,0))-N1201,0)</f>
        <v/>
      </c>
      <c r="S1201" s="138">
        <f>MAX(((S1200)*(1+$C$10)+IF(B1201="Working",I1201,0))-O1201,0)</f>
        <v/>
      </c>
      <c r="T1201" s="138">
        <f>MAX(((T1200)*(1+$C$10)+IF(B1201="Working",F100,0))-P1201,0)</f>
        <v/>
      </c>
      <c r="U1201" s="138">
        <f>Q1201+R1201+S1201+T1201</f>
        <v/>
      </c>
      <c r="V1201" s="138">
        <f>IF(B1201="Working",MAX(-(((Q1200)*(1+$C$10)+IF(B1201="Working",J1201,0))),0),MAX(K1201-L1201,0))</f>
        <v/>
      </c>
      <c r="W1201" s="138">
        <f>IF(OR(A1201&gt;=$C$13,B1201="Retired"),IF(V1201&gt;0,-V1201,U1201-'Model Inputs'!$B$18),"")</f>
        <v/>
      </c>
      <c r="X1201" s="138">
        <f>IF(AND($L$248&gt;0,A1201&gt;=$C$13),$L$248*(1+$C$25)^(A1201-$C$13),0)</f>
        <v/>
      </c>
      <c r="Y1201" s="138">
        <f>IF(OR($L$248&lt;=0,$C$17&lt;=0,A1201&lt;$C$13,MIN(MAX((A1201-$C$13+1)*12,0),$C$17*12)&gt;=$C$17*12),0,IF($C$16=0,MAX(MAX($L$248*(1-$C$15),0)-(IF($C$17&lt;=0,0,IF($C$16=0,MAX($L$248*(1-$C$15),0)/$C$17,-PMT($C$16/12,$C$17*12,MAX($L$248*(1-$C$15),0))*12))/12)*MIN(MAX((A1201-$C$13+1)*12,0),$C$17*12),0),MAX(MAX($L$248*(1-$C$15),0)*(1+$C$16/12)^MIN(MAX((A1201-$C$13+1)*12,0),$C$17*12)-(IF($C$17&lt;=0,0,IF($C$16=0,MAX($L$248*(1-$C$15),0)/$C$17,-PMT($C$16/12,$C$17*12,MAX($L$248*(1-$C$15),0))*12))/12)*(((1+$C$16/12)^MIN(MAX((A1201-$C$13+1)*12,0),$C$17*12)-1)/($C$16/12)),0)))</f>
        <v/>
      </c>
      <c r="Z1201" s="138">
        <f>MAX(X1201-Y1201,0)</f>
        <v/>
      </c>
      <c r="AA1201" s="139">
        <f>U1201+Z1201</f>
        <v/>
      </c>
      <c r="AB1201" s="5" t="n"/>
      <c r="AC1201" s="5" t="n"/>
      <c r="AD1201" s="5" t="n"/>
      <c r="AE1201" s="5" t="n"/>
      <c r="AF1201" s="5" t="n"/>
      <c r="AG1201" s="5" t="n"/>
    </row>
    <row r="1202" outlineLevel="1" s="326">
      <c r="A1202" s="140" t="n">
        <v>22</v>
      </c>
      <c r="B1202" s="40">
        <f>B101</f>
        <v/>
      </c>
      <c r="C1202" s="141">
        <f>D101</f>
        <v/>
      </c>
      <c r="D1202" s="141">
        <f>I101</f>
        <v/>
      </c>
      <c r="E1202" s="141">
        <f>J101</f>
        <v/>
      </c>
      <c r="F1202" s="141">
        <f>K101</f>
        <v/>
      </c>
      <c r="G1202" s="138">
        <f>IF(AND($L$248&gt;0,A1202=$C$13),$L$248*($C$15+$C$18),0)+IF(AND($L$248&gt;0,A1202=$C$13),$C$24,0)</f>
        <v/>
      </c>
      <c r="H1202" s="138">
        <f>IF(OR($L$248&lt;=0,A1202&lt;$C$13),0,IF(AND($L$248&gt;0,$C$17&gt;0,A1202&gt;=$C$13,A1202&lt;($C$13+$C$17)),IF($C$17&lt;=0,0,IF($C$16=0,MAX($L$248*(1-$C$15),0)/$C$17,-PMT($C$16/12,$C$17*12,MAX($L$248*(1-$C$15),0))*12)),0)+X1202*($C$19+$C$20+$C$21)+$C$22+$C$23)</f>
        <v/>
      </c>
      <c r="I1202" s="138">
        <f>IF(B1202="Working",MIN(MAX(D1202-E1202-F1202-G1202-H1202,0),'Tax Assumptions'!$B$20),0)</f>
        <v/>
      </c>
      <c r="J1202" s="138">
        <f>IF(B1202="Working",D1202-E1202-F1202-I1202-G1202-H1202,-L1202)</f>
        <v/>
      </c>
      <c r="K1202" s="141">
        <f>IF(B1202="Retired",$N$248+G1202+H1202,0)</f>
        <v/>
      </c>
      <c r="L1202" s="141">
        <f>M1202+N1202+O1202+P1202</f>
        <v/>
      </c>
      <c r="M1202" s="141">
        <f>IF(B1202="Retired",MIN(((Q1201)*(1+$C$10)+IF(B1202="Working",J1202,0)),K1202),0)</f>
        <v/>
      </c>
      <c r="N1202" s="141">
        <f>IF(B1202="Retired",MIN(MAX(K1202-M1202,0),((R1201)*(1+$C$10)+IF(B1202="Working",E101,0))),0)</f>
        <v/>
      </c>
      <c r="O1202" s="141">
        <f>IF(B1202="Retired",MIN(MAX(K1202-M1202-N1202,0),((S1201)*(1+$C$10)+IF(B1202="Working",I1202,0))),0)</f>
        <v/>
      </c>
      <c r="P1202" s="141">
        <f>IF(B1202="Retired",MIN(MAX(K1202-M1202-N1202-O1202,0),((T1201)*(1+$C$10)+IF(B1202="Working",F101,0))),0)</f>
        <v/>
      </c>
      <c r="Q1202" s="138">
        <f>MAX(((Q1201)*(1+$C$10)+IF(B1202="Working",J1202,0))-M1202,0)</f>
        <v/>
      </c>
      <c r="R1202" s="138">
        <f>MAX(((R1201)*(1+$C$10)+IF(B1202="Working",E101,0))-N1202,0)</f>
        <v/>
      </c>
      <c r="S1202" s="138">
        <f>MAX(((S1201)*(1+$C$10)+IF(B1202="Working",I1202,0))-O1202,0)</f>
        <v/>
      </c>
      <c r="T1202" s="138">
        <f>MAX(((T1201)*(1+$C$10)+IF(B1202="Working",F101,0))-P1202,0)</f>
        <v/>
      </c>
      <c r="U1202" s="138">
        <f>Q1202+R1202+S1202+T1202</f>
        <v/>
      </c>
      <c r="V1202" s="138">
        <f>IF(B1202="Working",MAX(-(((Q1201)*(1+$C$10)+IF(B1202="Working",J1202,0))),0),MAX(K1202-L1202,0))</f>
        <v/>
      </c>
      <c r="W1202" s="138">
        <f>IF(OR(A1202&gt;=$C$13,B1202="Retired"),IF(V1202&gt;0,-V1202,U1202-'Model Inputs'!$B$18),"")</f>
        <v/>
      </c>
      <c r="X1202" s="138">
        <f>IF(AND($L$248&gt;0,A1202&gt;=$C$13),$L$248*(1+$C$25)^(A1202-$C$13),0)</f>
        <v/>
      </c>
      <c r="Y1202" s="138">
        <f>IF(OR($L$248&lt;=0,$C$17&lt;=0,A1202&lt;$C$13,MIN(MAX((A1202-$C$13+1)*12,0),$C$17*12)&gt;=$C$17*12),0,IF($C$16=0,MAX(MAX($L$248*(1-$C$15),0)-(IF($C$17&lt;=0,0,IF($C$16=0,MAX($L$248*(1-$C$15),0)/$C$17,-PMT($C$16/12,$C$17*12,MAX($L$248*(1-$C$15),0))*12))/12)*MIN(MAX((A1202-$C$13+1)*12,0),$C$17*12),0),MAX(MAX($L$248*(1-$C$15),0)*(1+$C$16/12)^MIN(MAX((A1202-$C$13+1)*12,0),$C$17*12)-(IF($C$17&lt;=0,0,IF($C$16=0,MAX($L$248*(1-$C$15),0)/$C$17,-PMT($C$16/12,$C$17*12,MAX($L$248*(1-$C$15),0))*12))/12)*(((1+$C$16/12)^MIN(MAX((A1202-$C$13+1)*12,0),$C$17*12)-1)/($C$16/12)),0)))</f>
        <v/>
      </c>
      <c r="Z1202" s="138">
        <f>MAX(X1202-Y1202,0)</f>
        <v/>
      </c>
      <c r="AA1202" s="142">
        <f>U1202+Z1202</f>
        <v/>
      </c>
      <c r="AB1202" s="5" t="n"/>
      <c r="AC1202" s="5" t="n"/>
      <c r="AD1202" s="5" t="n"/>
      <c r="AE1202" s="5" t="n"/>
      <c r="AF1202" s="5" t="n"/>
      <c r="AG1202" s="5" t="n"/>
    </row>
    <row r="1203" outlineLevel="1" s="326">
      <c r="A1203" s="136" t="n">
        <v>23</v>
      </c>
      <c r="B1203" s="72">
        <f>B102</f>
        <v/>
      </c>
      <c r="C1203" s="137">
        <f>D102</f>
        <v/>
      </c>
      <c r="D1203" s="137">
        <f>I102</f>
        <v/>
      </c>
      <c r="E1203" s="137">
        <f>J102</f>
        <v/>
      </c>
      <c r="F1203" s="137">
        <f>K102</f>
        <v/>
      </c>
      <c r="G1203" s="138">
        <f>IF(AND($L$248&gt;0,A1203=$C$13),$L$248*($C$15+$C$18),0)+IF(AND($L$248&gt;0,A1203=$C$13),$C$24,0)</f>
        <v/>
      </c>
      <c r="H1203" s="138">
        <f>IF(OR($L$248&lt;=0,A1203&lt;$C$13),0,IF(AND($L$248&gt;0,$C$17&gt;0,A1203&gt;=$C$13,A1203&lt;($C$13+$C$17)),IF($C$17&lt;=0,0,IF($C$16=0,MAX($L$248*(1-$C$15),0)/$C$17,-PMT($C$16/12,$C$17*12,MAX($L$248*(1-$C$15),0))*12)),0)+X1203*($C$19+$C$20+$C$21)+$C$22+$C$23)</f>
        <v/>
      </c>
      <c r="I1203" s="138">
        <f>IF(B1203="Working",MIN(MAX(D1203-E1203-F1203-G1203-H1203,0),'Tax Assumptions'!$B$20),0)</f>
        <v/>
      </c>
      <c r="J1203" s="138">
        <f>IF(B1203="Working",D1203-E1203-F1203-I1203-G1203-H1203,-L1203)</f>
        <v/>
      </c>
      <c r="K1203" s="137">
        <f>IF(B1203="Retired",$N$248+G1203+H1203,0)</f>
        <v/>
      </c>
      <c r="L1203" s="137">
        <f>M1203+N1203+O1203+P1203</f>
        <v/>
      </c>
      <c r="M1203" s="137">
        <f>IF(B1203="Retired",MIN(((Q1202)*(1+$C$10)+IF(B1203="Working",J1203,0)),K1203),0)</f>
        <v/>
      </c>
      <c r="N1203" s="137">
        <f>IF(B1203="Retired",MIN(MAX(K1203-M1203,0),((R1202)*(1+$C$10)+IF(B1203="Working",E102,0))),0)</f>
        <v/>
      </c>
      <c r="O1203" s="137">
        <f>IF(B1203="Retired",MIN(MAX(K1203-M1203-N1203,0),((S1202)*(1+$C$10)+IF(B1203="Working",I1203,0))),0)</f>
        <v/>
      </c>
      <c r="P1203" s="137">
        <f>IF(B1203="Retired",MIN(MAX(K1203-M1203-N1203-O1203,0),((T1202)*(1+$C$10)+IF(B1203="Working",F102,0))),0)</f>
        <v/>
      </c>
      <c r="Q1203" s="138">
        <f>MAX(((Q1202)*(1+$C$10)+IF(B1203="Working",J1203,0))-M1203,0)</f>
        <v/>
      </c>
      <c r="R1203" s="138">
        <f>MAX(((R1202)*(1+$C$10)+IF(B1203="Working",E102,0))-N1203,0)</f>
        <v/>
      </c>
      <c r="S1203" s="138">
        <f>MAX(((S1202)*(1+$C$10)+IF(B1203="Working",I1203,0))-O1203,0)</f>
        <v/>
      </c>
      <c r="T1203" s="138">
        <f>MAX(((T1202)*(1+$C$10)+IF(B1203="Working",F102,0))-P1203,0)</f>
        <v/>
      </c>
      <c r="U1203" s="138">
        <f>Q1203+R1203+S1203+T1203</f>
        <v/>
      </c>
      <c r="V1203" s="138">
        <f>IF(B1203="Working",MAX(-(((Q1202)*(1+$C$10)+IF(B1203="Working",J1203,0))),0),MAX(K1203-L1203,0))</f>
        <v/>
      </c>
      <c r="W1203" s="138">
        <f>IF(OR(A1203&gt;=$C$13,B1203="Retired"),IF(V1203&gt;0,-V1203,U1203-'Model Inputs'!$B$18),"")</f>
        <v/>
      </c>
      <c r="X1203" s="138">
        <f>IF(AND($L$248&gt;0,A1203&gt;=$C$13),$L$248*(1+$C$25)^(A1203-$C$13),0)</f>
        <v/>
      </c>
      <c r="Y1203" s="138">
        <f>IF(OR($L$248&lt;=0,$C$17&lt;=0,A1203&lt;$C$13,MIN(MAX((A1203-$C$13+1)*12,0),$C$17*12)&gt;=$C$17*12),0,IF($C$16=0,MAX(MAX($L$248*(1-$C$15),0)-(IF($C$17&lt;=0,0,IF($C$16=0,MAX($L$248*(1-$C$15),0)/$C$17,-PMT($C$16/12,$C$17*12,MAX($L$248*(1-$C$15),0))*12))/12)*MIN(MAX((A1203-$C$13+1)*12,0),$C$17*12),0),MAX(MAX($L$248*(1-$C$15),0)*(1+$C$16/12)^MIN(MAX((A1203-$C$13+1)*12,0),$C$17*12)-(IF($C$17&lt;=0,0,IF($C$16=0,MAX($L$248*(1-$C$15),0)/$C$17,-PMT($C$16/12,$C$17*12,MAX($L$248*(1-$C$15),0))*12))/12)*(((1+$C$16/12)^MIN(MAX((A1203-$C$13+1)*12,0),$C$17*12)-1)/($C$16/12)),0)))</f>
        <v/>
      </c>
      <c r="Z1203" s="138">
        <f>MAX(X1203-Y1203,0)</f>
        <v/>
      </c>
      <c r="AA1203" s="139">
        <f>U1203+Z1203</f>
        <v/>
      </c>
      <c r="AB1203" s="5" t="n"/>
      <c r="AC1203" s="5" t="n"/>
      <c r="AD1203" s="5" t="n"/>
      <c r="AE1203" s="5" t="n"/>
      <c r="AF1203" s="5" t="n"/>
      <c r="AG1203" s="5" t="n"/>
    </row>
    <row r="1204" outlineLevel="1" s="326">
      <c r="A1204" s="140" t="n">
        <v>24</v>
      </c>
      <c r="B1204" s="40">
        <f>B103</f>
        <v/>
      </c>
      <c r="C1204" s="141">
        <f>D103</f>
        <v/>
      </c>
      <c r="D1204" s="141">
        <f>I103</f>
        <v/>
      </c>
      <c r="E1204" s="141">
        <f>J103</f>
        <v/>
      </c>
      <c r="F1204" s="141">
        <f>K103</f>
        <v/>
      </c>
      <c r="G1204" s="138">
        <f>IF(AND($L$248&gt;0,A1204=$C$13),$L$248*($C$15+$C$18),0)+IF(AND($L$248&gt;0,A1204=$C$13),$C$24,0)</f>
        <v/>
      </c>
      <c r="H1204" s="138">
        <f>IF(OR($L$248&lt;=0,A1204&lt;$C$13),0,IF(AND($L$248&gt;0,$C$17&gt;0,A1204&gt;=$C$13,A1204&lt;($C$13+$C$17)),IF($C$17&lt;=0,0,IF($C$16=0,MAX($L$248*(1-$C$15),0)/$C$17,-PMT($C$16/12,$C$17*12,MAX($L$248*(1-$C$15),0))*12)),0)+X1204*($C$19+$C$20+$C$21)+$C$22+$C$23)</f>
        <v/>
      </c>
      <c r="I1204" s="138">
        <f>IF(B1204="Working",MIN(MAX(D1204-E1204-F1204-G1204-H1204,0),'Tax Assumptions'!$B$20),0)</f>
        <v/>
      </c>
      <c r="J1204" s="138">
        <f>IF(B1204="Working",D1204-E1204-F1204-I1204-G1204-H1204,-L1204)</f>
        <v/>
      </c>
      <c r="K1204" s="141">
        <f>IF(B1204="Retired",$N$248+G1204+H1204,0)</f>
        <v/>
      </c>
      <c r="L1204" s="141">
        <f>M1204+N1204+O1204+P1204</f>
        <v/>
      </c>
      <c r="M1204" s="141">
        <f>IF(B1204="Retired",MIN(((Q1203)*(1+$C$10)+IF(B1204="Working",J1204,0)),K1204),0)</f>
        <v/>
      </c>
      <c r="N1204" s="141">
        <f>IF(B1204="Retired",MIN(MAX(K1204-M1204,0),((R1203)*(1+$C$10)+IF(B1204="Working",E103,0))),0)</f>
        <v/>
      </c>
      <c r="O1204" s="141">
        <f>IF(B1204="Retired",MIN(MAX(K1204-M1204-N1204,0),((S1203)*(1+$C$10)+IF(B1204="Working",I1204,0))),0)</f>
        <v/>
      </c>
      <c r="P1204" s="141">
        <f>IF(B1204="Retired",MIN(MAX(K1204-M1204-N1204-O1204,0),((T1203)*(1+$C$10)+IF(B1204="Working",F103,0))),0)</f>
        <v/>
      </c>
      <c r="Q1204" s="138">
        <f>MAX(((Q1203)*(1+$C$10)+IF(B1204="Working",J1204,0))-M1204,0)</f>
        <v/>
      </c>
      <c r="R1204" s="138">
        <f>MAX(((R1203)*(1+$C$10)+IF(B1204="Working",E103,0))-N1204,0)</f>
        <v/>
      </c>
      <c r="S1204" s="138">
        <f>MAX(((S1203)*(1+$C$10)+IF(B1204="Working",I1204,0))-O1204,0)</f>
        <v/>
      </c>
      <c r="T1204" s="138">
        <f>MAX(((T1203)*(1+$C$10)+IF(B1204="Working",F103,0))-P1204,0)</f>
        <v/>
      </c>
      <c r="U1204" s="138">
        <f>Q1204+R1204+S1204+T1204</f>
        <v/>
      </c>
      <c r="V1204" s="138">
        <f>IF(B1204="Working",MAX(-(((Q1203)*(1+$C$10)+IF(B1204="Working",J1204,0))),0),MAX(K1204-L1204,0))</f>
        <v/>
      </c>
      <c r="W1204" s="138">
        <f>IF(OR(A1204&gt;=$C$13,B1204="Retired"),IF(V1204&gt;0,-V1204,U1204-'Model Inputs'!$B$18),"")</f>
        <v/>
      </c>
      <c r="X1204" s="138">
        <f>IF(AND($L$248&gt;0,A1204&gt;=$C$13),$L$248*(1+$C$25)^(A1204-$C$13),0)</f>
        <v/>
      </c>
      <c r="Y1204" s="138">
        <f>IF(OR($L$248&lt;=0,$C$17&lt;=0,A1204&lt;$C$13,MIN(MAX((A1204-$C$13+1)*12,0),$C$17*12)&gt;=$C$17*12),0,IF($C$16=0,MAX(MAX($L$248*(1-$C$15),0)-(IF($C$17&lt;=0,0,IF($C$16=0,MAX($L$248*(1-$C$15),0)/$C$17,-PMT($C$16/12,$C$17*12,MAX($L$248*(1-$C$15),0))*12))/12)*MIN(MAX((A1204-$C$13+1)*12,0),$C$17*12),0),MAX(MAX($L$248*(1-$C$15),0)*(1+$C$16/12)^MIN(MAX((A1204-$C$13+1)*12,0),$C$17*12)-(IF($C$17&lt;=0,0,IF($C$16=0,MAX($L$248*(1-$C$15),0)/$C$17,-PMT($C$16/12,$C$17*12,MAX($L$248*(1-$C$15),0))*12))/12)*(((1+$C$16/12)^MIN(MAX((A1204-$C$13+1)*12,0),$C$17*12)-1)/($C$16/12)),0)))</f>
        <v/>
      </c>
      <c r="Z1204" s="138">
        <f>MAX(X1204-Y1204,0)</f>
        <v/>
      </c>
      <c r="AA1204" s="142">
        <f>U1204+Z1204</f>
        <v/>
      </c>
      <c r="AB1204" s="5" t="n"/>
      <c r="AC1204" s="5" t="n"/>
      <c r="AD1204" s="5" t="n"/>
      <c r="AE1204" s="5" t="n"/>
      <c r="AF1204" s="5" t="n"/>
      <c r="AG1204" s="5" t="n"/>
    </row>
    <row r="1205" outlineLevel="1" s="326">
      <c r="A1205" s="136" t="n">
        <v>25</v>
      </c>
      <c r="B1205" s="72">
        <f>B104</f>
        <v/>
      </c>
      <c r="C1205" s="137">
        <f>D104</f>
        <v/>
      </c>
      <c r="D1205" s="137">
        <f>I104</f>
        <v/>
      </c>
      <c r="E1205" s="137">
        <f>J104</f>
        <v/>
      </c>
      <c r="F1205" s="137">
        <f>K104</f>
        <v/>
      </c>
      <c r="G1205" s="138">
        <f>IF(AND($L$248&gt;0,A1205=$C$13),$L$248*($C$15+$C$18),0)+IF(AND($L$248&gt;0,A1205=$C$13),$C$24,0)</f>
        <v/>
      </c>
      <c r="H1205" s="138">
        <f>IF(OR($L$248&lt;=0,A1205&lt;$C$13),0,IF(AND($L$248&gt;0,$C$17&gt;0,A1205&gt;=$C$13,A1205&lt;($C$13+$C$17)),IF($C$17&lt;=0,0,IF($C$16=0,MAX($L$248*(1-$C$15),0)/$C$17,-PMT($C$16/12,$C$17*12,MAX($L$248*(1-$C$15),0))*12)),0)+X1205*($C$19+$C$20+$C$21)+$C$22+$C$23)</f>
        <v/>
      </c>
      <c r="I1205" s="138">
        <f>IF(B1205="Working",MIN(MAX(D1205-E1205-F1205-G1205-H1205,0),'Tax Assumptions'!$B$20),0)</f>
        <v/>
      </c>
      <c r="J1205" s="138">
        <f>IF(B1205="Working",D1205-E1205-F1205-I1205-G1205-H1205,-L1205)</f>
        <v/>
      </c>
      <c r="K1205" s="137">
        <f>IF(B1205="Retired",$N$248+G1205+H1205,0)</f>
        <v/>
      </c>
      <c r="L1205" s="137">
        <f>M1205+N1205+O1205+P1205</f>
        <v/>
      </c>
      <c r="M1205" s="137">
        <f>IF(B1205="Retired",MIN(((Q1204)*(1+$C$10)+IF(B1205="Working",J1205,0)),K1205),0)</f>
        <v/>
      </c>
      <c r="N1205" s="137">
        <f>IF(B1205="Retired",MIN(MAX(K1205-M1205,0),((R1204)*(1+$C$10)+IF(B1205="Working",E104,0))),0)</f>
        <v/>
      </c>
      <c r="O1205" s="137">
        <f>IF(B1205="Retired",MIN(MAX(K1205-M1205-N1205,0),((S1204)*(1+$C$10)+IF(B1205="Working",I1205,0))),0)</f>
        <v/>
      </c>
      <c r="P1205" s="137">
        <f>IF(B1205="Retired",MIN(MAX(K1205-M1205-N1205-O1205,0),((T1204)*(1+$C$10)+IF(B1205="Working",F104,0))),0)</f>
        <v/>
      </c>
      <c r="Q1205" s="138">
        <f>MAX(((Q1204)*(1+$C$10)+IF(B1205="Working",J1205,0))-M1205,0)</f>
        <v/>
      </c>
      <c r="R1205" s="138">
        <f>MAX(((R1204)*(1+$C$10)+IF(B1205="Working",E104,0))-N1205,0)</f>
        <v/>
      </c>
      <c r="S1205" s="138">
        <f>MAX(((S1204)*(1+$C$10)+IF(B1205="Working",I1205,0))-O1205,0)</f>
        <v/>
      </c>
      <c r="T1205" s="138">
        <f>MAX(((T1204)*(1+$C$10)+IF(B1205="Working",F104,0))-P1205,0)</f>
        <v/>
      </c>
      <c r="U1205" s="138">
        <f>Q1205+R1205+S1205+T1205</f>
        <v/>
      </c>
      <c r="V1205" s="138">
        <f>IF(B1205="Working",MAX(-(((Q1204)*(1+$C$10)+IF(B1205="Working",J1205,0))),0),MAX(K1205-L1205,0))</f>
        <v/>
      </c>
      <c r="W1205" s="138">
        <f>IF(OR(A1205&gt;=$C$13,B1205="Retired"),IF(V1205&gt;0,-V1205,U1205-'Model Inputs'!$B$18),"")</f>
        <v/>
      </c>
      <c r="X1205" s="138">
        <f>IF(AND($L$248&gt;0,A1205&gt;=$C$13),$L$248*(1+$C$25)^(A1205-$C$13),0)</f>
        <v/>
      </c>
      <c r="Y1205" s="138">
        <f>IF(OR($L$248&lt;=0,$C$17&lt;=0,A1205&lt;$C$13,MIN(MAX((A1205-$C$13+1)*12,0),$C$17*12)&gt;=$C$17*12),0,IF($C$16=0,MAX(MAX($L$248*(1-$C$15),0)-(IF($C$17&lt;=0,0,IF($C$16=0,MAX($L$248*(1-$C$15),0)/$C$17,-PMT($C$16/12,$C$17*12,MAX($L$248*(1-$C$15),0))*12))/12)*MIN(MAX((A1205-$C$13+1)*12,0),$C$17*12),0),MAX(MAX($L$248*(1-$C$15),0)*(1+$C$16/12)^MIN(MAX((A1205-$C$13+1)*12,0),$C$17*12)-(IF($C$17&lt;=0,0,IF($C$16=0,MAX($L$248*(1-$C$15),0)/$C$17,-PMT($C$16/12,$C$17*12,MAX($L$248*(1-$C$15),0))*12))/12)*(((1+$C$16/12)^MIN(MAX((A1205-$C$13+1)*12,0),$C$17*12)-1)/($C$16/12)),0)))</f>
        <v/>
      </c>
      <c r="Z1205" s="138">
        <f>MAX(X1205-Y1205,0)</f>
        <v/>
      </c>
      <c r="AA1205" s="139">
        <f>U1205+Z1205</f>
        <v/>
      </c>
      <c r="AB1205" s="5" t="n"/>
      <c r="AC1205" s="5" t="n"/>
      <c r="AD1205" s="5" t="n"/>
      <c r="AE1205" s="5" t="n"/>
      <c r="AF1205" s="5" t="n"/>
      <c r="AG1205" s="5" t="n"/>
    </row>
    <row r="1206" outlineLevel="1" s="326">
      <c r="A1206" s="140" t="n">
        <v>26</v>
      </c>
      <c r="B1206" s="40">
        <f>B105</f>
        <v/>
      </c>
      <c r="C1206" s="141">
        <f>D105</f>
        <v/>
      </c>
      <c r="D1206" s="141">
        <f>I105</f>
        <v/>
      </c>
      <c r="E1206" s="141">
        <f>J105</f>
        <v/>
      </c>
      <c r="F1206" s="141">
        <f>K105</f>
        <v/>
      </c>
      <c r="G1206" s="138">
        <f>IF(AND($L$248&gt;0,A1206=$C$13),$L$248*($C$15+$C$18),0)+IF(AND($L$248&gt;0,A1206=$C$13),$C$24,0)</f>
        <v/>
      </c>
      <c r="H1206" s="138">
        <f>IF(OR($L$248&lt;=0,A1206&lt;$C$13),0,IF(AND($L$248&gt;0,$C$17&gt;0,A1206&gt;=$C$13,A1206&lt;($C$13+$C$17)),IF($C$17&lt;=0,0,IF($C$16=0,MAX($L$248*(1-$C$15),0)/$C$17,-PMT($C$16/12,$C$17*12,MAX($L$248*(1-$C$15),0))*12)),0)+X1206*($C$19+$C$20+$C$21)+$C$22+$C$23)</f>
        <v/>
      </c>
      <c r="I1206" s="138">
        <f>IF(B1206="Working",MIN(MAX(D1206-E1206-F1206-G1206-H1206,0),'Tax Assumptions'!$B$20),0)</f>
        <v/>
      </c>
      <c r="J1206" s="138">
        <f>IF(B1206="Working",D1206-E1206-F1206-I1206-G1206-H1206,-L1206)</f>
        <v/>
      </c>
      <c r="K1206" s="141">
        <f>IF(B1206="Retired",$N$248+G1206+H1206,0)</f>
        <v/>
      </c>
      <c r="L1206" s="141">
        <f>M1206+N1206+O1206+P1206</f>
        <v/>
      </c>
      <c r="M1206" s="141">
        <f>IF(B1206="Retired",MIN(((Q1205)*(1+$C$10)+IF(B1206="Working",J1206,0)),K1206),0)</f>
        <v/>
      </c>
      <c r="N1206" s="141">
        <f>IF(B1206="Retired",MIN(MAX(K1206-M1206,0),((R1205)*(1+$C$10)+IF(B1206="Working",E105,0))),0)</f>
        <v/>
      </c>
      <c r="O1206" s="141">
        <f>IF(B1206="Retired",MIN(MAX(K1206-M1206-N1206,0),((S1205)*(1+$C$10)+IF(B1206="Working",I1206,0))),0)</f>
        <v/>
      </c>
      <c r="P1206" s="141">
        <f>IF(B1206="Retired",MIN(MAX(K1206-M1206-N1206-O1206,0),((T1205)*(1+$C$10)+IF(B1206="Working",F105,0))),0)</f>
        <v/>
      </c>
      <c r="Q1206" s="138">
        <f>MAX(((Q1205)*(1+$C$10)+IF(B1206="Working",J1206,0))-M1206,0)</f>
        <v/>
      </c>
      <c r="R1206" s="138">
        <f>MAX(((R1205)*(1+$C$10)+IF(B1206="Working",E105,0))-N1206,0)</f>
        <v/>
      </c>
      <c r="S1206" s="138">
        <f>MAX(((S1205)*(1+$C$10)+IF(B1206="Working",I1206,0))-O1206,0)</f>
        <v/>
      </c>
      <c r="T1206" s="138">
        <f>MAX(((T1205)*(1+$C$10)+IF(B1206="Working",F105,0))-P1206,0)</f>
        <v/>
      </c>
      <c r="U1206" s="138">
        <f>Q1206+R1206+S1206+T1206</f>
        <v/>
      </c>
      <c r="V1206" s="138">
        <f>IF(B1206="Working",MAX(-(((Q1205)*(1+$C$10)+IF(B1206="Working",J1206,0))),0),MAX(K1206-L1206,0))</f>
        <v/>
      </c>
      <c r="W1206" s="138">
        <f>IF(OR(A1206&gt;=$C$13,B1206="Retired"),IF(V1206&gt;0,-V1206,U1206-'Model Inputs'!$B$18),"")</f>
        <v/>
      </c>
      <c r="X1206" s="138">
        <f>IF(AND($L$248&gt;0,A1206&gt;=$C$13),$L$248*(1+$C$25)^(A1206-$C$13),0)</f>
        <v/>
      </c>
      <c r="Y1206" s="138">
        <f>IF(OR($L$248&lt;=0,$C$17&lt;=0,A1206&lt;$C$13,MIN(MAX((A1206-$C$13+1)*12,0),$C$17*12)&gt;=$C$17*12),0,IF($C$16=0,MAX(MAX($L$248*(1-$C$15),0)-(IF($C$17&lt;=0,0,IF($C$16=0,MAX($L$248*(1-$C$15),0)/$C$17,-PMT($C$16/12,$C$17*12,MAX($L$248*(1-$C$15),0))*12))/12)*MIN(MAX((A1206-$C$13+1)*12,0),$C$17*12),0),MAX(MAX($L$248*(1-$C$15),0)*(1+$C$16/12)^MIN(MAX((A1206-$C$13+1)*12,0),$C$17*12)-(IF($C$17&lt;=0,0,IF($C$16=0,MAX($L$248*(1-$C$15),0)/$C$17,-PMT($C$16/12,$C$17*12,MAX($L$248*(1-$C$15),0))*12))/12)*(((1+$C$16/12)^MIN(MAX((A1206-$C$13+1)*12,0),$C$17*12)-1)/($C$16/12)),0)))</f>
        <v/>
      </c>
      <c r="Z1206" s="138">
        <f>MAX(X1206-Y1206,0)</f>
        <v/>
      </c>
      <c r="AA1206" s="142">
        <f>U1206+Z1206</f>
        <v/>
      </c>
      <c r="AB1206" s="5" t="n"/>
      <c r="AC1206" s="5" t="n"/>
      <c r="AD1206" s="5" t="n"/>
      <c r="AE1206" s="5" t="n"/>
      <c r="AF1206" s="5" t="n"/>
      <c r="AG1206" s="5" t="n"/>
    </row>
    <row r="1207" outlineLevel="1" s="326">
      <c r="A1207" s="136" t="n">
        <v>27</v>
      </c>
      <c r="B1207" s="72">
        <f>B106</f>
        <v/>
      </c>
      <c r="C1207" s="137">
        <f>D106</f>
        <v/>
      </c>
      <c r="D1207" s="137">
        <f>I106</f>
        <v/>
      </c>
      <c r="E1207" s="137">
        <f>J106</f>
        <v/>
      </c>
      <c r="F1207" s="137">
        <f>K106</f>
        <v/>
      </c>
      <c r="G1207" s="138">
        <f>IF(AND($L$248&gt;0,A1207=$C$13),$L$248*($C$15+$C$18),0)+IF(AND($L$248&gt;0,A1207=$C$13),$C$24,0)</f>
        <v/>
      </c>
      <c r="H1207" s="138">
        <f>IF(OR($L$248&lt;=0,A1207&lt;$C$13),0,IF(AND($L$248&gt;0,$C$17&gt;0,A1207&gt;=$C$13,A1207&lt;($C$13+$C$17)),IF($C$17&lt;=0,0,IF($C$16=0,MAX($L$248*(1-$C$15),0)/$C$17,-PMT($C$16/12,$C$17*12,MAX($L$248*(1-$C$15),0))*12)),0)+X1207*($C$19+$C$20+$C$21)+$C$22+$C$23)</f>
        <v/>
      </c>
      <c r="I1207" s="138">
        <f>IF(B1207="Working",MIN(MAX(D1207-E1207-F1207-G1207-H1207,0),'Tax Assumptions'!$B$20),0)</f>
        <v/>
      </c>
      <c r="J1207" s="138">
        <f>IF(B1207="Working",D1207-E1207-F1207-I1207-G1207-H1207,-L1207)</f>
        <v/>
      </c>
      <c r="K1207" s="137">
        <f>IF(B1207="Retired",$N$248+G1207+H1207,0)</f>
        <v/>
      </c>
      <c r="L1207" s="137">
        <f>M1207+N1207+O1207+P1207</f>
        <v/>
      </c>
      <c r="M1207" s="137">
        <f>IF(B1207="Retired",MIN(((Q1206)*(1+$C$10)+IF(B1207="Working",J1207,0)),K1207),0)</f>
        <v/>
      </c>
      <c r="N1207" s="137">
        <f>IF(B1207="Retired",MIN(MAX(K1207-M1207,0),((R1206)*(1+$C$10)+IF(B1207="Working",E106,0))),0)</f>
        <v/>
      </c>
      <c r="O1207" s="137">
        <f>IF(B1207="Retired",MIN(MAX(K1207-M1207-N1207,0),((S1206)*(1+$C$10)+IF(B1207="Working",I1207,0))),0)</f>
        <v/>
      </c>
      <c r="P1207" s="137">
        <f>IF(B1207="Retired",MIN(MAX(K1207-M1207-N1207-O1207,0),((T1206)*(1+$C$10)+IF(B1207="Working",F106,0))),0)</f>
        <v/>
      </c>
      <c r="Q1207" s="138">
        <f>MAX(((Q1206)*(1+$C$10)+IF(B1207="Working",J1207,0))-M1207,0)</f>
        <v/>
      </c>
      <c r="R1207" s="138">
        <f>MAX(((R1206)*(1+$C$10)+IF(B1207="Working",E106,0))-N1207,0)</f>
        <v/>
      </c>
      <c r="S1207" s="138">
        <f>MAX(((S1206)*(1+$C$10)+IF(B1207="Working",I1207,0))-O1207,0)</f>
        <v/>
      </c>
      <c r="T1207" s="138">
        <f>MAX(((T1206)*(1+$C$10)+IF(B1207="Working",F106,0))-P1207,0)</f>
        <v/>
      </c>
      <c r="U1207" s="138">
        <f>Q1207+R1207+S1207+T1207</f>
        <v/>
      </c>
      <c r="V1207" s="138">
        <f>IF(B1207="Working",MAX(-(((Q1206)*(1+$C$10)+IF(B1207="Working",J1207,0))),0),MAX(K1207-L1207,0))</f>
        <v/>
      </c>
      <c r="W1207" s="138">
        <f>IF(OR(A1207&gt;=$C$13,B1207="Retired"),IF(V1207&gt;0,-V1207,U1207-'Model Inputs'!$B$18),"")</f>
        <v/>
      </c>
      <c r="X1207" s="138">
        <f>IF(AND($L$248&gt;0,A1207&gt;=$C$13),$L$248*(1+$C$25)^(A1207-$C$13),0)</f>
        <v/>
      </c>
      <c r="Y1207" s="138">
        <f>IF(OR($L$248&lt;=0,$C$17&lt;=0,A1207&lt;$C$13,MIN(MAX((A1207-$C$13+1)*12,0),$C$17*12)&gt;=$C$17*12),0,IF($C$16=0,MAX(MAX($L$248*(1-$C$15),0)-(IF($C$17&lt;=0,0,IF($C$16=0,MAX($L$248*(1-$C$15),0)/$C$17,-PMT($C$16/12,$C$17*12,MAX($L$248*(1-$C$15),0))*12))/12)*MIN(MAX((A1207-$C$13+1)*12,0),$C$17*12),0),MAX(MAX($L$248*(1-$C$15),0)*(1+$C$16/12)^MIN(MAX((A1207-$C$13+1)*12,0),$C$17*12)-(IF($C$17&lt;=0,0,IF($C$16=0,MAX($L$248*(1-$C$15),0)/$C$17,-PMT($C$16/12,$C$17*12,MAX($L$248*(1-$C$15),0))*12))/12)*(((1+$C$16/12)^MIN(MAX((A1207-$C$13+1)*12,0),$C$17*12)-1)/($C$16/12)),0)))</f>
        <v/>
      </c>
      <c r="Z1207" s="138">
        <f>MAX(X1207-Y1207,0)</f>
        <v/>
      </c>
      <c r="AA1207" s="139">
        <f>U1207+Z1207</f>
        <v/>
      </c>
      <c r="AB1207" s="5" t="n"/>
      <c r="AC1207" s="5" t="n"/>
      <c r="AD1207" s="5" t="n"/>
      <c r="AE1207" s="5" t="n"/>
      <c r="AF1207" s="5" t="n"/>
      <c r="AG1207" s="5" t="n"/>
    </row>
    <row r="1208" outlineLevel="1" s="326">
      <c r="A1208" s="140" t="n">
        <v>28</v>
      </c>
      <c r="B1208" s="40">
        <f>B107</f>
        <v/>
      </c>
      <c r="C1208" s="141">
        <f>D107</f>
        <v/>
      </c>
      <c r="D1208" s="141">
        <f>I107</f>
        <v/>
      </c>
      <c r="E1208" s="141">
        <f>J107</f>
        <v/>
      </c>
      <c r="F1208" s="141">
        <f>K107</f>
        <v/>
      </c>
      <c r="G1208" s="138">
        <f>IF(AND($L$248&gt;0,A1208=$C$13),$L$248*($C$15+$C$18),0)+IF(AND($L$248&gt;0,A1208=$C$13),$C$24,0)</f>
        <v/>
      </c>
      <c r="H1208" s="138">
        <f>IF(OR($L$248&lt;=0,A1208&lt;$C$13),0,IF(AND($L$248&gt;0,$C$17&gt;0,A1208&gt;=$C$13,A1208&lt;($C$13+$C$17)),IF($C$17&lt;=0,0,IF($C$16=0,MAX($L$248*(1-$C$15),0)/$C$17,-PMT($C$16/12,$C$17*12,MAX($L$248*(1-$C$15),0))*12)),0)+X1208*($C$19+$C$20+$C$21)+$C$22+$C$23)</f>
        <v/>
      </c>
      <c r="I1208" s="138">
        <f>IF(B1208="Working",MIN(MAX(D1208-E1208-F1208-G1208-H1208,0),'Tax Assumptions'!$B$20),0)</f>
        <v/>
      </c>
      <c r="J1208" s="138">
        <f>IF(B1208="Working",D1208-E1208-F1208-I1208-G1208-H1208,-L1208)</f>
        <v/>
      </c>
      <c r="K1208" s="141">
        <f>IF(B1208="Retired",$N$248+G1208+H1208,0)</f>
        <v/>
      </c>
      <c r="L1208" s="141">
        <f>M1208+N1208+O1208+P1208</f>
        <v/>
      </c>
      <c r="M1208" s="141">
        <f>IF(B1208="Retired",MIN(((Q1207)*(1+$C$10)+IF(B1208="Working",J1208,0)),K1208),0)</f>
        <v/>
      </c>
      <c r="N1208" s="141">
        <f>IF(B1208="Retired",MIN(MAX(K1208-M1208,0),((R1207)*(1+$C$10)+IF(B1208="Working",E107,0))),0)</f>
        <v/>
      </c>
      <c r="O1208" s="141">
        <f>IF(B1208="Retired",MIN(MAX(K1208-M1208-N1208,0),((S1207)*(1+$C$10)+IF(B1208="Working",I1208,0))),0)</f>
        <v/>
      </c>
      <c r="P1208" s="141">
        <f>IF(B1208="Retired",MIN(MAX(K1208-M1208-N1208-O1208,0),((T1207)*(1+$C$10)+IF(B1208="Working",F107,0))),0)</f>
        <v/>
      </c>
      <c r="Q1208" s="138">
        <f>MAX(((Q1207)*(1+$C$10)+IF(B1208="Working",J1208,0))-M1208,0)</f>
        <v/>
      </c>
      <c r="R1208" s="138">
        <f>MAX(((R1207)*(1+$C$10)+IF(B1208="Working",E107,0))-N1208,0)</f>
        <v/>
      </c>
      <c r="S1208" s="138">
        <f>MAX(((S1207)*(1+$C$10)+IF(B1208="Working",I1208,0))-O1208,0)</f>
        <v/>
      </c>
      <c r="T1208" s="138">
        <f>MAX(((T1207)*(1+$C$10)+IF(B1208="Working",F107,0))-P1208,0)</f>
        <v/>
      </c>
      <c r="U1208" s="138">
        <f>Q1208+R1208+S1208+T1208</f>
        <v/>
      </c>
      <c r="V1208" s="138">
        <f>IF(B1208="Working",MAX(-(((Q1207)*(1+$C$10)+IF(B1208="Working",J1208,0))),0),MAX(K1208-L1208,0))</f>
        <v/>
      </c>
      <c r="W1208" s="138">
        <f>IF(OR(A1208&gt;=$C$13,B1208="Retired"),IF(V1208&gt;0,-V1208,U1208-'Model Inputs'!$B$18),"")</f>
        <v/>
      </c>
      <c r="X1208" s="138">
        <f>IF(AND($L$248&gt;0,A1208&gt;=$C$13),$L$248*(1+$C$25)^(A1208-$C$13),0)</f>
        <v/>
      </c>
      <c r="Y1208" s="138">
        <f>IF(OR($L$248&lt;=0,$C$17&lt;=0,A1208&lt;$C$13,MIN(MAX((A1208-$C$13+1)*12,0),$C$17*12)&gt;=$C$17*12),0,IF($C$16=0,MAX(MAX($L$248*(1-$C$15),0)-(IF($C$17&lt;=0,0,IF($C$16=0,MAX($L$248*(1-$C$15),0)/$C$17,-PMT($C$16/12,$C$17*12,MAX($L$248*(1-$C$15),0))*12))/12)*MIN(MAX((A1208-$C$13+1)*12,0),$C$17*12),0),MAX(MAX($L$248*(1-$C$15),0)*(1+$C$16/12)^MIN(MAX((A1208-$C$13+1)*12,0),$C$17*12)-(IF($C$17&lt;=0,0,IF($C$16=0,MAX($L$248*(1-$C$15),0)/$C$17,-PMT($C$16/12,$C$17*12,MAX($L$248*(1-$C$15),0))*12))/12)*(((1+$C$16/12)^MIN(MAX((A1208-$C$13+1)*12,0),$C$17*12)-1)/($C$16/12)),0)))</f>
        <v/>
      </c>
      <c r="Z1208" s="138">
        <f>MAX(X1208-Y1208,0)</f>
        <v/>
      </c>
      <c r="AA1208" s="142">
        <f>U1208+Z1208</f>
        <v/>
      </c>
      <c r="AB1208" s="5" t="n"/>
      <c r="AC1208" s="5" t="n"/>
      <c r="AD1208" s="5" t="n"/>
      <c r="AE1208" s="5" t="n"/>
      <c r="AF1208" s="5" t="n"/>
      <c r="AG1208" s="5" t="n"/>
    </row>
    <row r="1209" outlineLevel="1" s="326">
      <c r="A1209" s="136" t="n">
        <v>29</v>
      </c>
      <c r="B1209" s="72">
        <f>B108</f>
        <v/>
      </c>
      <c r="C1209" s="137">
        <f>D108</f>
        <v/>
      </c>
      <c r="D1209" s="137">
        <f>I108</f>
        <v/>
      </c>
      <c r="E1209" s="137">
        <f>J108</f>
        <v/>
      </c>
      <c r="F1209" s="137">
        <f>K108</f>
        <v/>
      </c>
      <c r="G1209" s="138">
        <f>IF(AND($L$248&gt;0,A1209=$C$13),$L$248*($C$15+$C$18),0)+IF(AND($L$248&gt;0,A1209=$C$13),$C$24,0)</f>
        <v/>
      </c>
      <c r="H1209" s="138">
        <f>IF(OR($L$248&lt;=0,A1209&lt;$C$13),0,IF(AND($L$248&gt;0,$C$17&gt;0,A1209&gt;=$C$13,A1209&lt;($C$13+$C$17)),IF($C$17&lt;=0,0,IF($C$16=0,MAX($L$248*(1-$C$15),0)/$C$17,-PMT($C$16/12,$C$17*12,MAX($L$248*(1-$C$15),0))*12)),0)+X1209*($C$19+$C$20+$C$21)+$C$22+$C$23)</f>
        <v/>
      </c>
      <c r="I1209" s="138">
        <f>IF(B1209="Working",MIN(MAX(D1209-E1209-F1209-G1209-H1209,0),'Tax Assumptions'!$B$20),0)</f>
        <v/>
      </c>
      <c r="J1209" s="138">
        <f>IF(B1209="Working",D1209-E1209-F1209-I1209-G1209-H1209,-L1209)</f>
        <v/>
      </c>
      <c r="K1209" s="137">
        <f>IF(B1209="Retired",$N$248+G1209+H1209,0)</f>
        <v/>
      </c>
      <c r="L1209" s="137">
        <f>M1209+N1209+O1209+P1209</f>
        <v/>
      </c>
      <c r="M1209" s="137">
        <f>IF(B1209="Retired",MIN(((Q1208)*(1+$C$10)+IF(B1209="Working",J1209,0)),K1209),0)</f>
        <v/>
      </c>
      <c r="N1209" s="137">
        <f>IF(B1209="Retired",MIN(MAX(K1209-M1209,0),((R1208)*(1+$C$10)+IF(B1209="Working",E108,0))),0)</f>
        <v/>
      </c>
      <c r="O1209" s="137">
        <f>IF(B1209="Retired",MIN(MAX(K1209-M1209-N1209,0),((S1208)*(1+$C$10)+IF(B1209="Working",I1209,0))),0)</f>
        <v/>
      </c>
      <c r="P1209" s="137">
        <f>IF(B1209="Retired",MIN(MAX(K1209-M1209-N1209-O1209,0),((T1208)*(1+$C$10)+IF(B1209="Working",F108,0))),0)</f>
        <v/>
      </c>
      <c r="Q1209" s="138">
        <f>MAX(((Q1208)*(1+$C$10)+IF(B1209="Working",J1209,0))-M1209,0)</f>
        <v/>
      </c>
      <c r="R1209" s="138">
        <f>MAX(((R1208)*(1+$C$10)+IF(B1209="Working",E108,0))-N1209,0)</f>
        <v/>
      </c>
      <c r="S1209" s="138">
        <f>MAX(((S1208)*(1+$C$10)+IF(B1209="Working",I1209,0))-O1209,0)</f>
        <v/>
      </c>
      <c r="T1209" s="138">
        <f>MAX(((T1208)*(1+$C$10)+IF(B1209="Working",F108,0))-P1209,0)</f>
        <v/>
      </c>
      <c r="U1209" s="138">
        <f>Q1209+R1209+S1209+T1209</f>
        <v/>
      </c>
      <c r="V1209" s="138">
        <f>IF(B1209="Working",MAX(-(((Q1208)*(1+$C$10)+IF(B1209="Working",J1209,0))),0),MAX(K1209-L1209,0))</f>
        <v/>
      </c>
      <c r="W1209" s="138">
        <f>IF(OR(A1209&gt;=$C$13,B1209="Retired"),IF(V1209&gt;0,-V1209,U1209-'Model Inputs'!$B$18),"")</f>
        <v/>
      </c>
      <c r="X1209" s="138">
        <f>IF(AND($L$248&gt;0,A1209&gt;=$C$13),$L$248*(1+$C$25)^(A1209-$C$13),0)</f>
        <v/>
      </c>
      <c r="Y1209" s="138">
        <f>IF(OR($L$248&lt;=0,$C$17&lt;=0,A1209&lt;$C$13,MIN(MAX((A1209-$C$13+1)*12,0),$C$17*12)&gt;=$C$17*12),0,IF($C$16=0,MAX(MAX($L$248*(1-$C$15),0)-(IF($C$17&lt;=0,0,IF($C$16=0,MAX($L$248*(1-$C$15),0)/$C$17,-PMT($C$16/12,$C$17*12,MAX($L$248*(1-$C$15),0))*12))/12)*MIN(MAX((A1209-$C$13+1)*12,0),$C$17*12),0),MAX(MAX($L$248*(1-$C$15),0)*(1+$C$16/12)^MIN(MAX((A1209-$C$13+1)*12,0),$C$17*12)-(IF($C$17&lt;=0,0,IF($C$16=0,MAX($L$248*(1-$C$15),0)/$C$17,-PMT($C$16/12,$C$17*12,MAX($L$248*(1-$C$15),0))*12))/12)*(((1+$C$16/12)^MIN(MAX((A1209-$C$13+1)*12,0),$C$17*12)-1)/($C$16/12)),0)))</f>
        <v/>
      </c>
      <c r="Z1209" s="138">
        <f>MAX(X1209-Y1209,0)</f>
        <v/>
      </c>
      <c r="AA1209" s="139">
        <f>U1209+Z1209</f>
        <v/>
      </c>
      <c r="AB1209" s="5" t="n"/>
      <c r="AC1209" s="5" t="n"/>
      <c r="AD1209" s="5" t="n"/>
      <c r="AE1209" s="5" t="n"/>
      <c r="AF1209" s="5" t="n"/>
      <c r="AG1209" s="5" t="n"/>
    </row>
    <row r="1210" outlineLevel="1" s="326">
      <c r="A1210" s="140" t="n">
        <v>30</v>
      </c>
      <c r="B1210" s="40">
        <f>B109</f>
        <v/>
      </c>
      <c r="C1210" s="141">
        <f>D109</f>
        <v/>
      </c>
      <c r="D1210" s="141">
        <f>I109</f>
        <v/>
      </c>
      <c r="E1210" s="141">
        <f>J109</f>
        <v/>
      </c>
      <c r="F1210" s="141">
        <f>K109</f>
        <v/>
      </c>
      <c r="G1210" s="138">
        <f>IF(AND($L$248&gt;0,A1210=$C$13),$L$248*($C$15+$C$18),0)+IF(AND($L$248&gt;0,A1210=$C$13),$C$24,0)</f>
        <v/>
      </c>
      <c r="H1210" s="138">
        <f>IF(OR($L$248&lt;=0,A1210&lt;$C$13),0,IF(AND($L$248&gt;0,$C$17&gt;0,A1210&gt;=$C$13,A1210&lt;($C$13+$C$17)),IF($C$17&lt;=0,0,IF($C$16=0,MAX($L$248*(1-$C$15),0)/$C$17,-PMT($C$16/12,$C$17*12,MAX($L$248*(1-$C$15),0))*12)),0)+X1210*($C$19+$C$20+$C$21)+$C$22+$C$23)</f>
        <v/>
      </c>
      <c r="I1210" s="138">
        <f>IF(B1210="Working",MIN(MAX(D1210-E1210-F1210-G1210-H1210,0),'Tax Assumptions'!$B$20),0)</f>
        <v/>
      </c>
      <c r="J1210" s="138">
        <f>IF(B1210="Working",D1210-E1210-F1210-I1210-G1210-H1210,-L1210)</f>
        <v/>
      </c>
      <c r="K1210" s="141">
        <f>IF(B1210="Retired",$N$248+G1210+H1210,0)</f>
        <v/>
      </c>
      <c r="L1210" s="141">
        <f>M1210+N1210+O1210+P1210</f>
        <v/>
      </c>
      <c r="M1210" s="141">
        <f>IF(B1210="Retired",MIN(((Q1209)*(1+$C$10)+IF(B1210="Working",J1210,0)),K1210),0)</f>
        <v/>
      </c>
      <c r="N1210" s="141">
        <f>IF(B1210="Retired",MIN(MAX(K1210-M1210,0),((R1209)*(1+$C$10)+IF(B1210="Working",E109,0))),0)</f>
        <v/>
      </c>
      <c r="O1210" s="141">
        <f>IF(B1210="Retired",MIN(MAX(K1210-M1210-N1210,0),((S1209)*(1+$C$10)+IF(B1210="Working",I1210,0))),0)</f>
        <v/>
      </c>
      <c r="P1210" s="141">
        <f>IF(B1210="Retired",MIN(MAX(K1210-M1210-N1210-O1210,0),((T1209)*(1+$C$10)+IF(B1210="Working",F109,0))),0)</f>
        <v/>
      </c>
      <c r="Q1210" s="138">
        <f>MAX(((Q1209)*(1+$C$10)+IF(B1210="Working",J1210,0))-M1210,0)</f>
        <v/>
      </c>
      <c r="R1210" s="138">
        <f>MAX(((R1209)*(1+$C$10)+IF(B1210="Working",E109,0))-N1210,0)</f>
        <v/>
      </c>
      <c r="S1210" s="138">
        <f>MAX(((S1209)*(1+$C$10)+IF(B1210="Working",I1210,0))-O1210,0)</f>
        <v/>
      </c>
      <c r="T1210" s="138">
        <f>MAX(((T1209)*(1+$C$10)+IF(B1210="Working",F109,0))-P1210,0)</f>
        <v/>
      </c>
      <c r="U1210" s="138">
        <f>Q1210+R1210+S1210+T1210</f>
        <v/>
      </c>
      <c r="V1210" s="138">
        <f>IF(B1210="Working",MAX(-(((Q1209)*(1+$C$10)+IF(B1210="Working",J1210,0))),0),MAX(K1210-L1210,0))</f>
        <v/>
      </c>
      <c r="W1210" s="138">
        <f>IF(OR(A1210&gt;=$C$13,B1210="Retired"),IF(V1210&gt;0,-V1210,U1210-'Model Inputs'!$B$18),"")</f>
        <v/>
      </c>
      <c r="X1210" s="138">
        <f>IF(AND($L$248&gt;0,A1210&gt;=$C$13),$L$248*(1+$C$25)^(A1210-$C$13),0)</f>
        <v/>
      </c>
      <c r="Y1210" s="138">
        <f>IF(OR($L$248&lt;=0,$C$17&lt;=0,A1210&lt;$C$13,MIN(MAX((A1210-$C$13+1)*12,0),$C$17*12)&gt;=$C$17*12),0,IF($C$16=0,MAX(MAX($L$248*(1-$C$15),0)-(IF($C$17&lt;=0,0,IF($C$16=0,MAX($L$248*(1-$C$15),0)/$C$17,-PMT($C$16/12,$C$17*12,MAX($L$248*(1-$C$15),0))*12))/12)*MIN(MAX((A1210-$C$13+1)*12,0),$C$17*12),0),MAX(MAX($L$248*(1-$C$15),0)*(1+$C$16/12)^MIN(MAX((A1210-$C$13+1)*12,0),$C$17*12)-(IF($C$17&lt;=0,0,IF($C$16=0,MAX($L$248*(1-$C$15),0)/$C$17,-PMT($C$16/12,$C$17*12,MAX($L$248*(1-$C$15),0))*12))/12)*(((1+$C$16/12)^MIN(MAX((A1210-$C$13+1)*12,0),$C$17*12)-1)/($C$16/12)),0)))</f>
        <v/>
      </c>
      <c r="Z1210" s="138">
        <f>MAX(X1210-Y1210,0)</f>
        <v/>
      </c>
      <c r="AA1210" s="142">
        <f>U1210+Z1210</f>
        <v/>
      </c>
      <c r="AB1210" s="5" t="n"/>
      <c r="AC1210" s="5" t="n"/>
      <c r="AD1210" s="5" t="n"/>
      <c r="AE1210" s="5" t="n"/>
      <c r="AF1210" s="5" t="n"/>
      <c r="AG1210" s="5" t="n"/>
    </row>
    <row r="1211" outlineLevel="1" s="326">
      <c r="A1211" s="136" t="n">
        <v>31</v>
      </c>
      <c r="B1211" s="72">
        <f>B110</f>
        <v/>
      </c>
      <c r="C1211" s="137">
        <f>D110</f>
        <v/>
      </c>
      <c r="D1211" s="137">
        <f>I110</f>
        <v/>
      </c>
      <c r="E1211" s="137">
        <f>J110</f>
        <v/>
      </c>
      <c r="F1211" s="137">
        <f>K110</f>
        <v/>
      </c>
      <c r="G1211" s="138">
        <f>IF(AND($L$248&gt;0,A1211=$C$13),$L$248*($C$15+$C$18),0)+IF(AND($L$248&gt;0,A1211=$C$13),$C$24,0)</f>
        <v/>
      </c>
      <c r="H1211" s="138">
        <f>IF(OR($L$248&lt;=0,A1211&lt;$C$13),0,IF(AND($L$248&gt;0,$C$17&gt;0,A1211&gt;=$C$13,A1211&lt;($C$13+$C$17)),IF($C$17&lt;=0,0,IF($C$16=0,MAX($L$248*(1-$C$15),0)/$C$17,-PMT($C$16/12,$C$17*12,MAX($L$248*(1-$C$15),0))*12)),0)+X1211*($C$19+$C$20+$C$21)+$C$22+$C$23)</f>
        <v/>
      </c>
      <c r="I1211" s="138">
        <f>IF(B1211="Working",MIN(MAX(D1211-E1211-F1211-G1211-H1211,0),'Tax Assumptions'!$B$20),0)</f>
        <v/>
      </c>
      <c r="J1211" s="138">
        <f>IF(B1211="Working",D1211-E1211-F1211-I1211-G1211-H1211,-L1211)</f>
        <v/>
      </c>
      <c r="K1211" s="137">
        <f>IF(B1211="Retired",$N$248+G1211+H1211,0)</f>
        <v/>
      </c>
      <c r="L1211" s="137">
        <f>M1211+N1211+O1211+P1211</f>
        <v/>
      </c>
      <c r="M1211" s="137">
        <f>IF(B1211="Retired",MIN(((Q1210)*(1+$C$10)+IF(B1211="Working",J1211,0)),K1211),0)</f>
        <v/>
      </c>
      <c r="N1211" s="137">
        <f>IF(B1211="Retired",MIN(MAX(K1211-M1211,0),((R1210)*(1+$C$10)+IF(B1211="Working",E110,0))),0)</f>
        <v/>
      </c>
      <c r="O1211" s="137">
        <f>IF(B1211="Retired",MIN(MAX(K1211-M1211-N1211,0),((S1210)*(1+$C$10)+IF(B1211="Working",I1211,0))),0)</f>
        <v/>
      </c>
      <c r="P1211" s="137">
        <f>IF(B1211="Retired",MIN(MAX(K1211-M1211-N1211-O1211,0),((T1210)*(1+$C$10)+IF(B1211="Working",F110,0))),0)</f>
        <v/>
      </c>
      <c r="Q1211" s="138">
        <f>MAX(((Q1210)*(1+$C$10)+IF(B1211="Working",J1211,0))-M1211,0)</f>
        <v/>
      </c>
      <c r="R1211" s="138">
        <f>MAX(((R1210)*(1+$C$10)+IF(B1211="Working",E110,0))-N1211,0)</f>
        <v/>
      </c>
      <c r="S1211" s="138">
        <f>MAX(((S1210)*(1+$C$10)+IF(B1211="Working",I1211,0))-O1211,0)</f>
        <v/>
      </c>
      <c r="T1211" s="138">
        <f>MAX(((T1210)*(1+$C$10)+IF(B1211="Working",F110,0))-P1211,0)</f>
        <v/>
      </c>
      <c r="U1211" s="138">
        <f>Q1211+R1211+S1211+T1211</f>
        <v/>
      </c>
      <c r="V1211" s="138">
        <f>IF(B1211="Working",MAX(-(((Q1210)*(1+$C$10)+IF(B1211="Working",J1211,0))),0),MAX(K1211-L1211,0))</f>
        <v/>
      </c>
      <c r="W1211" s="138">
        <f>IF(OR(A1211&gt;=$C$13,B1211="Retired"),IF(V1211&gt;0,-V1211,U1211-'Model Inputs'!$B$18),"")</f>
        <v/>
      </c>
      <c r="X1211" s="138">
        <f>IF(AND($L$248&gt;0,A1211&gt;=$C$13),$L$248*(1+$C$25)^(A1211-$C$13),0)</f>
        <v/>
      </c>
      <c r="Y1211" s="138">
        <f>IF(OR($L$248&lt;=0,$C$17&lt;=0,A1211&lt;$C$13,MIN(MAX((A1211-$C$13+1)*12,0),$C$17*12)&gt;=$C$17*12),0,IF($C$16=0,MAX(MAX($L$248*(1-$C$15),0)-(IF($C$17&lt;=0,0,IF($C$16=0,MAX($L$248*(1-$C$15),0)/$C$17,-PMT($C$16/12,$C$17*12,MAX($L$248*(1-$C$15),0))*12))/12)*MIN(MAX((A1211-$C$13+1)*12,0),$C$17*12),0),MAX(MAX($L$248*(1-$C$15),0)*(1+$C$16/12)^MIN(MAX((A1211-$C$13+1)*12,0),$C$17*12)-(IF($C$17&lt;=0,0,IF($C$16=0,MAX($L$248*(1-$C$15),0)/$C$17,-PMT($C$16/12,$C$17*12,MAX($L$248*(1-$C$15),0))*12))/12)*(((1+$C$16/12)^MIN(MAX((A1211-$C$13+1)*12,0),$C$17*12)-1)/($C$16/12)),0)))</f>
        <v/>
      </c>
      <c r="Z1211" s="138">
        <f>MAX(X1211-Y1211,0)</f>
        <v/>
      </c>
      <c r="AA1211" s="139">
        <f>U1211+Z1211</f>
        <v/>
      </c>
      <c r="AB1211" s="5" t="n"/>
      <c r="AC1211" s="5" t="n"/>
      <c r="AD1211" s="5" t="n"/>
      <c r="AE1211" s="5" t="n"/>
      <c r="AF1211" s="5" t="n"/>
      <c r="AG1211" s="5" t="n"/>
    </row>
    <row r="1212" outlineLevel="1" s="326">
      <c r="A1212" s="140" t="n">
        <v>32</v>
      </c>
      <c r="B1212" s="40">
        <f>B111</f>
        <v/>
      </c>
      <c r="C1212" s="141">
        <f>D111</f>
        <v/>
      </c>
      <c r="D1212" s="141">
        <f>I111</f>
        <v/>
      </c>
      <c r="E1212" s="141">
        <f>J111</f>
        <v/>
      </c>
      <c r="F1212" s="141">
        <f>K111</f>
        <v/>
      </c>
      <c r="G1212" s="138">
        <f>IF(AND($L$248&gt;0,A1212=$C$13),$L$248*($C$15+$C$18),0)+IF(AND($L$248&gt;0,A1212=$C$13),$C$24,0)</f>
        <v/>
      </c>
      <c r="H1212" s="138">
        <f>IF(OR($L$248&lt;=0,A1212&lt;$C$13),0,IF(AND($L$248&gt;0,$C$17&gt;0,A1212&gt;=$C$13,A1212&lt;($C$13+$C$17)),IF($C$17&lt;=0,0,IF($C$16=0,MAX($L$248*(1-$C$15),0)/$C$17,-PMT($C$16/12,$C$17*12,MAX($L$248*(1-$C$15),0))*12)),0)+X1212*($C$19+$C$20+$C$21)+$C$22+$C$23)</f>
        <v/>
      </c>
      <c r="I1212" s="138">
        <f>IF(B1212="Working",MIN(MAX(D1212-E1212-F1212-G1212-H1212,0),'Tax Assumptions'!$B$20),0)</f>
        <v/>
      </c>
      <c r="J1212" s="138">
        <f>IF(B1212="Working",D1212-E1212-F1212-I1212-G1212-H1212,-L1212)</f>
        <v/>
      </c>
      <c r="K1212" s="141">
        <f>IF(B1212="Retired",$N$248+G1212+H1212,0)</f>
        <v/>
      </c>
      <c r="L1212" s="141">
        <f>M1212+N1212+O1212+P1212</f>
        <v/>
      </c>
      <c r="M1212" s="141">
        <f>IF(B1212="Retired",MIN(((Q1211)*(1+$C$10)+IF(B1212="Working",J1212,0)),K1212),0)</f>
        <v/>
      </c>
      <c r="N1212" s="141">
        <f>IF(B1212="Retired",MIN(MAX(K1212-M1212,0),((R1211)*(1+$C$10)+IF(B1212="Working",E111,0))),0)</f>
        <v/>
      </c>
      <c r="O1212" s="141">
        <f>IF(B1212="Retired",MIN(MAX(K1212-M1212-N1212,0),((S1211)*(1+$C$10)+IF(B1212="Working",I1212,0))),0)</f>
        <v/>
      </c>
      <c r="P1212" s="141">
        <f>IF(B1212="Retired",MIN(MAX(K1212-M1212-N1212-O1212,0),((T1211)*(1+$C$10)+IF(B1212="Working",F111,0))),0)</f>
        <v/>
      </c>
      <c r="Q1212" s="138">
        <f>MAX(((Q1211)*(1+$C$10)+IF(B1212="Working",J1212,0))-M1212,0)</f>
        <v/>
      </c>
      <c r="R1212" s="138">
        <f>MAX(((R1211)*(1+$C$10)+IF(B1212="Working",E111,0))-N1212,0)</f>
        <v/>
      </c>
      <c r="S1212" s="138">
        <f>MAX(((S1211)*(1+$C$10)+IF(B1212="Working",I1212,0))-O1212,0)</f>
        <v/>
      </c>
      <c r="T1212" s="138">
        <f>MAX(((T1211)*(1+$C$10)+IF(B1212="Working",F111,0))-P1212,0)</f>
        <v/>
      </c>
      <c r="U1212" s="138">
        <f>Q1212+R1212+S1212+T1212</f>
        <v/>
      </c>
      <c r="V1212" s="138">
        <f>IF(B1212="Working",MAX(-(((Q1211)*(1+$C$10)+IF(B1212="Working",J1212,0))),0),MAX(K1212-L1212,0))</f>
        <v/>
      </c>
      <c r="W1212" s="138">
        <f>IF(OR(A1212&gt;=$C$13,B1212="Retired"),IF(V1212&gt;0,-V1212,U1212-'Model Inputs'!$B$18),"")</f>
        <v/>
      </c>
      <c r="X1212" s="138">
        <f>IF(AND($L$248&gt;0,A1212&gt;=$C$13),$L$248*(1+$C$25)^(A1212-$C$13),0)</f>
        <v/>
      </c>
      <c r="Y1212" s="138">
        <f>IF(OR($L$248&lt;=0,$C$17&lt;=0,A1212&lt;$C$13,MIN(MAX((A1212-$C$13+1)*12,0),$C$17*12)&gt;=$C$17*12),0,IF($C$16=0,MAX(MAX($L$248*(1-$C$15),0)-(IF($C$17&lt;=0,0,IF($C$16=0,MAX($L$248*(1-$C$15),0)/$C$17,-PMT($C$16/12,$C$17*12,MAX($L$248*(1-$C$15),0))*12))/12)*MIN(MAX((A1212-$C$13+1)*12,0),$C$17*12),0),MAX(MAX($L$248*(1-$C$15),0)*(1+$C$16/12)^MIN(MAX((A1212-$C$13+1)*12,0),$C$17*12)-(IF($C$17&lt;=0,0,IF($C$16=0,MAX($L$248*(1-$C$15),0)/$C$17,-PMT($C$16/12,$C$17*12,MAX($L$248*(1-$C$15),0))*12))/12)*(((1+$C$16/12)^MIN(MAX((A1212-$C$13+1)*12,0),$C$17*12)-1)/($C$16/12)),0)))</f>
        <v/>
      </c>
      <c r="Z1212" s="138">
        <f>MAX(X1212-Y1212,0)</f>
        <v/>
      </c>
      <c r="AA1212" s="142">
        <f>U1212+Z1212</f>
        <v/>
      </c>
      <c r="AB1212" s="5" t="n"/>
      <c r="AC1212" s="5" t="n"/>
      <c r="AD1212" s="5" t="n"/>
      <c r="AE1212" s="5" t="n"/>
      <c r="AF1212" s="5" t="n"/>
      <c r="AG1212" s="5" t="n"/>
    </row>
    <row r="1213" outlineLevel="1" s="326">
      <c r="A1213" s="136" t="n">
        <v>33</v>
      </c>
      <c r="B1213" s="72">
        <f>B112</f>
        <v/>
      </c>
      <c r="C1213" s="137">
        <f>D112</f>
        <v/>
      </c>
      <c r="D1213" s="137">
        <f>I112</f>
        <v/>
      </c>
      <c r="E1213" s="137">
        <f>J112</f>
        <v/>
      </c>
      <c r="F1213" s="137">
        <f>K112</f>
        <v/>
      </c>
      <c r="G1213" s="138">
        <f>IF(AND($L$248&gt;0,A1213=$C$13),$L$248*($C$15+$C$18),0)+IF(AND($L$248&gt;0,A1213=$C$13),$C$24,0)</f>
        <v/>
      </c>
      <c r="H1213" s="138">
        <f>IF(OR($L$248&lt;=0,A1213&lt;$C$13),0,IF(AND($L$248&gt;0,$C$17&gt;0,A1213&gt;=$C$13,A1213&lt;($C$13+$C$17)),IF($C$17&lt;=0,0,IF($C$16=0,MAX($L$248*(1-$C$15),0)/$C$17,-PMT($C$16/12,$C$17*12,MAX($L$248*(1-$C$15),0))*12)),0)+X1213*($C$19+$C$20+$C$21)+$C$22+$C$23)</f>
        <v/>
      </c>
      <c r="I1213" s="138">
        <f>IF(B1213="Working",MIN(MAX(D1213-E1213-F1213-G1213-H1213,0),'Tax Assumptions'!$B$20),0)</f>
        <v/>
      </c>
      <c r="J1213" s="138">
        <f>IF(B1213="Working",D1213-E1213-F1213-I1213-G1213-H1213,-L1213)</f>
        <v/>
      </c>
      <c r="K1213" s="137">
        <f>IF(B1213="Retired",$N$248+G1213+H1213,0)</f>
        <v/>
      </c>
      <c r="L1213" s="137">
        <f>M1213+N1213+O1213+P1213</f>
        <v/>
      </c>
      <c r="M1213" s="137">
        <f>IF(B1213="Retired",MIN(((Q1212)*(1+$C$10)+IF(B1213="Working",J1213,0)),K1213),0)</f>
        <v/>
      </c>
      <c r="N1213" s="137">
        <f>IF(B1213="Retired",MIN(MAX(K1213-M1213,0),((R1212)*(1+$C$10)+IF(B1213="Working",E112,0))),0)</f>
        <v/>
      </c>
      <c r="O1213" s="137">
        <f>IF(B1213="Retired",MIN(MAX(K1213-M1213-N1213,0),((S1212)*(1+$C$10)+IF(B1213="Working",I1213,0))),0)</f>
        <v/>
      </c>
      <c r="P1213" s="137">
        <f>IF(B1213="Retired",MIN(MAX(K1213-M1213-N1213-O1213,0),((T1212)*(1+$C$10)+IF(B1213="Working",F112,0))),0)</f>
        <v/>
      </c>
      <c r="Q1213" s="138">
        <f>MAX(((Q1212)*(1+$C$10)+IF(B1213="Working",J1213,0))-M1213,0)</f>
        <v/>
      </c>
      <c r="R1213" s="138">
        <f>MAX(((R1212)*(1+$C$10)+IF(B1213="Working",E112,0))-N1213,0)</f>
        <v/>
      </c>
      <c r="S1213" s="138">
        <f>MAX(((S1212)*(1+$C$10)+IF(B1213="Working",I1213,0))-O1213,0)</f>
        <v/>
      </c>
      <c r="T1213" s="138">
        <f>MAX(((T1212)*(1+$C$10)+IF(B1213="Working",F112,0))-P1213,0)</f>
        <v/>
      </c>
      <c r="U1213" s="138">
        <f>Q1213+R1213+S1213+T1213</f>
        <v/>
      </c>
      <c r="V1213" s="138">
        <f>IF(B1213="Working",MAX(-(((Q1212)*(1+$C$10)+IF(B1213="Working",J1213,0))),0),MAX(K1213-L1213,0))</f>
        <v/>
      </c>
      <c r="W1213" s="138">
        <f>IF(OR(A1213&gt;=$C$13,B1213="Retired"),IF(V1213&gt;0,-V1213,U1213-'Model Inputs'!$B$18),"")</f>
        <v/>
      </c>
      <c r="X1213" s="138">
        <f>IF(AND($L$248&gt;0,A1213&gt;=$C$13),$L$248*(1+$C$25)^(A1213-$C$13),0)</f>
        <v/>
      </c>
      <c r="Y1213" s="138">
        <f>IF(OR($L$248&lt;=0,$C$17&lt;=0,A1213&lt;$C$13,MIN(MAX((A1213-$C$13+1)*12,0),$C$17*12)&gt;=$C$17*12),0,IF($C$16=0,MAX(MAX($L$248*(1-$C$15),0)-(IF($C$17&lt;=0,0,IF($C$16=0,MAX($L$248*(1-$C$15),0)/$C$17,-PMT($C$16/12,$C$17*12,MAX($L$248*(1-$C$15),0))*12))/12)*MIN(MAX((A1213-$C$13+1)*12,0),$C$17*12),0),MAX(MAX($L$248*(1-$C$15),0)*(1+$C$16/12)^MIN(MAX((A1213-$C$13+1)*12,0),$C$17*12)-(IF($C$17&lt;=0,0,IF($C$16=0,MAX($L$248*(1-$C$15),0)/$C$17,-PMT($C$16/12,$C$17*12,MAX($L$248*(1-$C$15),0))*12))/12)*(((1+$C$16/12)^MIN(MAX((A1213-$C$13+1)*12,0),$C$17*12)-1)/($C$16/12)),0)))</f>
        <v/>
      </c>
      <c r="Z1213" s="138">
        <f>MAX(X1213-Y1213,0)</f>
        <v/>
      </c>
      <c r="AA1213" s="139">
        <f>U1213+Z1213</f>
        <v/>
      </c>
      <c r="AB1213" s="5" t="n"/>
      <c r="AC1213" s="5" t="n"/>
      <c r="AD1213" s="5" t="n"/>
      <c r="AE1213" s="5" t="n"/>
      <c r="AF1213" s="5" t="n"/>
      <c r="AG1213" s="5" t="n"/>
    </row>
    <row r="1214" outlineLevel="1" s="326">
      <c r="A1214" s="140" t="n">
        <v>34</v>
      </c>
      <c r="B1214" s="40">
        <f>B113</f>
        <v/>
      </c>
      <c r="C1214" s="141">
        <f>D113</f>
        <v/>
      </c>
      <c r="D1214" s="141">
        <f>I113</f>
        <v/>
      </c>
      <c r="E1214" s="141">
        <f>J113</f>
        <v/>
      </c>
      <c r="F1214" s="141">
        <f>K113</f>
        <v/>
      </c>
      <c r="G1214" s="138">
        <f>IF(AND($L$248&gt;0,A1214=$C$13),$L$248*($C$15+$C$18),0)+IF(AND($L$248&gt;0,A1214=$C$13),$C$24,0)</f>
        <v/>
      </c>
      <c r="H1214" s="138">
        <f>IF(OR($L$248&lt;=0,A1214&lt;$C$13),0,IF(AND($L$248&gt;0,$C$17&gt;0,A1214&gt;=$C$13,A1214&lt;($C$13+$C$17)),IF($C$17&lt;=0,0,IF($C$16=0,MAX($L$248*(1-$C$15),0)/$C$17,-PMT($C$16/12,$C$17*12,MAX($L$248*(1-$C$15),0))*12)),0)+X1214*($C$19+$C$20+$C$21)+$C$22+$C$23)</f>
        <v/>
      </c>
      <c r="I1214" s="138">
        <f>IF(B1214="Working",MIN(MAX(D1214-E1214-F1214-G1214-H1214,0),'Tax Assumptions'!$B$20),0)</f>
        <v/>
      </c>
      <c r="J1214" s="138">
        <f>IF(B1214="Working",D1214-E1214-F1214-I1214-G1214-H1214,-L1214)</f>
        <v/>
      </c>
      <c r="K1214" s="141">
        <f>IF(B1214="Retired",$N$248+G1214+H1214,0)</f>
        <v/>
      </c>
      <c r="L1214" s="141">
        <f>M1214+N1214+O1214+P1214</f>
        <v/>
      </c>
      <c r="M1214" s="141">
        <f>IF(B1214="Retired",MIN(((Q1213)*(1+$C$10)+IF(B1214="Working",J1214,0)),K1214),0)</f>
        <v/>
      </c>
      <c r="N1214" s="141">
        <f>IF(B1214="Retired",MIN(MAX(K1214-M1214,0),((R1213)*(1+$C$10)+IF(B1214="Working",E113,0))),0)</f>
        <v/>
      </c>
      <c r="O1214" s="141">
        <f>IF(B1214="Retired",MIN(MAX(K1214-M1214-N1214,0),((S1213)*(1+$C$10)+IF(B1214="Working",I1214,0))),0)</f>
        <v/>
      </c>
      <c r="P1214" s="141">
        <f>IF(B1214="Retired",MIN(MAX(K1214-M1214-N1214-O1214,0),((T1213)*(1+$C$10)+IF(B1214="Working",F113,0))),0)</f>
        <v/>
      </c>
      <c r="Q1214" s="138">
        <f>MAX(((Q1213)*(1+$C$10)+IF(B1214="Working",J1214,0))-M1214,0)</f>
        <v/>
      </c>
      <c r="R1214" s="138">
        <f>MAX(((R1213)*(1+$C$10)+IF(B1214="Working",E113,0))-N1214,0)</f>
        <v/>
      </c>
      <c r="S1214" s="138">
        <f>MAX(((S1213)*(1+$C$10)+IF(B1214="Working",I1214,0))-O1214,0)</f>
        <v/>
      </c>
      <c r="T1214" s="138">
        <f>MAX(((T1213)*(1+$C$10)+IF(B1214="Working",F113,0))-P1214,0)</f>
        <v/>
      </c>
      <c r="U1214" s="138">
        <f>Q1214+R1214+S1214+T1214</f>
        <v/>
      </c>
      <c r="V1214" s="138">
        <f>IF(B1214="Working",MAX(-(((Q1213)*(1+$C$10)+IF(B1214="Working",J1214,0))),0),MAX(K1214-L1214,0))</f>
        <v/>
      </c>
      <c r="W1214" s="138">
        <f>IF(OR(A1214&gt;=$C$13,B1214="Retired"),IF(V1214&gt;0,-V1214,U1214-'Model Inputs'!$B$18),"")</f>
        <v/>
      </c>
      <c r="X1214" s="138">
        <f>IF(AND($L$248&gt;0,A1214&gt;=$C$13),$L$248*(1+$C$25)^(A1214-$C$13),0)</f>
        <v/>
      </c>
      <c r="Y1214" s="138">
        <f>IF(OR($L$248&lt;=0,$C$17&lt;=0,A1214&lt;$C$13,MIN(MAX((A1214-$C$13+1)*12,0),$C$17*12)&gt;=$C$17*12),0,IF($C$16=0,MAX(MAX($L$248*(1-$C$15),0)-(IF($C$17&lt;=0,0,IF($C$16=0,MAX($L$248*(1-$C$15),0)/$C$17,-PMT($C$16/12,$C$17*12,MAX($L$248*(1-$C$15),0))*12))/12)*MIN(MAX((A1214-$C$13+1)*12,0),$C$17*12),0),MAX(MAX($L$248*(1-$C$15),0)*(1+$C$16/12)^MIN(MAX((A1214-$C$13+1)*12,0),$C$17*12)-(IF($C$17&lt;=0,0,IF($C$16=0,MAX($L$248*(1-$C$15),0)/$C$17,-PMT($C$16/12,$C$17*12,MAX($L$248*(1-$C$15),0))*12))/12)*(((1+$C$16/12)^MIN(MAX((A1214-$C$13+1)*12,0),$C$17*12)-1)/($C$16/12)),0)))</f>
        <v/>
      </c>
      <c r="Z1214" s="138">
        <f>MAX(X1214-Y1214,0)</f>
        <v/>
      </c>
      <c r="AA1214" s="142">
        <f>U1214+Z1214</f>
        <v/>
      </c>
      <c r="AB1214" s="5" t="n"/>
      <c r="AC1214" s="5" t="n"/>
      <c r="AD1214" s="5" t="n"/>
      <c r="AE1214" s="5" t="n"/>
      <c r="AF1214" s="5" t="n"/>
      <c r="AG1214" s="5" t="n"/>
    </row>
    <row r="1215" outlineLevel="1" s="326">
      <c r="A1215" s="136" t="n">
        <v>35</v>
      </c>
      <c r="B1215" s="72">
        <f>B114</f>
        <v/>
      </c>
      <c r="C1215" s="137">
        <f>D114</f>
        <v/>
      </c>
      <c r="D1215" s="137">
        <f>I114</f>
        <v/>
      </c>
      <c r="E1215" s="137">
        <f>J114</f>
        <v/>
      </c>
      <c r="F1215" s="137">
        <f>K114</f>
        <v/>
      </c>
      <c r="G1215" s="138">
        <f>IF(AND($L$248&gt;0,A1215=$C$13),$L$248*($C$15+$C$18),0)+IF(AND($L$248&gt;0,A1215=$C$13),$C$24,0)</f>
        <v/>
      </c>
      <c r="H1215" s="138">
        <f>IF(OR($L$248&lt;=0,A1215&lt;$C$13),0,IF(AND($L$248&gt;0,$C$17&gt;0,A1215&gt;=$C$13,A1215&lt;($C$13+$C$17)),IF($C$17&lt;=0,0,IF($C$16=0,MAX($L$248*(1-$C$15),0)/$C$17,-PMT($C$16/12,$C$17*12,MAX($L$248*(1-$C$15),0))*12)),0)+X1215*($C$19+$C$20+$C$21)+$C$22+$C$23)</f>
        <v/>
      </c>
      <c r="I1215" s="138">
        <f>IF(B1215="Working",MIN(MAX(D1215-E1215-F1215-G1215-H1215,0),'Tax Assumptions'!$B$20),0)</f>
        <v/>
      </c>
      <c r="J1215" s="138">
        <f>IF(B1215="Working",D1215-E1215-F1215-I1215-G1215-H1215,-L1215)</f>
        <v/>
      </c>
      <c r="K1215" s="137">
        <f>IF(B1215="Retired",$N$248+G1215+H1215,0)</f>
        <v/>
      </c>
      <c r="L1215" s="137">
        <f>M1215+N1215+O1215+P1215</f>
        <v/>
      </c>
      <c r="M1215" s="137">
        <f>IF(B1215="Retired",MIN(((Q1214)*(1+$C$10)+IF(B1215="Working",J1215,0)),K1215),0)</f>
        <v/>
      </c>
      <c r="N1215" s="137">
        <f>IF(B1215="Retired",MIN(MAX(K1215-M1215,0),((R1214)*(1+$C$10)+IF(B1215="Working",E114,0))),0)</f>
        <v/>
      </c>
      <c r="O1215" s="137">
        <f>IF(B1215="Retired",MIN(MAX(K1215-M1215-N1215,0),((S1214)*(1+$C$10)+IF(B1215="Working",I1215,0))),0)</f>
        <v/>
      </c>
      <c r="P1215" s="137">
        <f>IF(B1215="Retired",MIN(MAX(K1215-M1215-N1215-O1215,0),((T1214)*(1+$C$10)+IF(B1215="Working",F114,0))),0)</f>
        <v/>
      </c>
      <c r="Q1215" s="138">
        <f>MAX(((Q1214)*(1+$C$10)+IF(B1215="Working",J1215,0))-M1215,0)</f>
        <v/>
      </c>
      <c r="R1215" s="138">
        <f>MAX(((R1214)*(1+$C$10)+IF(B1215="Working",E114,0))-N1215,0)</f>
        <v/>
      </c>
      <c r="S1215" s="138">
        <f>MAX(((S1214)*(1+$C$10)+IF(B1215="Working",I1215,0))-O1215,0)</f>
        <v/>
      </c>
      <c r="T1215" s="138">
        <f>MAX(((T1214)*(1+$C$10)+IF(B1215="Working",F114,0))-P1215,0)</f>
        <v/>
      </c>
      <c r="U1215" s="138">
        <f>Q1215+R1215+S1215+T1215</f>
        <v/>
      </c>
      <c r="V1215" s="138">
        <f>IF(B1215="Working",MAX(-(((Q1214)*(1+$C$10)+IF(B1215="Working",J1215,0))),0),MAX(K1215-L1215,0))</f>
        <v/>
      </c>
      <c r="W1215" s="138">
        <f>IF(OR(A1215&gt;=$C$13,B1215="Retired"),IF(V1215&gt;0,-V1215,U1215-'Model Inputs'!$B$18),"")</f>
        <v/>
      </c>
      <c r="X1215" s="138">
        <f>IF(AND($L$248&gt;0,A1215&gt;=$C$13),$L$248*(1+$C$25)^(A1215-$C$13),0)</f>
        <v/>
      </c>
      <c r="Y1215" s="138">
        <f>IF(OR($L$248&lt;=0,$C$17&lt;=0,A1215&lt;$C$13,MIN(MAX((A1215-$C$13+1)*12,0),$C$17*12)&gt;=$C$17*12),0,IF($C$16=0,MAX(MAX($L$248*(1-$C$15),0)-(IF($C$17&lt;=0,0,IF($C$16=0,MAX($L$248*(1-$C$15),0)/$C$17,-PMT($C$16/12,$C$17*12,MAX($L$248*(1-$C$15),0))*12))/12)*MIN(MAX((A1215-$C$13+1)*12,0),$C$17*12),0),MAX(MAX($L$248*(1-$C$15),0)*(1+$C$16/12)^MIN(MAX((A1215-$C$13+1)*12,0),$C$17*12)-(IF($C$17&lt;=0,0,IF($C$16=0,MAX($L$248*(1-$C$15),0)/$C$17,-PMT($C$16/12,$C$17*12,MAX($L$248*(1-$C$15),0))*12))/12)*(((1+$C$16/12)^MIN(MAX((A1215-$C$13+1)*12,0),$C$17*12)-1)/($C$16/12)),0)))</f>
        <v/>
      </c>
      <c r="Z1215" s="138">
        <f>MAX(X1215-Y1215,0)</f>
        <v/>
      </c>
      <c r="AA1215" s="139">
        <f>U1215+Z1215</f>
        <v/>
      </c>
      <c r="AB1215" s="5" t="n"/>
      <c r="AC1215" s="5" t="n"/>
      <c r="AD1215" s="5" t="n"/>
      <c r="AE1215" s="5" t="n"/>
      <c r="AF1215" s="5" t="n"/>
      <c r="AG1215" s="5" t="n"/>
    </row>
    <row r="1216" outlineLevel="1" s="326">
      <c r="A1216" s="140" t="n">
        <v>36</v>
      </c>
      <c r="B1216" s="40">
        <f>B115</f>
        <v/>
      </c>
      <c r="C1216" s="141">
        <f>D115</f>
        <v/>
      </c>
      <c r="D1216" s="141">
        <f>I115</f>
        <v/>
      </c>
      <c r="E1216" s="141">
        <f>J115</f>
        <v/>
      </c>
      <c r="F1216" s="141">
        <f>K115</f>
        <v/>
      </c>
      <c r="G1216" s="138">
        <f>IF(AND($L$248&gt;0,A1216=$C$13),$L$248*($C$15+$C$18),0)+IF(AND($L$248&gt;0,A1216=$C$13),$C$24,0)</f>
        <v/>
      </c>
      <c r="H1216" s="138">
        <f>IF(OR($L$248&lt;=0,A1216&lt;$C$13),0,IF(AND($L$248&gt;0,$C$17&gt;0,A1216&gt;=$C$13,A1216&lt;($C$13+$C$17)),IF($C$17&lt;=0,0,IF($C$16=0,MAX($L$248*(1-$C$15),0)/$C$17,-PMT($C$16/12,$C$17*12,MAX($L$248*(1-$C$15),0))*12)),0)+X1216*($C$19+$C$20+$C$21)+$C$22+$C$23)</f>
        <v/>
      </c>
      <c r="I1216" s="138">
        <f>IF(B1216="Working",MIN(MAX(D1216-E1216-F1216-G1216-H1216,0),'Tax Assumptions'!$B$20),0)</f>
        <v/>
      </c>
      <c r="J1216" s="138">
        <f>IF(B1216="Working",D1216-E1216-F1216-I1216-G1216-H1216,-L1216)</f>
        <v/>
      </c>
      <c r="K1216" s="141">
        <f>IF(B1216="Retired",$N$248+G1216+H1216,0)</f>
        <v/>
      </c>
      <c r="L1216" s="141">
        <f>M1216+N1216+O1216+P1216</f>
        <v/>
      </c>
      <c r="M1216" s="141">
        <f>IF(B1216="Retired",MIN(((Q1215)*(1+$C$10)+IF(B1216="Working",J1216,0)),K1216),0)</f>
        <v/>
      </c>
      <c r="N1216" s="141">
        <f>IF(B1216="Retired",MIN(MAX(K1216-M1216,0),((R1215)*(1+$C$10)+IF(B1216="Working",E115,0))),0)</f>
        <v/>
      </c>
      <c r="O1216" s="141">
        <f>IF(B1216="Retired",MIN(MAX(K1216-M1216-N1216,0),((S1215)*(1+$C$10)+IF(B1216="Working",I1216,0))),0)</f>
        <v/>
      </c>
      <c r="P1216" s="141">
        <f>IF(B1216="Retired",MIN(MAX(K1216-M1216-N1216-O1216,0),((T1215)*(1+$C$10)+IF(B1216="Working",F115,0))),0)</f>
        <v/>
      </c>
      <c r="Q1216" s="138">
        <f>MAX(((Q1215)*(1+$C$10)+IF(B1216="Working",J1216,0))-M1216,0)</f>
        <v/>
      </c>
      <c r="R1216" s="138">
        <f>MAX(((R1215)*(1+$C$10)+IF(B1216="Working",E115,0))-N1216,0)</f>
        <v/>
      </c>
      <c r="S1216" s="138">
        <f>MAX(((S1215)*(1+$C$10)+IF(B1216="Working",I1216,0))-O1216,0)</f>
        <v/>
      </c>
      <c r="T1216" s="138">
        <f>MAX(((T1215)*(1+$C$10)+IF(B1216="Working",F115,0))-P1216,0)</f>
        <v/>
      </c>
      <c r="U1216" s="138">
        <f>Q1216+R1216+S1216+T1216</f>
        <v/>
      </c>
      <c r="V1216" s="138">
        <f>IF(B1216="Working",MAX(-(((Q1215)*(1+$C$10)+IF(B1216="Working",J1216,0))),0),MAX(K1216-L1216,0))</f>
        <v/>
      </c>
      <c r="W1216" s="138">
        <f>IF(OR(A1216&gt;=$C$13,B1216="Retired"),IF(V1216&gt;0,-V1216,U1216-'Model Inputs'!$B$18),"")</f>
        <v/>
      </c>
      <c r="X1216" s="138">
        <f>IF(AND($L$248&gt;0,A1216&gt;=$C$13),$L$248*(1+$C$25)^(A1216-$C$13),0)</f>
        <v/>
      </c>
      <c r="Y1216" s="138">
        <f>IF(OR($L$248&lt;=0,$C$17&lt;=0,A1216&lt;$C$13,MIN(MAX((A1216-$C$13+1)*12,0),$C$17*12)&gt;=$C$17*12),0,IF($C$16=0,MAX(MAX($L$248*(1-$C$15),0)-(IF($C$17&lt;=0,0,IF($C$16=0,MAX($L$248*(1-$C$15),0)/$C$17,-PMT($C$16/12,$C$17*12,MAX($L$248*(1-$C$15),0))*12))/12)*MIN(MAX((A1216-$C$13+1)*12,0),$C$17*12),0),MAX(MAX($L$248*(1-$C$15),0)*(1+$C$16/12)^MIN(MAX((A1216-$C$13+1)*12,0),$C$17*12)-(IF($C$17&lt;=0,0,IF($C$16=0,MAX($L$248*(1-$C$15),0)/$C$17,-PMT($C$16/12,$C$17*12,MAX($L$248*(1-$C$15),0))*12))/12)*(((1+$C$16/12)^MIN(MAX((A1216-$C$13+1)*12,0),$C$17*12)-1)/($C$16/12)),0)))</f>
        <v/>
      </c>
      <c r="Z1216" s="138">
        <f>MAX(X1216-Y1216,0)</f>
        <v/>
      </c>
      <c r="AA1216" s="142">
        <f>U1216+Z1216</f>
        <v/>
      </c>
      <c r="AB1216" s="5" t="n"/>
      <c r="AC1216" s="5" t="n"/>
      <c r="AD1216" s="5" t="n"/>
      <c r="AE1216" s="5" t="n"/>
      <c r="AF1216" s="5" t="n"/>
      <c r="AG1216" s="5" t="n"/>
    </row>
    <row r="1217" outlineLevel="1" s="326">
      <c r="A1217" s="136" t="n">
        <v>37</v>
      </c>
      <c r="B1217" s="72">
        <f>B116</f>
        <v/>
      </c>
      <c r="C1217" s="137">
        <f>D116</f>
        <v/>
      </c>
      <c r="D1217" s="137">
        <f>I116</f>
        <v/>
      </c>
      <c r="E1217" s="137">
        <f>J116</f>
        <v/>
      </c>
      <c r="F1217" s="137">
        <f>K116</f>
        <v/>
      </c>
      <c r="G1217" s="138">
        <f>IF(AND($L$248&gt;0,A1217=$C$13),$L$248*($C$15+$C$18),0)+IF(AND($L$248&gt;0,A1217=$C$13),$C$24,0)</f>
        <v/>
      </c>
      <c r="H1217" s="138">
        <f>IF(OR($L$248&lt;=0,A1217&lt;$C$13),0,IF(AND($L$248&gt;0,$C$17&gt;0,A1217&gt;=$C$13,A1217&lt;($C$13+$C$17)),IF($C$17&lt;=0,0,IF($C$16=0,MAX($L$248*(1-$C$15),0)/$C$17,-PMT($C$16/12,$C$17*12,MAX($L$248*(1-$C$15),0))*12)),0)+X1217*($C$19+$C$20+$C$21)+$C$22+$C$23)</f>
        <v/>
      </c>
      <c r="I1217" s="138">
        <f>IF(B1217="Working",MIN(MAX(D1217-E1217-F1217-G1217-H1217,0),'Tax Assumptions'!$B$20),0)</f>
        <v/>
      </c>
      <c r="J1217" s="138">
        <f>IF(B1217="Working",D1217-E1217-F1217-I1217-G1217-H1217,-L1217)</f>
        <v/>
      </c>
      <c r="K1217" s="137">
        <f>IF(B1217="Retired",$N$248+G1217+H1217,0)</f>
        <v/>
      </c>
      <c r="L1217" s="137">
        <f>M1217+N1217+O1217+P1217</f>
        <v/>
      </c>
      <c r="M1217" s="137">
        <f>IF(B1217="Retired",MIN(((Q1216)*(1+$C$10)+IF(B1217="Working",J1217,0)),K1217),0)</f>
        <v/>
      </c>
      <c r="N1217" s="137">
        <f>IF(B1217="Retired",MIN(MAX(K1217-M1217,0),((R1216)*(1+$C$10)+IF(B1217="Working",E116,0))),0)</f>
        <v/>
      </c>
      <c r="O1217" s="137">
        <f>IF(B1217="Retired",MIN(MAX(K1217-M1217-N1217,0),((S1216)*(1+$C$10)+IF(B1217="Working",I1217,0))),0)</f>
        <v/>
      </c>
      <c r="P1217" s="137">
        <f>IF(B1217="Retired",MIN(MAX(K1217-M1217-N1217-O1217,0),((T1216)*(1+$C$10)+IF(B1217="Working",F116,0))),0)</f>
        <v/>
      </c>
      <c r="Q1217" s="138">
        <f>MAX(((Q1216)*(1+$C$10)+IF(B1217="Working",J1217,0))-M1217,0)</f>
        <v/>
      </c>
      <c r="R1217" s="138">
        <f>MAX(((R1216)*(1+$C$10)+IF(B1217="Working",E116,0))-N1217,0)</f>
        <v/>
      </c>
      <c r="S1217" s="138">
        <f>MAX(((S1216)*(1+$C$10)+IF(B1217="Working",I1217,0))-O1217,0)</f>
        <v/>
      </c>
      <c r="T1217" s="138">
        <f>MAX(((T1216)*(1+$C$10)+IF(B1217="Working",F116,0))-P1217,0)</f>
        <v/>
      </c>
      <c r="U1217" s="138">
        <f>Q1217+R1217+S1217+T1217</f>
        <v/>
      </c>
      <c r="V1217" s="138">
        <f>IF(B1217="Working",MAX(-(((Q1216)*(1+$C$10)+IF(B1217="Working",J1217,0))),0),MAX(K1217-L1217,0))</f>
        <v/>
      </c>
      <c r="W1217" s="138">
        <f>IF(OR(A1217&gt;=$C$13,B1217="Retired"),IF(V1217&gt;0,-V1217,U1217-'Model Inputs'!$B$18),"")</f>
        <v/>
      </c>
      <c r="X1217" s="138">
        <f>IF(AND($L$248&gt;0,A1217&gt;=$C$13),$L$248*(1+$C$25)^(A1217-$C$13),0)</f>
        <v/>
      </c>
      <c r="Y1217" s="138">
        <f>IF(OR($L$248&lt;=0,$C$17&lt;=0,A1217&lt;$C$13,MIN(MAX((A1217-$C$13+1)*12,0),$C$17*12)&gt;=$C$17*12),0,IF($C$16=0,MAX(MAX($L$248*(1-$C$15),0)-(IF($C$17&lt;=0,0,IF($C$16=0,MAX($L$248*(1-$C$15),0)/$C$17,-PMT($C$16/12,$C$17*12,MAX($L$248*(1-$C$15),0))*12))/12)*MIN(MAX((A1217-$C$13+1)*12,0),$C$17*12),0),MAX(MAX($L$248*(1-$C$15),0)*(1+$C$16/12)^MIN(MAX((A1217-$C$13+1)*12,0),$C$17*12)-(IF($C$17&lt;=0,0,IF($C$16=0,MAX($L$248*(1-$C$15),0)/$C$17,-PMT($C$16/12,$C$17*12,MAX($L$248*(1-$C$15),0))*12))/12)*(((1+$C$16/12)^MIN(MAX((A1217-$C$13+1)*12,0),$C$17*12)-1)/($C$16/12)),0)))</f>
        <v/>
      </c>
      <c r="Z1217" s="138">
        <f>MAX(X1217-Y1217,0)</f>
        <v/>
      </c>
      <c r="AA1217" s="139">
        <f>U1217+Z1217</f>
        <v/>
      </c>
      <c r="AB1217" s="5" t="n"/>
      <c r="AC1217" s="5" t="n"/>
      <c r="AD1217" s="5" t="n"/>
      <c r="AE1217" s="5" t="n"/>
      <c r="AF1217" s="5" t="n"/>
      <c r="AG1217" s="5" t="n"/>
    </row>
    <row r="1218" outlineLevel="1" s="326">
      <c r="A1218" s="140" t="n">
        <v>38</v>
      </c>
      <c r="B1218" s="40">
        <f>B117</f>
        <v/>
      </c>
      <c r="C1218" s="141">
        <f>D117</f>
        <v/>
      </c>
      <c r="D1218" s="141">
        <f>I117</f>
        <v/>
      </c>
      <c r="E1218" s="141">
        <f>J117</f>
        <v/>
      </c>
      <c r="F1218" s="141">
        <f>K117</f>
        <v/>
      </c>
      <c r="G1218" s="138">
        <f>IF(AND($L$248&gt;0,A1218=$C$13),$L$248*($C$15+$C$18),0)+IF(AND($L$248&gt;0,A1218=$C$13),$C$24,0)</f>
        <v/>
      </c>
      <c r="H1218" s="138">
        <f>IF(OR($L$248&lt;=0,A1218&lt;$C$13),0,IF(AND($L$248&gt;0,$C$17&gt;0,A1218&gt;=$C$13,A1218&lt;($C$13+$C$17)),IF($C$17&lt;=0,0,IF($C$16=0,MAX($L$248*(1-$C$15),0)/$C$17,-PMT($C$16/12,$C$17*12,MAX($L$248*(1-$C$15),0))*12)),0)+X1218*($C$19+$C$20+$C$21)+$C$22+$C$23)</f>
        <v/>
      </c>
      <c r="I1218" s="138">
        <f>IF(B1218="Working",MIN(MAX(D1218-E1218-F1218-G1218-H1218,0),'Tax Assumptions'!$B$20),0)</f>
        <v/>
      </c>
      <c r="J1218" s="138">
        <f>IF(B1218="Working",D1218-E1218-F1218-I1218-G1218-H1218,-L1218)</f>
        <v/>
      </c>
      <c r="K1218" s="141">
        <f>IF(B1218="Retired",$N$248+G1218+H1218,0)</f>
        <v/>
      </c>
      <c r="L1218" s="141">
        <f>M1218+N1218+O1218+P1218</f>
        <v/>
      </c>
      <c r="M1218" s="141">
        <f>IF(B1218="Retired",MIN(((Q1217)*(1+$C$10)+IF(B1218="Working",J1218,0)),K1218),0)</f>
        <v/>
      </c>
      <c r="N1218" s="141">
        <f>IF(B1218="Retired",MIN(MAX(K1218-M1218,0),((R1217)*(1+$C$10)+IF(B1218="Working",E117,0))),0)</f>
        <v/>
      </c>
      <c r="O1218" s="141">
        <f>IF(B1218="Retired",MIN(MAX(K1218-M1218-N1218,0),((S1217)*(1+$C$10)+IF(B1218="Working",I1218,0))),0)</f>
        <v/>
      </c>
      <c r="P1218" s="141">
        <f>IF(B1218="Retired",MIN(MAX(K1218-M1218-N1218-O1218,0),((T1217)*(1+$C$10)+IF(B1218="Working",F117,0))),0)</f>
        <v/>
      </c>
      <c r="Q1218" s="138">
        <f>MAX(((Q1217)*(1+$C$10)+IF(B1218="Working",J1218,0))-M1218,0)</f>
        <v/>
      </c>
      <c r="R1218" s="138">
        <f>MAX(((R1217)*(1+$C$10)+IF(B1218="Working",E117,0))-N1218,0)</f>
        <v/>
      </c>
      <c r="S1218" s="138">
        <f>MAX(((S1217)*(1+$C$10)+IF(B1218="Working",I1218,0))-O1218,0)</f>
        <v/>
      </c>
      <c r="T1218" s="138">
        <f>MAX(((T1217)*(1+$C$10)+IF(B1218="Working",F117,0))-P1218,0)</f>
        <v/>
      </c>
      <c r="U1218" s="138">
        <f>Q1218+R1218+S1218+T1218</f>
        <v/>
      </c>
      <c r="V1218" s="138">
        <f>IF(B1218="Working",MAX(-(((Q1217)*(1+$C$10)+IF(B1218="Working",J1218,0))),0),MAX(K1218-L1218,0))</f>
        <v/>
      </c>
      <c r="W1218" s="138">
        <f>IF(OR(A1218&gt;=$C$13,B1218="Retired"),IF(V1218&gt;0,-V1218,U1218-'Model Inputs'!$B$18),"")</f>
        <v/>
      </c>
      <c r="X1218" s="138">
        <f>IF(AND($L$248&gt;0,A1218&gt;=$C$13),$L$248*(1+$C$25)^(A1218-$C$13),0)</f>
        <v/>
      </c>
      <c r="Y1218" s="138">
        <f>IF(OR($L$248&lt;=0,$C$17&lt;=0,A1218&lt;$C$13,MIN(MAX((A1218-$C$13+1)*12,0),$C$17*12)&gt;=$C$17*12),0,IF($C$16=0,MAX(MAX($L$248*(1-$C$15),0)-(IF($C$17&lt;=0,0,IF($C$16=0,MAX($L$248*(1-$C$15),0)/$C$17,-PMT($C$16/12,$C$17*12,MAX($L$248*(1-$C$15),0))*12))/12)*MIN(MAX((A1218-$C$13+1)*12,0),$C$17*12),0),MAX(MAX($L$248*(1-$C$15),0)*(1+$C$16/12)^MIN(MAX((A1218-$C$13+1)*12,0),$C$17*12)-(IF($C$17&lt;=0,0,IF($C$16=0,MAX($L$248*(1-$C$15),0)/$C$17,-PMT($C$16/12,$C$17*12,MAX($L$248*(1-$C$15),0))*12))/12)*(((1+$C$16/12)^MIN(MAX((A1218-$C$13+1)*12,0),$C$17*12)-1)/($C$16/12)),0)))</f>
        <v/>
      </c>
      <c r="Z1218" s="138">
        <f>MAX(X1218-Y1218,0)</f>
        <v/>
      </c>
      <c r="AA1218" s="142">
        <f>U1218+Z1218</f>
        <v/>
      </c>
      <c r="AB1218" s="5" t="n"/>
      <c r="AC1218" s="5" t="n"/>
      <c r="AD1218" s="5" t="n"/>
      <c r="AE1218" s="5" t="n"/>
      <c r="AF1218" s="5" t="n"/>
      <c r="AG1218" s="5" t="n"/>
    </row>
    <row r="1219" outlineLevel="1" s="326">
      <c r="A1219" s="136" t="n">
        <v>39</v>
      </c>
      <c r="B1219" s="72">
        <f>B118</f>
        <v/>
      </c>
      <c r="C1219" s="137">
        <f>D118</f>
        <v/>
      </c>
      <c r="D1219" s="137">
        <f>I118</f>
        <v/>
      </c>
      <c r="E1219" s="137">
        <f>J118</f>
        <v/>
      </c>
      <c r="F1219" s="137">
        <f>K118</f>
        <v/>
      </c>
      <c r="G1219" s="138">
        <f>IF(AND($L$248&gt;0,A1219=$C$13),$L$248*($C$15+$C$18),0)+IF(AND($L$248&gt;0,A1219=$C$13),$C$24,0)</f>
        <v/>
      </c>
      <c r="H1219" s="138">
        <f>IF(OR($L$248&lt;=0,A1219&lt;$C$13),0,IF(AND($L$248&gt;0,$C$17&gt;0,A1219&gt;=$C$13,A1219&lt;($C$13+$C$17)),IF($C$17&lt;=0,0,IF($C$16=0,MAX($L$248*(1-$C$15),0)/$C$17,-PMT($C$16/12,$C$17*12,MAX($L$248*(1-$C$15),0))*12)),0)+X1219*($C$19+$C$20+$C$21)+$C$22+$C$23)</f>
        <v/>
      </c>
      <c r="I1219" s="138">
        <f>IF(B1219="Working",MIN(MAX(D1219-E1219-F1219-G1219-H1219,0),'Tax Assumptions'!$B$20),0)</f>
        <v/>
      </c>
      <c r="J1219" s="138">
        <f>IF(B1219="Working",D1219-E1219-F1219-I1219-G1219-H1219,-L1219)</f>
        <v/>
      </c>
      <c r="K1219" s="137">
        <f>IF(B1219="Retired",$N$248+G1219+H1219,0)</f>
        <v/>
      </c>
      <c r="L1219" s="137">
        <f>M1219+N1219+O1219+P1219</f>
        <v/>
      </c>
      <c r="M1219" s="137">
        <f>IF(B1219="Retired",MIN(((Q1218)*(1+$C$10)+IF(B1219="Working",J1219,0)),K1219),0)</f>
        <v/>
      </c>
      <c r="N1219" s="137">
        <f>IF(B1219="Retired",MIN(MAX(K1219-M1219,0),((R1218)*(1+$C$10)+IF(B1219="Working",E118,0))),0)</f>
        <v/>
      </c>
      <c r="O1219" s="137">
        <f>IF(B1219="Retired",MIN(MAX(K1219-M1219-N1219,0),((S1218)*(1+$C$10)+IF(B1219="Working",I1219,0))),0)</f>
        <v/>
      </c>
      <c r="P1219" s="137">
        <f>IF(B1219="Retired",MIN(MAX(K1219-M1219-N1219-O1219,0),((T1218)*(1+$C$10)+IF(B1219="Working",F118,0))),0)</f>
        <v/>
      </c>
      <c r="Q1219" s="138">
        <f>MAX(((Q1218)*(1+$C$10)+IF(B1219="Working",J1219,0))-M1219,0)</f>
        <v/>
      </c>
      <c r="R1219" s="138">
        <f>MAX(((R1218)*(1+$C$10)+IF(B1219="Working",E118,0))-N1219,0)</f>
        <v/>
      </c>
      <c r="S1219" s="138">
        <f>MAX(((S1218)*(1+$C$10)+IF(B1219="Working",I1219,0))-O1219,0)</f>
        <v/>
      </c>
      <c r="T1219" s="138">
        <f>MAX(((T1218)*(1+$C$10)+IF(B1219="Working",F118,0))-P1219,0)</f>
        <v/>
      </c>
      <c r="U1219" s="138">
        <f>Q1219+R1219+S1219+T1219</f>
        <v/>
      </c>
      <c r="V1219" s="138">
        <f>IF(B1219="Working",MAX(-(((Q1218)*(1+$C$10)+IF(B1219="Working",J1219,0))),0),MAX(K1219-L1219,0))</f>
        <v/>
      </c>
      <c r="W1219" s="138">
        <f>IF(OR(A1219&gt;=$C$13,B1219="Retired"),IF(V1219&gt;0,-V1219,U1219-'Model Inputs'!$B$18),"")</f>
        <v/>
      </c>
      <c r="X1219" s="138">
        <f>IF(AND($L$248&gt;0,A1219&gt;=$C$13),$L$248*(1+$C$25)^(A1219-$C$13),0)</f>
        <v/>
      </c>
      <c r="Y1219" s="138">
        <f>IF(OR($L$248&lt;=0,$C$17&lt;=0,A1219&lt;$C$13,MIN(MAX((A1219-$C$13+1)*12,0),$C$17*12)&gt;=$C$17*12),0,IF($C$16=0,MAX(MAX($L$248*(1-$C$15),0)-(IF($C$17&lt;=0,0,IF($C$16=0,MAX($L$248*(1-$C$15),0)/$C$17,-PMT($C$16/12,$C$17*12,MAX($L$248*(1-$C$15),0))*12))/12)*MIN(MAX((A1219-$C$13+1)*12,0),$C$17*12),0),MAX(MAX($L$248*(1-$C$15),0)*(1+$C$16/12)^MIN(MAX((A1219-$C$13+1)*12,0),$C$17*12)-(IF($C$17&lt;=0,0,IF($C$16=0,MAX($L$248*(1-$C$15),0)/$C$17,-PMT($C$16/12,$C$17*12,MAX($L$248*(1-$C$15),0))*12))/12)*(((1+$C$16/12)^MIN(MAX((A1219-$C$13+1)*12,0),$C$17*12)-1)/($C$16/12)),0)))</f>
        <v/>
      </c>
      <c r="Z1219" s="138">
        <f>MAX(X1219-Y1219,0)</f>
        <v/>
      </c>
      <c r="AA1219" s="139">
        <f>U1219+Z1219</f>
        <v/>
      </c>
      <c r="AB1219" s="5" t="n"/>
      <c r="AC1219" s="5" t="n"/>
      <c r="AD1219" s="5" t="n"/>
      <c r="AE1219" s="5" t="n"/>
      <c r="AF1219" s="5" t="n"/>
      <c r="AG1219" s="5" t="n"/>
    </row>
    <row r="1220" outlineLevel="1" s="326">
      <c r="A1220" s="140" t="n">
        <v>40</v>
      </c>
      <c r="B1220" s="40">
        <f>B119</f>
        <v/>
      </c>
      <c r="C1220" s="141">
        <f>D119</f>
        <v/>
      </c>
      <c r="D1220" s="141">
        <f>I119</f>
        <v/>
      </c>
      <c r="E1220" s="141">
        <f>J119</f>
        <v/>
      </c>
      <c r="F1220" s="141">
        <f>K119</f>
        <v/>
      </c>
      <c r="G1220" s="138">
        <f>IF(AND($L$248&gt;0,A1220=$C$13),$L$248*($C$15+$C$18),0)+IF(AND($L$248&gt;0,A1220=$C$13),$C$24,0)</f>
        <v/>
      </c>
      <c r="H1220" s="138">
        <f>IF(OR($L$248&lt;=0,A1220&lt;$C$13),0,IF(AND($L$248&gt;0,$C$17&gt;0,A1220&gt;=$C$13,A1220&lt;($C$13+$C$17)),IF($C$17&lt;=0,0,IF($C$16=0,MAX($L$248*(1-$C$15),0)/$C$17,-PMT($C$16/12,$C$17*12,MAX($L$248*(1-$C$15),0))*12)),0)+X1220*($C$19+$C$20+$C$21)+$C$22+$C$23)</f>
        <v/>
      </c>
      <c r="I1220" s="138">
        <f>IF(B1220="Working",MIN(MAX(D1220-E1220-F1220-G1220-H1220,0),'Tax Assumptions'!$B$20),0)</f>
        <v/>
      </c>
      <c r="J1220" s="138">
        <f>IF(B1220="Working",D1220-E1220-F1220-I1220-G1220-H1220,-L1220)</f>
        <v/>
      </c>
      <c r="K1220" s="141">
        <f>IF(B1220="Retired",$N$248+G1220+H1220,0)</f>
        <v/>
      </c>
      <c r="L1220" s="141">
        <f>M1220+N1220+O1220+P1220</f>
        <v/>
      </c>
      <c r="M1220" s="141">
        <f>IF(B1220="Retired",MIN(((Q1219)*(1+$C$10)+IF(B1220="Working",J1220,0)),K1220),0)</f>
        <v/>
      </c>
      <c r="N1220" s="141">
        <f>IF(B1220="Retired",MIN(MAX(K1220-M1220,0),((R1219)*(1+$C$10)+IF(B1220="Working",E119,0))),0)</f>
        <v/>
      </c>
      <c r="O1220" s="141">
        <f>IF(B1220="Retired",MIN(MAX(K1220-M1220-N1220,0),((S1219)*(1+$C$10)+IF(B1220="Working",I1220,0))),0)</f>
        <v/>
      </c>
      <c r="P1220" s="141">
        <f>IF(B1220="Retired",MIN(MAX(K1220-M1220-N1220-O1220,0),((T1219)*(1+$C$10)+IF(B1220="Working",F119,0))),0)</f>
        <v/>
      </c>
      <c r="Q1220" s="138">
        <f>MAX(((Q1219)*(1+$C$10)+IF(B1220="Working",J1220,0))-M1220,0)</f>
        <v/>
      </c>
      <c r="R1220" s="138">
        <f>MAX(((R1219)*(1+$C$10)+IF(B1220="Working",E119,0))-N1220,0)</f>
        <v/>
      </c>
      <c r="S1220" s="138">
        <f>MAX(((S1219)*(1+$C$10)+IF(B1220="Working",I1220,0))-O1220,0)</f>
        <v/>
      </c>
      <c r="T1220" s="138">
        <f>MAX(((T1219)*(1+$C$10)+IF(B1220="Working",F119,0))-P1220,0)</f>
        <v/>
      </c>
      <c r="U1220" s="138">
        <f>Q1220+R1220+S1220+T1220</f>
        <v/>
      </c>
      <c r="V1220" s="138">
        <f>IF(B1220="Working",MAX(-(((Q1219)*(1+$C$10)+IF(B1220="Working",J1220,0))),0),MAX(K1220-L1220,0))</f>
        <v/>
      </c>
      <c r="W1220" s="138">
        <f>IF(OR(A1220&gt;=$C$13,B1220="Retired"),IF(V1220&gt;0,-V1220,U1220-'Model Inputs'!$B$18),"")</f>
        <v/>
      </c>
      <c r="X1220" s="138">
        <f>IF(AND($L$248&gt;0,A1220&gt;=$C$13),$L$248*(1+$C$25)^(A1220-$C$13),0)</f>
        <v/>
      </c>
      <c r="Y1220" s="138">
        <f>IF(OR($L$248&lt;=0,$C$17&lt;=0,A1220&lt;$C$13,MIN(MAX((A1220-$C$13+1)*12,0),$C$17*12)&gt;=$C$17*12),0,IF($C$16=0,MAX(MAX($L$248*(1-$C$15),0)-(IF($C$17&lt;=0,0,IF($C$16=0,MAX($L$248*(1-$C$15),0)/$C$17,-PMT($C$16/12,$C$17*12,MAX($L$248*(1-$C$15),0))*12))/12)*MIN(MAX((A1220-$C$13+1)*12,0),$C$17*12),0),MAX(MAX($L$248*(1-$C$15),0)*(1+$C$16/12)^MIN(MAX((A1220-$C$13+1)*12,0),$C$17*12)-(IF($C$17&lt;=0,0,IF($C$16=0,MAX($L$248*(1-$C$15),0)/$C$17,-PMT($C$16/12,$C$17*12,MAX($L$248*(1-$C$15),0))*12))/12)*(((1+$C$16/12)^MIN(MAX((A1220-$C$13+1)*12,0),$C$17*12)-1)/($C$16/12)),0)))</f>
        <v/>
      </c>
      <c r="Z1220" s="138">
        <f>MAX(X1220-Y1220,0)</f>
        <v/>
      </c>
      <c r="AA1220" s="142">
        <f>U1220+Z1220</f>
        <v/>
      </c>
      <c r="AB1220" s="5" t="n"/>
      <c r="AC1220" s="5" t="n"/>
      <c r="AD1220" s="5" t="n"/>
      <c r="AE1220" s="5" t="n"/>
      <c r="AF1220" s="5" t="n"/>
      <c r="AG1220" s="5" t="n"/>
    </row>
    <row r="1221" outlineLevel="1" s="326">
      <c r="A1221" s="143" t="inlineStr">
        <is>
          <t>Case Summary</t>
        </is>
      </c>
      <c r="B1221" s="144" t="n"/>
      <c r="C1221" s="144" t="n"/>
      <c r="D1221" s="144" t="n"/>
      <c r="E1221" s="144" t="n"/>
      <c r="F1221" s="144" t="n"/>
      <c r="G1221" s="145">
        <f>SUM(G1181:G1220)</f>
        <v/>
      </c>
      <c r="H1221" s="145">
        <f>SUM(H1181:H1220)</f>
        <v/>
      </c>
      <c r="I1221" s="145">
        <f>SUM(I1181:I1220)</f>
        <v/>
      </c>
      <c r="J1221" s="145">
        <f>SUM(J1181:J1220)</f>
        <v/>
      </c>
      <c r="K1221" s="145">
        <f>SUM(K1181:K1220)</f>
        <v/>
      </c>
      <c r="L1221" s="145">
        <f>SUM(L1181:L1220)</f>
        <v/>
      </c>
      <c r="M1221" s="145">
        <f>SUM(M1181:M1220)</f>
        <v/>
      </c>
      <c r="N1221" s="145">
        <f>SUM(N1181:N1220)</f>
        <v/>
      </c>
      <c r="O1221" s="145">
        <f>SUM(O1181:O1220)</f>
        <v/>
      </c>
      <c r="P1221" s="145">
        <f>SUM(P1181:P1220)</f>
        <v/>
      </c>
      <c r="Q1221" s="145">
        <f>Q1220</f>
        <v/>
      </c>
      <c r="R1221" s="145">
        <f>R1220</f>
        <v/>
      </c>
      <c r="S1221" s="145">
        <f>S1220</f>
        <v/>
      </c>
      <c r="T1221" s="145">
        <f>T1220</f>
        <v/>
      </c>
      <c r="U1221" s="145">
        <f>U1220</f>
        <v/>
      </c>
      <c r="V1221" s="145">
        <f>SUM(V1181:V1220)</f>
        <v/>
      </c>
      <c r="W1221" s="145">
        <f>MIN(W1181:W1220)</f>
        <v/>
      </c>
      <c r="X1221" s="145">
        <f>X1220</f>
        <v/>
      </c>
      <c r="Y1221" s="145">
        <f>Y1220</f>
        <v/>
      </c>
      <c r="Z1221" s="145">
        <f>Z1220</f>
        <v/>
      </c>
      <c r="AA1221" s="146">
        <f>AA1220</f>
        <v/>
      </c>
      <c r="AB1221" s="5" t="n"/>
      <c r="AC1221" s="5" t="n"/>
      <c r="AD1221" s="5" t="n"/>
      <c r="AE1221" s="5" t="n"/>
      <c r="AF1221" s="5" t="n"/>
      <c r="AG1221" s="5" t="n"/>
    </row>
    <row r="1222" outlineLevel="1" s="326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  <c r="M1222" s="5" t="n"/>
      <c r="N1222" s="5" t="n"/>
      <c r="O1222" s="5" t="n"/>
      <c r="P1222" s="5" t="n"/>
      <c r="Q1222" s="5" t="n"/>
      <c r="R1222" s="5" t="n"/>
      <c r="S1222" s="5" t="n"/>
      <c r="T1222" s="5" t="n"/>
      <c r="U1222" s="5" t="n"/>
      <c r="V1222" s="5" t="n"/>
      <c r="W1222" s="5" t="n"/>
      <c r="X1222" s="5" t="n"/>
      <c r="Y1222" s="5" t="n"/>
      <c r="Z1222" s="5" t="n"/>
      <c r="AA1222" s="5" t="n"/>
      <c r="AB1222" s="5" t="n"/>
      <c r="AC1222" s="5" t="n"/>
      <c r="AD1222" s="5" t="n"/>
      <c r="AE1222" s="5" t="n"/>
      <c r="AF1222" s="5" t="n"/>
      <c r="AG1222" s="5" t="n"/>
    </row>
    <row r="1223" outlineLevel="1" s="326">
      <c r="A1223" s="387">
        <f>J249&amp;" | House "&amp;TEXT($L$249,"$#,##0")&amp;" | Spend "&amp;TEXT($N$249,"$#,##0")</f>
        <v/>
      </c>
      <c r="B1223" s="345" t="n"/>
      <c r="C1223" s="345" t="n"/>
      <c r="D1223" s="345" t="n"/>
      <c r="E1223" s="345" t="n"/>
      <c r="F1223" s="345" t="n"/>
      <c r="G1223" s="345" t="n"/>
      <c r="H1223" s="345" t="n"/>
      <c r="I1223" s="345" t="n"/>
      <c r="J1223" s="345" t="n"/>
      <c r="K1223" s="345" t="n"/>
      <c r="L1223" s="345" t="n"/>
      <c r="M1223" s="345" t="n"/>
      <c r="N1223" s="345" t="n"/>
      <c r="O1223" s="345" t="n"/>
      <c r="P1223" s="345" t="n"/>
      <c r="Q1223" s="345" t="n"/>
      <c r="R1223" s="345" t="n"/>
      <c r="S1223" s="345" t="n"/>
      <c r="T1223" s="345" t="n"/>
      <c r="U1223" s="345" t="n"/>
      <c r="V1223" s="345" t="n"/>
      <c r="W1223" s="345" t="n"/>
      <c r="X1223" s="345" t="n"/>
      <c r="Y1223" s="345" t="n"/>
      <c r="Z1223" s="345" t="n"/>
      <c r="AA1223" s="346" t="n"/>
      <c r="AB1223" s="5" t="n"/>
      <c r="AC1223" s="5" t="n"/>
      <c r="AD1223" s="5" t="n"/>
      <c r="AE1223" s="5" t="n"/>
      <c r="AF1223" s="5" t="n"/>
      <c r="AG1223" s="5" t="n"/>
    </row>
    <row r="1224" outlineLevel="1" ht="34" customHeight="1" s="326">
      <c r="A1224" s="134" t="inlineStr">
        <is>
          <t>Year</t>
        </is>
      </c>
      <c r="B1224" s="83" t="inlineStr">
        <is>
          <t>Phase</t>
        </is>
      </c>
      <c r="C1224" s="83" t="inlineStr">
        <is>
          <t>Gross</t>
        </is>
      </c>
      <c r="D1224" s="83" t="inlineStr">
        <is>
          <t>Post-Tax Cash</t>
        </is>
      </c>
      <c r="E1224" s="83" t="inlineStr">
        <is>
          <t>Rent</t>
        </is>
      </c>
      <c r="F1224" s="83" t="inlineStr">
        <is>
          <t>Living</t>
        </is>
      </c>
      <c r="G1224" s="83" t="inlineStr">
        <is>
          <t>House Cash</t>
        </is>
      </c>
      <c r="H1224" s="83" t="inlineStr">
        <is>
          <t>Housing Carry</t>
        </is>
      </c>
      <c r="I1224" s="83" t="inlineStr">
        <is>
          <t>Roth</t>
        </is>
      </c>
      <c r="J1224" s="83" t="inlineStr">
        <is>
          <t>Taxable Sav / (Draw)</t>
        </is>
      </c>
      <c r="K1224" s="83" t="inlineStr">
        <is>
          <t>Planned Need</t>
        </is>
      </c>
      <c r="L1224" s="83" t="inlineStr">
        <is>
          <t>Actual W/D</t>
        </is>
      </c>
      <c r="M1224" s="83" t="inlineStr">
        <is>
          <t>Taxable Draw</t>
        </is>
      </c>
      <c r="N1224" s="83" t="inlineStr">
        <is>
          <t>401(k) Draw</t>
        </is>
      </c>
      <c r="O1224" s="83" t="inlineStr">
        <is>
          <t>Roth Draw</t>
        </is>
      </c>
      <c r="P1224" s="83" t="inlineStr">
        <is>
          <t>HSA Draw</t>
        </is>
      </c>
      <c r="Q1224" s="83" t="inlineStr">
        <is>
          <t>Taxable Bal</t>
        </is>
      </c>
      <c r="R1224" s="83" t="inlineStr">
        <is>
          <t>401(k) Bal</t>
        </is>
      </c>
      <c r="S1224" s="83" t="inlineStr">
        <is>
          <t>Roth Bal</t>
        </is>
      </c>
      <c r="T1224" s="83" t="inlineStr">
        <is>
          <t>HSA Bal</t>
        </is>
      </c>
      <c r="U1224" s="83" t="inlineStr">
        <is>
          <t>Liquid Wealth</t>
        </is>
      </c>
      <c r="V1224" s="83" t="inlineStr">
        <is>
          <t>Funding Gap</t>
        </is>
      </c>
      <c r="W1224" s="83" t="inlineStr">
        <is>
          <t>Margin vs Reserve</t>
        </is>
      </c>
      <c r="X1224" s="83" t="inlineStr">
        <is>
          <t>House Value</t>
        </is>
      </c>
      <c r="Y1224" s="83" t="inlineStr">
        <is>
          <t>Mortgage Balance</t>
        </is>
      </c>
      <c r="Z1224" s="83" t="inlineStr">
        <is>
          <t>Home Equity</t>
        </is>
      </c>
      <c r="AA1224" s="135" t="inlineStr">
        <is>
          <t>Net Worth</t>
        </is>
      </c>
      <c r="AB1224" s="5" t="n"/>
      <c r="AC1224" s="5" t="n"/>
      <c r="AD1224" s="5" t="n"/>
      <c r="AE1224" s="5" t="n"/>
      <c r="AF1224" s="5" t="n"/>
      <c r="AG1224" s="5" t="n"/>
    </row>
    <row r="1225" outlineLevel="1" s="326">
      <c r="A1225" s="136" t="n">
        <v>1</v>
      </c>
      <c r="B1225" s="72">
        <f>B80</f>
        <v/>
      </c>
      <c r="C1225" s="137">
        <f>D80</f>
        <v/>
      </c>
      <c r="D1225" s="137">
        <f>I80</f>
        <v/>
      </c>
      <c r="E1225" s="137">
        <f>J80</f>
        <v/>
      </c>
      <c r="F1225" s="137">
        <f>K80</f>
        <v/>
      </c>
      <c r="G1225" s="138">
        <f>IF(AND($L$249&gt;0,A1225=$C$13),$L$249*($C$15+$C$18),0)+IF(AND($L$249&gt;0,A1225=$C$13),$C$24,0)</f>
        <v/>
      </c>
      <c r="H1225" s="138">
        <f>IF(OR($L$249&lt;=0,A1225&lt;$C$13),0,IF(AND($L$249&gt;0,$C$17&gt;0,A1225&gt;=$C$13,A1225&lt;($C$13+$C$17)),IF($C$17&lt;=0,0,IF($C$16=0,MAX($L$249*(1-$C$15),0)/$C$17,-PMT($C$16/12,$C$17*12,MAX($L$249*(1-$C$15),0))*12)),0)+X1225*($C$19+$C$20+$C$21)+$C$22+$C$23)</f>
        <v/>
      </c>
      <c r="I1225" s="138">
        <f>IF(B1225="Working",MIN(MAX(D1225-E1225-F1225-G1225-H1225,0),'Tax Assumptions'!$B$20),0)</f>
        <v/>
      </c>
      <c r="J1225" s="138">
        <f>IF(B1225="Working",D1225-E1225-F1225-I1225-G1225-H1225,-L1225)</f>
        <v/>
      </c>
      <c r="K1225" s="137">
        <f>IF(B1225="Retired",$N$249+G1225+H1225,0)</f>
        <v/>
      </c>
      <c r="L1225" s="137">
        <f>M1225+N1225+O1225+P1225</f>
        <v/>
      </c>
      <c r="M1225" s="137">
        <f>IF(B1225="Retired",MIN((('Savings Projection'!$B$7)*(1+$C$10)+IF(B1225="Working",J1225,0)),K1225),0)</f>
        <v/>
      </c>
      <c r="N1225" s="137">
        <f>IF(B1225="Retired",MIN(MAX(K1225-M1225,0),(('Savings Projection'!$B$8)*(1+$C$10)+IF(B1225="Working",E80,0))),0)</f>
        <v/>
      </c>
      <c r="O1225" s="137">
        <f>IF(B1225="Retired",MIN(MAX(K1225-M1225-N1225,0),(('Savings Projection'!$B$9)*(1+$C$10)+IF(B1225="Working",I1225,0))),0)</f>
        <v/>
      </c>
      <c r="P1225" s="137">
        <f>IF(B1225="Retired",MIN(MAX(K1225-M1225-N1225-O1225,0),(('Savings Projection'!$B$10)*(1+$C$10)+IF(B1225="Working",F80,0))),0)</f>
        <v/>
      </c>
      <c r="Q1225" s="138">
        <f>MAX((('Savings Projection'!$B$7)*(1+$C$10)+IF(B1225="Working",J1225,0))-M1225,0)</f>
        <v/>
      </c>
      <c r="R1225" s="138">
        <f>MAX((('Savings Projection'!$B$8)*(1+$C$10)+IF(B1225="Working",E80,0))-N1225,0)</f>
        <v/>
      </c>
      <c r="S1225" s="138">
        <f>MAX((('Savings Projection'!$B$9)*(1+$C$10)+IF(B1225="Working",I1225,0))-O1225,0)</f>
        <v/>
      </c>
      <c r="T1225" s="138">
        <f>MAX((('Savings Projection'!$B$10)*(1+$C$10)+IF(B1225="Working",F80,0))-P1225,0)</f>
        <v/>
      </c>
      <c r="U1225" s="138">
        <f>Q1225+R1225+S1225+T1225</f>
        <v/>
      </c>
      <c r="V1225" s="138">
        <f>IF(B1225="Working",MAX(-((('Savings Projection'!$B$7)*(1+$C$10)+IF(B1225="Working",J1225,0))),0),MAX(K1225-L1225,0))</f>
        <v/>
      </c>
      <c r="W1225" s="138">
        <f>IF(OR(A1225&gt;=$C$13,B1225="Retired"),IF(V1225&gt;0,-V1225,U1225-'Model Inputs'!$B$18),"")</f>
        <v/>
      </c>
      <c r="X1225" s="138">
        <f>IF(AND($L$249&gt;0,A1225&gt;=$C$13),$L$249*(1+$C$25)^(A1225-$C$13),0)</f>
        <v/>
      </c>
      <c r="Y1225" s="138">
        <f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/>
      </c>
      <c r="Z1225" s="138">
        <f>MAX(X1225-Y1225,0)</f>
        <v/>
      </c>
      <c r="AA1225" s="139">
        <f>U1225+Z1225</f>
        <v/>
      </c>
      <c r="AB1225" s="5" t="n"/>
      <c r="AC1225" s="5" t="n"/>
      <c r="AD1225" s="5" t="n"/>
      <c r="AE1225" s="5" t="n"/>
      <c r="AF1225" s="5" t="n"/>
      <c r="AG1225" s="5" t="n"/>
    </row>
    <row r="1226" outlineLevel="1" s="326">
      <c r="A1226" s="140" t="n">
        <v>2</v>
      </c>
      <c r="B1226" s="40">
        <f>B81</f>
        <v/>
      </c>
      <c r="C1226" s="141">
        <f>D81</f>
        <v/>
      </c>
      <c r="D1226" s="141">
        <f>I81</f>
        <v/>
      </c>
      <c r="E1226" s="141">
        <f>J81</f>
        <v/>
      </c>
      <c r="F1226" s="141">
        <f>K81</f>
        <v/>
      </c>
      <c r="G1226" s="138">
        <f>IF(AND($L$249&gt;0,A1226=$C$13),$L$249*($C$15+$C$18),0)+IF(AND($L$249&gt;0,A1226=$C$13),$C$24,0)</f>
        <v/>
      </c>
      <c r="H1226" s="138">
        <f>IF(OR($L$249&lt;=0,A1226&lt;$C$13),0,IF(AND($L$249&gt;0,$C$17&gt;0,A1226&gt;=$C$13,A1226&lt;($C$13+$C$17)),IF($C$17&lt;=0,0,IF($C$16=0,MAX($L$249*(1-$C$15),0)/$C$17,-PMT($C$16/12,$C$17*12,MAX($L$249*(1-$C$15),0))*12)),0)+X1226*($C$19+$C$20+$C$21)+$C$22+$C$23)</f>
        <v/>
      </c>
      <c r="I1226" s="138">
        <f>IF(B1226="Working",MIN(MAX(D1226-E1226-F1226-G1226-H1226,0),'Tax Assumptions'!$B$20),0)</f>
        <v/>
      </c>
      <c r="J1226" s="138">
        <f>IF(B1226="Working",D1226-E1226-F1226-I1226-G1226-H1226,-L1226)</f>
        <v/>
      </c>
      <c r="K1226" s="141">
        <f>IF(B1226="Retired",$N$249+G1226+H1226,0)</f>
        <v/>
      </c>
      <c r="L1226" s="141">
        <f>M1226+N1226+O1226+P1226</f>
        <v/>
      </c>
      <c r="M1226" s="141">
        <f>IF(B1226="Retired",MIN(((Q1225)*(1+$C$10)+IF(B1226="Working",J1226,0)),K1226),0)</f>
        <v/>
      </c>
      <c r="N1226" s="141">
        <f>IF(B1226="Retired",MIN(MAX(K1226-M1226,0),((R1225)*(1+$C$10)+IF(B1226="Working",E81,0))),0)</f>
        <v/>
      </c>
      <c r="O1226" s="141">
        <f>IF(B1226="Retired",MIN(MAX(K1226-M1226-N1226,0),((S1225)*(1+$C$10)+IF(B1226="Working",I1226,0))),0)</f>
        <v/>
      </c>
      <c r="P1226" s="141">
        <f>IF(B1226="Retired",MIN(MAX(K1226-M1226-N1226-O1226,0),((T1225)*(1+$C$10)+IF(B1226="Working",F81,0))),0)</f>
        <v/>
      </c>
      <c r="Q1226" s="138">
        <f>MAX(((Q1225)*(1+$C$10)+IF(B1226="Working",J1226,0))-M1226,0)</f>
        <v/>
      </c>
      <c r="R1226" s="138">
        <f>MAX(((R1225)*(1+$C$10)+IF(B1226="Working",E81,0))-N1226,0)</f>
        <v/>
      </c>
      <c r="S1226" s="138">
        <f>MAX(((S1225)*(1+$C$10)+IF(B1226="Working",I1226,0))-O1226,0)</f>
        <v/>
      </c>
      <c r="T1226" s="138">
        <f>MAX(((T1225)*(1+$C$10)+IF(B1226="Working",F81,0))-P1226,0)</f>
        <v/>
      </c>
      <c r="U1226" s="138">
        <f>Q1226+R1226+S1226+T1226</f>
        <v/>
      </c>
      <c r="V1226" s="138">
        <f>IF(B1226="Working",MAX(-(((Q1225)*(1+$C$10)+IF(B1226="Working",J1226,0))),0),MAX(K1226-L1226,0))</f>
        <v/>
      </c>
      <c r="W1226" s="138">
        <f>IF(OR(A1226&gt;=$C$13,B1226="Retired"),IF(V1226&gt;0,-V1226,U1226-'Model Inputs'!$B$18),"")</f>
        <v/>
      </c>
      <c r="X1226" s="138">
        <f>IF(AND($L$249&gt;0,A1226&gt;=$C$13),$L$249*(1+$C$25)^(A1226-$C$13),0)</f>
        <v/>
      </c>
      <c r="Y1226" s="138">
        <f>IF(OR($L$249&lt;=0,$C$17&lt;=0,A1226&lt;$C$13,MIN(MAX((A1226-$C$13+1)*12,0),$C$17*12)&gt;=$C$17*12),0,IF($C$16=0,MAX(MAX($L$249*(1-$C$15),0)-(IF($C$17&lt;=0,0,IF($C$16=0,MAX($L$249*(1-$C$15),0)/$C$17,-PMT($C$16/12,$C$17*12,MAX($L$249*(1-$C$15),0))*12))/12)*MIN(MAX((A1226-$C$13+1)*12,0),$C$17*12),0),MAX(MAX($L$249*(1-$C$15),0)*(1+$C$16/12)^MIN(MAX((A1226-$C$13+1)*12,0),$C$17*12)-(IF($C$17&lt;=0,0,IF($C$16=0,MAX($L$249*(1-$C$15),0)/$C$17,-PMT($C$16/12,$C$17*12,MAX($L$249*(1-$C$15),0))*12))/12)*(((1+$C$16/12)^MIN(MAX((A1226-$C$13+1)*12,0),$C$17*12)-1)/($C$16/12)),0)))</f>
        <v/>
      </c>
      <c r="Z1226" s="138">
        <f>MAX(X1226-Y1226,0)</f>
        <v/>
      </c>
      <c r="AA1226" s="142">
        <f>U1226+Z1226</f>
        <v/>
      </c>
      <c r="AB1226" s="5" t="n"/>
      <c r="AC1226" s="5" t="n"/>
      <c r="AD1226" s="5" t="n"/>
      <c r="AE1226" s="5" t="n"/>
      <c r="AF1226" s="5" t="n"/>
      <c r="AG1226" s="5" t="n"/>
    </row>
    <row r="1227" outlineLevel="1" s="326">
      <c r="A1227" s="136" t="n">
        <v>3</v>
      </c>
      <c r="B1227" s="72">
        <f>B82</f>
        <v/>
      </c>
      <c r="C1227" s="137">
        <f>D82</f>
        <v/>
      </c>
      <c r="D1227" s="137">
        <f>I82</f>
        <v/>
      </c>
      <c r="E1227" s="137">
        <f>J82</f>
        <v/>
      </c>
      <c r="F1227" s="137">
        <f>K82</f>
        <v/>
      </c>
      <c r="G1227" s="138">
        <f>IF(AND($L$249&gt;0,A1227=$C$13),$L$249*($C$15+$C$18),0)+IF(AND($L$249&gt;0,A1227=$C$13),$C$24,0)</f>
        <v/>
      </c>
      <c r="H1227" s="138">
        <f>IF(OR($L$249&lt;=0,A1227&lt;$C$13),0,IF(AND($L$249&gt;0,$C$17&gt;0,A1227&gt;=$C$13,A1227&lt;($C$13+$C$17)),IF($C$17&lt;=0,0,IF($C$16=0,MAX($L$249*(1-$C$15),0)/$C$17,-PMT($C$16/12,$C$17*12,MAX($L$249*(1-$C$15),0))*12)),0)+X1227*($C$19+$C$20+$C$21)+$C$22+$C$23)</f>
        <v/>
      </c>
      <c r="I1227" s="138">
        <f>IF(B1227="Working",MIN(MAX(D1227-E1227-F1227-G1227-H1227,0),'Tax Assumptions'!$B$20),0)</f>
        <v/>
      </c>
      <c r="J1227" s="138">
        <f>IF(B1227="Working",D1227-E1227-F1227-I1227-G1227-H1227,-L1227)</f>
        <v/>
      </c>
      <c r="K1227" s="137">
        <f>IF(B1227="Retired",$N$249+G1227+H1227,0)</f>
        <v/>
      </c>
      <c r="L1227" s="137">
        <f>M1227+N1227+O1227+P1227</f>
        <v/>
      </c>
      <c r="M1227" s="137">
        <f>IF(B1227="Retired",MIN(((Q1226)*(1+$C$10)+IF(B1227="Working",J1227,0)),K1227),0)</f>
        <v/>
      </c>
      <c r="N1227" s="137">
        <f>IF(B1227="Retired",MIN(MAX(K1227-M1227,0),((R1226)*(1+$C$10)+IF(B1227="Working",E82,0))),0)</f>
        <v/>
      </c>
      <c r="O1227" s="137">
        <f>IF(B1227="Retired",MIN(MAX(K1227-M1227-N1227,0),((S1226)*(1+$C$10)+IF(B1227="Working",I1227,0))),0)</f>
        <v/>
      </c>
      <c r="P1227" s="137">
        <f>IF(B1227="Retired",MIN(MAX(K1227-M1227-N1227-O1227,0),((T1226)*(1+$C$10)+IF(B1227="Working",F82,0))),0)</f>
        <v/>
      </c>
      <c r="Q1227" s="138">
        <f>MAX(((Q1226)*(1+$C$10)+IF(B1227="Working",J1227,0))-M1227,0)</f>
        <v/>
      </c>
      <c r="R1227" s="138">
        <f>MAX(((R1226)*(1+$C$10)+IF(B1227="Working",E82,0))-N1227,0)</f>
        <v/>
      </c>
      <c r="S1227" s="138">
        <f>MAX(((S1226)*(1+$C$10)+IF(B1227="Working",I1227,0))-O1227,0)</f>
        <v/>
      </c>
      <c r="T1227" s="138">
        <f>MAX(((T1226)*(1+$C$10)+IF(B1227="Working",F82,0))-P1227,0)</f>
        <v/>
      </c>
      <c r="U1227" s="138">
        <f>Q1227+R1227+S1227+T1227</f>
        <v/>
      </c>
      <c r="V1227" s="138">
        <f>IF(B1227="Working",MAX(-(((Q1226)*(1+$C$10)+IF(B1227="Working",J1227,0))),0),MAX(K1227-L1227,0))</f>
        <v/>
      </c>
      <c r="W1227" s="138">
        <f>IF(OR(A1227&gt;=$C$13,B1227="Retired"),IF(V1227&gt;0,-V1227,U1227-'Model Inputs'!$B$18),"")</f>
        <v/>
      </c>
      <c r="X1227" s="138">
        <f>IF(AND($L$249&gt;0,A1227&gt;=$C$13),$L$249*(1+$C$25)^(A1227-$C$13),0)</f>
        <v/>
      </c>
      <c r="Y1227" s="138">
        <f>IF(OR($L$249&lt;=0,$C$17&lt;=0,A1227&lt;$C$13,MIN(MAX((A1227-$C$13+1)*12,0),$C$17*12)&gt;=$C$17*12),0,IF($C$16=0,MAX(MAX($L$249*(1-$C$15),0)-(IF($C$17&lt;=0,0,IF($C$16=0,MAX($L$249*(1-$C$15),0)/$C$17,-PMT($C$16/12,$C$17*12,MAX($L$249*(1-$C$15),0))*12))/12)*MIN(MAX((A1227-$C$13+1)*12,0),$C$17*12),0),MAX(MAX($L$249*(1-$C$15),0)*(1+$C$16/12)^MIN(MAX((A1227-$C$13+1)*12,0),$C$17*12)-(IF($C$17&lt;=0,0,IF($C$16=0,MAX($L$249*(1-$C$15),0)/$C$17,-PMT($C$16/12,$C$17*12,MAX($L$249*(1-$C$15),0))*12))/12)*(((1+$C$16/12)^MIN(MAX((A1227-$C$13+1)*12,0),$C$17*12)-1)/($C$16/12)),0)))</f>
        <v/>
      </c>
      <c r="Z1227" s="138">
        <f>MAX(X1227-Y1227,0)</f>
        <v/>
      </c>
      <c r="AA1227" s="139">
        <f>U1227+Z1227</f>
        <v/>
      </c>
      <c r="AB1227" s="5" t="n"/>
      <c r="AC1227" s="5" t="n"/>
      <c r="AD1227" s="5" t="n"/>
      <c r="AE1227" s="5" t="n"/>
      <c r="AF1227" s="5" t="n"/>
      <c r="AG1227" s="5" t="n"/>
    </row>
    <row r="1228" outlineLevel="1" s="326">
      <c r="A1228" s="140" t="n">
        <v>4</v>
      </c>
      <c r="B1228" s="40">
        <f>B83</f>
        <v/>
      </c>
      <c r="C1228" s="141">
        <f>D83</f>
        <v/>
      </c>
      <c r="D1228" s="141">
        <f>I83</f>
        <v/>
      </c>
      <c r="E1228" s="141">
        <f>J83</f>
        <v/>
      </c>
      <c r="F1228" s="141">
        <f>K83</f>
        <v/>
      </c>
      <c r="G1228" s="138">
        <f>IF(AND($L$249&gt;0,A1228=$C$13),$L$249*($C$15+$C$18),0)+IF(AND($L$249&gt;0,A1228=$C$13),$C$24,0)</f>
        <v/>
      </c>
      <c r="H1228" s="138">
        <f>IF(OR($L$249&lt;=0,A1228&lt;$C$13),0,IF(AND($L$249&gt;0,$C$17&gt;0,A1228&gt;=$C$13,A1228&lt;($C$13+$C$17)),IF($C$17&lt;=0,0,IF($C$16=0,MAX($L$249*(1-$C$15),0)/$C$17,-PMT($C$16/12,$C$17*12,MAX($L$249*(1-$C$15),0))*12)),0)+X1228*($C$19+$C$20+$C$21)+$C$22+$C$23)</f>
        <v/>
      </c>
      <c r="I1228" s="138">
        <f>IF(B1228="Working",MIN(MAX(D1228-E1228-F1228-G1228-H1228,0),'Tax Assumptions'!$B$20),0)</f>
        <v/>
      </c>
      <c r="J1228" s="138">
        <f>IF(B1228="Working",D1228-E1228-F1228-I1228-G1228-H1228,-L1228)</f>
        <v/>
      </c>
      <c r="K1228" s="141">
        <f>IF(B1228="Retired",$N$249+G1228+H1228,0)</f>
        <v/>
      </c>
      <c r="L1228" s="141">
        <f>M1228+N1228+O1228+P1228</f>
        <v/>
      </c>
      <c r="M1228" s="141">
        <f>IF(B1228="Retired",MIN(((Q1227)*(1+$C$10)+IF(B1228="Working",J1228,0)),K1228),0)</f>
        <v/>
      </c>
      <c r="N1228" s="141">
        <f>IF(B1228="Retired",MIN(MAX(K1228-M1228,0),((R1227)*(1+$C$10)+IF(B1228="Working",E83,0))),0)</f>
        <v/>
      </c>
      <c r="O1228" s="141">
        <f>IF(B1228="Retired",MIN(MAX(K1228-M1228-N1228,0),((S1227)*(1+$C$10)+IF(B1228="Working",I1228,0))),0)</f>
        <v/>
      </c>
      <c r="P1228" s="141">
        <f>IF(B1228="Retired",MIN(MAX(K1228-M1228-N1228-O1228,0),((T1227)*(1+$C$10)+IF(B1228="Working",F83,0))),0)</f>
        <v/>
      </c>
      <c r="Q1228" s="138">
        <f>MAX(((Q1227)*(1+$C$10)+IF(B1228="Working",J1228,0))-M1228,0)</f>
        <v/>
      </c>
      <c r="R1228" s="138">
        <f>MAX(((R1227)*(1+$C$10)+IF(B1228="Working",E83,0))-N1228,0)</f>
        <v/>
      </c>
      <c r="S1228" s="138">
        <f>MAX(((S1227)*(1+$C$10)+IF(B1228="Working",I1228,0))-O1228,0)</f>
        <v/>
      </c>
      <c r="T1228" s="138">
        <f>MAX(((T1227)*(1+$C$10)+IF(B1228="Working",F83,0))-P1228,0)</f>
        <v/>
      </c>
      <c r="U1228" s="138">
        <f>Q1228+R1228+S1228+T1228</f>
        <v/>
      </c>
      <c r="V1228" s="138">
        <f>IF(B1228="Working",MAX(-(((Q1227)*(1+$C$10)+IF(B1228="Working",J1228,0))),0),MAX(K1228-L1228,0))</f>
        <v/>
      </c>
      <c r="W1228" s="138">
        <f>IF(OR(A1228&gt;=$C$13,B1228="Retired"),IF(V1228&gt;0,-V1228,U1228-'Model Inputs'!$B$18),"")</f>
        <v/>
      </c>
      <c r="X1228" s="138">
        <f>IF(AND($L$249&gt;0,A1228&gt;=$C$13),$L$249*(1+$C$25)^(A1228-$C$13),0)</f>
        <v/>
      </c>
      <c r="Y1228" s="138">
        <f>IF(OR($L$249&lt;=0,$C$17&lt;=0,A1228&lt;$C$13,MIN(MAX((A1228-$C$13+1)*12,0),$C$17*12)&gt;=$C$17*12),0,IF($C$16=0,MAX(MAX($L$249*(1-$C$15),0)-(IF($C$17&lt;=0,0,IF($C$16=0,MAX($L$249*(1-$C$15),0)/$C$17,-PMT($C$16/12,$C$17*12,MAX($L$249*(1-$C$15),0))*12))/12)*MIN(MAX((A1228-$C$13+1)*12,0),$C$17*12),0),MAX(MAX($L$249*(1-$C$15),0)*(1+$C$16/12)^MIN(MAX((A1228-$C$13+1)*12,0),$C$17*12)-(IF($C$17&lt;=0,0,IF($C$16=0,MAX($L$249*(1-$C$15),0)/$C$17,-PMT($C$16/12,$C$17*12,MAX($L$249*(1-$C$15),0))*12))/12)*(((1+$C$16/12)^MIN(MAX((A1228-$C$13+1)*12,0),$C$17*12)-1)/($C$16/12)),0)))</f>
        <v/>
      </c>
      <c r="Z1228" s="138">
        <f>MAX(X1228-Y1228,0)</f>
        <v/>
      </c>
      <c r="AA1228" s="142">
        <f>U1228+Z1228</f>
        <v/>
      </c>
      <c r="AB1228" s="5" t="n"/>
      <c r="AC1228" s="5" t="n"/>
      <c r="AD1228" s="5" t="n"/>
      <c r="AE1228" s="5" t="n"/>
      <c r="AF1228" s="5" t="n"/>
      <c r="AG1228" s="5" t="n"/>
    </row>
    <row r="1229" outlineLevel="1" s="326">
      <c r="A1229" s="136" t="n">
        <v>5</v>
      </c>
      <c r="B1229" s="72">
        <f>B84</f>
        <v/>
      </c>
      <c r="C1229" s="137">
        <f>D84</f>
        <v/>
      </c>
      <c r="D1229" s="137">
        <f>I84</f>
        <v/>
      </c>
      <c r="E1229" s="137">
        <f>J84</f>
        <v/>
      </c>
      <c r="F1229" s="137">
        <f>K84</f>
        <v/>
      </c>
      <c r="G1229" s="138">
        <f>IF(AND($L$249&gt;0,A1229=$C$13),$L$249*($C$15+$C$18),0)+IF(AND($L$249&gt;0,A1229=$C$13),$C$24,0)</f>
        <v/>
      </c>
      <c r="H1229" s="138">
        <f>IF(OR($L$249&lt;=0,A1229&lt;$C$13),0,IF(AND($L$249&gt;0,$C$17&gt;0,A1229&gt;=$C$13,A1229&lt;($C$13+$C$17)),IF($C$17&lt;=0,0,IF($C$16=0,MAX($L$249*(1-$C$15),0)/$C$17,-PMT($C$16/12,$C$17*12,MAX($L$249*(1-$C$15),0))*12)),0)+X1229*($C$19+$C$20+$C$21)+$C$22+$C$23)</f>
        <v/>
      </c>
      <c r="I1229" s="138">
        <f>IF(B1229="Working",MIN(MAX(D1229-E1229-F1229-G1229-H1229,0),'Tax Assumptions'!$B$20),0)</f>
        <v/>
      </c>
      <c r="J1229" s="138">
        <f>IF(B1229="Working",D1229-E1229-F1229-I1229-G1229-H1229,-L1229)</f>
        <v/>
      </c>
      <c r="K1229" s="137">
        <f>IF(B1229="Retired",$N$249+G1229+H1229,0)</f>
        <v/>
      </c>
      <c r="L1229" s="137">
        <f>M1229+N1229+O1229+P1229</f>
        <v/>
      </c>
      <c r="M1229" s="137">
        <f>IF(B1229="Retired",MIN(((Q1228)*(1+$C$10)+IF(B1229="Working",J1229,0)),K1229),0)</f>
        <v/>
      </c>
      <c r="N1229" s="137">
        <f>IF(B1229="Retired",MIN(MAX(K1229-M1229,0),((R1228)*(1+$C$10)+IF(B1229="Working",E84,0))),0)</f>
        <v/>
      </c>
      <c r="O1229" s="137">
        <f>IF(B1229="Retired",MIN(MAX(K1229-M1229-N1229,0),((S1228)*(1+$C$10)+IF(B1229="Working",I1229,0))),0)</f>
        <v/>
      </c>
      <c r="P1229" s="137">
        <f>IF(B1229="Retired",MIN(MAX(K1229-M1229-N1229-O1229,0),((T1228)*(1+$C$10)+IF(B1229="Working",F84,0))),0)</f>
        <v/>
      </c>
      <c r="Q1229" s="138">
        <f>MAX(((Q1228)*(1+$C$10)+IF(B1229="Working",J1229,0))-M1229,0)</f>
        <v/>
      </c>
      <c r="R1229" s="138">
        <f>MAX(((R1228)*(1+$C$10)+IF(B1229="Working",E84,0))-N1229,0)</f>
        <v/>
      </c>
      <c r="S1229" s="138">
        <f>MAX(((S1228)*(1+$C$10)+IF(B1229="Working",I1229,0))-O1229,0)</f>
        <v/>
      </c>
      <c r="T1229" s="138">
        <f>MAX(((T1228)*(1+$C$10)+IF(B1229="Working",F84,0))-P1229,0)</f>
        <v/>
      </c>
      <c r="U1229" s="138">
        <f>Q1229+R1229+S1229+T1229</f>
        <v/>
      </c>
      <c r="V1229" s="138">
        <f>IF(B1229="Working",MAX(-(((Q1228)*(1+$C$10)+IF(B1229="Working",J1229,0))),0),MAX(K1229-L1229,0))</f>
        <v/>
      </c>
      <c r="W1229" s="138">
        <f>IF(OR(A1229&gt;=$C$13,B1229="Retired"),IF(V1229&gt;0,-V1229,U1229-'Model Inputs'!$B$18),"")</f>
        <v/>
      </c>
      <c r="X1229" s="138">
        <f>IF(AND($L$249&gt;0,A1229&gt;=$C$13),$L$249*(1+$C$25)^(A1229-$C$13),0)</f>
        <v/>
      </c>
      <c r="Y1229" s="138">
        <f>IF(OR($L$249&lt;=0,$C$17&lt;=0,A1229&lt;$C$13,MIN(MAX((A1229-$C$13+1)*12,0),$C$17*12)&gt;=$C$17*12),0,IF($C$16=0,MAX(MAX($L$249*(1-$C$15),0)-(IF($C$17&lt;=0,0,IF($C$16=0,MAX($L$249*(1-$C$15),0)/$C$17,-PMT($C$16/12,$C$17*12,MAX($L$249*(1-$C$15),0))*12))/12)*MIN(MAX((A1229-$C$13+1)*12,0),$C$17*12),0),MAX(MAX($L$249*(1-$C$15),0)*(1+$C$16/12)^MIN(MAX((A1229-$C$13+1)*12,0),$C$17*12)-(IF($C$17&lt;=0,0,IF($C$16=0,MAX($L$249*(1-$C$15),0)/$C$17,-PMT($C$16/12,$C$17*12,MAX($L$249*(1-$C$15),0))*12))/12)*(((1+$C$16/12)^MIN(MAX((A1229-$C$13+1)*12,0),$C$17*12)-1)/($C$16/12)),0)))</f>
        <v/>
      </c>
      <c r="Z1229" s="138">
        <f>MAX(X1229-Y1229,0)</f>
        <v/>
      </c>
      <c r="AA1229" s="139">
        <f>U1229+Z1229</f>
        <v/>
      </c>
      <c r="AB1229" s="5" t="n"/>
      <c r="AC1229" s="5" t="n"/>
      <c r="AD1229" s="5" t="n"/>
      <c r="AE1229" s="5" t="n"/>
      <c r="AF1229" s="5" t="n"/>
      <c r="AG1229" s="5" t="n"/>
    </row>
    <row r="1230" outlineLevel="1" s="326">
      <c r="A1230" s="140" t="n">
        <v>6</v>
      </c>
      <c r="B1230" s="40">
        <f>B85</f>
        <v/>
      </c>
      <c r="C1230" s="141">
        <f>D85</f>
        <v/>
      </c>
      <c r="D1230" s="141">
        <f>I85</f>
        <v/>
      </c>
      <c r="E1230" s="141">
        <f>J85</f>
        <v/>
      </c>
      <c r="F1230" s="141">
        <f>K85</f>
        <v/>
      </c>
      <c r="G1230" s="138">
        <f>IF(AND($L$249&gt;0,A1230=$C$13),$L$249*($C$15+$C$18),0)+IF(AND($L$249&gt;0,A1230=$C$13),$C$24,0)</f>
        <v/>
      </c>
      <c r="H1230" s="138">
        <f>IF(OR($L$249&lt;=0,A1230&lt;$C$13),0,IF(AND($L$249&gt;0,$C$17&gt;0,A1230&gt;=$C$13,A1230&lt;($C$13+$C$17)),IF($C$17&lt;=0,0,IF($C$16=0,MAX($L$249*(1-$C$15),0)/$C$17,-PMT($C$16/12,$C$17*12,MAX($L$249*(1-$C$15),0))*12)),0)+X1230*($C$19+$C$20+$C$21)+$C$22+$C$23)</f>
        <v/>
      </c>
      <c r="I1230" s="138">
        <f>IF(B1230="Working",MIN(MAX(D1230-E1230-F1230-G1230-H1230,0),'Tax Assumptions'!$B$20),0)</f>
        <v/>
      </c>
      <c r="J1230" s="138">
        <f>IF(B1230="Working",D1230-E1230-F1230-I1230-G1230-H1230,-L1230)</f>
        <v/>
      </c>
      <c r="K1230" s="141">
        <f>IF(B1230="Retired",$N$249+G1230+H1230,0)</f>
        <v/>
      </c>
      <c r="L1230" s="141">
        <f>M1230+N1230+O1230+P1230</f>
        <v/>
      </c>
      <c r="M1230" s="141">
        <f>IF(B1230="Retired",MIN(((Q1229)*(1+$C$10)+IF(B1230="Working",J1230,0)),K1230),0)</f>
        <v/>
      </c>
      <c r="N1230" s="141">
        <f>IF(B1230="Retired",MIN(MAX(K1230-M1230,0),((R1229)*(1+$C$10)+IF(B1230="Working",E85,0))),0)</f>
        <v/>
      </c>
      <c r="O1230" s="141">
        <f>IF(B1230="Retired",MIN(MAX(K1230-M1230-N1230,0),((S1229)*(1+$C$10)+IF(B1230="Working",I1230,0))),0)</f>
        <v/>
      </c>
      <c r="P1230" s="141">
        <f>IF(B1230="Retired",MIN(MAX(K1230-M1230-N1230-O1230,0),((T1229)*(1+$C$10)+IF(B1230="Working",F85,0))),0)</f>
        <v/>
      </c>
      <c r="Q1230" s="138">
        <f>MAX(((Q1229)*(1+$C$10)+IF(B1230="Working",J1230,0))-M1230,0)</f>
        <v/>
      </c>
      <c r="R1230" s="138">
        <f>MAX(((R1229)*(1+$C$10)+IF(B1230="Working",E85,0))-N1230,0)</f>
        <v/>
      </c>
      <c r="S1230" s="138">
        <f>MAX(((S1229)*(1+$C$10)+IF(B1230="Working",I1230,0))-O1230,0)</f>
        <v/>
      </c>
      <c r="T1230" s="138">
        <f>MAX(((T1229)*(1+$C$10)+IF(B1230="Working",F85,0))-P1230,0)</f>
        <v/>
      </c>
      <c r="U1230" s="138">
        <f>Q1230+R1230+S1230+T1230</f>
        <v/>
      </c>
      <c r="V1230" s="138">
        <f>IF(B1230="Working",MAX(-(((Q1229)*(1+$C$10)+IF(B1230="Working",J1230,0))),0),MAX(K1230-L1230,0))</f>
        <v/>
      </c>
      <c r="W1230" s="138">
        <f>IF(OR(A1230&gt;=$C$13,B1230="Retired"),IF(V1230&gt;0,-V1230,U1230-'Model Inputs'!$B$18),"")</f>
        <v/>
      </c>
      <c r="X1230" s="138">
        <f>IF(AND($L$249&gt;0,A1230&gt;=$C$13),$L$249*(1+$C$25)^(A1230-$C$13),0)</f>
        <v/>
      </c>
      <c r="Y1230" s="138">
        <f>IF(OR($L$249&lt;=0,$C$17&lt;=0,A1230&lt;$C$13,MIN(MAX((A1230-$C$13+1)*12,0),$C$17*12)&gt;=$C$17*12),0,IF($C$16=0,MAX(MAX($L$249*(1-$C$15),0)-(IF($C$17&lt;=0,0,IF($C$16=0,MAX($L$249*(1-$C$15),0)/$C$17,-PMT($C$16/12,$C$17*12,MAX($L$249*(1-$C$15),0))*12))/12)*MIN(MAX((A1230-$C$13+1)*12,0),$C$17*12),0),MAX(MAX($L$249*(1-$C$15),0)*(1+$C$16/12)^MIN(MAX((A1230-$C$13+1)*12,0),$C$17*12)-(IF($C$17&lt;=0,0,IF($C$16=0,MAX($L$249*(1-$C$15),0)/$C$17,-PMT($C$16/12,$C$17*12,MAX($L$249*(1-$C$15),0))*12))/12)*(((1+$C$16/12)^MIN(MAX((A1230-$C$13+1)*12,0),$C$17*12)-1)/($C$16/12)),0)))</f>
        <v/>
      </c>
      <c r="Z1230" s="138">
        <f>MAX(X1230-Y1230,0)</f>
        <v/>
      </c>
      <c r="AA1230" s="142">
        <f>U1230+Z1230</f>
        <v/>
      </c>
      <c r="AB1230" s="5" t="n"/>
      <c r="AC1230" s="5" t="n"/>
      <c r="AD1230" s="5" t="n"/>
      <c r="AE1230" s="5" t="n"/>
      <c r="AF1230" s="5" t="n"/>
      <c r="AG1230" s="5" t="n"/>
    </row>
    <row r="1231" outlineLevel="1" s="326">
      <c r="A1231" s="136" t="n">
        <v>7</v>
      </c>
      <c r="B1231" s="72">
        <f>B86</f>
        <v/>
      </c>
      <c r="C1231" s="137">
        <f>D86</f>
        <v/>
      </c>
      <c r="D1231" s="137">
        <f>I86</f>
        <v/>
      </c>
      <c r="E1231" s="137">
        <f>J86</f>
        <v/>
      </c>
      <c r="F1231" s="137">
        <f>K86</f>
        <v/>
      </c>
      <c r="G1231" s="138">
        <f>IF(AND($L$249&gt;0,A1231=$C$13),$L$249*($C$15+$C$18),0)+IF(AND($L$249&gt;0,A1231=$C$13),$C$24,0)</f>
        <v/>
      </c>
      <c r="H1231" s="138">
        <f>IF(OR($L$249&lt;=0,A1231&lt;$C$13),0,IF(AND($L$249&gt;0,$C$17&gt;0,A1231&gt;=$C$13,A1231&lt;($C$13+$C$17)),IF($C$17&lt;=0,0,IF($C$16=0,MAX($L$249*(1-$C$15),0)/$C$17,-PMT($C$16/12,$C$17*12,MAX($L$249*(1-$C$15),0))*12)),0)+X1231*($C$19+$C$20+$C$21)+$C$22+$C$23)</f>
        <v/>
      </c>
      <c r="I1231" s="138">
        <f>IF(B1231="Working",MIN(MAX(D1231-E1231-F1231-G1231-H1231,0),'Tax Assumptions'!$B$20),0)</f>
        <v/>
      </c>
      <c r="J1231" s="138">
        <f>IF(B1231="Working",D1231-E1231-F1231-I1231-G1231-H1231,-L1231)</f>
        <v/>
      </c>
      <c r="K1231" s="137">
        <f>IF(B1231="Retired",$N$249+G1231+H1231,0)</f>
        <v/>
      </c>
      <c r="L1231" s="137">
        <f>M1231+N1231+O1231+P1231</f>
        <v/>
      </c>
      <c r="M1231" s="137">
        <f>IF(B1231="Retired",MIN(((Q1230)*(1+$C$10)+IF(B1231="Working",J1231,0)),K1231),0)</f>
        <v/>
      </c>
      <c r="N1231" s="137">
        <f>IF(B1231="Retired",MIN(MAX(K1231-M1231,0),((R1230)*(1+$C$10)+IF(B1231="Working",E86,0))),0)</f>
        <v/>
      </c>
      <c r="O1231" s="137">
        <f>IF(B1231="Retired",MIN(MAX(K1231-M1231-N1231,0),((S1230)*(1+$C$10)+IF(B1231="Working",I1231,0))),0)</f>
        <v/>
      </c>
      <c r="P1231" s="137">
        <f>IF(B1231="Retired",MIN(MAX(K1231-M1231-N1231-O1231,0),((T1230)*(1+$C$10)+IF(B1231="Working",F86,0))),0)</f>
        <v/>
      </c>
      <c r="Q1231" s="138">
        <f>MAX(((Q1230)*(1+$C$10)+IF(B1231="Working",J1231,0))-M1231,0)</f>
        <v/>
      </c>
      <c r="R1231" s="138">
        <f>MAX(((R1230)*(1+$C$10)+IF(B1231="Working",E86,0))-N1231,0)</f>
        <v/>
      </c>
      <c r="S1231" s="138">
        <f>MAX(((S1230)*(1+$C$10)+IF(B1231="Working",I1231,0))-O1231,0)</f>
        <v/>
      </c>
      <c r="T1231" s="138">
        <f>MAX(((T1230)*(1+$C$10)+IF(B1231="Working",F86,0))-P1231,0)</f>
        <v/>
      </c>
      <c r="U1231" s="138">
        <f>Q1231+R1231+S1231+T1231</f>
        <v/>
      </c>
      <c r="V1231" s="138">
        <f>IF(B1231="Working",MAX(-(((Q1230)*(1+$C$10)+IF(B1231="Working",J1231,0))),0),MAX(K1231-L1231,0))</f>
        <v/>
      </c>
      <c r="W1231" s="138">
        <f>IF(OR(A1231&gt;=$C$13,B1231="Retired"),IF(V1231&gt;0,-V1231,U1231-'Model Inputs'!$B$18),"")</f>
        <v/>
      </c>
      <c r="X1231" s="138">
        <f>IF(AND($L$249&gt;0,A1231&gt;=$C$13),$L$249*(1+$C$25)^(A1231-$C$13),0)</f>
        <v/>
      </c>
      <c r="Y1231" s="138">
        <f>IF(OR($L$249&lt;=0,$C$17&lt;=0,A1231&lt;$C$13,MIN(MAX((A1231-$C$13+1)*12,0),$C$17*12)&gt;=$C$17*12),0,IF($C$16=0,MAX(MAX($L$249*(1-$C$15),0)-(IF($C$17&lt;=0,0,IF($C$16=0,MAX($L$249*(1-$C$15),0)/$C$17,-PMT($C$16/12,$C$17*12,MAX($L$249*(1-$C$15),0))*12))/12)*MIN(MAX((A1231-$C$13+1)*12,0),$C$17*12),0),MAX(MAX($L$249*(1-$C$15),0)*(1+$C$16/12)^MIN(MAX((A1231-$C$13+1)*12,0),$C$17*12)-(IF($C$17&lt;=0,0,IF($C$16=0,MAX($L$249*(1-$C$15),0)/$C$17,-PMT($C$16/12,$C$17*12,MAX($L$249*(1-$C$15),0))*12))/12)*(((1+$C$16/12)^MIN(MAX((A1231-$C$13+1)*12,0),$C$17*12)-1)/($C$16/12)),0)))</f>
        <v/>
      </c>
      <c r="Z1231" s="138">
        <f>MAX(X1231-Y1231,0)</f>
        <v/>
      </c>
      <c r="AA1231" s="139">
        <f>U1231+Z1231</f>
        <v/>
      </c>
      <c r="AB1231" s="5" t="n"/>
      <c r="AC1231" s="5" t="n"/>
      <c r="AD1231" s="5" t="n"/>
      <c r="AE1231" s="5" t="n"/>
      <c r="AF1231" s="5" t="n"/>
      <c r="AG1231" s="5" t="n"/>
    </row>
    <row r="1232" outlineLevel="1" s="326">
      <c r="A1232" s="140" t="n">
        <v>8</v>
      </c>
      <c r="B1232" s="40">
        <f>B87</f>
        <v/>
      </c>
      <c r="C1232" s="141">
        <f>D87</f>
        <v/>
      </c>
      <c r="D1232" s="141">
        <f>I87</f>
        <v/>
      </c>
      <c r="E1232" s="141">
        <f>J87</f>
        <v/>
      </c>
      <c r="F1232" s="141">
        <f>K87</f>
        <v/>
      </c>
      <c r="G1232" s="138">
        <f>IF(AND($L$249&gt;0,A1232=$C$13),$L$249*($C$15+$C$18),0)+IF(AND($L$249&gt;0,A1232=$C$13),$C$24,0)</f>
        <v/>
      </c>
      <c r="H1232" s="138">
        <f>IF(OR($L$249&lt;=0,A1232&lt;$C$13),0,IF(AND($L$249&gt;0,$C$17&gt;0,A1232&gt;=$C$13,A1232&lt;($C$13+$C$17)),IF($C$17&lt;=0,0,IF($C$16=0,MAX($L$249*(1-$C$15),0)/$C$17,-PMT($C$16/12,$C$17*12,MAX($L$249*(1-$C$15),0))*12)),0)+X1232*($C$19+$C$20+$C$21)+$C$22+$C$23)</f>
        <v/>
      </c>
      <c r="I1232" s="138">
        <f>IF(B1232="Working",MIN(MAX(D1232-E1232-F1232-G1232-H1232,0),'Tax Assumptions'!$B$20),0)</f>
        <v/>
      </c>
      <c r="J1232" s="138">
        <f>IF(B1232="Working",D1232-E1232-F1232-I1232-G1232-H1232,-L1232)</f>
        <v/>
      </c>
      <c r="K1232" s="141">
        <f>IF(B1232="Retired",$N$249+G1232+H1232,0)</f>
        <v/>
      </c>
      <c r="L1232" s="141">
        <f>M1232+N1232+O1232+P1232</f>
        <v/>
      </c>
      <c r="M1232" s="141">
        <f>IF(B1232="Retired",MIN(((Q1231)*(1+$C$10)+IF(B1232="Working",J1232,0)),K1232),0)</f>
        <v/>
      </c>
      <c r="N1232" s="141">
        <f>IF(B1232="Retired",MIN(MAX(K1232-M1232,0),((R1231)*(1+$C$10)+IF(B1232="Working",E87,0))),0)</f>
        <v/>
      </c>
      <c r="O1232" s="141">
        <f>IF(B1232="Retired",MIN(MAX(K1232-M1232-N1232,0),((S1231)*(1+$C$10)+IF(B1232="Working",I1232,0))),0)</f>
        <v/>
      </c>
      <c r="P1232" s="141">
        <f>IF(B1232="Retired",MIN(MAX(K1232-M1232-N1232-O1232,0),((T1231)*(1+$C$10)+IF(B1232="Working",F87,0))),0)</f>
        <v/>
      </c>
      <c r="Q1232" s="138">
        <f>MAX(((Q1231)*(1+$C$10)+IF(B1232="Working",J1232,0))-M1232,0)</f>
        <v/>
      </c>
      <c r="R1232" s="138">
        <f>MAX(((R1231)*(1+$C$10)+IF(B1232="Working",E87,0))-N1232,0)</f>
        <v/>
      </c>
      <c r="S1232" s="138">
        <f>MAX(((S1231)*(1+$C$10)+IF(B1232="Working",I1232,0))-O1232,0)</f>
        <v/>
      </c>
      <c r="T1232" s="138">
        <f>MAX(((T1231)*(1+$C$10)+IF(B1232="Working",F87,0))-P1232,0)</f>
        <v/>
      </c>
      <c r="U1232" s="138">
        <f>Q1232+R1232+S1232+T1232</f>
        <v/>
      </c>
      <c r="V1232" s="138">
        <f>IF(B1232="Working",MAX(-(((Q1231)*(1+$C$10)+IF(B1232="Working",J1232,0))),0),MAX(K1232-L1232,0))</f>
        <v/>
      </c>
      <c r="W1232" s="138">
        <f>IF(OR(A1232&gt;=$C$13,B1232="Retired"),IF(V1232&gt;0,-V1232,U1232-'Model Inputs'!$B$18),"")</f>
        <v/>
      </c>
      <c r="X1232" s="138">
        <f>IF(AND($L$249&gt;0,A1232&gt;=$C$13),$L$249*(1+$C$25)^(A1232-$C$13),0)</f>
        <v/>
      </c>
      <c r="Y1232" s="138">
        <f>IF(OR($L$249&lt;=0,$C$17&lt;=0,A1232&lt;$C$13,MIN(MAX((A1232-$C$13+1)*12,0),$C$17*12)&gt;=$C$17*12),0,IF($C$16=0,MAX(MAX($L$249*(1-$C$15),0)-(IF($C$17&lt;=0,0,IF($C$16=0,MAX($L$249*(1-$C$15),0)/$C$17,-PMT($C$16/12,$C$17*12,MAX($L$249*(1-$C$15),0))*12))/12)*MIN(MAX((A1232-$C$13+1)*12,0),$C$17*12),0),MAX(MAX($L$249*(1-$C$15),0)*(1+$C$16/12)^MIN(MAX((A1232-$C$13+1)*12,0),$C$17*12)-(IF($C$17&lt;=0,0,IF($C$16=0,MAX($L$249*(1-$C$15),0)/$C$17,-PMT($C$16/12,$C$17*12,MAX($L$249*(1-$C$15),0))*12))/12)*(((1+$C$16/12)^MIN(MAX((A1232-$C$13+1)*12,0),$C$17*12)-1)/($C$16/12)),0)))</f>
        <v/>
      </c>
      <c r="Z1232" s="138">
        <f>MAX(X1232-Y1232,0)</f>
        <v/>
      </c>
      <c r="AA1232" s="142">
        <f>U1232+Z1232</f>
        <v/>
      </c>
      <c r="AB1232" s="5" t="n"/>
      <c r="AC1232" s="5" t="n"/>
      <c r="AD1232" s="5" t="n"/>
      <c r="AE1232" s="5" t="n"/>
      <c r="AF1232" s="5" t="n"/>
      <c r="AG1232" s="5" t="n"/>
    </row>
    <row r="1233" outlineLevel="1" s="326">
      <c r="A1233" s="136" t="n">
        <v>9</v>
      </c>
      <c r="B1233" s="72">
        <f>B88</f>
        <v/>
      </c>
      <c r="C1233" s="137">
        <f>D88</f>
        <v/>
      </c>
      <c r="D1233" s="137">
        <f>I88</f>
        <v/>
      </c>
      <c r="E1233" s="137">
        <f>J88</f>
        <v/>
      </c>
      <c r="F1233" s="137">
        <f>K88</f>
        <v/>
      </c>
      <c r="G1233" s="138">
        <f>IF(AND($L$249&gt;0,A1233=$C$13),$L$249*($C$15+$C$18),0)+IF(AND($L$249&gt;0,A1233=$C$13),$C$24,0)</f>
        <v/>
      </c>
      <c r="H1233" s="138">
        <f>IF(OR($L$249&lt;=0,A1233&lt;$C$13),0,IF(AND($L$249&gt;0,$C$17&gt;0,A1233&gt;=$C$13,A1233&lt;($C$13+$C$17)),IF($C$17&lt;=0,0,IF($C$16=0,MAX($L$249*(1-$C$15),0)/$C$17,-PMT($C$16/12,$C$17*12,MAX($L$249*(1-$C$15),0))*12)),0)+X1233*($C$19+$C$20+$C$21)+$C$22+$C$23)</f>
        <v/>
      </c>
      <c r="I1233" s="138">
        <f>IF(B1233="Working",MIN(MAX(D1233-E1233-F1233-G1233-H1233,0),'Tax Assumptions'!$B$20),0)</f>
        <v/>
      </c>
      <c r="J1233" s="138">
        <f>IF(B1233="Working",D1233-E1233-F1233-I1233-G1233-H1233,-L1233)</f>
        <v/>
      </c>
      <c r="K1233" s="137">
        <f>IF(B1233="Retired",$N$249+G1233+H1233,0)</f>
        <v/>
      </c>
      <c r="L1233" s="137">
        <f>M1233+N1233+O1233+P1233</f>
        <v/>
      </c>
      <c r="M1233" s="137">
        <f>IF(B1233="Retired",MIN(((Q1232)*(1+$C$10)+IF(B1233="Working",J1233,0)),K1233),0)</f>
        <v/>
      </c>
      <c r="N1233" s="137">
        <f>IF(B1233="Retired",MIN(MAX(K1233-M1233,0),((R1232)*(1+$C$10)+IF(B1233="Working",E88,0))),0)</f>
        <v/>
      </c>
      <c r="O1233" s="137">
        <f>IF(B1233="Retired",MIN(MAX(K1233-M1233-N1233,0),((S1232)*(1+$C$10)+IF(B1233="Working",I1233,0))),0)</f>
        <v/>
      </c>
      <c r="P1233" s="137">
        <f>IF(B1233="Retired",MIN(MAX(K1233-M1233-N1233-O1233,0),((T1232)*(1+$C$10)+IF(B1233="Working",F88,0))),0)</f>
        <v/>
      </c>
      <c r="Q1233" s="138">
        <f>MAX(((Q1232)*(1+$C$10)+IF(B1233="Working",J1233,0))-M1233,0)</f>
        <v/>
      </c>
      <c r="R1233" s="138">
        <f>MAX(((R1232)*(1+$C$10)+IF(B1233="Working",E88,0))-N1233,0)</f>
        <v/>
      </c>
      <c r="S1233" s="138">
        <f>MAX(((S1232)*(1+$C$10)+IF(B1233="Working",I1233,0))-O1233,0)</f>
        <v/>
      </c>
      <c r="T1233" s="138">
        <f>MAX(((T1232)*(1+$C$10)+IF(B1233="Working",F88,0))-P1233,0)</f>
        <v/>
      </c>
      <c r="U1233" s="138">
        <f>Q1233+R1233+S1233+T1233</f>
        <v/>
      </c>
      <c r="V1233" s="138">
        <f>IF(B1233="Working",MAX(-(((Q1232)*(1+$C$10)+IF(B1233="Working",J1233,0))),0),MAX(K1233-L1233,0))</f>
        <v/>
      </c>
      <c r="W1233" s="138">
        <f>IF(OR(A1233&gt;=$C$13,B1233="Retired"),IF(V1233&gt;0,-V1233,U1233-'Model Inputs'!$B$18),"")</f>
        <v/>
      </c>
      <c r="X1233" s="138">
        <f>IF(AND($L$249&gt;0,A1233&gt;=$C$13),$L$249*(1+$C$25)^(A1233-$C$13),0)</f>
        <v/>
      </c>
      <c r="Y1233" s="138">
        <f>IF(OR($L$249&lt;=0,$C$17&lt;=0,A1233&lt;$C$13,MIN(MAX((A1233-$C$13+1)*12,0),$C$17*12)&gt;=$C$17*12),0,IF($C$16=0,MAX(MAX($L$249*(1-$C$15),0)-(IF($C$17&lt;=0,0,IF($C$16=0,MAX($L$249*(1-$C$15),0)/$C$17,-PMT($C$16/12,$C$17*12,MAX($L$249*(1-$C$15),0))*12))/12)*MIN(MAX((A1233-$C$13+1)*12,0),$C$17*12),0),MAX(MAX($L$249*(1-$C$15),0)*(1+$C$16/12)^MIN(MAX((A1233-$C$13+1)*12,0),$C$17*12)-(IF($C$17&lt;=0,0,IF($C$16=0,MAX($L$249*(1-$C$15),0)/$C$17,-PMT($C$16/12,$C$17*12,MAX($L$249*(1-$C$15),0))*12))/12)*(((1+$C$16/12)^MIN(MAX((A1233-$C$13+1)*12,0),$C$17*12)-1)/($C$16/12)),0)))</f>
        <v/>
      </c>
      <c r="Z1233" s="138">
        <f>MAX(X1233-Y1233,0)</f>
        <v/>
      </c>
      <c r="AA1233" s="139">
        <f>U1233+Z1233</f>
        <v/>
      </c>
      <c r="AB1233" s="5" t="n"/>
      <c r="AC1233" s="5" t="n"/>
      <c r="AD1233" s="5" t="n"/>
      <c r="AE1233" s="5" t="n"/>
      <c r="AF1233" s="5" t="n"/>
      <c r="AG1233" s="5" t="n"/>
    </row>
    <row r="1234" outlineLevel="1" s="326">
      <c r="A1234" s="140" t="n">
        <v>10</v>
      </c>
      <c r="B1234" s="40">
        <f>B89</f>
        <v/>
      </c>
      <c r="C1234" s="141">
        <f>D89</f>
        <v/>
      </c>
      <c r="D1234" s="141">
        <f>I89</f>
        <v/>
      </c>
      <c r="E1234" s="141">
        <f>J89</f>
        <v/>
      </c>
      <c r="F1234" s="141">
        <f>K89</f>
        <v/>
      </c>
      <c r="G1234" s="138">
        <f>IF(AND($L$249&gt;0,A1234=$C$13),$L$249*($C$15+$C$18),0)+IF(AND($L$249&gt;0,A1234=$C$13),$C$24,0)</f>
        <v/>
      </c>
      <c r="H1234" s="138">
        <f>IF(OR($L$249&lt;=0,A1234&lt;$C$13),0,IF(AND($L$249&gt;0,$C$17&gt;0,A1234&gt;=$C$13,A1234&lt;($C$13+$C$17)),IF($C$17&lt;=0,0,IF($C$16=0,MAX($L$249*(1-$C$15),0)/$C$17,-PMT($C$16/12,$C$17*12,MAX($L$249*(1-$C$15),0))*12)),0)+X1234*($C$19+$C$20+$C$21)+$C$22+$C$23)</f>
        <v/>
      </c>
      <c r="I1234" s="138">
        <f>IF(B1234="Working",MIN(MAX(D1234-E1234-F1234-G1234-H1234,0),'Tax Assumptions'!$B$20),0)</f>
        <v/>
      </c>
      <c r="J1234" s="138">
        <f>IF(B1234="Working",D1234-E1234-F1234-I1234-G1234-H1234,-L1234)</f>
        <v/>
      </c>
      <c r="K1234" s="141">
        <f>IF(B1234="Retired",$N$249+G1234+H1234,0)</f>
        <v/>
      </c>
      <c r="L1234" s="141">
        <f>M1234+N1234+O1234+P1234</f>
        <v/>
      </c>
      <c r="M1234" s="141">
        <f>IF(B1234="Retired",MIN(((Q1233)*(1+$C$10)+IF(B1234="Working",J1234,0)),K1234),0)</f>
        <v/>
      </c>
      <c r="N1234" s="141">
        <f>IF(B1234="Retired",MIN(MAX(K1234-M1234,0),((R1233)*(1+$C$10)+IF(B1234="Working",E89,0))),0)</f>
        <v/>
      </c>
      <c r="O1234" s="141">
        <f>IF(B1234="Retired",MIN(MAX(K1234-M1234-N1234,0),((S1233)*(1+$C$10)+IF(B1234="Working",I1234,0))),0)</f>
        <v/>
      </c>
      <c r="P1234" s="141">
        <f>IF(B1234="Retired",MIN(MAX(K1234-M1234-N1234-O1234,0),((T1233)*(1+$C$10)+IF(B1234="Working",F89,0))),0)</f>
        <v/>
      </c>
      <c r="Q1234" s="138">
        <f>MAX(((Q1233)*(1+$C$10)+IF(B1234="Working",J1234,0))-M1234,0)</f>
        <v/>
      </c>
      <c r="R1234" s="138">
        <f>MAX(((R1233)*(1+$C$10)+IF(B1234="Working",E89,0))-N1234,0)</f>
        <v/>
      </c>
      <c r="S1234" s="138">
        <f>MAX(((S1233)*(1+$C$10)+IF(B1234="Working",I1234,0))-O1234,0)</f>
        <v/>
      </c>
      <c r="T1234" s="138">
        <f>MAX(((T1233)*(1+$C$10)+IF(B1234="Working",F89,0))-P1234,0)</f>
        <v/>
      </c>
      <c r="U1234" s="138">
        <f>Q1234+R1234+S1234+T1234</f>
        <v/>
      </c>
      <c r="V1234" s="138">
        <f>IF(B1234="Working",MAX(-(((Q1233)*(1+$C$10)+IF(B1234="Working",J1234,0))),0),MAX(K1234-L1234,0))</f>
        <v/>
      </c>
      <c r="W1234" s="138">
        <f>IF(OR(A1234&gt;=$C$13,B1234="Retired"),IF(V1234&gt;0,-V1234,U1234-'Model Inputs'!$B$18),"")</f>
        <v/>
      </c>
      <c r="X1234" s="138">
        <f>IF(AND($L$249&gt;0,A1234&gt;=$C$13),$L$249*(1+$C$25)^(A1234-$C$13),0)</f>
        <v/>
      </c>
      <c r="Y1234" s="138">
        <f>IF(OR($L$249&lt;=0,$C$17&lt;=0,A1234&lt;$C$13,MIN(MAX((A1234-$C$13+1)*12,0),$C$17*12)&gt;=$C$17*12),0,IF($C$16=0,MAX(MAX($L$249*(1-$C$15),0)-(IF($C$17&lt;=0,0,IF($C$16=0,MAX($L$249*(1-$C$15),0)/$C$17,-PMT($C$16/12,$C$17*12,MAX($L$249*(1-$C$15),0))*12))/12)*MIN(MAX((A1234-$C$13+1)*12,0),$C$17*12),0),MAX(MAX($L$249*(1-$C$15),0)*(1+$C$16/12)^MIN(MAX((A1234-$C$13+1)*12,0),$C$17*12)-(IF($C$17&lt;=0,0,IF($C$16=0,MAX($L$249*(1-$C$15),0)/$C$17,-PMT($C$16/12,$C$17*12,MAX($L$249*(1-$C$15),0))*12))/12)*(((1+$C$16/12)^MIN(MAX((A1234-$C$13+1)*12,0),$C$17*12)-1)/($C$16/12)),0)))</f>
        <v/>
      </c>
      <c r="Z1234" s="138">
        <f>MAX(X1234-Y1234,0)</f>
        <v/>
      </c>
      <c r="AA1234" s="142">
        <f>U1234+Z1234</f>
        <v/>
      </c>
      <c r="AB1234" s="5" t="n"/>
      <c r="AC1234" s="5" t="n"/>
      <c r="AD1234" s="5" t="n"/>
      <c r="AE1234" s="5" t="n"/>
      <c r="AF1234" s="5" t="n"/>
      <c r="AG1234" s="5" t="n"/>
    </row>
    <row r="1235" outlineLevel="1" s="326">
      <c r="A1235" s="136" t="n">
        <v>11</v>
      </c>
      <c r="B1235" s="72">
        <f>B90</f>
        <v/>
      </c>
      <c r="C1235" s="137">
        <f>D90</f>
        <v/>
      </c>
      <c r="D1235" s="137">
        <f>I90</f>
        <v/>
      </c>
      <c r="E1235" s="137">
        <f>J90</f>
        <v/>
      </c>
      <c r="F1235" s="137">
        <f>K90</f>
        <v/>
      </c>
      <c r="G1235" s="138">
        <f>IF(AND($L$249&gt;0,A1235=$C$13),$L$249*($C$15+$C$18),0)+IF(AND($L$249&gt;0,A1235=$C$13),$C$24,0)</f>
        <v/>
      </c>
      <c r="H1235" s="138">
        <f>IF(OR($L$249&lt;=0,A1235&lt;$C$13),0,IF(AND($L$249&gt;0,$C$17&gt;0,A1235&gt;=$C$13,A1235&lt;($C$13+$C$17)),IF($C$17&lt;=0,0,IF($C$16=0,MAX($L$249*(1-$C$15),0)/$C$17,-PMT($C$16/12,$C$17*12,MAX($L$249*(1-$C$15),0))*12)),0)+X1235*($C$19+$C$20+$C$21)+$C$22+$C$23)</f>
        <v/>
      </c>
      <c r="I1235" s="138">
        <f>IF(B1235="Working",MIN(MAX(D1235-E1235-F1235-G1235-H1235,0),'Tax Assumptions'!$B$20),0)</f>
        <v/>
      </c>
      <c r="J1235" s="138">
        <f>IF(B1235="Working",D1235-E1235-F1235-I1235-G1235-H1235,-L1235)</f>
        <v/>
      </c>
      <c r="K1235" s="137">
        <f>IF(B1235="Retired",$N$249+G1235+H1235,0)</f>
        <v/>
      </c>
      <c r="L1235" s="137">
        <f>M1235+N1235+O1235+P1235</f>
        <v/>
      </c>
      <c r="M1235" s="137">
        <f>IF(B1235="Retired",MIN(((Q1234)*(1+$C$10)+IF(B1235="Working",J1235,0)),K1235),0)</f>
        <v/>
      </c>
      <c r="N1235" s="137">
        <f>IF(B1235="Retired",MIN(MAX(K1235-M1235,0),((R1234)*(1+$C$10)+IF(B1235="Working",E90,0))),0)</f>
        <v/>
      </c>
      <c r="O1235" s="137">
        <f>IF(B1235="Retired",MIN(MAX(K1235-M1235-N1235,0),((S1234)*(1+$C$10)+IF(B1235="Working",I1235,0))),0)</f>
        <v/>
      </c>
      <c r="P1235" s="137">
        <f>IF(B1235="Retired",MIN(MAX(K1235-M1235-N1235-O1235,0),((T1234)*(1+$C$10)+IF(B1235="Working",F90,0))),0)</f>
        <v/>
      </c>
      <c r="Q1235" s="138">
        <f>MAX(((Q1234)*(1+$C$10)+IF(B1235="Working",J1235,0))-M1235,0)</f>
        <v/>
      </c>
      <c r="R1235" s="138">
        <f>MAX(((R1234)*(1+$C$10)+IF(B1235="Working",E90,0))-N1235,0)</f>
        <v/>
      </c>
      <c r="S1235" s="138">
        <f>MAX(((S1234)*(1+$C$10)+IF(B1235="Working",I1235,0))-O1235,0)</f>
        <v/>
      </c>
      <c r="T1235" s="138">
        <f>MAX(((T1234)*(1+$C$10)+IF(B1235="Working",F90,0))-P1235,0)</f>
        <v/>
      </c>
      <c r="U1235" s="138">
        <f>Q1235+R1235+S1235+T1235</f>
        <v/>
      </c>
      <c r="V1235" s="138">
        <f>IF(B1235="Working",MAX(-(((Q1234)*(1+$C$10)+IF(B1235="Working",J1235,0))),0),MAX(K1235-L1235,0))</f>
        <v/>
      </c>
      <c r="W1235" s="138">
        <f>IF(OR(A1235&gt;=$C$13,B1235="Retired"),IF(V1235&gt;0,-V1235,U1235-'Model Inputs'!$B$18),"")</f>
        <v/>
      </c>
      <c r="X1235" s="138">
        <f>IF(AND($L$249&gt;0,A1235&gt;=$C$13),$L$249*(1+$C$25)^(A1235-$C$13),0)</f>
        <v/>
      </c>
      <c r="Y1235" s="138">
        <f>IF(OR($L$249&lt;=0,$C$17&lt;=0,A1235&lt;$C$13,MIN(MAX((A1235-$C$13+1)*12,0),$C$17*12)&gt;=$C$17*12),0,IF($C$16=0,MAX(MAX($L$249*(1-$C$15),0)-(IF($C$17&lt;=0,0,IF($C$16=0,MAX($L$249*(1-$C$15),0)/$C$17,-PMT($C$16/12,$C$17*12,MAX($L$249*(1-$C$15),0))*12))/12)*MIN(MAX((A1235-$C$13+1)*12,0),$C$17*12),0),MAX(MAX($L$249*(1-$C$15),0)*(1+$C$16/12)^MIN(MAX((A1235-$C$13+1)*12,0),$C$17*12)-(IF($C$17&lt;=0,0,IF($C$16=0,MAX($L$249*(1-$C$15),0)/$C$17,-PMT($C$16/12,$C$17*12,MAX($L$249*(1-$C$15),0))*12))/12)*(((1+$C$16/12)^MIN(MAX((A1235-$C$13+1)*12,0),$C$17*12)-1)/($C$16/12)),0)))</f>
        <v/>
      </c>
      <c r="Z1235" s="138">
        <f>MAX(X1235-Y1235,0)</f>
        <v/>
      </c>
      <c r="AA1235" s="139">
        <f>U1235+Z1235</f>
        <v/>
      </c>
      <c r="AB1235" s="5" t="n"/>
      <c r="AC1235" s="5" t="n"/>
      <c r="AD1235" s="5" t="n"/>
      <c r="AE1235" s="5" t="n"/>
      <c r="AF1235" s="5" t="n"/>
      <c r="AG1235" s="5" t="n"/>
    </row>
    <row r="1236" outlineLevel="1" s="326">
      <c r="A1236" s="140" t="n">
        <v>12</v>
      </c>
      <c r="B1236" s="40">
        <f>B91</f>
        <v/>
      </c>
      <c r="C1236" s="141">
        <f>D91</f>
        <v/>
      </c>
      <c r="D1236" s="141">
        <f>I91</f>
        <v/>
      </c>
      <c r="E1236" s="141">
        <f>J91</f>
        <v/>
      </c>
      <c r="F1236" s="141">
        <f>K91</f>
        <v/>
      </c>
      <c r="G1236" s="138">
        <f>IF(AND($L$249&gt;0,A1236=$C$13),$L$249*($C$15+$C$18),0)+IF(AND($L$249&gt;0,A1236=$C$13),$C$24,0)</f>
        <v/>
      </c>
      <c r="H1236" s="138">
        <f>IF(OR($L$249&lt;=0,A1236&lt;$C$13),0,IF(AND($L$249&gt;0,$C$17&gt;0,A1236&gt;=$C$13,A1236&lt;($C$13+$C$17)),IF($C$17&lt;=0,0,IF($C$16=0,MAX($L$249*(1-$C$15),0)/$C$17,-PMT($C$16/12,$C$17*12,MAX($L$249*(1-$C$15),0))*12)),0)+X1236*($C$19+$C$20+$C$21)+$C$22+$C$23)</f>
        <v/>
      </c>
      <c r="I1236" s="138">
        <f>IF(B1236="Working",MIN(MAX(D1236-E1236-F1236-G1236-H1236,0),'Tax Assumptions'!$B$20),0)</f>
        <v/>
      </c>
      <c r="J1236" s="138">
        <f>IF(B1236="Working",D1236-E1236-F1236-I1236-G1236-H1236,-L1236)</f>
        <v/>
      </c>
      <c r="K1236" s="141">
        <f>IF(B1236="Retired",$N$249+G1236+H1236,0)</f>
        <v/>
      </c>
      <c r="L1236" s="141">
        <f>M1236+N1236+O1236+P1236</f>
        <v/>
      </c>
      <c r="M1236" s="141">
        <f>IF(B1236="Retired",MIN(((Q1235)*(1+$C$10)+IF(B1236="Working",J1236,0)),K1236),0)</f>
        <v/>
      </c>
      <c r="N1236" s="141">
        <f>IF(B1236="Retired",MIN(MAX(K1236-M1236,0),((R1235)*(1+$C$10)+IF(B1236="Working",E91,0))),0)</f>
        <v/>
      </c>
      <c r="O1236" s="141">
        <f>IF(B1236="Retired",MIN(MAX(K1236-M1236-N1236,0),((S1235)*(1+$C$10)+IF(B1236="Working",I1236,0))),0)</f>
        <v/>
      </c>
      <c r="P1236" s="141">
        <f>IF(B1236="Retired",MIN(MAX(K1236-M1236-N1236-O1236,0),((T1235)*(1+$C$10)+IF(B1236="Working",F91,0))),0)</f>
        <v/>
      </c>
      <c r="Q1236" s="138">
        <f>MAX(((Q1235)*(1+$C$10)+IF(B1236="Working",J1236,0))-M1236,0)</f>
        <v/>
      </c>
      <c r="R1236" s="138">
        <f>MAX(((R1235)*(1+$C$10)+IF(B1236="Working",E91,0))-N1236,0)</f>
        <v/>
      </c>
      <c r="S1236" s="138">
        <f>MAX(((S1235)*(1+$C$10)+IF(B1236="Working",I1236,0))-O1236,0)</f>
        <v/>
      </c>
      <c r="T1236" s="138">
        <f>MAX(((T1235)*(1+$C$10)+IF(B1236="Working",F91,0))-P1236,0)</f>
        <v/>
      </c>
      <c r="U1236" s="138">
        <f>Q1236+R1236+S1236+T1236</f>
        <v/>
      </c>
      <c r="V1236" s="138">
        <f>IF(B1236="Working",MAX(-(((Q1235)*(1+$C$10)+IF(B1236="Working",J1236,0))),0),MAX(K1236-L1236,0))</f>
        <v/>
      </c>
      <c r="W1236" s="138">
        <f>IF(OR(A1236&gt;=$C$13,B1236="Retired"),IF(V1236&gt;0,-V1236,U1236-'Model Inputs'!$B$18),"")</f>
        <v/>
      </c>
      <c r="X1236" s="138">
        <f>IF(AND($L$249&gt;0,A1236&gt;=$C$13),$L$249*(1+$C$25)^(A1236-$C$13),0)</f>
        <v/>
      </c>
      <c r="Y1236" s="138">
        <f>IF(OR($L$249&lt;=0,$C$17&lt;=0,A1236&lt;$C$13,MIN(MAX((A1236-$C$13+1)*12,0),$C$17*12)&gt;=$C$17*12),0,IF($C$16=0,MAX(MAX($L$249*(1-$C$15),0)-(IF($C$17&lt;=0,0,IF($C$16=0,MAX($L$249*(1-$C$15),0)/$C$17,-PMT($C$16/12,$C$17*12,MAX($L$249*(1-$C$15),0))*12))/12)*MIN(MAX((A1236-$C$13+1)*12,0),$C$17*12),0),MAX(MAX($L$249*(1-$C$15),0)*(1+$C$16/12)^MIN(MAX((A1236-$C$13+1)*12,0),$C$17*12)-(IF($C$17&lt;=0,0,IF($C$16=0,MAX($L$249*(1-$C$15),0)/$C$17,-PMT($C$16/12,$C$17*12,MAX($L$249*(1-$C$15),0))*12))/12)*(((1+$C$16/12)^MIN(MAX((A1236-$C$13+1)*12,0),$C$17*12)-1)/($C$16/12)),0)))</f>
        <v/>
      </c>
      <c r="Z1236" s="138">
        <f>MAX(X1236-Y1236,0)</f>
        <v/>
      </c>
      <c r="AA1236" s="142">
        <f>U1236+Z1236</f>
        <v/>
      </c>
      <c r="AB1236" s="5" t="n"/>
      <c r="AC1236" s="5" t="n"/>
      <c r="AD1236" s="5" t="n"/>
      <c r="AE1236" s="5" t="n"/>
      <c r="AF1236" s="5" t="n"/>
      <c r="AG1236" s="5" t="n"/>
    </row>
    <row r="1237" outlineLevel="1" s="326">
      <c r="A1237" s="136" t="n">
        <v>13</v>
      </c>
      <c r="B1237" s="72">
        <f>B92</f>
        <v/>
      </c>
      <c r="C1237" s="137">
        <f>D92</f>
        <v/>
      </c>
      <c r="D1237" s="137">
        <f>I92</f>
        <v/>
      </c>
      <c r="E1237" s="137">
        <f>J92</f>
        <v/>
      </c>
      <c r="F1237" s="137">
        <f>K92</f>
        <v/>
      </c>
      <c r="G1237" s="138">
        <f>IF(AND($L$249&gt;0,A1237=$C$13),$L$249*($C$15+$C$18),0)+IF(AND($L$249&gt;0,A1237=$C$13),$C$24,0)</f>
        <v/>
      </c>
      <c r="H1237" s="138">
        <f>IF(OR($L$249&lt;=0,A1237&lt;$C$13),0,IF(AND($L$249&gt;0,$C$17&gt;0,A1237&gt;=$C$13,A1237&lt;($C$13+$C$17)),IF($C$17&lt;=0,0,IF($C$16=0,MAX($L$249*(1-$C$15),0)/$C$17,-PMT($C$16/12,$C$17*12,MAX($L$249*(1-$C$15),0))*12)),0)+X1237*($C$19+$C$20+$C$21)+$C$22+$C$23)</f>
        <v/>
      </c>
      <c r="I1237" s="138">
        <f>IF(B1237="Working",MIN(MAX(D1237-E1237-F1237-G1237-H1237,0),'Tax Assumptions'!$B$20),0)</f>
        <v/>
      </c>
      <c r="J1237" s="138">
        <f>IF(B1237="Working",D1237-E1237-F1237-I1237-G1237-H1237,-L1237)</f>
        <v/>
      </c>
      <c r="K1237" s="137">
        <f>IF(B1237="Retired",$N$249+G1237+H1237,0)</f>
        <v/>
      </c>
      <c r="L1237" s="137">
        <f>M1237+N1237+O1237+P1237</f>
        <v/>
      </c>
      <c r="M1237" s="137">
        <f>IF(B1237="Retired",MIN(((Q1236)*(1+$C$10)+IF(B1237="Working",J1237,0)),K1237),0)</f>
        <v/>
      </c>
      <c r="N1237" s="137">
        <f>IF(B1237="Retired",MIN(MAX(K1237-M1237,0),((R1236)*(1+$C$10)+IF(B1237="Working",E92,0))),0)</f>
        <v/>
      </c>
      <c r="O1237" s="137">
        <f>IF(B1237="Retired",MIN(MAX(K1237-M1237-N1237,0),((S1236)*(1+$C$10)+IF(B1237="Working",I1237,0))),0)</f>
        <v/>
      </c>
      <c r="P1237" s="137">
        <f>IF(B1237="Retired",MIN(MAX(K1237-M1237-N1237-O1237,0),((T1236)*(1+$C$10)+IF(B1237="Working",F92,0))),0)</f>
        <v/>
      </c>
      <c r="Q1237" s="138">
        <f>MAX(((Q1236)*(1+$C$10)+IF(B1237="Working",J1237,0))-M1237,0)</f>
        <v/>
      </c>
      <c r="R1237" s="138">
        <f>MAX(((R1236)*(1+$C$10)+IF(B1237="Working",E92,0))-N1237,0)</f>
        <v/>
      </c>
      <c r="S1237" s="138">
        <f>MAX(((S1236)*(1+$C$10)+IF(B1237="Working",I1237,0))-O1237,0)</f>
        <v/>
      </c>
      <c r="T1237" s="138">
        <f>MAX(((T1236)*(1+$C$10)+IF(B1237="Working",F92,0))-P1237,0)</f>
        <v/>
      </c>
      <c r="U1237" s="138">
        <f>Q1237+R1237+S1237+T1237</f>
        <v/>
      </c>
      <c r="V1237" s="138">
        <f>IF(B1237="Working",MAX(-(((Q1236)*(1+$C$10)+IF(B1237="Working",J1237,0))),0),MAX(K1237-L1237,0))</f>
        <v/>
      </c>
      <c r="W1237" s="138">
        <f>IF(OR(A1237&gt;=$C$13,B1237="Retired"),IF(V1237&gt;0,-V1237,U1237-'Model Inputs'!$B$18),"")</f>
        <v/>
      </c>
      <c r="X1237" s="138">
        <f>IF(AND($L$249&gt;0,A1237&gt;=$C$13),$L$249*(1+$C$25)^(A1237-$C$13),0)</f>
        <v/>
      </c>
      <c r="Y1237" s="138">
        <f>IF(OR($L$249&lt;=0,$C$17&lt;=0,A1237&lt;$C$13,MIN(MAX((A1237-$C$13+1)*12,0),$C$17*12)&gt;=$C$17*12),0,IF($C$16=0,MAX(MAX($L$249*(1-$C$15),0)-(IF($C$17&lt;=0,0,IF($C$16=0,MAX($L$249*(1-$C$15),0)/$C$17,-PMT($C$16/12,$C$17*12,MAX($L$249*(1-$C$15),0))*12))/12)*MIN(MAX((A1237-$C$13+1)*12,0),$C$17*12),0),MAX(MAX($L$249*(1-$C$15),0)*(1+$C$16/12)^MIN(MAX((A1237-$C$13+1)*12,0),$C$17*12)-(IF($C$17&lt;=0,0,IF($C$16=0,MAX($L$249*(1-$C$15),0)/$C$17,-PMT($C$16/12,$C$17*12,MAX($L$249*(1-$C$15),0))*12))/12)*(((1+$C$16/12)^MIN(MAX((A1237-$C$13+1)*12,0),$C$17*12)-1)/($C$16/12)),0)))</f>
        <v/>
      </c>
      <c r="Z1237" s="138">
        <f>MAX(X1237-Y1237,0)</f>
        <v/>
      </c>
      <c r="AA1237" s="139">
        <f>U1237+Z1237</f>
        <v/>
      </c>
      <c r="AB1237" s="5" t="n"/>
      <c r="AC1237" s="5" t="n"/>
      <c r="AD1237" s="5" t="n"/>
      <c r="AE1237" s="5" t="n"/>
      <c r="AF1237" s="5" t="n"/>
      <c r="AG1237" s="5" t="n"/>
    </row>
    <row r="1238" outlineLevel="1" s="326">
      <c r="A1238" s="140" t="n">
        <v>14</v>
      </c>
      <c r="B1238" s="40">
        <f>B93</f>
        <v/>
      </c>
      <c r="C1238" s="141">
        <f>D93</f>
        <v/>
      </c>
      <c r="D1238" s="141">
        <f>I93</f>
        <v/>
      </c>
      <c r="E1238" s="141">
        <f>J93</f>
        <v/>
      </c>
      <c r="F1238" s="141">
        <f>K93</f>
        <v/>
      </c>
      <c r="G1238" s="138">
        <f>IF(AND($L$249&gt;0,A1238=$C$13),$L$249*($C$15+$C$18),0)+IF(AND($L$249&gt;0,A1238=$C$13),$C$24,0)</f>
        <v/>
      </c>
      <c r="H1238" s="138">
        <f>IF(OR($L$249&lt;=0,A1238&lt;$C$13),0,IF(AND($L$249&gt;0,$C$17&gt;0,A1238&gt;=$C$13,A1238&lt;($C$13+$C$17)),IF($C$17&lt;=0,0,IF($C$16=0,MAX($L$249*(1-$C$15),0)/$C$17,-PMT($C$16/12,$C$17*12,MAX($L$249*(1-$C$15),0))*12)),0)+X1238*($C$19+$C$20+$C$21)+$C$22+$C$23)</f>
        <v/>
      </c>
      <c r="I1238" s="138">
        <f>IF(B1238="Working",MIN(MAX(D1238-E1238-F1238-G1238-H1238,0),'Tax Assumptions'!$B$20),0)</f>
        <v/>
      </c>
      <c r="J1238" s="138">
        <f>IF(B1238="Working",D1238-E1238-F1238-I1238-G1238-H1238,-L1238)</f>
        <v/>
      </c>
      <c r="K1238" s="141">
        <f>IF(B1238="Retired",$N$249+G1238+H1238,0)</f>
        <v/>
      </c>
      <c r="L1238" s="141">
        <f>M1238+N1238+O1238+P1238</f>
        <v/>
      </c>
      <c r="M1238" s="141">
        <f>IF(B1238="Retired",MIN(((Q1237)*(1+$C$10)+IF(B1238="Working",J1238,0)),K1238),0)</f>
        <v/>
      </c>
      <c r="N1238" s="141">
        <f>IF(B1238="Retired",MIN(MAX(K1238-M1238,0),((R1237)*(1+$C$10)+IF(B1238="Working",E93,0))),0)</f>
        <v/>
      </c>
      <c r="O1238" s="141">
        <f>IF(B1238="Retired",MIN(MAX(K1238-M1238-N1238,0),((S1237)*(1+$C$10)+IF(B1238="Working",I1238,0))),0)</f>
        <v/>
      </c>
      <c r="P1238" s="141">
        <f>IF(B1238="Retired",MIN(MAX(K1238-M1238-N1238-O1238,0),((T1237)*(1+$C$10)+IF(B1238="Working",F93,0))),0)</f>
        <v/>
      </c>
      <c r="Q1238" s="138">
        <f>MAX(((Q1237)*(1+$C$10)+IF(B1238="Working",J1238,0))-M1238,0)</f>
        <v/>
      </c>
      <c r="R1238" s="138">
        <f>MAX(((R1237)*(1+$C$10)+IF(B1238="Working",E93,0))-N1238,0)</f>
        <v/>
      </c>
      <c r="S1238" s="138">
        <f>MAX(((S1237)*(1+$C$10)+IF(B1238="Working",I1238,0))-O1238,0)</f>
        <v/>
      </c>
      <c r="T1238" s="138">
        <f>MAX(((T1237)*(1+$C$10)+IF(B1238="Working",F93,0))-P1238,0)</f>
        <v/>
      </c>
      <c r="U1238" s="138">
        <f>Q1238+R1238+S1238+T1238</f>
        <v/>
      </c>
      <c r="V1238" s="138">
        <f>IF(B1238="Working",MAX(-(((Q1237)*(1+$C$10)+IF(B1238="Working",J1238,0))),0),MAX(K1238-L1238,0))</f>
        <v/>
      </c>
      <c r="W1238" s="138">
        <f>IF(OR(A1238&gt;=$C$13,B1238="Retired"),IF(V1238&gt;0,-V1238,U1238-'Model Inputs'!$B$18),"")</f>
        <v/>
      </c>
      <c r="X1238" s="138">
        <f>IF(AND($L$249&gt;0,A1238&gt;=$C$13),$L$249*(1+$C$25)^(A1238-$C$13),0)</f>
        <v/>
      </c>
      <c r="Y1238" s="138">
        <f>IF(OR($L$249&lt;=0,$C$17&lt;=0,A1238&lt;$C$13,MIN(MAX((A1238-$C$13+1)*12,0),$C$17*12)&gt;=$C$17*12),0,IF($C$16=0,MAX(MAX($L$249*(1-$C$15),0)-(IF($C$17&lt;=0,0,IF($C$16=0,MAX($L$249*(1-$C$15),0)/$C$17,-PMT($C$16/12,$C$17*12,MAX($L$249*(1-$C$15),0))*12))/12)*MIN(MAX((A1238-$C$13+1)*12,0),$C$17*12),0),MAX(MAX($L$249*(1-$C$15),0)*(1+$C$16/12)^MIN(MAX((A1238-$C$13+1)*12,0),$C$17*12)-(IF($C$17&lt;=0,0,IF($C$16=0,MAX($L$249*(1-$C$15),0)/$C$17,-PMT($C$16/12,$C$17*12,MAX($L$249*(1-$C$15),0))*12))/12)*(((1+$C$16/12)^MIN(MAX((A1238-$C$13+1)*12,0),$C$17*12)-1)/($C$16/12)),0)))</f>
        <v/>
      </c>
      <c r="Z1238" s="138">
        <f>MAX(X1238-Y1238,0)</f>
        <v/>
      </c>
      <c r="AA1238" s="142">
        <f>U1238+Z1238</f>
        <v/>
      </c>
      <c r="AB1238" s="5" t="n"/>
      <c r="AC1238" s="5" t="n"/>
      <c r="AD1238" s="5" t="n"/>
      <c r="AE1238" s="5" t="n"/>
      <c r="AF1238" s="5" t="n"/>
      <c r="AG1238" s="5" t="n"/>
    </row>
    <row r="1239" outlineLevel="1" s="326">
      <c r="A1239" s="136" t="n">
        <v>15</v>
      </c>
      <c r="B1239" s="72">
        <f>B94</f>
        <v/>
      </c>
      <c r="C1239" s="137">
        <f>D94</f>
        <v/>
      </c>
      <c r="D1239" s="137">
        <f>I94</f>
        <v/>
      </c>
      <c r="E1239" s="137">
        <f>J94</f>
        <v/>
      </c>
      <c r="F1239" s="137">
        <f>K94</f>
        <v/>
      </c>
      <c r="G1239" s="138">
        <f>IF(AND($L$249&gt;0,A1239=$C$13),$L$249*($C$15+$C$18),0)+IF(AND($L$249&gt;0,A1239=$C$13),$C$24,0)</f>
        <v/>
      </c>
      <c r="H1239" s="138">
        <f>IF(OR($L$249&lt;=0,A1239&lt;$C$13),0,IF(AND($L$249&gt;0,$C$17&gt;0,A1239&gt;=$C$13,A1239&lt;($C$13+$C$17)),IF($C$17&lt;=0,0,IF($C$16=0,MAX($L$249*(1-$C$15),0)/$C$17,-PMT($C$16/12,$C$17*12,MAX($L$249*(1-$C$15),0))*12)),0)+X1239*($C$19+$C$20+$C$21)+$C$22+$C$23)</f>
        <v/>
      </c>
      <c r="I1239" s="138">
        <f>IF(B1239="Working",MIN(MAX(D1239-E1239-F1239-G1239-H1239,0),'Tax Assumptions'!$B$20),0)</f>
        <v/>
      </c>
      <c r="J1239" s="138">
        <f>IF(B1239="Working",D1239-E1239-F1239-I1239-G1239-H1239,-L1239)</f>
        <v/>
      </c>
      <c r="K1239" s="137">
        <f>IF(B1239="Retired",$N$249+G1239+H1239,0)</f>
        <v/>
      </c>
      <c r="L1239" s="137">
        <f>M1239+N1239+O1239+P1239</f>
        <v/>
      </c>
      <c r="M1239" s="137">
        <f>IF(B1239="Retired",MIN(((Q1238)*(1+$C$10)+IF(B1239="Working",J1239,0)),K1239),0)</f>
        <v/>
      </c>
      <c r="N1239" s="137">
        <f>IF(B1239="Retired",MIN(MAX(K1239-M1239,0),((R1238)*(1+$C$10)+IF(B1239="Working",E94,0))),0)</f>
        <v/>
      </c>
      <c r="O1239" s="137">
        <f>IF(B1239="Retired",MIN(MAX(K1239-M1239-N1239,0),((S1238)*(1+$C$10)+IF(B1239="Working",I1239,0))),0)</f>
        <v/>
      </c>
      <c r="P1239" s="137">
        <f>IF(B1239="Retired",MIN(MAX(K1239-M1239-N1239-O1239,0),((T1238)*(1+$C$10)+IF(B1239="Working",F94,0))),0)</f>
        <v/>
      </c>
      <c r="Q1239" s="138">
        <f>MAX(((Q1238)*(1+$C$10)+IF(B1239="Working",J1239,0))-M1239,0)</f>
        <v/>
      </c>
      <c r="R1239" s="138">
        <f>MAX(((R1238)*(1+$C$10)+IF(B1239="Working",E94,0))-N1239,0)</f>
        <v/>
      </c>
      <c r="S1239" s="138">
        <f>MAX(((S1238)*(1+$C$10)+IF(B1239="Working",I1239,0))-O1239,0)</f>
        <v/>
      </c>
      <c r="T1239" s="138">
        <f>MAX(((T1238)*(1+$C$10)+IF(B1239="Working",F94,0))-P1239,0)</f>
        <v/>
      </c>
      <c r="U1239" s="138">
        <f>Q1239+R1239+S1239+T1239</f>
        <v/>
      </c>
      <c r="V1239" s="138">
        <f>IF(B1239="Working",MAX(-(((Q1238)*(1+$C$10)+IF(B1239="Working",J1239,0))),0),MAX(K1239-L1239,0))</f>
        <v/>
      </c>
      <c r="W1239" s="138">
        <f>IF(OR(A1239&gt;=$C$13,B1239="Retired"),IF(V1239&gt;0,-V1239,U1239-'Model Inputs'!$B$18),"")</f>
        <v/>
      </c>
      <c r="X1239" s="138">
        <f>IF(AND($L$249&gt;0,A1239&gt;=$C$13),$L$249*(1+$C$25)^(A1239-$C$13),0)</f>
        <v/>
      </c>
      <c r="Y1239" s="138">
        <f>IF(OR($L$249&lt;=0,$C$17&lt;=0,A1239&lt;$C$13,MIN(MAX((A1239-$C$13+1)*12,0),$C$17*12)&gt;=$C$17*12),0,IF($C$16=0,MAX(MAX($L$249*(1-$C$15),0)-(IF($C$17&lt;=0,0,IF($C$16=0,MAX($L$249*(1-$C$15),0)/$C$17,-PMT($C$16/12,$C$17*12,MAX($L$249*(1-$C$15),0))*12))/12)*MIN(MAX((A1239-$C$13+1)*12,0),$C$17*12),0),MAX(MAX($L$249*(1-$C$15),0)*(1+$C$16/12)^MIN(MAX((A1239-$C$13+1)*12,0),$C$17*12)-(IF($C$17&lt;=0,0,IF($C$16=0,MAX($L$249*(1-$C$15),0)/$C$17,-PMT($C$16/12,$C$17*12,MAX($L$249*(1-$C$15),0))*12))/12)*(((1+$C$16/12)^MIN(MAX((A1239-$C$13+1)*12,0),$C$17*12)-1)/($C$16/12)),0)))</f>
        <v/>
      </c>
      <c r="Z1239" s="138">
        <f>MAX(X1239-Y1239,0)</f>
        <v/>
      </c>
      <c r="AA1239" s="139">
        <f>U1239+Z1239</f>
        <v/>
      </c>
      <c r="AB1239" s="5" t="n"/>
      <c r="AC1239" s="5" t="n"/>
      <c r="AD1239" s="5" t="n"/>
      <c r="AE1239" s="5" t="n"/>
      <c r="AF1239" s="5" t="n"/>
      <c r="AG1239" s="5" t="n"/>
    </row>
    <row r="1240" outlineLevel="1" s="326">
      <c r="A1240" s="140" t="n">
        <v>16</v>
      </c>
      <c r="B1240" s="40">
        <f>B95</f>
        <v/>
      </c>
      <c r="C1240" s="141">
        <f>D95</f>
        <v/>
      </c>
      <c r="D1240" s="141">
        <f>I95</f>
        <v/>
      </c>
      <c r="E1240" s="141">
        <f>J95</f>
        <v/>
      </c>
      <c r="F1240" s="141">
        <f>K95</f>
        <v/>
      </c>
      <c r="G1240" s="138">
        <f>IF(AND($L$249&gt;0,A1240=$C$13),$L$249*($C$15+$C$18),0)+IF(AND($L$249&gt;0,A1240=$C$13),$C$24,0)</f>
        <v/>
      </c>
      <c r="H1240" s="138">
        <f>IF(OR($L$249&lt;=0,A1240&lt;$C$13),0,IF(AND($L$249&gt;0,$C$17&gt;0,A1240&gt;=$C$13,A1240&lt;($C$13+$C$17)),IF($C$17&lt;=0,0,IF($C$16=0,MAX($L$249*(1-$C$15),0)/$C$17,-PMT($C$16/12,$C$17*12,MAX($L$249*(1-$C$15),0))*12)),0)+X1240*($C$19+$C$20+$C$21)+$C$22+$C$23)</f>
        <v/>
      </c>
      <c r="I1240" s="138">
        <f>IF(B1240="Working",MIN(MAX(D1240-E1240-F1240-G1240-H1240,0),'Tax Assumptions'!$B$20),0)</f>
        <v/>
      </c>
      <c r="J1240" s="138">
        <f>IF(B1240="Working",D1240-E1240-F1240-I1240-G1240-H1240,-L1240)</f>
        <v/>
      </c>
      <c r="K1240" s="141">
        <f>IF(B1240="Retired",$N$249+G1240+H1240,0)</f>
        <v/>
      </c>
      <c r="L1240" s="141">
        <f>M1240+N1240+O1240+P1240</f>
        <v/>
      </c>
      <c r="M1240" s="141">
        <f>IF(B1240="Retired",MIN(((Q1239)*(1+$C$10)+IF(B1240="Working",J1240,0)),K1240),0)</f>
        <v/>
      </c>
      <c r="N1240" s="141">
        <f>IF(B1240="Retired",MIN(MAX(K1240-M1240,0),((R1239)*(1+$C$10)+IF(B1240="Working",E95,0))),0)</f>
        <v/>
      </c>
      <c r="O1240" s="141">
        <f>IF(B1240="Retired",MIN(MAX(K1240-M1240-N1240,0),((S1239)*(1+$C$10)+IF(B1240="Working",I1240,0))),0)</f>
        <v/>
      </c>
      <c r="P1240" s="141">
        <f>IF(B1240="Retired",MIN(MAX(K1240-M1240-N1240-O1240,0),((T1239)*(1+$C$10)+IF(B1240="Working",F95,0))),0)</f>
        <v/>
      </c>
      <c r="Q1240" s="138">
        <f>MAX(((Q1239)*(1+$C$10)+IF(B1240="Working",J1240,0))-M1240,0)</f>
        <v/>
      </c>
      <c r="R1240" s="138">
        <f>MAX(((R1239)*(1+$C$10)+IF(B1240="Working",E95,0))-N1240,0)</f>
        <v/>
      </c>
      <c r="S1240" s="138">
        <f>MAX(((S1239)*(1+$C$10)+IF(B1240="Working",I1240,0))-O1240,0)</f>
        <v/>
      </c>
      <c r="T1240" s="138">
        <f>MAX(((T1239)*(1+$C$10)+IF(B1240="Working",F95,0))-P1240,0)</f>
        <v/>
      </c>
      <c r="U1240" s="138">
        <f>Q1240+R1240+S1240+T1240</f>
        <v/>
      </c>
      <c r="V1240" s="138">
        <f>IF(B1240="Working",MAX(-(((Q1239)*(1+$C$10)+IF(B1240="Working",J1240,0))),0),MAX(K1240-L1240,0))</f>
        <v/>
      </c>
      <c r="W1240" s="138">
        <f>IF(OR(A1240&gt;=$C$13,B1240="Retired"),IF(V1240&gt;0,-V1240,U1240-'Model Inputs'!$B$18),"")</f>
        <v/>
      </c>
      <c r="X1240" s="138">
        <f>IF(AND($L$249&gt;0,A1240&gt;=$C$13),$L$249*(1+$C$25)^(A1240-$C$13),0)</f>
        <v/>
      </c>
      <c r="Y1240" s="138">
        <f>IF(OR($L$249&lt;=0,$C$17&lt;=0,A1240&lt;$C$13,MIN(MAX((A1240-$C$13+1)*12,0),$C$17*12)&gt;=$C$17*12),0,IF($C$16=0,MAX(MAX($L$249*(1-$C$15),0)-(IF($C$17&lt;=0,0,IF($C$16=0,MAX($L$249*(1-$C$15),0)/$C$17,-PMT($C$16/12,$C$17*12,MAX($L$249*(1-$C$15),0))*12))/12)*MIN(MAX((A1240-$C$13+1)*12,0),$C$17*12),0),MAX(MAX($L$249*(1-$C$15),0)*(1+$C$16/12)^MIN(MAX((A1240-$C$13+1)*12,0),$C$17*12)-(IF($C$17&lt;=0,0,IF($C$16=0,MAX($L$249*(1-$C$15),0)/$C$17,-PMT($C$16/12,$C$17*12,MAX($L$249*(1-$C$15),0))*12))/12)*(((1+$C$16/12)^MIN(MAX((A1240-$C$13+1)*12,0),$C$17*12)-1)/($C$16/12)),0)))</f>
        <v/>
      </c>
      <c r="Z1240" s="138">
        <f>MAX(X1240-Y1240,0)</f>
        <v/>
      </c>
      <c r="AA1240" s="142">
        <f>U1240+Z1240</f>
        <v/>
      </c>
      <c r="AB1240" s="5" t="n"/>
      <c r="AC1240" s="5" t="n"/>
      <c r="AD1240" s="5" t="n"/>
      <c r="AE1240" s="5" t="n"/>
      <c r="AF1240" s="5" t="n"/>
      <c r="AG1240" s="5" t="n"/>
    </row>
    <row r="1241" outlineLevel="1" s="326">
      <c r="A1241" s="136" t="n">
        <v>17</v>
      </c>
      <c r="B1241" s="72">
        <f>B96</f>
        <v/>
      </c>
      <c r="C1241" s="137">
        <f>D96</f>
        <v/>
      </c>
      <c r="D1241" s="137">
        <f>I96</f>
        <v/>
      </c>
      <c r="E1241" s="137">
        <f>J96</f>
        <v/>
      </c>
      <c r="F1241" s="137">
        <f>K96</f>
        <v/>
      </c>
      <c r="G1241" s="138">
        <f>IF(AND($L$249&gt;0,A1241=$C$13),$L$249*($C$15+$C$18),0)+IF(AND($L$249&gt;0,A1241=$C$13),$C$24,0)</f>
        <v/>
      </c>
      <c r="H1241" s="138">
        <f>IF(OR($L$249&lt;=0,A1241&lt;$C$13),0,IF(AND($L$249&gt;0,$C$17&gt;0,A1241&gt;=$C$13,A1241&lt;($C$13+$C$17)),IF($C$17&lt;=0,0,IF($C$16=0,MAX($L$249*(1-$C$15),0)/$C$17,-PMT($C$16/12,$C$17*12,MAX($L$249*(1-$C$15),0))*12)),0)+X1241*($C$19+$C$20+$C$21)+$C$22+$C$23)</f>
        <v/>
      </c>
      <c r="I1241" s="138">
        <f>IF(B1241="Working",MIN(MAX(D1241-E1241-F1241-G1241-H1241,0),'Tax Assumptions'!$B$20),0)</f>
        <v/>
      </c>
      <c r="J1241" s="138">
        <f>IF(B1241="Working",D1241-E1241-F1241-I1241-G1241-H1241,-L1241)</f>
        <v/>
      </c>
      <c r="K1241" s="137">
        <f>IF(B1241="Retired",$N$249+G1241+H1241,0)</f>
        <v/>
      </c>
      <c r="L1241" s="137">
        <f>M1241+N1241+O1241+P1241</f>
        <v/>
      </c>
      <c r="M1241" s="137">
        <f>IF(B1241="Retired",MIN(((Q1240)*(1+$C$10)+IF(B1241="Working",J1241,0)),K1241),0)</f>
        <v/>
      </c>
      <c r="N1241" s="137">
        <f>IF(B1241="Retired",MIN(MAX(K1241-M1241,0),((R1240)*(1+$C$10)+IF(B1241="Working",E96,0))),0)</f>
        <v/>
      </c>
      <c r="O1241" s="137">
        <f>IF(B1241="Retired",MIN(MAX(K1241-M1241-N1241,0),((S1240)*(1+$C$10)+IF(B1241="Working",I1241,0))),0)</f>
        <v/>
      </c>
      <c r="P1241" s="137">
        <f>IF(B1241="Retired",MIN(MAX(K1241-M1241-N1241-O1241,0),((T1240)*(1+$C$10)+IF(B1241="Working",F96,0))),0)</f>
        <v/>
      </c>
      <c r="Q1241" s="138">
        <f>MAX(((Q1240)*(1+$C$10)+IF(B1241="Working",J1241,0))-M1241,0)</f>
        <v/>
      </c>
      <c r="R1241" s="138">
        <f>MAX(((R1240)*(1+$C$10)+IF(B1241="Working",E96,0))-N1241,0)</f>
        <v/>
      </c>
      <c r="S1241" s="138">
        <f>MAX(((S1240)*(1+$C$10)+IF(B1241="Working",I1241,0))-O1241,0)</f>
        <v/>
      </c>
      <c r="T1241" s="138">
        <f>MAX(((T1240)*(1+$C$10)+IF(B1241="Working",F96,0))-P1241,0)</f>
        <v/>
      </c>
      <c r="U1241" s="138">
        <f>Q1241+R1241+S1241+T1241</f>
        <v/>
      </c>
      <c r="V1241" s="138">
        <f>IF(B1241="Working",MAX(-(((Q1240)*(1+$C$10)+IF(B1241="Working",J1241,0))),0),MAX(K1241-L1241,0))</f>
        <v/>
      </c>
      <c r="W1241" s="138">
        <f>IF(OR(A1241&gt;=$C$13,B1241="Retired"),IF(V1241&gt;0,-V1241,U1241-'Model Inputs'!$B$18),"")</f>
        <v/>
      </c>
      <c r="X1241" s="138">
        <f>IF(AND($L$249&gt;0,A1241&gt;=$C$13),$L$249*(1+$C$25)^(A1241-$C$13),0)</f>
        <v/>
      </c>
      <c r="Y1241" s="138">
        <f>IF(OR($L$249&lt;=0,$C$17&lt;=0,A1241&lt;$C$13,MIN(MAX((A1241-$C$13+1)*12,0),$C$17*12)&gt;=$C$17*12),0,IF($C$16=0,MAX(MAX($L$249*(1-$C$15),0)-(IF($C$17&lt;=0,0,IF($C$16=0,MAX($L$249*(1-$C$15),0)/$C$17,-PMT($C$16/12,$C$17*12,MAX($L$249*(1-$C$15),0))*12))/12)*MIN(MAX((A1241-$C$13+1)*12,0),$C$17*12),0),MAX(MAX($L$249*(1-$C$15),0)*(1+$C$16/12)^MIN(MAX((A1241-$C$13+1)*12,0),$C$17*12)-(IF($C$17&lt;=0,0,IF($C$16=0,MAX($L$249*(1-$C$15),0)/$C$17,-PMT($C$16/12,$C$17*12,MAX($L$249*(1-$C$15),0))*12))/12)*(((1+$C$16/12)^MIN(MAX((A1241-$C$13+1)*12,0),$C$17*12)-1)/($C$16/12)),0)))</f>
        <v/>
      </c>
      <c r="Z1241" s="138">
        <f>MAX(X1241-Y1241,0)</f>
        <v/>
      </c>
      <c r="AA1241" s="139">
        <f>U1241+Z1241</f>
        <v/>
      </c>
      <c r="AB1241" s="5" t="n"/>
      <c r="AC1241" s="5" t="n"/>
      <c r="AD1241" s="5" t="n"/>
      <c r="AE1241" s="5" t="n"/>
      <c r="AF1241" s="5" t="n"/>
      <c r="AG1241" s="5" t="n"/>
    </row>
    <row r="1242" outlineLevel="1" s="326">
      <c r="A1242" s="140" t="n">
        <v>18</v>
      </c>
      <c r="B1242" s="40">
        <f>B97</f>
        <v/>
      </c>
      <c r="C1242" s="141">
        <f>D97</f>
        <v/>
      </c>
      <c r="D1242" s="141">
        <f>I97</f>
        <v/>
      </c>
      <c r="E1242" s="141">
        <f>J97</f>
        <v/>
      </c>
      <c r="F1242" s="141">
        <f>K97</f>
        <v/>
      </c>
      <c r="G1242" s="138">
        <f>IF(AND($L$249&gt;0,A1242=$C$13),$L$249*($C$15+$C$18),0)+IF(AND($L$249&gt;0,A1242=$C$13),$C$24,0)</f>
        <v/>
      </c>
      <c r="H1242" s="138">
        <f>IF(OR($L$249&lt;=0,A1242&lt;$C$13),0,IF(AND($L$249&gt;0,$C$17&gt;0,A1242&gt;=$C$13,A1242&lt;($C$13+$C$17)),IF($C$17&lt;=0,0,IF($C$16=0,MAX($L$249*(1-$C$15),0)/$C$17,-PMT($C$16/12,$C$17*12,MAX($L$249*(1-$C$15),0))*12)),0)+X1242*($C$19+$C$20+$C$21)+$C$22+$C$23)</f>
        <v/>
      </c>
      <c r="I1242" s="138">
        <f>IF(B1242="Working",MIN(MAX(D1242-E1242-F1242-G1242-H1242,0),'Tax Assumptions'!$B$20),0)</f>
        <v/>
      </c>
      <c r="J1242" s="138">
        <f>IF(B1242="Working",D1242-E1242-F1242-I1242-G1242-H1242,-L1242)</f>
        <v/>
      </c>
      <c r="K1242" s="141">
        <f>IF(B1242="Retired",$N$249+G1242+H1242,0)</f>
        <v/>
      </c>
      <c r="L1242" s="141">
        <f>M1242+N1242+O1242+P1242</f>
        <v/>
      </c>
      <c r="M1242" s="141">
        <f>IF(B1242="Retired",MIN(((Q1241)*(1+$C$10)+IF(B1242="Working",J1242,0)),K1242),0)</f>
        <v/>
      </c>
      <c r="N1242" s="141">
        <f>IF(B1242="Retired",MIN(MAX(K1242-M1242,0),((R1241)*(1+$C$10)+IF(B1242="Working",E97,0))),0)</f>
        <v/>
      </c>
      <c r="O1242" s="141">
        <f>IF(B1242="Retired",MIN(MAX(K1242-M1242-N1242,0),((S1241)*(1+$C$10)+IF(B1242="Working",I1242,0))),0)</f>
        <v/>
      </c>
      <c r="P1242" s="141">
        <f>IF(B1242="Retired",MIN(MAX(K1242-M1242-N1242-O1242,0),((T1241)*(1+$C$10)+IF(B1242="Working",F97,0))),0)</f>
        <v/>
      </c>
      <c r="Q1242" s="138">
        <f>MAX(((Q1241)*(1+$C$10)+IF(B1242="Working",J1242,0))-M1242,0)</f>
        <v/>
      </c>
      <c r="R1242" s="138">
        <f>MAX(((R1241)*(1+$C$10)+IF(B1242="Working",E97,0))-N1242,0)</f>
        <v/>
      </c>
      <c r="S1242" s="138">
        <f>MAX(((S1241)*(1+$C$10)+IF(B1242="Working",I1242,0))-O1242,0)</f>
        <v/>
      </c>
      <c r="T1242" s="138">
        <f>MAX(((T1241)*(1+$C$10)+IF(B1242="Working",F97,0))-P1242,0)</f>
        <v/>
      </c>
      <c r="U1242" s="138">
        <f>Q1242+R1242+S1242+T1242</f>
        <v/>
      </c>
      <c r="V1242" s="138">
        <f>IF(B1242="Working",MAX(-(((Q1241)*(1+$C$10)+IF(B1242="Working",J1242,0))),0),MAX(K1242-L1242,0))</f>
        <v/>
      </c>
      <c r="W1242" s="138">
        <f>IF(OR(A1242&gt;=$C$13,B1242="Retired"),IF(V1242&gt;0,-V1242,U1242-'Model Inputs'!$B$18),"")</f>
        <v/>
      </c>
      <c r="X1242" s="138">
        <f>IF(AND($L$249&gt;0,A1242&gt;=$C$13),$L$249*(1+$C$25)^(A1242-$C$13),0)</f>
        <v/>
      </c>
      <c r="Y1242" s="138">
        <f>IF(OR($L$249&lt;=0,$C$17&lt;=0,A1242&lt;$C$13,MIN(MAX((A1242-$C$13+1)*12,0),$C$17*12)&gt;=$C$17*12),0,IF($C$16=0,MAX(MAX($L$249*(1-$C$15),0)-(IF($C$17&lt;=0,0,IF($C$16=0,MAX($L$249*(1-$C$15),0)/$C$17,-PMT($C$16/12,$C$17*12,MAX($L$249*(1-$C$15),0))*12))/12)*MIN(MAX((A1242-$C$13+1)*12,0),$C$17*12),0),MAX(MAX($L$249*(1-$C$15),0)*(1+$C$16/12)^MIN(MAX((A1242-$C$13+1)*12,0),$C$17*12)-(IF($C$17&lt;=0,0,IF($C$16=0,MAX($L$249*(1-$C$15),0)/$C$17,-PMT($C$16/12,$C$17*12,MAX($L$249*(1-$C$15),0))*12))/12)*(((1+$C$16/12)^MIN(MAX((A1242-$C$13+1)*12,0),$C$17*12)-1)/($C$16/12)),0)))</f>
        <v/>
      </c>
      <c r="Z1242" s="138">
        <f>MAX(X1242-Y1242,0)</f>
        <v/>
      </c>
      <c r="AA1242" s="142">
        <f>U1242+Z1242</f>
        <v/>
      </c>
      <c r="AB1242" s="5" t="n"/>
      <c r="AC1242" s="5" t="n"/>
      <c r="AD1242" s="5" t="n"/>
      <c r="AE1242" s="5" t="n"/>
      <c r="AF1242" s="5" t="n"/>
      <c r="AG1242" s="5" t="n"/>
    </row>
    <row r="1243" outlineLevel="1" s="326">
      <c r="A1243" s="136" t="n">
        <v>19</v>
      </c>
      <c r="B1243" s="72">
        <f>B98</f>
        <v/>
      </c>
      <c r="C1243" s="137">
        <f>D98</f>
        <v/>
      </c>
      <c r="D1243" s="137">
        <f>I98</f>
        <v/>
      </c>
      <c r="E1243" s="137">
        <f>J98</f>
        <v/>
      </c>
      <c r="F1243" s="137">
        <f>K98</f>
        <v/>
      </c>
      <c r="G1243" s="138">
        <f>IF(AND($L$249&gt;0,A1243=$C$13),$L$249*($C$15+$C$18),0)+IF(AND($L$249&gt;0,A1243=$C$13),$C$24,0)</f>
        <v/>
      </c>
      <c r="H1243" s="138">
        <f>IF(OR($L$249&lt;=0,A1243&lt;$C$13),0,IF(AND($L$249&gt;0,$C$17&gt;0,A1243&gt;=$C$13,A1243&lt;($C$13+$C$17)),IF($C$17&lt;=0,0,IF($C$16=0,MAX($L$249*(1-$C$15),0)/$C$17,-PMT($C$16/12,$C$17*12,MAX($L$249*(1-$C$15),0))*12)),0)+X1243*($C$19+$C$20+$C$21)+$C$22+$C$23)</f>
        <v/>
      </c>
      <c r="I1243" s="138">
        <f>IF(B1243="Working",MIN(MAX(D1243-E1243-F1243-G1243-H1243,0),'Tax Assumptions'!$B$20),0)</f>
        <v/>
      </c>
      <c r="J1243" s="138">
        <f>IF(B1243="Working",D1243-E1243-F1243-I1243-G1243-H1243,-L1243)</f>
        <v/>
      </c>
      <c r="K1243" s="137">
        <f>IF(B1243="Retired",$N$249+G1243+H1243,0)</f>
        <v/>
      </c>
      <c r="L1243" s="137">
        <f>M1243+N1243+O1243+P1243</f>
        <v/>
      </c>
      <c r="M1243" s="137">
        <f>IF(B1243="Retired",MIN(((Q1242)*(1+$C$10)+IF(B1243="Working",J1243,0)),K1243),0)</f>
        <v/>
      </c>
      <c r="N1243" s="137">
        <f>IF(B1243="Retired",MIN(MAX(K1243-M1243,0),((R1242)*(1+$C$10)+IF(B1243="Working",E98,0))),0)</f>
        <v/>
      </c>
      <c r="O1243" s="137">
        <f>IF(B1243="Retired",MIN(MAX(K1243-M1243-N1243,0),((S1242)*(1+$C$10)+IF(B1243="Working",I1243,0))),0)</f>
        <v/>
      </c>
      <c r="P1243" s="137">
        <f>IF(B1243="Retired",MIN(MAX(K1243-M1243-N1243-O1243,0),((T1242)*(1+$C$10)+IF(B1243="Working",F98,0))),0)</f>
        <v/>
      </c>
      <c r="Q1243" s="138">
        <f>MAX(((Q1242)*(1+$C$10)+IF(B1243="Working",J1243,0))-M1243,0)</f>
        <v/>
      </c>
      <c r="R1243" s="138">
        <f>MAX(((R1242)*(1+$C$10)+IF(B1243="Working",E98,0))-N1243,0)</f>
        <v/>
      </c>
      <c r="S1243" s="138">
        <f>MAX(((S1242)*(1+$C$10)+IF(B1243="Working",I1243,0))-O1243,0)</f>
        <v/>
      </c>
      <c r="T1243" s="138">
        <f>MAX(((T1242)*(1+$C$10)+IF(B1243="Working",F98,0))-P1243,0)</f>
        <v/>
      </c>
      <c r="U1243" s="138">
        <f>Q1243+R1243+S1243+T1243</f>
        <v/>
      </c>
      <c r="V1243" s="138">
        <f>IF(B1243="Working",MAX(-(((Q1242)*(1+$C$10)+IF(B1243="Working",J1243,0))),0),MAX(K1243-L1243,0))</f>
        <v/>
      </c>
      <c r="W1243" s="138">
        <f>IF(OR(A1243&gt;=$C$13,B1243="Retired"),IF(V1243&gt;0,-V1243,U1243-'Model Inputs'!$B$18),"")</f>
        <v/>
      </c>
      <c r="X1243" s="138">
        <f>IF(AND($L$249&gt;0,A1243&gt;=$C$13),$L$249*(1+$C$25)^(A1243-$C$13),0)</f>
        <v/>
      </c>
      <c r="Y1243" s="138">
        <f>IF(OR($L$249&lt;=0,$C$17&lt;=0,A1243&lt;$C$13,MIN(MAX((A1243-$C$13+1)*12,0),$C$17*12)&gt;=$C$17*12),0,IF($C$16=0,MAX(MAX($L$249*(1-$C$15),0)-(IF($C$17&lt;=0,0,IF($C$16=0,MAX($L$249*(1-$C$15),0)/$C$17,-PMT($C$16/12,$C$17*12,MAX($L$249*(1-$C$15),0))*12))/12)*MIN(MAX((A1243-$C$13+1)*12,0),$C$17*12),0),MAX(MAX($L$249*(1-$C$15),0)*(1+$C$16/12)^MIN(MAX((A1243-$C$13+1)*12,0),$C$17*12)-(IF($C$17&lt;=0,0,IF($C$16=0,MAX($L$249*(1-$C$15),0)/$C$17,-PMT($C$16/12,$C$17*12,MAX($L$249*(1-$C$15),0))*12))/12)*(((1+$C$16/12)^MIN(MAX((A1243-$C$13+1)*12,0),$C$17*12)-1)/($C$16/12)),0)))</f>
        <v/>
      </c>
      <c r="Z1243" s="138">
        <f>MAX(X1243-Y1243,0)</f>
        <v/>
      </c>
      <c r="AA1243" s="139">
        <f>U1243+Z1243</f>
        <v/>
      </c>
      <c r="AB1243" s="5" t="n"/>
      <c r="AC1243" s="5" t="n"/>
      <c r="AD1243" s="5" t="n"/>
      <c r="AE1243" s="5" t="n"/>
      <c r="AF1243" s="5" t="n"/>
      <c r="AG1243" s="5" t="n"/>
    </row>
    <row r="1244" outlineLevel="1" s="326">
      <c r="A1244" s="140" t="n">
        <v>20</v>
      </c>
      <c r="B1244" s="40">
        <f>B99</f>
        <v/>
      </c>
      <c r="C1244" s="141">
        <f>D99</f>
        <v/>
      </c>
      <c r="D1244" s="141">
        <f>I99</f>
        <v/>
      </c>
      <c r="E1244" s="141">
        <f>J99</f>
        <v/>
      </c>
      <c r="F1244" s="141">
        <f>K99</f>
        <v/>
      </c>
      <c r="G1244" s="138">
        <f>IF(AND($L$249&gt;0,A1244=$C$13),$L$249*($C$15+$C$18),0)+IF(AND($L$249&gt;0,A1244=$C$13),$C$24,0)</f>
        <v/>
      </c>
      <c r="H1244" s="138">
        <f>IF(OR($L$249&lt;=0,A1244&lt;$C$13),0,IF(AND($L$249&gt;0,$C$17&gt;0,A1244&gt;=$C$13,A1244&lt;($C$13+$C$17)),IF($C$17&lt;=0,0,IF($C$16=0,MAX($L$249*(1-$C$15),0)/$C$17,-PMT($C$16/12,$C$17*12,MAX($L$249*(1-$C$15),0))*12)),0)+X1244*($C$19+$C$20+$C$21)+$C$22+$C$23)</f>
        <v/>
      </c>
      <c r="I1244" s="138">
        <f>IF(B1244="Working",MIN(MAX(D1244-E1244-F1244-G1244-H1244,0),'Tax Assumptions'!$B$20),0)</f>
        <v/>
      </c>
      <c r="J1244" s="138">
        <f>IF(B1244="Working",D1244-E1244-F1244-I1244-G1244-H1244,-L1244)</f>
        <v/>
      </c>
      <c r="K1244" s="141">
        <f>IF(B1244="Retired",$N$249+G1244+H1244,0)</f>
        <v/>
      </c>
      <c r="L1244" s="141">
        <f>M1244+N1244+O1244+P1244</f>
        <v/>
      </c>
      <c r="M1244" s="141">
        <f>IF(B1244="Retired",MIN(((Q1243)*(1+$C$10)+IF(B1244="Working",J1244,0)),K1244),0)</f>
        <v/>
      </c>
      <c r="N1244" s="141">
        <f>IF(B1244="Retired",MIN(MAX(K1244-M1244,0),((R1243)*(1+$C$10)+IF(B1244="Working",E99,0))),0)</f>
        <v/>
      </c>
      <c r="O1244" s="141">
        <f>IF(B1244="Retired",MIN(MAX(K1244-M1244-N1244,0),((S1243)*(1+$C$10)+IF(B1244="Working",I1244,0))),0)</f>
        <v/>
      </c>
      <c r="P1244" s="141">
        <f>IF(B1244="Retired",MIN(MAX(K1244-M1244-N1244-O1244,0),((T1243)*(1+$C$10)+IF(B1244="Working",F99,0))),0)</f>
        <v/>
      </c>
      <c r="Q1244" s="138">
        <f>MAX(((Q1243)*(1+$C$10)+IF(B1244="Working",J1244,0))-M1244,0)</f>
        <v/>
      </c>
      <c r="R1244" s="138">
        <f>MAX(((R1243)*(1+$C$10)+IF(B1244="Working",E99,0))-N1244,0)</f>
        <v/>
      </c>
      <c r="S1244" s="138">
        <f>MAX(((S1243)*(1+$C$10)+IF(B1244="Working",I1244,0))-O1244,0)</f>
        <v/>
      </c>
      <c r="T1244" s="138">
        <f>MAX(((T1243)*(1+$C$10)+IF(B1244="Working",F99,0))-P1244,0)</f>
        <v/>
      </c>
      <c r="U1244" s="138">
        <f>Q1244+R1244+S1244+T1244</f>
        <v/>
      </c>
      <c r="V1244" s="138">
        <f>IF(B1244="Working",MAX(-(((Q1243)*(1+$C$10)+IF(B1244="Working",J1244,0))),0),MAX(K1244-L1244,0))</f>
        <v/>
      </c>
      <c r="W1244" s="138">
        <f>IF(OR(A1244&gt;=$C$13,B1244="Retired"),IF(V1244&gt;0,-V1244,U1244-'Model Inputs'!$B$18),"")</f>
        <v/>
      </c>
      <c r="X1244" s="138">
        <f>IF(AND($L$249&gt;0,A1244&gt;=$C$13),$L$249*(1+$C$25)^(A1244-$C$13),0)</f>
        <v/>
      </c>
      <c r="Y1244" s="138">
        <f>IF(OR($L$249&lt;=0,$C$17&lt;=0,A1244&lt;$C$13,MIN(MAX((A1244-$C$13+1)*12,0),$C$17*12)&gt;=$C$17*12),0,IF($C$16=0,MAX(MAX($L$249*(1-$C$15),0)-(IF($C$17&lt;=0,0,IF($C$16=0,MAX($L$249*(1-$C$15),0)/$C$17,-PMT($C$16/12,$C$17*12,MAX($L$249*(1-$C$15),0))*12))/12)*MIN(MAX((A1244-$C$13+1)*12,0),$C$17*12),0),MAX(MAX($L$249*(1-$C$15),0)*(1+$C$16/12)^MIN(MAX((A1244-$C$13+1)*12,0),$C$17*12)-(IF($C$17&lt;=0,0,IF($C$16=0,MAX($L$249*(1-$C$15),0)/$C$17,-PMT($C$16/12,$C$17*12,MAX($L$249*(1-$C$15),0))*12))/12)*(((1+$C$16/12)^MIN(MAX((A1244-$C$13+1)*12,0),$C$17*12)-1)/($C$16/12)),0)))</f>
        <v/>
      </c>
      <c r="Z1244" s="138">
        <f>MAX(X1244-Y1244,0)</f>
        <v/>
      </c>
      <c r="AA1244" s="142">
        <f>U1244+Z1244</f>
        <v/>
      </c>
      <c r="AB1244" s="5" t="n"/>
      <c r="AC1244" s="5" t="n"/>
      <c r="AD1244" s="5" t="n"/>
      <c r="AE1244" s="5" t="n"/>
      <c r="AF1244" s="5" t="n"/>
      <c r="AG1244" s="5" t="n"/>
    </row>
    <row r="1245" outlineLevel="1" s="326">
      <c r="A1245" s="136" t="n">
        <v>21</v>
      </c>
      <c r="B1245" s="72">
        <f>B100</f>
        <v/>
      </c>
      <c r="C1245" s="137">
        <f>D100</f>
        <v/>
      </c>
      <c r="D1245" s="137">
        <f>I100</f>
        <v/>
      </c>
      <c r="E1245" s="137">
        <f>J100</f>
        <v/>
      </c>
      <c r="F1245" s="137">
        <f>K100</f>
        <v/>
      </c>
      <c r="G1245" s="138">
        <f>IF(AND($L$249&gt;0,A1245=$C$13),$L$249*($C$15+$C$18),0)+IF(AND($L$249&gt;0,A1245=$C$13),$C$24,0)</f>
        <v/>
      </c>
      <c r="H1245" s="138">
        <f>IF(OR($L$249&lt;=0,A1245&lt;$C$13),0,IF(AND($L$249&gt;0,$C$17&gt;0,A1245&gt;=$C$13,A1245&lt;($C$13+$C$17)),IF($C$17&lt;=0,0,IF($C$16=0,MAX($L$249*(1-$C$15),0)/$C$17,-PMT($C$16/12,$C$17*12,MAX($L$249*(1-$C$15),0))*12)),0)+X1245*($C$19+$C$20+$C$21)+$C$22+$C$23)</f>
        <v/>
      </c>
      <c r="I1245" s="138">
        <f>IF(B1245="Working",MIN(MAX(D1245-E1245-F1245-G1245-H1245,0),'Tax Assumptions'!$B$20),0)</f>
        <v/>
      </c>
      <c r="J1245" s="138">
        <f>IF(B1245="Working",D1245-E1245-F1245-I1245-G1245-H1245,-L1245)</f>
        <v/>
      </c>
      <c r="K1245" s="137">
        <f>IF(B1245="Retired",$N$249+G1245+H1245,0)</f>
        <v/>
      </c>
      <c r="L1245" s="137">
        <f>M1245+N1245+O1245+P1245</f>
        <v/>
      </c>
      <c r="M1245" s="137">
        <f>IF(B1245="Retired",MIN(((Q1244)*(1+$C$10)+IF(B1245="Working",J1245,0)),K1245),0)</f>
        <v/>
      </c>
      <c r="N1245" s="137">
        <f>IF(B1245="Retired",MIN(MAX(K1245-M1245,0),((R1244)*(1+$C$10)+IF(B1245="Working",E100,0))),0)</f>
        <v/>
      </c>
      <c r="O1245" s="137">
        <f>IF(B1245="Retired",MIN(MAX(K1245-M1245-N1245,0),((S1244)*(1+$C$10)+IF(B1245="Working",I1245,0))),0)</f>
        <v/>
      </c>
      <c r="P1245" s="137">
        <f>IF(B1245="Retired",MIN(MAX(K1245-M1245-N1245-O1245,0),((T1244)*(1+$C$10)+IF(B1245="Working",F100,0))),0)</f>
        <v/>
      </c>
      <c r="Q1245" s="138">
        <f>MAX(((Q1244)*(1+$C$10)+IF(B1245="Working",J1245,0))-M1245,0)</f>
        <v/>
      </c>
      <c r="R1245" s="138">
        <f>MAX(((R1244)*(1+$C$10)+IF(B1245="Working",E100,0))-N1245,0)</f>
        <v/>
      </c>
      <c r="S1245" s="138">
        <f>MAX(((S1244)*(1+$C$10)+IF(B1245="Working",I1245,0))-O1245,0)</f>
        <v/>
      </c>
      <c r="T1245" s="138">
        <f>MAX(((T1244)*(1+$C$10)+IF(B1245="Working",F100,0))-P1245,0)</f>
        <v/>
      </c>
      <c r="U1245" s="138">
        <f>Q1245+R1245+S1245+T1245</f>
        <v/>
      </c>
      <c r="V1245" s="138">
        <f>IF(B1245="Working",MAX(-(((Q1244)*(1+$C$10)+IF(B1245="Working",J1245,0))),0),MAX(K1245-L1245,0))</f>
        <v/>
      </c>
      <c r="W1245" s="138">
        <f>IF(OR(A1245&gt;=$C$13,B1245="Retired"),IF(V1245&gt;0,-V1245,U1245-'Model Inputs'!$B$18),"")</f>
        <v/>
      </c>
      <c r="X1245" s="138">
        <f>IF(AND($L$249&gt;0,A1245&gt;=$C$13),$L$249*(1+$C$25)^(A1245-$C$13),0)</f>
        <v/>
      </c>
      <c r="Y1245" s="138">
        <f>IF(OR($L$249&lt;=0,$C$17&lt;=0,A1245&lt;$C$13,MIN(MAX((A1245-$C$13+1)*12,0),$C$17*12)&gt;=$C$17*12),0,IF($C$16=0,MAX(MAX($L$249*(1-$C$15),0)-(IF($C$17&lt;=0,0,IF($C$16=0,MAX($L$249*(1-$C$15),0)/$C$17,-PMT($C$16/12,$C$17*12,MAX($L$249*(1-$C$15),0))*12))/12)*MIN(MAX((A1245-$C$13+1)*12,0),$C$17*12),0),MAX(MAX($L$249*(1-$C$15),0)*(1+$C$16/12)^MIN(MAX((A1245-$C$13+1)*12,0),$C$17*12)-(IF($C$17&lt;=0,0,IF($C$16=0,MAX($L$249*(1-$C$15),0)/$C$17,-PMT($C$16/12,$C$17*12,MAX($L$249*(1-$C$15),0))*12))/12)*(((1+$C$16/12)^MIN(MAX((A1245-$C$13+1)*12,0),$C$17*12)-1)/($C$16/12)),0)))</f>
        <v/>
      </c>
      <c r="Z1245" s="138">
        <f>MAX(X1245-Y1245,0)</f>
        <v/>
      </c>
      <c r="AA1245" s="139">
        <f>U1245+Z1245</f>
        <v/>
      </c>
      <c r="AB1245" s="5" t="n"/>
      <c r="AC1245" s="5" t="n"/>
      <c r="AD1245" s="5" t="n"/>
      <c r="AE1245" s="5" t="n"/>
      <c r="AF1245" s="5" t="n"/>
      <c r="AG1245" s="5" t="n"/>
    </row>
    <row r="1246" outlineLevel="1" s="326">
      <c r="A1246" s="140" t="n">
        <v>22</v>
      </c>
      <c r="B1246" s="40">
        <f>B101</f>
        <v/>
      </c>
      <c r="C1246" s="141">
        <f>D101</f>
        <v/>
      </c>
      <c r="D1246" s="141">
        <f>I101</f>
        <v/>
      </c>
      <c r="E1246" s="141">
        <f>J101</f>
        <v/>
      </c>
      <c r="F1246" s="141">
        <f>K101</f>
        <v/>
      </c>
      <c r="G1246" s="138">
        <f>IF(AND($L$249&gt;0,A1246=$C$13),$L$249*($C$15+$C$18),0)+IF(AND($L$249&gt;0,A1246=$C$13),$C$24,0)</f>
        <v/>
      </c>
      <c r="H1246" s="138">
        <f>IF(OR($L$249&lt;=0,A1246&lt;$C$13),0,IF(AND($L$249&gt;0,$C$17&gt;0,A1246&gt;=$C$13,A1246&lt;($C$13+$C$17)),IF($C$17&lt;=0,0,IF($C$16=0,MAX($L$249*(1-$C$15),0)/$C$17,-PMT($C$16/12,$C$17*12,MAX($L$249*(1-$C$15),0))*12)),0)+X1246*($C$19+$C$20+$C$21)+$C$22+$C$23)</f>
        <v/>
      </c>
      <c r="I1246" s="138">
        <f>IF(B1246="Working",MIN(MAX(D1246-E1246-F1246-G1246-H1246,0),'Tax Assumptions'!$B$20),0)</f>
        <v/>
      </c>
      <c r="J1246" s="138">
        <f>IF(B1246="Working",D1246-E1246-F1246-I1246-G1246-H1246,-L1246)</f>
        <v/>
      </c>
      <c r="K1246" s="141">
        <f>IF(B1246="Retired",$N$249+G1246+H1246,0)</f>
        <v/>
      </c>
      <c r="L1246" s="141">
        <f>M1246+N1246+O1246+P1246</f>
        <v/>
      </c>
      <c r="M1246" s="141">
        <f>IF(B1246="Retired",MIN(((Q1245)*(1+$C$10)+IF(B1246="Working",J1246,0)),K1246),0)</f>
        <v/>
      </c>
      <c r="N1246" s="141">
        <f>IF(B1246="Retired",MIN(MAX(K1246-M1246,0),((R1245)*(1+$C$10)+IF(B1246="Working",E101,0))),0)</f>
        <v/>
      </c>
      <c r="O1246" s="141">
        <f>IF(B1246="Retired",MIN(MAX(K1246-M1246-N1246,0),((S1245)*(1+$C$10)+IF(B1246="Working",I1246,0))),0)</f>
        <v/>
      </c>
      <c r="P1246" s="141">
        <f>IF(B1246="Retired",MIN(MAX(K1246-M1246-N1246-O1246,0),((T1245)*(1+$C$10)+IF(B1246="Working",F101,0))),0)</f>
        <v/>
      </c>
      <c r="Q1246" s="138">
        <f>MAX(((Q1245)*(1+$C$10)+IF(B1246="Working",J1246,0))-M1246,0)</f>
        <v/>
      </c>
      <c r="R1246" s="138">
        <f>MAX(((R1245)*(1+$C$10)+IF(B1246="Working",E101,0))-N1246,0)</f>
        <v/>
      </c>
      <c r="S1246" s="138">
        <f>MAX(((S1245)*(1+$C$10)+IF(B1246="Working",I1246,0))-O1246,0)</f>
        <v/>
      </c>
      <c r="T1246" s="138">
        <f>MAX(((T1245)*(1+$C$10)+IF(B1246="Working",F101,0))-P1246,0)</f>
        <v/>
      </c>
      <c r="U1246" s="138">
        <f>Q1246+R1246+S1246+T1246</f>
        <v/>
      </c>
      <c r="V1246" s="138">
        <f>IF(B1246="Working",MAX(-(((Q1245)*(1+$C$10)+IF(B1246="Working",J1246,0))),0),MAX(K1246-L1246,0))</f>
        <v/>
      </c>
      <c r="W1246" s="138">
        <f>IF(OR(A1246&gt;=$C$13,B1246="Retired"),IF(V1246&gt;0,-V1246,U1246-'Model Inputs'!$B$18),"")</f>
        <v/>
      </c>
      <c r="X1246" s="138">
        <f>IF(AND($L$249&gt;0,A1246&gt;=$C$13),$L$249*(1+$C$25)^(A1246-$C$13),0)</f>
        <v/>
      </c>
      <c r="Y1246" s="138">
        <f>IF(OR($L$249&lt;=0,$C$17&lt;=0,A1246&lt;$C$13,MIN(MAX((A1246-$C$13+1)*12,0),$C$17*12)&gt;=$C$17*12),0,IF($C$16=0,MAX(MAX($L$249*(1-$C$15),0)-(IF($C$17&lt;=0,0,IF($C$16=0,MAX($L$249*(1-$C$15),0)/$C$17,-PMT($C$16/12,$C$17*12,MAX($L$249*(1-$C$15),0))*12))/12)*MIN(MAX((A1246-$C$13+1)*12,0),$C$17*12),0),MAX(MAX($L$249*(1-$C$15),0)*(1+$C$16/12)^MIN(MAX((A1246-$C$13+1)*12,0),$C$17*12)-(IF($C$17&lt;=0,0,IF($C$16=0,MAX($L$249*(1-$C$15),0)/$C$17,-PMT($C$16/12,$C$17*12,MAX($L$249*(1-$C$15),0))*12))/12)*(((1+$C$16/12)^MIN(MAX((A1246-$C$13+1)*12,0),$C$17*12)-1)/($C$16/12)),0)))</f>
        <v/>
      </c>
      <c r="Z1246" s="138">
        <f>MAX(X1246-Y1246,0)</f>
        <v/>
      </c>
      <c r="AA1246" s="142">
        <f>U1246+Z1246</f>
        <v/>
      </c>
      <c r="AB1246" s="5" t="n"/>
      <c r="AC1246" s="5" t="n"/>
      <c r="AD1246" s="5" t="n"/>
      <c r="AE1246" s="5" t="n"/>
      <c r="AF1246" s="5" t="n"/>
      <c r="AG1246" s="5" t="n"/>
    </row>
    <row r="1247" outlineLevel="1" s="326">
      <c r="A1247" s="136" t="n">
        <v>23</v>
      </c>
      <c r="B1247" s="72">
        <f>B102</f>
        <v/>
      </c>
      <c r="C1247" s="137">
        <f>D102</f>
        <v/>
      </c>
      <c r="D1247" s="137">
        <f>I102</f>
        <v/>
      </c>
      <c r="E1247" s="137">
        <f>J102</f>
        <v/>
      </c>
      <c r="F1247" s="137">
        <f>K102</f>
        <v/>
      </c>
      <c r="G1247" s="138">
        <f>IF(AND($L$249&gt;0,A1247=$C$13),$L$249*($C$15+$C$18),0)+IF(AND($L$249&gt;0,A1247=$C$13),$C$24,0)</f>
        <v/>
      </c>
      <c r="H1247" s="138">
        <f>IF(OR($L$249&lt;=0,A1247&lt;$C$13),0,IF(AND($L$249&gt;0,$C$17&gt;0,A1247&gt;=$C$13,A1247&lt;($C$13+$C$17)),IF($C$17&lt;=0,0,IF($C$16=0,MAX($L$249*(1-$C$15),0)/$C$17,-PMT($C$16/12,$C$17*12,MAX($L$249*(1-$C$15),0))*12)),0)+X1247*($C$19+$C$20+$C$21)+$C$22+$C$23)</f>
        <v/>
      </c>
      <c r="I1247" s="138">
        <f>IF(B1247="Working",MIN(MAX(D1247-E1247-F1247-G1247-H1247,0),'Tax Assumptions'!$B$20),0)</f>
        <v/>
      </c>
      <c r="J1247" s="138">
        <f>IF(B1247="Working",D1247-E1247-F1247-I1247-G1247-H1247,-L1247)</f>
        <v/>
      </c>
      <c r="K1247" s="137">
        <f>IF(B1247="Retired",$N$249+G1247+H1247,0)</f>
        <v/>
      </c>
      <c r="L1247" s="137">
        <f>M1247+N1247+O1247+P1247</f>
        <v/>
      </c>
      <c r="M1247" s="137">
        <f>IF(B1247="Retired",MIN(((Q1246)*(1+$C$10)+IF(B1247="Working",J1247,0)),K1247),0)</f>
        <v/>
      </c>
      <c r="N1247" s="137">
        <f>IF(B1247="Retired",MIN(MAX(K1247-M1247,0),((R1246)*(1+$C$10)+IF(B1247="Working",E102,0))),0)</f>
        <v/>
      </c>
      <c r="O1247" s="137">
        <f>IF(B1247="Retired",MIN(MAX(K1247-M1247-N1247,0),((S1246)*(1+$C$10)+IF(B1247="Working",I1247,0))),0)</f>
        <v/>
      </c>
      <c r="P1247" s="137">
        <f>IF(B1247="Retired",MIN(MAX(K1247-M1247-N1247-O1247,0),((T1246)*(1+$C$10)+IF(B1247="Working",F102,0))),0)</f>
        <v/>
      </c>
      <c r="Q1247" s="138">
        <f>MAX(((Q1246)*(1+$C$10)+IF(B1247="Working",J1247,0))-M1247,0)</f>
        <v/>
      </c>
      <c r="R1247" s="138">
        <f>MAX(((R1246)*(1+$C$10)+IF(B1247="Working",E102,0))-N1247,0)</f>
        <v/>
      </c>
      <c r="S1247" s="138">
        <f>MAX(((S1246)*(1+$C$10)+IF(B1247="Working",I1247,0))-O1247,0)</f>
        <v/>
      </c>
      <c r="T1247" s="138">
        <f>MAX(((T1246)*(1+$C$10)+IF(B1247="Working",F102,0))-P1247,0)</f>
        <v/>
      </c>
      <c r="U1247" s="138">
        <f>Q1247+R1247+S1247+T1247</f>
        <v/>
      </c>
      <c r="V1247" s="138">
        <f>IF(B1247="Working",MAX(-(((Q1246)*(1+$C$10)+IF(B1247="Working",J1247,0))),0),MAX(K1247-L1247,0))</f>
        <v/>
      </c>
      <c r="W1247" s="138">
        <f>IF(OR(A1247&gt;=$C$13,B1247="Retired"),IF(V1247&gt;0,-V1247,U1247-'Model Inputs'!$B$18),"")</f>
        <v/>
      </c>
      <c r="X1247" s="138">
        <f>IF(AND($L$249&gt;0,A1247&gt;=$C$13),$L$249*(1+$C$25)^(A1247-$C$13),0)</f>
        <v/>
      </c>
      <c r="Y1247" s="138">
        <f>IF(OR($L$249&lt;=0,$C$17&lt;=0,A1247&lt;$C$13,MIN(MAX((A1247-$C$13+1)*12,0),$C$17*12)&gt;=$C$17*12),0,IF($C$16=0,MAX(MAX($L$249*(1-$C$15),0)-(IF($C$17&lt;=0,0,IF($C$16=0,MAX($L$249*(1-$C$15),0)/$C$17,-PMT($C$16/12,$C$17*12,MAX($L$249*(1-$C$15),0))*12))/12)*MIN(MAX((A1247-$C$13+1)*12,0),$C$17*12),0),MAX(MAX($L$249*(1-$C$15),0)*(1+$C$16/12)^MIN(MAX((A1247-$C$13+1)*12,0),$C$17*12)-(IF($C$17&lt;=0,0,IF($C$16=0,MAX($L$249*(1-$C$15),0)/$C$17,-PMT($C$16/12,$C$17*12,MAX($L$249*(1-$C$15),0))*12))/12)*(((1+$C$16/12)^MIN(MAX((A1247-$C$13+1)*12,0),$C$17*12)-1)/($C$16/12)),0)))</f>
        <v/>
      </c>
      <c r="Z1247" s="138">
        <f>MAX(X1247-Y1247,0)</f>
        <v/>
      </c>
      <c r="AA1247" s="139">
        <f>U1247+Z1247</f>
        <v/>
      </c>
      <c r="AB1247" s="5" t="n"/>
      <c r="AC1247" s="5" t="n"/>
      <c r="AD1247" s="5" t="n"/>
      <c r="AE1247" s="5" t="n"/>
      <c r="AF1247" s="5" t="n"/>
      <c r="AG1247" s="5" t="n"/>
    </row>
    <row r="1248" outlineLevel="1" s="326">
      <c r="A1248" s="140" t="n">
        <v>24</v>
      </c>
      <c r="B1248" s="40">
        <f>B103</f>
        <v/>
      </c>
      <c r="C1248" s="141">
        <f>D103</f>
        <v/>
      </c>
      <c r="D1248" s="141">
        <f>I103</f>
        <v/>
      </c>
      <c r="E1248" s="141">
        <f>J103</f>
        <v/>
      </c>
      <c r="F1248" s="141">
        <f>K103</f>
        <v/>
      </c>
      <c r="G1248" s="138">
        <f>IF(AND($L$249&gt;0,A1248=$C$13),$L$249*($C$15+$C$18),0)+IF(AND($L$249&gt;0,A1248=$C$13),$C$24,0)</f>
        <v/>
      </c>
      <c r="H1248" s="138">
        <f>IF(OR($L$249&lt;=0,A1248&lt;$C$13),0,IF(AND($L$249&gt;0,$C$17&gt;0,A1248&gt;=$C$13,A1248&lt;($C$13+$C$17)),IF($C$17&lt;=0,0,IF($C$16=0,MAX($L$249*(1-$C$15),0)/$C$17,-PMT($C$16/12,$C$17*12,MAX($L$249*(1-$C$15),0))*12)),0)+X1248*($C$19+$C$20+$C$21)+$C$22+$C$23)</f>
        <v/>
      </c>
      <c r="I1248" s="138">
        <f>IF(B1248="Working",MIN(MAX(D1248-E1248-F1248-G1248-H1248,0),'Tax Assumptions'!$B$20),0)</f>
        <v/>
      </c>
      <c r="J1248" s="138">
        <f>IF(B1248="Working",D1248-E1248-F1248-I1248-G1248-H1248,-L1248)</f>
        <v/>
      </c>
      <c r="K1248" s="141">
        <f>IF(B1248="Retired",$N$249+G1248+H1248,0)</f>
        <v/>
      </c>
      <c r="L1248" s="141">
        <f>M1248+N1248+O1248+P1248</f>
        <v/>
      </c>
      <c r="M1248" s="141">
        <f>IF(B1248="Retired",MIN(((Q1247)*(1+$C$10)+IF(B1248="Working",J1248,0)),K1248),0)</f>
        <v/>
      </c>
      <c r="N1248" s="141">
        <f>IF(B1248="Retired",MIN(MAX(K1248-M1248,0),((R1247)*(1+$C$10)+IF(B1248="Working",E103,0))),0)</f>
        <v/>
      </c>
      <c r="O1248" s="141">
        <f>IF(B1248="Retired",MIN(MAX(K1248-M1248-N1248,0),((S1247)*(1+$C$10)+IF(B1248="Working",I1248,0))),0)</f>
        <v/>
      </c>
      <c r="P1248" s="141">
        <f>IF(B1248="Retired",MIN(MAX(K1248-M1248-N1248-O1248,0),((T1247)*(1+$C$10)+IF(B1248="Working",F103,0))),0)</f>
        <v/>
      </c>
      <c r="Q1248" s="138">
        <f>MAX(((Q1247)*(1+$C$10)+IF(B1248="Working",J1248,0))-M1248,0)</f>
        <v/>
      </c>
      <c r="R1248" s="138">
        <f>MAX(((R1247)*(1+$C$10)+IF(B1248="Working",E103,0))-N1248,0)</f>
        <v/>
      </c>
      <c r="S1248" s="138">
        <f>MAX(((S1247)*(1+$C$10)+IF(B1248="Working",I1248,0))-O1248,0)</f>
        <v/>
      </c>
      <c r="T1248" s="138">
        <f>MAX(((T1247)*(1+$C$10)+IF(B1248="Working",F103,0))-P1248,0)</f>
        <v/>
      </c>
      <c r="U1248" s="138">
        <f>Q1248+R1248+S1248+T1248</f>
        <v/>
      </c>
      <c r="V1248" s="138">
        <f>IF(B1248="Working",MAX(-(((Q1247)*(1+$C$10)+IF(B1248="Working",J1248,0))),0),MAX(K1248-L1248,0))</f>
        <v/>
      </c>
      <c r="W1248" s="138">
        <f>IF(OR(A1248&gt;=$C$13,B1248="Retired"),IF(V1248&gt;0,-V1248,U1248-'Model Inputs'!$B$18),"")</f>
        <v/>
      </c>
      <c r="X1248" s="138">
        <f>IF(AND($L$249&gt;0,A1248&gt;=$C$13),$L$249*(1+$C$25)^(A1248-$C$13),0)</f>
        <v/>
      </c>
      <c r="Y1248" s="138">
        <f>IF(OR($L$249&lt;=0,$C$17&lt;=0,A1248&lt;$C$13,MIN(MAX((A1248-$C$13+1)*12,0),$C$17*12)&gt;=$C$17*12),0,IF($C$16=0,MAX(MAX($L$249*(1-$C$15),0)-(IF($C$17&lt;=0,0,IF($C$16=0,MAX($L$249*(1-$C$15),0)/$C$17,-PMT($C$16/12,$C$17*12,MAX($L$249*(1-$C$15),0))*12))/12)*MIN(MAX((A1248-$C$13+1)*12,0),$C$17*12),0),MAX(MAX($L$249*(1-$C$15),0)*(1+$C$16/12)^MIN(MAX((A1248-$C$13+1)*12,0),$C$17*12)-(IF($C$17&lt;=0,0,IF($C$16=0,MAX($L$249*(1-$C$15),0)/$C$17,-PMT($C$16/12,$C$17*12,MAX($L$249*(1-$C$15),0))*12))/12)*(((1+$C$16/12)^MIN(MAX((A1248-$C$13+1)*12,0),$C$17*12)-1)/($C$16/12)),0)))</f>
        <v/>
      </c>
      <c r="Z1248" s="138">
        <f>MAX(X1248-Y1248,0)</f>
        <v/>
      </c>
      <c r="AA1248" s="142">
        <f>U1248+Z1248</f>
        <v/>
      </c>
      <c r="AB1248" s="5" t="n"/>
      <c r="AC1248" s="5" t="n"/>
      <c r="AD1248" s="5" t="n"/>
      <c r="AE1248" s="5" t="n"/>
      <c r="AF1248" s="5" t="n"/>
      <c r="AG1248" s="5" t="n"/>
    </row>
    <row r="1249" outlineLevel="1" s="326">
      <c r="A1249" s="136" t="n">
        <v>25</v>
      </c>
      <c r="B1249" s="72">
        <f>B104</f>
        <v/>
      </c>
      <c r="C1249" s="137">
        <f>D104</f>
        <v/>
      </c>
      <c r="D1249" s="137">
        <f>I104</f>
        <v/>
      </c>
      <c r="E1249" s="137">
        <f>J104</f>
        <v/>
      </c>
      <c r="F1249" s="137">
        <f>K104</f>
        <v/>
      </c>
      <c r="G1249" s="138">
        <f>IF(AND($L$249&gt;0,A1249=$C$13),$L$249*($C$15+$C$18),0)+IF(AND($L$249&gt;0,A1249=$C$13),$C$24,0)</f>
        <v/>
      </c>
      <c r="H1249" s="138">
        <f>IF(OR($L$249&lt;=0,A1249&lt;$C$13),0,IF(AND($L$249&gt;0,$C$17&gt;0,A1249&gt;=$C$13,A1249&lt;($C$13+$C$17)),IF($C$17&lt;=0,0,IF($C$16=0,MAX($L$249*(1-$C$15),0)/$C$17,-PMT($C$16/12,$C$17*12,MAX($L$249*(1-$C$15),0))*12)),0)+X1249*($C$19+$C$20+$C$21)+$C$22+$C$23)</f>
        <v/>
      </c>
      <c r="I1249" s="138">
        <f>IF(B1249="Working",MIN(MAX(D1249-E1249-F1249-G1249-H1249,0),'Tax Assumptions'!$B$20),0)</f>
        <v/>
      </c>
      <c r="J1249" s="138">
        <f>IF(B1249="Working",D1249-E1249-F1249-I1249-G1249-H1249,-L1249)</f>
        <v/>
      </c>
      <c r="K1249" s="137">
        <f>IF(B1249="Retired",$N$249+G1249+H1249,0)</f>
        <v/>
      </c>
      <c r="L1249" s="137">
        <f>M1249+N1249+O1249+P1249</f>
        <v/>
      </c>
      <c r="M1249" s="137">
        <f>IF(B1249="Retired",MIN(((Q1248)*(1+$C$10)+IF(B1249="Working",J1249,0)),K1249),0)</f>
        <v/>
      </c>
      <c r="N1249" s="137">
        <f>IF(B1249="Retired",MIN(MAX(K1249-M1249,0),((R1248)*(1+$C$10)+IF(B1249="Working",E104,0))),0)</f>
        <v/>
      </c>
      <c r="O1249" s="137">
        <f>IF(B1249="Retired",MIN(MAX(K1249-M1249-N1249,0),((S1248)*(1+$C$10)+IF(B1249="Working",I1249,0))),0)</f>
        <v/>
      </c>
      <c r="P1249" s="137">
        <f>IF(B1249="Retired",MIN(MAX(K1249-M1249-N1249-O1249,0),((T1248)*(1+$C$10)+IF(B1249="Working",F104,0))),0)</f>
        <v/>
      </c>
      <c r="Q1249" s="138">
        <f>MAX(((Q1248)*(1+$C$10)+IF(B1249="Working",J1249,0))-M1249,0)</f>
        <v/>
      </c>
      <c r="R1249" s="138">
        <f>MAX(((R1248)*(1+$C$10)+IF(B1249="Working",E104,0))-N1249,0)</f>
        <v/>
      </c>
      <c r="S1249" s="138">
        <f>MAX(((S1248)*(1+$C$10)+IF(B1249="Working",I1249,0))-O1249,0)</f>
        <v/>
      </c>
      <c r="T1249" s="138">
        <f>MAX(((T1248)*(1+$C$10)+IF(B1249="Working",F104,0))-P1249,0)</f>
        <v/>
      </c>
      <c r="U1249" s="138">
        <f>Q1249+R1249+S1249+T1249</f>
        <v/>
      </c>
      <c r="V1249" s="138">
        <f>IF(B1249="Working",MAX(-(((Q1248)*(1+$C$10)+IF(B1249="Working",J1249,0))),0),MAX(K1249-L1249,0))</f>
        <v/>
      </c>
      <c r="W1249" s="138">
        <f>IF(OR(A1249&gt;=$C$13,B1249="Retired"),IF(V1249&gt;0,-V1249,U1249-'Model Inputs'!$B$18),"")</f>
        <v/>
      </c>
      <c r="X1249" s="138">
        <f>IF(AND($L$249&gt;0,A1249&gt;=$C$13),$L$249*(1+$C$25)^(A1249-$C$13),0)</f>
        <v/>
      </c>
      <c r="Y1249" s="138">
        <f>IF(OR($L$249&lt;=0,$C$17&lt;=0,A1249&lt;$C$13,MIN(MAX((A1249-$C$13+1)*12,0),$C$17*12)&gt;=$C$17*12),0,IF($C$16=0,MAX(MAX($L$249*(1-$C$15),0)-(IF($C$17&lt;=0,0,IF($C$16=0,MAX($L$249*(1-$C$15),0)/$C$17,-PMT($C$16/12,$C$17*12,MAX($L$249*(1-$C$15),0))*12))/12)*MIN(MAX((A1249-$C$13+1)*12,0),$C$17*12),0),MAX(MAX($L$249*(1-$C$15),0)*(1+$C$16/12)^MIN(MAX((A1249-$C$13+1)*12,0),$C$17*12)-(IF($C$17&lt;=0,0,IF($C$16=0,MAX($L$249*(1-$C$15),0)/$C$17,-PMT($C$16/12,$C$17*12,MAX($L$249*(1-$C$15),0))*12))/12)*(((1+$C$16/12)^MIN(MAX((A1249-$C$13+1)*12,0),$C$17*12)-1)/($C$16/12)),0)))</f>
        <v/>
      </c>
      <c r="Z1249" s="138">
        <f>MAX(X1249-Y1249,0)</f>
        <v/>
      </c>
      <c r="AA1249" s="139">
        <f>U1249+Z1249</f>
        <v/>
      </c>
      <c r="AB1249" s="5" t="n"/>
      <c r="AC1249" s="5" t="n"/>
      <c r="AD1249" s="5" t="n"/>
      <c r="AE1249" s="5" t="n"/>
      <c r="AF1249" s="5" t="n"/>
      <c r="AG1249" s="5" t="n"/>
    </row>
    <row r="1250" outlineLevel="1" s="326">
      <c r="A1250" s="140" t="n">
        <v>26</v>
      </c>
      <c r="B1250" s="40">
        <f>B105</f>
        <v/>
      </c>
      <c r="C1250" s="141">
        <f>D105</f>
        <v/>
      </c>
      <c r="D1250" s="141">
        <f>I105</f>
        <v/>
      </c>
      <c r="E1250" s="141">
        <f>J105</f>
        <v/>
      </c>
      <c r="F1250" s="141">
        <f>K105</f>
        <v/>
      </c>
      <c r="G1250" s="138">
        <f>IF(AND($L$249&gt;0,A1250=$C$13),$L$249*($C$15+$C$18),0)+IF(AND($L$249&gt;0,A1250=$C$13),$C$24,0)</f>
        <v/>
      </c>
      <c r="H1250" s="138">
        <f>IF(OR($L$249&lt;=0,A1250&lt;$C$13),0,IF(AND($L$249&gt;0,$C$17&gt;0,A1250&gt;=$C$13,A1250&lt;($C$13+$C$17)),IF($C$17&lt;=0,0,IF($C$16=0,MAX($L$249*(1-$C$15),0)/$C$17,-PMT($C$16/12,$C$17*12,MAX($L$249*(1-$C$15),0))*12)),0)+X1250*($C$19+$C$20+$C$21)+$C$22+$C$23)</f>
        <v/>
      </c>
      <c r="I1250" s="138">
        <f>IF(B1250="Working",MIN(MAX(D1250-E1250-F1250-G1250-H1250,0),'Tax Assumptions'!$B$20),0)</f>
        <v/>
      </c>
      <c r="J1250" s="138">
        <f>IF(B1250="Working",D1250-E1250-F1250-I1250-G1250-H1250,-L1250)</f>
        <v/>
      </c>
      <c r="K1250" s="141">
        <f>IF(B1250="Retired",$N$249+G1250+H1250,0)</f>
        <v/>
      </c>
      <c r="L1250" s="141">
        <f>M1250+N1250+O1250+P1250</f>
        <v/>
      </c>
      <c r="M1250" s="141">
        <f>IF(B1250="Retired",MIN(((Q1249)*(1+$C$10)+IF(B1250="Working",J1250,0)),K1250),0)</f>
        <v/>
      </c>
      <c r="N1250" s="141">
        <f>IF(B1250="Retired",MIN(MAX(K1250-M1250,0),((R1249)*(1+$C$10)+IF(B1250="Working",E105,0))),0)</f>
        <v/>
      </c>
      <c r="O1250" s="141">
        <f>IF(B1250="Retired",MIN(MAX(K1250-M1250-N1250,0),((S1249)*(1+$C$10)+IF(B1250="Working",I1250,0))),0)</f>
        <v/>
      </c>
      <c r="P1250" s="141">
        <f>IF(B1250="Retired",MIN(MAX(K1250-M1250-N1250-O1250,0),((T1249)*(1+$C$10)+IF(B1250="Working",F105,0))),0)</f>
        <v/>
      </c>
      <c r="Q1250" s="138">
        <f>MAX(((Q1249)*(1+$C$10)+IF(B1250="Working",J1250,0))-M1250,0)</f>
        <v/>
      </c>
      <c r="R1250" s="138">
        <f>MAX(((R1249)*(1+$C$10)+IF(B1250="Working",E105,0))-N1250,0)</f>
        <v/>
      </c>
      <c r="S1250" s="138">
        <f>MAX(((S1249)*(1+$C$10)+IF(B1250="Working",I1250,0))-O1250,0)</f>
        <v/>
      </c>
      <c r="T1250" s="138">
        <f>MAX(((T1249)*(1+$C$10)+IF(B1250="Working",F105,0))-P1250,0)</f>
        <v/>
      </c>
      <c r="U1250" s="138">
        <f>Q1250+R1250+S1250+T1250</f>
        <v/>
      </c>
      <c r="V1250" s="138">
        <f>IF(B1250="Working",MAX(-(((Q1249)*(1+$C$10)+IF(B1250="Working",J1250,0))),0),MAX(K1250-L1250,0))</f>
        <v/>
      </c>
      <c r="W1250" s="138">
        <f>IF(OR(A1250&gt;=$C$13,B1250="Retired"),IF(V1250&gt;0,-V1250,U1250-'Model Inputs'!$B$18),"")</f>
        <v/>
      </c>
      <c r="X1250" s="138">
        <f>IF(AND($L$249&gt;0,A1250&gt;=$C$13),$L$249*(1+$C$25)^(A1250-$C$13),0)</f>
        <v/>
      </c>
      <c r="Y1250" s="138">
        <f>IF(OR($L$249&lt;=0,$C$17&lt;=0,A1250&lt;$C$13,MIN(MAX((A1250-$C$13+1)*12,0),$C$17*12)&gt;=$C$17*12),0,IF($C$16=0,MAX(MAX($L$249*(1-$C$15),0)-(IF($C$17&lt;=0,0,IF($C$16=0,MAX($L$249*(1-$C$15),0)/$C$17,-PMT($C$16/12,$C$17*12,MAX($L$249*(1-$C$15),0))*12))/12)*MIN(MAX((A1250-$C$13+1)*12,0),$C$17*12),0),MAX(MAX($L$249*(1-$C$15),0)*(1+$C$16/12)^MIN(MAX((A1250-$C$13+1)*12,0),$C$17*12)-(IF($C$17&lt;=0,0,IF($C$16=0,MAX($L$249*(1-$C$15),0)/$C$17,-PMT($C$16/12,$C$17*12,MAX($L$249*(1-$C$15),0))*12))/12)*(((1+$C$16/12)^MIN(MAX((A1250-$C$13+1)*12,0),$C$17*12)-1)/($C$16/12)),0)))</f>
        <v/>
      </c>
      <c r="Z1250" s="138">
        <f>MAX(X1250-Y1250,0)</f>
        <v/>
      </c>
      <c r="AA1250" s="142">
        <f>U1250+Z1250</f>
        <v/>
      </c>
      <c r="AB1250" s="5" t="n"/>
      <c r="AC1250" s="5" t="n"/>
      <c r="AD1250" s="5" t="n"/>
      <c r="AE1250" s="5" t="n"/>
      <c r="AF1250" s="5" t="n"/>
      <c r="AG1250" s="5" t="n"/>
    </row>
    <row r="1251" outlineLevel="1" s="326">
      <c r="A1251" s="136" t="n">
        <v>27</v>
      </c>
      <c r="B1251" s="72">
        <f>B106</f>
        <v/>
      </c>
      <c r="C1251" s="137">
        <f>D106</f>
        <v/>
      </c>
      <c r="D1251" s="137">
        <f>I106</f>
        <v/>
      </c>
      <c r="E1251" s="137">
        <f>J106</f>
        <v/>
      </c>
      <c r="F1251" s="137">
        <f>K106</f>
        <v/>
      </c>
      <c r="G1251" s="138">
        <f>IF(AND($L$249&gt;0,A1251=$C$13),$L$249*($C$15+$C$18),0)+IF(AND($L$249&gt;0,A1251=$C$13),$C$24,0)</f>
        <v/>
      </c>
      <c r="H1251" s="138">
        <f>IF(OR($L$249&lt;=0,A1251&lt;$C$13),0,IF(AND($L$249&gt;0,$C$17&gt;0,A1251&gt;=$C$13,A1251&lt;($C$13+$C$17)),IF($C$17&lt;=0,0,IF($C$16=0,MAX($L$249*(1-$C$15),0)/$C$17,-PMT($C$16/12,$C$17*12,MAX($L$249*(1-$C$15),0))*12)),0)+X1251*($C$19+$C$20+$C$21)+$C$22+$C$23)</f>
        <v/>
      </c>
      <c r="I1251" s="138">
        <f>IF(B1251="Working",MIN(MAX(D1251-E1251-F1251-G1251-H1251,0),'Tax Assumptions'!$B$20),0)</f>
        <v/>
      </c>
      <c r="J1251" s="138">
        <f>IF(B1251="Working",D1251-E1251-F1251-I1251-G1251-H1251,-L1251)</f>
        <v/>
      </c>
      <c r="K1251" s="137">
        <f>IF(B1251="Retired",$N$249+G1251+H1251,0)</f>
        <v/>
      </c>
      <c r="L1251" s="137">
        <f>M1251+N1251+O1251+P1251</f>
        <v/>
      </c>
      <c r="M1251" s="137">
        <f>IF(B1251="Retired",MIN(((Q1250)*(1+$C$10)+IF(B1251="Working",J1251,0)),K1251),0)</f>
        <v/>
      </c>
      <c r="N1251" s="137">
        <f>IF(B1251="Retired",MIN(MAX(K1251-M1251,0),((R1250)*(1+$C$10)+IF(B1251="Working",E106,0))),0)</f>
        <v/>
      </c>
      <c r="O1251" s="137">
        <f>IF(B1251="Retired",MIN(MAX(K1251-M1251-N1251,0),((S1250)*(1+$C$10)+IF(B1251="Working",I1251,0))),0)</f>
        <v/>
      </c>
      <c r="P1251" s="137">
        <f>IF(B1251="Retired",MIN(MAX(K1251-M1251-N1251-O1251,0),((T1250)*(1+$C$10)+IF(B1251="Working",F106,0))),0)</f>
        <v/>
      </c>
      <c r="Q1251" s="138">
        <f>MAX(((Q1250)*(1+$C$10)+IF(B1251="Working",J1251,0))-M1251,0)</f>
        <v/>
      </c>
      <c r="R1251" s="138">
        <f>MAX(((R1250)*(1+$C$10)+IF(B1251="Working",E106,0))-N1251,0)</f>
        <v/>
      </c>
      <c r="S1251" s="138">
        <f>MAX(((S1250)*(1+$C$10)+IF(B1251="Working",I1251,0))-O1251,0)</f>
        <v/>
      </c>
      <c r="T1251" s="138">
        <f>MAX(((T1250)*(1+$C$10)+IF(B1251="Working",F106,0))-P1251,0)</f>
        <v/>
      </c>
      <c r="U1251" s="138">
        <f>Q1251+R1251+S1251+T1251</f>
        <v/>
      </c>
      <c r="V1251" s="138">
        <f>IF(B1251="Working",MAX(-(((Q1250)*(1+$C$10)+IF(B1251="Working",J1251,0))),0),MAX(K1251-L1251,0))</f>
        <v/>
      </c>
      <c r="W1251" s="138">
        <f>IF(OR(A1251&gt;=$C$13,B1251="Retired"),IF(V1251&gt;0,-V1251,U1251-'Model Inputs'!$B$18),"")</f>
        <v/>
      </c>
      <c r="X1251" s="138">
        <f>IF(AND($L$249&gt;0,A1251&gt;=$C$13),$L$249*(1+$C$25)^(A1251-$C$13),0)</f>
        <v/>
      </c>
      <c r="Y1251" s="138">
        <f>IF(OR($L$249&lt;=0,$C$17&lt;=0,A1251&lt;$C$13,MIN(MAX((A1251-$C$13+1)*12,0),$C$17*12)&gt;=$C$17*12),0,IF($C$16=0,MAX(MAX($L$249*(1-$C$15),0)-(IF($C$17&lt;=0,0,IF($C$16=0,MAX($L$249*(1-$C$15),0)/$C$17,-PMT($C$16/12,$C$17*12,MAX($L$249*(1-$C$15),0))*12))/12)*MIN(MAX((A1251-$C$13+1)*12,0),$C$17*12),0),MAX(MAX($L$249*(1-$C$15),0)*(1+$C$16/12)^MIN(MAX((A1251-$C$13+1)*12,0),$C$17*12)-(IF($C$17&lt;=0,0,IF($C$16=0,MAX($L$249*(1-$C$15),0)/$C$17,-PMT($C$16/12,$C$17*12,MAX($L$249*(1-$C$15),0))*12))/12)*(((1+$C$16/12)^MIN(MAX((A1251-$C$13+1)*12,0),$C$17*12)-1)/($C$16/12)),0)))</f>
        <v/>
      </c>
      <c r="Z1251" s="138">
        <f>MAX(X1251-Y1251,0)</f>
        <v/>
      </c>
      <c r="AA1251" s="139">
        <f>U1251+Z1251</f>
        <v/>
      </c>
      <c r="AB1251" s="5" t="n"/>
      <c r="AC1251" s="5" t="n"/>
      <c r="AD1251" s="5" t="n"/>
      <c r="AE1251" s="5" t="n"/>
      <c r="AF1251" s="5" t="n"/>
      <c r="AG1251" s="5" t="n"/>
    </row>
    <row r="1252" outlineLevel="1" s="326">
      <c r="A1252" s="140" t="n">
        <v>28</v>
      </c>
      <c r="B1252" s="40">
        <f>B107</f>
        <v/>
      </c>
      <c r="C1252" s="141">
        <f>D107</f>
        <v/>
      </c>
      <c r="D1252" s="141">
        <f>I107</f>
        <v/>
      </c>
      <c r="E1252" s="141">
        <f>J107</f>
        <v/>
      </c>
      <c r="F1252" s="141">
        <f>K107</f>
        <v/>
      </c>
      <c r="G1252" s="138">
        <f>IF(AND($L$249&gt;0,A1252=$C$13),$L$249*($C$15+$C$18),0)+IF(AND($L$249&gt;0,A1252=$C$13),$C$24,0)</f>
        <v/>
      </c>
      <c r="H1252" s="138">
        <f>IF(OR($L$249&lt;=0,A1252&lt;$C$13),0,IF(AND($L$249&gt;0,$C$17&gt;0,A1252&gt;=$C$13,A1252&lt;($C$13+$C$17)),IF($C$17&lt;=0,0,IF($C$16=0,MAX($L$249*(1-$C$15),0)/$C$17,-PMT($C$16/12,$C$17*12,MAX($L$249*(1-$C$15),0))*12)),0)+X1252*($C$19+$C$20+$C$21)+$C$22+$C$23)</f>
        <v/>
      </c>
      <c r="I1252" s="138">
        <f>IF(B1252="Working",MIN(MAX(D1252-E1252-F1252-G1252-H1252,0),'Tax Assumptions'!$B$20),0)</f>
        <v/>
      </c>
      <c r="J1252" s="138">
        <f>IF(B1252="Working",D1252-E1252-F1252-I1252-G1252-H1252,-L1252)</f>
        <v/>
      </c>
      <c r="K1252" s="141">
        <f>IF(B1252="Retired",$N$249+G1252+H1252,0)</f>
        <v/>
      </c>
      <c r="L1252" s="141">
        <f>M1252+N1252+O1252+P1252</f>
        <v/>
      </c>
      <c r="M1252" s="141">
        <f>IF(B1252="Retired",MIN(((Q1251)*(1+$C$10)+IF(B1252="Working",J1252,0)),K1252),0)</f>
        <v/>
      </c>
      <c r="N1252" s="141">
        <f>IF(B1252="Retired",MIN(MAX(K1252-M1252,0),((R1251)*(1+$C$10)+IF(B1252="Working",E107,0))),0)</f>
        <v/>
      </c>
      <c r="O1252" s="141">
        <f>IF(B1252="Retired",MIN(MAX(K1252-M1252-N1252,0),((S1251)*(1+$C$10)+IF(B1252="Working",I1252,0))),0)</f>
        <v/>
      </c>
      <c r="P1252" s="141">
        <f>IF(B1252="Retired",MIN(MAX(K1252-M1252-N1252-O1252,0),((T1251)*(1+$C$10)+IF(B1252="Working",F107,0))),0)</f>
        <v/>
      </c>
      <c r="Q1252" s="138">
        <f>MAX(((Q1251)*(1+$C$10)+IF(B1252="Working",J1252,0))-M1252,0)</f>
        <v/>
      </c>
      <c r="R1252" s="138">
        <f>MAX(((R1251)*(1+$C$10)+IF(B1252="Working",E107,0))-N1252,0)</f>
        <v/>
      </c>
      <c r="S1252" s="138">
        <f>MAX(((S1251)*(1+$C$10)+IF(B1252="Working",I1252,0))-O1252,0)</f>
        <v/>
      </c>
      <c r="T1252" s="138">
        <f>MAX(((T1251)*(1+$C$10)+IF(B1252="Working",F107,0))-P1252,0)</f>
        <v/>
      </c>
      <c r="U1252" s="138">
        <f>Q1252+R1252+S1252+T1252</f>
        <v/>
      </c>
      <c r="V1252" s="138">
        <f>IF(B1252="Working",MAX(-(((Q1251)*(1+$C$10)+IF(B1252="Working",J1252,0))),0),MAX(K1252-L1252,0))</f>
        <v/>
      </c>
      <c r="W1252" s="138">
        <f>IF(OR(A1252&gt;=$C$13,B1252="Retired"),IF(V1252&gt;0,-V1252,U1252-'Model Inputs'!$B$18),"")</f>
        <v/>
      </c>
      <c r="X1252" s="138">
        <f>IF(AND($L$249&gt;0,A1252&gt;=$C$13),$L$249*(1+$C$25)^(A1252-$C$13),0)</f>
        <v/>
      </c>
      <c r="Y1252" s="138">
        <f>IF(OR($L$249&lt;=0,$C$17&lt;=0,A1252&lt;$C$13,MIN(MAX((A1252-$C$13+1)*12,0),$C$17*12)&gt;=$C$17*12),0,IF($C$16=0,MAX(MAX($L$249*(1-$C$15),0)-(IF($C$17&lt;=0,0,IF($C$16=0,MAX($L$249*(1-$C$15),0)/$C$17,-PMT($C$16/12,$C$17*12,MAX($L$249*(1-$C$15),0))*12))/12)*MIN(MAX((A1252-$C$13+1)*12,0),$C$17*12),0),MAX(MAX($L$249*(1-$C$15),0)*(1+$C$16/12)^MIN(MAX((A1252-$C$13+1)*12,0),$C$17*12)-(IF($C$17&lt;=0,0,IF($C$16=0,MAX($L$249*(1-$C$15),0)/$C$17,-PMT($C$16/12,$C$17*12,MAX($L$249*(1-$C$15),0))*12))/12)*(((1+$C$16/12)^MIN(MAX((A1252-$C$13+1)*12,0),$C$17*12)-1)/($C$16/12)),0)))</f>
        <v/>
      </c>
      <c r="Z1252" s="138">
        <f>MAX(X1252-Y1252,0)</f>
        <v/>
      </c>
      <c r="AA1252" s="142">
        <f>U1252+Z1252</f>
        <v/>
      </c>
      <c r="AB1252" s="5" t="n"/>
      <c r="AC1252" s="5" t="n"/>
      <c r="AD1252" s="5" t="n"/>
      <c r="AE1252" s="5" t="n"/>
      <c r="AF1252" s="5" t="n"/>
      <c r="AG1252" s="5" t="n"/>
    </row>
    <row r="1253" outlineLevel="1" s="326">
      <c r="A1253" s="136" t="n">
        <v>29</v>
      </c>
      <c r="B1253" s="72">
        <f>B108</f>
        <v/>
      </c>
      <c r="C1253" s="137">
        <f>D108</f>
        <v/>
      </c>
      <c r="D1253" s="137">
        <f>I108</f>
        <v/>
      </c>
      <c r="E1253" s="137">
        <f>J108</f>
        <v/>
      </c>
      <c r="F1253" s="137">
        <f>K108</f>
        <v/>
      </c>
      <c r="G1253" s="138">
        <f>IF(AND($L$249&gt;0,A1253=$C$13),$L$249*($C$15+$C$18),0)+IF(AND($L$249&gt;0,A1253=$C$13),$C$24,0)</f>
        <v/>
      </c>
      <c r="H1253" s="138">
        <f>IF(OR($L$249&lt;=0,A1253&lt;$C$13),0,IF(AND($L$249&gt;0,$C$17&gt;0,A1253&gt;=$C$13,A1253&lt;($C$13+$C$17)),IF($C$17&lt;=0,0,IF($C$16=0,MAX($L$249*(1-$C$15),0)/$C$17,-PMT($C$16/12,$C$17*12,MAX($L$249*(1-$C$15),0))*12)),0)+X1253*($C$19+$C$20+$C$21)+$C$22+$C$23)</f>
        <v/>
      </c>
      <c r="I1253" s="138">
        <f>IF(B1253="Working",MIN(MAX(D1253-E1253-F1253-G1253-H1253,0),'Tax Assumptions'!$B$20),0)</f>
        <v/>
      </c>
      <c r="J1253" s="138">
        <f>IF(B1253="Working",D1253-E1253-F1253-I1253-G1253-H1253,-L1253)</f>
        <v/>
      </c>
      <c r="K1253" s="137">
        <f>IF(B1253="Retired",$N$249+G1253+H1253,0)</f>
        <v/>
      </c>
      <c r="L1253" s="137">
        <f>M1253+N1253+O1253+P1253</f>
        <v/>
      </c>
      <c r="M1253" s="137">
        <f>IF(B1253="Retired",MIN(((Q1252)*(1+$C$10)+IF(B1253="Working",J1253,0)),K1253),0)</f>
        <v/>
      </c>
      <c r="N1253" s="137">
        <f>IF(B1253="Retired",MIN(MAX(K1253-M1253,0),((R1252)*(1+$C$10)+IF(B1253="Working",E108,0))),0)</f>
        <v/>
      </c>
      <c r="O1253" s="137">
        <f>IF(B1253="Retired",MIN(MAX(K1253-M1253-N1253,0),((S1252)*(1+$C$10)+IF(B1253="Working",I1253,0))),0)</f>
        <v/>
      </c>
      <c r="P1253" s="137">
        <f>IF(B1253="Retired",MIN(MAX(K1253-M1253-N1253-O1253,0),((T1252)*(1+$C$10)+IF(B1253="Working",F108,0))),0)</f>
        <v/>
      </c>
      <c r="Q1253" s="138">
        <f>MAX(((Q1252)*(1+$C$10)+IF(B1253="Working",J1253,0))-M1253,0)</f>
        <v/>
      </c>
      <c r="R1253" s="138">
        <f>MAX(((R1252)*(1+$C$10)+IF(B1253="Working",E108,0))-N1253,0)</f>
        <v/>
      </c>
      <c r="S1253" s="138">
        <f>MAX(((S1252)*(1+$C$10)+IF(B1253="Working",I1253,0))-O1253,0)</f>
        <v/>
      </c>
      <c r="T1253" s="138">
        <f>MAX(((T1252)*(1+$C$10)+IF(B1253="Working",F108,0))-P1253,0)</f>
        <v/>
      </c>
      <c r="U1253" s="138">
        <f>Q1253+R1253+S1253+T1253</f>
        <v/>
      </c>
      <c r="V1253" s="138">
        <f>IF(B1253="Working",MAX(-(((Q1252)*(1+$C$10)+IF(B1253="Working",J1253,0))),0),MAX(K1253-L1253,0))</f>
        <v/>
      </c>
      <c r="W1253" s="138">
        <f>IF(OR(A1253&gt;=$C$13,B1253="Retired"),IF(V1253&gt;0,-V1253,U1253-'Model Inputs'!$B$18),"")</f>
        <v/>
      </c>
      <c r="X1253" s="138">
        <f>IF(AND($L$249&gt;0,A1253&gt;=$C$13),$L$249*(1+$C$25)^(A1253-$C$13),0)</f>
        <v/>
      </c>
      <c r="Y1253" s="138">
        <f>IF(OR($L$249&lt;=0,$C$17&lt;=0,A1253&lt;$C$13,MIN(MAX((A1253-$C$13+1)*12,0),$C$17*12)&gt;=$C$17*12),0,IF($C$16=0,MAX(MAX($L$249*(1-$C$15),0)-(IF($C$17&lt;=0,0,IF($C$16=0,MAX($L$249*(1-$C$15),0)/$C$17,-PMT($C$16/12,$C$17*12,MAX($L$249*(1-$C$15),0))*12))/12)*MIN(MAX((A1253-$C$13+1)*12,0),$C$17*12),0),MAX(MAX($L$249*(1-$C$15),0)*(1+$C$16/12)^MIN(MAX((A1253-$C$13+1)*12,0),$C$17*12)-(IF($C$17&lt;=0,0,IF($C$16=0,MAX($L$249*(1-$C$15),0)/$C$17,-PMT($C$16/12,$C$17*12,MAX($L$249*(1-$C$15),0))*12))/12)*(((1+$C$16/12)^MIN(MAX((A1253-$C$13+1)*12,0),$C$17*12)-1)/($C$16/12)),0)))</f>
        <v/>
      </c>
      <c r="Z1253" s="138">
        <f>MAX(X1253-Y1253,0)</f>
        <v/>
      </c>
      <c r="AA1253" s="139">
        <f>U1253+Z1253</f>
        <v/>
      </c>
      <c r="AB1253" s="5" t="n"/>
      <c r="AC1253" s="5" t="n"/>
      <c r="AD1253" s="5" t="n"/>
      <c r="AE1253" s="5" t="n"/>
      <c r="AF1253" s="5" t="n"/>
      <c r="AG1253" s="5" t="n"/>
    </row>
    <row r="1254" outlineLevel="1" s="326">
      <c r="A1254" s="140" t="n">
        <v>30</v>
      </c>
      <c r="B1254" s="40">
        <f>B109</f>
        <v/>
      </c>
      <c r="C1254" s="141">
        <f>D109</f>
        <v/>
      </c>
      <c r="D1254" s="141">
        <f>I109</f>
        <v/>
      </c>
      <c r="E1254" s="141">
        <f>J109</f>
        <v/>
      </c>
      <c r="F1254" s="141">
        <f>K109</f>
        <v/>
      </c>
      <c r="G1254" s="138">
        <f>IF(AND($L$249&gt;0,A1254=$C$13),$L$249*($C$15+$C$18),0)+IF(AND($L$249&gt;0,A1254=$C$13),$C$24,0)</f>
        <v/>
      </c>
      <c r="H1254" s="138">
        <f>IF(OR($L$249&lt;=0,A1254&lt;$C$13),0,IF(AND($L$249&gt;0,$C$17&gt;0,A1254&gt;=$C$13,A1254&lt;($C$13+$C$17)),IF($C$17&lt;=0,0,IF($C$16=0,MAX($L$249*(1-$C$15),0)/$C$17,-PMT($C$16/12,$C$17*12,MAX($L$249*(1-$C$15),0))*12)),0)+X1254*($C$19+$C$20+$C$21)+$C$22+$C$23)</f>
        <v/>
      </c>
      <c r="I1254" s="138">
        <f>IF(B1254="Working",MIN(MAX(D1254-E1254-F1254-G1254-H1254,0),'Tax Assumptions'!$B$20),0)</f>
        <v/>
      </c>
      <c r="J1254" s="138">
        <f>IF(B1254="Working",D1254-E1254-F1254-I1254-G1254-H1254,-L1254)</f>
        <v/>
      </c>
      <c r="K1254" s="141">
        <f>IF(B1254="Retired",$N$249+G1254+H1254,0)</f>
        <v/>
      </c>
      <c r="L1254" s="141">
        <f>M1254+N1254+O1254+P1254</f>
        <v/>
      </c>
      <c r="M1254" s="141">
        <f>IF(B1254="Retired",MIN(((Q1253)*(1+$C$10)+IF(B1254="Working",J1254,0)),K1254),0)</f>
        <v/>
      </c>
      <c r="N1254" s="141">
        <f>IF(B1254="Retired",MIN(MAX(K1254-M1254,0),((R1253)*(1+$C$10)+IF(B1254="Working",E109,0))),0)</f>
        <v/>
      </c>
      <c r="O1254" s="141">
        <f>IF(B1254="Retired",MIN(MAX(K1254-M1254-N1254,0),((S1253)*(1+$C$10)+IF(B1254="Working",I1254,0))),0)</f>
        <v/>
      </c>
      <c r="P1254" s="141">
        <f>IF(B1254="Retired",MIN(MAX(K1254-M1254-N1254-O1254,0),((T1253)*(1+$C$10)+IF(B1254="Working",F109,0))),0)</f>
        <v/>
      </c>
      <c r="Q1254" s="138">
        <f>MAX(((Q1253)*(1+$C$10)+IF(B1254="Working",J1254,0))-M1254,0)</f>
        <v/>
      </c>
      <c r="R1254" s="138">
        <f>MAX(((R1253)*(1+$C$10)+IF(B1254="Working",E109,0))-N1254,0)</f>
        <v/>
      </c>
      <c r="S1254" s="138">
        <f>MAX(((S1253)*(1+$C$10)+IF(B1254="Working",I1254,0))-O1254,0)</f>
        <v/>
      </c>
      <c r="T1254" s="138">
        <f>MAX(((T1253)*(1+$C$10)+IF(B1254="Working",F109,0))-P1254,0)</f>
        <v/>
      </c>
      <c r="U1254" s="138">
        <f>Q1254+R1254+S1254+T1254</f>
        <v/>
      </c>
      <c r="V1254" s="138">
        <f>IF(B1254="Working",MAX(-(((Q1253)*(1+$C$10)+IF(B1254="Working",J1254,0))),0),MAX(K1254-L1254,0))</f>
        <v/>
      </c>
      <c r="W1254" s="138">
        <f>IF(OR(A1254&gt;=$C$13,B1254="Retired"),IF(V1254&gt;0,-V1254,U1254-'Model Inputs'!$B$18),"")</f>
        <v/>
      </c>
      <c r="X1254" s="138">
        <f>IF(AND($L$249&gt;0,A1254&gt;=$C$13),$L$249*(1+$C$25)^(A1254-$C$13),0)</f>
        <v/>
      </c>
      <c r="Y1254" s="138">
        <f>IF(OR($L$249&lt;=0,$C$17&lt;=0,A1254&lt;$C$13,MIN(MAX((A1254-$C$13+1)*12,0),$C$17*12)&gt;=$C$17*12),0,IF($C$16=0,MAX(MAX($L$249*(1-$C$15),0)-(IF($C$17&lt;=0,0,IF($C$16=0,MAX($L$249*(1-$C$15),0)/$C$17,-PMT($C$16/12,$C$17*12,MAX($L$249*(1-$C$15),0))*12))/12)*MIN(MAX((A1254-$C$13+1)*12,0),$C$17*12),0),MAX(MAX($L$249*(1-$C$15),0)*(1+$C$16/12)^MIN(MAX((A1254-$C$13+1)*12,0),$C$17*12)-(IF($C$17&lt;=0,0,IF($C$16=0,MAX($L$249*(1-$C$15),0)/$C$17,-PMT($C$16/12,$C$17*12,MAX($L$249*(1-$C$15),0))*12))/12)*(((1+$C$16/12)^MIN(MAX((A1254-$C$13+1)*12,0),$C$17*12)-1)/($C$16/12)),0)))</f>
        <v/>
      </c>
      <c r="Z1254" s="138">
        <f>MAX(X1254-Y1254,0)</f>
        <v/>
      </c>
      <c r="AA1254" s="142">
        <f>U1254+Z1254</f>
        <v/>
      </c>
      <c r="AB1254" s="5" t="n"/>
      <c r="AC1254" s="5" t="n"/>
      <c r="AD1254" s="5" t="n"/>
      <c r="AE1254" s="5" t="n"/>
      <c r="AF1254" s="5" t="n"/>
      <c r="AG1254" s="5" t="n"/>
    </row>
    <row r="1255" outlineLevel="1" s="326">
      <c r="A1255" s="136" t="n">
        <v>31</v>
      </c>
      <c r="B1255" s="72">
        <f>B110</f>
        <v/>
      </c>
      <c r="C1255" s="137">
        <f>D110</f>
        <v/>
      </c>
      <c r="D1255" s="137">
        <f>I110</f>
        <v/>
      </c>
      <c r="E1255" s="137">
        <f>J110</f>
        <v/>
      </c>
      <c r="F1255" s="137">
        <f>K110</f>
        <v/>
      </c>
      <c r="G1255" s="138">
        <f>IF(AND($L$249&gt;0,A1255=$C$13),$L$249*($C$15+$C$18),0)+IF(AND($L$249&gt;0,A1255=$C$13),$C$24,0)</f>
        <v/>
      </c>
      <c r="H1255" s="138">
        <f>IF(OR($L$249&lt;=0,A1255&lt;$C$13),0,IF(AND($L$249&gt;0,$C$17&gt;0,A1255&gt;=$C$13,A1255&lt;($C$13+$C$17)),IF($C$17&lt;=0,0,IF($C$16=0,MAX($L$249*(1-$C$15),0)/$C$17,-PMT($C$16/12,$C$17*12,MAX($L$249*(1-$C$15),0))*12)),0)+X1255*($C$19+$C$20+$C$21)+$C$22+$C$23)</f>
        <v/>
      </c>
      <c r="I1255" s="138">
        <f>IF(B1255="Working",MIN(MAX(D1255-E1255-F1255-G1255-H1255,0),'Tax Assumptions'!$B$20),0)</f>
        <v/>
      </c>
      <c r="J1255" s="138">
        <f>IF(B1255="Working",D1255-E1255-F1255-I1255-G1255-H1255,-L1255)</f>
        <v/>
      </c>
      <c r="K1255" s="137">
        <f>IF(B1255="Retired",$N$249+G1255+H1255,0)</f>
        <v/>
      </c>
      <c r="L1255" s="137">
        <f>M1255+N1255+O1255+P1255</f>
        <v/>
      </c>
      <c r="M1255" s="137">
        <f>IF(B1255="Retired",MIN(((Q1254)*(1+$C$10)+IF(B1255="Working",J1255,0)),K1255),0)</f>
        <v/>
      </c>
      <c r="N1255" s="137">
        <f>IF(B1255="Retired",MIN(MAX(K1255-M1255,0),((R1254)*(1+$C$10)+IF(B1255="Working",E110,0))),0)</f>
        <v/>
      </c>
      <c r="O1255" s="137">
        <f>IF(B1255="Retired",MIN(MAX(K1255-M1255-N1255,0),((S1254)*(1+$C$10)+IF(B1255="Working",I1255,0))),0)</f>
        <v/>
      </c>
      <c r="P1255" s="137">
        <f>IF(B1255="Retired",MIN(MAX(K1255-M1255-N1255-O1255,0),((T1254)*(1+$C$10)+IF(B1255="Working",F110,0))),0)</f>
        <v/>
      </c>
      <c r="Q1255" s="138">
        <f>MAX(((Q1254)*(1+$C$10)+IF(B1255="Working",J1255,0))-M1255,0)</f>
        <v/>
      </c>
      <c r="R1255" s="138">
        <f>MAX(((R1254)*(1+$C$10)+IF(B1255="Working",E110,0))-N1255,0)</f>
        <v/>
      </c>
      <c r="S1255" s="138">
        <f>MAX(((S1254)*(1+$C$10)+IF(B1255="Working",I1255,0))-O1255,0)</f>
        <v/>
      </c>
      <c r="T1255" s="138">
        <f>MAX(((T1254)*(1+$C$10)+IF(B1255="Working",F110,0))-P1255,0)</f>
        <v/>
      </c>
      <c r="U1255" s="138">
        <f>Q1255+R1255+S1255+T1255</f>
        <v/>
      </c>
      <c r="V1255" s="138">
        <f>IF(B1255="Working",MAX(-(((Q1254)*(1+$C$10)+IF(B1255="Working",J1255,0))),0),MAX(K1255-L1255,0))</f>
        <v/>
      </c>
      <c r="W1255" s="138">
        <f>IF(OR(A1255&gt;=$C$13,B1255="Retired"),IF(V1255&gt;0,-V1255,U1255-'Model Inputs'!$B$18),"")</f>
        <v/>
      </c>
      <c r="X1255" s="138">
        <f>IF(AND($L$249&gt;0,A1255&gt;=$C$13),$L$249*(1+$C$25)^(A1255-$C$13),0)</f>
        <v/>
      </c>
      <c r="Y1255" s="138">
        <f>IF(OR($L$249&lt;=0,$C$17&lt;=0,A1255&lt;$C$13,MIN(MAX((A1255-$C$13+1)*12,0),$C$17*12)&gt;=$C$17*12),0,IF($C$16=0,MAX(MAX($L$249*(1-$C$15),0)-(IF($C$17&lt;=0,0,IF($C$16=0,MAX($L$249*(1-$C$15),0)/$C$17,-PMT($C$16/12,$C$17*12,MAX($L$249*(1-$C$15),0))*12))/12)*MIN(MAX((A1255-$C$13+1)*12,0),$C$17*12),0),MAX(MAX($L$249*(1-$C$15),0)*(1+$C$16/12)^MIN(MAX((A1255-$C$13+1)*12,0),$C$17*12)-(IF($C$17&lt;=0,0,IF($C$16=0,MAX($L$249*(1-$C$15),0)/$C$17,-PMT($C$16/12,$C$17*12,MAX($L$249*(1-$C$15),0))*12))/12)*(((1+$C$16/12)^MIN(MAX((A1255-$C$13+1)*12,0),$C$17*12)-1)/($C$16/12)),0)))</f>
        <v/>
      </c>
      <c r="Z1255" s="138">
        <f>MAX(X1255-Y1255,0)</f>
        <v/>
      </c>
      <c r="AA1255" s="139">
        <f>U1255+Z1255</f>
        <v/>
      </c>
      <c r="AB1255" s="5" t="n"/>
      <c r="AC1255" s="5" t="n"/>
      <c r="AD1255" s="5" t="n"/>
      <c r="AE1255" s="5" t="n"/>
      <c r="AF1255" s="5" t="n"/>
      <c r="AG1255" s="5" t="n"/>
    </row>
    <row r="1256" outlineLevel="1" s="326">
      <c r="A1256" s="140" t="n">
        <v>32</v>
      </c>
      <c r="B1256" s="40">
        <f>B111</f>
        <v/>
      </c>
      <c r="C1256" s="141">
        <f>D111</f>
        <v/>
      </c>
      <c r="D1256" s="141">
        <f>I111</f>
        <v/>
      </c>
      <c r="E1256" s="141">
        <f>J111</f>
        <v/>
      </c>
      <c r="F1256" s="141">
        <f>K111</f>
        <v/>
      </c>
      <c r="G1256" s="138">
        <f>IF(AND($L$249&gt;0,A1256=$C$13),$L$249*($C$15+$C$18),0)+IF(AND($L$249&gt;0,A1256=$C$13),$C$24,0)</f>
        <v/>
      </c>
      <c r="H1256" s="138">
        <f>IF(OR($L$249&lt;=0,A1256&lt;$C$13),0,IF(AND($L$249&gt;0,$C$17&gt;0,A1256&gt;=$C$13,A1256&lt;($C$13+$C$17)),IF($C$17&lt;=0,0,IF($C$16=0,MAX($L$249*(1-$C$15),0)/$C$17,-PMT($C$16/12,$C$17*12,MAX($L$249*(1-$C$15),0))*12)),0)+X1256*($C$19+$C$20+$C$21)+$C$22+$C$23)</f>
        <v/>
      </c>
      <c r="I1256" s="138">
        <f>IF(B1256="Working",MIN(MAX(D1256-E1256-F1256-G1256-H1256,0),'Tax Assumptions'!$B$20),0)</f>
        <v/>
      </c>
      <c r="J1256" s="138">
        <f>IF(B1256="Working",D1256-E1256-F1256-I1256-G1256-H1256,-L1256)</f>
        <v/>
      </c>
      <c r="K1256" s="141">
        <f>IF(B1256="Retired",$N$249+G1256+H1256,0)</f>
        <v/>
      </c>
      <c r="L1256" s="141">
        <f>M1256+N1256+O1256+P1256</f>
        <v/>
      </c>
      <c r="M1256" s="141">
        <f>IF(B1256="Retired",MIN(((Q1255)*(1+$C$10)+IF(B1256="Working",J1256,0)),K1256),0)</f>
        <v/>
      </c>
      <c r="N1256" s="141">
        <f>IF(B1256="Retired",MIN(MAX(K1256-M1256,0),((R1255)*(1+$C$10)+IF(B1256="Working",E111,0))),0)</f>
        <v/>
      </c>
      <c r="O1256" s="141">
        <f>IF(B1256="Retired",MIN(MAX(K1256-M1256-N1256,0),((S1255)*(1+$C$10)+IF(B1256="Working",I1256,0))),0)</f>
        <v/>
      </c>
      <c r="P1256" s="141">
        <f>IF(B1256="Retired",MIN(MAX(K1256-M1256-N1256-O1256,0),((T1255)*(1+$C$10)+IF(B1256="Working",F111,0))),0)</f>
        <v/>
      </c>
      <c r="Q1256" s="138">
        <f>MAX(((Q1255)*(1+$C$10)+IF(B1256="Working",J1256,0))-M1256,0)</f>
        <v/>
      </c>
      <c r="R1256" s="138">
        <f>MAX(((R1255)*(1+$C$10)+IF(B1256="Working",E111,0))-N1256,0)</f>
        <v/>
      </c>
      <c r="S1256" s="138">
        <f>MAX(((S1255)*(1+$C$10)+IF(B1256="Working",I1256,0))-O1256,0)</f>
        <v/>
      </c>
      <c r="T1256" s="138">
        <f>MAX(((T1255)*(1+$C$10)+IF(B1256="Working",F111,0))-P1256,0)</f>
        <v/>
      </c>
      <c r="U1256" s="138">
        <f>Q1256+R1256+S1256+T1256</f>
        <v/>
      </c>
      <c r="V1256" s="138">
        <f>IF(B1256="Working",MAX(-(((Q1255)*(1+$C$10)+IF(B1256="Working",J1256,0))),0),MAX(K1256-L1256,0))</f>
        <v/>
      </c>
      <c r="W1256" s="138">
        <f>IF(OR(A1256&gt;=$C$13,B1256="Retired"),IF(V1256&gt;0,-V1256,U1256-'Model Inputs'!$B$18),"")</f>
        <v/>
      </c>
      <c r="X1256" s="138">
        <f>IF(AND($L$249&gt;0,A1256&gt;=$C$13),$L$249*(1+$C$25)^(A1256-$C$13),0)</f>
        <v/>
      </c>
      <c r="Y1256" s="138">
        <f>IF(OR($L$249&lt;=0,$C$17&lt;=0,A1256&lt;$C$13,MIN(MAX((A1256-$C$13+1)*12,0),$C$17*12)&gt;=$C$17*12),0,IF($C$16=0,MAX(MAX($L$249*(1-$C$15),0)-(IF($C$17&lt;=0,0,IF($C$16=0,MAX($L$249*(1-$C$15),0)/$C$17,-PMT($C$16/12,$C$17*12,MAX($L$249*(1-$C$15),0))*12))/12)*MIN(MAX((A1256-$C$13+1)*12,0),$C$17*12),0),MAX(MAX($L$249*(1-$C$15),0)*(1+$C$16/12)^MIN(MAX((A1256-$C$13+1)*12,0),$C$17*12)-(IF($C$17&lt;=0,0,IF($C$16=0,MAX($L$249*(1-$C$15),0)/$C$17,-PMT($C$16/12,$C$17*12,MAX($L$249*(1-$C$15),0))*12))/12)*(((1+$C$16/12)^MIN(MAX((A1256-$C$13+1)*12,0),$C$17*12)-1)/($C$16/12)),0)))</f>
        <v/>
      </c>
      <c r="Z1256" s="138">
        <f>MAX(X1256-Y1256,0)</f>
        <v/>
      </c>
      <c r="AA1256" s="142">
        <f>U1256+Z1256</f>
        <v/>
      </c>
      <c r="AB1256" s="5" t="n"/>
      <c r="AC1256" s="5" t="n"/>
      <c r="AD1256" s="5" t="n"/>
      <c r="AE1256" s="5" t="n"/>
      <c r="AF1256" s="5" t="n"/>
      <c r="AG1256" s="5" t="n"/>
    </row>
    <row r="1257" outlineLevel="1" s="326">
      <c r="A1257" s="136" t="n">
        <v>33</v>
      </c>
      <c r="B1257" s="72">
        <f>B112</f>
        <v/>
      </c>
      <c r="C1257" s="137">
        <f>D112</f>
        <v/>
      </c>
      <c r="D1257" s="137">
        <f>I112</f>
        <v/>
      </c>
      <c r="E1257" s="137">
        <f>J112</f>
        <v/>
      </c>
      <c r="F1257" s="137">
        <f>K112</f>
        <v/>
      </c>
      <c r="G1257" s="138">
        <f>IF(AND($L$249&gt;0,A1257=$C$13),$L$249*($C$15+$C$18),0)+IF(AND($L$249&gt;0,A1257=$C$13),$C$24,0)</f>
        <v/>
      </c>
      <c r="H1257" s="138">
        <f>IF(OR($L$249&lt;=0,A1257&lt;$C$13),0,IF(AND($L$249&gt;0,$C$17&gt;0,A1257&gt;=$C$13,A1257&lt;($C$13+$C$17)),IF($C$17&lt;=0,0,IF($C$16=0,MAX($L$249*(1-$C$15),0)/$C$17,-PMT($C$16/12,$C$17*12,MAX($L$249*(1-$C$15),0))*12)),0)+X1257*($C$19+$C$20+$C$21)+$C$22+$C$23)</f>
        <v/>
      </c>
      <c r="I1257" s="138">
        <f>IF(B1257="Working",MIN(MAX(D1257-E1257-F1257-G1257-H1257,0),'Tax Assumptions'!$B$20),0)</f>
        <v/>
      </c>
      <c r="J1257" s="138">
        <f>IF(B1257="Working",D1257-E1257-F1257-I1257-G1257-H1257,-L1257)</f>
        <v/>
      </c>
      <c r="K1257" s="137">
        <f>IF(B1257="Retired",$N$249+G1257+H1257,0)</f>
        <v/>
      </c>
      <c r="L1257" s="137">
        <f>M1257+N1257+O1257+P1257</f>
        <v/>
      </c>
      <c r="M1257" s="137">
        <f>IF(B1257="Retired",MIN(((Q1256)*(1+$C$10)+IF(B1257="Working",J1257,0)),K1257),0)</f>
        <v/>
      </c>
      <c r="N1257" s="137">
        <f>IF(B1257="Retired",MIN(MAX(K1257-M1257,0),((R1256)*(1+$C$10)+IF(B1257="Working",E112,0))),0)</f>
        <v/>
      </c>
      <c r="O1257" s="137">
        <f>IF(B1257="Retired",MIN(MAX(K1257-M1257-N1257,0),((S1256)*(1+$C$10)+IF(B1257="Working",I1257,0))),0)</f>
        <v/>
      </c>
      <c r="P1257" s="137">
        <f>IF(B1257="Retired",MIN(MAX(K1257-M1257-N1257-O1257,0),((T1256)*(1+$C$10)+IF(B1257="Working",F112,0))),0)</f>
        <v/>
      </c>
      <c r="Q1257" s="138">
        <f>MAX(((Q1256)*(1+$C$10)+IF(B1257="Working",J1257,0))-M1257,0)</f>
        <v/>
      </c>
      <c r="R1257" s="138">
        <f>MAX(((R1256)*(1+$C$10)+IF(B1257="Working",E112,0))-N1257,0)</f>
        <v/>
      </c>
      <c r="S1257" s="138">
        <f>MAX(((S1256)*(1+$C$10)+IF(B1257="Working",I1257,0))-O1257,0)</f>
        <v/>
      </c>
      <c r="T1257" s="138">
        <f>MAX(((T1256)*(1+$C$10)+IF(B1257="Working",F112,0))-P1257,0)</f>
        <v/>
      </c>
      <c r="U1257" s="138">
        <f>Q1257+R1257+S1257+T1257</f>
        <v/>
      </c>
      <c r="V1257" s="138">
        <f>IF(B1257="Working",MAX(-(((Q1256)*(1+$C$10)+IF(B1257="Working",J1257,0))),0),MAX(K1257-L1257,0))</f>
        <v/>
      </c>
      <c r="W1257" s="138">
        <f>IF(OR(A1257&gt;=$C$13,B1257="Retired"),IF(V1257&gt;0,-V1257,U1257-'Model Inputs'!$B$18),"")</f>
        <v/>
      </c>
      <c r="X1257" s="138">
        <f>IF(AND($L$249&gt;0,A1257&gt;=$C$13),$L$249*(1+$C$25)^(A1257-$C$13),0)</f>
        <v/>
      </c>
      <c r="Y1257" s="138">
        <f>IF(OR($L$249&lt;=0,$C$17&lt;=0,A1257&lt;$C$13,MIN(MAX((A1257-$C$13+1)*12,0),$C$17*12)&gt;=$C$17*12),0,IF($C$16=0,MAX(MAX($L$249*(1-$C$15),0)-(IF($C$17&lt;=0,0,IF($C$16=0,MAX($L$249*(1-$C$15),0)/$C$17,-PMT($C$16/12,$C$17*12,MAX($L$249*(1-$C$15),0))*12))/12)*MIN(MAX((A1257-$C$13+1)*12,0),$C$17*12),0),MAX(MAX($L$249*(1-$C$15),0)*(1+$C$16/12)^MIN(MAX((A1257-$C$13+1)*12,0),$C$17*12)-(IF($C$17&lt;=0,0,IF($C$16=0,MAX($L$249*(1-$C$15),0)/$C$17,-PMT($C$16/12,$C$17*12,MAX($L$249*(1-$C$15),0))*12))/12)*(((1+$C$16/12)^MIN(MAX((A1257-$C$13+1)*12,0),$C$17*12)-1)/($C$16/12)),0)))</f>
        <v/>
      </c>
      <c r="Z1257" s="138">
        <f>MAX(X1257-Y1257,0)</f>
        <v/>
      </c>
      <c r="AA1257" s="139">
        <f>U1257+Z1257</f>
        <v/>
      </c>
      <c r="AB1257" s="5" t="n"/>
      <c r="AC1257" s="5" t="n"/>
      <c r="AD1257" s="5" t="n"/>
      <c r="AE1257" s="5" t="n"/>
      <c r="AF1257" s="5" t="n"/>
      <c r="AG1257" s="5" t="n"/>
    </row>
    <row r="1258" outlineLevel="1" s="326">
      <c r="A1258" s="140" t="n">
        <v>34</v>
      </c>
      <c r="B1258" s="40">
        <f>B113</f>
        <v/>
      </c>
      <c r="C1258" s="141">
        <f>D113</f>
        <v/>
      </c>
      <c r="D1258" s="141">
        <f>I113</f>
        <v/>
      </c>
      <c r="E1258" s="141">
        <f>J113</f>
        <v/>
      </c>
      <c r="F1258" s="141">
        <f>K113</f>
        <v/>
      </c>
      <c r="G1258" s="138">
        <f>IF(AND($L$249&gt;0,A1258=$C$13),$L$249*($C$15+$C$18),0)+IF(AND($L$249&gt;0,A1258=$C$13),$C$24,0)</f>
        <v/>
      </c>
      <c r="H1258" s="138">
        <f>IF(OR($L$249&lt;=0,A1258&lt;$C$13),0,IF(AND($L$249&gt;0,$C$17&gt;0,A1258&gt;=$C$13,A1258&lt;($C$13+$C$17)),IF($C$17&lt;=0,0,IF($C$16=0,MAX($L$249*(1-$C$15),0)/$C$17,-PMT($C$16/12,$C$17*12,MAX($L$249*(1-$C$15),0))*12)),0)+X1258*($C$19+$C$20+$C$21)+$C$22+$C$23)</f>
        <v/>
      </c>
      <c r="I1258" s="138">
        <f>IF(B1258="Working",MIN(MAX(D1258-E1258-F1258-G1258-H1258,0),'Tax Assumptions'!$B$20),0)</f>
        <v/>
      </c>
      <c r="J1258" s="138">
        <f>IF(B1258="Working",D1258-E1258-F1258-I1258-G1258-H1258,-L1258)</f>
        <v/>
      </c>
      <c r="K1258" s="141">
        <f>IF(B1258="Retired",$N$249+G1258+H1258,0)</f>
        <v/>
      </c>
      <c r="L1258" s="141">
        <f>M1258+N1258+O1258+P1258</f>
        <v/>
      </c>
      <c r="M1258" s="141">
        <f>IF(B1258="Retired",MIN(((Q1257)*(1+$C$10)+IF(B1258="Working",J1258,0)),K1258),0)</f>
        <v/>
      </c>
      <c r="N1258" s="141">
        <f>IF(B1258="Retired",MIN(MAX(K1258-M1258,0),((R1257)*(1+$C$10)+IF(B1258="Working",E113,0))),0)</f>
        <v/>
      </c>
      <c r="O1258" s="141">
        <f>IF(B1258="Retired",MIN(MAX(K1258-M1258-N1258,0),((S1257)*(1+$C$10)+IF(B1258="Working",I1258,0))),0)</f>
        <v/>
      </c>
      <c r="P1258" s="141">
        <f>IF(B1258="Retired",MIN(MAX(K1258-M1258-N1258-O1258,0),((T1257)*(1+$C$10)+IF(B1258="Working",F113,0))),0)</f>
        <v/>
      </c>
      <c r="Q1258" s="138">
        <f>MAX(((Q1257)*(1+$C$10)+IF(B1258="Working",J1258,0))-M1258,0)</f>
        <v/>
      </c>
      <c r="R1258" s="138">
        <f>MAX(((R1257)*(1+$C$10)+IF(B1258="Working",E113,0))-N1258,0)</f>
        <v/>
      </c>
      <c r="S1258" s="138">
        <f>MAX(((S1257)*(1+$C$10)+IF(B1258="Working",I1258,0))-O1258,0)</f>
        <v/>
      </c>
      <c r="T1258" s="138">
        <f>MAX(((T1257)*(1+$C$10)+IF(B1258="Working",F113,0))-P1258,0)</f>
        <v/>
      </c>
      <c r="U1258" s="138">
        <f>Q1258+R1258+S1258+T1258</f>
        <v/>
      </c>
      <c r="V1258" s="138">
        <f>IF(B1258="Working",MAX(-(((Q1257)*(1+$C$10)+IF(B1258="Working",J1258,0))),0),MAX(K1258-L1258,0))</f>
        <v/>
      </c>
      <c r="W1258" s="138">
        <f>IF(OR(A1258&gt;=$C$13,B1258="Retired"),IF(V1258&gt;0,-V1258,U1258-'Model Inputs'!$B$18),"")</f>
        <v/>
      </c>
      <c r="X1258" s="138">
        <f>IF(AND($L$249&gt;0,A1258&gt;=$C$13),$L$249*(1+$C$25)^(A1258-$C$13),0)</f>
        <v/>
      </c>
      <c r="Y1258" s="138">
        <f>IF(OR($L$249&lt;=0,$C$17&lt;=0,A1258&lt;$C$13,MIN(MAX((A1258-$C$13+1)*12,0),$C$17*12)&gt;=$C$17*12),0,IF($C$16=0,MAX(MAX($L$249*(1-$C$15),0)-(IF($C$17&lt;=0,0,IF($C$16=0,MAX($L$249*(1-$C$15),0)/$C$17,-PMT($C$16/12,$C$17*12,MAX($L$249*(1-$C$15),0))*12))/12)*MIN(MAX((A1258-$C$13+1)*12,0),$C$17*12),0),MAX(MAX($L$249*(1-$C$15),0)*(1+$C$16/12)^MIN(MAX((A1258-$C$13+1)*12,0),$C$17*12)-(IF($C$17&lt;=0,0,IF($C$16=0,MAX($L$249*(1-$C$15),0)/$C$17,-PMT($C$16/12,$C$17*12,MAX($L$249*(1-$C$15),0))*12))/12)*(((1+$C$16/12)^MIN(MAX((A1258-$C$13+1)*12,0),$C$17*12)-1)/($C$16/12)),0)))</f>
        <v/>
      </c>
      <c r="Z1258" s="138">
        <f>MAX(X1258-Y1258,0)</f>
        <v/>
      </c>
      <c r="AA1258" s="142">
        <f>U1258+Z1258</f>
        <v/>
      </c>
      <c r="AB1258" s="5" t="n"/>
      <c r="AC1258" s="5" t="n"/>
      <c r="AD1258" s="5" t="n"/>
      <c r="AE1258" s="5" t="n"/>
      <c r="AF1258" s="5" t="n"/>
      <c r="AG1258" s="5" t="n"/>
    </row>
    <row r="1259" outlineLevel="1" s="326">
      <c r="A1259" s="136" t="n">
        <v>35</v>
      </c>
      <c r="B1259" s="72">
        <f>B114</f>
        <v/>
      </c>
      <c r="C1259" s="137">
        <f>D114</f>
        <v/>
      </c>
      <c r="D1259" s="137">
        <f>I114</f>
        <v/>
      </c>
      <c r="E1259" s="137">
        <f>J114</f>
        <v/>
      </c>
      <c r="F1259" s="137">
        <f>K114</f>
        <v/>
      </c>
      <c r="G1259" s="138">
        <f>IF(AND($L$249&gt;0,A1259=$C$13),$L$249*($C$15+$C$18),0)+IF(AND($L$249&gt;0,A1259=$C$13),$C$24,0)</f>
        <v/>
      </c>
      <c r="H1259" s="138">
        <f>IF(OR($L$249&lt;=0,A1259&lt;$C$13),0,IF(AND($L$249&gt;0,$C$17&gt;0,A1259&gt;=$C$13,A1259&lt;($C$13+$C$17)),IF($C$17&lt;=0,0,IF($C$16=0,MAX($L$249*(1-$C$15),0)/$C$17,-PMT($C$16/12,$C$17*12,MAX($L$249*(1-$C$15),0))*12)),0)+X1259*($C$19+$C$20+$C$21)+$C$22+$C$23)</f>
        <v/>
      </c>
      <c r="I1259" s="138">
        <f>IF(B1259="Working",MIN(MAX(D1259-E1259-F1259-G1259-H1259,0),'Tax Assumptions'!$B$20),0)</f>
        <v/>
      </c>
      <c r="J1259" s="138">
        <f>IF(B1259="Working",D1259-E1259-F1259-I1259-G1259-H1259,-L1259)</f>
        <v/>
      </c>
      <c r="K1259" s="137">
        <f>IF(B1259="Retired",$N$249+G1259+H1259,0)</f>
        <v/>
      </c>
      <c r="L1259" s="137">
        <f>M1259+N1259+O1259+P1259</f>
        <v/>
      </c>
      <c r="M1259" s="137">
        <f>IF(B1259="Retired",MIN(((Q1258)*(1+$C$10)+IF(B1259="Working",J1259,0)),K1259),0)</f>
        <v/>
      </c>
      <c r="N1259" s="137">
        <f>IF(B1259="Retired",MIN(MAX(K1259-M1259,0),((R1258)*(1+$C$10)+IF(B1259="Working",E114,0))),0)</f>
        <v/>
      </c>
      <c r="O1259" s="137">
        <f>IF(B1259="Retired",MIN(MAX(K1259-M1259-N1259,0),((S1258)*(1+$C$10)+IF(B1259="Working",I1259,0))),0)</f>
        <v/>
      </c>
      <c r="P1259" s="137">
        <f>IF(B1259="Retired",MIN(MAX(K1259-M1259-N1259-O1259,0),((T1258)*(1+$C$10)+IF(B1259="Working",F114,0))),0)</f>
        <v/>
      </c>
      <c r="Q1259" s="138">
        <f>MAX(((Q1258)*(1+$C$10)+IF(B1259="Working",J1259,0))-M1259,0)</f>
        <v/>
      </c>
      <c r="R1259" s="138">
        <f>MAX(((R1258)*(1+$C$10)+IF(B1259="Working",E114,0))-N1259,0)</f>
        <v/>
      </c>
      <c r="S1259" s="138">
        <f>MAX(((S1258)*(1+$C$10)+IF(B1259="Working",I1259,0))-O1259,0)</f>
        <v/>
      </c>
      <c r="T1259" s="138">
        <f>MAX(((T1258)*(1+$C$10)+IF(B1259="Working",F114,0))-P1259,0)</f>
        <v/>
      </c>
      <c r="U1259" s="138">
        <f>Q1259+R1259+S1259+T1259</f>
        <v/>
      </c>
      <c r="V1259" s="138">
        <f>IF(B1259="Working",MAX(-(((Q1258)*(1+$C$10)+IF(B1259="Working",J1259,0))),0),MAX(K1259-L1259,0))</f>
        <v/>
      </c>
      <c r="W1259" s="138">
        <f>IF(OR(A1259&gt;=$C$13,B1259="Retired"),IF(V1259&gt;0,-V1259,U1259-'Model Inputs'!$B$18),"")</f>
        <v/>
      </c>
      <c r="X1259" s="138">
        <f>IF(AND($L$249&gt;0,A1259&gt;=$C$13),$L$249*(1+$C$25)^(A1259-$C$13),0)</f>
        <v/>
      </c>
      <c r="Y1259" s="138">
        <f>IF(OR($L$249&lt;=0,$C$17&lt;=0,A1259&lt;$C$13,MIN(MAX((A1259-$C$13+1)*12,0),$C$17*12)&gt;=$C$17*12),0,IF($C$16=0,MAX(MAX($L$249*(1-$C$15),0)-(IF($C$17&lt;=0,0,IF($C$16=0,MAX($L$249*(1-$C$15),0)/$C$17,-PMT($C$16/12,$C$17*12,MAX($L$249*(1-$C$15),0))*12))/12)*MIN(MAX((A1259-$C$13+1)*12,0),$C$17*12),0),MAX(MAX($L$249*(1-$C$15),0)*(1+$C$16/12)^MIN(MAX((A1259-$C$13+1)*12,0),$C$17*12)-(IF($C$17&lt;=0,0,IF($C$16=0,MAX($L$249*(1-$C$15),0)/$C$17,-PMT($C$16/12,$C$17*12,MAX($L$249*(1-$C$15),0))*12))/12)*(((1+$C$16/12)^MIN(MAX((A1259-$C$13+1)*12,0),$C$17*12)-1)/($C$16/12)),0)))</f>
        <v/>
      </c>
      <c r="Z1259" s="138">
        <f>MAX(X1259-Y1259,0)</f>
        <v/>
      </c>
      <c r="AA1259" s="139">
        <f>U1259+Z1259</f>
        <v/>
      </c>
      <c r="AB1259" s="5" t="n"/>
      <c r="AC1259" s="5" t="n"/>
      <c r="AD1259" s="5" t="n"/>
      <c r="AE1259" s="5" t="n"/>
      <c r="AF1259" s="5" t="n"/>
      <c r="AG1259" s="5" t="n"/>
    </row>
    <row r="1260" outlineLevel="1" s="326">
      <c r="A1260" s="140" t="n">
        <v>36</v>
      </c>
      <c r="B1260" s="40">
        <f>B115</f>
        <v/>
      </c>
      <c r="C1260" s="141">
        <f>D115</f>
        <v/>
      </c>
      <c r="D1260" s="141">
        <f>I115</f>
        <v/>
      </c>
      <c r="E1260" s="141">
        <f>J115</f>
        <v/>
      </c>
      <c r="F1260" s="141">
        <f>K115</f>
        <v/>
      </c>
      <c r="G1260" s="138">
        <f>IF(AND($L$249&gt;0,A1260=$C$13),$L$249*($C$15+$C$18),0)+IF(AND($L$249&gt;0,A1260=$C$13),$C$24,0)</f>
        <v/>
      </c>
      <c r="H1260" s="138">
        <f>IF(OR($L$249&lt;=0,A1260&lt;$C$13),0,IF(AND($L$249&gt;0,$C$17&gt;0,A1260&gt;=$C$13,A1260&lt;($C$13+$C$17)),IF($C$17&lt;=0,0,IF($C$16=0,MAX($L$249*(1-$C$15),0)/$C$17,-PMT($C$16/12,$C$17*12,MAX($L$249*(1-$C$15),0))*12)),0)+X1260*($C$19+$C$20+$C$21)+$C$22+$C$23)</f>
        <v/>
      </c>
      <c r="I1260" s="138">
        <f>IF(B1260="Working",MIN(MAX(D1260-E1260-F1260-G1260-H1260,0),'Tax Assumptions'!$B$20),0)</f>
        <v/>
      </c>
      <c r="J1260" s="138">
        <f>IF(B1260="Working",D1260-E1260-F1260-I1260-G1260-H1260,-L1260)</f>
        <v/>
      </c>
      <c r="K1260" s="141">
        <f>IF(B1260="Retired",$N$249+G1260+H1260,0)</f>
        <v/>
      </c>
      <c r="L1260" s="141">
        <f>M1260+N1260+O1260+P1260</f>
        <v/>
      </c>
      <c r="M1260" s="141">
        <f>IF(B1260="Retired",MIN(((Q1259)*(1+$C$10)+IF(B1260="Working",J1260,0)),K1260),0)</f>
        <v/>
      </c>
      <c r="N1260" s="141">
        <f>IF(B1260="Retired",MIN(MAX(K1260-M1260,0),((R1259)*(1+$C$10)+IF(B1260="Working",E115,0))),0)</f>
        <v/>
      </c>
      <c r="O1260" s="141">
        <f>IF(B1260="Retired",MIN(MAX(K1260-M1260-N1260,0),((S1259)*(1+$C$10)+IF(B1260="Working",I1260,0))),0)</f>
        <v/>
      </c>
      <c r="P1260" s="141">
        <f>IF(B1260="Retired",MIN(MAX(K1260-M1260-N1260-O1260,0),((T1259)*(1+$C$10)+IF(B1260="Working",F115,0))),0)</f>
        <v/>
      </c>
      <c r="Q1260" s="138">
        <f>MAX(((Q1259)*(1+$C$10)+IF(B1260="Working",J1260,0))-M1260,0)</f>
        <v/>
      </c>
      <c r="R1260" s="138">
        <f>MAX(((R1259)*(1+$C$10)+IF(B1260="Working",E115,0))-N1260,0)</f>
        <v/>
      </c>
      <c r="S1260" s="138">
        <f>MAX(((S1259)*(1+$C$10)+IF(B1260="Working",I1260,0))-O1260,0)</f>
        <v/>
      </c>
      <c r="T1260" s="138">
        <f>MAX(((T1259)*(1+$C$10)+IF(B1260="Working",F115,0))-P1260,0)</f>
        <v/>
      </c>
      <c r="U1260" s="138">
        <f>Q1260+R1260+S1260+T1260</f>
        <v/>
      </c>
      <c r="V1260" s="138">
        <f>IF(B1260="Working",MAX(-(((Q1259)*(1+$C$10)+IF(B1260="Working",J1260,0))),0),MAX(K1260-L1260,0))</f>
        <v/>
      </c>
      <c r="W1260" s="138">
        <f>IF(OR(A1260&gt;=$C$13,B1260="Retired"),IF(V1260&gt;0,-V1260,U1260-'Model Inputs'!$B$18),"")</f>
        <v/>
      </c>
      <c r="X1260" s="138">
        <f>IF(AND($L$249&gt;0,A1260&gt;=$C$13),$L$249*(1+$C$25)^(A1260-$C$13),0)</f>
        <v/>
      </c>
      <c r="Y1260" s="138">
        <f>IF(OR($L$249&lt;=0,$C$17&lt;=0,A1260&lt;$C$13,MIN(MAX((A1260-$C$13+1)*12,0),$C$17*12)&gt;=$C$17*12),0,IF($C$16=0,MAX(MAX($L$249*(1-$C$15),0)-(IF($C$17&lt;=0,0,IF($C$16=0,MAX($L$249*(1-$C$15),0)/$C$17,-PMT($C$16/12,$C$17*12,MAX($L$249*(1-$C$15),0))*12))/12)*MIN(MAX((A1260-$C$13+1)*12,0),$C$17*12),0),MAX(MAX($L$249*(1-$C$15),0)*(1+$C$16/12)^MIN(MAX((A1260-$C$13+1)*12,0),$C$17*12)-(IF($C$17&lt;=0,0,IF($C$16=0,MAX($L$249*(1-$C$15),0)/$C$17,-PMT($C$16/12,$C$17*12,MAX($L$249*(1-$C$15),0))*12))/12)*(((1+$C$16/12)^MIN(MAX((A1260-$C$13+1)*12,0),$C$17*12)-1)/($C$16/12)),0)))</f>
        <v/>
      </c>
      <c r="Z1260" s="138">
        <f>MAX(X1260-Y1260,0)</f>
        <v/>
      </c>
      <c r="AA1260" s="142">
        <f>U1260+Z1260</f>
        <v/>
      </c>
      <c r="AB1260" s="5" t="n"/>
      <c r="AC1260" s="5" t="n"/>
      <c r="AD1260" s="5" t="n"/>
      <c r="AE1260" s="5" t="n"/>
      <c r="AF1260" s="5" t="n"/>
      <c r="AG1260" s="5" t="n"/>
    </row>
    <row r="1261" outlineLevel="1" s="326">
      <c r="A1261" s="136" t="n">
        <v>37</v>
      </c>
      <c r="B1261" s="72">
        <f>B116</f>
        <v/>
      </c>
      <c r="C1261" s="137">
        <f>D116</f>
        <v/>
      </c>
      <c r="D1261" s="137">
        <f>I116</f>
        <v/>
      </c>
      <c r="E1261" s="137">
        <f>J116</f>
        <v/>
      </c>
      <c r="F1261" s="137">
        <f>K116</f>
        <v/>
      </c>
      <c r="G1261" s="138">
        <f>IF(AND($L$249&gt;0,A1261=$C$13),$L$249*($C$15+$C$18),0)+IF(AND($L$249&gt;0,A1261=$C$13),$C$24,0)</f>
        <v/>
      </c>
      <c r="H1261" s="138">
        <f>IF(OR($L$249&lt;=0,A1261&lt;$C$13),0,IF(AND($L$249&gt;0,$C$17&gt;0,A1261&gt;=$C$13,A1261&lt;($C$13+$C$17)),IF($C$17&lt;=0,0,IF($C$16=0,MAX($L$249*(1-$C$15),0)/$C$17,-PMT($C$16/12,$C$17*12,MAX($L$249*(1-$C$15),0))*12)),0)+X1261*($C$19+$C$20+$C$21)+$C$22+$C$23)</f>
        <v/>
      </c>
      <c r="I1261" s="138">
        <f>IF(B1261="Working",MIN(MAX(D1261-E1261-F1261-G1261-H1261,0),'Tax Assumptions'!$B$20),0)</f>
        <v/>
      </c>
      <c r="J1261" s="138">
        <f>IF(B1261="Working",D1261-E1261-F1261-I1261-G1261-H1261,-L1261)</f>
        <v/>
      </c>
      <c r="K1261" s="137">
        <f>IF(B1261="Retired",$N$249+G1261+H1261,0)</f>
        <v/>
      </c>
      <c r="L1261" s="137">
        <f>M1261+N1261+O1261+P1261</f>
        <v/>
      </c>
      <c r="M1261" s="137">
        <f>IF(B1261="Retired",MIN(((Q1260)*(1+$C$10)+IF(B1261="Working",J1261,0)),K1261),0)</f>
        <v/>
      </c>
      <c r="N1261" s="137">
        <f>IF(B1261="Retired",MIN(MAX(K1261-M1261,0),((R1260)*(1+$C$10)+IF(B1261="Working",E116,0))),0)</f>
        <v/>
      </c>
      <c r="O1261" s="137">
        <f>IF(B1261="Retired",MIN(MAX(K1261-M1261-N1261,0),((S1260)*(1+$C$10)+IF(B1261="Working",I1261,0))),0)</f>
        <v/>
      </c>
      <c r="P1261" s="137">
        <f>IF(B1261="Retired",MIN(MAX(K1261-M1261-N1261-O1261,0),((T1260)*(1+$C$10)+IF(B1261="Working",F116,0))),0)</f>
        <v/>
      </c>
      <c r="Q1261" s="138">
        <f>MAX(((Q1260)*(1+$C$10)+IF(B1261="Working",J1261,0))-M1261,0)</f>
        <v/>
      </c>
      <c r="R1261" s="138">
        <f>MAX(((R1260)*(1+$C$10)+IF(B1261="Working",E116,0))-N1261,0)</f>
        <v/>
      </c>
      <c r="S1261" s="138">
        <f>MAX(((S1260)*(1+$C$10)+IF(B1261="Working",I1261,0))-O1261,0)</f>
        <v/>
      </c>
      <c r="T1261" s="138">
        <f>MAX(((T1260)*(1+$C$10)+IF(B1261="Working",F116,0))-P1261,0)</f>
        <v/>
      </c>
      <c r="U1261" s="138">
        <f>Q1261+R1261+S1261+T1261</f>
        <v/>
      </c>
      <c r="V1261" s="138">
        <f>IF(B1261="Working",MAX(-(((Q1260)*(1+$C$10)+IF(B1261="Working",J1261,0))),0),MAX(K1261-L1261,0))</f>
        <v/>
      </c>
      <c r="W1261" s="138">
        <f>IF(OR(A1261&gt;=$C$13,B1261="Retired"),IF(V1261&gt;0,-V1261,U1261-'Model Inputs'!$B$18),"")</f>
        <v/>
      </c>
      <c r="X1261" s="138">
        <f>IF(AND($L$249&gt;0,A1261&gt;=$C$13),$L$249*(1+$C$25)^(A1261-$C$13),0)</f>
        <v/>
      </c>
      <c r="Y1261" s="138">
        <f>IF(OR($L$249&lt;=0,$C$17&lt;=0,A1261&lt;$C$13,MIN(MAX((A1261-$C$13+1)*12,0),$C$17*12)&gt;=$C$17*12),0,IF($C$16=0,MAX(MAX($L$249*(1-$C$15),0)-(IF($C$17&lt;=0,0,IF($C$16=0,MAX($L$249*(1-$C$15),0)/$C$17,-PMT($C$16/12,$C$17*12,MAX($L$249*(1-$C$15),0))*12))/12)*MIN(MAX((A1261-$C$13+1)*12,0),$C$17*12),0),MAX(MAX($L$249*(1-$C$15),0)*(1+$C$16/12)^MIN(MAX((A1261-$C$13+1)*12,0),$C$17*12)-(IF($C$17&lt;=0,0,IF($C$16=0,MAX($L$249*(1-$C$15),0)/$C$17,-PMT($C$16/12,$C$17*12,MAX($L$249*(1-$C$15),0))*12))/12)*(((1+$C$16/12)^MIN(MAX((A1261-$C$13+1)*12,0),$C$17*12)-1)/($C$16/12)),0)))</f>
        <v/>
      </c>
      <c r="Z1261" s="138">
        <f>MAX(X1261-Y1261,0)</f>
        <v/>
      </c>
      <c r="AA1261" s="139">
        <f>U1261+Z1261</f>
        <v/>
      </c>
      <c r="AB1261" s="5" t="n"/>
      <c r="AC1261" s="5" t="n"/>
      <c r="AD1261" s="5" t="n"/>
      <c r="AE1261" s="5" t="n"/>
      <c r="AF1261" s="5" t="n"/>
      <c r="AG1261" s="5" t="n"/>
    </row>
    <row r="1262" outlineLevel="1" s="326">
      <c r="A1262" s="140" t="n">
        <v>38</v>
      </c>
      <c r="B1262" s="40">
        <f>B117</f>
        <v/>
      </c>
      <c r="C1262" s="141">
        <f>D117</f>
        <v/>
      </c>
      <c r="D1262" s="141">
        <f>I117</f>
        <v/>
      </c>
      <c r="E1262" s="141">
        <f>J117</f>
        <v/>
      </c>
      <c r="F1262" s="141">
        <f>K117</f>
        <v/>
      </c>
      <c r="G1262" s="138">
        <f>IF(AND($L$249&gt;0,A1262=$C$13),$L$249*($C$15+$C$18),0)+IF(AND($L$249&gt;0,A1262=$C$13),$C$24,0)</f>
        <v/>
      </c>
      <c r="H1262" s="138">
        <f>IF(OR($L$249&lt;=0,A1262&lt;$C$13),0,IF(AND($L$249&gt;0,$C$17&gt;0,A1262&gt;=$C$13,A1262&lt;($C$13+$C$17)),IF($C$17&lt;=0,0,IF($C$16=0,MAX($L$249*(1-$C$15),0)/$C$17,-PMT($C$16/12,$C$17*12,MAX($L$249*(1-$C$15),0))*12)),0)+X1262*($C$19+$C$20+$C$21)+$C$22+$C$23)</f>
        <v/>
      </c>
      <c r="I1262" s="138">
        <f>IF(B1262="Working",MIN(MAX(D1262-E1262-F1262-G1262-H1262,0),'Tax Assumptions'!$B$20),0)</f>
        <v/>
      </c>
      <c r="J1262" s="138">
        <f>IF(B1262="Working",D1262-E1262-F1262-I1262-G1262-H1262,-L1262)</f>
        <v/>
      </c>
      <c r="K1262" s="141">
        <f>IF(B1262="Retired",$N$249+G1262+H1262,0)</f>
        <v/>
      </c>
      <c r="L1262" s="141">
        <f>M1262+N1262+O1262+P1262</f>
        <v/>
      </c>
      <c r="M1262" s="141">
        <f>IF(B1262="Retired",MIN(((Q1261)*(1+$C$10)+IF(B1262="Working",J1262,0)),K1262),0)</f>
        <v/>
      </c>
      <c r="N1262" s="141">
        <f>IF(B1262="Retired",MIN(MAX(K1262-M1262,0),((R1261)*(1+$C$10)+IF(B1262="Working",E117,0))),0)</f>
        <v/>
      </c>
      <c r="O1262" s="141">
        <f>IF(B1262="Retired",MIN(MAX(K1262-M1262-N1262,0),((S1261)*(1+$C$10)+IF(B1262="Working",I1262,0))),0)</f>
        <v/>
      </c>
      <c r="P1262" s="141">
        <f>IF(B1262="Retired",MIN(MAX(K1262-M1262-N1262-O1262,0),((T1261)*(1+$C$10)+IF(B1262="Working",F117,0))),0)</f>
        <v/>
      </c>
      <c r="Q1262" s="138">
        <f>MAX(((Q1261)*(1+$C$10)+IF(B1262="Working",J1262,0))-M1262,0)</f>
        <v/>
      </c>
      <c r="R1262" s="138">
        <f>MAX(((R1261)*(1+$C$10)+IF(B1262="Working",E117,0))-N1262,0)</f>
        <v/>
      </c>
      <c r="S1262" s="138">
        <f>MAX(((S1261)*(1+$C$10)+IF(B1262="Working",I1262,0))-O1262,0)</f>
        <v/>
      </c>
      <c r="T1262" s="138">
        <f>MAX(((T1261)*(1+$C$10)+IF(B1262="Working",F117,0))-P1262,0)</f>
        <v/>
      </c>
      <c r="U1262" s="138">
        <f>Q1262+R1262+S1262+T1262</f>
        <v/>
      </c>
      <c r="V1262" s="138">
        <f>IF(B1262="Working",MAX(-(((Q1261)*(1+$C$10)+IF(B1262="Working",J1262,0))),0),MAX(K1262-L1262,0))</f>
        <v/>
      </c>
      <c r="W1262" s="138">
        <f>IF(OR(A1262&gt;=$C$13,B1262="Retired"),IF(V1262&gt;0,-V1262,U1262-'Model Inputs'!$B$18),"")</f>
        <v/>
      </c>
      <c r="X1262" s="138">
        <f>IF(AND($L$249&gt;0,A1262&gt;=$C$13),$L$249*(1+$C$25)^(A1262-$C$13),0)</f>
        <v/>
      </c>
      <c r="Y1262" s="138">
        <f>IF(OR($L$249&lt;=0,$C$17&lt;=0,A1262&lt;$C$13,MIN(MAX((A1262-$C$13+1)*12,0),$C$17*12)&gt;=$C$17*12),0,IF($C$16=0,MAX(MAX($L$249*(1-$C$15),0)-(IF($C$17&lt;=0,0,IF($C$16=0,MAX($L$249*(1-$C$15),0)/$C$17,-PMT($C$16/12,$C$17*12,MAX($L$249*(1-$C$15),0))*12))/12)*MIN(MAX((A1262-$C$13+1)*12,0),$C$17*12),0),MAX(MAX($L$249*(1-$C$15),0)*(1+$C$16/12)^MIN(MAX((A1262-$C$13+1)*12,0),$C$17*12)-(IF($C$17&lt;=0,0,IF($C$16=0,MAX($L$249*(1-$C$15),0)/$C$17,-PMT($C$16/12,$C$17*12,MAX($L$249*(1-$C$15),0))*12))/12)*(((1+$C$16/12)^MIN(MAX((A1262-$C$13+1)*12,0),$C$17*12)-1)/($C$16/12)),0)))</f>
        <v/>
      </c>
      <c r="Z1262" s="138">
        <f>MAX(X1262-Y1262,0)</f>
        <v/>
      </c>
      <c r="AA1262" s="142">
        <f>U1262+Z1262</f>
        <v/>
      </c>
      <c r="AB1262" s="5" t="n"/>
      <c r="AC1262" s="5" t="n"/>
      <c r="AD1262" s="5" t="n"/>
      <c r="AE1262" s="5" t="n"/>
      <c r="AF1262" s="5" t="n"/>
      <c r="AG1262" s="5" t="n"/>
    </row>
    <row r="1263" outlineLevel="1" s="326">
      <c r="A1263" s="136" t="n">
        <v>39</v>
      </c>
      <c r="B1263" s="72">
        <f>B118</f>
        <v/>
      </c>
      <c r="C1263" s="137">
        <f>D118</f>
        <v/>
      </c>
      <c r="D1263" s="137">
        <f>I118</f>
        <v/>
      </c>
      <c r="E1263" s="137">
        <f>J118</f>
        <v/>
      </c>
      <c r="F1263" s="137">
        <f>K118</f>
        <v/>
      </c>
      <c r="G1263" s="138">
        <f>IF(AND($L$249&gt;0,A1263=$C$13),$L$249*($C$15+$C$18),0)+IF(AND($L$249&gt;0,A1263=$C$13),$C$24,0)</f>
        <v/>
      </c>
      <c r="H1263" s="138">
        <f>IF(OR($L$249&lt;=0,A1263&lt;$C$13),0,IF(AND($L$249&gt;0,$C$17&gt;0,A1263&gt;=$C$13,A1263&lt;($C$13+$C$17)),IF($C$17&lt;=0,0,IF($C$16=0,MAX($L$249*(1-$C$15),0)/$C$17,-PMT($C$16/12,$C$17*12,MAX($L$249*(1-$C$15),0))*12)),0)+X1263*($C$19+$C$20+$C$21)+$C$22+$C$23)</f>
        <v/>
      </c>
      <c r="I1263" s="138">
        <f>IF(B1263="Working",MIN(MAX(D1263-E1263-F1263-G1263-H1263,0),'Tax Assumptions'!$B$20),0)</f>
        <v/>
      </c>
      <c r="J1263" s="138">
        <f>IF(B1263="Working",D1263-E1263-F1263-I1263-G1263-H1263,-L1263)</f>
        <v/>
      </c>
      <c r="K1263" s="137">
        <f>IF(B1263="Retired",$N$249+G1263+H1263,0)</f>
        <v/>
      </c>
      <c r="L1263" s="137">
        <f>M1263+N1263+O1263+P1263</f>
        <v/>
      </c>
      <c r="M1263" s="137">
        <f>IF(B1263="Retired",MIN(((Q1262)*(1+$C$10)+IF(B1263="Working",J1263,0)),K1263),0)</f>
        <v/>
      </c>
      <c r="N1263" s="137">
        <f>IF(B1263="Retired",MIN(MAX(K1263-M1263,0),((R1262)*(1+$C$10)+IF(B1263="Working",E118,0))),0)</f>
        <v/>
      </c>
      <c r="O1263" s="137">
        <f>IF(B1263="Retired",MIN(MAX(K1263-M1263-N1263,0),((S1262)*(1+$C$10)+IF(B1263="Working",I1263,0))),0)</f>
        <v/>
      </c>
      <c r="P1263" s="137">
        <f>IF(B1263="Retired",MIN(MAX(K1263-M1263-N1263-O1263,0),((T1262)*(1+$C$10)+IF(B1263="Working",F118,0))),0)</f>
        <v/>
      </c>
      <c r="Q1263" s="138">
        <f>MAX(((Q1262)*(1+$C$10)+IF(B1263="Working",J1263,0))-M1263,0)</f>
        <v/>
      </c>
      <c r="R1263" s="138">
        <f>MAX(((R1262)*(1+$C$10)+IF(B1263="Working",E118,0))-N1263,0)</f>
        <v/>
      </c>
      <c r="S1263" s="138">
        <f>MAX(((S1262)*(1+$C$10)+IF(B1263="Working",I1263,0))-O1263,0)</f>
        <v/>
      </c>
      <c r="T1263" s="138">
        <f>MAX(((T1262)*(1+$C$10)+IF(B1263="Working",F118,0))-P1263,0)</f>
        <v/>
      </c>
      <c r="U1263" s="138">
        <f>Q1263+R1263+S1263+T1263</f>
        <v/>
      </c>
      <c r="V1263" s="138">
        <f>IF(B1263="Working",MAX(-(((Q1262)*(1+$C$10)+IF(B1263="Working",J1263,0))),0),MAX(K1263-L1263,0))</f>
        <v/>
      </c>
      <c r="W1263" s="138">
        <f>IF(OR(A1263&gt;=$C$13,B1263="Retired"),IF(V1263&gt;0,-V1263,U1263-'Model Inputs'!$B$18),"")</f>
        <v/>
      </c>
      <c r="X1263" s="138">
        <f>IF(AND($L$249&gt;0,A1263&gt;=$C$13),$L$249*(1+$C$25)^(A1263-$C$13),0)</f>
        <v/>
      </c>
      <c r="Y1263" s="138">
        <f>IF(OR($L$249&lt;=0,$C$17&lt;=0,A1263&lt;$C$13,MIN(MAX((A1263-$C$13+1)*12,0),$C$17*12)&gt;=$C$17*12),0,IF($C$16=0,MAX(MAX($L$249*(1-$C$15),0)-(IF($C$17&lt;=0,0,IF($C$16=0,MAX($L$249*(1-$C$15),0)/$C$17,-PMT($C$16/12,$C$17*12,MAX($L$249*(1-$C$15),0))*12))/12)*MIN(MAX((A1263-$C$13+1)*12,0),$C$17*12),0),MAX(MAX($L$249*(1-$C$15),0)*(1+$C$16/12)^MIN(MAX((A1263-$C$13+1)*12,0),$C$17*12)-(IF($C$17&lt;=0,0,IF($C$16=0,MAX($L$249*(1-$C$15),0)/$C$17,-PMT($C$16/12,$C$17*12,MAX($L$249*(1-$C$15),0))*12))/12)*(((1+$C$16/12)^MIN(MAX((A1263-$C$13+1)*12,0),$C$17*12)-1)/($C$16/12)),0)))</f>
        <v/>
      </c>
      <c r="Z1263" s="138">
        <f>MAX(X1263-Y1263,0)</f>
        <v/>
      </c>
      <c r="AA1263" s="139">
        <f>U1263+Z1263</f>
        <v/>
      </c>
      <c r="AB1263" s="5" t="n"/>
      <c r="AC1263" s="5" t="n"/>
      <c r="AD1263" s="5" t="n"/>
      <c r="AE1263" s="5" t="n"/>
      <c r="AF1263" s="5" t="n"/>
      <c r="AG1263" s="5" t="n"/>
    </row>
    <row r="1264" outlineLevel="1" s="326">
      <c r="A1264" s="140" t="n">
        <v>40</v>
      </c>
      <c r="B1264" s="40">
        <f>B119</f>
        <v/>
      </c>
      <c r="C1264" s="141">
        <f>D119</f>
        <v/>
      </c>
      <c r="D1264" s="141">
        <f>I119</f>
        <v/>
      </c>
      <c r="E1264" s="141">
        <f>J119</f>
        <v/>
      </c>
      <c r="F1264" s="141">
        <f>K119</f>
        <v/>
      </c>
      <c r="G1264" s="138">
        <f>IF(AND($L$249&gt;0,A1264=$C$13),$L$249*($C$15+$C$18),0)+IF(AND($L$249&gt;0,A1264=$C$13),$C$24,0)</f>
        <v/>
      </c>
      <c r="H1264" s="138">
        <f>IF(OR($L$249&lt;=0,A1264&lt;$C$13),0,IF(AND($L$249&gt;0,$C$17&gt;0,A1264&gt;=$C$13,A1264&lt;($C$13+$C$17)),IF($C$17&lt;=0,0,IF($C$16=0,MAX($L$249*(1-$C$15),0)/$C$17,-PMT($C$16/12,$C$17*12,MAX($L$249*(1-$C$15),0))*12)),0)+X1264*($C$19+$C$20+$C$21)+$C$22+$C$23)</f>
        <v/>
      </c>
      <c r="I1264" s="138">
        <f>IF(B1264="Working",MIN(MAX(D1264-E1264-F1264-G1264-H1264,0),'Tax Assumptions'!$B$20),0)</f>
        <v/>
      </c>
      <c r="J1264" s="138">
        <f>IF(B1264="Working",D1264-E1264-F1264-I1264-G1264-H1264,-L1264)</f>
        <v/>
      </c>
      <c r="K1264" s="141">
        <f>IF(B1264="Retired",$N$249+G1264+H1264,0)</f>
        <v/>
      </c>
      <c r="L1264" s="141">
        <f>M1264+N1264+O1264+P1264</f>
        <v/>
      </c>
      <c r="M1264" s="141">
        <f>IF(B1264="Retired",MIN(((Q1263)*(1+$C$10)+IF(B1264="Working",J1264,0)),K1264),0)</f>
        <v/>
      </c>
      <c r="N1264" s="141">
        <f>IF(B1264="Retired",MIN(MAX(K1264-M1264,0),((R1263)*(1+$C$10)+IF(B1264="Working",E119,0))),0)</f>
        <v/>
      </c>
      <c r="O1264" s="141">
        <f>IF(B1264="Retired",MIN(MAX(K1264-M1264-N1264,0),((S1263)*(1+$C$10)+IF(B1264="Working",I1264,0))),0)</f>
        <v/>
      </c>
      <c r="P1264" s="141">
        <f>IF(B1264="Retired",MIN(MAX(K1264-M1264-N1264-O1264,0),((T1263)*(1+$C$10)+IF(B1264="Working",F119,0))),0)</f>
        <v/>
      </c>
      <c r="Q1264" s="138">
        <f>MAX(((Q1263)*(1+$C$10)+IF(B1264="Working",J1264,0))-M1264,0)</f>
        <v/>
      </c>
      <c r="R1264" s="138">
        <f>MAX(((R1263)*(1+$C$10)+IF(B1264="Working",E119,0))-N1264,0)</f>
        <v/>
      </c>
      <c r="S1264" s="138">
        <f>MAX(((S1263)*(1+$C$10)+IF(B1264="Working",I1264,0))-O1264,0)</f>
        <v/>
      </c>
      <c r="T1264" s="138">
        <f>MAX(((T1263)*(1+$C$10)+IF(B1264="Working",F119,0))-P1264,0)</f>
        <v/>
      </c>
      <c r="U1264" s="138">
        <f>Q1264+R1264+S1264+T1264</f>
        <v/>
      </c>
      <c r="V1264" s="138">
        <f>IF(B1264="Working",MAX(-(((Q1263)*(1+$C$10)+IF(B1264="Working",J1264,0))),0),MAX(K1264-L1264,0))</f>
        <v/>
      </c>
      <c r="W1264" s="138">
        <f>IF(OR(A1264&gt;=$C$13,B1264="Retired"),IF(V1264&gt;0,-V1264,U1264-'Model Inputs'!$B$18),"")</f>
        <v/>
      </c>
      <c r="X1264" s="138">
        <f>IF(AND($L$249&gt;0,A1264&gt;=$C$13),$L$249*(1+$C$25)^(A1264-$C$13),0)</f>
        <v/>
      </c>
      <c r="Y1264" s="138">
        <f>IF(OR($L$249&lt;=0,$C$17&lt;=0,A1264&lt;$C$13,MIN(MAX((A1264-$C$13+1)*12,0),$C$17*12)&gt;=$C$17*12),0,IF($C$16=0,MAX(MAX($L$249*(1-$C$15),0)-(IF($C$17&lt;=0,0,IF($C$16=0,MAX($L$249*(1-$C$15),0)/$C$17,-PMT($C$16/12,$C$17*12,MAX($L$249*(1-$C$15),0))*12))/12)*MIN(MAX((A1264-$C$13+1)*12,0),$C$17*12),0),MAX(MAX($L$249*(1-$C$15),0)*(1+$C$16/12)^MIN(MAX((A1264-$C$13+1)*12,0),$C$17*12)-(IF($C$17&lt;=0,0,IF($C$16=0,MAX($L$249*(1-$C$15),0)/$C$17,-PMT($C$16/12,$C$17*12,MAX($L$249*(1-$C$15),0))*12))/12)*(((1+$C$16/12)^MIN(MAX((A1264-$C$13+1)*12,0),$C$17*12)-1)/($C$16/12)),0)))</f>
        <v/>
      </c>
      <c r="Z1264" s="138">
        <f>MAX(X1264-Y1264,0)</f>
        <v/>
      </c>
      <c r="AA1264" s="142">
        <f>U1264+Z1264</f>
        <v/>
      </c>
      <c r="AB1264" s="5" t="n"/>
      <c r="AC1264" s="5" t="n"/>
      <c r="AD1264" s="5" t="n"/>
      <c r="AE1264" s="5" t="n"/>
      <c r="AF1264" s="5" t="n"/>
      <c r="AG1264" s="5" t="n"/>
    </row>
    <row r="1265" outlineLevel="1" s="326">
      <c r="A1265" s="143" t="inlineStr">
        <is>
          <t>Case Summary</t>
        </is>
      </c>
      <c r="B1265" s="144" t="n"/>
      <c r="C1265" s="144" t="n"/>
      <c r="D1265" s="144" t="n"/>
      <c r="E1265" s="144" t="n"/>
      <c r="F1265" s="144" t="n"/>
      <c r="G1265" s="145">
        <f>SUM(G1225:G1264)</f>
        <v/>
      </c>
      <c r="H1265" s="145">
        <f>SUM(H1225:H1264)</f>
        <v/>
      </c>
      <c r="I1265" s="145">
        <f>SUM(I1225:I1264)</f>
        <v/>
      </c>
      <c r="J1265" s="145">
        <f>SUM(J1225:J1264)</f>
        <v/>
      </c>
      <c r="K1265" s="145">
        <f>SUM(K1225:K1264)</f>
        <v/>
      </c>
      <c r="L1265" s="145">
        <f>SUM(L1225:L1264)</f>
        <v/>
      </c>
      <c r="M1265" s="145">
        <f>SUM(M1225:M1264)</f>
        <v/>
      </c>
      <c r="N1265" s="145">
        <f>SUM(N1225:N1264)</f>
        <v/>
      </c>
      <c r="O1265" s="145">
        <f>SUM(O1225:O1264)</f>
        <v/>
      </c>
      <c r="P1265" s="145">
        <f>SUM(P1225:P1264)</f>
        <v/>
      </c>
      <c r="Q1265" s="145">
        <f>Q1264</f>
        <v/>
      </c>
      <c r="R1265" s="145">
        <f>R1264</f>
        <v/>
      </c>
      <c r="S1265" s="145">
        <f>S1264</f>
        <v/>
      </c>
      <c r="T1265" s="145">
        <f>T1264</f>
        <v/>
      </c>
      <c r="U1265" s="145">
        <f>U1264</f>
        <v/>
      </c>
      <c r="V1265" s="145">
        <f>SUM(V1225:V1264)</f>
        <v/>
      </c>
      <c r="W1265" s="145">
        <f>MIN(W1225:W1264)</f>
        <v/>
      </c>
      <c r="X1265" s="145">
        <f>X1264</f>
        <v/>
      </c>
      <c r="Y1265" s="145">
        <f>Y1264</f>
        <v/>
      </c>
      <c r="Z1265" s="145">
        <f>Z1264</f>
        <v/>
      </c>
      <c r="AA1265" s="146">
        <f>AA1264</f>
        <v/>
      </c>
      <c r="AB1265" s="5" t="n"/>
      <c r="AC1265" s="5" t="n"/>
      <c r="AD1265" s="5" t="n"/>
      <c r="AE1265" s="5" t="n"/>
      <c r="AF1265" s="5" t="n"/>
      <c r="AG1265" s="5" t="n"/>
    </row>
    <row r="1266" outlineLevel="1" s="32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  <c r="M1266" s="5" t="n"/>
      <c r="N1266" s="5" t="n"/>
      <c r="O1266" s="5" t="n"/>
      <c r="P1266" s="5" t="n"/>
      <c r="Q1266" s="5" t="n"/>
      <c r="R1266" s="5" t="n"/>
      <c r="S1266" s="5" t="n"/>
      <c r="T1266" s="5" t="n"/>
      <c r="U1266" s="5" t="n"/>
      <c r="V1266" s="5" t="n"/>
      <c r="W1266" s="5" t="n"/>
      <c r="X1266" s="5" t="n"/>
      <c r="Y1266" s="5" t="n"/>
      <c r="Z1266" s="5" t="n"/>
      <c r="AA1266" s="5" t="n"/>
      <c r="AB1266" s="5" t="n"/>
      <c r="AC1266" s="5" t="n"/>
      <c r="AD1266" s="5" t="n"/>
      <c r="AE1266" s="5" t="n"/>
      <c r="AF1266" s="5" t="n"/>
      <c r="AG1266" s="5" t="n"/>
    </row>
    <row r="1267" outlineLevel="1" s="326">
      <c r="A1267" s="387">
        <f>J250&amp;" | House "&amp;TEXT($L$250,"$#,##0")&amp;" | Spend "&amp;TEXT($N$250,"$#,##0")</f>
        <v/>
      </c>
      <c r="B1267" s="345" t="n"/>
      <c r="C1267" s="345" t="n"/>
      <c r="D1267" s="345" t="n"/>
      <c r="E1267" s="345" t="n"/>
      <c r="F1267" s="345" t="n"/>
      <c r="G1267" s="345" t="n"/>
      <c r="H1267" s="345" t="n"/>
      <c r="I1267" s="345" t="n"/>
      <c r="J1267" s="345" t="n"/>
      <c r="K1267" s="345" t="n"/>
      <c r="L1267" s="345" t="n"/>
      <c r="M1267" s="345" t="n"/>
      <c r="N1267" s="345" t="n"/>
      <c r="O1267" s="345" t="n"/>
      <c r="P1267" s="345" t="n"/>
      <c r="Q1267" s="345" t="n"/>
      <c r="R1267" s="345" t="n"/>
      <c r="S1267" s="345" t="n"/>
      <c r="T1267" s="345" t="n"/>
      <c r="U1267" s="345" t="n"/>
      <c r="V1267" s="345" t="n"/>
      <c r="W1267" s="345" t="n"/>
      <c r="X1267" s="345" t="n"/>
      <c r="Y1267" s="345" t="n"/>
      <c r="Z1267" s="345" t="n"/>
      <c r="AA1267" s="346" t="n"/>
      <c r="AB1267" s="5" t="n"/>
      <c r="AC1267" s="5" t="n"/>
      <c r="AD1267" s="5" t="n"/>
      <c r="AE1267" s="5" t="n"/>
      <c r="AF1267" s="5" t="n"/>
      <c r="AG1267" s="5" t="n"/>
    </row>
    <row r="1268" outlineLevel="1" ht="34" customHeight="1" s="326">
      <c r="A1268" s="134" t="inlineStr">
        <is>
          <t>Year</t>
        </is>
      </c>
      <c r="B1268" s="83" t="inlineStr">
        <is>
          <t>Phase</t>
        </is>
      </c>
      <c r="C1268" s="83" t="inlineStr">
        <is>
          <t>Gross</t>
        </is>
      </c>
      <c r="D1268" s="83" t="inlineStr">
        <is>
          <t>Post-Tax Cash</t>
        </is>
      </c>
      <c r="E1268" s="83" t="inlineStr">
        <is>
          <t>Rent</t>
        </is>
      </c>
      <c r="F1268" s="83" t="inlineStr">
        <is>
          <t>Living</t>
        </is>
      </c>
      <c r="G1268" s="83" t="inlineStr">
        <is>
          <t>House Cash</t>
        </is>
      </c>
      <c r="H1268" s="83" t="inlineStr">
        <is>
          <t>Housing Carry</t>
        </is>
      </c>
      <c r="I1268" s="83" t="inlineStr">
        <is>
          <t>Roth</t>
        </is>
      </c>
      <c r="J1268" s="83" t="inlineStr">
        <is>
          <t>Taxable Sav / (Draw)</t>
        </is>
      </c>
      <c r="K1268" s="83" t="inlineStr">
        <is>
          <t>Planned Need</t>
        </is>
      </c>
      <c r="L1268" s="83" t="inlineStr">
        <is>
          <t>Actual W/D</t>
        </is>
      </c>
      <c r="M1268" s="83" t="inlineStr">
        <is>
          <t>Taxable Draw</t>
        </is>
      </c>
      <c r="N1268" s="83" t="inlineStr">
        <is>
          <t>401(k) Draw</t>
        </is>
      </c>
      <c r="O1268" s="83" t="inlineStr">
        <is>
          <t>Roth Draw</t>
        </is>
      </c>
      <c r="P1268" s="83" t="inlineStr">
        <is>
          <t>HSA Draw</t>
        </is>
      </c>
      <c r="Q1268" s="83" t="inlineStr">
        <is>
          <t>Taxable Bal</t>
        </is>
      </c>
      <c r="R1268" s="83" t="inlineStr">
        <is>
          <t>401(k) Bal</t>
        </is>
      </c>
      <c r="S1268" s="83" t="inlineStr">
        <is>
          <t>Roth Bal</t>
        </is>
      </c>
      <c r="T1268" s="83" t="inlineStr">
        <is>
          <t>HSA Bal</t>
        </is>
      </c>
      <c r="U1268" s="83" t="inlineStr">
        <is>
          <t>Liquid Wealth</t>
        </is>
      </c>
      <c r="V1268" s="83" t="inlineStr">
        <is>
          <t>Funding Gap</t>
        </is>
      </c>
      <c r="W1268" s="83" t="inlineStr">
        <is>
          <t>Margin vs Reserve</t>
        </is>
      </c>
      <c r="X1268" s="83" t="inlineStr">
        <is>
          <t>House Value</t>
        </is>
      </c>
      <c r="Y1268" s="83" t="inlineStr">
        <is>
          <t>Mortgage Balance</t>
        </is>
      </c>
      <c r="Z1268" s="83" t="inlineStr">
        <is>
          <t>Home Equity</t>
        </is>
      </c>
      <c r="AA1268" s="135" t="inlineStr">
        <is>
          <t>Net Worth</t>
        </is>
      </c>
      <c r="AB1268" s="5" t="n"/>
      <c r="AC1268" s="5" t="n"/>
      <c r="AD1268" s="5" t="n"/>
      <c r="AE1268" s="5" t="n"/>
      <c r="AF1268" s="5" t="n"/>
      <c r="AG1268" s="5" t="n"/>
    </row>
    <row r="1269" outlineLevel="1" s="326">
      <c r="A1269" s="136" t="n">
        <v>1</v>
      </c>
      <c r="B1269" s="72">
        <f>B80</f>
        <v/>
      </c>
      <c r="C1269" s="137">
        <f>D80</f>
        <v/>
      </c>
      <c r="D1269" s="137">
        <f>I80</f>
        <v/>
      </c>
      <c r="E1269" s="137">
        <f>J80</f>
        <v/>
      </c>
      <c r="F1269" s="137">
        <f>K80</f>
        <v/>
      </c>
      <c r="G1269" s="138">
        <f>IF(AND($L$250&gt;0,A1269=$C$13),$L$250*($C$15+$C$18),0)+IF(AND($L$250&gt;0,A1269=$C$13),$C$24,0)</f>
        <v/>
      </c>
      <c r="H1269" s="138">
        <f>IF(OR($L$250&lt;=0,A1269&lt;$C$13),0,IF(AND($L$250&gt;0,$C$17&gt;0,A1269&gt;=$C$13,A1269&lt;($C$13+$C$17)),IF($C$17&lt;=0,0,IF($C$16=0,MAX($L$250*(1-$C$15),0)/$C$17,-PMT($C$16/12,$C$17*12,MAX($L$250*(1-$C$15),0))*12)),0)+X1269*($C$19+$C$20+$C$21)+$C$22+$C$23)</f>
        <v/>
      </c>
      <c r="I1269" s="138">
        <f>IF(B1269="Working",MIN(MAX(D1269-E1269-F1269-G1269-H1269,0),'Tax Assumptions'!$B$20),0)</f>
        <v/>
      </c>
      <c r="J1269" s="138">
        <f>IF(B1269="Working",D1269-E1269-F1269-I1269-G1269-H1269,-L1269)</f>
        <v/>
      </c>
      <c r="K1269" s="137">
        <f>IF(B1269="Retired",$N$250+G1269+H1269,0)</f>
        <v/>
      </c>
      <c r="L1269" s="137">
        <f>M1269+N1269+O1269+P1269</f>
        <v/>
      </c>
      <c r="M1269" s="137">
        <f>IF(B1269="Retired",MIN((('Savings Projection'!$B$7)*(1+$C$10)+IF(B1269="Working",J1269,0)),K1269),0)</f>
        <v/>
      </c>
      <c r="N1269" s="137">
        <f>IF(B1269="Retired",MIN(MAX(K1269-M1269,0),(('Savings Projection'!$B$8)*(1+$C$10)+IF(B1269="Working",E80,0))),0)</f>
        <v/>
      </c>
      <c r="O1269" s="137">
        <f>IF(B1269="Retired",MIN(MAX(K1269-M1269-N1269,0),(('Savings Projection'!$B$9)*(1+$C$10)+IF(B1269="Working",I1269,0))),0)</f>
        <v/>
      </c>
      <c r="P1269" s="137">
        <f>IF(B1269="Retired",MIN(MAX(K1269-M1269-N1269-O1269,0),(('Savings Projection'!$B$10)*(1+$C$10)+IF(B1269="Working",F80,0))),0)</f>
        <v/>
      </c>
      <c r="Q1269" s="138">
        <f>MAX((('Savings Projection'!$B$7)*(1+$C$10)+IF(B1269="Working",J1269,0))-M1269,0)</f>
        <v/>
      </c>
      <c r="R1269" s="138">
        <f>MAX((('Savings Projection'!$B$8)*(1+$C$10)+IF(B1269="Working",E80,0))-N1269,0)</f>
        <v/>
      </c>
      <c r="S1269" s="138">
        <f>MAX((('Savings Projection'!$B$9)*(1+$C$10)+IF(B1269="Working",I1269,0))-O1269,0)</f>
        <v/>
      </c>
      <c r="T1269" s="138">
        <f>MAX((('Savings Projection'!$B$10)*(1+$C$10)+IF(B1269="Working",F80,0))-P1269,0)</f>
        <v/>
      </c>
      <c r="U1269" s="138">
        <f>Q1269+R1269+S1269+T1269</f>
        <v/>
      </c>
      <c r="V1269" s="138">
        <f>IF(B1269="Working",MAX(-((('Savings Projection'!$B$7)*(1+$C$10)+IF(B1269="Working",J1269,0))),0),MAX(K1269-L1269,0))</f>
        <v/>
      </c>
      <c r="W1269" s="138">
        <f>IF(OR(A1269&gt;=$C$13,B1269="Retired"),IF(V1269&gt;0,-V1269,U1269-'Model Inputs'!$B$18),"")</f>
        <v/>
      </c>
      <c r="X1269" s="138">
        <f>IF(AND($L$250&gt;0,A1269&gt;=$C$13),$L$250*(1+$C$25)^(A1269-$C$13),0)</f>
        <v/>
      </c>
      <c r="Y1269" s="138">
        <f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/>
      </c>
      <c r="Z1269" s="138">
        <f>MAX(X1269-Y1269,0)</f>
        <v/>
      </c>
      <c r="AA1269" s="139">
        <f>U1269+Z1269</f>
        <v/>
      </c>
      <c r="AB1269" s="5" t="n"/>
      <c r="AC1269" s="5" t="n"/>
      <c r="AD1269" s="5" t="n"/>
      <c r="AE1269" s="5" t="n"/>
      <c r="AF1269" s="5" t="n"/>
      <c r="AG1269" s="5" t="n"/>
    </row>
    <row r="1270" outlineLevel="1" s="326">
      <c r="A1270" s="140" t="n">
        <v>2</v>
      </c>
      <c r="B1270" s="40">
        <f>B81</f>
        <v/>
      </c>
      <c r="C1270" s="141">
        <f>D81</f>
        <v/>
      </c>
      <c r="D1270" s="141">
        <f>I81</f>
        <v/>
      </c>
      <c r="E1270" s="141">
        <f>J81</f>
        <v/>
      </c>
      <c r="F1270" s="141">
        <f>K81</f>
        <v/>
      </c>
      <c r="G1270" s="138">
        <f>IF(AND($L$250&gt;0,A1270=$C$13),$L$250*($C$15+$C$18),0)+IF(AND($L$250&gt;0,A1270=$C$13),$C$24,0)</f>
        <v/>
      </c>
      <c r="H1270" s="138">
        <f>IF(OR($L$250&lt;=0,A1270&lt;$C$13),0,IF(AND($L$250&gt;0,$C$17&gt;0,A1270&gt;=$C$13,A1270&lt;($C$13+$C$17)),IF($C$17&lt;=0,0,IF($C$16=0,MAX($L$250*(1-$C$15),0)/$C$17,-PMT($C$16/12,$C$17*12,MAX($L$250*(1-$C$15),0))*12)),0)+X1270*($C$19+$C$20+$C$21)+$C$22+$C$23)</f>
        <v/>
      </c>
      <c r="I1270" s="138">
        <f>IF(B1270="Working",MIN(MAX(D1270-E1270-F1270-G1270-H1270,0),'Tax Assumptions'!$B$20),0)</f>
        <v/>
      </c>
      <c r="J1270" s="138">
        <f>IF(B1270="Working",D1270-E1270-F1270-I1270-G1270-H1270,-L1270)</f>
        <v/>
      </c>
      <c r="K1270" s="141">
        <f>IF(B1270="Retired",$N$250+G1270+H1270,0)</f>
        <v/>
      </c>
      <c r="L1270" s="141">
        <f>M1270+N1270+O1270+P1270</f>
        <v/>
      </c>
      <c r="M1270" s="141">
        <f>IF(B1270="Retired",MIN(((Q1269)*(1+$C$10)+IF(B1270="Working",J1270,0)),K1270),0)</f>
        <v/>
      </c>
      <c r="N1270" s="141">
        <f>IF(B1270="Retired",MIN(MAX(K1270-M1270,0),((R1269)*(1+$C$10)+IF(B1270="Working",E81,0))),0)</f>
        <v/>
      </c>
      <c r="O1270" s="141">
        <f>IF(B1270="Retired",MIN(MAX(K1270-M1270-N1270,0),((S1269)*(1+$C$10)+IF(B1270="Working",I1270,0))),0)</f>
        <v/>
      </c>
      <c r="P1270" s="141">
        <f>IF(B1270="Retired",MIN(MAX(K1270-M1270-N1270-O1270,0),((T1269)*(1+$C$10)+IF(B1270="Working",F81,0))),0)</f>
        <v/>
      </c>
      <c r="Q1270" s="138">
        <f>MAX(((Q1269)*(1+$C$10)+IF(B1270="Working",J1270,0))-M1270,0)</f>
        <v/>
      </c>
      <c r="R1270" s="138">
        <f>MAX(((R1269)*(1+$C$10)+IF(B1270="Working",E81,0))-N1270,0)</f>
        <v/>
      </c>
      <c r="S1270" s="138">
        <f>MAX(((S1269)*(1+$C$10)+IF(B1270="Working",I1270,0))-O1270,0)</f>
        <v/>
      </c>
      <c r="T1270" s="138">
        <f>MAX(((T1269)*(1+$C$10)+IF(B1270="Working",F81,0))-P1270,0)</f>
        <v/>
      </c>
      <c r="U1270" s="138">
        <f>Q1270+R1270+S1270+T1270</f>
        <v/>
      </c>
      <c r="V1270" s="138">
        <f>IF(B1270="Working",MAX(-(((Q1269)*(1+$C$10)+IF(B1270="Working",J1270,0))),0),MAX(K1270-L1270,0))</f>
        <v/>
      </c>
      <c r="W1270" s="138">
        <f>IF(OR(A1270&gt;=$C$13,B1270="Retired"),IF(V1270&gt;0,-V1270,U1270-'Model Inputs'!$B$18),"")</f>
        <v/>
      </c>
      <c r="X1270" s="138">
        <f>IF(AND($L$250&gt;0,A1270&gt;=$C$13),$L$250*(1+$C$25)^(A1270-$C$13),0)</f>
        <v/>
      </c>
      <c r="Y1270" s="138">
        <f>IF(OR($L$250&lt;=0,$C$17&lt;=0,A1270&lt;$C$13,MIN(MAX((A1270-$C$13+1)*12,0),$C$17*12)&gt;=$C$17*12),0,IF($C$16=0,MAX(MAX($L$250*(1-$C$15),0)-(IF($C$17&lt;=0,0,IF($C$16=0,MAX($L$250*(1-$C$15),0)/$C$17,-PMT($C$16/12,$C$17*12,MAX($L$250*(1-$C$15),0))*12))/12)*MIN(MAX((A1270-$C$13+1)*12,0),$C$17*12),0),MAX(MAX($L$250*(1-$C$15),0)*(1+$C$16/12)^MIN(MAX((A1270-$C$13+1)*12,0),$C$17*12)-(IF($C$17&lt;=0,0,IF($C$16=0,MAX($L$250*(1-$C$15),0)/$C$17,-PMT($C$16/12,$C$17*12,MAX($L$250*(1-$C$15),0))*12))/12)*(((1+$C$16/12)^MIN(MAX((A1270-$C$13+1)*12,0),$C$17*12)-1)/($C$16/12)),0)))</f>
        <v/>
      </c>
      <c r="Z1270" s="138">
        <f>MAX(X1270-Y1270,0)</f>
        <v/>
      </c>
      <c r="AA1270" s="142">
        <f>U1270+Z1270</f>
        <v/>
      </c>
      <c r="AB1270" s="5" t="n"/>
      <c r="AC1270" s="5" t="n"/>
      <c r="AD1270" s="5" t="n"/>
      <c r="AE1270" s="5" t="n"/>
      <c r="AF1270" s="5" t="n"/>
      <c r="AG1270" s="5" t="n"/>
    </row>
    <row r="1271" outlineLevel="1" s="326">
      <c r="A1271" s="136" t="n">
        <v>3</v>
      </c>
      <c r="B1271" s="72">
        <f>B82</f>
        <v/>
      </c>
      <c r="C1271" s="137">
        <f>D82</f>
        <v/>
      </c>
      <c r="D1271" s="137">
        <f>I82</f>
        <v/>
      </c>
      <c r="E1271" s="137">
        <f>J82</f>
        <v/>
      </c>
      <c r="F1271" s="137">
        <f>K82</f>
        <v/>
      </c>
      <c r="G1271" s="138">
        <f>IF(AND($L$250&gt;0,A1271=$C$13),$L$250*($C$15+$C$18),0)+IF(AND($L$250&gt;0,A1271=$C$13),$C$24,0)</f>
        <v/>
      </c>
      <c r="H1271" s="138">
        <f>IF(OR($L$250&lt;=0,A1271&lt;$C$13),0,IF(AND($L$250&gt;0,$C$17&gt;0,A1271&gt;=$C$13,A1271&lt;($C$13+$C$17)),IF($C$17&lt;=0,0,IF($C$16=0,MAX($L$250*(1-$C$15),0)/$C$17,-PMT($C$16/12,$C$17*12,MAX($L$250*(1-$C$15),0))*12)),0)+X1271*($C$19+$C$20+$C$21)+$C$22+$C$23)</f>
        <v/>
      </c>
      <c r="I1271" s="138">
        <f>IF(B1271="Working",MIN(MAX(D1271-E1271-F1271-G1271-H1271,0),'Tax Assumptions'!$B$20),0)</f>
        <v/>
      </c>
      <c r="J1271" s="138">
        <f>IF(B1271="Working",D1271-E1271-F1271-I1271-G1271-H1271,-L1271)</f>
        <v/>
      </c>
      <c r="K1271" s="137">
        <f>IF(B1271="Retired",$N$250+G1271+H1271,0)</f>
        <v/>
      </c>
      <c r="L1271" s="137">
        <f>M1271+N1271+O1271+P1271</f>
        <v/>
      </c>
      <c r="M1271" s="137">
        <f>IF(B1271="Retired",MIN(((Q1270)*(1+$C$10)+IF(B1271="Working",J1271,0)),K1271),0)</f>
        <v/>
      </c>
      <c r="N1271" s="137">
        <f>IF(B1271="Retired",MIN(MAX(K1271-M1271,0),((R1270)*(1+$C$10)+IF(B1271="Working",E82,0))),0)</f>
        <v/>
      </c>
      <c r="O1271" s="137">
        <f>IF(B1271="Retired",MIN(MAX(K1271-M1271-N1271,0),((S1270)*(1+$C$10)+IF(B1271="Working",I1271,0))),0)</f>
        <v/>
      </c>
      <c r="P1271" s="137">
        <f>IF(B1271="Retired",MIN(MAX(K1271-M1271-N1271-O1271,0),((T1270)*(1+$C$10)+IF(B1271="Working",F82,0))),0)</f>
        <v/>
      </c>
      <c r="Q1271" s="138">
        <f>MAX(((Q1270)*(1+$C$10)+IF(B1271="Working",J1271,0))-M1271,0)</f>
        <v/>
      </c>
      <c r="R1271" s="138">
        <f>MAX(((R1270)*(1+$C$10)+IF(B1271="Working",E82,0))-N1271,0)</f>
        <v/>
      </c>
      <c r="S1271" s="138">
        <f>MAX(((S1270)*(1+$C$10)+IF(B1271="Working",I1271,0))-O1271,0)</f>
        <v/>
      </c>
      <c r="T1271" s="138">
        <f>MAX(((T1270)*(1+$C$10)+IF(B1271="Working",F82,0))-P1271,0)</f>
        <v/>
      </c>
      <c r="U1271" s="138">
        <f>Q1271+R1271+S1271+T1271</f>
        <v/>
      </c>
      <c r="V1271" s="138">
        <f>IF(B1271="Working",MAX(-(((Q1270)*(1+$C$10)+IF(B1271="Working",J1271,0))),0),MAX(K1271-L1271,0))</f>
        <v/>
      </c>
      <c r="W1271" s="138">
        <f>IF(OR(A1271&gt;=$C$13,B1271="Retired"),IF(V1271&gt;0,-V1271,U1271-'Model Inputs'!$B$18),"")</f>
        <v/>
      </c>
      <c r="X1271" s="138">
        <f>IF(AND($L$250&gt;0,A1271&gt;=$C$13),$L$250*(1+$C$25)^(A1271-$C$13),0)</f>
        <v/>
      </c>
      <c r="Y1271" s="138">
        <f>IF(OR($L$250&lt;=0,$C$17&lt;=0,A1271&lt;$C$13,MIN(MAX((A1271-$C$13+1)*12,0),$C$17*12)&gt;=$C$17*12),0,IF($C$16=0,MAX(MAX($L$250*(1-$C$15),0)-(IF($C$17&lt;=0,0,IF($C$16=0,MAX($L$250*(1-$C$15),0)/$C$17,-PMT($C$16/12,$C$17*12,MAX($L$250*(1-$C$15),0))*12))/12)*MIN(MAX((A1271-$C$13+1)*12,0),$C$17*12),0),MAX(MAX($L$250*(1-$C$15),0)*(1+$C$16/12)^MIN(MAX((A1271-$C$13+1)*12,0),$C$17*12)-(IF($C$17&lt;=0,0,IF($C$16=0,MAX($L$250*(1-$C$15),0)/$C$17,-PMT($C$16/12,$C$17*12,MAX($L$250*(1-$C$15),0))*12))/12)*(((1+$C$16/12)^MIN(MAX((A1271-$C$13+1)*12,0),$C$17*12)-1)/($C$16/12)),0)))</f>
        <v/>
      </c>
      <c r="Z1271" s="138">
        <f>MAX(X1271-Y1271,0)</f>
        <v/>
      </c>
      <c r="AA1271" s="139">
        <f>U1271+Z1271</f>
        <v/>
      </c>
      <c r="AB1271" s="5" t="n"/>
      <c r="AC1271" s="5" t="n"/>
      <c r="AD1271" s="5" t="n"/>
      <c r="AE1271" s="5" t="n"/>
      <c r="AF1271" s="5" t="n"/>
      <c r="AG1271" s="5" t="n"/>
    </row>
    <row r="1272" outlineLevel="1" s="326">
      <c r="A1272" s="140" t="n">
        <v>4</v>
      </c>
      <c r="B1272" s="40">
        <f>B83</f>
        <v/>
      </c>
      <c r="C1272" s="141">
        <f>D83</f>
        <v/>
      </c>
      <c r="D1272" s="141">
        <f>I83</f>
        <v/>
      </c>
      <c r="E1272" s="141">
        <f>J83</f>
        <v/>
      </c>
      <c r="F1272" s="141">
        <f>K83</f>
        <v/>
      </c>
      <c r="G1272" s="138">
        <f>IF(AND($L$250&gt;0,A1272=$C$13),$L$250*($C$15+$C$18),0)+IF(AND($L$250&gt;0,A1272=$C$13),$C$24,0)</f>
        <v/>
      </c>
      <c r="H1272" s="138">
        <f>IF(OR($L$250&lt;=0,A1272&lt;$C$13),0,IF(AND($L$250&gt;0,$C$17&gt;0,A1272&gt;=$C$13,A1272&lt;($C$13+$C$17)),IF($C$17&lt;=0,0,IF($C$16=0,MAX($L$250*(1-$C$15),0)/$C$17,-PMT($C$16/12,$C$17*12,MAX($L$250*(1-$C$15),0))*12)),0)+X1272*($C$19+$C$20+$C$21)+$C$22+$C$23)</f>
        <v/>
      </c>
      <c r="I1272" s="138">
        <f>IF(B1272="Working",MIN(MAX(D1272-E1272-F1272-G1272-H1272,0),'Tax Assumptions'!$B$20),0)</f>
        <v/>
      </c>
      <c r="J1272" s="138">
        <f>IF(B1272="Working",D1272-E1272-F1272-I1272-G1272-H1272,-L1272)</f>
        <v/>
      </c>
      <c r="K1272" s="141">
        <f>IF(B1272="Retired",$N$250+G1272+H1272,0)</f>
        <v/>
      </c>
      <c r="L1272" s="141">
        <f>M1272+N1272+O1272+P1272</f>
        <v/>
      </c>
      <c r="M1272" s="141">
        <f>IF(B1272="Retired",MIN(((Q1271)*(1+$C$10)+IF(B1272="Working",J1272,0)),K1272),0)</f>
        <v/>
      </c>
      <c r="N1272" s="141">
        <f>IF(B1272="Retired",MIN(MAX(K1272-M1272,0),((R1271)*(1+$C$10)+IF(B1272="Working",E83,0))),0)</f>
        <v/>
      </c>
      <c r="O1272" s="141">
        <f>IF(B1272="Retired",MIN(MAX(K1272-M1272-N1272,0),((S1271)*(1+$C$10)+IF(B1272="Working",I1272,0))),0)</f>
        <v/>
      </c>
      <c r="P1272" s="141">
        <f>IF(B1272="Retired",MIN(MAX(K1272-M1272-N1272-O1272,0),((T1271)*(1+$C$10)+IF(B1272="Working",F83,0))),0)</f>
        <v/>
      </c>
      <c r="Q1272" s="138">
        <f>MAX(((Q1271)*(1+$C$10)+IF(B1272="Working",J1272,0))-M1272,0)</f>
        <v/>
      </c>
      <c r="R1272" s="138">
        <f>MAX(((R1271)*(1+$C$10)+IF(B1272="Working",E83,0))-N1272,0)</f>
        <v/>
      </c>
      <c r="S1272" s="138">
        <f>MAX(((S1271)*(1+$C$10)+IF(B1272="Working",I1272,0))-O1272,0)</f>
        <v/>
      </c>
      <c r="T1272" s="138">
        <f>MAX(((T1271)*(1+$C$10)+IF(B1272="Working",F83,0))-P1272,0)</f>
        <v/>
      </c>
      <c r="U1272" s="138">
        <f>Q1272+R1272+S1272+T1272</f>
        <v/>
      </c>
      <c r="V1272" s="138">
        <f>IF(B1272="Working",MAX(-(((Q1271)*(1+$C$10)+IF(B1272="Working",J1272,0))),0),MAX(K1272-L1272,0))</f>
        <v/>
      </c>
      <c r="W1272" s="138">
        <f>IF(OR(A1272&gt;=$C$13,B1272="Retired"),IF(V1272&gt;0,-V1272,U1272-'Model Inputs'!$B$18),"")</f>
        <v/>
      </c>
      <c r="X1272" s="138">
        <f>IF(AND($L$250&gt;0,A1272&gt;=$C$13),$L$250*(1+$C$25)^(A1272-$C$13),0)</f>
        <v/>
      </c>
      <c r="Y1272" s="138">
        <f>IF(OR($L$250&lt;=0,$C$17&lt;=0,A1272&lt;$C$13,MIN(MAX((A1272-$C$13+1)*12,0),$C$17*12)&gt;=$C$17*12),0,IF($C$16=0,MAX(MAX($L$250*(1-$C$15),0)-(IF($C$17&lt;=0,0,IF($C$16=0,MAX($L$250*(1-$C$15),0)/$C$17,-PMT($C$16/12,$C$17*12,MAX($L$250*(1-$C$15),0))*12))/12)*MIN(MAX((A1272-$C$13+1)*12,0),$C$17*12),0),MAX(MAX($L$250*(1-$C$15),0)*(1+$C$16/12)^MIN(MAX((A1272-$C$13+1)*12,0),$C$17*12)-(IF($C$17&lt;=0,0,IF($C$16=0,MAX($L$250*(1-$C$15),0)/$C$17,-PMT($C$16/12,$C$17*12,MAX($L$250*(1-$C$15),0))*12))/12)*(((1+$C$16/12)^MIN(MAX((A1272-$C$13+1)*12,0),$C$17*12)-1)/($C$16/12)),0)))</f>
        <v/>
      </c>
      <c r="Z1272" s="138">
        <f>MAX(X1272-Y1272,0)</f>
        <v/>
      </c>
      <c r="AA1272" s="142">
        <f>U1272+Z1272</f>
        <v/>
      </c>
      <c r="AB1272" s="5" t="n"/>
      <c r="AC1272" s="5" t="n"/>
      <c r="AD1272" s="5" t="n"/>
      <c r="AE1272" s="5" t="n"/>
      <c r="AF1272" s="5" t="n"/>
      <c r="AG1272" s="5" t="n"/>
    </row>
    <row r="1273" outlineLevel="1" s="326">
      <c r="A1273" s="136" t="n">
        <v>5</v>
      </c>
      <c r="B1273" s="72">
        <f>B84</f>
        <v/>
      </c>
      <c r="C1273" s="137">
        <f>D84</f>
        <v/>
      </c>
      <c r="D1273" s="137">
        <f>I84</f>
        <v/>
      </c>
      <c r="E1273" s="137">
        <f>J84</f>
        <v/>
      </c>
      <c r="F1273" s="137">
        <f>K84</f>
        <v/>
      </c>
      <c r="G1273" s="138">
        <f>IF(AND($L$250&gt;0,A1273=$C$13),$L$250*($C$15+$C$18),0)+IF(AND($L$250&gt;0,A1273=$C$13),$C$24,0)</f>
        <v/>
      </c>
      <c r="H1273" s="138">
        <f>IF(OR($L$250&lt;=0,A1273&lt;$C$13),0,IF(AND($L$250&gt;0,$C$17&gt;0,A1273&gt;=$C$13,A1273&lt;($C$13+$C$17)),IF($C$17&lt;=0,0,IF($C$16=0,MAX($L$250*(1-$C$15),0)/$C$17,-PMT($C$16/12,$C$17*12,MAX($L$250*(1-$C$15),0))*12)),0)+X1273*($C$19+$C$20+$C$21)+$C$22+$C$23)</f>
        <v/>
      </c>
      <c r="I1273" s="138">
        <f>IF(B1273="Working",MIN(MAX(D1273-E1273-F1273-G1273-H1273,0),'Tax Assumptions'!$B$20),0)</f>
        <v/>
      </c>
      <c r="J1273" s="138">
        <f>IF(B1273="Working",D1273-E1273-F1273-I1273-G1273-H1273,-L1273)</f>
        <v/>
      </c>
      <c r="K1273" s="137">
        <f>IF(B1273="Retired",$N$250+G1273+H1273,0)</f>
        <v/>
      </c>
      <c r="L1273" s="137">
        <f>M1273+N1273+O1273+P1273</f>
        <v/>
      </c>
      <c r="M1273" s="137">
        <f>IF(B1273="Retired",MIN(((Q1272)*(1+$C$10)+IF(B1273="Working",J1273,0)),K1273),0)</f>
        <v/>
      </c>
      <c r="N1273" s="137">
        <f>IF(B1273="Retired",MIN(MAX(K1273-M1273,0),((R1272)*(1+$C$10)+IF(B1273="Working",E84,0))),0)</f>
        <v/>
      </c>
      <c r="O1273" s="137">
        <f>IF(B1273="Retired",MIN(MAX(K1273-M1273-N1273,0),((S1272)*(1+$C$10)+IF(B1273="Working",I1273,0))),0)</f>
        <v/>
      </c>
      <c r="P1273" s="137">
        <f>IF(B1273="Retired",MIN(MAX(K1273-M1273-N1273-O1273,0),((T1272)*(1+$C$10)+IF(B1273="Working",F84,0))),0)</f>
        <v/>
      </c>
      <c r="Q1273" s="138">
        <f>MAX(((Q1272)*(1+$C$10)+IF(B1273="Working",J1273,0))-M1273,0)</f>
        <v/>
      </c>
      <c r="R1273" s="138">
        <f>MAX(((R1272)*(1+$C$10)+IF(B1273="Working",E84,0))-N1273,0)</f>
        <v/>
      </c>
      <c r="S1273" s="138">
        <f>MAX(((S1272)*(1+$C$10)+IF(B1273="Working",I1273,0))-O1273,0)</f>
        <v/>
      </c>
      <c r="T1273" s="138">
        <f>MAX(((T1272)*(1+$C$10)+IF(B1273="Working",F84,0))-P1273,0)</f>
        <v/>
      </c>
      <c r="U1273" s="138">
        <f>Q1273+R1273+S1273+T1273</f>
        <v/>
      </c>
      <c r="V1273" s="138">
        <f>IF(B1273="Working",MAX(-(((Q1272)*(1+$C$10)+IF(B1273="Working",J1273,0))),0),MAX(K1273-L1273,0))</f>
        <v/>
      </c>
      <c r="W1273" s="138">
        <f>IF(OR(A1273&gt;=$C$13,B1273="Retired"),IF(V1273&gt;0,-V1273,U1273-'Model Inputs'!$B$18),"")</f>
        <v/>
      </c>
      <c r="X1273" s="138">
        <f>IF(AND($L$250&gt;0,A1273&gt;=$C$13),$L$250*(1+$C$25)^(A1273-$C$13),0)</f>
        <v/>
      </c>
      <c r="Y1273" s="138">
        <f>IF(OR($L$250&lt;=0,$C$17&lt;=0,A1273&lt;$C$13,MIN(MAX((A1273-$C$13+1)*12,0),$C$17*12)&gt;=$C$17*12),0,IF($C$16=0,MAX(MAX($L$250*(1-$C$15),0)-(IF($C$17&lt;=0,0,IF($C$16=0,MAX($L$250*(1-$C$15),0)/$C$17,-PMT($C$16/12,$C$17*12,MAX($L$250*(1-$C$15),0))*12))/12)*MIN(MAX((A1273-$C$13+1)*12,0),$C$17*12),0),MAX(MAX($L$250*(1-$C$15),0)*(1+$C$16/12)^MIN(MAX((A1273-$C$13+1)*12,0),$C$17*12)-(IF($C$17&lt;=0,0,IF($C$16=0,MAX($L$250*(1-$C$15),0)/$C$17,-PMT($C$16/12,$C$17*12,MAX($L$250*(1-$C$15),0))*12))/12)*(((1+$C$16/12)^MIN(MAX((A1273-$C$13+1)*12,0),$C$17*12)-1)/($C$16/12)),0)))</f>
        <v/>
      </c>
      <c r="Z1273" s="138">
        <f>MAX(X1273-Y1273,0)</f>
        <v/>
      </c>
      <c r="AA1273" s="139">
        <f>U1273+Z1273</f>
        <v/>
      </c>
      <c r="AB1273" s="5" t="n"/>
      <c r="AC1273" s="5" t="n"/>
      <c r="AD1273" s="5" t="n"/>
      <c r="AE1273" s="5" t="n"/>
      <c r="AF1273" s="5" t="n"/>
      <c r="AG1273" s="5" t="n"/>
    </row>
    <row r="1274" outlineLevel="1" s="326">
      <c r="A1274" s="140" t="n">
        <v>6</v>
      </c>
      <c r="B1274" s="40">
        <f>B85</f>
        <v/>
      </c>
      <c r="C1274" s="141">
        <f>D85</f>
        <v/>
      </c>
      <c r="D1274" s="141">
        <f>I85</f>
        <v/>
      </c>
      <c r="E1274" s="141">
        <f>J85</f>
        <v/>
      </c>
      <c r="F1274" s="141">
        <f>K85</f>
        <v/>
      </c>
      <c r="G1274" s="138">
        <f>IF(AND($L$250&gt;0,A1274=$C$13),$L$250*($C$15+$C$18),0)+IF(AND($L$250&gt;0,A1274=$C$13),$C$24,0)</f>
        <v/>
      </c>
      <c r="H1274" s="138">
        <f>IF(OR($L$250&lt;=0,A1274&lt;$C$13),0,IF(AND($L$250&gt;0,$C$17&gt;0,A1274&gt;=$C$13,A1274&lt;($C$13+$C$17)),IF($C$17&lt;=0,0,IF($C$16=0,MAX($L$250*(1-$C$15),0)/$C$17,-PMT($C$16/12,$C$17*12,MAX($L$250*(1-$C$15),0))*12)),0)+X1274*($C$19+$C$20+$C$21)+$C$22+$C$23)</f>
        <v/>
      </c>
      <c r="I1274" s="138">
        <f>IF(B1274="Working",MIN(MAX(D1274-E1274-F1274-G1274-H1274,0),'Tax Assumptions'!$B$20),0)</f>
        <v/>
      </c>
      <c r="J1274" s="138">
        <f>IF(B1274="Working",D1274-E1274-F1274-I1274-G1274-H1274,-L1274)</f>
        <v/>
      </c>
      <c r="K1274" s="141">
        <f>IF(B1274="Retired",$N$250+G1274+H1274,0)</f>
        <v/>
      </c>
      <c r="L1274" s="141">
        <f>M1274+N1274+O1274+P1274</f>
        <v/>
      </c>
      <c r="M1274" s="141">
        <f>IF(B1274="Retired",MIN(((Q1273)*(1+$C$10)+IF(B1274="Working",J1274,0)),K1274),0)</f>
        <v/>
      </c>
      <c r="N1274" s="141">
        <f>IF(B1274="Retired",MIN(MAX(K1274-M1274,0),((R1273)*(1+$C$10)+IF(B1274="Working",E85,0))),0)</f>
        <v/>
      </c>
      <c r="O1274" s="141">
        <f>IF(B1274="Retired",MIN(MAX(K1274-M1274-N1274,0),((S1273)*(1+$C$10)+IF(B1274="Working",I1274,0))),0)</f>
        <v/>
      </c>
      <c r="P1274" s="141">
        <f>IF(B1274="Retired",MIN(MAX(K1274-M1274-N1274-O1274,0),((T1273)*(1+$C$10)+IF(B1274="Working",F85,0))),0)</f>
        <v/>
      </c>
      <c r="Q1274" s="138">
        <f>MAX(((Q1273)*(1+$C$10)+IF(B1274="Working",J1274,0))-M1274,0)</f>
        <v/>
      </c>
      <c r="R1274" s="138">
        <f>MAX(((R1273)*(1+$C$10)+IF(B1274="Working",E85,0))-N1274,0)</f>
        <v/>
      </c>
      <c r="S1274" s="138">
        <f>MAX(((S1273)*(1+$C$10)+IF(B1274="Working",I1274,0))-O1274,0)</f>
        <v/>
      </c>
      <c r="T1274" s="138">
        <f>MAX(((T1273)*(1+$C$10)+IF(B1274="Working",F85,0))-P1274,0)</f>
        <v/>
      </c>
      <c r="U1274" s="138">
        <f>Q1274+R1274+S1274+T1274</f>
        <v/>
      </c>
      <c r="V1274" s="138">
        <f>IF(B1274="Working",MAX(-(((Q1273)*(1+$C$10)+IF(B1274="Working",J1274,0))),0),MAX(K1274-L1274,0))</f>
        <v/>
      </c>
      <c r="W1274" s="138">
        <f>IF(OR(A1274&gt;=$C$13,B1274="Retired"),IF(V1274&gt;0,-V1274,U1274-'Model Inputs'!$B$18),"")</f>
        <v/>
      </c>
      <c r="X1274" s="138">
        <f>IF(AND($L$250&gt;0,A1274&gt;=$C$13),$L$250*(1+$C$25)^(A1274-$C$13),0)</f>
        <v/>
      </c>
      <c r="Y1274" s="138">
        <f>IF(OR($L$250&lt;=0,$C$17&lt;=0,A1274&lt;$C$13,MIN(MAX((A1274-$C$13+1)*12,0),$C$17*12)&gt;=$C$17*12),0,IF($C$16=0,MAX(MAX($L$250*(1-$C$15),0)-(IF($C$17&lt;=0,0,IF($C$16=0,MAX($L$250*(1-$C$15),0)/$C$17,-PMT($C$16/12,$C$17*12,MAX($L$250*(1-$C$15),0))*12))/12)*MIN(MAX((A1274-$C$13+1)*12,0),$C$17*12),0),MAX(MAX($L$250*(1-$C$15),0)*(1+$C$16/12)^MIN(MAX((A1274-$C$13+1)*12,0),$C$17*12)-(IF($C$17&lt;=0,0,IF($C$16=0,MAX($L$250*(1-$C$15),0)/$C$17,-PMT($C$16/12,$C$17*12,MAX($L$250*(1-$C$15),0))*12))/12)*(((1+$C$16/12)^MIN(MAX((A1274-$C$13+1)*12,0),$C$17*12)-1)/($C$16/12)),0)))</f>
        <v/>
      </c>
      <c r="Z1274" s="138">
        <f>MAX(X1274-Y1274,0)</f>
        <v/>
      </c>
      <c r="AA1274" s="142">
        <f>U1274+Z1274</f>
        <v/>
      </c>
      <c r="AB1274" s="5" t="n"/>
      <c r="AC1274" s="5" t="n"/>
      <c r="AD1274" s="5" t="n"/>
      <c r="AE1274" s="5" t="n"/>
      <c r="AF1274" s="5" t="n"/>
      <c r="AG1274" s="5" t="n"/>
    </row>
    <row r="1275" outlineLevel="1" s="326">
      <c r="A1275" s="136" t="n">
        <v>7</v>
      </c>
      <c r="B1275" s="72">
        <f>B86</f>
        <v/>
      </c>
      <c r="C1275" s="137">
        <f>D86</f>
        <v/>
      </c>
      <c r="D1275" s="137">
        <f>I86</f>
        <v/>
      </c>
      <c r="E1275" s="137">
        <f>J86</f>
        <v/>
      </c>
      <c r="F1275" s="137">
        <f>K86</f>
        <v/>
      </c>
      <c r="G1275" s="138">
        <f>IF(AND($L$250&gt;0,A1275=$C$13),$L$250*($C$15+$C$18),0)+IF(AND($L$250&gt;0,A1275=$C$13),$C$24,0)</f>
        <v/>
      </c>
      <c r="H1275" s="138">
        <f>IF(OR($L$250&lt;=0,A1275&lt;$C$13),0,IF(AND($L$250&gt;0,$C$17&gt;0,A1275&gt;=$C$13,A1275&lt;($C$13+$C$17)),IF($C$17&lt;=0,0,IF($C$16=0,MAX($L$250*(1-$C$15),0)/$C$17,-PMT($C$16/12,$C$17*12,MAX($L$250*(1-$C$15),0))*12)),0)+X1275*($C$19+$C$20+$C$21)+$C$22+$C$23)</f>
        <v/>
      </c>
      <c r="I1275" s="138">
        <f>IF(B1275="Working",MIN(MAX(D1275-E1275-F1275-G1275-H1275,0),'Tax Assumptions'!$B$20),0)</f>
        <v/>
      </c>
      <c r="J1275" s="138">
        <f>IF(B1275="Working",D1275-E1275-F1275-I1275-G1275-H1275,-L1275)</f>
        <v/>
      </c>
      <c r="K1275" s="137">
        <f>IF(B1275="Retired",$N$250+G1275+H1275,0)</f>
        <v/>
      </c>
      <c r="L1275" s="137">
        <f>M1275+N1275+O1275+P1275</f>
        <v/>
      </c>
      <c r="M1275" s="137">
        <f>IF(B1275="Retired",MIN(((Q1274)*(1+$C$10)+IF(B1275="Working",J1275,0)),K1275),0)</f>
        <v/>
      </c>
      <c r="N1275" s="137">
        <f>IF(B1275="Retired",MIN(MAX(K1275-M1275,0),((R1274)*(1+$C$10)+IF(B1275="Working",E86,0))),0)</f>
        <v/>
      </c>
      <c r="O1275" s="137">
        <f>IF(B1275="Retired",MIN(MAX(K1275-M1275-N1275,0),((S1274)*(1+$C$10)+IF(B1275="Working",I1275,0))),0)</f>
        <v/>
      </c>
      <c r="P1275" s="137">
        <f>IF(B1275="Retired",MIN(MAX(K1275-M1275-N1275-O1275,0),((T1274)*(1+$C$10)+IF(B1275="Working",F86,0))),0)</f>
        <v/>
      </c>
      <c r="Q1275" s="138">
        <f>MAX(((Q1274)*(1+$C$10)+IF(B1275="Working",J1275,0))-M1275,0)</f>
        <v/>
      </c>
      <c r="R1275" s="138">
        <f>MAX(((R1274)*(1+$C$10)+IF(B1275="Working",E86,0))-N1275,0)</f>
        <v/>
      </c>
      <c r="S1275" s="138">
        <f>MAX(((S1274)*(1+$C$10)+IF(B1275="Working",I1275,0))-O1275,0)</f>
        <v/>
      </c>
      <c r="T1275" s="138">
        <f>MAX(((T1274)*(1+$C$10)+IF(B1275="Working",F86,0))-P1275,0)</f>
        <v/>
      </c>
      <c r="U1275" s="138">
        <f>Q1275+R1275+S1275+T1275</f>
        <v/>
      </c>
      <c r="V1275" s="138">
        <f>IF(B1275="Working",MAX(-(((Q1274)*(1+$C$10)+IF(B1275="Working",J1275,0))),0),MAX(K1275-L1275,0))</f>
        <v/>
      </c>
      <c r="W1275" s="138">
        <f>IF(OR(A1275&gt;=$C$13,B1275="Retired"),IF(V1275&gt;0,-V1275,U1275-'Model Inputs'!$B$18),"")</f>
        <v/>
      </c>
      <c r="X1275" s="138">
        <f>IF(AND($L$250&gt;0,A1275&gt;=$C$13),$L$250*(1+$C$25)^(A1275-$C$13),0)</f>
        <v/>
      </c>
      <c r="Y1275" s="138">
        <f>IF(OR($L$250&lt;=0,$C$17&lt;=0,A1275&lt;$C$13,MIN(MAX((A1275-$C$13+1)*12,0),$C$17*12)&gt;=$C$17*12),0,IF($C$16=0,MAX(MAX($L$250*(1-$C$15),0)-(IF($C$17&lt;=0,0,IF($C$16=0,MAX($L$250*(1-$C$15),0)/$C$17,-PMT($C$16/12,$C$17*12,MAX($L$250*(1-$C$15),0))*12))/12)*MIN(MAX((A1275-$C$13+1)*12,0),$C$17*12),0),MAX(MAX($L$250*(1-$C$15),0)*(1+$C$16/12)^MIN(MAX((A1275-$C$13+1)*12,0),$C$17*12)-(IF($C$17&lt;=0,0,IF($C$16=0,MAX($L$250*(1-$C$15),0)/$C$17,-PMT($C$16/12,$C$17*12,MAX($L$250*(1-$C$15),0))*12))/12)*(((1+$C$16/12)^MIN(MAX((A1275-$C$13+1)*12,0),$C$17*12)-1)/($C$16/12)),0)))</f>
        <v/>
      </c>
      <c r="Z1275" s="138">
        <f>MAX(X1275-Y1275,0)</f>
        <v/>
      </c>
      <c r="AA1275" s="139">
        <f>U1275+Z1275</f>
        <v/>
      </c>
      <c r="AB1275" s="5" t="n"/>
      <c r="AC1275" s="5" t="n"/>
      <c r="AD1275" s="5" t="n"/>
      <c r="AE1275" s="5" t="n"/>
      <c r="AF1275" s="5" t="n"/>
      <c r="AG1275" s="5" t="n"/>
    </row>
    <row r="1276" outlineLevel="1" s="326">
      <c r="A1276" s="140" t="n">
        <v>8</v>
      </c>
      <c r="B1276" s="40">
        <f>B87</f>
        <v/>
      </c>
      <c r="C1276" s="141">
        <f>D87</f>
        <v/>
      </c>
      <c r="D1276" s="141">
        <f>I87</f>
        <v/>
      </c>
      <c r="E1276" s="141">
        <f>J87</f>
        <v/>
      </c>
      <c r="F1276" s="141">
        <f>K87</f>
        <v/>
      </c>
      <c r="G1276" s="138">
        <f>IF(AND($L$250&gt;0,A1276=$C$13),$L$250*($C$15+$C$18),0)+IF(AND($L$250&gt;0,A1276=$C$13),$C$24,0)</f>
        <v/>
      </c>
      <c r="H1276" s="138">
        <f>IF(OR($L$250&lt;=0,A1276&lt;$C$13),0,IF(AND($L$250&gt;0,$C$17&gt;0,A1276&gt;=$C$13,A1276&lt;($C$13+$C$17)),IF($C$17&lt;=0,0,IF($C$16=0,MAX($L$250*(1-$C$15),0)/$C$17,-PMT($C$16/12,$C$17*12,MAX($L$250*(1-$C$15),0))*12)),0)+X1276*($C$19+$C$20+$C$21)+$C$22+$C$23)</f>
        <v/>
      </c>
      <c r="I1276" s="138">
        <f>IF(B1276="Working",MIN(MAX(D1276-E1276-F1276-G1276-H1276,0),'Tax Assumptions'!$B$20),0)</f>
        <v/>
      </c>
      <c r="J1276" s="138">
        <f>IF(B1276="Working",D1276-E1276-F1276-I1276-G1276-H1276,-L1276)</f>
        <v/>
      </c>
      <c r="K1276" s="141">
        <f>IF(B1276="Retired",$N$250+G1276+H1276,0)</f>
        <v/>
      </c>
      <c r="L1276" s="141">
        <f>M1276+N1276+O1276+P1276</f>
        <v/>
      </c>
      <c r="M1276" s="141">
        <f>IF(B1276="Retired",MIN(((Q1275)*(1+$C$10)+IF(B1276="Working",J1276,0)),K1276),0)</f>
        <v/>
      </c>
      <c r="N1276" s="141">
        <f>IF(B1276="Retired",MIN(MAX(K1276-M1276,0),((R1275)*(1+$C$10)+IF(B1276="Working",E87,0))),0)</f>
        <v/>
      </c>
      <c r="O1276" s="141">
        <f>IF(B1276="Retired",MIN(MAX(K1276-M1276-N1276,0),((S1275)*(1+$C$10)+IF(B1276="Working",I1276,0))),0)</f>
        <v/>
      </c>
      <c r="P1276" s="141">
        <f>IF(B1276="Retired",MIN(MAX(K1276-M1276-N1276-O1276,0),((T1275)*(1+$C$10)+IF(B1276="Working",F87,0))),0)</f>
        <v/>
      </c>
      <c r="Q1276" s="138">
        <f>MAX(((Q1275)*(1+$C$10)+IF(B1276="Working",J1276,0))-M1276,0)</f>
        <v/>
      </c>
      <c r="R1276" s="138">
        <f>MAX(((R1275)*(1+$C$10)+IF(B1276="Working",E87,0))-N1276,0)</f>
        <v/>
      </c>
      <c r="S1276" s="138">
        <f>MAX(((S1275)*(1+$C$10)+IF(B1276="Working",I1276,0))-O1276,0)</f>
        <v/>
      </c>
      <c r="T1276" s="138">
        <f>MAX(((T1275)*(1+$C$10)+IF(B1276="Working",F87,0))-P1276,0)</f>
        <v/>
      </c>
      <c r="U1276" s="138">
        <f>Q1276+R1276+S1276+T1276</f>
        <v/>
      </c>
      <c r="V1276" s="138">
        <f>IF(B1276="Working",MAX(-(((Q1275)*(1+$C$10)+IF(B1276="Working",J1276,0))),0),MAX(K1276-L1276,0))</f>
        <v/>
      </c>
      <c r="W1276" s="138">
        <f>IF(OR(A1276&gt;=$C$13,B1276="Retired"),IF(V1276&gt;0,-V1276,U1276-'Model Inputs'!$B$18),"")</f>
        <v/>
      </c>
      <c r="X1276" s="138">
        <f>IF(AND($L$250&gt;0,A1276&gt;=$C$13),$L$250*(1+$C$25)^(A1276-$C$13),0)</f>
        <v/>
      </c>
      <c r="Y1276" s="138">
        <f>IF(OR($L$250&lt;=0,$C$17&lt;=0,A1276&lt;$C$13,MIN(MAX((A1276-$C$13+1)*12,0),$C$17*12)&gt;=$C$17*12),0,IF($C$16=0,MAX(MAX($L$250*(1-$C$15),0)-(IF($C$17&lt;=0,0,IF($C$16=0,MAX($L$250*(1-$C$15),0)/$C$17,-PMT($C$16/12,$C$17*12,MAX($L$250*(1-$C$15),0))*12))/12)*MIN(MAX((A1276-$C$13+1)*12,0),$C$17*12),0),MAX(MAX($L$250*(1-$C$15),0)*(1+$C$16/12)^MIN(MAX((A1276-$C$13+1)*12,0),$C$17*12)-(IF($C$17&lt;=0,0,IF($C$16=0,MAX($L$250*(1-$C$15),0)/$C$17,-PMT($C$16/12,$C$17*12,MAX($L$250*(1-$C$15),0))*12))/12)*(((1+$C$16/12)^MIN(MAX((A1276-$C$13+1)*12,0),$C$17*12)-1)/($C$16/12)),0)))</f>
        <v/>
      </c>
      <c r="Z1276" s="138">
        <f>MAX(X1276-Y1276,0)</f>
        <v/>
      </c>
      <c r="AA1276" s="142">
        <f>U1276+Z1276</f>
        <v/>
      </c>
      <c r="AB1276" s="5" t="n"/>
      <c r="AC1276" s="5" t="n"/>
      <c r="AD1276" s="5" t="n"/>
      <c r="AE1276" s="5" t="n"/>
      <c r="AF1276" s="5" t="n"/>
      <c r="AG1276" s="5" t="n"/>
    </row>
    <row r="1277" outlineLevel="1" s="326">
      <c r="A1277" s="136" t="n">
        <v>9</v>
      </c>
      <c r="B1277" s="72">
        <f>B88</f>
        <v/>
      </c>
      <c r="C1277" s="137">
        <f>D88</f>
        <v/>
      </c>
      <c r="D1277" s="137">
        <f>I88</f>
        <v/>
      </c>
      <c r="E1277" s="137">
        <f>J88</f>
        <v/>
      </c>
      <c r="F1277" s="137">
        <f>K88</f>
        <v/>
      </c>
      <c r="G1277" s="138">
        <f>IF(AND($L$250&gt;0,A1277=$C$13),$L$250*($C$15+$C$18),0)+IF(AND($L$250&gt;0,A1277=$C$13),$C$24,0)</f>
        <v/>
      </c>
      <c r="H1277" s="138">
        <f>IF(OR($L$250&lt;=0,A1277&lt;$C$13),0,IF(AND($L$250&gt;0,$C$17&gt;0,A1277&gt;=$C$13,A1277&lt;($C$13+$C$17)),IF($C$17&lt;=0,0,IF($C$16=0,MAX($L$250*(1-$C$15),0)/$C$17,-PMT($C$16/12,$C$17*12,MAX($L$250*(1-$C$15),0))*12)),0)+X1277*($C$19+$C$20+$C$21)+$C$22+$C$23)</f>
        <v/>
      </c>
      <c r="I1277" s="138">
        <f>IF(B1277="Working",MIN(MAX(D1277-E1277-F1277-G1277-H1277,0),'Tax Assumptions'!$B$20),0)</f>
        <v/>
      </c>
      <c r="J1277" s="138">
        <f>IF(B1277="Working",D1277-E1277-F1277-I1277-G1277-H1277,-L1277)</f>
        <v/>
      </c>
      <c r="K1277" s="137">
        <f>IF(B1277="Retired",$N$250+G1277+H1277,0)</f>
        <v/>
      </c>
      <c r="L1277" s="137">
        <f>M1277+N1277+O1277+P1277</f>
        <v/>
      </c>
      <c r="M1277" s="137">
        <f>IF(B1277="Retired",MIN(((Q1276)*(1+$C$10)+IF(B1277="Working",J1277,0)),K1277),0)</f>
        <v/>
      </c>
      <c r="N1277" s="137">
        <f>IF(B1277="Retired",MIN(MAX(K1277-M1277,0),((R1276)*(1+$C$10)+IF(B1277="Working",E88,0))),0)</f>
        <v/>
      </c>
      <c r="O1277" s="137">
        <f>IF(B1277="Retired",MIN(MAX(K1277-M1277-N1277,0),((S1276)*(1+$C$10)+IF(B1277="Working",I1277,0))),0)</f>
        <v/>
      </c>
      <c r="P1277" s="137">
        <f>IF(B1277="Retired",MIN(MAX(K1277-M1277-N1277-O1277,0),((T1276)*(1+$C$10)+IF(B1277="Working",F88,0))),0)</f>
        <v/>
      </c>
      <c r="Q1277" s="138">
        <f>MAX(((Q1276)*(1+$C$10)+IF(B1277="Working",J1277,0))-M1277,0)</f>
        <v/>
      </c>
      <c r="R1277" s="138">
        <f>MAX(((R1276)*(1+$C$10)+IF(B1277="Working",E88,0))-N1277,0)</f>
        <v/>
      </c>
      <c r="S1277" s="138">
        <f>MAX(((S1276)*(1+$C$10)+IF(B1277="Working",I1277,0))-O1277,0)</f>
        <v/>
      </c>
      <c r="T1277" s="138">
        <f>MAX(((T1276)*(1+$C$10)+IF(B1277="Working",F88,0))-P1277,0)</f>
        <v/>
      </c>
      <c r="U1277" s="138">
        <f>Q1277+R1277+S1277+T1277</f>
        <v/>
      </c>
      <c r="V1277" s="138">
        <f>IF(B1277="Working",MAX(-(((Q1276)*(1+$C$10)+IF(B1277="Working",J1277,0))),0),MAX(K1277-L1277,0))</f>
        <v/>
      </c>
      <c r="W1277" s="138">
        <f>IF(OR(A1277&gt;=$C$13,B1277="Retired"),IF(V1277&gt;0,-V1277,U1277-'Model Inputs'!$B$18),"")</f>
        <v/>
      </c>
      <c r="X1277" s="138">
        <f>IF(AND($L$250&gt;0,A1277&gt;=$C$13),$L$250*(1+$C$25)^(A1277-$C$13),0)</f>
        <v/>
      </c>
      <c r="Y1277" s="138">
        <f>IF(OR($L$250&lt;=0,$C$17&lt;=0,A1277&lt;$C$13,MIN(MAX((A1277-$C$13+1)*12,0),$C$17*12)&gt;=$C$17*12),0,IF($C$16=0,MAX(MAX($L$250*(1-$C$15),0)-(IF($C$17&lt;=0,0,IF($C$16=0,MAX($L$250*(1-$C$15),0)/$C$17,-PMT($C$16/12,$C$17*12,MAX($L$250*(1-$C$15),0))*12))/12)*MIN(MAX((A1277-$C$13+1)*12,0),$C$17*12),0),MAX(MAX($L$250*(1-$C$15),0)*(1+$C$16/12)^MIN(MAX((A1277-$C$13+1)*12,0),$C$17*12)-(IF($C$17&lt;=0,0,IF($C$16=0,MAX($L$250*(1-$C$15),0)/$C$17,-PMT($C$16/12,$C$17*12,MAX($L$250*(1-$C$15),0))*12))/12)*(((1+$C$16/12)^MIN(MAX((A1277-$C$13+1)*12,0),$C$17*12)-1)/($C$16/12)),0)))</f>
        <v/>
      </c>
      <c r="Z1277" s="138">
        <f>MAX(X1277-Y1277,0)</f>
        <v/>
      </c>
      <c r="AA1277" s="139">
        <f>U1277+Z1277</f>
        <v/>
      </c>
      <c r="AB1277" s="5" t="n"/>
      <c r="AC1277" s="5" t="n"/>
      <c r="AD1277" s="5" t="n"/>
      <c r="AE1277" s="5" t="n"/>
      <c r="AF1277" s="5" t="n"/>
      <c r="AG1277" s="5" t="n"/>
    </row>
    <row r="1278" outlineLevel="1" s="326">
      <c r="A1278" s="140" t="n">
        <v>10</v>
      </c>
      <c r="B1278" s="40">
        <f>B89</f>
        <v/>
      </c>
      <c r="C1278" s="141">
        <f>D89</f>
        <v/>
      </c>
      <c r="D1278" s="141">
        <f>I89</f>
        <v/>
      </c>
      <c r="E1278" s="141">
        <f>J89</f>
        <v/>
      </c>
      <c r="F1278" s="141">
        <f>K89</f>
        <v/>
      </c>
      <c r="G1278" s="138">
        <f>IF(AND($L$250&gt;0,A1278=$C$13),$L$250*($C$15+$C$18),0)+IF(AND($L$250&gt;0,A1278=$C$13),$C$24,0)</f>
        <v/>
      </c>
      <c r="H1278" s="138">
        <f>IF(OR($L$250&lt;=0,A1278&lt;$C$13),0,IF(AND($L$250&gt;0,$C$17&gt;0,A1278&gt;=$C$13,A1278&lt;($C$13+$C$17)),IF($C$17&lt;=0,0,IF($C$16=0,MAX($L$250*(1-$C$15),0)/$C$17,-PMT($C$16/12,$C$17*12,MAX($L$250*(1-$C$15),0))*12)),0)+X1278*($C$19+$C$20+$C$21)+$C$22+$C$23)</f>
        <v/>
      </c>
      <c r="I1278" s="138">
        <f>IF(B1278="Working",MIN(MAX(D1278-E1278-F1278-G1278-H1278,0),'Tax Assumptions'!$B$20),0)</f>
        <v/>
      </c>
      <c r="J1278" s="138">
        <f>IF(B1278="Working",D1278-E1278-F1278-I1278-G1278-H1278,-L1278)</f>
        <v/>
      </c>
      <c r="K1278" s="141">
        <f>IF(B1278="Retired",$N$250+G1278+H1278,0)</f>
        <v/>
      </c>
      <c r="L1278" s="141">
        <f>M1278+N1278+O1278+P1278</f>
        <v/>
      </c>
      <c r="M1278" s="141">
        <f>IF(B1278="Retired",MIN(((Q1277)*(1+$C$10)+IF(B1278="Working",J1278,0)),K1278),0)</f>
        <v/>
      </c>
      <c r="N1278" s="141">
        <f>IF(B1278="Retired",MIN(MAX(K1278-M1278,0),((R1277)*(1+$C$10)+IF(B1278="Working",E89,0))),0)</f>
        <v/>
      </c>
      <c r="O1278" s="141">
        <f>IF(B1278="Retired",MIN(MAX(K1278-M1278-N1278,0),((S1277)*(1+$C$10)+IF(B1278="Working",I1278,0))),0)</f>
        <v/>
      </c>
      <c r="P1278" s="141">
        <f>IF(B1278="Retired",MIN(MAX(K1278-M1278-N1278-O1278,0),((T1277)*(1+$C$10)+IF(B1278="Working",F89,0))),0)</f>
        <v/>
      </c>
      <c r="Q1278" s="138">
        <f>MAX(((Q1277)*(1+$C$10)+IF(B1278="Working",J1278,0))-M1278,0)</f>
        <v/>
      </c>
      <c r="R1278" s="138">
        <f>MAX(((R1277)*(1+$C$10)+IF(B1278="Working",E89,0))-N1278,0)</f>
        <v/>
      </c>
      <c r="S1278" s="138">
        <f>MAX(((S1277)*(1+$C$10)+IF(B1278="Working",I1278,0))-O1278,0)</f>
        <v/>
      </c>
      <c r="T1278" s="138">
        <f>MAX(((T1277)*(1+$C$10)+IF(B1278="Working",F89,0))-P1278,0)</f>
        <v/>
      </c>
      <c r="U1278" s="138">
        <f>Q1278+R1278+S1278+T1278</f>
        <v/>
      </c>
      <c r="V1278" s="138">
        <f>IF(B1278="Working",MAX(-(((Q1277)*(1+$C$10)+IF(B1278="Working",J1278,0))),0),MAX(K1278-L1278,0))</f>
        <v/>
      </c>
      <c r="W1278" s="138">
        <f>IF(OR(A1278&gt;=$C$13,B1278="Retired"),IF(V1278&gt;0,-V1278,U1278-'Model Inputs'!$B$18),"")</f>
        <v/>
      </c>
      <c r="X1278" s="138">
        <f>IF(AND($L$250&gt;0,A1278&gt;=$C$13),$L$250*(1+$C$25)^(A1278-$C$13),0)</f>
        <v/>
      </c>
      <c r="Y1278" s="138">
        <f>IF(OR($L$250&lt;=0,$C$17&lt;=0,A1278&lt;$C$13,MIN(MAX((A1278-$C$13+1)*12,0),$C$17*12)&gt;=$C$17*12),0,IF($C$16=0,MAX(MAX($L$250*(1-$C$15),0)-(IF($C$17&lt;=0,0,IF($C$16=0,MAX($L$250*(1-$C$15),0)/$C$17,-PMT($C$16/12,$C$17*12,MAX($L$250*(1-$C$15),0))*12))/12)*MIN(MAX((A1278-$C$13+1)*12,0),$C$17*12),0),MAX(MAX($L$250*(1-$C$15),0)*(1+$C$16/12)^MIN(MAX((A1278-$C$13+1)*12,0),$C$17*12)-(IF($C$17&lt;=0,0,IF($C$16=0,MAX($L$250*(1-$C$15),0)/$C$17,-PMT($C$16/12,$C$17*12,MAX($L$250*(1-$C$15),0))*12))/12)*(((1+$C$16/12)^MIN(MAX((A1278-$C$13+1)*12,0),$C$17*12)-1)/($C$16/12)),0)))</f>
        <v/>
      </c>
      <c r="Z1278" s="138">
        <f>MAX(X1278-Y1278,0)</f>
        <v/>
      </c>
      <c r="AA1278" s="142">
        <f>U1278+Z1278</f>
        <v/>
      </c>
      <c r="AB1278" s="5" t="n"/>
      <c r="AC1278" s="5" t="n"/>
      <c r="AD1278" s="5" t="n"/>
      <c r="AE1278" s="5" t="n"/>
      <c r="AF1278" s="5" t="n"/>
      <c r="AG1278" s="5" t="n"/>
    </row>
    <row r="1279" outlineLevel="1" s="326">
      <c r="A1279" s="136" t="n">
        <v>11</v>
      </c>
      <c r="B1279" s="72">
        <f>B90</f>
        <v/>
      </c>
      <c r="C1279" s="137">
        <f>D90</f>
        <v/>
      </c>
      <c r="D1279" s="137">
        <f>I90</f>
        <v/>
      </c>
      <c r="E1279" s="137">
        <f>J90</f>
        <v/>
      </c>
      <c r="F1279" s="137">
        <f>K90</f>
        <v/>
      </c>
      <c r="G1279" s="138">
        <f>IF(AND($L$250&gt;0,A1279=$C$13),$L$250*($C$15+$C$18),0)+IF(AND($L$250&gt;0,A1279=$C$13),$C$24,0)</f>
        <v/>
      </c>
      <c r="H1279" s="138">
        <f>IF(OR($L$250&lt;=0,A1279&lt;$C$13),0,IF(AND($L$250&gt;0,$C$17&gt;0,A1279&gt;=$C$13,A1279&lt;($C$13+$C$17)),IF($C$17&lt;=0,0,IF($C$16=0,MAX($L$250*(1-$C$15),0)/$C$17,-PMT($C$16/12,$C$17*12,MAX($L$250*(1-$C$15),0))*12)),0)+X1279*($C$19+$C$20+$C$21)+$C$22+$C$23)</f>
        <v/>
      </c>
      <c r="I1279" s="138">
        <f>IF(B1279="Working",MIN(MAX(D1279-E1279-F1279-G1279-H1279,0),'Tax Assumptions'!$B$20),0)</f>
        <v/>
      </c>
      <c r="J1279" s="138">
        <f>IF(B1279="Working",D1279-E1279-F1279-I1279-G1279-H1279,-L1279)</f>
        <v/>
      </c>
      <c r="K1279" s="137">
        <f>IF(B1279="Retired",$N$250+G1279+H1279,0)</f>
        <v/>
      </c>
      <c r="L1279" s="137">
        <f>M1279+N1279+O1279+P1279</f>
        <v/>
      </c>
      <c r="M1279" s="137">
        <f>IF(B1279="Retired",MIN(((Q1278)*(1+$C$10)+IF(B1279="Working",J1279,0)),K1279),0)</f>
        <v/>
      </c>
      <c r="N1279" s="137">
        <f>IF(B1279="Retired",MIN(MAX(K1279-M1279,0),((R1278)*(1+$C$10)+IF(B1279="Working",E90,0))),0)</f>
        <v/>
      </c>
      <c r="O1279" s="137">
        <f>IF(B1279="Retired",MIN(MAX(K1279-M1279-N1279,0),((S1278)*(1+$C$10)+IF(B1279="Working",I1279,0))),0)</f>
        <v/>
      </c>
      <c r="P1279" s="137">
        <f>IF(B1279="Retired",MIN(MAX(K1279-M1279-N1279-O1279,0),((T1278)*(1+$C$10)+IF(B1279="Working",F90,0))),0)</f>
        <v/>
      </c>
      <c r="Q1279" s="138">
        <f>MAX(((Q1278)*(1+$C$10)+IF(B1279="Working",J1279,0))-M1279,0)</f>
        <v/>
      </c>
      <c r="R1279" s="138">
        <f>MAX(((R1278)*(1+$C$10)+IF(B1279="Working",E90,0))-N1279,0)</f>
        <v/>
      </c>
      <c r="S1279" s="138">
        <f>MAX(((S1278)*(1+$C$10)+IF(B1279="Working",I1279,0))-O1279,0)</f>
        <v/>
      </c>
      <c r="T1279" s="138">
        <f>MAX(((T1278)*(1+$C$10)+IF(B1279="Working",F90,0))-P1279,0)</f>
        <v/>
      </c>
      <c r="U1279" s="138">
        <f>Q1279+R1279+S1279+T1279</f>
        <v/>
      </c>
      <c r="V1279" s="138">
        <f>IF(B1279="Working",MAX(-(((Q1278)*(1+$C$10)+IF(B1279="Working",J1279,0))),0),MAX(K1279-L1279,0))</f>
        <v/>
      </c>
      <c r="W1279" s="138">
        <f>IF(OR(A1279&gt;=$C$13,B1279="Retired"),IF(V1279&gt;0,-V1279,U1279-'Model Inputs'!$B$18),"")</f>
        <v/>
      </c>
      <c r="X1279" s="138">
        <f>IF(AND($L$250&gt;0,A1279&gt;=$C$13),$L$250*(1+$C$25)^(A1279-$C$13),0)</f>
        <v/>
      </c>
      <c r="Y1279" s="138">
        <f>IF(OR($L$250&lt;=0,$C$17&lt;=0,A1279&lt;$C$13,MIN(MAX((A1279-$C$13+1)*12,0),$C$17*12)&gt;=$C$17*12),0,IF($C$16=0,MAX(MAX($L$250*(1-$C$15),0)-(IF($C$17&lt;=0,0,IF($C$16=0,MAX($L$250*(1-$C$15),0)/$C$17,-PMT($C$16/12,$C$17*12,MAX($L$250*(1-$C$15),0))*12))/12)*MIN(MAX((A1279-$C$13+1)*12,0),$C$17*12),0),MAX(MAX($L$250*(1-$C$15),0)*(1+$C$16/12)^MIN(MAX((A1279-$C$13+1)*12,0),$C$17*12)-(IF($C$17&lt;=0,0,IF($C$16=0,MAX($L$250*(1-$C$15),0)/$C$17,-PMT($C$16/12,$C$17*12,MAX($L$250*(1-$C$15),0))*12))/12)*(((1+$C$16/12)^MIN(MAX((A1279-$C$13+1)*12,0),$C$17*12)-1)/($C$16/12)),0)))</f>
        <v/>
      </c>
      <c r="Z1279" s="138">
        <f>MAX(X1279-Y1279,0)</f>
        <v/>
      </c>
      <c r="AA1279" s="139">
        <f>U1279+Z1279</f>
        <v/>
      </c>
      <c r="AB1279" s="5" t="n"/>
      <c r="AC1279" s="5" t="n"/>
      <c r="AD1279" s="5" t="n"/>
      <c r="AE1279" s="5" t="n"/>
      <c r="AF1279" s="5" t="n"/>
      <c r="AG1279" s="5" t="n"/>
    </row>
    <row r="1280" outlineLevel="1" s="326">
      <c r="A1280" s="140" t="n">
        <v>12</v>
      </c>
      <c r="B1280" s="40">
        <f>B91</f>
        <v/>
      </c>
      <c r="C1280" s="141">
        <f>D91</f>
        <v/>
      </c>
      <c r="D1280" s="141">
        <f>I91</f>
        <v/>
      </c>
      <c r="E1280" s="141">
        <f>J91</f>
        <v/>
      </c>
      <c r="F1280" s="141">
        <f>K91</f>
        <v/>
      </c>
      <c r="G1280" s="138">
        <f>IF(AND($L$250&gt;0,A1280=$C$13),$L$250*($C$15+$C$18),0)+IF(AND($L$250&gt;0,A1280=$C$13),$C$24,0)</f>
        <v/>
      </c>
      <c r="H1280" s="138">
        <f>IF(OR($L$250&lt;=0,A1280&lt;$C$13),0,IF(AND($L$250&gt;0,$C$17&gt;0,A1280&gt;=$C$13,A1280&lt;($C$13+$C$17)),IF($C$17&lt;=0,0,IF($C$16=0,MAX($L$250*(1-$C$15),0)/$C$17,-PMT($C$16/12,$C$17*12,MAX($L$250*(1-$C$15),0))*12)),0)+X1280*($C$19+$C$20+$C$21)+$C$22+$C$23)</f>
        <v/>
      </c>
      <c r="I1280" s="138">
        <f>IF(B1280="Working",MIN(MAX(D1280-E1280-F1280-G1280-H1280,0),'Tax Assumptions'!$B$20),0)</f>
        <v/>
      </c>
      <c r="J1280" s="138">
        <f>IF(B1280="Working",D1280-E1280-F1280-I1280-G1280-H1280,-L1280)</f>
        <v/>
      </c>
      <c r="K1280" s="141">
        <f>IF(B1280="Retired",$N$250+G1280+H1280,0)</f>
        <v/>
      </c>
      <c r="L1280" s="141">
        <f>M1280+N1280+O1280+P1280</f>
        <v/>
      </c>
      <c r="M1280" s="141">
        <f>IF(B1280="Retired",MIN(((Q1279)*(1+$C$10)+IF(B1280="Working",J1280,0)),K1280),0)</f>
        <v/>
      </c>
      <c r="N1280" s="141">
        <f>IF(B1280="Retired",MIN(MAX(K1280-M1280,0),((R1279)*(1+$C$10)+IF(B1280="Working",E91,0))),0)</f>
        <v/>
      </c>
      <c r="O1280" s="141">
        <f>IF(B1280="Retired",MIN(MAX(K1280-M1280-N1280,0),((S1279)*(1+$C$10)+IF(B1280="Working",I1280,0))),0)</f>
        <v/>
      </c>
      <c r="P1280" s="141">
        <f>IF(B1280="Retired",MIN(MAX(K1280-M1280-N1280-O1280,0),((T1279)*(1+$C$10)+IF(B1280="Working",F91,0))),0)</f>
        <v/>
      </c>
      <c r="Q1280" s="138">
        <f>MAX(((Q1279)*(1+$C$10)+IF(B1280="Working",J1280,0))-M1280,0)</f>
        <v/>
      </c>
      <c r="R1280" s="138">
        <f>MAX(((R1279)*(1+$C$10)+IF(B1280="Working",E91,0))-N1280,0)</f>
        <v/>
      </c>
      <c r="S1280" s="138">
        <f>MAX(((S1279)*(1+$C$10)+IF(B1280="Working",I1280,0))-O1280,0)</f>
        <v/>
      </c>
      <c r="T1280" s="138">
        <f>MAX(((T1279)*(1+$C$10)+IF(B1280="Working",F91,0))-P1280,0)</f>
        <v/>
      </c>
      <c r="U1280" s="138">
        <f>Q1280+R1280+S1280+T1280</f>
        <v/>
      </c>
      <c r="V1280" s="138">
        <f>IF(B1280="Working",MAX(-(((Q1279)*(1+$C$10)+IF(B1280="Working",J1280,0))),0),MAX(K1280-L1280,0))</f>
        <v/>
      </c>
      <c r="W1280" s="138">
        <f>IF(OR(A1280&gt;=$C$13,B1280="Retired"),IF(V1280&gt;0,-V1280,U1280-'Model Inputs'!$B$18),"")</f>
        <v/>
      </c>
      <c r="X1280" s="138">
        <f>IF(AND($L$250&gt;0,A1280&gt;=$C$13),$L$250*(1+$C$25)^(A1280-$C$13),0)</f>
        <v/>
      </c>
      <c r="Y1280" s="138">
        <f>IF(OR($L$250&lt;=0,$C$17&lt;=0,A1280&lt;$C$13,MIN(MAX((A1280-$C$13+1)*12,0),$C$17*12)&gt;=$C$17*12),0,IF($C$16=0,MAX(MAX($L$250*(1-$C$15),0)-(IF($C$17&lt;=0,0,IF($C$16=0,MAX($L$250*(1-$C$15),0)/$C$17,-PMT($C$16/12,$C$17*12,MAX($L$250*(1-$C$15),0))*12))/12)*MIN(MAX((A1280-$C$13+1)*12,0),$C$17*12),0),MAX(MAX($L$250*(1-$C$15),0)*(1+$C$16/12)^MIN(MAX((A1280-$C$13+1)*12,0),$C$17*12)-(IF($C$17&lt;=0,0,IF($C$16=0,MAX($L$250*(1-$C$15),0)/$C$17,-PMT($C$16/12,$C$17*12,MAX($L$250*(1-$C$15),0))*12))/12)*(((1+$C$16/12)^MIN(MAX((A1280-$C$13+1)*12,0),$C$17*12)-1)/($C$16/12)),0)))</f>
        <v/>
      </c>
      <c r="Z1280" s="138">
        <f>MAX(X1280-Y1280,0)</f>
        <v/>
      </c>
      <c r="AA1280" s="142">
        <f>U1280+Z1280</f>
        <v/>
      </c>
      <c r="AB1280" s="5" t="n"/>
      <c r="AC1280" s="5" t="n"/>
      <c r="AD1280" s="5" t="n"/>
      <c r="AE1280" s="5" t="n"/>
      <c r="AF1280" s="5" t="n"/>
      <c r="AG1280" s="5" t="n"/>
    </row>
    <row r="1281" outlineLevel="1" s="326">
      <c r="A1281" s="136" t="n">
        <v>13</v>
      </c>
      <c r="B1281" s="72">
        <f>B92</f>
        <v/>
      </c>
      <c r="C1281" s="137">
        <f>D92</f>
        <v/>
      </c>
      <c r="D1281" s="137">
        <f>I92</f>
        <v/>
      </c>
      <c r="E1281" s="137">
        <f>J92</f>
        <v/>
      </c>
      <c r="F1281" s="137">
        <f>K92</f>
        <v/>
      </c>
      <c r="G1281" s="138">
        <f>IF(AND($L$250&gt;0,A1281=$C$13),$L$250*($C$15+$C$18),0)+IF(AND($L$250&gt;0,A1281=$C$13),$C$24,0)</f>
        <v/>
      </c>
      <c r="H1281" s="138">
        <f>IF(OR($L$250&lt;=0,A1281&lt;$C$13),0,IF(AND($L$250&gt;0,$C$17&gt;0,A1281&gt;=$C$13,A1281&lt;($C$13+$C$17)),IF($C$17&lt;=0,0,IF($C$16=0,MAX($L$250*(1-$C$15),0)/$C$17,-PMT($C$16/12,$C$17*12,MAX($L$250*(1-$C$15),0))*12)),0)+X1281*($C$19+$C$20+$C$21)+$C$22+$C$23)</f>
        <v/>
      </c>
      <c r="I1281" s="138">
        <f>IF(B1281="Working",MIN(MAX(D1281-E1281-F1281-G1281-H1281,0),'Tax Assumptions'!$B$20),0)</f>
        <v/>
      </c>
      <c r="J1281" s="138">
        <f>IF(B1281="Working",D1281-E1281-F1281-I1281-G1281-H1281,-L1281)</f>
        <v/>
      </c>
      <c r="K1281" s="137">
        <f>IF(B1281="Retired",$N$250+G1281+H1281,0)</f>
        <v/>
      </c>
      <c r="L1281" s="137">
        <f>M1281+N1281+O1281+P1281</f>
        <v/>
      </c>
      <c r="M1281" s="137">
        <f>IF(B1281="Retired",MIN(((Q1280)*(1+$C$10)+IF(B1281="Working",J1281,0)),K1281),0)</f>
        <v/>
      </c>
      <c r="N1281" s="137">
        <f>IF(B1281="Retired",MIN(MAX(K1281-M1281,0),((R1280)*(1+$C$10)+IF(B1281="Working",E92,0))),0)</f>
        <v/>
      </c>
      <c r="O1281" s="137">
        <f>IF(B1281="Retired",MIN(MAX(K1281-M1281-N1281,0),((S1280)*(1+$C$10)+IF(B1281="Working",I1281,0))),0)</f>
        <v/>
      </c>
      <c r="P1281" s="137">
        <f>IF(B1281="Retired",MIN(MAX(K1281-M1281-N1281-O1281,0),((T1280)*(1+$C$10)+IF(B1281="Working",F92,0))),0)</f>
        <v/>
      </c>
      <c r="Q1281" s="138">
        <f>MAX(((Q1280)*(1+$C$10)+IF(B1281="Working",J1281,0))-M1281,0)</f>
        <v/>
      </c>
      <c r="R1281" s="138">
        <f>MAX(((R1280)*(1+$C$10)+IF(B1281="Working",E92,0))-N1281,0)</f>
        <v/>
      </c>
      <c r="S1281" s="138">
        <f>MAX(((S1280)*(1+$C$10)+IF(B1281="Working",I1281,0))-O1281,0)</f>
        <v/>
      </c>
      <c r="T1281" s="138">
        <f>MAX(((T1280)*(1+$C$10)+IF(B1281="Working",F92,0))-P1281,0)</f>
        <v/>
      </c>
      <c r="U1281" s="138">
        <f>Q1281+R1281+S1281+T1281</f>
        <v/>
      </c>
      <c r="V1281" s="138">
        <f>IF(B1281="Working",MAX(-(((Q1280)*(1+$C$10)+IF(B1281="Working",J1281,0))),0),MAX(K1281-L1281,0))</f>
        <v/>
      </c>
      <c r="W1281" s="138">
        <f>IF(OR(A1281&gt;=$C$13,B1281="Retired"),IF(V1281&gt;0,-V1281,U1281-'Model Inputs'!$B$18),"")</f>
        <v/>
      </c>
      <c r="X1281" s="138">
        <f>IF(AND($L$250&gt;0,A1281&gt;=$C$13),$L$250*(1+$C$25)^(A1281-$C$13),0)</f>
        <v/>
      </c>
      <c r="Y1281" s="138">
        <f>IF(OR($L$250&lt;=0,$C$17&lt;=0,A1281&lt;$C$13,MIN(MAX((A1281-$C$13+1)*12,0),$C$17*12)&gt;=$C$17*12),0,IF($C$16=0,MAX(MAX($L$250*(1-$C$15),0)-(IF($C$17&lt;=0,0,IF($C$16=0,MAX($L$250*(1-$C$15),0)/$C$17,-PMT($C$16/12,$C$17*12,MAX($L$250*(1-$C$15),0))*12))/12)*MIN(MAX((A1281-$C$13+1)*12,0),$C$17*12),0),MAX(MAX($L$250*(1-$C$15),0)*(1+$C$16/12)^MIN(MAX((A1281-$C$13+1)*12,0),$C$17*12)-(IF($C$17&lt;=0,0,IF($C$16=0,MAX($L$250*(1-$C$15),0)/$C$17,-PMT($C$16/12,$C$17*12,MAX($L$250*(1-$C$15),0))*12))/12)*(((1+$C$16/12)^MIN(MAX((A1281-$C$13+1)*12,0),$C$17*12)-1)/($C$16/12)),0)))</f>
        <v/>
      </c>
      <c r="Z1281" s="138">
        <f>MAX(X1281-Y1281,0)</f>
        <v/>
      </c>
      <c r="AA1281" s="139">
        <f>U1281+Z1281</f>
        <v/>
      </c>
      <c r="AB1281" s="5" t="n"/>
      <c r="AC1281" s="5" t="n"/>
      <c r="AD1281" s="5" t="n"/>
      <c r="AE1281" s="5" t="n"/>
      <c r="AF1281" s="5" t="n"/>
      <c r="AG1281" s="5" t="n"/>
    </row>
    <row r="1282" outlineLevel="1" s="326">
      <c r="A1282" s="140" t="n">
        <v>14</v>
      </c>
      <c r="B1282" s="40">
        <f>B93</f>
        <v/>
      </c>
      <c r="C1282" s="141">
        <f>D93</f>
        <v/>
      </c>
      <c r="D1282" s="141">
        <f>I93</f>
        <v/>
      </c>
      <c r="E1282" s="141">
        <f>J93</f>
        <v/>
      </c>
      <c r="F1282" s="141">
        <f>K93</f>
        <v/>
      </c>
      <c r="G1282" s="138">
        <f>IF(AND($L$250&gt;0,A1282=$C$13),$L$250*($C$15+$C$18),0)+IF(AND($L$250&gt;0,A1282=$C$13),$C$24,0)</f>
        <v/>
      </c>
      <c r="H1282" s="138">
        <f>IF(OR($L$250&lt;=0,A1282&lt;$C$13),0,IF(AND($L$250&gt;0,$C$17&gt;0,A1282&gt;=$C$13,A1282&lt;($C$13+$C$17)),IF($C$17&lt;=0,0,IF($C$16=0,MAX($L$250*(1-$C$15),0)/$C$17,-PMT($C$16/12,$C$17*12,MAX($L$250*(1-$C$15),0))*12)),0)+X1282*($C$19+$C$20+$C$21)+$C$22+$C$23)</f>
        <v/>
      </c>
      <c r="I1282" s="138">
        <f>IF(B1282="Working",MIN(MAX(D1282-E1282-F1282-G1282-H1282,0),'Tax Assumptions'!$B$20),0)</f>
        <v/>
      </c>
      <c r="J1282" s="138">
        <f>IF(B1282="Working",D1282-E1282-F1282-I1282-G1282-H1282,-L1282)</f>
        <v/>
      </c>
      <c r="K1282" s="141">
        <f>IF(B1282="Retired",$N$250+G1282+H1282,0)</f>
        <v/>
      </c>
      <c r="L1282" s="141">
        <f>M1282+N1282+O1282+P1282</f>
        <v/>
      </c>
      <c r="M1282" s="141">
        <f>IF(B1282="Retired",MIN(((Q1281)*(1+$C$10)+IF(B1282="Working",J1282,0)),K1282),0)</f>
        <v/>
      </c>
      <c r="N1282" s="141">
        <f>IF(B1282="Retired",MIN(MAX(K1282-M1282,0),((R1281)*(1+$C$10)+IF(B1282="Working",E93,0))),0)</f>
        <v/>
      </c>
      <c r="O1282" s="141">
        <f>IF(B1282="Retired",MIN(MAX(K1282-M1282-N1282,0),((S1281)*(1+$C$10)+IF(B1282="Working",I1282,0))),0)</f>
        <v/>
      </c>
      <c r="P1282" s="141">
        <f>IF(B1282="Retired",MIN(MAX(K1282-M1282-N1282-O1282,0),((T1281)*(1+$C$10)+IF(B1282="Working",F93,0))),0)</f>
        <v/>
      </c>
      <c r="Q1282" s="138">
        <f>MAX(((Q1281)*(1+$C$10)+IF(B1282="Working",J1282,0))-M1282,0)</f>
        <v/>
      </c>
      <c r="R1282" s="138">
        <f>MAX(((R1281)*(1+$C$10)+IF(B1282="Working",E93,0))-N1282,0)</f>
        <v/>
      </c>
      <c r="S1282" s="138">
        <f>MAX(((S1281)*(1+$C$10)+IF(B1282="Working",I1282,0))-O1282,0)</f>
        <v/>
      </c>
      <c r="T1282" s="138">
        <f>MAX(((T1281)*(1+$C$10)+IF(B1282="Working",F93,0))-P1282,0)</f>
        <v/>
      </c>
      <c r="U1282" s="138">
        <f>Q1282+R1282+S1282+T1282</f>
        <v/>
      </c>
      <c r="V1282" s="138">
        <f>IF(B1282="Working",MAX(-(((Q1281)*(1+$C$10)+IF(B1282="Working",J1282,0))),0),MAX(K1282-L1282,0))</f>
        <v/>
      </c>
      <c r="W1282" s="138">
        <f>IF(OR(A1282&gt;=$C$13,B1282="Retired"),IF(V1282&gt;0,-V1282,U1282-'Model Inputs'!$B$18),"")</f>
        <v/>
      </c>
      <c r="X1282" s="138">
        <f>IF(AND($L$250&gt;0,A1282&gt;=$C$13),$L$250*(1+$C$25)^(A1282-$C$13),0)</f>
        <v/>
      </c>
      <c r="Y1282" s="138">
        <f>IF(OR($L$250&lt;=0,$C$17&lt;=0,A1282&lt;$C$13,MIN(MAX((A1282-$C$13+1)*12,0),$C$17*12)&gt;=$C$17*12),0,IF($C$16=0,MAX(MAX($L$250*(1-$C$15),0)-(IF($C$17&lt;=0,0,IF($C$16=0,MAX($L$250*(1-$C$15),0)/$C$17,-PMT($C$16/12,$C$17*12,MAX($L$250*(1-$C$15),0))*12))/12)*MIN(MAX((A1282-$C$13+1)*12,0),$C$17*12),0),MAX(MAX($L$250*(1-$C$15),0)*(1+$C$16/12)^MIN(MAX((A1282-$C$13+1)*12,0),$C$17*12)-(IF($C$17&lt;=0,0,IF($C$16=0,MAX($L$250*(1-$C$15),0)/$C$17,-PMT($C$16/12,$C$17*12,MAX($L$250*(1-$C$15),0))*12))/12)*(((1+$C$16/12)^MIN(MAX((A1282-$C$13+1)*12,0),$C$17*12)-1)/($C$16/12)),0)))</f>
        <v/>
      </c>
      <c r="Z1282" s="138">
        <f>MAX(X1282-Y1282,0)</f>
        <v/>
      </c>
      <c r="AA1282" s="142">
        <f>U1282+Z1282</f>
        <v/>
      </c>
      <c r="AB1282" s="5" t="n"/>
      <c r="AC1282" s="5" t="n"/>
      <c r="AD1282" s="5" t="n"/>
      <c r="AE1282" s="5" t="n"/>
      <c r="AF1282" s="5" t="n"/>
      <c r="AG1282" s="5" t="n"/>
    </row>
    <row r="1283" outlineLevel="1" s="326">
      <c r="A1283" s="136" t="n">
        <v>15</v>
      </c>
      <c r="B1283" s="72">
        <f>B94</f>
        <v/>
      </c>
      <c r="C1283" s="137">
        <f>D94</f>
        <v/>
      </c>
      <c r="D1283" s="137">
        <f>I94</f>
        <v/>
      </c>
      <c r="E1283" s="137">
        <f>J94</f>
        <v/>
      </c>
      <c r="F1283" s="137">
        <f>K94</f>
        <v/>
      </c>
      <c r="G1283" s="138">
        <f>IF(AND($L$250&gt;0,A1283=$C$13),$L$250*($C$15+$C$18),0)+IF(AND($L$250&gt;0,A1283=$C$13),$C$24,0)</f>
        <v/>
      </c>
      <c r="H1283" s="138">
        <f>IF(OR($L$250&lt;=0,A1283&lt;$C$13),0,IF(AND($L$250&gt;0,$C$17&gt;0,A1283&gt;=$C$13,A1283&lt;($C$13+$C$17)),IF($C$17&lt;=0,0,IF($C$16=0,MAX($L$250*(1-$C$15),0)/$C$17,-PMT($C$16/12,$C$17*12,MAX($L$250*(1-$C$15),0))*12)),0)+X1283*($C$19+$C$20+$C$21)+$C$22+$C$23)</f>
        <v/>
      </c>
      <c r="I1283" s="138">
        <f>IF(B1283="Working",MIN(MAX(D1283-E1283-F1283-G1283-H1283,0),'Tax Assumptions'!$B$20),0)</f>
        <v/>
      </c>
      <c r="J1283" s="138">
        <f>IF(B1283="Working",D1283-E1283-F1283-I1283-G1283-H1283,-L1283)</f>
        <v/>
      </c>
      <c r="K1283" s="137">
        <f>IF(B1283="Retired",$N$250+G1283+H1283,0)</f>
        <v/>
      </c>
      <c r="L1283" s="137">
        <f>M1283+N1283+O1283+P1283</f>
        <v/>
      </c>
      <c r="M1283" s="137">
        <f>IF(B1283="Retired",MIN(((Q1282)*(1+$C$10)+IF(B1283="Working",J1283,0)),K1283),0)</f>
        <v/>
      </c>
      <c r="N1283" s="137">
        <f>IF(B1283="Retired",MIN(MAX(K1283-M1283,0),((R1282)*(1+$C$10)+IF(B1283="Working",E94,0))),0)</f>
        <v/>
      </c>
      <c r="O1283" s="137">
        <f>IF(B1283="Retired",MIN(MAX(K1283-M1283-N1283,0),((S1282)*(1+$C$10)+IF(B1283="Working",I1283,0))),0)</f>
        <v/>
      </c>
      <c r="P1283" s="137">
        <f>IF(B1283="Retired",MIN(MAX(K1283-M1283-N1283-O1283,0),((T1282)*(1+$C$10)+IF(B1283="Working",F94,0))),0)</f>
        <v/>
      </c>
      <c r="Q1283" s="138">
        <f>MAX(((Q1282)*(1+$C$10)+IF(B1283="Working",J1283,0))-M1283,0)</f>
        <v/>
      </c>
      <c r="R1283" s="138">
        <f>MAX(((R1282)*(1+$C$10)+IF(B1283="Working",E94,0))-N1283,0)</f>
        <v/>
      </c>
      <c r="S1283" s="138">
        <f>MAX(((S1282)*(1+$C$10)+IF(B1283="Working",I1283,0))-O1283,0)</f>
        <v/>
      </c>
      <c r="T1283" s="138">
        <f>MAX(((T1282)*(1+$C$10)+IF(B1283="Working",F94,0))-P1283,0)</f>
        <v/>
      </c>
      <c r="U1283" s="138">
        <f>Q1283+R1283+S1283+T1283</f>
        <v/>
      </c>
      <c r="V1283" s="138">
        <f>IF(B1283="Working",MAX(-(((Q1282)*(1+$C$10)+IF(B1283="Working",J1283,0))),0),MAX(K1283-L1283,0))</f>
        <v/>
      </c>
      <c r="W1283" s="138">
        <f>IF(OR(A1283&gt;=$C$13,B1283="Retired"),IF(V1283&gt;0,-V1283,U1283-'Model Inputs'!$B$18),"")</f>
        <v/>
      </c>
      <c r="X1283" s="138">
        <f>IF(AND($L$250&gt;0,A1283&gt;=$C$13),$L$250*(1+$C$25)^(A1283-$C$13),0)</f>
        <v/>
      </c>
      <c r="Y1283" s="138">
        <f>IF(OR($L$250&lt;=0,$C$17&lt;=0,A1283&lt;$C$13,MIN(MAX((A1283-$C$13+1)*12,0),$C$17*12)&gt;=$C$17*12),0,IF($C$16=0,MAX(MAX($L$250*(1-$C$15),0)-(IF($C$17&lt;=0,0,IF($C$16=0,MAX($L$250*(1-$C$15),0)/$C$17,-PMT($C$16/12,$C$17*12,MAX($L$250*(1-$C$15),0))*12))/12)*MIN(MAX((A1283-$C$13+1)*12,0),$C$17*12),0),MAX(MAX($L$250*(1-$C$15),0)*(1+$C$16/12)^MIN(MAX((A1283-$C$13+1)*12,0),$C$17*12)-(IF($C$17&lt;=0,0,IF($C$16=0,MAX($L$250*(1-$C$15),0)/$C$17,-PMT($C$16/12,$C$17*12,MAX($L$250*(1-$C$15),0))*12))/12)*(((1+$C$16/12)^MIN(MAX((A1283-$C$13+1)*12,0),$C$17*12)-1)/($C$16/12)),0)))</f>
        <v/>
      </c>
      <c r="Z1283" s="138">
        <f>MAX(X1283-Y1283,0)</f>
        <v/>
      </c>
      <c r="AA1283" s="139">
        <f>U1283+Z1283</f>
        <v/>
      </c>
      <c r="AB1283" s="5" t="n"/>
      <c r="AC1283" s="5" t="n"/>
      <c r="AD1283" s="5" t="n"/>
      <c r="AE1283" s="5" t="n"/>
      <c r="AF1283" s="5" t="n"/>
      <c r="AG1283" s="5" t="n"/>
    </row>
    <row r="1284" outlineLevel="1" s="326">
      <c r="A1284" s="140" t="n">
        <v>16</v>
      </c>
      <c r="B1284" s="40">
        <f>B95</f>
        <v/>
      </c>
      <c r="C1284" s="141">
        <f>D95</f>
        <v/>
      </c>
      <c r="D1284" s="141">
        <f>I95</f>
        <v/>
      </c>
      <c r="E1284" s="141">
        <f>J95</f>
        <v/>
      </c>
      <c r="F1284" s="141">
        <f>K95</f>
        <v/>
      </c>
      <c r="G1284" s="138">
        <f>IF(AND($L$250&gt;0,A1284=$C$13),$L$250*($C$15+$C$18),0)+IF(AND($L$250&gt;0,A1284=$C$13),$C$24,0)</f>
        <v/>
      </c>
      <c r="H1284" s="138">
        <f>IF(OR($L$250&lt;=0,A1284&lt;$C$13),0,IF(AND($L$250&gt;0,$C$17&gt;0,A1284&gt;=$C$13,A1284&lt;($C$13+$C$17)),IF($C$17&lt;=0,0,IF($C$16=0,MAX($L$250*(1-$C$15),0)/$C$17,-PMT($C$16/12,$C$17*12,MAX($L$250*(1-$C$15),0))*12)),0)+X1284*($C$19+$C$20+$C$21)+$C$22+$C$23)</f>
        <v/>
      </c>
      <c r="I1284" s="138">
        <f>IF(B1284="Working",MIN(MAX(D1284-E1284-F1284-G1284-H1284,0),'Tax Assumptions'!$B$20),0)</f>
        <v/>
      </c>
      <c r="J1284" s="138">
        <f>IF(B1284="Working",D1284-E1284-F1284-I1284-G1284-H1284,-L1284)</f>
        <v/>
      </c>
      <c r="K1284" s="141">
        <f>IF(B1284="Retired",$N$250+G1284+H1284,0)</f>
        <v/>
      </c>
      <c r="L1284" s="141">
        <f>M1284+N1284+O1284+P1284</f>
        <v/>
      </c>
      <c r="M1284" s="141">
        <f>IF(B1284="Retired",MIN(((Q1283)*(1+$C$10)+IF(B1284="Working",J1284,0)),K1284),0)</f>
        <v/>
      </c>
      <c r="N1284" s="141">
        <f>IF(B1284="Retired",MIN(MAX(K1284-M1284,0),((R1283)*(1+$C$10)+IF(B1284="Working",E95,0))),0)</f>
        <v/>
      </c>
      <c r="O1284" s="141">
        <f>IF(B1284="Retired",MIN(MAX(K1284-M1284-N1284,0),((S1283)*(1+$C$10)+IF(B1284="Working",I1284,0))),0)</f>
        <v/>
      </c>
      <c r="P1284" s="141">
        <f>IF(B1284="Retired",MIN(MAX(K1284-M1284-N1284-O1284,0),((T1283)*(1+$C$10)+IF(B1284="Working",F95,0))),0)</f>
        <v/>
      </c>
      <c r="Q1284" s="138">
        <f>MAX(((Q1283)*(1+$C$10)+IF(B1284="Working",J1284,0))-M1284,0)</f>
        <v/>
      </c>
      <c r="R1284" s="138">
        <f>MAX(((R1283)*(1+$C$10)+IF(B1284="Working",E95,0))-N1284,0)</f>
        <v/>
      </c>
      <c r="S1284" s="138">
        <f>MAX(((S1283)*(1+$C$10)+IF(B1284="Working",I1284,0))-O1284,0)</f>
        <v/>
      </c>
      <c r="T1284" s="138">
        <f>MAX(((T1283)*(1+$C$10)+IF(B1284="Working",F95,0))-P1284,0)</f>
        <v/>
      </c>
      <c r="U1284" s="138">
        <f>Q1284+R1284+S1284+T1284</f>
        <v/>
      </c>
      <c r="V1284" s="138">
        <f>IF(B1284="Working",MAX(-(((Q1283)*(1+$C$10)+IF(B1284="Working",J1284,0))),0),MAX(K1284-L1284,0))</f>
        <v/>
      </c>
      <c r="W1284" s="138">
        <f>IF(OR(A1284&gt;=$C$13,B1284="Retired"),IF(V1284&gt;0,-V1284,U1284-'Model Inputs'!$B$18),"")</f>
        <v/>
      </c>
      <c r="X1284" s="138">
        <f>IF(AND($L$250&gt;0,A1284&gt;=$C$13),$L$250*(1+$C$25)^(A1284-$C$13),0)</f>
        <v/>
      </c>
      <c r="Y1284" s="138">
        <f>IF(OR($L$250&lt;=0,$C$17&lt;=0,A1284&lt;$C$13,MIN(MAX((A1284-$C$13+1)*12,0),$C$17*12)&gt;=$C$17*12),0,IF($C$16=0,MAX(MAX($L$250*(1-$C$15),0)-(IF($C$17&lt;=0,0,IF($C$16=0,MAX($L$250*(1-$C$15),0)/$C$17,-PMT($C$16/12,$C$17*12,MAX($L$250*(1-$C$15),0))*12))/12)*MIN(MAX((A1284-$C$13+1)*12,0),$C$17*12),0),MAX(MAX($L$250*(1-$C$15),0)*(1+$C$16/12)^MIN(MAX((A1284-$C$13+1)*12,0),$C$17*12)-(IF($C$17&lt;=0,0,IF($C$16=0,MAX($L$250*(1-$C$15),0)/$C$17,-PMT($C$16/12,$C$17*12,MAX($L$250*(1-$C$15),0))*12))/12)*(((1+$C$16/12)^MIN(MAX((A1284-$C$13+1)*12,0),$C$17*12)-1)/($C$16/12)),0)))</f>
        <v/>
      </c>
      <c r="Z1284" s="138">
        <f>MAX(X1284-Y1284,0)</f>
        <v/>
      </c>
      <c r="AA1284" s="142">
        <f>U1284+Z1284</f>
        <v/>
      </c>
      <c r="AB1284" s="5" t="n"/>
      <c r="AC1284" s="5" t="n"/>
      <c r="AD1284" s="5" t="n"/>
      <c r="AE1284" s="5" t="n"/>
      <c r="AF1284" s="5" t="n"/>
      <c r="AG1284" s="5" t="n"/>
    </row>
    <row r="1285" outlineLevel="1" s="326">
      <c r="A1285" s="136" t="n">
        <v>17</v>
      </c>
      <c r="B1285" s="72">
        <f>B96</f>
        <v/>
      </c>
      <c r="C1285" s="137">
        <f>D96</f>
        <v/>
      </c>
      <c r="D1285" s="137">
        <f>I96</f>
        <v/>
      </c>
      <c r="E1285" s="137">
        <f>J96</f>
        <v/>
      </c>
      <c r="F1285" s="137">
        <f>K96</f>
        <v/>
      </c>
      <c r="G1285" s="138">
        <f>IF(AND($L$250&gt;0,A1285=$C$13),$L$250*($C$15+$C$18),0)+IF(AND($L$250&gt;0,A1285=$C$13),$C$24,0)</f>
        <v/>
      </c>
      <c r="H1285" s="138">
        <f>IF(OR($L$250&lt;=0,A1285&lt;$C$13),0,IF(AND($L$250&gt;0,$C$17&gt;0,A1285&gt;=$C$13,A1285&lt;($C$13+$C$17)),IF($C$17&lt;=0,0,IF($C$16=0,MAX($L$250*(1-$C$15),0)/$C$17,-PMT($C$16/12,$C$17*12,MAX($L$250*(1-$C$15),0))*12)),0)+X1285*($C$19+$C$20+$C$21)+$C$22+$C$23)</f>
        <v/>
      </c>
      <c r="I1285" s="138">
        <f>IF(B1285="Working",MIN(MAX(D1285-E1285-F1285-G1285-H1285,0),'Tax Assumptions'!$B$20),0)</f>
        <v/>
      </c>
      <c r="J1285" s="138">
        <f>IF(B1285="Working",D1285-E1285-F1285-I1285-G1285-H1285,-L1285)</f>
        <v/>
      </c>
      <c r="K1285" s="137">
        <f>IF(B1285="Retired",$N$250+G1285+H1285,0)</f>
        <v/>
      </c>
      <c r="L1285" s="137">
        <f>M1285+N1285+O1285+P1285</f>
        <v/>
      </c>
      <c r="M1285" s="137">
        <f>IF(B1285="Retired",MIN(((Q1284)*(1+$C$10)+IF(B1285="Working",J1285,0)),K1285),0)</f>
        <v/>
      </c>
      <c r="N1285" s="137">
        <f>IF(B1285="Retired",MIN(MAX(K1285-M1285,0),((R1284)*(1+$C$10)+IF(B1285="Working",E96,0))),0)</f>
        <v/>
      </c>
      <c r="O1285" s="137">
        <f>IF(B1285="Retired",MIN(MAX(K1285-M1285-N1285,0),((S1284)*(1+$C$10)+IF(B1285="Working",I1285,0))),0)</f>
        <v/>
      </c>
      <c r="P1285" s="137">
        <f>IF(B1285="Retired",MIN(MAX(K1285-M1285-N1285-O1285,0),((T1284)*(1+$C$10)+IF(B1285="Working",F96,0))),0)</f>
        <v/>
      </c>
      <c r="Q1285" s="138">
        <f>MAX(((Q1284)*(1+$C$10)+IF(B1285="Working",J1285,0))-M1285,0)</f>
        <v/>
      </c>
      <c r="R1285" s="138">
        <f>MAX(((R1284)*(1+$C$10)+IF(B1285="Working",E96,0))-N1285,0)</f>
        <v/>
      </c>
      <c r="S1285" s="138">
        <f>MAX(((S1284)*(1+$C$10)+IF(B1285="Working",I1285,0))-O1285,0)</f>
        <v/>
      </c>
      <c r="T1285" s="138">
        <f>MAX(((T1284)*(1+$C$10)+IF(B1285="Working",F96,0))-P1285,0)</f>
        <v/>
      </c>
      <c r="U1285" s="138">
        <f>Q1285+R1285+S1285+T1285</f>
        <v/>
      </c>
      <c r="V1285" s="138">
        <f>IF(B1285="Working",MAX(-(((Q1284)*(1+$C$10)+IF(B1285="Working",J1285,0))),0),MAX(K1285-L1285,0))</f>
        <v/>
      </c>
      <c r="W1285" s="138">
        <f>IF(OR(A1285&gt;=$C$13,B1285="Retired"),IF(V1285&gt;0,-V1285,U1285-'Model Inputs'!$B$18),"")</f>
        <v/>
      </c>
      <c r="X1285" s="138">
        <f>IF(AND($L$250&gt;0,A1285&gt;=$C$13),$L$250*(1+$C$25)^(A1285-$C$13),0)</f>
        <v/>
      </c>
      <c r="Y1285" s="138">
        <f>IF(OR($L$250&lt;=0,$C$17&lt;=0,A1285&lt;$C$13,MIN(MAX((A1285-$C$13+1)*12,0),$C$17*12)&gt;=$C$17*12),0,IF($C$16=0,MAX(MAX($L$250*(1-$C$15),0)-(IF($C$17&lt;=0,0,IF($C$16=0,MAX($L$250*(1-$C$15),0)/$C$17,-PMT($C$16/12,$C$17*12,MAX($L$250*(1-$C$15),0))*12))/12)*MIN(MAX((A1285-$C$13+1)*12,0),$C$17*12),0),MAX(MAX($L$250*(1-$C$15),0)*(1+$C$16/12)^MIN(MAX((A1285-$C$13+1)*12,0),$C$17*12)-(IF($C$17&lt;=0,0,IF($C$16=0,MAX($L$250*(1-$C$15),0)/$C$17,-PMT($C$16/12,$C$17*12,MAX($L$250*(1-$C$15),0))*12))/12)*(((1+$C$16/12)^MIN(MAX((A1285-$C$13+1)*12,0),$C$17*12)-1)/($C$16/12)),0)))</f>
        <v/>
      </c>
      <c r="Z1285" s="138">
        <f>MAX(X1285-Y1285,0)</f>
        <v/>
      </c>
      <c r="AA1285" s="139">
        <f>U1285+Z1285</f>
        <v/>
      </c>
      <c r="AB1285" s="5" t="n"/>
      <c r="AC1285" s="5" t="n"/>
      <c r="AD1285" s="5" t="n"/>
      <c r="AE1285" s="5" t="n"/>
      <c r="AF1285" s="5" t="n"/>
      <c r="AG1285" s="5" t="n"/>
    </row>
    <row r="1286" outlineLevel="1" s="326">
      <c r="A1286" s="140" t="n">
        <v>18</v>
      </c>
      <c r="B1286" s="40">
        <f>B97</f>
        <v/>
      </c>
      <c r="C1286" s="141">
        <f>D97</f>
        <v/>
      </c>
      <c r="D1286" s="141">
        <f>I97</f>
        <v/>
      </c>
      <c r="E1286" s="141">
        <f>J97</f>
        <v/>
      </c>
      <c r="F1286" s="141">
        <f>K97</f>
        <v/>
      </c>
      <c r="G1286" s="138">
        <f>IF(AND($L$250&gt;0,A1286=$C$13),$L$250*($C$15+$C$18),0)+IF(AND($L$250&gt;0,A1286=$C$13),$C$24,0)</f>
        <v/>
      </c>
      <c r="H1286" s="138">
        <f>IF(OR($L$250&lt;=0,A1286&lt;$C$13),0,IF(AND($L$250&gt;0,$C$17&gt;0,A1286&gt;=$C$13,A1286&lt;($C$13+$C$17)),IF($C$17&lt;=0,0,IF($C$16=0,MAX($L$250*(1-$C$15),0)/$C$17,-PMT($C$16/12,$C$17*12,MAX($L$250*(1-$C$15),0))*12)),0)+X1286*($C$19+$C$20+$C$21)+$C$22+$C$23)</f>
        <v/>
      </c>
      <c r="I1286" s="138">
        <f>IF(B1286="Working",MIN(MAX(D1286-E1286-F1286-G1286-H1286,0),'Tax Assumptions'!$B$20),0)</f>
        <v/>
      </c>
      <c r="J1286" s="138">
        <f>IF(B1286="Working",D1286-E1286-F1286-I1286-G1286-H1286,-L1286)</f>
        <v/>
      </c>
      <c r="K1286" s="141">
        <f>IF(B1286="Retired",$N$250+G1286+H1286,0)</f>
        <v/>
      </c>
      <c r="L1286" s="141">
        <f>M1286+N1286+O1286+P1286</f>
        <v/>
      </c>
      <c r="M1286" s="141">
        <f>IF(B1286="Retired",MIN(((Q1285)*(1+$C$10)+IF(B1286="Working",J1286,0)),K1286),0)</f>
        <v/>
      </c>
      <c r="N1286" s="141">
        <f>IF(B1286="Retired",MIN(MAX(K1286-M1286,0),((R1285)*(1+$C$10)+IF(B1286="Working",E97,0))),0)</f>
        <v/>
      </c>
      <c r="O1286" s="141">
        <f>IF(B1286="Retired",MIN(MAX(K1286-M1286-N1286,0),((S1285)*(1+$C$10)+IF(B1286="Working",I1286,0))),0)</f>
        <v/>
      </c>
      <c r="P1286" s="141">
        <f>IF(B1286="Retired",MIN(MAX(K1286-M1286-N1286-O1286,0),((T1285)*(1+$C$10)+IF(B1286="Working",F97,0))),0)</f>
        <v/>
      </c>
      <c r="Q1286" s="138">
        <f>MAX(((Q1285)*(1+$C$10)+IF(B1286="Working",J1286,0))-M1286,0)</f>
        <v/>
      </c>
      <c r="R1286" s="138">
        <f>MAX(((R1285)*(1+$C$10)+IF(B1286="Working",E97,0))-N1286,0)</f>
        <v/>
      </c>
      <c r="S1286" s="138">
        <f>MAX(((S1285)*(1+$C$10)+IF(B1286="Working",I1286,0))-O1286,0)</f>
        <v/>
      </c>
      <c r="T1286" s="138">
        <f>MAX(((T1285)*(1+$C$10)+IF(B1286="Working",F97,0))-P1286,0)</f>
        <v/>
      </c>
      <c r="U1286" s="138">
        <f>Q1286+R1286+S1286+T1286</f>
        <v/>
      </c>
      <c r="V1286" s="138">
        <f>IF(B1286="Working",MAX(-(((Q1285)*(1+$C$10)+IF(B1286="Working",J1286,0))),0),MAX(K1286-L1286,0))</f>
        <v/>
      </c>
      <c r="W1286" s="138">
        <f>IF(OR(A1286&gt;=$C$13,B1286="Retired"),IF(V1286&gt;0,-V1286,U1286-'Model Inputs'!$B$18),"")</f>
        <v/>
      </c>
      <c r="X1286" s="138">
        <f>IF(AND($L$250&gt;0,A1286&gt;=$C$13),$L$250*(1+$C$25)^(A1286-$C$13),0)</f>
        <v/>
      </c>
      <c r="Y1286" s="138">
        <f>IF(OR($L$250&lt;=0,$C$17&lt;=0,A1286&lt;$C$13,MIN(MAX((A1286-$C$13+1)*12,0),$C$17*12)&gt;=$C$17*12),0,IF($C$16=0,MAX(MAX($L$250*(1-$C$15),0)-(IF($C$17&lt;=0,0,IF($C$16=0,MAX($L$250*(1-$C$15),0)/$C$17,-PMT($C$16/12,$C$17*12,MAX($L$250*(1-$C$15),0))*12))/12)*MIN(MAX((A1286-$C$13+1)*12,0),$C$17*12),0),MAX(MAX($L$250*(1-$C$15),0)*(1+$C$16/12)^MIN(MAX((A1286-$C$13+1)*12,0),$C$17*12)-(IF($C$17&lt;=0,0,IF($C$16=0,MAX($L$250*(1-$C$15),0)/$C$17,-PMT($C$16/12,$C$17*12,MAX($L$250*(1-$C$15),0))*12))/12)*(((1+$C$16/12)^MIN(MAX((A1286-$C$13+1)*12,0),$C$17*12)-1)/($C$16/12)),0)))</f>
        <v/>
      </c>
      <c r="Z1286" s="138">
        <f>MAX(X1286-Y1286,0)</f>
        <v/>
      </c>
      <c r="AA1286" s="142">
        <f>U1286+Z1286</f>
        <v/>
      </c>
      <c r="AB1286" s="5" t="n"/>
      <c r="AC1286" s="5" t="n"/>
      <c r="AD1286" s="5" t="n"/>
      <c r="AE1286" s="5" t="n"/>
      <c r="AF1286" s="5" t="n"/>
      <c r="AG1286" s="5" t="n"/>
    </row>
    <row r="1287" outlineLevel="1" s="326">
      <c r="A1287" s="136" t="n">
        <v>19</v>
      </c>
      <c r="B1287" s="72">
        <f>B98</f>
        <v/>
      </c>
      <c r="C1287" s="137">
        <f>D98</f>
        <v/>
      </c>
      <c r="D1287" s="137">
        <f>I98</f>
        <v/>
      </c>
      <c r="E1287" s="137">
        <f>J98</f>
        <v/>
      </c>
      <c r="F1287" s="137">
        <f>K98</f>
        <v/>
      </c>
      <c r="G1287" s="138">
        <f>IF(AND($L$250&gt;0,A1287=$C$13),$L$250*($C$15+$C$18),0)+IF(AND($L$250&gt;0,A1287=$C$13),$C$24,0)</f>
        <v/>
      </c>
      <c r="H1287" s="138">
        <f>IF(OR($L$250&lt;=0,A1287&lt;$C$13),0,IF(AND($L$250&gt;0,$C$17&gt;0,A1287&gt;=$C$13,A1287&lt;($C$13+$C$17)),IF($C$17&lt;=0,0,IF($C$16=0,MAX($L$250*(1-$C$15),0)/$C$17,-PMT($C$16/12,$C$17*12,MAX($L$250*(1-$C$15),0))*12)),0)+X1287*($C$19+$C$20+$C$21)+$C$22+$C$23)</f>
        <v/>
      </c>
      <c r="I1287" s="138">
        <f>IF(B1287="Working",MIN(MAX(D1287-E1287-F1287-G1287-H1287,0),'Tax Assumptions'!$B$20),0)</f>
        <v/>
      </c>
      <c r="J1287" s="138">
        <f>IF(B1287="Working",D1287-E1287-F1287-I1287-G1287-H1287,-L1287)</f>
        <v/>
      </c>
      <c r="K1287" s="137">
        <f>IF(B1287="Retired",$N$250+G1287+H1287,0)</f>
        <v/>
      </c>
      <c r="L1287" s="137">
        <f>M1287+N1287+O1287+P1287</f>
        <v/>
      </c>
      <c r="M1287" s="137">
        <f>IF(B1287="Retired",MIN(((Q1286)*(1+$C$10)+IF(B1287="Working",J1287,0)),K1287),0)</f>
        <v/>
      </c>
      <c r="N1287" s="137">
        <f>IF(B1287="Retired",MIN(MAX(K1287-M1287,0),((R1286)*(1+$C$10)+IF(B1287="Working",E98,0))),0)</f>
        <v/>
      </c>
      <c r="O1287" s="137">
        <f>IF(B1287="Retired",MIN(MAX(K1287-M1287-N1287,0),((S1286)*(1+$C$10)+IF(B1287="Working",I1287,0))),0)</f>
        <v/>
      </c>
      <c r="P1287" s="137">
        <f>IF(B1287="Retired",MIN(MAX(K1287-M1287-N1287-O1287,0),((T1286)*(1+$C$10)+IF(B1287="Working",F98,0))),0)</f>
        <v/>
      </c>
      <c r="Q1287" s="138">
        <f>MAX(((Q1286)*(1+$C$10)+IF(B1287="Working",J1287,0))-M1287,0)</f>
        <v/>
      </c>
      <c r="R1287" s="138">
        <f>MAX(((R1286)*(1+$C$10)+IF(B1287="Working",E98,0))-N1287,0)</f>
        <v/>
      </c>
      <c r="S1287" s="138">
        <f>MAX(((S1286)*(1+$C$10)+IF(B1287="Working",I1287,0))-O1287,0)</f>
        <v/>
      </c>
      <c r="T1287" s="138">
        <f>MAX(((T1286)*(1+$C$10)+IF(B1287="Working",F98,0))-P1287,0)</f>
        <v/>
      </c>
      <c r="U1287" s="138">
        <f>Q1287+R1287+S1287+T1287</f>
        <v/>
      </c>
      <c r="V1287" s="138">
        <f>IF(B1287="Working",MAX(-(((Q1286)*(1+$C$10)+IF(B1287="Working",J1287,0))),0),MAX(K1287-L1287,0))</f>
        <v/>
      </c>
      <c r="W1287" s="138">
        <f>IF(OR(A1287&gt;=$C$13,B1287="Retired"),IF(V1287&gt;0,-V1287,U1287-'Model Inputs'!$B$18),"")</f>
        <v/>
      </c>
      <c r="X1287" s="138">
        <f>IF(AND($L$250&gt;0,A1287&gt;=$C$13),$L$250*(1+$C$25)^(A1287-$C$13),0)</f>
        <v/>
      </c>
      <c r="Y1287" s="138">
        <f>IF(OR($L$250&lt;=0,$C$17&lt;=0,A1287&lt;$C$13,MIN(MAX((A1287-$C$13+1)*12,0),$C$17*12)&gt;=$C$17*12),0,IF($C$16=0,MAX(MAX($L$250*(1-$C$15),0)-(IF($C$17&lt;=0,0,IF($C$16=0,MAX($L$250*(1-$C$15),0)/$C$17,-PMT($C$16/12,$C$17*12,MAX($L$250*(1-$C$15),0))*12))/12)*MIN(MAX((A1287-$C$13+1)*12,0),$C$17*12),0),MAX(MAX($L$250*(1-$C$15),0)*(1+$C$16/12)^MIN(MAX((A1287-$C$13+1)*12,0),$C$17*12)-(IF($C$17&lt;=0,0,IF($C$16=0,MAX($L$250*(1-$C$15),0)/$C$17,-PMT($C$16/12,$C$17*12,MAX($L$250*(1-$C$15),0))*12))/12)*(((1+$C$16/12)^MIN(MAX((A1287-$C$13+1)*12,0),$C$17*12)-1)/($C$16/12)),0)))</f>
        <v/>
      </c>
      <c r="Z1287" s="138">
        <f>MAX(X1287-Y1287,0)</f>
        <v/>
      </c>
      <c r="AA1287" s="139">
        <f>U1287+Z1287</f>
        <v/>
      </c>
      <c r="AB1287" s="5" t="n"/>
      <c r="AC1287" s="5" t="n"/>
      <c r="AD1287" s="5" t="n"/>
      <c r="AE1287" s="5" t="n"/>
      <c r="AF1287" s="5" t="n"/>
      <c r="AG1287" s="5" t="n"/>
    </row>
    <row r="1288" outlineLevel="1" s="326">
      <c r="A1288" s="140" t="n">
        <v>20</v>
      </c>
      <c r="B1288" s="40">
        <f>B99</f>
        <v/>
      </c>
      <c r="C1288" s="141">
        <f>D99</f>
        <v/>
      </c>
      <c r="D1288" s="141">
        <f>I99</f>
        <v/>
      </c>
      <c r="E1288" s="141">
        <f>J99</f>
        <v/>
      </c>
      <c r="F1288" s="141">
        <f>K99</f>
        <v/>
      </c>
      <c r="G1288" s="138">
        <f>IF(AND($L$250&gt;0,A1288=$C$13),$L$250*($C$15+$C$18),0)+IF(AND($L$250&gt;0,A1288=$C$13),$C$24,0)</f>
        <v/>
      </c>
      <c r="H1288" s="138">
        <f>IF(OR($L$250&lt;=0,A1288&lt;$C$13),0,IF(AND($L$250&gt;0,$C$17&gt;0,A1288&gt;=$C$13,A1288&lt;($C$13+$C$17)),IF($C$17&lt;=0,0,IF($C$16=0,MAX($L$250*(1-$C$15),0)/$C$17,-PMT($C$16/12,$C$17*12,MAX($L$250*(1-$C$15),0))*12)),0)+X1288*($C$19+$C$20+$C$21)+$C$22+$C$23)</f>
        <v/>
      </c>
      <c r="I1288" s="138">
        <f>IF(B1288="Working",MIN(MAX(D1288-E1288-F1288-G1288-H1288,0),'Tax Assumptions'!$B$20),0)</f>
        <v/>
      </c>
      <c r="J1288" s="138">
        <f>IF(B1288="Working",D1288-E1288-F1288-I1288-G1288-H1288,-L1288)</f>
        <v/>
      </c>
      <c r="K1288" s="141">
        <f>IF(B1288="Retired",$N$250+G1288+H1288,0)</f>
        <v/>
      </c>
      <c r="L1288" s="141">
        <f>M1288+N1288+O1288+P1288</f>
        <v/>
      </c>
      <c r="M1288" s="141">
        <f>IF(B1288="Retired",MIN(((Q1287)*(1+$C$10)+IF(B1288="Working",J1288,0)),K1288),0)</f>
        <v/>
      </c>
      <c r="N1288" s="141">
        <f>IF(B1288="Retired",MIN(MAX(K1288-M1288,0),((R1287)*(1+$C$10)+IF(B1288="Working",E99,0))),0)</f>
        <v/>
      </c>
      <c r="O1288" s="141">
        <f>IF(B1288="Retired",MIN(MAX(K1288-M1288-N1288,0),((S1287)*(1+$C$10)+IF(B1288="Working",I1288,0))),0)</f>
        <v/>
      </c>
      <c r="P1288" s="141">
        <f>IF(B1288="Retired",MIN(MAX(K1288-M1288-N1288-O1288,0),((T1287)*(1+$C$10)+IF(B1288="Working",F99,0))),0)</f>
        <v/>
      </c>
      <c r="Q1288" s="138">
        <f>MAX(((Q1287)*(1+$C$10)+IF(B1288="Working",J1288,0))-M1288,0)</f>
        <v/>
      </c>
      <c r="R1288" s="138">
        <f>MAX(((R1287)*(1+$C$10)+IF(B1288="Working",E99,0))-N1288,0)</f>
        <v/>
      </c>
      <c r="S1288" s="138">
        <f>MAX(((S1287)*(1+$C$10)+IF(B1288="Working",I1288,0))-O1288,0)</f>
        <v/>
      </c>
      <c r="T1288" s="138">
        <f>MAX(((T1287)*(1+$C$10)+IF(B1288="Working",F99,0))-P1288,0)</f>
        <v/>
      </c>
      <c r="U1288" s="138">
        <f>Q1288+R1288+S1288+T1288</f>
        <v/>
      </c>
      <c r="V1288" s="138">
        <f>IF(B1288="Working",MAX(-(((Q1287)*(1+$C$10)+IF(B1288="Working",J1288,0))),0),MAX(K1288-L1288,0))</f>
        <v/>
      </c>
      <c r="W1288" s="138">
        <f>IF(OR(A1288&gt;=$C$13,B1288="Retired"),IF(V1288&gt;0,-V1288,U1288-'Model Inputs'!$B$18),"")</f>
        <v/>
      </c>
      <c r="X1288" s="138">
        <f>IF(AND($L$250&gt;0,A1288&gt;=$C$13),$L$250*(1+$C$25)^(A1288-$C$13),0)</f>
        <v/>
      </c>
      <c r="Y1288" s="138">
        <f>IF(OR($L$250&lt;=0,$C$17&lt;=0,A1288&lt;$C$13,MIN(MAX((A1288-$C$13+1)*12,0),$C$17*12)&gt;=$C$17*12),0,IF($C$16=0,MAX(MAX($L$250*(1-$C$15),0)-(IF($C$17&lt;=0,0,IF($C$16=0,MAX($L$250*(1-$C$15),0)/$C$17,-PMT($C$16/12,$C$17*12,MAX($L$250*(1-$C$15),0))*12))/12)*MIN(MAX((A1288-$C$13+1)*12,0),$C$17*12),0),MAX(MAX($L$250*(1-$C$15),0)*(1+$C$16/12)^MIN(MAX((A1288-$C$13+1)*12,0),$C$17*12)-(IF($C$17&lt;=0,0,IF($C$16=0,MAX($L$250*(1-$C$15),0)/$C$17,-PMT($C$16/12,$C$17*12,MAX($L$250*(1-$C$15),0))*12))/12)*(((1+$C$16/12)^MIN(MAX((A1288-$C$13+1)*12,0),$C$17*12)-1)/($C$16/12)),0)))</f>
        <v/>
      </c>
      <c r="Z1288" s="138">
        <f>MAX(X1288-Y1288,0)</f>
        <v/>
      </c>
      <c r="AA1288" s="142">
        <f>U1288+Z1288</f>
        <v/>
      </c>
      <c r="AB1288" s="5" t="n"/>
      <c r="AC1288" s="5" t="n"/>
      <c r="AD1288" s="5" t="n"/>
      <c r="AE1288" s="5" t="n"/>
      <c r="AF1288" s="5" t="n"/>
      <c r="AG1288" s="5" t="n"/>
    </row>
    <row r="1289" outlineLevel="1" s="326">
      <c r="A1289" s="136" t="n">
        <v>21</v>
      </c>
      <c r="B1289" s="72">
        <f>B100</f>
        <v/>
      </c>
      <c r="C1289" s="137">
        <f>D100</f>
        <v/>
      </c>
      <c r="D1289" s="137">
        <f>I100</f>
        <v/>
      </c>
      <c r="E1289" s="137">
        <f>J100</f>
        <v/>
      </c>
      <c r="F1289" s="137">
        <f>K100</f>
        <v/>
      </c>
      <c r="G1289" s="138">
        <f>IF(AND($L$250&gt;0,A1289=$C$13),$L$250*($C$15+$C$18),0)+IF(AND($L$250&gt;0,A1289=$C$13),$C$24,0)</f>
        <v/>
      </c>
      <c r="H1289" s="138">
        <f>IF(OR($L$250&lt;=0,A1289&lt;$C$13),0,IF(AND($L$250&gt;0,$C$17&gt;0,A1289&gt;=$C$13,A1289&lt;($C$13+$C$17)),IF($C$17&lt;=0,0,IF($C$16=0,MAX($L$250*(1-$C$15),0)/$C$17,-PMT($C$16/12,$C$17*12,MAX($L$250*(1-$C$15),0))*12)),0)+X1289*($C$19+$C$20+$C$21)+$C$22+$C$23)</f>
        <v/>
      </c>
      <c r="I1289" s="138">
        <f>IF(B1289="Working",MIN(MAX(D1289-E1289-F1289-G1289-H1289,0),'Tax Assumptions'!$B$20),0)</f>
        <v/>
      </c>
      <c r="J1289" s="138">
        <f>IF(B1289="Working",D1289-E1289-F1289-I1289-G1289-H1289,-L1289)</f>
        <v/>
      </c>
      <c r="K1289" s="137">
        <f>IF(B1289="Retired",$N$250+G1289+H1289,0)</f>
        <v/>
      </c>
      <c r="L1289" s="137">
        <f>M1289+N1289+O1289+P1289</f>
        <v/>
      </c>
      <c r="M1289" s="137">
        <f>IF(B1289="Retired",MIN(((Q1288)*(1+$C$10)+IF(B1289="Working",J1289,0)),K1289),0)</f>
        <v/>
      </c>
      <c r="N1289" s="137">
        <f>IF(B1289="Retired",MIN(MAX(K1289-M1289,0),((R1288)*(1+$C$10)+IF(B1289="Working",E100,0))),0)</f>
        <v/>
      </c>
      <c r="O1289" s="137">
        <f>IF(B1289="Retired",MIN(MAX(K1289-M1289-N1289,0),((S1288)*(1+$C$10)+IF(B1289="Working",I1289,0))),0)</f>
        <v/>
      </c>
      <c r="P1289" s="137">
        <f>IF(B1289="Retired",MIN(MAX(K1289-M1289-N1289-O1289,0),((T1288)*(1+$C$10)+IF(B1289="Working",F100,0))),0)</f>
        <v/>
      </c>
      <c r="Q1289" s="138">
        <f>MAX(((Q1288)*(1+$C$10)+IF(B1289="Working",J1289,0))-M1289,0)</f>
        <v/>
      </c>
      <c r="R1289" s="138">
        <f>MAX(((R1288)*(1+$C$10)+IF(B1289="Working",E100,0))-N1289,0)</f>
        <v/>
      </c>
      <c r="S1289" s="138">
        <f>MAX(((S1288)*(1+$C$10)+IF(B1289="Working",I1289,0))-O1289,0)</f>
        <v/>
      </c>
      <c r="T1289" s="138">
        <f>MAX(((T1288)*(1+$C$10)+IF(B1289="Working",F100,0))-P1289,0)</f>
        <v/>
      </c>
      <c r="U1289" s="138">
        <f>Q1289+R1289+S1289+T1289</f>
        <v/>
      </c>
      <c r="V1289" s="138">
        <f>IF(B1289="Working",MAX(-(((Q1288)*(1+$C$10)+IF(B1289="Working",J1289,0))),0),MAX(K1289-L1289,0))</f>
        <v/>
      </c>
      <c r="W1289" s="138">
        <f>IF(OR(A1289&gt;=$C$13,B1289="Retired"),IF(V1289&gt;0,-V1289,U1289-'Model Inputs'!$B$18),"")</f>
        <v/>
      </c>
      <c r="X1289" s="138">
        <f>IF(AND($L$250&gt;0,A1289&gt;=$C$13),$L$250*(1+$C$25)^(A1289-$C$13),0)</f>
        <v/>
      </c>
      <c r="Y1289" s="138">
        <f>IF(OR($L$250&lt;=0,$C$17&lt;=0,A1289&lt;$C$13,MIN(MAX((A1289-$C$13+1)*12,0),$C$17*12)&gt;=$C$17*12),0,IF($C$16=0,MAX(MAX($L$250*(1-$C$15),0)-(IF($C$17&lt;=0,0,IF($C$16=0,MAX($L$250*(1-$C$15),0)/$C$17,-PMT($C$16/12,$C$17*12,MAX($L$250*(1-$C$15),0))*12))/12)*MIN(MAX((A1289-$C$13+1)*12,0),$C$17*12),0),MAX(MAX($L$250*(1-$C$15),0)*(1+$C$16/12)^MIN(MAX((A1289-$C$13+1)*12,0),$C$17*12)-(IF($C$17&lt;=0,0,IF($C$16=0,MAX($L$250*(1-$C$15),0)/$C$17,-PMT($C$16/12,$C$17*12,MAX($L$250*(1-$C$15),0))*12))/12)*(((1+$C$16/12)^MIN(MAX((A1289-$C$13+1)*12,0),$C$17*12)-1)/($C$16/12)),0)))</f>
        <v/>
      </c>
      <c r="Z1289" s="138">
        <f>MAX(X1289-Y1289,0)</f>
        <v/>
      </c>
      <c r="AA1289" s="139">
        <f>U1289+Z1289</f>
        <v/>
      </c>
      <c r="AB1289" s="5" t="n"/>
      <c r="AC1289" s="5" t="n"/>
      <c r="AD1289" s="5" t="n"/>
      <c r="AE1289" s="5" t="n"/>
      <c r="AF1289" s="5" t="n"/>
      <c r="AG1289" s="5" t="n"/>
    </row>
    <row r="1290" outlineLevel="1" s="326">
      <c r="A1290" s="140" t="n">
        <v>22</v>
      </c>
      <c r="B1290" s="40">
        <f>B101</f>
        <v/>
      </c>
      <c r="C1290" s="141">
        <f>D101</f>
        <v/>
      </c>
      <c r="D1290" s="141">
        <f>I101</f>
        <v/>
      </c>
      <c r="E1290" s="141">
        <f>J101</f>
        <v/>
      </c>
      <c r="F1290" s="141">
        <f>K101</f>
        <v/>
      </c>
      <c r="G1290" s="138">
        <f>IF(AND($L$250&gt;0,A1290=$C$13),$L$250*($C$15+$C$18),0)+IF(AND($L$250&gt;0,A1290=$C$13),$C$24,0)</f>
        <v/>
      </c>
      <c r="H1290" s="138">
        <f>IF(OR($L$250&lt;=0,A1290&lt;$C$13),0,IF(AND($L$250&gt;0,$C$17&gt;0,A1290&gt;=$C$13,A1290&lt;($C$13+$C$17)),IF($C$17&lt;=0,0,IF($C$16=0,MAX($L$250*(1-$C$15),0)/$C$17,-PMT($C$16/12,$C$17*12,MAX($L$250*(1-$C$15),0))*12)),0)+X1290*($C$19+$C$20+$C$21)+$C$22+$C$23)</f>
        <v/>
      </c>
      <c r="I1290" s="138">
        <f>IF(B1290="Working",MIN(MAX(D1290-E1290-F1290-G1290-H1290,0),'Tax Assumptions'!$B$20),0)</f>
        <v/>
      </c>
      <c r="J1290" s="138">
        <f>IF(B1290="Working",D1290-E1290-F1290-I1290-G1290-H1290,-L1290)</f>
        <v/>
      </c>
      <c r="K1290" s="141">
        <f>IF(B1290="Retired",$N$250+G1290+H1290,0)</f>
        <v/>
      </c>
      <c r="L1290" s="141">
        <f>M1290+N1290+O1290+P1290</f>
        <v/>
      </c>
      <c r="M1290" s="141">
        <f>IF(B1290="Retired",MIN(((Q1289)*(1+$C$10)+IF(B1290="Working",J1290,0)),K1290),0)</f>
        <v/>
      </c>
      <c r="N1290" s="141">
        <f>IF(B1290="Retired",MIN(MAX(K1290-M1290,0),((R1289)*(1+$C$10)+IF(B1290="Working",E101,0))),0)</f>
        <v/>
      </c>
      <c r="O1290" s="141">
        <f>IF(B1290="Retired",MIN(MAX(K1290-M1290-N1290,0),((S1289)*(1+$C$10)+IF(B1290="Working",I1290,0))),0)</f>
        <v/>
      </c>
      <c r="P1290" s="141">
        <f>IF(B1290="Retired",MIN(MAX(K1290-M1290-N1290-O1290,0),((T1289)*(1+$C$10)+IF(B1290="Working",F101,0))),0)</f>
        <v/>
      </c>
      <c r="Q1290" s="138">
        <f>MAX(((Q1289)*(1+$C$10)+IF(B1290="Working",J1290,0))-M1290,0)</f>
        <v/>
      </c>
      <c r="R1290" s="138">
        <f>MAX(((R1289)*(1+$C$10)+IF(B1290="Working",E101,0))-N1290,0)</f>
        <v/>
      </c>
      <c r="S1290" s="138">
        <f>MAX(((S1289)*(1+$C$10)+IF(B1290="Working",I1290,0))-O1290,0)</f>
        <v/>
      </c>
      <c r="T1290" s="138">
        <f>MAX(((T1289)*(1+$C$10)+IF(B1290="Working",F101,0))-P1290,0)</f>
        <v/>
      </c>
      <c r="U1290" s="138">
        <f>Q1290+R1290+S1290+T1290</f>
        <v/>
      </c>
      <c r="V1290" s="138">
        <f>IF(B1290="Working",MAX(-(((Q1289)*(1+$C$10)+IF(B1290="Working",J1290,0))),0),MAX(K1290-L1290,0))</f>
        <v/>
      </c>
      <c r="W1290" s="138">
        <f>IF(OR(A1290&gt;=$C$13,B1290="Retired"),IF(V1290&gt;0,-V1290,U1290-'Model Inputs'!$B$18),"")</f>
        <v/>
      </c>
      <c r="X1290" s="138">
        <f>IF(AND($L$250&gt;0,A1290&gt;=$C$13),$L$250*(1+$C$25)^(A1290-$C$13),0)</f>
        <v/>
      </c>
      <c r="Y1290" s="138">
        <f>IF(OR($L$250&lt;=0,$C$17&lt;=0,A1290&lt;$C$13,MIN(MAX((A1290-$C$13+1)*12,0),$C$17*12)&gt;=$C$17*12),0,IF($C$16=0,MAX(MAX($L$250*(1-$C$15),0)-(IF($C$17&lt;=0,0,IF($C$16=0,MAX($L$250*(1-$C$15),0)/$C$17,-PMT($C$16/12,$C$17*12,MAX($L$250*(1-$C$15),0))*12))/12)*MIN(MAX((A1290-$C$13+1)*12,0),$C$17*12),0),MAX(MAX($L$250*(1-$C$15),0)*(1+$C$16/12)^MIN(MAX((A1290-$C$13+1)*12,0),$C$17*12)-(IF($C$17&lt;=0,0,IF($C$16=0,MAX($L$250*(1-$C$15),0)/$C$17,-PMT($C$16/12,$C$17*12,MAX($L$250*(1-$C$15),0))*12))/12)*(((1+$C$16/12)^MIN(MAX((A1290-$C$13+1)*12,0),$C$17*12)-1)/($C$16/12)),0)))</f>
        <v/>
      </c>
      <c r="Z1290" s="138">
        <f>MAX(X1290-Y1290,0)</f>
        <v/>
      </c>
      <c r="AA1290" s="142">
        <f>U1290+Z1290</f>
        <v/>
      </c>
      <c r="AB1290" s="5" t="n"/>
      <c r="AC1290" s="5" t="n"/>
      <c r="AD1290" s="5" t="n"/>
      <c r="AE1290" s="5" t="n"/>
      <c r="AF1290" s="5" t="n"/>
      <c r="AG1290" s="5" t="n"/>
    </row>
    <row r="1291" outlineLevel="1" s="326">
      <c r="A1291" s="136" t="n">
        <v>23</v>
      </c>
      <c r="B1291" s="72">
        <f>B102</f>
        <v/>
      </c>
      <c r="C1291" s="137">
        <f>D102</f>
        <v/>
      </c>
      <c r="D1291" s="137">
        <f>I102</f>
        <v/>
      </c>
      <c r="E1291" s="137">
        <f>J102</f>
        <v/>
      </c>
      <c r="F1291" s="137">
        <f>K102</f>
        <v/>
      </c>
      <c r="G1291" s="138">
        <f>IF(AND($L$250&gt;0,A1291=$C$13),$L$250*($C$15+$C$18),0)+IF(AND($L$250&gt;0,A1291=$C$13),$C$24,0)</f>
        <v/>
      </c>
      <c r="H1291" s="138">
        <f>IF(OR($L$250&lt;=0,A1291&lt;$C$13),0,IF(AND($L$250&gt;0,$C$17&gt;0,A1291&gt;=$C$13,A1291&lt;($C$13+$C$17)),IF($C$17&lt;=0,0,IF($C$16=0,MAX($L$250*(1-$C$15),0)/$C$17,-PMT($C$16/12,$C$17*12,MAX($L$250*(1-$C$15),0))*12)),0)+X1291*($C$19+$C$20+$C$21)+$C$22+$C$23)</f>
        <v/>
      </c>
      <c r="I1291" s="138">
        <f>IF(B1291="Working",MIN(MAX(D1291-E1291-F1291-G1291-H1291,0),'Tax Assumptions'!$B$20),0)</f>
        <v/>
      </c>
      <c r="J1291" s="138">
        <f>IF(B1291="Working",D1291-E1291-F1291-I1291-G1291-H1291,-L1291)</f>
        <v/>
      </c>
      <c r="K1291" s="137">
        <f>IF(B1291="Retired",$N$250+G1291+H1291,0)</f>
        <v/>
      </c>
      <c r="L1291" s="137">
        <f>M1291+N1291+O1291+P1291</f>
        <v/>
      </c>
      <c r="M1291" s="137">
        <f>IF(B1291="Retired",MIN(((Q1290)*(1+$C$10)+IF(B1291="Working",J1291,0)),K1291),0)</f>
        <v/>
      </c>
      <c r="N1291" s="137">
        <f>IF(B1291="Retired",MIN(MAX(K1291-M1291,0),((R1290)*(1+$C$10)+IF(B1291="Working",E102,0))),0)</f>
        <v/>
      </c>
      <c r="O1291" s="137">
        <f>IF(B1291="Retired",MIN(MAX(K1291-M1291-N1291,0),((S1290)*(1+$C$10)+IF(B1291="Working",I1291,0))),0)</f>
        <v/>
      </c>
      <c r="P1291" s="137">
        <f>IF(B1291="Retired",MIN(MAX(K1291-M1291-N1291-O1291,0),((T1290)*(1+$C$10)+IF(B1291="Working",F102,0))),0)</f>
        <v/>
      </c>
      <c r="Q1291" s="138">
        <f>MAX(((Q1290)*(1+$C$10)+IF(B1291="Working",J1291,0))-M1291,0)</f>
        <v/>
      </c>
      <c r="R1291" s="138">
        <f>MAX(((R1290)*(1+$C$10)+IF(B1291="Working",E102,0))-N1291,0)</f>
        <v/>
      </c>
      <c r="S1291" s="138">
        <f>MAX(((S1290)*(1+$C$10)+IF(B1291="Working",I1291,0))-O1291,0)</f>
        <v/>
      </c>
      <c r="T1291" s="138">
        <f>MAX(((T1290)*(1+$C$10)+IF(B1291="Working",F102,0))-P1291,0)</f>
        <v/>
      </c>
      <c r="U1291" s="138">
        <f>Q1291+R1291+S1291+T1291</f>
        <v/>
      </c>
      <c r="V1291" s="138">
        <f>IF(B1291="Working",MAX(-(((Q1290)*(1+$C$10)+IF(B1291="Working",J1291,0))),0),MAX(K1291-L1291,0))</f>
        <v/>
      </c>
      <c r="W1291" s="138">
        <f>IF(OR(A1291&gt;=$C$13,B1291="Retired"),IF(V1291&gt;0,-V1291,U1291-'Model Inputs'!$B$18),"")</f>
        <v/>
      </c>
      <c r="X1291" s="138">
        <f>IF(AND($L$250&gt;0,A1291&gt;=$C$13),$L$250*(1+$C$25)^(A1291-$C$13),0)</f>
        <v/>
      </c>
      <c r="Y1291" s="138">
        <f>IF(OR($L$250&lt;=0,$C$17&lt;=0,A1291&lt;$C$13,MIN(MAX((A1291-$C$13+1)*12,0),$C$17*12)&gt;=$C$17*12),0,IF($C$16=0,MAX(MAX($L$250*(1-$C$15),0)-(IF($C$17&lt;=0,0,IF($C$16=0,MAX($L$250*(1-$C$15),0)/$C$17,-PMT($C$16/12,$C$17*12,MAX($L$250*(1-$C$15),0))*12))/12)*MIN(MAX((A1291-$C$13+1)*12,0),$C$17*12),0),MAX(MAX($L$250*(1-$C$15),0)*(1+$C$16/12)^MIN(MAX((A1291-$C$13+1)*12,0),$C$17*12)-(IF($C$17&lt;=0,0,IF($C$16=0,MAX($L$250*(1-$C$15),0)/$C$17,-PMT($C$16/12,$C$17*12,MAX($L$250*(1-$C$15),0))*12))/12)*(((1+$C$16/12)^MIN(MAX((A1291-$C$13+1)*12,0),$C$17*12)-1)/($C$16/12)),0)))</f>
        <v/>
      </c>
      <c r="Z1291" s="138">
        <f>MAX(X1291-Y1291,0)</f>
        <v/>
      </c>
      <c r="AA1291" s="139">
        <f>U1291+Z1291</f>
        <v/>
      </c>
      <c r="AB1291" s="5" t="n"/>
      <c r="AC1291" s="5" t="n"/>
      <c r="AD1291" s="5" t="n"/>
      <c r="AE1291" s="5" t="n"/>
      <c r="AF1291" s="5" t="n"/>
      <c r="AG1291" s="5" t="n"/>
    </row>
    <row r="1292" outlineLevel="1" s="326">
      <c r="A1292" s="140" t="n">
        <v>24</v>
      </c>
      <c r="B1292" s="40">
        <f>B103</f>
        <v/>
      </c>
      <c r="C1292" s="141">
        <f>D103</f>
        <v/>
      </c>
      <c r="D1292" s="141">
        <f>I103</f>
        <v/>
      </c>
      <c r="E1292" s="141">
        <f>J103</f>
        <v/>
      </c>
      <c r="F1292" s="141">
        <f>K103</f>
        <v/>
      </c>
      <c r="G1292" s="138">
        <f>IF(AND($L$250&gt;0,A1292=$C$13),$L$250*($C$15+$C$18),0)+IF(AND($L$250&gt;0,A1292=$C$13),$C$24,0)</f>
        <v/>
      </c>
      <c r="H1292" s="138">
        <f>IF(OR($L$250&lt;=0,A1292&lt;$C$13),0,IF(AND($L$250&gt;0,$C$17&gt;0,A1292&gt;=$C$13,A1292&lt;($C$13+$C$17)),IF($C$17&lt;=0,0,IF($C$16=0,MAX($L$250*(1-$C$15),0)/$C$17,-PMT($C$16/12,$C$17*12,MAX($L$250*(1-$C$15),0))*12)),0)+X1292*($C$19+$C$20+$C$21)+$C$22+$C$23)</f>
        <v/>
      </c>
      <c r="I1292" s="138">
        <f>IF(B1292="Working",MIN(MAX(D1292-E1292-F1292-G1292-H1292,0),'Tax Assumptions'!$B$20),0)</f>
        <v/>
      </c>
      <c r="J1292" s="138">
        <f>IF(B1292="Working",D1292-E1292-F1292-I1292-G1292-H1292,-L1292)</f>
        <v/>
      </c>
      <c r="K1292" s="141">
        <f>IF(B1292="Retired",$N$250+G1292+H1292,0)</f>
        <v/>
      </c>
      <c r="L1292" s="141">
        <f>M1292+N1292+O1292+P1292</f>
        <v/>
      </c>
      <c r="M1292" s="141">
        <f>IF(B1292="Retired",MIN(((Q1291)*(1+$C$10)+IF(B1292="Working",J1292,0)),K1292),0)</f>
        <v/>
      </c>
      <c r="N1292" s="141">
        <f>IF(B1292="Retired",MIN(MAX(K1292-M1292,0),((R1291)*(1+$C$10)+IF(B1292="Working",E103,0))),0)</f>
        <v/>
      </c>
      <c r="O1292" s="141">
        <f>IF(B1292="Retired",MIN(MAX(K1292-M1292-N1292,0),((S1291)*(1+$C$10)+IF(B1292="Working",I1292,0))),0)</f>
        <v/>
      </c>
      <c r="P1292" s="141">
        <f>IF(B1292="Retired",MIN(MAX(K1292-M1292-N1292-O1292,0),((T1291)*(1+$C$10)+IF(B1292="Working",F103,0))),0)</f>
        <v/>
      </c>
      <c r="Q1292" s="138">
        <f>MAX(((Q1291)*(1+$C$10)+IF(B1292="Working",J1292,0))-M1292,0)</f>
        <v/>
      </c>
      <c r="R1292" s="138">
        <f>MAX(((R1291)*(1+$C$10)+IF(B1292="Working",E103,0))-N1292,0)</f>
        <v/>
      </c>
      <c r="S1292" s="138">
        <f>MAX(((S1291)*(1+$C$10)+IF(B1292="Working",I1292,0))-O1292,0)</f>
        <v/>
      </c>
      <c r="T1292" s="138">
        <f>MAX(((T1291)*(1+$C$10)+IF(B1292="Working",F103,0))-P1292,0)</f>
        <v/>
      </c>
      <c r="U1292" s="138">
        <f>Q1292+R1292+S1292+T1292</f>
        <v/>
      </c>
      <c r="V1292" s="138">
        <f>IF(B1292="Working",MAX(-(((Q1291)*(1+$C$10)+IF(B1292="Working",J1292,0))),0),MAX(K1292-L1292,0))</f>
        <v/>
      </c>
      <c r="W1292" s="138">
        <f>IF(OR(A1292&gt;=$C$13,B1292="Retired"),IF(V1292&gt;0,-V1292,U1292-'Model Inputs'!$B$18),"")</f>
        <v/>
      </c>
      <c r="X1292" s="138">
        <f>IF(AND($L$250&gt;0,A1292&gt;=$C$13),$L$250*(1+$C$25)^(A1292-$C$13),0)</f>
        <v/>
      </c>
      <c r="Y1292" s="138">
        <f>IF(OR($L$250&lt;=0,$C$17&lt;=0,A1292&lt;$C$13,MIN(MAX((A1292-$C$13+1)*12,0),$C$17*12)&gt;=$C$17*12),0,IF($C$16=0,MAX(MAX($L$250*(1-$C$15),0)-(IF($C$17&lt;=0,0,IF($C$16=0,MAX($L$250*(1-$C$15),0)/$C$17,-PMT($C$16/12,$C$17*12,MAX($L$250*(1-$C$15),0))*12))/12)*MIN(MAX((A1292-$C$13+1)*12,0),$C$17*12),0),MAX(MAX($L$250*(1-$C$15),0)*(1+$C$16/12)^MIN(MAX((A1292-$C$13+1)*12,0),$C$17*12)-(IF($C$17&lt;=0,0,IF($C$16=0,MAX($L$250*(1-$C$15),0)/$C$17,-PMT($C$16/12,$C$17*12,MAX($L$250*(1-$C$15),0))*12))/12)*(((1+$C$16/12)^MIN(MAX((A1292-$C$13+1)*12,0),$C$17*12)-1)/($C$16/12)),0)))</f>
        <v/>
      </c>
      <c r="Z1292" s="138">
        <f>MAX(X1292-Y1292,0)</f>
        <v/>
      </c>
      <c r="AA1292" s="142">
        <f>U1292+Z1292</f>
        <v/>
      </c>
      <c r="AB1292" s="5" t="n"/>
      <c r="AC1292" s="5" t="n"/>
      <c r="AD1292" s="5" t="n"/>
      <c r="AE1292" s="5" t="n"/>
      <c r="AF1292" s="5" t="n"/>
      <c r="AG1292" s="5" t="n"/>
    </row>
    <row r="1293" outlineLevel="1" s="326">
      <c r="A1293" s="136" t="n">
        <v>25</v>
      </c>
      <c r="B1293" s="72">
        <f>B104</f>
        <v/>
      </c>
      <c r="C1293" s="137">
        <f>D104</f>
        <v/>
      </c>
      <c r="D1293" s="137">
        <f>I104</f>
        <v/>
      </c>
      <c r="E1293" s="137">
        <f>J104</f>
        <v/>
      </c>
      <c r="F1293" s="137">
        <f>K104</f>
        <v/>
      </c>
      <c r="G1293" s="138">
        <f>IF(AND($L$250&gt;0,A1293=$C$13),$L$250*($C$15+$C$18),0)+IF(AND($L$250&gt;0,A1293=$C$13),$C$24,0)</f>
        <v/>
      </c>
      <c r="H1293" s="138">
        <f>IF(OR($L$250&lt;=0,A1293&lt;$C$13),0,IF(AND($L$250&gt;0,$C$17&gt;0,A1293&gt;=$C$13,A1293&lt;($C$13+$C$17)),IF($C$17&lt;=0,0,IF($C$16=0,MAX($L$250*(1-$C$15),0)/$C$17,-PMT($C$16/12,$C$17*12,MAX($L$250*(1-$C$15),0))*12)),0)+X1293*($C$19+$C$20+$C$21)+$C$22+$C$23)</f>
        <v/>
      </c>
      <c r="I1293" s="138">
        <f>IF(B1293="Working",MIN(MAX(D1293-E1293-F1293-G1293-H1293,0),'Tax Assumptions'!$B$20),0)</f>
        <v/>
      </c>
      <c r="J1293" s="138">
        <f>IF(B1293="Working",D1293-E1293-F1293-I1293-G1293-H1293,-L1293)</f>
        <v/>
      </c>
      <c r="K1293" s="137">
        <f>IF(B1293="Retired",$N$250+G1293+H1293,0)</f>
        <v/>
      </c>
      <c r="L1293" s="137">
        <f>M1293+N1293+O1293+P1293</f>
        <v/>
      </c>
      <c r="M1293" s="137">
        <f>IF(B1293="Retired",MIN(((Q1292)*(1+$C$10)+IF(B1293="Working",J1293,0)),K1293),0)</f>
        <v/>
      </c>
      <c r="N1293" s="137">
        <f>IF(B1293="Retired",MIN(MAX(K1293-M1293,0),((R1292)*(1+$C$10)+IF(B1293="Working",E104,0))),0)</f>
        <v/>
      </c>
      <c r="O1293" s="137">
        <f>IF(B1293="Retired",MIN(MAX(K1293-M1293-N1293,0),((S1292)*(1+$C$10)+IF(B1293="Working",I1293,0))),0)</f>
        <v/>
      </c>
      <c r="P1293" s="137">
        <f>IF(B1293="Retired",MIN(MAX(K1293-M1293-N1293-O1293,0),((T1292)*(1+$C$10)+IF(B1293="Working",F104,0))),0)</f>
        <v/>
      </c>
      <c r="Q1293" s="138">
        <f>MAX(((Q1292)*(1+$C$10)+IF(B1293="Working",J1293,0))-M1293,0)</f>
        <v/>
      </c>
      <c r="R1293" s="138">
        <f>MAX(((R1292)*(1+$C$10)+IF(B1293="Working",E104,0))-N1293,0)</f>
        <v/>
      </c>
      <c r="S1293" s="138">
        <f>MAX(((S1292)*(1+$C$10)+IF(B1293="Working",I1293,0))-O1293,0)</f>
        <v/>
      </c>
      <c r="T1293" s="138">
        <f>MAX(((T1292)*(1+$C$10)+IF(B1293="Working",F104,0))-P1293,0)</f>
        <v/>
      </c>
      <c r="U1293" s="138">
        <f>Q1293+R1293+S1293+T1293</f>
        <v/>
      </c>
      <c r="V1293" s="138">
        <f>IF(B1293="Working",MAX(-(((Q1292)*(1+$C$10)+IF(B1293="Working",J1293,0))),0),MAX(K1293-L1293,0))</f>
        <v/>
      </c>
      <c r="W1293" s="138">
        <f>IF(OR(A1293&gt;=$C$13,B1293="Retired"),IF(V1293&gt;0,-V1293,U1293-'Model Inputs'!$B$18),"")</f>
        <v/>
      </c>
      <c r="X1293" s="138">
        <f>IF(AND($L$250&gt;0,A1293&gt;=$C$13),$L$250*(1+$C$25)^(A1293-$C$13),0)</f>
        <v/>
      </c>
      <c r="Y1293" s="138">
        <f>IF(OR($L$250&lt;=0,$C$17&lt;=0,A1293&lt;$C$13,MIN(MAX((A1293-$C$13+1)*12,0),$C$17*12)&gt;=$C$17*12),0,IF($C$16=0,MAX(MAX($L$250*(1-$C$15),0)-(IF($C$17&lt;=0,0,IF($C$16=0,MAX($L$250*(1-$C$15),0)/$C$17,-PMT($C$16/12,$C$17*12,MAX($L$250*(1-$C$15),0))*12))/12)*MIN(MAX((A1293-$C$13+1)*12,0),$C$17*12),0),MAX(MAX($L$250*(1-$C$15),0)*(1+$C$16/12)^MIN(MAX((A1293-$C$13+1)*12,0),$C$17*12)-(IF($C$17&lt;=0,0,IF($C$16=0,MAX($L$250*(1-$C$15),0)/$C$17,-PMT($C$16/12,$C$17*12,MAX($L$250*(1-$C$15),0))*12))/12)*(((1+$C$16/12)^MIN(MAX((A1293-$C$13+1)*12,0),$C$17*12)-1)/($C$16/12)),0)))</f>
        <v/>
      </c>
      <c r="Z1293" s="138">
        <f>MAX(X1293-Y1293,0)</f>
        <v/>
      </c>
      <c r="AA1293" s="139">
        <f>U1293+Z1293</f>
        <v/>
      </c>
      <c r="AB1293" s="5" t="n"/>
      <c r="AC1293" s="5" t="n"/>
      <c r="AD1293" s="5" t="n"/>
      <c r="AE1293" s="5" t="n"/>
      <c r="AF1293" s="5" t="n"/>
      <c r="AG1293" s="5" t="n"/>
    </row>
    <row r="1294" outlineLevel="1" s="326">
      <c r="A1294" s="140" t="n">
        <v>26</v>
      </c>
      <c r="B1294" s="40">
        <f>B105</f>
        <v/>
      </c>
      <c r="C1294" s="141">
        <f>D105</f>
        <v/>
      </c>
      <c r="D1294" s="141">
        <f>I105</f>
        <v/>
      </c>
      <c r="E1294" s="141">
        <f>J105</f>
        <v/>
      </c>
      <c r="F1294" s="141">
        <f>K105</f>
        <v/>
      </c>
      <c r="G1294" s="138">
        <f>IF(AND($L$250&gt;0,A1294=$C$13),$L$250*($C$15+$C$18),0)+IF(AND($L$250&gt;0,A1294=$C$13),$C$24,0)</f>
        <v/>
      </c>
      <c r="H1294" s="138">
        <f>IF(OR($L$250&lt;=0,A1294&lt;$C$13),0,IF(AND($L$250&gt;0,$C$17&gt;0,A1294&gt;=$C$13,A1294&lt;($C$13+$C$17)),IF($C$17&lt;=0,0,IF($C$16=0,MAX($L$250*(1-$C$15),0)/$C$17,-PMT($C$16/12,$C$17*12,MAX($L$250*(1-$C$15),0))*12)),0)+X1294*($C$19+$C$20+$C$21)+$C$22+$C$23)</f>
        <v/>
      </c>
      <c r="I1294" s="138">
        <f>IF(B1294="Working",MIN(MAX(D1294-E1294-F1294-G1294-H1294,0),'Tax Assumptions'!$B$20),0)</f>
        <v/>
      </c>
      <c r="J1294" s="138">
        <f>IF(B1294="Working",D1294-E1294-F1294-I1294-G1294-H1294,-L1294)</f>
        <v/>
      </c>
      <c r="K1294" s="141">
        <f>IF(B1294="Retired",$N$250+G1294+H1294,0)</f>
        <v/>
      </c>
      <c r="L1294" s="141">
        <f>M1294+N1294+O1294+P1294</f>
        <v/>
      </c>
      <c r="M1294" s="141">
        <f>IF(B1294="Retired",MIN(((Q1293)*(1+$C$10)+IF(B1294="Working",J1294,0)),K1294),0)</f>
        <v/>
      </c>
      <c r="N1294" s="141">
        <f>IF(B1294="Retired",MIN(MAX(K1294-M1294,0),((R1293)*(1+$C$10)+IF(B1294="Working",E105,0))),0)</f>
        <v/>
      </c>
      <c r="O1294" s="141">
        <f>IF(B1294="Retired",MIN(MAX(K1294-M1294-N1294,0),((S1293)*(1+$C$10)+IF(B1294="Working",I1294,0))),0)</f>
        <v/>
      </c>
      <c r="P1294" s="141">
        <f>IF(B1294="Retired",MIN(MAX(K1294-M1294-N1294-O1294,0),((T1293)*(1+$C$10)+IF(B1294="Working",F105,0))),0)</f>
        <v/>
      </c>
      <c r="Q1294" s="138">
        <f>MAX(((Q1293)*(1+$C$10)+IF(B1294="Working",J1294,0))-M1294,0)</f>
        <v/>
      </c>
      <c r="R1294" s="138">
        <f>MAX(((R1293)*(1+$C$10)+IF(B1294="Working",E105,0))-N1294,0)</f>
        <v/>
      </c>
      <c r="S1294" s="138">
        <f>MAX(((S1293)*(1+$C$10)+IF(B1294="Working",I1294,0))-O1294,0)</f>
        <v/>
      </c>
      <c r="T1294" s="138">
        <f>MAX(((T1293)*(1+$C$10)+IF(B1294="Working",F105,0))-P1294,0)</f>
        <v/>
      </c>
      <c r="U1294" s="138">
        <f>Q1294+R1294+S1294+T1294</f>
        <v/>
      </c>
      <c r="V1294" s="138">
        <f>IF(B1294="Working",MAX(-(((Q1293)*(1+$C$10)+IF(B1294="Working",J1294,0))),0),MAX(K1294-L1294,0))</f>
        <v/>
      </c>
      <c r="W1294" s="138">
        <f>IF(OR(A1294&gt;=$C$13,B1294="Retired"),IF(V1294&gt;0,-V1294,U1294-'Model Inputs'!$B$18),"")</f>
        <v/>
      </c>
      <c r="X1294" s="138">
        <f>IF(AND($L$250&gt;0,A1294&gt;=$C$13),$L$250*(1+$C$25)^(A1294-$C$13),0)</f>
        <v/>
      </c>
      <c r="Y1294" s="138">
        <f>IF(OR($L$250&lt;=0,$C$17&lt;=0,A1294&lt;$C$13,MIN(MAX((A1294-$C$13+1)*12,0),$C$17*12)&gt;=$C$17*12),0,IF($C$16=0,MAX(MAX($L$250*(1-$C$15),0)-(IF($C$17&lt;=0,0,IF($C$16=0,MAX($L$250*(1-$C$15),0)/$C$17,-PMT($C$16/12,$C$17*12,MAX($L$250*(1-$C$15),0))*12))/12)*MIN(MAX((A1294-$C$13+1)*12,0),$C$17*12),0),MAX(MAX($L$250*(1-$C$15),0)*(1+$C$16/12)^MIN(MAX((A1294-$C$13+1)*12,0),$C$17*12)-(IF($C$17&lt;=0,0,IF($C$16=0,MAX($L$250*(1-$C$15),0)/$C$17,-PMT($C$16/12,$C$17*12,MAX($L$250*(1-$C$15),0))*12))/12)*(((1+$C$16/12)^MIN(MAX((A1294-$C$13+1)*12,0),$C$17*12)-1)/($C$16/12)),0)))</f>
        <v/>
      </c>
      <c r="Z1294" s="138">
        <f>MAX(X1294-Y1294,0)</f>
        <v/>
      </c>
      <c r="AA1294" s="142">
        <f>U1294+Z1294</f>
        <v/>
      </c>
      <c r="AB1294" s="5" t="n"/>
      <c r="AC1294" s="5" t="n"/>
      <c r="AD1294" s="5" t="n"/>
      <c r="AE1294" s="5" t="n"/>
      <c r="AF1294" s="5" t="n"/>
      <c r="AG1294" s="5" t="n"/>
    </row>
    <row r="1295" outlineLevel="1" s="326">
      <c r="A1295" s="136" t="n">
        <v>27</v>
      </c>
      <c r="B1295" s="72">
        <f>B106</f>
        <v/>
      </c>
      <c r="C1295" s="137">
        <f>D106</f>
        <v/>
      </c>
      <c r="D1295" s="137">
        <f>I106</f>
        <v/>
      </c>
      <c r="E1295" s="137">
        <f>J106</f>
        <v/>
      </c>
      <c r="F1295" s="137">
        <f>K106</f>
        <v/>
      </c>
      <c r="G1295" s="138">
        <f>IF(AND($L$250&gt;0,A1295=$C$13),$L$250*($C$15+$C$18),0)+IF(AND($L$250&gt;0,A1295=$C$13),$C$24,0)</f>
        <v/>
      </c>
      <c r="H1295" s="138">
        <f>IF(OR($L$250&lt;=0,A1295&lt;$C$13),0,IF(AND($L$250&gt;0,$C$17&gt;0,A1295&gt;=$C$13,A1295&lt;($C$13+$C$17)),IF($C$17&lt;=0,0,IF($C$16=0,MAX($L$250*(1-$C$15),0)/$C$17,-PMT($C$16/12,$C$17*12,MAX($L$250*(1-$C$15),0))*12)),0)+X1295*($C$19+$C$20+$C$21)+$C$22+$C$23)</f>
        <v/>
      </c>
      <c r="I1295" s="138">
        <f>IF(B1295="Working",MIN(MAX(D1295-E1295-F1295-G1295-H1295,0),'Tax Assumptions'!$B$20),0)</f>
        <v/>
      </c>
      <c r="J1295" s="138">
        <f>IF(B1295="Working",D1295-E1295-F1295-I1295-G1295-H1295,-L1295)</f>
        <v/>
      </c>
      <c r="K1295" s="137">
        <f>IF(B1295="Retired",$N$250+G1295+H1295,0)</f>
        <v/>
      </c>
      <c r="L1295" s="137">
        <f>M1295+N1295+O1295+P1295</f>
        <v/>
      </c>
      <c r="M1295" s="137">
        <f>IF(B1295="Retired",MIN(((Q1294)*(1+$C$10)+IF(B1295="Working",J1295,0)),K1295),0)</f>
        <v/>
      </c>
      <c r="N1295" s="137">
        <f>IF(B1295="Retired",MIN(MAX(K1295-M1295,0),((R1294)*(1+$C$10)+IF(B1295="Working",E106,0))),0)</f>
        <v/>
      </c>
      <c r="O1295" s="137">
        <f>IF(B1295="Retired",MIN(MAX(K1295-M1295-N1295,0),((S1294)*(1+$C$10)+IF(B1295="Working",I1295,0))),0)</f>
        <v/>
      </c>
      <c r="P1295" s="137">
        <f>IF(B1295="Retired",MIN(MAX(K1295-M1295-N1295-O1295,0),((T1294)*(1+$C$10)+IF(B1295="Working",F106,0))),0)</f>
        <v/>
      </c>
      <c r="Q1295" s="138">
        <f>MAX(((Q1294)*(1+$C$10)+IF(B1295="Working",J1295,0))-M1295,0)</f>
        <v/>
      </c>
      <c r="R1295" s="138">
        <f>MAX(((R1294)*(1+$C$10)+IF(B1295="Working",E106,0))-N1295,0)</f>
        <v/>
      </c>
      <c r="S1295" s="138">
        <f>MAX(((S1294)*(1+$C$10)+IF(B1295="Working",I1295,0))-O1295,0)</f>
        <v/>
      </c>
      <c r="T1295" s="138">
        <f>MAX(((T1294)*(1+$C$10)+IF(B1295="Working",F106,0))-P1295,0)</f>
        <v/>
      </c>
      <c r="U1295" s="138">
        <f>Q1295+R1295+S1295+T1295</f>
        <v/>
      </c>
      <c r="V1295" s="138">
        <f>IF(B1295="Working",MAX(-(((Q1294)*(1+$C$10)+IF(B1295="Working",J1295,0))),0),MAX(K1295-L1295,0))</f>
        <v/>
      </c>
      <c r="W1295" s="138">
        <f>IF(OR(A1295&gt;=$C$13,B1295="Retired"),IF(V1295&gt;0,-V1295,U1295-'Model Inputs'!$B$18),"")</f>
        <v/>
      </c>
      <c r="X1295" s="138">
        <f>IF(AND($L$250&gt;0,A1295&gt;=$C$13),$L$250*(1+$C$25)^(A1295-$C$13),0)</f>
        <v/>
      </c>
      <c r="Y1295" s="138">
        <f>IF(OR($L$250&lt;=0,$C$17&lt;=0,A1295&lt;$C$13,MIN(MAX((A1295-$C$13+1)*12,0),$C$17*12)&gt;=$C$17*12),0,IF($C$16=0,MAX(MAX($L$250*(1-$C$15),0)-(IF($C$17&lt;=0,0,IF($C$16=0,MAX($L$250*(1-$C$15),0)/$C$17,-PMT($C$16/12,$C$17*12,MAX($L$250*(1-$C$15),0))*12))/12)*MIN(MAX((A1295-$C$13+1)*12,0),$C$17*12),0),MAX(MAX($L$250*(1-$C$15),0)*(1+$C$16/12)^MIN(MAX((A1295-$C$13+1)*12,0),$C$17*12)-(IF($C$17&lt;=0,0,IF($C$16=0,MAX($L$250*(1-$C$15),0)/$C$17,-PMT($C$16/12,$C$17*12,MAX($L$250*(1-$C$15),0))*12))/12)*(((1+$C$16/12)^MIN(MAX((A1295-$C$13+1)*12,0),$C$17*12)-1)/($C$16/12)),0)))</f>
        <v/>
      </c>
      <c r="Z1295" s="138">
        <f>MAX(X1295-Y1295,0)</f>
        <v/>
      </c>
      <c r="AA1295" s="139">
        <f>U1295+Z1295</f>
        <v/>
      </c>
      <c r="AB1295" s="5" t="n"/>
      <c r="AC1295" s="5" t="n"/>
      <c r="AD1295" s="5" t="n"/>
      <c r="AE1295" s="5" t="n"/>
      <c r="AF1295" s="5" t="n"/>
      <c r="AG1295" s="5" t="n"/>
    </row>
    <row r="1296" outlineLevel="1" s="326">
      <c r="A1296" s="140" t="n">
        <v>28</v>
      </c>
      <c r="B1296" s="40">
        <f>B107</f>
        <v/>
      </c>
      <c r="C1296" s="141">
        <f>D107</f>
        <v/>
      </c>
      <c r="D1296" s="141">
        <f>I107</f>
        <v/>
      </c>
      <c r="E1296" s="141">
        <f>J107</f>
        <v/>
      </c>
      <c r="F1296" s="141">
        <f>K107</f>
        <v/>
      </c>
      <c r="G1296" s="138">
        <f>IF(AND($L$250&gt;0,A1296=$C$13),$L$250*($C$15+$C$18),0)+IF(AND($L$250&gt;0,A1296=$C$13),$C$24,0)</f>
        <v/>
      </c>
      <c r="H1296" s="138">
        <f>IF(OR($L$250&lt;=0,A1296&lt;$C$13),0,IF(AND($L$250&gt;0,$C$17&gt;0,A1296&gt;=$C$13,A1296&lt;($C$13+$C$17)),IF($C$17&lt;=0,0,IF($C$16=0,MAX($L$250*(1-$C$15),0)/$C$17,-PMT($C$16/12,$C$17*12,MAX($L$250*(1-$C$15),0))*12)),0)+X1296*($C$19+$C$20+$C$21)+$C$22+$C$23)</f>
        <v/>
      </c>
      <c r="I1296" s="138">
        <f>IF(B1296="Working",MIN(MAX(D1296-E1296-F1296-G1296-H1296,0),'Tax Assumptions'!$B$20),0)</f>
        <v/>
      </c>
      <c r="J1296" s="138">
        <f>IF(B1296="Working",D1296-E1296-F1296-I1296-G1296-H1296,-L1296)</f>
        <v/>
      </c>
      <c r="K1296" s="141">
        <f>IF(B1296="Retired",$N$250+G1296+H1296,0)</f>
        <v/>
      </c>
      <c r="L1296" s="141">
        <f>M1296+N1296+O1296+P1296</f>
        <v/>
      </c>
      <c r="M1296" s="141">
        <f>IF(B1296="Retired",MIN(((Q1295)*(1+$C$10)+IF(B1296="Working",J1296,0)),K1296),0)</f>
        <v/>
      </c>
      <c r="N1296" s="141">
        <f>IF(B1296="Retired",MIN(MAX(K1296-M1296,0),((R1295)*(1+$C$10)+IF(B1296="Working",E107,0))),0)</f>
        <v/>
      </c>
      <c r="O1296" s="141">
        <f>IF(B1296="Retired",MIN(MAX(K1296-M1296-N1296,0),((S1295)*(1+$C$10)+IF(B1296="Working",I1296,0))),0)</f>
        <v/>
      </c>
      <c r="P1296" s="141">
        <f>IF(B1296="Retired",MIN(MAX(K1296-M1296-N1296-O1296,0),((T1295)*(1+$C$10)+IF(B1296="Working",F107,0))),0)</f>
        <v/>
      </c>
      <c r="Q1296" s="138">
        <f>MAX(((Q1295)*(1+$C$10)+IF(B1296="Working",J1296,0))-M1296,0)</f>
        <v/>
      </c>
      <c r="R1296" s="138">
        <f>MAX(((R1295)*(1+$C$10)+IF(B1296="Working",E107,0))-N1296,0)</f>
        <v/>
      </c>
      <c r="S1296" s="138">
        <f>MAX(((S1295)*(1+$C$10)+IF(B1296="Working",I1296,0))-O1296,0)</f>
        <v/>
      </c>
      <c r="T1296" s="138">
        <f>MAX(((T1295)*(1+$C$10)+IF(B1296="Working",F107,0))-P1296,0)</f>
        <v/>
      </c>
      <c r="U1296" s="138">
        <f>Q1296+R1296+S1296+T1296</f>
        <v/>
      </c>
      <c r="V1296" s="138">
        <f>IF(B1296="Working",MAX(-(((Q1295)*(1+$C$10)+IF(B1296="Working",J1296,0))),0),MAX(K1296-L1296,0))</f>
        <v/>
      </c>
      <c r="W1296" s="138">
        <f>IF(OR(A1296&gt;=$C$13,B1296="Retired"),IF(V1296&gt;0,-V1296,U1296-'Model Inputs'!$B$18),"")</f>
        <v/>
      </c>
      <c r="X1296" s="138">
        <f>IF(AND($L$250&gt;0,A1296&gt;=$C$13),$L$250*(1+$C$25)^(A1296-$C$13),0)</f>
        <v/>
      </c>
      <c r="Y1296" s="138">
        <f>IF(OR($L$250&lt;=0,$C$17&lt;=0,A1296&lt;$C$13,MIN(MAX((A1296-$C$13+1)*12,0),$C$17*12)&gt;=$C$17*12),0,IF($C$16=0,MAX(MAX($L$250*(1-$C$15),0)-(IF($C$17&lt;=0,0,IF($C$16=0,MAX($L$250*(1-$C$15),0)/$C$17,-PMT($C$16/12,$C$17*12,MAX($L$250*(1-$C$15),0))*12))/12)*MIN(MAX((A1296-$C$13+1)*12,0),$C$17*12),0),MAX(MAX($L$250*(1-$C$15),0)*(1+$C$16/12)^MIN(MAX((A1296-$C$13+1)*12,0),$C$17*12)-(IF($C$17&lt;=0,0,IF($C$16=0,MAX($L$250*(1-$C$15),0)/$C$17,-PMT($C$16/12,$C$17*12,MAX($L$250*(1-$C$15),0))*12))/12)*(((1+$C$16/12)^MIN(MAX((A1296-$C$13+1)*12,0),$C$17*12)-1)/($C$16/12)),0)))</f>
        <v/>
      </c>
      <c r="Z1296" s="138">
        <f>MAX(X1296-Y1296,0)</f>
        <v/>
      </c>
      <c r="AA1296" s="142">
        <f>U1296+Z1296</f>
        <v/>
      </c>
      <c r="AB1296" s="5" t="n"/>
      <c r="AC1296" s="5" t="n"/>
      <c r="AD1296" s="5" t="n"/>
      <c r="AE1296" s="5" t="n"/>
      <c r="AF1296" s="5" t="n"/>
      <c r="AG1296" s="5" t="n"/>
    </row>
    <row r="1297" outlineLevel="1" s="326">
      <c r="A1297" s="136" t="n">
        <v>29</v>
      </c>
      <c r="B1297" s="72">
        <f>B108</f>
        <v/>
      </c>
      <c r="C1297" s="137">
        <f>D108</f>
        <v/>
      </c>
      <c r="D1297" s="137">
        <f>I108</f>
        <v/>
      </c>
      <c r="E1297" s="137">
        <f>J108</f>
        <v/>
      </c>
      <c r="F1297" s="137">
        <f>K108</f>
        <v/>
      </c>
      <c r="G1297" s="138">
        <f>IF(AND($L$250&gt;0,A1297=$C$13),$L$250*($C$15+$C$18),0)+IF(AND($L$250&gt;0,A1297=$C$13),$C$24,0)</f>
        <v/>
      </c>
      <c r="H1297" s="138">
        <f>IF(OR($L$250&lt;=0,A1297&lt;$C$13),0,IF(AND($L$250&gt;0,$C$17&gt;0,A1297&gt;=$C$13,A1297&lt;($C$13+$C$17)),IF($C$17&lt;=0,0,IF($C$16=0,MAX($L$250*(1-$C$15),0)/$C$17,-PMT($C$16/12,$C$17*12,MAX($L$250*(1-$C$15),0))*12)),0)+X1297*($C$19+$C$20+$C$21)+$C$22+$C$23)</f>
        <v/>
      </c>
      <c r="I1297" s="138">
        <f>IF(B1297="Working",MIN(MAX(D1297-E1297-F1297-G1297-H1297,0),'Tax Assumptions'!$B$20),0)</f>
        <v/>
      </c>
      <c r="J1297" s="138">
        <f>IF(B1297="Working",D1297-E1297-F1297-I1297-G1297-H1297,-L1297)</f>
        <v/>
      </c>
      <c r="K1297" s="137">
        <f>IF(B1297="Retired",$N$250+G1297+H1297,0)</f>
        <v/>
      </c>
      <c r="L1297" s="137">
        <f>M1297+N1297+O1297+P1297</f>
        <v/>
      </c>
      <c r="M1297" s="137">
        <f>IF(B1297="Retired",MIN(((Q1296)*(1+$C$10)+IF(B1297="Working",J1297,0)),K1297),0)</f>
        <v/>
      </c>
      <c r="N1297" s="137">
        <f>IF(B1297="Retired",MIN(MAX(K1297-M1297,0),((R1296)*(1+$C$10)+IF(B1297="Working",E108,0))),0)</f>
        <v/>
      </c>
      <c r="O1297" s="137">
        <f>IF(B1297="Retired",MIN(MAX(K1297-M1297-N1297,0),((S1296)*(1+$C$10)+IF(B1297="Working",I1297,0))),0)</f>
        <v/>
      </c>
      <c r="P1297" s="137">
        <f>IF(B1297="Retired",MIN(MAX(K1297-M1297-N1297-O1297,0),((T1296)*(1+$C$10)+IF(B1297="Working",F108,0))),0)</f>
        <v/>
      </c>
      <c r="Q1297" s="138">
        <f>MAX(((Q1296)*(1+$C$10)+IF(B1297="Working",J1297,0))-M1297,0)</f>
        <v/>
      </c>
      <c r="R1297" s="138">
        <f>MAX(((R1296)*(1+$C$10)+IF(B1297="Working",E108,0))-N1297,0)</f>
        <v/>
      </c>
      <c r="S1297" s="138">
        <f>MAX(((S1296)*(1+$C$10)+IF(B1297="Working",I1297,0))-O1297,0)</f>
        <v/>
      </c>
      <c r="T1297" s="138">
        <f>MAX(((T1296)*(1+$C$10)+IF(B1297="Working",F108,0))-P1297,0)</f>
        <v/>
      </c>
      <c r="U1297" s="138">
        <f>Q1297+R1297+S1297+T1297</f>
        <v/>
      </c>
      <c r="V1297" s="138">
        <f>IF(B1297="Working",MAX(-(((Q1296)*(1+$C$10)+IF(B1297="Working",J1297,0))),0),MAX(K1297-L1297,0))</f>
        <v/>
      </c>
      <c r="W1297" s="138">
        <f>IF(OR(A1297&gt;=$C$13,B1297="Retired"),IF(V1297&gt;0,-V1297,U1297-'Model Inputs'!$B$18),"")</f>
        <v/>
      </c>
      <c r="X1297" s="138">
        <f>IF(AND($L$250&gt;0,A1297&gt;=$C$13),$L$250*(1+$C$25)^(A1297-$C$13),0)</f>
        <v/>
      </c>
      <c r="Y1297" s="138">
        <f>IF(OR($L$250&lt;=0,$C$17&lt;=0,A1297&lt;$C$13,MIN(MAX((A1297-$C$13+1)*12,0),$C$17*12)&gt;=$C$17*12),0,IF($C$16=0,MAX(MAX($L$250*(1-$C$15),0)-(IF($C$17&lt;=0,0,IF($C$16=0,MAX($L$250*(1-$C$15),0)/$C$17,-PMT($C$16/12,$C$17*12,MAX($L$250*(1-$C$15),0))*12))/12)*MIN(MAX((A1297-$C$13+1)*12,0),$C$17*12),0),MAX(MAX($L$250*(1-$C$15),0)*(1+$C$16/12)^MIN(MAX((A1297-$C$13+1)*12,0),$C$17*12)-(IF($C$17&lt;=0,0,IF($C$16=0,MAX($L$250*(1-$C$15),0)/$C$17,-PMT($C$16/12,$C$17*12,MAX($L$250*(1-$C$15),0))*12))/12)*(((1+$C$16/12)^MIN(MAX((A1297-$C$13+1)*12,0),$C$17*12)-1)/($C$16/12)),0)))</f>
        <v/>
      </c>
      <c r="Z1297" s="138">
        <f>MAX(X1297-Y1297,0)</f>
        <v/>
      </c>
      <c r="AA1297" s="139">
        <f>U1297+Z1297</f>
        <v/>
      </c>
      <c r="AB1297" s="5" t="n"/>
      <c r="AC1297" s="5" t="n"/>
      <c r="AD1297" s="5" t="n"/>
      <c r="AE1297" s="5" t="n"/>
      <c r="AF1297" s="5" t="n"/>
      <c r="AG1297" s="5" t="n"/>
    </row>
    <row r="1298" outlineLevel="1" s="326">
      <c r="A1298" s="140" t="n">
        <v>30</v>
      </c>
      <c r="B1298" s="40">
        <f>B109</f>
        <v/>
      </c>
      <c r="C1298" s="141">
        <f>D109</f>
        <v/>
      </c>
      <c r="D1298" s="141">
        <f>I109</f>
        <v/>
      </c>
      <c r="E1298" s="141">
        <f>J109</f>
        <v/>
      </c>
      <c r="F1298" s="141">
        <f>K109</f>
        <v/>
      </c>
      <c r="G1298" s="138">
        <f>IF(AND($L$250&gt;0,A1298=$C$13),$L$250*($C$15+$C$18),0)+IF(AND($L$250&gt;0,A1298=$C$13),$C$24,0)</f>
        <v/>
      </c>
      <c r="H1298" s="138">
        <f>IF(OR($L$250&lt;=0,A1298&lt;$C$13),0,IF(AND($L$250&gt;0,$C$17&gt;0,A1298&gt;=$C$13,A1298&lt;($C$13+$C$17)),IF($C$17&lt;=0,0,IF($C$16=0,MAX($L$250*(1-$C$15),0)/$C$17,-PMT($C$16/12,$C$17*12,MAX($L$250*(1-$C$15),0))*12)),0)+X1298*($C$19+$C$20+$C$21)+$C$22+$C$23)</f>
        <v/>
      </c>
      <c r="I1298" s="138">
        <f>IF(B1298="Working",MIN(MAX(D1298-E1298-F1298-G1298-H1298,0),'Tax Assumptions'!$B$20),0)</f>
        <v/>
      </c>
      <c r="J1298" s="138">
        <f>IF(B1298="Working",D1298-E1298-F1298-I1298-G1298-H1298,-L1298)</f>
        <v/>
      </c>
      <c r="K1298" s="141">
        <f>IF(B1298="Retired",$N$250+G1298+H1298,0)</f>
        <v/>
      </c>
      <c r="L1298" s="141">
        <f>M1298+N1298+O1298+P1298</f>
        <v/>
      </c>
      <c r="M1298" s="141">
        <f>IF(B1298="Retired",MIN(((Q1297)*(1+$C$10)+IF(B1298="Working",J1298,0)),K1298),0)</f>
        <v/>
      </c>
      <c r="N1298" s="141">
        <f>IF(B1298="Retired",MIN(MAX(K1298-M1298,0),((R1297)*(1+$C$10)+IF(B1298="Working",E109,0))),0)</f>
        <v/>
      </c>
      <c r="O1298" s="141">
        <f>IF(B1298="Retired",MIN(MAX(K1298-M1298-N1298,0),((S1297)*(1+$C$10)+IF(B1298="Working",I1298,0))),0)</f>
        <v/>
      </c>
      <c r="P1298" s="141">
        <f>IF(B1298="Retired",MIN(MAX(K1298-M1298-N1298-O1298,0),((T1297)*(1+$C$10)+IF(B1298="Working",F109,0))),0)</f>
        <v/>
      </c>
      <c r="Q1298" s="138">
        <f>MAX(((Q1297)*(1+$C$10)+IF(B1298="Working",J1298,0))-M1298,0)</f>
        <v/>
      </c>
      <c r="R1298" s="138">
        <f>MAX(((R1297)*(1+$C$10)+IF(B1298="Working",E109,0))-N1298,0)</f>
        <v/>
      </c>
      <c r="S1298" s="138">
        <f>MAX(((S1297)*(1+$C$10)+IF(B1298="Working",I1298,0))-O1298,0)</f>
        <v/>
      </c>
      <c r="T1298" s="138">
        <f>MAX(((T1297)*(1+$C$10)+IF(B1298="Working",F109,0))-P1298,0)</f>
        <v/>
      </c>
      <c r="U1298" s="138">
        <f>Q1298+R1298+S1298+T1298</f>
        <v/>
      </c>
      <c r="V1298" s="138">
        <f>IF(B1298="Working",MAX(-(((Q1297)*(1+$C$10)+IF(B1298="Working",J1298,0))),0),MAX(K1298-L1298,0))</f>
        <v/>
      </c>
      <c r="W1298" s="138">
        <f>IF(OR(A1298&gt;=$C$13,B1298="Retired"),IF(V1298&gt;0,-V1298,U1298-'Model Inputs'!$B$18),"")</f>
        <v/>
      </c>
      <c r="X1298" s="138">
        <f>IF(AND($L$250&gt;0,A1298&gt;=$C$13),$L$250*(1+$C$25)^(A1298-$C$13),0)</f>
        <v/>
      </c>
      <c r="Y1298" s="138">
        <f>IF(OR($L$250&lt;=0,$C$17&lt;=0,A1298&lt;$C$13,MIN(MAX((A1298-$C$13+1)*12,0),$C$17*12)&gt;=$C$17*12),0,IF($C$16=0,MAX(MAX($L$250*(1-$C$15),0)-(IF($C$17&lt;=0,0,IF($C$16=0,MAX($L$250*(1-$C$15),0)/$C$17,-PMT($C$16/12,$C$17*12,MAX($L$250*(1-$C$15),0))*12))/12)*MIN(MAX((A1298-$C$13+1)*12,0),$C$17*12),0),MAX(MAX($L$250*(1-$C$15),0)*(1+$C$16/12)^MIN(MAX((A1298-$C$13+1)*12,0),$C$17*12)-(IF($C$17&lt;=0,0,IF($C$16=0,MAX($L$250*(1-$C$15),0)/$C$17,-PMT($C$16/12,$C$17*12,MAX($L$250*(1-$C$15),0))*12))/12)*(((1+$C$16/12)^MIN(MAX((A1298-$C$13+1)*12,0),$C$17*12)-1)/($C$16/12)),0)))</f>
        <v/>
      </c>
      <c r="Z1298" s="138">
        <f>MAX(X1298-Y1298,0)</f>
        <v/>
      </c>
      <c r="AA1298" s="142">
        <f>U1298+Z1298</f>
        <v/>
      </c>
      <c r="AB1298" s="5" t="n"/>
      <c r="AC1298" s="5" t="n"/>
      <c r="AD1298" s="5" t="n"/>
      <c r="AE1298" s="5" t="n"/>
      <c r="AF1298" s="5" t="n"/>
      <c r="AG1298" s="5" t="n"/>
    </row>
    <row r="1299" outlineLevel="1" s="326">
      <c r="A1299" s="136" t="n">
        <v>31</v>
      </c>
      <c r="B1299" s="72">
        <f>B110</f>
        <v/>
      </c>
      <c r="C1299" s="137">
        <f>D110</f>
        <v/>
      </c>
      <c r="D1299" s="137">
        <f>I110</f>
        <v/>
      </c>
      <c r="E1299" s="137">
        <f>J110</f>
        <v/>
      </c>
      <c r="F1299" s="137">
        <f>K110</f>
        <v/>
      </c>
      <c r="G1299" s="138">
        <f>IF(AND($L$250&gt;0,A1299=$C$13),$L$250*($C$15+$C$18),0)+IF(AND($L$250&gt;0,A1299=$C$13),$C$24,0)</f>
        <v/>
      </c>
      <c r="H1299" s="138">
        <f>IF(OR($L$250&lt;=0,A1299&lt;$C$13),0,IF(AND($L$250&gt;0,$C$17&gt;0,A1299&gt;=$C$13,A1299&lt;($C$13+$C$17)),IF($C$17&lt;=0,0,IF($C$16=0,MAX($L$250*(1-$C$15),0)/$C$17,-PMT($C$16/12,$C$17*12,MAX($L$250*(1-$C$15),0))*12)),0)+X1299*($C$19+$C$20+$C$21)+$C$22+$C$23)</f>
        <v/>
      </c>
      <c r="I1299" s="138">
        <f>IF(B1299="Working",MIN(MAX(D1299-E1299-F1299-G1299-H1299,0),'Tax Assumptions'!$B$20),0)</f>
        <v/>
      </c>
      <c r="J1299" s="138">
        <f>IF(B1299="Working",D1299-E1299-F1299-I1299-G1299-H1299,-L1299)</f>
        <v/>
      </c>
      <c r="K1299" s="137">
        <f>IF(B1299="Retired",$N$250+G1299+H1299,0)</f>
        <v/>
      </c>
      <c r="L1299" s="137">
        <f>M1299+N1299+O1299+P1299</f>
        <v/>
      </c>
      <c r="M1299" s="137">
        <f>IF(B1299="Retired",MIN(((Q1298)*(1+$C$10)+IF(B1299="Working",J1299,0)),K1299),0)</f>
        <v/>
      </c>
      <c r="N1299" s="137">
        <f>IF(B1299="Retired",MIN(MAX(K1299-M1299,0),((R1298)*(1+$C$10)+IF(B1299="Working",E110,0))),0)</f>
        <v/>
      </c>
      <c r="O1299" s="137">
        <f>IF(B1299="Retired",MIN(MAX(K1299-M1299-N1299,0),((S1298)*(1+$C$10)+IF(B1299="Working",I1299,0))),0)</f>
        <v/>
      </c>
      <c r="P1299" s="137">
        <f>IF(B1299="Retired",MIN(MAX(K1299-M1299-N1299-O1299,0),((T1298)*(1+$C$10)+IF(B1299="Working",F110,0))),0)</f>
        <v/>
      </c>
      <c r="Q1299" s="138">
        <f>MAX(((Q1298)*(1+$C$10)+IF(B1299="Working",J1299,0))-M1299,0)</f>
        <v/>
      </c>
      <c r="R1299" s="138">
        <f>MAX(((R1298)*(1+$C$10)+IF(B1299="Working",E110,0))-N1299,0)</f>
        <v/>
      </c>
      <c r="S1299" s="138">
        <f>MAX(((S1298)*(1+$C$10)+IF(B1299="Working",I1299,0))-O1299,0)</f>
        <v/>
      </c>
      <c r="T1299" s="138">
        <f>MAX(((T1298)*(1+$C$10)+IF(B1299="Working",F110,0))-P1299,0)</f>
        <v/>
      </c>
      <c r="U1299" s="138">
        <f>Q1299+R1299+S1299+T1299</f>
        <v/>
      </c>
      <c r="V1299" s="138">
        <f>IF(B1299="Working",MAX(-(((Q1298)*(1+$C$10)+IF(B1299="Working",J1299,0))),0),MAX(K1299-L1299,0))</f>
        <v/>
      </c>
      <c r="W1299" s="138">
        <f>IF(OR(A1299&gt;=$C$13,B1299="Retired"),IF(V1299&gt;0,-V1299,U1299-'Model Inputs'!$B$18),"")</f>
        <v/>
      </c>
      <c r="X1299" s="138">
        <f>IF(AND($L$250&gt;0,A1299&gt;=$C$13),$L$250*(1+$C$25)^(A1299-$C$13),0)</f>
        <v/>
      </c>
      <c r="Y1299" s="138">
        <f>IF(OR($L$250&lt;=0,$C$17&lt;=0,A1299&lt;$C$13,MIN(MAX((A1299-$C$13+1)*12,0),$C$17*12)&gt;=$C$17*12),0,IF($C$16=0,MAX(MAX($L$250*(1-$C$15),0)-(IF($C$17&lt;=0,0,IF($C$16=0,MAX($L$250*(1-$C$15),0)/$C$17,-PMT($C$16/12,$C$17*12,MAX($L$250*(1-$C$15),0))*12))/12)*MIN(MAX((A1299-$C$13+1)*12,0),$C$17*12),0),MAX(MAX($L$250*(1-$C$15),0)*(1+$C$16/12)^MIN(MAX((A1299-$C$13+1)*12,0),$C$17*12)-(IF($C$17&lt;=0,0,IF($C$16=0,MAX($L$250*(1-$C$15),0)/$C$17,-PMT($C$16/12,$C$17*12,MAX($L$250*(1-$C$15),0))*12))/12)*(((1+$C$16/12)^MIN(MAX((A1299-$C$13+1)*12,0),$C$17*12)-1)/($C$16/12)),0)))</f>
        <v/>
      </c>
      <c r="Z1299" s="138">
        <f>MAX(X1299-Y1299,0)</f>
        <v/>
      </c>
      <c r="AA1299" s="139">
        <f>U1299+Z1299</f>
        <v/>
      </c>
      <c r="AB1299" s="5" t="n"/>
      <c r="AC1299" s="5" t="n"/>
      <c r="AD1299" s="5" t="n"/>
      <c r="AE1299" s="5" t="n"/>
      <c r="AF1299" s="5" t="n"/>
      <c r="AG1299" s="5" t="n"/>
    </row>
    <row r="1300" outlineLevel="1" s="326">
      <c r="A1300" s="140" t="n">
        <v>32</v>
      </c>
      <c r="B1300" s="40">
        <f>B111</f>
        <v/>
      </c>
      <c r="C1300" s="141">
        <f>D111</f>
        <v/>
      </c>
      <c r="D1300" s="141">
        <f>I111</f>
        <v/>
      </c>
      <c r="E1300" s="141">
        <f>J111</f>
        <v/>
      </c>
      <c r="F1300" s="141">
        <f>K111</f>
        <v/>
      </c>
      <c r="G1300" s="138">
        <f>IF(AND($L$250&gt;0,A1300=$C$13),$L$250*($C$15+$C$18),0)+IF(AND($L$250&gt;0,A1300=$C$13),$C$24,0)</f>
        <v/>
      </c>
      <c r="H1300" s="138">
        <f>IF(OR($L$250&lt;=0,A1300&lt;$C$13),0,IF(AND($L$250&gt;0,$C$17&gt;0,A1300&gt;=$C$13,A1300&lt;($C$13+$C$17)),IF($C$17&lt;=0,0,IF($C$16=0,MAX($L$250*(1-$C$15),0)/$C$17,-PMT($C$16/12,$C$17*12,MAX($L$250*(1-$C$15),0))*12)),0)+X1300*($C$19+$C$20+$C$21)+$C$22+$C$23)</f>
        <v/>
      </c>
      <c r="I1300" s="138">
        <f>IF(B1300="Working",MIN(MAX(D1300-E1300-F1300-G1300-H1300,0),'Tax Assumptions'!$B$20),0)</f>
        <v/>
      </c>
      <c r="J1300" s="138">
        <f>IF(B1300="Working",D1300-E1300-F1300-I1300-G1300-H1300,-L1300)</f>
        <v/>
      </c>
      <c r="K1300" s="141">
        <f>IF(B1300="Retired",$N$250+G1300+H1300,0)</f>
        <v/>
      </c>
      <c r="L1300" s="141">
        <f>M1300+N1300+O1300+P1300</f>
        <v/>
      </c>
      <c r="M1300" s="141">
        <f>IF(B1300="Retired",MIN(((Q1299)*(1+$C$10)+IF(B1300="Working",J1300,0)),K1300),0)</f>
        <v/>
      </c>
      <c r="N1300" s="141">
        <f>IF(B1300="Retired",MIN(MAX(K1300-M1300,0),((R1299)*(1+$C$10)+IF(B1300="Working",E111,0))),0)</f>
        <v/>
      </c>
      <c r="O1300" s="141">
        <f>IF(B1300="Retired",MIN(MAX(K1300-M1300-N1300,0),((S1299)*(1+$C$10)+IF(B1300="Working",I1300,0))),0)</f>
        <v/>
      </c>
      <c r="P1300" s="141">
        <f>IF(B1300="Retired",MIN(MAX(K1300-M1300-N1300-O1300,0),((T1299)*(1+$C$10)+IF(B1300="Working",F111,0))),0)</f>
        <v/>
      </c>
      <c r="Q1300" s="138">
        <f>MAX(((Q1299)*(1+$C$10)+IF(B1300="Working",J1300,0))-M1300,0)</f>
        <v/>
      </c>
      <c r="R1300" s="138">
        <f>MAX(((R1299)*(1+$C$10)+IF(B1300="Working",E111,0))-N1300,0)</f>
        <v/>
      </c>
      <c r="S1300" s="138">
        <f>MAX(((S1299)*(1+$C$10)+IF(B1300="Working",I1300,0))-O1300,0)</f>
        <v/>
      </c>
      <c r="T1300" s="138">
        <f>MAX(((T1299)*(1+$C$10)+IF(B1300="Working",F111,0))-P1300,0)</f>
        <v/>
      </c>
      <c r="U1300" s="138">
        <f>Q1300+R1300+S1300+T1300</f>
        <v/>
      </c>
      <c r="V1300" s="138">
        <f>IF(B1300="Working",MAX(-(((Q1299)*(1+$C$10)+IF(B1300="Working",J1300,0))),0),MAX(K1300-L1300,0))</f>
        <v/>
      </c>
      <c r="W1300" s="138">
        <f>IF(OR(A1300&gt;=$C$13,B1300="Retired"),IF(V1300&gt;0,-V1300,U1300-'Model Inputs'!$B$18),"")</f>
        <v/>
      </c>
      <c r="X1300" s="138">
        <f>IF(AND($L$250&gt;0,A1300&gt;=$C$13),$L$250*(1+$C$25)^(A1300-$C$13),0)</f>
        <v/>
      </c>
      <c r="Y1300" s="138">
        <f>IF(OR($L$250&lt;=0,$C$17&lt;=0,A1300&lt;$C$13,MIN(MAX((A1300-$C$13+1)*12,0),$C$17*12)&gt;=$C$17*12),0,IF($C$16=0,MAX(MAX($L$250*(1-$C$15),0)-(IF($C$17&lt;=0,0,IF($C$16=0,MAX($L$250*(1-$C$15),0)/$C$17,-PMT($C$16/12,$C$17*12,MAX($L$250*(1-$C$15),0))*12))/12)*MIN(MAX((A1300-$C$13+1)*12,0),$C$17*12),0),MAX(MAX($L$250*(1-$C$15),0)*(1+$C$16/12)^MIN(MAX((A1300-$C$13+1)*12,0),$C$17*12)-(IF($C$17&lt;=0,0,IF($C$16=0,MAX($L$250*(1-$C$15),0)/$C$17,-PMT($C$16/12,$C$17*12,MAX($L$250*(1-$C$15),0))*12))/12)*(((1+$C$16/12)^MIN(MAX((A1300-$C$13+1)*12,0),$C$17*12)-1)/($C$16/12)),0)))</f>
        <v/>
      </c>
      <c r="Z1300" s="138">
        <f>MAX(X1300-Y1300,0)</f>
        <v/>
      </c>
      <c r="AA1300" s="142">
        <f>U1300+Z1300</f>
        <v/>
      </c>
      <c r="AB1300" s="5" t="n"/>
      <c r="AC1300" s="5" t="n"/>
      <c r="AD1300" s="5" t="n"/>
      <c r="AE1300" s="5" t="n"/>
      <c r="AF1300" s="5" t="n"/>
      <c r="AG1300" s="5" t="n"/>
    </row>
    <row r="1301" outlineLevel="1" s="326">
      <c r="A1301" s="136" t="n">
        <v>33</v>
      </c>
      <c r="B1301" s="72">
        <f>B112</f>
        <v/>
      </c>
      <c r="C1301" s="137">
        <f>D112</f>
        <v/>
      </c>
      <c r="D1301" s="137">
        <f>I112</f>
        <v/>
      </c>
      <c r="E1301" s="137">
        <f>J112</f>
        <v/>
      </c>
      <c r="F1301" s="137">
        <f>K112</f>
        <v/>
      </c>
      <c r="G1301" s="138">
        <f>IF(AND($L$250&gt;0,A1301=$C$13),$L$250*($C$15+$C$18),0)+IF(AND($L$250&gt;0,A1301=$C$13),$C$24,0)</f>
        <v/>
      </c>
      <c r="H1301" s="138">
        <f>IF(OR($L$250&lt;=0,A1301&lt;$C$13),0,IF(AND($L$250&gt;0,$C$17&gt;0,A1301&gt;=$C$13,A1301&lt;($C$13+$C$17)),IF($C$17&lt;=0,0,IF($C$16=0,MAX($L$250*(1-$C$15),0)/$C$17,-PMT($C$16/12,$C$17*12,MAX($L$250*(1-$C$15),0))*12)),0)+X1301*($C$19+$C$20+$C$21)+$C$22+$C$23)</f>
        <v/>
      </c>
      <c r="I1301" s="138">
        <f>IF(B1301="Working",MIN(MAX(D1301-E1301-F1301-G1301-H1301,0),'Tax Assumptions'!$B$20),0)</f>
        <v/>
      </c>
      <c r="J1301" s="138">
        <f>IF(B1301="Working",D1301-E1301-F1301-I1301-G1301-H1301,-L1301)</f>
        <v/>
      </c>
      <c r="K1301" s="137">
        <f>IF(B1301="Retired",$N$250+G1301+H1301,0)</f>
        <v/>
      </c>
      <c r="L1301" s="137">
        <f>M1301+N1301+O1301+P1301</f>
        <v/>
      </c>
      <c r="M1301" s="137">
        <f>IF(B1301="Retired",MIN(((Q1300)*(1+$C$10)+IF(B1301="Working",J1301,0)),K1301),0)</f>
        <v/>
      </c>
      <c r="N1301" s="137">
        <f>IF(B1301="Retired",MIN(MAX(K1301-M1301,0),((R1300)*(1+$C$10)+IF(B1301="Working",E112,0))),0)</f>
        <v/>
      </c>
      <c r="O1301" s="137">
        <f>IF(B1301="Retired",MIN(MAX(K1301-M1301-N1301,0),((S1300)*(1+$C$10)+IF(B1301="Working",I1301,0))),0)</f>
        <v/>
      </c>
      <c r="P1301" s="137">
        <f>IF(B1301="Retired",MIN(MAX(K1301-M1301-N1301-O1301,0),((T1300)*(1+$C$10)+IF(B1301="Working",F112,0))),0)</f>
        <v/>
      </c>
      <c r="Q1301" s="138">
        <f>MAX(((Q1300)*(1+$C$10)+IF(B1301="Working",J1301,0))-M1301,0)</f>
        <v/>
      </c>
      <c r="R1301" s="138">
        <f>MAX(((R1300)*(1+$C$10)+IF(B1301="Working",E112,0))-N1301,0)</f>
        <v/>
      </c>
      <c r="S1301" s="138">
        <f>MAX(((S1300)*(1+$C$10)+IF(B1301="Working",I1301,0))-O1301,0)</f>
        <v/>
      </c>
      <c r="T1301" s="138">
        <f>MAX(((T1300)*(1+$C$10)+IF(B1301="Working",F112,0))-P1301,0)</f>
        <v/>
      </c>
      <c r="U1301" s="138">
        <f>Q1301+R1301+S1301+T1301</f>
        <v/>
      </c>
      <c r="V1301" s="138">
        <f>IF(B1301="Working",MAX(-(((Q1300)*(1+$C$10)+IF(B1301="Working",J1301,0))),0),MAX(K1301-L1301,0))</f>
        <v/>
      </c>
      <c r="W1301" s="138">
        <f>IF(OR(A1301&gt;=$C$13,B1301="Retired"),IF(V1301&gt;0,-V1301,U1301-'Model Inputs'!$B$18),"")</f>
        <v/>
      </c>
      <c r="X1301" s="138">
        <f>IF(AND($L$250&gt;0,A1301&gt;=$C$13),$L$250*(1+$C$25)^(A1301-$C$13),0)</f>
        <v/>
      </c>
      <c r="Y1301" s="138">
        <f>IF(OR($L$250&lt;=0,$C$17&lt;=0,A1301&lt;$C$13,MIN(MAX((A1301-$C$13+1)*12,0),$C$17*12)&gt;=$C$17*12),0,IF($C$16=0,MAX(MAX($L$250*(1-$C$15),0)-(IF($C$17&lt;=0,0,IF($C$16=0,MAX($L$250*(1-$C$15),0)/$C$17,-PMT($C$16/12,$C$17*12,MAX($L$250*(1-$C$15),0))*12))/12)*MIN(MAX((A1301-$C$13+1)*12,0),$C$17*12),0),MAX(MAX($L$250*(1-$C$15),0)*(1+$C$16/12)^MIN(MAX((A1301-$C$13+1)*12,0),$C$17*12)-(IF($C$17&lt;=0,0,IF($C$16=0,MAX($L$250*(1-$C$15),0)/$C$17,-PMT($C$16/12,$C$17*12,MAX($L$250*(1-$C$15),0))*12))/12)*(((1+$C$16/12)^MIN(MAX((A1301-$C$13+1)*12,0),$C$17*12)-1)/($C$16/12)),0)))</f>
        <v/>
      </c>
      <c r="Z1301" s="138">
        <f>MAX(X1301-Y1301,0)</f>
        <v/>
      </c>
      <c r="AA1301" s="139">
        <f>U1301+Z1301</f>
        <v/>
      </c>
      <c r="AB1301" s="5" t="n"/>
      <c r="AC1301" s="5" t="n"/>
      <c r="AD1301" s="5" t="n"/>
      <c r="AE1301" s="5" t="n"/>
      <c r="AF1301" s="5" t="n"/>
      <c r="AG1301" s="5" t="n"/>
    </row>
    <row r="1302" outlineLevel="1" s="326">
      <c r="A1302" s="140" t="n">
        <v>34</v>
      </c>
      <c r="B1302" s="40">
        <f>B113</f>
        <v/>
      </c>
      <c r="C1302" s="141">
        <f>D113</f>
        <v/>
      </c>
      <c r="D1302" s="141">
        <f>I113</f>
        <v/>
      </c>
      <c r="E1302" s="141">
        <f>J113</f>
        <v/>
      </c>
      <c r="F1302" s="141">
        <f>K113</f>
        <v/>
      </c>
      <c r="G1302" s="138">
        <f>IF(AND($L$250&gt;0,A1302=$C$13),$L$250*($C$15+$C$18),0)+IF(AND($L$250&gt;0,A1302=$C$13),$C$24,0)</f>
        <v/>
      </c>
      <c r="H1302" s="138">
        <f>IF(OR($L$250&lt;=0,A1302&lt;$C$13),0,IF(AND($L$250&gt;0,$C$17&gt;0,A1302&gt;=$C$13,A1302&lt;($C$13+$C$17)),IF($C$17&lt;=0,0,IF($C$16=0,MAX($L$250*(1-$C$15),0)/$C$17,-PMT($C$16/12,$C$17*12,MAX($L$250*(1-$C$15),0))*12)),0)+X1302*($C$19+$C$20+$C$21)+$C$22+$C$23)</f>
        <v/>
      </c>
      <c r="I1302" s="138">
        <f>IF(B1302="Working",MIN(MAX(D1302-E1302-F1302-G1302-H1302,0),'Tax Assumptions'!$B$20),0)</f>
        <v/>
      </c>
      <c r="J1302" s="138">
        <f>IF(B1302="Working",D1302-E1302-F1302-I1302-G1302-H1302,-L1302)</f>
        <v/>
      </c>
      <c r="K1302" s="141">
        <f>IF(B1302="Retired",$N$250+G1302+H1302,0)</f>
        <v/>
      </c>
      <c r="L1302" s="141">
        <f>M1302+N1302+O1302+P1302</f>
        <v/>
      </c>
      <c r="M1302" s="141">
        <f>IF(B1302="Retired",MIN(((Q1301)*(1+$C$10)+IF(B1302="Working",J1302,0)),K1302),0)</f>
        <v/>
      </c>
      <c r="N1302" s="141">
        <f>IF(B1302="Retired",MIN(MAX(K1302-M1302,0),((R1301)*(1+$C$10)+IF(B1302="Working",E113,0))),0)</f>
        <v/>
      </c>
      <c r="O1302" s="141">
        <f>IF(B1302="Retired",MIN(MAX(K1302-M1302-N1302,0),((S1301)*(1+$C$10)+IF(B1302="Working",I1302,0))),0)</f>
        <v/>
      </c>
      <c r="P1302" s="141">
        <f>IF(B1302="Retired",MIN(MAX(K1302-M1302-N1302-O1302,0),((T1301)*(1+$C$10)+IF(B1302="Working",F113,0))),0)</f>
        <v/>
      </c>
      <c r="Q1302" s="138">
        <f>MAX(((Q1301)*(1+$C$10)+IF(B1302="Working",J1302,0))-M1302,0)</f>
        <v/>
      </c>
      <c r="R1302" s="138">
        <f>MAX(((R1301)*(1+$C$10)+IF(B1302="Working",E113,0))-N1302,0)</f>
        <v/>
      </c>
      <c r="S1302" s="138">
        <f>MAX(((S1301)*(1+$C$10)+IF(B1302="Working",I1302,0))-O1302,0)</f>
        <v/>
      </c>
      <c r="T1302" s="138">
        <f>MAX(((T1301)*(1+$C$10)+IF(B1302="Working",F113,0))-P1302,0)</f>
        <v/>
      </c>
      <c r="U1302" s="138">
        <f>Q1302+R1302+S1302+T1302</f>
        <v/>
      </c>
      <c r="V1302" s="138">
        <f>IF(B1302="Working",MAX(-(((Q1301)*(1+$C$10)+IF(B1302="Working",J1302,0))),0),MAX(K1302-L1302,0))</f>
        <v/>
      </c>
      <c r="W1302" s="138">
        <f>IF(OR(A1302&gt;=$C$13,B1302="Retired"),IF(V1302&gt;0,-V1302,U1302-'Model Inputs'!$B$18),"")</f>
        <v/>
      </c>
      <c r="X1302" s="138">
        <f>IF(AND($L$250&gt;0,A1302&gt;=$C$13),$L$250*(1+$C$25)^(A1302-$C$13),0)</f>
        <v/>
      </c>
      <c r="Y1302" s="138">
        <f>IF(OR($L$250&lt;=0,$C$17&lt;=0,A1302&lt;$C$13,MIN(MAX((A1302-$C$13+1)*12,0),$C$17*12)&gt;=$C$17*12),0,IF($C$16=0,MAX(MAX($L$250*(1-$C$15),0)-(IF($C$17&lt;=0,0,IF($C$16=0,MAX($L$250*(1-$C$15),0)/$C$17,-PMT($C$16/12,$C$17*12,MAX($L$250*(1-$C$15),0))*12))/12)*MIN(MAX((A1302-$C$13+1)*12,0),$C$17*12),0),MAX(MAX($L$250*(1-$C$15),0)*(1+$C$16/12)^MIN(MAX((A1302-$C$13+1)*12,0),$C$17*12)-(IF($C$17&lt;=0,0,IF($C$16=0,MAX($L$250*(1-$C$15),0)/$C$17,-PMT($C$16/12,$C$17*12,MAX($L$250*(1-$C$15),0))*12))/12)*(((1+$C$16/12)^MIN(MAX((A1302-$C$13+1)*12,0),$C$17*12)-1)/($C$16/12)),0)))</f>
        <v/>
      </c>
      <c r="Z1302" s="138">
        <f>MAX(X1302-Y1302,0)</f>
        <v/>
      </c>
      <c r="AA1302" s="142">
        <f>U1302+Z1302</f>
        <v/>
      </c>
      <c r="AB1302" s="5" t="n"/>
      <c r="AC1302" s="5" t="n"/>
      <c r="AD1302" s="5" t="n"/>
      <c r="AE1302" s="5" t="n"/>
      <c r="AF1302" s="5" t="n"/>
      <c r="AG1302" s="5" t="n"/>
    </row>
    <row r="1303" outlineLevel="1" s="326">
      <c r="A1303" s="136" t="n">
        <v>35</v>
      </c>
      <c r="B1303" s="72">
        <f>B114</f>
        <v/>
      </c>
      <c r="C1303" s="137">
        <f>D114</f>
        <v/>
      </c>
      <c r="D1303" s="137">
        <f>I114</f>
        <v/>
      </c>
      <c r="E1303" s="137">
        <f>J114</f>
        <v/>
      </c>
      <c r="F1303" s="137">
        <f>K114</f>
        <v/>
      </c>
      <c r="G1303" s="138">
        <f>IF(AND($L$250&gt;0,A1303=$C$13),$L$250*($C$15+$C$18),0)+IF(AND($L$250&gt;0,A1303=$C$13),$C$24,0)</f>
        <v/>
      </c>
      <c r="H1303" s="138">
        <f>IF(OR($L$250&lt;=0,A1303&lt;$C$13),0,IF(AND($L$250&gt;0,$C$17&gt;0,A1303&gt;=$C$13,A1303&lt;($C$13+$C$17)),IF($C$17&lt;=0,0,IF($C$16=0,MAX($L$250*(1-$C$15),0)/$C$17,-PMT($C$16/12,$C$17*12,MAX($L$250*(1-$C$15),0))*12)),0)+X1303*($C$19+$C$20+$C$21)+$C$22+$C$23)</f>
        <v/>
      </c>
      <c r="I1303" s="138">
        <f>IF(B1303="Working",MIN(MAX(D1303-E1303-F1303-G1303-H1303,0),'Tax Assumptions'!$B$20),0)</f>
        <v/>
      </c>
      <c r="J1303" s="138">
        <f>IF(B1303="Working",D1303-E1303-F1303-I1303-G1303-H1303,-L1303)</f>
        <v/>
      </c>
      <c r="K1303" s="137">
        <f>IF(B1303="Retired",$N$250+G1303+H1303,0)</f>
        <v/>
      </c>
      <c r="L1303" s="137">
        <f>M1303+N1303+O1303+P1303</f>
        <v/>
      </c>
      <c r="M1303" s="137">
        <f>IF(B1303="Retired",MIN(((Q1302)*(1+$C$10)+IF(B1303="Working",J1303,0)),K1303),0)</f>
        <v/>
      </c>
      <c r="N1303" s="137">
        <f>IF(B1303="Retired",MIN(MAX(K1303-M1303,0),((R1302)*(1+$C$10)+IF(B1303="Working",E114,0))),0)</f>
        <v/>
      </c>
      <c r="O1303" s="137">
        <f>IF(B1303="Retired",MIN(MAX(K1303-M1303-N1303,0),((S1302)*(1+$C$10)+IF(B1303="Working",I1303,0))),0)</f>
        <v/>
      </c>
      <c r="P1303" s="137">
        <f>IF(B1303="Retired",MIN(MAX(K1303-M1303-N1303-O1303,0),((T1302)*(1+$C$10)+IF(B1303="Working",F114,0))),0)</f>
        <v/>
      </c>
      <c r="Q1303" s="138">
        <f>MAX(((Q1302)*(1+$C$10)+IF(B1303="Working",J1303,0))-M1303,0)</f>
        <v/>
      </c>
      <c r="R1303" s="138">
        <f>MAX(((R1302)*(1+$C$10)+IF(B1303="Working",E114,0))-N1303,0)</f>
        <v/>
      </c>
      <c r="S1303" s="138">
        <f>MAX(((S1302)*(1+$C$10)+IF(B1303="Working",I1303,0))-O1303,0)</f>
        <v/>
      </c>
      <c r="T1303" s="138">
        <f>MAX(((T1302)*(1+$C$10)+IF(B1303="Working",F114,0))-P1303,0)</f>
        <v/>
      </c>
      <c r="U1303" s="138">
        <f>Q1303+R1303+S1303+T1303</f>
        <v/>
      </c>
      <c r="V1303" s="138">
        <f>IF(B1303="Working",MAX(-(((Q1302)*(1+$C$10)+IF(B1303="Working",J1303,0))),0),MAX(K1303-L1303,0))</f>
        <v/>
      </c>
      <c r="W1303" s="138">
        <f>IF(OR(A1303&gt;=$C$13,B1303="Retired"),IF(V1303&gt;0,-V1303,U1303-'Model Inputs'!$B$18),"")</f>
        <v/>
      </c>
      <c r="X1303" s="138">
        <f>IF(AND($L$250&gt;0,A1303&gt;=$C$13),$L$250*(1+$C$25)^(A1303-$C$13),0)</f>
        <v/>
      </c>
      <c r="Y1303" s="138">
        <f>IF(OR($L$250&lt;=0,$C$17&lt;=0,A1303&lt;$C$13,MIN(MAX((A1303-$C$13+1)*12,0),$C$17*12)&gt;=$C$17*12),0,IF($C$16=0,MAX(MAX($L$250*(1-$C$15),0)-(IF($C$17&lt;=0,0,IF($C$16=0,MAX($L$250*(1-$C$15),0)/$C$17,-PMT($C$16/12,$C$17*12,MAX($L$250*(1-$C$15),0))*12))/12)*MIN(MAX((A1303-$C$13+1)*12,0),$C$17*12),0),MAX(MAX($L$250*(1-$C$15),0)*(1+$C$16/12)^MIN(MAX((A1303-$C$13+1)*12,0),$C$17*12)-(IF($C$17&lt;=0,0,IF($C$16=0,MAX($L$250*(1-$C$15),0)/$C$17,-PMT($C$16/12,$C$17*12,MAX($L$250*(1-$C$15),0))*12))/12)*(((1+$C$16/12)^MIN(MAX((A1303-$C$13+1)*12,0),$C$17*12)-1)/($C$16/12)),0)))</f>
        <v/>
      </c>
      <c r="Z1303" s="138">
        <f>MAX(X1303-Y1303,0)</f>
        <v/>
      </c>
      <c r="AA1303" s="139">
        <f>U1303+Z1303</f>
        <v/>
      </c>
      <c r="AB1303" s="5" t="n"/>
      <c r="AC1303" s="5" t="n"/>
      <c r="AD1303" s="5" t="n"/>
      <c r="AE1303" s="5" t="n"/>
      <c r="AF1303" s="5" t="n"/>
      <c r="AG1303" s="5" t="n"/>
    </row>
    <row r="1304" outlineLevel="1" s="326">
      <c r="A1304" s="140" t="n">
        <v>36</v>
      </c>
      <c r="B1304" s="40">
        <f>B115</f>
        <v/>
      </c>
      <c r="C1304" s="141">
        <f>D115</f>
        <v/>
      </c>
      <c r="D1304" s="141">
        <f>I115</f>
        <v/>
      </c>
      <c r="E1304" s="141">
        <f>J115</f>
        <v/>
      </c>
      <c r="F1304" s="141">
        <f>K115</f>
        <v/>
      </c>
      <c r="G1304" s="138">
        <f>IF(AND($L$250&gt;0,A1304=$C$13),$L$250*($C$15+$C$18),0)+IF(AND($L$250&gt;0,A1304=$C$13),$C$24,0)</f>
        <v/>
      </c>
      <c r="H1304" s="138">
        <f>IF(OR($L$250&lt;=0,A1304&lt;$C$13),0,IF(AND($L$250&gt;0,$C$17&gt;0,A1304&gt;=$C$13,A1304&lt;($C$13+$C$17)),IF($C$17&lt;=0,0,IF($C$16=0,MAX($L$250*(1-$C$15),0)/$C$17,-PMT($C$16/12,$C$17*12,MAX($L$250*(1-$C$15),0))*12)),0)+X1304*($C$19+$C$20+$C$21)+$C$22+$C$23)</f>
        <v/>
      </c>
      <c r="I1304" s="138">
        <f>IF(B1304="Working",MIN(MAX(D1304-E1304-F1304-G1304-H1304,0),'Tax Assumptions'!$B$20),0)</f>
        <v/>
      </c>
      <c r="J1304" s="138">
        <f>IF(B1304="Working",D1304-E1304-F1304-I1304-G1304-H1304,-L1304)</f>
        <v/>
      </c>
      <c r="K1304" s="141">
        <f>IF(B1304="Retired",$N$250+G1304+H1304,0)</f>
        <v/>
      </c>
      <c r="L1304" s="141">
        <f>M1304+N1304+O1304+P1304</f>
        <v/>
      </c>
      <c r="M1304" s="141">
        <f>IF(B1304="Retired",MIN(((Q1303)*(1+$C$10)+IF(B1304="Working",J1304,0)),K1304),0)</f>
        <v/>
      </c>
      <c r="N1304" s="141">
        <f>IF(B1304="Retired",MIN(MAX(K1304-M1304,0),((R1303)*(1+$C$10)+IF(B1304="Working",E115,0))),0)</f>
        <v/>
      </c>
      <c r="O1304" s="141">
        <f>IF(B1304="Retired",MIN(MAX(K1304-M1304-N1304,0),((S1303)*(1+$C$10)+IF(B1304="Working",I1304,0))),0)</f>
        <v/>
      </c>
      <c r="P1304" s="141">
        <f>IF(B1304="Retired",MIN(MAX(K1304-M1304-N1304-O1304,0),((T1303)*(1+$C$10)+IF(B1304="Working",F115,0))),0)</f>
        <v/>
      </c>
      <c r="Q1304" s="138">
        <f>MAX(((Q1303)*(1+$C$10)+IF(B1304="Working",J1304,0))-M1304,0)</f>
        <v/>
      </c>
      <c r="R1304" s="138">
        <f>MAX(((R1303)*(1+$C$10)+IF(B1304="Working",E115,0))-N1304,0)</f>
        <v/>
      </c>
      <c r="S1304" s="138">
        <f>MAX(((S1303)*(1+$C$10)+IF(B1304="Working",I1304,0))-O1304,0)</f>
        <v/>
      </c>
      <c r="T1304" s="138">
        <f>MAX(((T1303)*(1+$C$10)+IF(B1304="Working",F115,0))-P1304,0)</f>
        <v/>
      </c>
      <c r="U1304" s="138">
        <f>Q1304+R1304+S1304+T1304</f>
        <v/>
      </c>
      <c r="V1304" s="138">
        <f>IF(B1304="Working",MAX(-(((Q1303)*(1+$C$10)+IF(B1304="Working",J1304,0))),0),MAX(K1304-L1304,0))</f>
        <v/>
      </c>
      <c r="W1304" s="138">
        <f>IF(OR(A1304&gt;=$C$13,B1304="Retired"),IF(V1304&gt;0,-V1304,U1304-'Model Inputs'!$B$18),"")</f>
        <v/>
      </c>
      <c r="X1304" s="138">
        <f>IF(AND($L$250&gt;0,A1304&gt;=$C$13),$L$250*(1+$C$25)^(A1304-$C$13),0)</f>
        <v/>
      </c>
      <c r="Y1304" s="138">
        <f>IF(OR($L$250&lt;=0,$C$17&lt;=0,A1304&lt;$C$13,MIN(MAX((A1304-$C$13+1)*12,0),$C$17*12)&gt;=$C$17*12),0,IF($C$16=0,MAX(MAX($L$250*(1-$C$15),0)-(IF($C$17&lt;=0,0,IF($C$16=0,MAX($L$250*(1-$C$15),0)/$C$17,-PMT($C$16/12,$C$17*12,MAX($L$250*(1-$C$15),0))*12))/12)*MIN(MAX((A1304-$C$13+1)*12,0),$C$17*12),0),MAX(MAX($L$250*(1-$C$15),0)*(1+$C$16/12)^MIN(MAX((A1304-$C$13+1)*12,0),$C$17*12)-(IF($C$17&lt;=0,0,IF($C$16=0,MAX($L$250*(1-$C$15),0)/$C$17,-PMT($C$16/12,$C$17*12,MAX($L$250*(1-$C$15),0))*12))/12)*(((1+$C$16/12)^MIN(MAX((A1304-$C$13+1)*12,0),$C$17*12)-1)/($C$16/12)),0)))</f>
        <v/>
      </c>
      <c r="Z1304" s="138">
        <f>MAX(X1304-Y1304,0)</f>
        <v/>
      </c>
      <c r="AA1304" s="142">
        <f>U1304+Z1304</f>
        <v/>
      </c>
      <c r="AB1304" s="5" t="n"/>
      <c r="AC1304" s="5" t="n"/>
      <c r="AD1304" s="5" t="n"/>
      <c r="AE1304" s="5" t="n"/>
      <c r="AF1304" s="5" t="n"/>
      <c r="AG1304" s="5" t="n"/>
    </row>
    <row r="1305" outlineLevel="1" s="326">
      <c r="A1305" s="136" t="n">
        <v>37</v>
      </c>
      <c r="B1305" s="72">
        <f>B116</f>
        <v/>
      </c>
      <c r="C1305" s="137">
        <f>D116</f>
        <v/>
      </c>
      <c r="D1305" s="137">
        <f>I116</f>
        <v/>
      </c>
      <c r="E1305" s="137">
        <f>J116</f>
        <v/>
      </c>
      <c r="F1305" s="137">
        <f>K116</f>
        <v/>
      </c>
      <c r="G1305" s="138">
        <f>IF(AND($L$250&gt;0,A1305=$C$13),$L$250*($C$15+$C$18),0)+IF(AND($L$250&gt;0,A1305=$C$13),$C$24,0)</f>
        <v/>
      </c>
      <c r="H1305" s="138">
        <f>IF(OR($L$250&lt;=0,A1305&lt;$C$13),0,IF(AND($L$250&gt;0,$C$17&gt;0,A1305&gt;=$C$13,A1305&lt;($C$13+$C$17)),IF($C$17&lt;=0,0,IF($C$16=0,MAX($L$250*(1-$C$15),0)/$C$17,-PMT($C$16/12,$C$17*12,MAX($L$250*(1-$C$15),0))*12)),0)+X1305*($C$19+$C$20+$C$21)+$C$22+$C$23)</f>
        <v/>
      </c>
      <c r="I1305" s="138">
        <f>IF(B1305="Working",MIN(MAX(D1305-E1305-F1305-G1305-H1305,0),'Tax Assumptions'!$B$20),0)</f>
        <v/>
      </c>
      <c r="J1305" s="138">
        <f>IF(B1305="Working",D1305-E1305-F1305-I1305-G1305-H1305,-L1305)</f>
        <v/>
      </c>
      <c r="K1305" s="137">
        <f>IF(B1305="Retired",$N$250+G1305+H1305,0)</f>
        <v/>
      </c>
      <c r="L1305" s="137">
        <f>M1305+N1305+O1305+P1305</f>
        <v/>
      </c>
      <c r="M1305" s="137">
        <f>IF(B1305="Retired",MIN(((Q1304)*(1+$C$10)+IF(B1305="Working",J1305,0)),K1305),0)</f>
        <v/>
      </c>
      <c r="N1305" s="137">
        <f>IF(B1305="Retired",MIN(MAX(K1305-M1305,0),((R1304)*(1+$C$10)+IF(B1305="Working",E116,0))),0)</f>
        <v/>
      </c>
      <c r="O1305" s="137">
        <f>IF(B1305="Retired",MIN(MAX(K1305-M1305-N1305,0),((S1304)*(1+$C$10)+IF(B1305="Working",I1305,0))),0)</f>
        <v/>
      </c>
      <c r="P1305" s="137">
        <f>IF(B1305="Retired",MIN(MAX(K1305-M1305-N1305-O1305,0),((T1304)*(1+$C$10)+IF(B1305="Working",F116,0))),0)</f>
        <v/>
      </c>
      <c r="Q1305" s="138">
        <f>MAX(((Q1304)*(1+$C$10)+IF(B1305="Working",J1305,0))-M1305,0)</f>
        <v/>
      </c>
      <c r="R1305" s="138">
        <f>MAX(((R1304)*(1+$C$10)+IF(B1305="Working",E116,0))-N1305,0)</f>
        <v/>
      </c>
      <c r="S1305" s="138">
        <f>MAX(((S1304)*(1+$C$10)+IF(B1305="Working",I1305,0))-O1305,0)</f>
        <v/>
      </c>
      <c r="T1305" s="138">
        <f>MAX(((T1304)*(1+$C$10)+IF(B1305="Working",F116,0))-P1305,0)</f>
        <v/>
      </c>
      <c r="U1305" s="138">
        <f>Q1305+R1305+S1305+T1305</f>
        <v/>
      </c>
      <c r="V1305" s="138">
        <f>IF(B1305="Working",MAX(-(((Q1304)*(1+$C$10)+IF(B1305="Working",J1305,0))),0),MAX(K1305-L1305,0))</f>
        <v/>
      </c>
      <c r="W1305" s="138">
        <f>IF(OR(A1305&gt;=$C$13,B1305="Retired"),IF(V1305&gt;0,-V1305,U1305-'Model Inputs'!$B$18),"")</f>
        <v/>
      </c>
      <c r="X1305" s="138">
        <f>IF(AND($L$250&gt;0,A1305&gt;=$C$13),$L$250*(1+$C$25)^(A1305-$C$13),0)</f>
        <v/>
      </c>
      <c r="Y1305" s="138">
        <f>IF(OR($L$250&lt;=0,$C$17&lt;=0,A1305&lt;$C$13,MIN(MAX((A1305-$C$13+1)*12,0),$C$17*12)&gt;=$C$17*12),0,IF($C$16=0,MAX(MAX($L$250*(1-$C$15),0)-(IF($C$17&lt;=0,0,IF($C$16=0,MAX($L$250*(1-$C$15),0)/$C$17,-PMT($C$16/12,$C$17*12,MAX($L$250*(1-$C$15),0))*12))/12)*MIN(MAX((A1305-$C$13+1)*12,0),$C$17*12),0),MAX(MAX($L$250*(1-$C$15),0)*(1+$C$16/12)^MIN(MAX((A1305-$C$13+1)*12,0),$C$17*12)-(IF($C$17&lt;=0,0,IF($C$16=0,MAX($L$250*(1-$C$15),0)/$C$17,-PMT($C$16/12,$C$17*12,MAX($L$250*(1-$C$15),0))*12))/12)*(((1+$C$16/12)^MIN(MAX((A1305-$C$13+1)*12,0),$C$17*12)-1)/($C$16/12)),0)))</f>
        <v/>
      </c>
      <c r="Z1305" s="138">
        <f>MAX(X1305-Y1305,0)</f>
        <v/>
      </c>
      <c r="AA1305" s="139">
        <f>U1305+Z1305</f>
        <v/>
      </c>
      <c r="AB1305" s="5" t="n"/>
      <c r="AC1305" s="5" t="n"/>
      <c r="AD1305" s="5" t="n"/>
      <c r="AE1305" s="5" t="n"/>
      <c r="AF1305" s="5" t="n"/>
      <c r="AG1305" s="5" t="n"/>
    </row>
    <row r="1306" outlineLevel="1" s="326">
      <c r="A1306" s="140" t="n">
        <v>38</v>
      </c>
      <c r="B1306" s="40">
        <f>B117</f>
        <v/>
      </c>
      <c r="C1306" s="141">
        <f>D117</f>
        <v/>
      </c>
      <c r="D1306" s="141">
        <f>I117</f>
        <v/>
      </c>
      <c r="E1306" s="141">
        <f>J117</f>
        <v/>
      </c>
      <c r="F1306" s="141">
        <f>K117</f>
        <v/>
      </c>
      <c r="G1306" s="138">
        <f>IF(AND($L$250&gt;0,A1306=$C$13),$L$250*($C$15+$C$18),0)+IF(AND($L$250&gt;0,A1306=$C$13),$C$24,0)</f>
        <v/>
      </c>
      <c r="H1306" s="138">
        <f>IF(OR($L$250&lt;=0,A1306&lt;$C$13),0,IF(AND($L$250&gt;0,$C$17&gt;0,A1306&gt;=$C$13,A1306&lt;($C$13+$C$17)),IF($C$17&lt;=0,0,IF($C$16=0,MAX($L$250*(1-$C$15),0)/$C$17,-PMT($C$16/12,$C$17*12,MAX($L$250*(1-$C$15),0))*12)),0)+X1306*($C$19+$C$20+$C$21)+$C$22+$C$23)</f>
        <v/>
      </c>
      <c r="I1306" s="138">
        <f>IF(B1306="Working",MIN(MAX(D1306-E1306-F1306-G1306-H1306,0),'Tax Assumptions'!$B$20),0)</f>
        <v/>
      </c>
      <c r="J1306" s="138">
        <f>IF(B1306="Working",D1306-E1306-F1306-I1306-G1306-H1306,-L1306)</f>
        <v/>
      </c>
      <c r="K1306" s="141">
        <f>IF(B1306="Retired",$N$250+G1306+H1306,0)</f>
        <v/>
      </c>
      <c r="L1306" s="141">
        <f>M1306+N1306+O1306+P1306</f>
        <v/>
      </c>
      <c r="M1306" s="141">
        <f>IF(B1306="Retired",MIN(((Q1305)*(1+$C$10)+IF(B1306="Working",J1306,0)),K1306),0)</f>
        <v/>
      </c>
      <c r="N1306" s="141">
        <f>IF(B1306="Retired",MIN(MAX(K1306-M1306,0),((R1305)*(1+$C$10)+IF(B1306="Working",E117,0))),0)</f>
        <v/>
      </c>
      <c r="O1306" s="141">
        <f>IF(B1306="Retired",MIN(MAX(K1306-M1306-N1306,0),((S1305)*(1+$C$10)+IF(B1306="Working",I1306,0))),0)</f>
        <v/>
      </c>
      <c r="P1306" s="141">
        <f>IF(B1306="Retired",MIN(MAX(K1306-M1306-N1306-O1306,0),((T1305)*(1+$C$10)+IF(B1306="Working",F117,0))),0)</f>
        <v/>
      </c>
      <c r="Q1306" s="138">
        <f>MAX(((Q1305)*(1+$C$10)+IF(B1306="Working",J1306,0))-M1306,0)</f>
        <v/>
      </c>
      <c r="R1306" s="138">
        <f>MAX(((R1305)*(1+$C$10)+IF(B1306="Working",E117,0))-N1306,0)</f>
        <v/>
      </c>
      <c r="S1306" s="138">
        <f>MAX(((S1305)*(1+$C$10)+IF(B1306="Working",I1306,0))-O1306,0)</f>
        <v/>
      </c>
      <c r="T1306" s="138">
        <f>MAX(((T1305)*(1+$C$10)+IF(B1306="Working",F117,0))-P1306,0)</f>
        <v/>
      </c>
      <c r="U1306" s="138">
        <f>Q1306+R1306+S1306+T1306</f>
        <v/>
      </c>
      <c r="V1306" s="138">
        <f>IF(B1306="Working",MAX(-(((Q1305)*(1+$C$10)+IF(B1306="Working",J1306,0))),0),MAX(K1306-L1306,0))</f>
        <v/>
      </c>
      <c r="W1306" s="138">
        <f>IF(OR(A1306&gt;=$C$13,B1306="Retired"),IF(V1306&gt;0,-V1306,U1306-'Model Inputs'!$B$18),"")</f>
        <v/>
      </c>
      <c r="X1306" s="138">
        <f>IF(AND($L$250&gt;0,A1306&gt;=$C$13),$L$250*(1+$C$25)^(A1306-$C$13),0)</f>
        <v/>
      </c>
      <c r="Y1306" s="138">
        <f>IF(OR($L$250&lt;=0,$C$17&lt;=0,A1306&lt;$C$13,MIN(MAX((A1306-$C$13+1)*12,0),$C$17*12)&gt;=$C$17*12),0,IF($C$16=0,MAX(MAX($L$250*(1-$C$15),0)-(IF($C$17&lt;=0,0,IF($C$16=0,MAX($L$250*(1-$C$15),0)/$C$17,-PMT($C$16/12,$C$17*12,MAX($L$250*(1-$C$15),0))*12))/12)*MIN(MAX((A1306-$C$13+1)*12,0),$C$17*12),0),MAX(MAX($L$250*(1-$C$15),0)*(1+$C$16/12)^MIN(MAX((A1306-$C$13+1)*12,0),$C$17*12)-(IF($C$17&lt;=0,0,IF($C$16=0,MAX($L$250*(1-$C$15),0)/$C$17,-PMT($C$16/12,$C$17*12,MAX($L$250*(1-$C$15),0))*12))/12)*(((1+$C$16/12)^MIN(MAX((A1306-$C$13+1)*12,0),$C$17*12)-1)/($C$16/12)),0)))</f>
        <v/>
      </c>
      <c r="Z1306" s="138">
        <f>MAX(X1306-Y1306,0)</f>
        <v/>
      </c>
      <c r="AA1306" s="142">
        <f>U1306+Z1306</f>
        <v/>
      </c>
      <c r="AB1306" s="5" t="n"/>
      <c r="AC1306" s="5" t="n"/>
      <c r="AD1306" s="5" t="n"/>
      <c r="AE1306" s="5" t="n"/>
      <c r="AF1306" s="5" t="n"/>
      <c r="AG1306" s="5" t="n"/>
    </row>
    <row r="1307" outlineLevel="1" s="326">
      <c r="A1307" s="136" t="n">
        <v>39</v>
      </c>
      <c r="B1307" s="72">
        <f>B118</f>
        <v/>
      </c>
      <c r="C1307" s="137">
        <f>D118</f>
        <v/>
      </c>
      <c r="D1307" s="137">
        <f>I118</f>
        <v/>
      </c>
      <c r="E1307" s="137">
        <f>J118</f>
        <v/>
      </c>
      <c r="F1307" s="137">
        <f>K118</f>
        <v/>
      </c>
      <c r="G1307" s="138">
        <f>IF(AND($L$250&gt;0,A1307=$C$13),$L$250*($C$15+$C$18),0)+IF(AND($L$250&gt;0,A1307=$C$13),$C$24,0)</f>
        <v/>
      </c>
      <c r="H1307" s="138">
        <f>IF(OR($L$250&lt;=0,A1307&lt;$C$13),0,IF(AND($L$250&gt;0,$C$17&gt;0,A1307&gt;=$C$13,A1307&lt;($C$13+$C$17)),IF($C$17&lt;=0,0,IF($C$16=0,MAX($L$250*(1-$C$15),0)/$C$17,-PMT($C$16/12,$C$17*12,MAX($L$250*(1-$C$15),0))*12)),0)+X1307*($C$19+$C$20+$C$21)+$C$22+$C$23)</f>
        <v/>
      </c>
      <c r="I1307" s="138">
        <f>IF(B1307="Working",MIN(MAX(D1307-E1307-F1307-G1307-H1307,0),'Tax Assumptions'!$B$20),0)</f>
        <v/>
      </c>
      <c r="J1307" s="138">
        <f>IF(B1307="Working",D1307-E1307-F1307-I1307-G1307-H1307,-L1307)</f>
        <v/>
      </c>
      <c r="K1307" s="137">
        <f>IF(B1307="Retired",$N$250+G1307+H1307,0)</f>
        <v/>
      </c>
      <c r="L1307" s="137">
        <f>M1307+N1307+O1307+P1307</f>
        <v/>
      </c>
      <c r="M1307" s="137">
        <f>IF(B1307="Retired",MIN(((Q1306)*(1+$C$10)+IF(B1307="Working",J1307,0)),K1307),0)</f>
        <v/>
      </c>
      <c r="N1307" s="137">
        <f>IF(B1307="Retired",MIN(MAX(K1307-M1307,0),((R1306)*(1+$C$10)+IF(B1307="Working",E118,0))),0)</f>
        <v/>
      </c>
      <c r="O1307" s="137">
        <f>IF(B1307="Retired",MIN(MAX(K1307-M1307-N1307,0),((S1306)*(1+$C$10)+IF(B1307="Working",I1307,0))),0)</f>
        <v/>
      </c>
      <c r="P1307" s="137">
        <f>IF(B1307="Retired",MIN(MAX(K1307-M1307-N1307-O1307,0),((T1306)*(1+$C$10)+IF(B1307="Working",F118,0))),0)</f>
        <v/>
      </c>
      <c r="Q1307" s="138">
        <f>MAX(((Q1306)*(1+$C$10)+IF(B1307="Working",J1307,0))-M1307,0)</f>
        <v/>
      </c>
      <c r="R1307" s="138">
        <f>MAX(((R1306)*(1+$C$10)+IF(B1307="Working",E118,0))-N1307,0)</f>
        <v/>
      </c>
      <c r="S1307" s="138">
        <f>MAX(((S1306)*(1+$C$10)+IF(B1307="Working",I1307,0))-O1307,0)</f>
        <v/>
      </c>
      <c r="T1307" s="138">
        <f>MAX(((T1306)*(1+$C$10)+IF(B1307="Working",F118,0))-P1307,0)</f>
        <v/>
      </c>
      <c r="U1307" s="138">
        <f>Q1307+R1307+S1307+T1307</f>
        <v/>
      </c>
      <c r="V1307" s="138">
        <f>IF(B1307="Working",MAX(-(((Q1306)*(1+$C$10)+IF(B1307="Working",J1307,0))),0),MAX(K1307-L1307,0))</f>
        <v/>
      </c>
      <c r="W1307" s="138">
        <f>IF(OR(A1307&gt;=$C$13,B1307="Retired"),IF(V1307&gt;0,-V1307,U1307-'Model Inputs'!$B$18),"")</f>
        <v/>
      </c>
      <c r="X1307" s="138">
        <f>IF(AND($L$250&gt;0,A1307&gt;=$C$13),$L$250*(1+$C$25)^(A1307-$C$13),0)</f>
        <v/>
      </c>
      <c r="Y1307" s="138">
        <f>IF(OR($L$250&lt;=0,$C$17&lt;=0,A1307&lt;$C$13,MIN(MAX((A1307-$C$13+1)*12,0),$C$17*12)&gt;=$C$17*12),0,IF($C$16=0,MAX(MAX($L$250*(1-$C$15),0)-(IF($C$17&lt;=0,0,IF($C$16=0,MAX($L$250*(1-$C$15),0)/$C$17,-PMT($C$16/12,$C$17*12,MAX($L$250*(1-$C$15),0))*12))/12)*MIN(MAX((A1307-$C$13+1)*12,0),$C$17*12),0),MAX(MAX($L$250*(1-$C$15),0)*(1+$C$16/12)^MIN(MAX((A1307-$C$13+1)*12,0),$C$17*12)-(IF($C$17&lt;=0,0,IF($C$16=0,MAX($L$250*(1-$C$15),0)/$C$17,-PMT($C$16/12,$C$17*12,MAX($L$250*(1-$C$15),0))*12))/12)*(((1+$C$16/12)^MIN(MAX((A1307-$C$13+1)*12,0),$C$17*12)-1)/($C$16/12)),0)))</f>
        <v/>
      </c>
      <c r="Z1307" s="138">
        <f>MAX(X1307-Y1307,0)</f>
        <v/>
      </c>
      <c r="AA1307" s="139">
        <f>U1307+Z1307</f>
        <v/>
      </c>
      <c r="AB1307" s="5" t="n"/>
      <c r="AC1307" s="5" t="n"/>
      <c r="AD1307" s="5" t="n"/>
      <c r="AE1307" s="5" t="n"/>
      <c r="AF1307" s="5" t="n"/>
      <c r="AG1307" s="5" t="n"/>
    </row>
    <row r="1308" outlineLevel="1" s="326">
      <c r="A1308" s="140" t="n">
        <v>40</v>
      </c>
      <c r="B1308" s="40">
        <f>B119</f>
        <v/>
      </c>
      <c r="C1308" s="141">
        <f>D119</f>
        <v/>
      </c>
      <c r="D1308" s="141">
        <f>I119</f>
        <v/>
      </c>
      <c r="E1308" s="141">
        <f>J119</f>
        <v/>
      </c>
      <c r="F1308" s="141">
        <f>K119</f>
        <v/>
      </c>
      <c r="G1308" s="138">
        <f>IF(AND($L$250&gt;0,A1308=$C$13),$L$250*($C$15+$C$18),0)+IF(AND($L$250&gt;0,A1308=$C$13),$C$24,0)</f>
        <v/>
      </c>
      <c r="H1308" s="138">
        <f>IF(OR($L$250&lt;=0,A1308&lt;$C$13),0,IF(AND($L$250&gt;0,$C$17&gt;0,A1308&gt;=$C$13,A1308&lt;($C$13+$C$17)),IF($C$17&lt;=0,0,IF($C$16=0,MAX($L$250*(1-$C$15),0)/$C$17,-PMT($C$16/12,$C$17*12,MAX($L$250*(1-$C$15),0))*12)),0)+X1308*($C$19+$C$20+$C$21)+$C$22+$C$23)</f>
        <v/>
      </c>
      <c r="I1308" s="138">
        <f>IF(B1308="Working",MIN(MAX(D1308-E1308-F1308-G1308-H1308,0),'Tax Assumptions'!$B$20),0)</f>
        <v/>
      </c>
      <c r="J1308" s="138">
        <f>IF(B1308="Working",D1308-E1308-F1308-I1308-G1308-H1308,-L1308)</f>
        <v/>
      </c>
      <c r="K1308" s="141">
        <f>IF(B1308="Retired",$N$250+G1308+H1308,0)</f>
        <v/>
      </c>
      <c r="L1308" s="141">
        <f>M1308+N1308+O1308+P1308</f>
        <v/>
      </c>
      <c r="M1308" s="141">
        <f>IF(B1308="Retired",MIN(((Q1307)*(1+$C$10)+IF(B1308="Working",J1308,0)),K1308),0)</f>
        <v/>
      </c>
      <c r="N1308" s="141">
        <f>IF(B1308="Retired",MIN(MAX(K1308-M1308,0),((R1307)*(1+$C$10)+IF(B1308="Working",E119,0))),0)</f>
        <v/>
      </c>
      <c r="O1308" s="141">
        <f>IF(B1308="Retired",MIN(MAX(K1308-M1308-N1308,0),((S1307)*(1+$C$10)+IF(B1308="Working",I1308,0))),0)</f>
        <v/>
      </c>
      <c r="P1308" s="141">
        <f>IF(B1308="Retired",MIN(MAX(K1308-M1308-N1308-O1308,0),((T1307)*(1+$C$10)+IF(B1308="Working",F119,0))),0)</f>
        <v/>
      </c>
      <c r="Q1308" s="138">
        <f>MAX(((Q1307)*(1+$C$10)+IF(B1308="Working",J1308,0))-M1308,0)</f>
        <v/>
      </c>
      <c r="R1308" s="138">
        <f>MAX(((R1307)*(1+$C$10)+IF(B1308="Working",E119,0))-N1308,0)</f>
        <v/>
      </c>
      <c r="S1308" s="138">
        <f>MAX(((S1307)*(1+$C$10)+IF(B1308="Working",I1308,0))-O1308,0)</f>
        <v/>
      </c>
      <c r="T1308" s="138">
        <f>MAX(((T1307)*(1+$C$10)+IF(B1308="Working",F119,0))-P1308,0)</f>
        <v/>
      </c>
      <c r="U1308" s="138">
        <f>Q1308+R1308+S1308+T1308</f>
        <v/>
      </c>
      <c r="V1308" s="138">
        <f>IF(B1308="Working",MAX(-(((Q1307)*(1+$C$10)+IF(B1308="Working",J1308,0))),0),MAX(K1308-L1308,0))</f>
        <v/>
      </c>
      <c r="W1308" s="138">
        <f>IF(OR(A1308&gt;=$C$13,B1308="Retired"),IF(V1308&gt;0,-V1308,U1308-'Model Inputs'!$B$18),"")</f>
        <v/>
      </c>
      <c r="X1308" s="138">
        <f>IF(AND($L$250&gt;0,A1308&gt;=$C$13),$L$250*(1+$C$25)^(A1308-$C$13),0)</f>
        <v/>
      </c>
      <c r="Y1308" s="138">
        <f>IF(OR($L$250&lt;=0,$C$17&lt;=0,A1308&lt;$C$13,MIN(MAX((A1308-$C$13+1)*12,0),$C$17*12)&gt;=$C$17*12),0,IF($C$16=0,MAX(MAX($L$250*(1-$C$15),0)-(IF($C$17&lt;=0,0,IF($C$16=0,MAX($L$250*(1-$C$15),0)/$C$17,-PMT($C$16/12,$C$17*12,MAX($L$250*(1-$C$15),0))*12))/12)*MIN(MAX((A1308-$C$13+1)*12,0),$C$17*12),0),MAX(MAX($L$250*(1-$C$15),0)*(1+$C$16/12)^MIN(MAX((A1308-$C$13+1)*12,0),$C$17*12)-(IF($C$17&lt;=0,0,IF($C$16=0,MAX($L$250*(1-$C$15),0)/$C$17,-PMT($C$16/12,$C$17*12,MAX($L$250*(1-$C$15),0))*12))/12)*(((1+$C$16/12)^MIN(MAX((A1308-$C$13+1)*12,0),$C$17*12)-1)/($C$16/12)),0)))</f>
        <v/>
      </c>
      <c r="Z1308" s="138">
        <f>MAX(X1308-Y1308,0)</f>
        <v/>
      </c>
      <c r="AA1308" s="142">
        <f>U1308+Z1308</f>
        <v/>
      </c>
      <c r="AB1308" s="5" t="n"/>
      <c r="AC1308" s="5" t="n"/>
      <c r="AD1308" s="5" t="n"/>
      <c r="AE1308" s="5" t="n"/>
      <c r="AF1308" s="5" t="n"/>
      <c r="AG1308" s="5" t="n"/>
    </row>
    <row r="1309" outlineLevel="1" s="326">
      <c r="A1309" s="143" t="inlineStr">
        <is>
          <t>Case Summary</t>
        </is>
      </c>
      <c r="B1309" s="144" t="n"/>
      <c r="C1309" s="144" t="n"/>
      <c r="D1309" s="144" t="n"/>
      <c r="E1309" s="144" t="n"/>
      <c r="F1309" s="144" t="n"/>
      <c r="G1309" s="145">
        <f>SUM(G1269:G1308)</f>
        <v/>
      </c>
      <c r="H1309" s="145">
        <f>SUM(H1269:H1308)</f>
        <v/>
      </c>
      <c r="I1309" s="145">
        <f>SUM(I1269:I1308)</f>
        <v/>
      </c>
      <c r="J1309" s="145">
        <f>SUM(J1269:J1308)</f>
        <v/>
      </c>
      <c r="K1309" s="145">
        <f>SUM(K1269:K1308)</f>
        <v/>
      </c>
      <c r="L1309" s="145">
        <f>SUM(L1269:L1308)</f>
        <v/>
      </c>
      <c r="M1309" s="145">
        <f>SUM(M1269:M1308)</f>
        <v/>
      </c>
      <c r="N1309" s="145">
        <f>SUM(N1269:N1308)</f>
        <v/>
      </c>
      <c r="O1309" s="145">
        <f>SUM(O1269:O1308)</f>
        <v/>
      </c>
      <c r="P1309" s="145">
        <f>SUM(P1269:P1308)</f>
        <v/>
      </c>
      <c r="Q1309" s="145">
        <f>Q1308</f>
        <v/>
      </c>
      <c r="R1309" s="145">
        <f>R1308</f>
        <v/>
      </c>
      <c r="S1309" s="145">
        <f>S1308</f>
        <v/>
      </c>
      <c r="T1309" s="145">
        <f>T1308</f>
        <v/>
      </c>
      <c r="U1309" s="145">
        <f>U1308</f>
        <v/>
      </c>
      <c r="V1309" s="145">
        <f>SUM(V1269:V1308)</f>
        <v/>
      </c>
      <c r="W1309" s="145">
        <f>MIN(W1269:W1308)</f>
        <v/>
      </c>
      <c r="X1309" s="145">
        <f>X1308</f>
        <v/>
      </c>
      <c r="Y1309" s="145">
        <f>Y1308</f>
        <v/>
      </c>
      <c r="Z1309" s="145">
        <f>Z1308</f>
        <v/>
      </c>
      <c r="AA1309" s="146">
        <f>AA1308</f>
        <v/>
      </c>
      <c r="AB1309" s="5" t="n"/>
      <c r="AC1309" s="5" t="n"/>
      <c r="AD1309" s="5" t="n"/>
      <c r="AE1309" s="5" t="n"/>
      <c r="AF1309" s="5" t="n"/>
      <c r="AG1309" s="5" t="n"/>
    </row>
    <row r="1310" outlineLevel="1" s="326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  <c r="M1310" s="5" t="n"/>
      <c r="N1310" s="5" t="n"/>
      <c r="O1310" s="5" t="n"/>
      <c r="P1310" s="5" t="n"/>
      <c r="Q1310" s="5" t="n"/>
      <c r="R1310" s="5" t="n"/>
      <c r="S1310" s="5" t="n"/>
      <c r="T1310" s="5" t="n"/>
      <c r="U1310" s="5" t="n"/>
      <c r="V1310" s="5" t="n"/>
      <c r="W1310" s="5" t="n"/>
      <c r="X1310" s="5" t="n"/>
      <c r="Y1310" s="5" t="n"/>
      <c r="Z1310" s="5" t="n"/>
      <c r="AA1310" s="5" t="n"/>
      <c r="AB1310" s="5" t="n"/>
      <c r="AC1310" s="5" t="n"/>
      <c r="AD1310" s="5" t="n"/>
      <c r="AE1310" s="5" t="n"/>
      <c r="AF1310" s="5" t="n"/>
      <c r="AG1310" s="5" t="n"/>
    </row>
    <row r="1311" outlineLevel="1" s="326">
      <c r="A1311" s="387">
        <f>J251&amp;" | House "&amp;TEXT($L$251,"$#,##0")&amp;" | Spend "&amp;TEXT($N$251,"$#,##0")</f>
        <v/>
      </c>
      <c r="B1311" s="345" t="n"/>
      <c r="C1311" s="345" t="n"/>
      <c r="D1311" s="345" t="n"/>
      <c r="E1311" s="345" t="n"/>
      <c r="F1311" s="345" t="n"/>
      <c r="G1311" s="345" t="n"/>
      <c r="H1311" s="345" t="n"/>
      <c r="I1311" s="345" t="n"/>
      <c r="J1311" s="345" t="n"/>
      <c r="K1311" s="345" t="n"/>
      <c r="L1311" s="345" t="n"/>
      <c r="M1311" s="345" t="n"/>
      <c r="N1311" s="345" t="n"/>
      <c r="O1311" s="345" t="n"/>
      <c r="P1311" s="345" t="n"/>
      <c r="Q1311" s="345" t="n"/>
      <c r="R1311" s="345" t="n"/>
      <c r="S1311" s="345" t="n"/>
      <c r="T1311" s="345" t="n"/>
      <c r="U1311" s="345" t="n"/>
      <c r="V1311" s="345" t="n"/>
      <c r="W1311" s="345" t="n"/>
      <c r="X1311" s="345" t="n"/>
      <c r="Y1311" s="345" t="n"/>
      <c r="Z1311" s="345" t="n"/>
      <c r="AA1311" s="346" t="n"/>
      <c r="AB1311" s="5" t="n"/>
      <c r="AC1311" s="5" t="n"/>
      <c r="AD1311" s="5" t="n"/>
      <c r="AE1311" s="5" t="n"/>
      <c r="AF1311" s="5" t="n"/>
      <c r="AG1311" s="5" t="n"/>
    </row>
    <row r="1312" outlineLevel="1" ht="34" customHeight="1" s="326">
      <c r="A1312" s="134" t="inlineStr">
        <is>
          <t>Year</t>
        </is>
      </c>
      <c r="B1312" s="83" t="inlineStr">
        <is>
          <t>Phase</t>
        </is>
      </c>
      <c r="C1312" s="83" t="inlineStr">
        <is>
          <t>Gross</t>
        </is>
      </c>
      <c r="D1312" s="83" t="inlineStr">
        <is>
          <t>Post-Tax Cash</t>
        </is>
      </c>
      <c r="E1312" s="83" t="inlineStr">
        <is>
          <t>Rent</t>
        </is>
      </c>
      <c r="F1312" s="83" t="inlineStr">
        <is>
          <t>Living</t>
        </is>
      </c>
      <c r="G1312" s="83" t="inlineStr">
        <is>
          <t>House Cash</t>
        </is>
      </c>
      <c r="H1312" s="83" t="inlineStr">
        <is>
          <t>Housing Carry</t>
        </is>
      </c>
      <c r="I1312" s="83" t="inlineStr">
        <is>
          <t>Roth</t>
        </is>
      </c>
      <c r="J1312" s="83" t="inlineStr">
        <is>
          <t>Taxable Sav / (Draw)</t>
        </is>
      </c>
      <c r="K1312" s="83" t="inlineStr">
        <is>
          <t>Planned Need</t>
        </is>
      </c>
      <c r="L1312" s="83" t="inlineStr">
        <is>
          <t>Actual W/D</t>
        </is>
      </c>
      <c r="M1312" s="83" t="inlineStr">
        <is>
          <t>Taxable Draw</t>
        </is>
      </c>
      <c r="N1312" s="83" t="inlineStr">
        <is>
          <t>401(k) Draw</t>
        </is>
      </c>
      <c r="O1312" s="83" t="inlineStr">
        <is>
          <t>Roth Draw</t>
        </is>
      </c>
      <c r="P1312" s="83" t="inlineStr">
        <is>
          <t>HSA Draw</t>
        </is>
      </c>
      <c r="Q1312" s="83" t="inlineStr">
        <is>
          <t>Taxable Bal</t>
        </is>
      </c>
      <c r="R1312" s="83" t="inlineStr">
        <is>
          <t>401(k) Bal</t>
        </is>
      </c>
      <c r="S1312" s="83" t="inlineStr">
        <is>
          <t>Roth Bal</t>
        </is>
      </c>
      <c r="T1312" s="83" t="inlineStr">
        <is>
          <t>HSA Bal</t>
        </is>
      </c>
      <c r="U1312" s="83" t="inlineStr">
        <is>
          <t>Liquid Wealth</t>
        </is>
      </c>
      <c r="V1312" s="83" t="inlineStr">
        <is>
          <t>Funding Gap</t>
        </is>
      </c>
      <c r="W1312" s="83" t="inlineStr">
        <is>
          <t>Margin vs Reserve</t>
        </is>
      </c>
      <c r="X1312" s="83" t="inlineStr">
        <is>
          <t>House Value</t>
        </is>
      </c>
      <c r="Y1312" s="83" t="inlineStr">
        <is>
          <t>Mortgage Balance</t>
        </is>
      </c>
      <c r="Z1312" s="83" t="inlineStr">
        <is>
          <t>Home Equity</t>
        </is>
      </c>
      <c r="AA1312" s="135" t="inlineStr">
        <is>
          <t>Net Worth</t>
        </is>
      </c>
      <c r="AB1312" s="5" t="n"/>
      <c r="AC1312" s="5" t="n"/>
      <c r="AD1312" s="5" t="n"/>
      <c r="AE1312" s="5" t="n"/>
      <c r="AF1312" s="5" t="n"/>
      <c r="AG1312" s="5" t="n"/>
    </row>
    <row r="1313" outlineLevel="1" s="326">
      <c r="A1313" s="136" t="n">
        <v>1</v>
      </c>
      <c r="B1313" s="72">
        <f>B80</f>
        <v/>
      </c>
      <c r="C1313" s="137">
        <f>D80</f>
        <v/>
      </c>
      <c r="D1313" s="137">
        <f>I80</f>
        <v/>
      </c>
      <c r="E1313" s="137">
        <f>J80</f>
        <v/>
      </c>
      <c r="F1313" s="137">
        <f>K80</f>
        <v/>
      </c>
      <c r="G1313" s="138">
        <f>IF(AND($L$251&gt;0,A1313=$C$13),$L$251*($C$15+$C$18),0)+IF(AND($L$251&gt;0,A1313=$C$13),$C$24,0)</f>
        <v/>
      </c>
      <c r="H1313" s="138">
        <f>IF(OR($L$251&lt;=0,A1313&lt;$C$13),0,IF(AND($L$251&gt;0,$C$17&gt;0,A1313&gt;=$C$13,A1313&lt;($C$13+$C$17)),IF($C$17&lt;=0,0,IF($C$16=0,MAX($L$251*(1-$C$15),0)/$C$17,-PMT($C$16/12,$C$17*12,MAX($L$251*(1-$C$15),0))*12)),0)+X1313*($C$19+$C$20+$C$21)+$C$22+$C$23)</f>
        <v/>
      </c>
      <c r="I1313" s="138">
        <f>IF(B1313="Working",MIN(MAX(D1313-E1313-F1313-G1313-H1313,0),'Tax Assumptions'!$B$20),0)</f>
        <v/>
      </c>
      <c r="J1313" s="138">
        <f>IF(B1313="Working",D1313-E1313-F1313-I1313-G1313-H1313,-L1313)</f>
        <v/>
      </c>
      <c r="K1313" s="137">
        <f>IF(B1313="Retired",$N$251+G1313+H1313,0)</f>
        <v/>
      </c>
      <c r="L1313" s="137">
        <f>M1313+N1313+O1313+P1313</f>
        <v/>
      </c>
      <c r="M1313" s="137">
        <f>IF(B1313="Retired",MIN((('Savings Projection'!$B$7)*(1+$C$10)+IF(B1313="Working",J1313,0)),K1313),0)</f>
        <v/>
      </c>
      <c r="N1313" s="137">
        <f>IF(B1313="Retired",MIN(MAX(K1313-M1313,0),(('Savings Projection'!$B$8)*(1+$C$10)+IF(B1313="Working",E80,0))),0)</f>
        <v/>
      </c>
      <c r="O1313" s="137">
        <f>IF(B1313="Retired",MIN(MAX(K1313-M1313-N1313,0),(('Savings Projection'!$B$9)*(1+$C$10)+IF(B1313="Working",I1313,0))),0)</f>
        <v/>
      </c>
      <c r="P1313" s="137">
        <f>IF(B1313="Retired",MIN(MAX(K1313-M1313-N1313-O1313,0),(('Savings Projection'!$B$10)*(1+$C$10)+IF(B1313="Working",F80,0))),0)</f>
        <v/>
      </c>
      <c r="Q1313" s="138">
        <f>MAX((('Savings Projection'!$B$7)*(1+$C$10)+IF(B1313="Working",J1313,0))-M1313,0)</f>
        <v/>
      </c>
      <c r="R1313" s="138">
        <f>MAX((('Savings Projection'!$B$8)*(1+$C$10)+IF(B1313="Working",E80,0))-N1313,0)</f>
        <v/>
      </c>
      <c r="S1313" s="138">
        <f>MAX((('Savings Projection'!$B$9)*(1+$C$10)+IF(B1313="Working",I1313,0))-O1313,0)</f>
        <v/>
      </c>
      <c r="T1313" s="138">
        <f>MAX((('Savings Projection'!$B$10)*(1+$C$10)+IF(B1313="Working",F80,0))-P1313,0)</f>
        <v/>
      </c>
      <c r="U1313" s="138">
        <f>Q1313+R1313+S1313+T1313</f>
        <v/>
      </c>
      <c r="V1313" s="138">
        <f>IF(B1313="Working",MAX(-((('Savings Projection'!$B$7)*(1+$C$10)+IF(B1313="Working",J1313,0))),0),MAX(K1313-L1313,0))</f>
        <v/>
      </c>
      <c r="W1313" s="138">
        <f>IF(OR(A1313&gt;=$C$13,B1313="Retired"),IF(V1313&gt;0,-V1313,U1313-'Model Inputs'!$B$18),"")</f>
        <v/>
      </c>
      <c r="X1313" s="138">
        <f>IF(AND($L$251&gt;0,A1313&gt;=$C$13),$L$251*(1+$C$25)^(A1313-$C$13),0)</f>
        <v/>
      </c>
      <c r="Y1313" s="138">
        <f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/>
      </c>
      <c r="Z1313" s="138">
        <f>MAX(X1313-Y1313,0)</f>
        <v/>
      </c>
      <c r="AA1313" s="139">
        <f>U1313+Z1313</f>
        <v/>
      </c>
      <c r="AB1313" s="5" t="n"/>
      <c r="AC1313" s="5" t="n"/>
      <c r="AD1313" s="5" t="n"/>
      <c r="AE1313" s="5" t="n"/>
      <c r="AF1313" s="5" t="n"/>
      <c r="AG1313" s="5" t="n"/>
    </row>
    <row r="1314" outlineLevel="1" s="326">
      <c r="A1314" s="140" t="n">
        <v>2</v>
      </c>
      <c r="B1314" s="40">
        <f>B81</f>
        <v/>
      </c>
      <c r="C1314" s="141">
        <f>D81</f>
        <v/>
      </c>
      <c r="D1314" s="141">
        <f>I81</f>
        <v/>
      </c>
      <c r="E1314" s="141">
        <f>J81</f>
        <v/>
      </c>
      <c r="F1314" s="141">
        <f>K81</f>
        <v/>
      </c>
      <c r="G1314" s="138">
        <f>IF(AND($L$251&gt;0,A1314=$C$13),$L$251*($C$15+$C$18),0)+IF(AND($L$251&gt;0,A1314=$C$13),$C$24,0)</f>
        <v/>
      </c>
      <c r="H1314" s="138">
        <f>IF(OR($L$251&lt;=0,A1314&lt;$C$13),0,IF(AND($L$251&gt;0,$C$17&gt;0,A1314&gt;=$C$13,A1314&lt;($C$13+$C$17)),IF($C$17&lt;=0,0,IF($C$16=0,MAX($L$251*(1-$C$15),0)/$C$17,-PMT($C$16/12,$C$17*12,MAX($L$251*(1-$C$15),0))*12)),0)+X1314*($C$19+$C$20+$C$21)+$C$22+$C$23)</f>
        <v/>
      </c>
      <c r="I1314" s="138">
        <f>IF(B1314="Working",MIN(MAX(D1314-E1314-F1314-G1314-H1314,0),'Tax Assumptions'!$B$20),0)</f>
        <v/>
      </c>
      <c r="J1314" s="138">
        <f>IF(B1314="Working",D1314-E1314-F1314-I1314-G1314-H1314,-L1314)</f>
        <v/>
      </c>
      <c r="K1314" s="141">
        <f>IF(B1314="Retired",$N$251+G1314+H1314,0)</f>
        <v/>
      </c>
      <c r="L1314" s="141">
        <f>M1314+N1314+O1314+P1314</f>
        <v/>
      </c>
      <c r="M1314" s="141">
        <f>IF(B1314="Retired",MIN(((Q1313)*(1+$C$10)+IF(B1314="Working",J1314,0)),K1314),0)</f>
        <v/>
      </c>
      <c r="N1314" s="141">
        <f>IF(B1314="Retired",MIN(MAX(K1314-M1314,0),((R1313)*(1+$C$10)+IF(B1314="Working",E81,0))),0)</f>
        <v/>
      </c>
      <c r="O1314" s="141">
        <f>IF(B1314="Retired",MIN(MAX(K1314-M1314-N1314,0),((S1313)*(1+$C$10)+IF(B1314="Working",I1314,0))),0)</f>
        <v/>
      </c>
      <c r="P1314" s="141">
        <f>IF(B1314="Retired",MIN(MAX(K1314-M1314-N1314-O1314,0),((T1313)*(1+$C$10)+IF(B1314="Working",F81,0))),0)</f>
        <v/>
      </c>
      <c r="Q1314" s="138">
        <f>MAX(((Q1313)*(1+$C$10)+IF(B1314="Working",J1314,0))-M1314,0)</f>
        <v/>
      </c>
      <c r="R1314" s="138">
        <f>MAX(((R1313)*(1+$C$10)+IF(B1314="Working",E81,0))-N1314,0)</f>
        <v/>
      </c>
      <c r="S1314" s="138">
        <f>MAX(((S1313)*(1+$C$10)+IF(B1314="Working",I1314,0))-O1314,0)</f>
        <v/>
      </c>
      <c r="T1314" s="138">
        <f>MAX(((T1313)*(1+$C$10)+IF(B1314="Working",F81,0))-P1314,0)</f>
        <v/>
      </c>
      <c r="U1314" s="138">
        <f>Q1314+R1314+S1314+T1314</f>
        <v/>
      </c>
      <c r="V1314" s="138">
        <f>IF(B1314="Working",MAX(-(((Q1313)*(1+$C$10)+IF(B1314="Working",J1314,0))),0),MAX(K1314-L1314,0))</f>
        <v/>
      </c>
      <c r="W1314" s="138">
        <f>IF(OR(A1314&gt;=$C$13,B1314="Retired"),IF(V1314&gt;0,-V1314,U1314-'Model Inputs'!$B$18),"")</f>
        <v/>
      </c>
      <c r="X1314" s="138">
        <f>IF(AND($L$251&gt;0,A1314&gt;=$C$13),$L$251*(1+$C$25)^(A1314-$C$13),0)</f>
        <v/>
      </c>
      <c r="Y1314" s="138">
        <f>IF(OR($L$251&lt;=0,$C$17&lt;=0,A1314&lt;$C$13,MIN(MAX((A1314-$C$13+1)*12,0),$C$17*12)&gt;=$C$17*12),0,IF($C$16=0,MAX(MAX($L$251*(1-$C$15),0)-(IF($C$17&lt;=0,0,IF($C$16=0,MAX($L$251*(1-$C$15),0)/$C$17,-PMT($C$16/12,$C$17*12,MAX($L$251*(1-$C$15),0))*12))/12)*MIN(MAX((A1314-$C$13+1)*12,0),$C$17*12),0),MAX(MAX($L$251*(1-$C$15),0)*(1+$C$16/12)^MIN(MAX((A1314-$C$13+1)*12,0),$C$17*12)-(IF($C$17&lt;=0,0,IF($C$16=0,MAX($L$251*(1-$C$15),0)/$C$17,-PMT($C$16/12,$C$17*12,MAX($L$251*(1-$C$15),0))*12))/12)*(((1+$C$16/12)^MIN(MAX((A1314-$C$13+1)*12,0),$C$17*12)-1)/($C$16/12)),0)))</f>
        <v/>
      </c>
      <c r="Z1314" s="138">
        <f>MAX(X1314-Y1314,0)</f>
        <v/>
      </c>
      <c r="AA1314" s="142">
        <f>U1314+Z1314</f>
        <v/>
      </c>
      <c r="AB1314" s="5" t="n"/>
      <c r="AC1314" s="5" t="n"/>
      <c r="AD1314" s="5" t="n"/>
      <c r="AE1314" s="5" t="n"/>
      <c r="AF1314" s="5" t="n"/>
      <c r="AG1314" s="5" t="n"/>
    </row>
    <row r="1315" outlineLevel="1" s="326">
      <c r="A1315" s="136" t="n">
        <v>3</v>
      </c>
      <c r="B1315" s="72">
        <f>B82</f>
        <v/>
      </c>
      <c r="C1315" s="137">
        <f>D82</f>
        <v/>
      </c>
      <c r="D1315" s="137">
        <f>I82</f>
        <v/>
      </c>
      <c r="E1315" s="137">
        <f>J82</f>
        <v/>
      </c>
      <c r="F1315" s="137">
        <f>K82</f>
        <v/>
      </c>
      <c r="G1315" s="138">
        <f>IF(AND($L$251&gt;0,A1315=$C$13),$L$251*($C$15+$C$18),0)+IF(AND($L$251&gt;0,A1315=$C$13),$C$24,0)</f>
        <v/>
      </c>
      <c r="H1315" s="138">
        <f>IF(OR($L$251&lt;=0,A1315&lt;$C$13),0,IF(AND($L$251&gt;0,$C$17&gt;0,A1315&gt;=$C$13,A1315&lt;($C$13+$C$17)),IF($C$17&lt;=0,0,IF($C$16=0,MAX($L$251*(1-$C$15),0)/$C$17,-PMT($C$16/12,$C$17*12,MAX($L$251*(1-$C$15),0))*12)),0)+X1315*($C$19+$C$20+$C$21)+$C$22+$C$23)</f>
        <v/>
      </c>
      <c r="I1315" s="138">
        <f>IF(B1315="Working",MIN(MAX(D1315-E1315-F1315-G1315-H1315,0),'Tax Assumptions'!$B$20),0)</f>
        <v/>
      </c>
      <c r="J1315" s="138">
        <f>IF(B1315="Working",D1315-E1315-F1315-I1315-G1315-H1315,-L1315)</f>
        <v/>
      </c>
      <c r="K1315" s="137">
        <f>IF(B1315="Retired",$N$251+G1315+H1315,0)</f>
        <v/>
      </c>
      <c r="L1315" s="137">
        <f>M1315+N1315+O1315+P1315</f>
        <v/>
      </c>
      <c r="M1315" s="137">
        <f>IF(B1315="Retired",MIN(((Q1314)*(1+$C$10)+IF(B1315="Working",J1315,0)),K1315),0)</f>
        <v/>
      </c>
      <c r="N1315" s="137">
        <f>IF(B1315="Retired",MIN(MAX(K1315-M1315,0),((R1314)*(1+$C$10)+IF(B1315="Working",E82,0))),0)</f>
        <v/>
      </c>
      <c r="O1315" s="137">
        <f>IF(B1315="Retired",MIN(MAX(K1315-M1315-N1315,0),((S1314)*(1+$C$10)+IF(B1315="Working",I1315,0))),0)</f>
        <v/>
      </c>
      <c r="P1315" s="137">
        <f>IF(B1315="Retired",MIN(MAX(K1315-M1315-N1315-O1315,0),((T1314)*(1+$C$10)+IF(B1315="Working",F82,0))),0)</f>
        <v/>
      </c>
      <c r="Q1315" s="138">
        <f>MAX(((Q1314)*(1+$C$10)+IF(B1315="Working",J1315,0))-M1315,0)</f>
        <v/>
      </c>
      <c r="R1315" s="138">
        <f>MAX(((R1314)*(1+$C$10)+IF(B1315="Working",E82,0))-N1315,0)</f>
        <v/>
      </c>
      <c r="S1315" s="138">
        <f>MAX(((S1314)*(1+$C$10)+IF(B1315="Working",I1315,0))-O1315,0)</f>
        <v/>
      </c>
      <c r="T1315" s="138">
        <f>MAX(((T1314)*(1+$C$10)+IF(B1315="Working",F82,0))-P1315,0)</f>
        <v/>
      </c>
      <c r="U1315" s="138">
        <f>Q1315+R1315+S1315+T1315</f>
        <v/>
      </c>
      <c r="V1315" s="138">
        <f>IF(B1315="Working",MAX(-(((Q1314)*(1+$C$10)+IF(B1315="Working",J1315,0))),0),MAX(K1315-L1315,0))</f>
        <v/>
      </c>
      <c r="W1315" s="138">
        <f>IF(OR(A1315&gt;=$C$13,B1315="Retired"),IF(V1315&gt;0,-V1315,U1315-'Model Inputs'!$B$18),"")</f>
        <v/>
      </c>
      <c r="X1315" s="138">
        <f>IF(AND($L$251&gt;0,A1315&gt;=$C$13),$L$251*(1+$C$25)^(A1315-$C$13),0)</f>
        <v/>
      </c>
      <c r="Y1315" s="138">
        <f>IF(OR($L$251&lt;=0,$C$17&lt;=0,A1315&lt;$C$13,MIN(MAX((A1315-$C$13+1)*12,0),$C$17*12)&gt;=$C$17*12),0,IF($C$16=0,MAX(MAX($L$251*(1-$C$15),0)-(IF($C$17&lt;=0,0,IF($C$16=0,MAX($L$251*(1-$C$15),0)/$C$17,-PMT($C$16/12,$C$17*12,MAX($L$251*(1-$C$15),0))*12))/12)*MIN(MAX((A1315-$C$13+1)*12,0),$C$17*12),0),MAX(MAX($L$251*(1-$C$15),0)*(1+$C$16/12)^MIN(MAX((A1315-$C$13+1)*12,0),$C$17*12)-(IF($C$17&lt;=0,0,IF($C$16=0,MAX($L$251*(1-$C$15),0)/$C$17,-PMT($C$16/12,$C$17*12,MAX($L$251*(1-$C$15),0))*12))/12)*(((1+$C$16/12)^MIN(MAX((A1315-$C$13+1)*12,0),$C$17*12)-1)/($C$16/12)),0)))</f>
        <v/>
      </c>
      <c r="Z1315" s="138">
        <f>MAX(X1315-Y1315,0)</f>
        <v/>
      </c>
      <c r="AA1315" s="139">
        <f>U1315+Z1315</f>
        <v/>
      </c>
      <c r="AB1315" s="5" t="n"/>
      <c r="AC1315" s="5" t="n"/>
      <c r="AD1315" s="5" t="n"/>
      <c r="AE1315" s="5" t="n"/>
      <c r="AF1315" s="5" t="n"/>
      <c r="AG1315" s="5" t="n"/>
    </row>
    <row r="1316" outlineLevel="1" s="326">
      <c r="A1316" s="140" t="n">
        <v>4</v>
      </c>
      <c r="B1316" s="40">
        <f>B83</f>
        <v/>
      </c>
      <c r="C1316" s="141">
        <f>D83</f>
        <v/>
      </c>
      <c r="D1316" s="141">
        <f>I83</f>
        <v/>
      </c>
      <c r="E1316" s="141">
        <f>J83</f>
        <v/>
      </c>
      <c r="F1316" s="141">
        <f>K83</f>
        <v/>
      </c>
      <c r="G1316" s="138">
        <f>IF(AND($L$251&gt;0,A1316=$C$13),$L$251*($C$15+$C$18),0)+IF(AND($L$251&gt;0,A1316=$C$13),$C$24,0)</f>
        <v/>
      </c>
      <c r="H1316" s="138">
        <f>IF(OR($L$251&lt;=0,A1316&lt;$C$13),0,IF(AND($L$251&gt;0,$C$17&gt;0,A1316&gt;=$C$13,A1316&lt;($C$13+$C$17)),IF($C$17&lt;=0,0,IF($C$16=0,MAX($L$251*(1-$C$15),0)/$C$17,-PMT($C$16/12,$C$17*12,MAX($L$251*(1-$C$15),0))*12)),0)+X1316*($C$19+$C$20+$C$21)+$C$22+$C$23)</f>
        <v/>
      </c>
      <c r="I1316" s="138">
        <f>IF(B1316="Working",MIN(MAX(D1316-E1316-F1316-G1316-H1316,0),'Tax Assumptions'!$B$20),0)</f>
        <v/>
      </c>
      <c r="J1316" s="138">
        <f>IF(B1316="Working",D1316-E1316-F1316-I1316-G1316-H1316,-L1316)</f>
        <v/>
      </c>
      <c r="K1316" s="141">
        <f>IF(B1316="Retired",$N$251+G1316+H1316,0)</f>
        <v/>
      </c>
      <c r="L1316" s="141">
        <f>M1316+N1316+O1316+P1316</f>
        <v/>
      </c>
      <c r="M1316" s="141">
        <f>IF(B1316="Retired",MIN(((Q1315)*(1+$C$10)+IF(B1316="Working",J1316,0)),K1316),0)</f>
        <v/>
      </c>
      <c r="N1316" s="141">
        <f>IF(B1316="Retired",MIN(MAX(K1316-M1316,0),((R1315)*(1+$C$10)+IF(B1316="Working",E83,0))),0)</f>
        <v/>
      </c>
      <c r="O1316" s="141">
        <f>IF(B1316="Retired",MIN(MAX(K1316-M1316-N1316,0),((S1315)*(1+$C$10)+IF(B1316="Working",I1316,0))),0)</f>
        <v/>
      </c>
      <c r="P1316" s="141">
        <f>IF(B1316="Retired",MIN(MAX(K1316-M1316-N1316-O1316,0),((T1315)*(1+$C$10)+IF(B1316="Working",F83,0))),0)</f>
        <v/>
      </c>
      <c r="Q1316" s="138">
        <f>MAX(((Q1315)*(1+$C$10)+IF(B1316="Working",J1316,0))-M1316,0)</f>
        <v/>
      </c>
      <c r="R1316" s="138">
        <f>MAX(((R1315)*(1+$C$10)+IF(B1316="Working",E83,0))-N1316,0)</f>
        <v/>
      </c>
      <c r="S1316" s="138">
        <f>MAX(((S1315)*(1+$C$10)+IF(B1316="Working",I1316,0))-O1316,0)</f>
        <v/>
      </c>
      <c r="T1316" s="138">
        <f>MAX(((T1315)*(1+$C$10)+IF(B1316="Working",F83,0))-P1316,0)</f>
        <v/>
      </c>
      <c r="U1316" s="138">
        <f>Q1316+R1316+S1316+T1316</f>
        <v/>
      </c>
      <c r="V1316" s="138">
        <f>IF(B1316="Working",MAX(-(((Q1315)*(1+$C$10)+IF(B1316="Working",J1316,0))),0),MAX(K1316-L1316,0))</f>
        <v/>
      </c>
      <c r="W1316" s="138">
        <f>IF(OR(A1316&gt;=$C$13,B1316="Retired"),IF(V1316&gt;0,-V1316,U1316-'Model Inputs'!$B$18),"")</f>
        <v/>
      </c>
      <c r="X1316" s="138">
        <f>IF(AND($L$251&gt;0,A1316&gt;=$C$13),$L$251*(1+$C$25)^(A1316-$C$13),0)</f>
        <v/>
      </c>
      <c r="Y1316" s="138">
        <f>IF(OR($L$251&lt;=0,$C$17&lt;=0,A1316&lt;$C$13,MIN(MAX((A1316-$C$13+1)*12,0),$C$17*12)&gt;=$C$17*12),0,IF($C$16=0,MAX(MAX($L$251*(1-$C$15),0)-(IF($C$17&lt;=0,0,IF($C$16=0,MAX($L$251*(1-$C$15),0)/$C$17,-PMT($C$16/12,$C$17*12,MAX($L$251*(1-$C$15),0))*12))/12)*MIN(MAX((A1316-$C$13+1)*12,0),$C$17*12),0),MAX(MAX($L$251*(1-$C$15),0)*(1+$C$16/12)^MIN(MAX((A1316-$C$13+1)*12,0),$C$17*12)-(IF($C$17&lt;=0,0,IF($C$16=0,MAX($L$251*(1-$C$15),0)/$C$17,-PMT($C$16/12,$C$17*12,MAX($L$251*(1-$C$15),0))*12))/12)*(((1+$C$16/12)^MIN(MAX((A1316-$C$13+1)*12,0),$C$17*12)-1)/($C$16/12)),0)))</f>
        <v/>
      </c>
      <c r="Z1316" s="138">
        <f>MAX(X1316-Y1316,0)</f>
        <v/>
      </c>
      <c r="AA1316" s="142">
        <f>U1316+Z1316</f>
        <v/>
      </c>
      <c r="AB1316" s="5" t="n"/>
      <c r="AC1316" s="5" t="n"/>
      <c r="AD1316" s="5" t="n"/>
      <c r="AE1316" s="5" t="n"/>
      <c r="AF1316" s="5" t="n"/>
      <c r="AG1316" s="5" t="n"/>
    </row>
    <row r="1317" outlineLevel="1" s="326">
      <c r="A1317" s="136" t="n">
        <v>5</v>
      </c>
      <c r="B1317" s="72">
        <f>B84</f>
        <v/>
      </c>
      <c r="C1317" s="137">
        <f>D84</f>
        <v/>
      </c>
      <c r="D1317" s="137">
        <f>I84</f>
        <v/>
      </c>
      <c r="E1317" s="137">
        <f>J84</f>
        <v/>
      </c>
      <c r="F1317" s="137">
        <f>K84</f>
        <v/>
      </c>
      <c r="G1317" s="138">
        <f>IF(AND($L$251&gt;0,A1317=$C$13),$L$251*($C$15+$C$18),0)+IF(AND($L$251&gt;0,A1317=$C$13),$C$24,0)</f>
        <v/>
      </c>
      <c r="H1317" s="138">
        <f>IF(OR($L$251&lt;=0,A1317&lt;$C$13),0,IF(AND($L$251&gt;0,$C$17&gt;0,A1317&gt;=$C$13,A1317&lt;($C$13+$C$17)),IF($C$17&lt;=0,0,IF($C$16=0,MAX($L$251*(1-$C$15),0)/$C$17,-PMT($C$16/12,$C$17*12,MAX($L$251*(1-$C$15),0))*12)),0)+X1317*($C$19+$C$20+$C$21)+$C$22+$C$23)</f>
        <v/>
      </c>
      <c r="I1317" s="138">
        <f>IF(B1317="Working",MIN(MAX(D1317-E1317-F1317-G1317-H1317,0),'Tax Assumptions'!$B$20),0)</f>
        <v/>
      </c>
      <c r="J1317" s="138">
        <f>IF(B1317="Working",D1317-E1317-F1317-I1317-G1317-H1317,-L1317)</f>
        <v/>
      </c>
      <c r="K1317" s="137">
        <f>IF(B1317="Retired",$N$251+G1317+H1317,0)</f>
        <v/>
      </c>
      <c r="L1317" s="137">
        <f>M1317+N1317+O1317+P1317</f>
        <v/>
      </c>
      <c r="M1317" s="137">
        <f>IF(B1317="Retired",MIN(((Q1316)*(1+$C$10)+IF(B1317="Working",J1317,0)),K1317),0)</f>
        <v/>
      </c>
      <c r="N1317" s="137">
        <f>IF(B1317="Retired",MIN(MAX(K1317-M1317,0),((R1316)*(1+$C$10)+IF(B1317="Working",E84,0))),0)</f>
        <v/>
      </c>
      <c r="O1317" s="137">
        <f>IF(B1317="Retired",MIN(MAX(K1317-M1317-N1317,0),((S1316)*(1+$C$10)+IF(B1317="Working",I1317,0))),0)</f>
        <v/>
      </c>
      <c r="P1317" s="137">
        <f>IF(B1317="Retired",MIN(MAX(K1317-M1317-N1317-O1317,0),((T1316)*(1+$C$10)+IF(B1317="Working",F84,0))),0)</f>
        <v/>
      </c>
      <c r="Q1317" s="138">
        <f>MAX(((Q1316)*(1+$C$10)+IF(B1317="Working",J1317,0))-M1317,0)</f>
        <v/>
      </c>
      <c r="R1317" s="138">
        <f>MAX(((R1316)*(1+$C$10)+IF(B1317="Working",E84,0))-N1317,0)</f>
        <v/>
      </c>
      <c r="S1317" s="138">
        <f>MAX(((S1316)*(1+$C$10)+IF(B1317="Working",I1317,0))-O1317,0)</f>
        <v/>
      </c>
      <c r="T1317" s="138">
        <f>MAX(((T1316)*(1+$C$10)+IF(B1317="Working",F84,0))-P1317,0)</f>
        <v/>
      </c>
      <c r="U1317" s="138">
        <f>Q1317+R1317+S1317+T1317</f>
        <v/>
      </c>
      <c r="V1317" s="138">
        <f>IF(B1317="Working",MAX(-(((Q1316)*(1+$C$10)+IF(B1317="Working",J1317,0))),0),MAX(K1317-L1317,0))</f>
        <v/>
      </c>
      <c r="W1317" s="138">
        <f>IF(OR(A1317&gt;=$C$13,B1317="Retired"),IF(V1317&gt;0,-V1317,U1317-'Model Inputs'!$B$18),"")</f>
        <v/>
      </c>
      <c r="X1317" s="138">
        <f>IF(AND($L$251&gt;0,A1317&gt;=$C$13),$L$251*(1+$C$25)^(A1317-$C$13),0)</f>
        <v/>
      </c>
      <c r="Y1317" s="138">
        <f>IF(OR($L$251&lt;=0,$C$17&lt;=0,A1317&lt;$C$13,MIN(MAX((A1317-$C$13+1)*12,0),$C$17*12)&gt;=$C$17*12),0,IF($C$16=0,MAX(MAX($L$251*(1-$C$15),0)-(IF($C$17&lt;=0,0,IF($C$16=0,MAX($L$251*(1-$C$15),0)/$C$17,-PMT($C$16/12,$C$17*12,MAX($L$251*(1-$C$15),0))*12))/12)*MIN(MAX((A1317-$C$13+1)*12,0),$C$17*12),0),MAX(MAX($L$251*(1-$C$15),0)*(1+$C$16/12)^MIN(MAX((A1317-$C$13+1)*12,0),$C$17*12)-(IF($C$17&lt;=0,0,IF($C$16=0,MAX($L$251*(1-$C$15),0)/$C$17,-PMT($C$16/12,$C$17*12,MAX($L$251*(1-$C$15),0))*12))/12)*(((1+$C$16/12)^MIN(MAX((A1317-$C$13+1)*12,0),$C$17*12)-1)/($C$16/12)),0)))</f>
        <v/>
      </c>
      <c r="Z1317" s="138">
        <f>MAX(X1317-Y1317,0)</f>
        <v/>
      </c>
      <c r="AA1317" s="139">
        <f>U1317+Z1317</f>
        <v/>
      </c>
      <c r="AB1317" s="5" t="n"/>
      <c r="AC1317" s="5" t="n"/>
      <c r="AD1317" s="5" t="n"/>
      <c r="AE1317" s="5" t="n"/>
      <c r="AF1317" s="5" t="n"/>
      <c r="AG1317" s="5" t="n"/>
    </row>
    <row r="1318" outlineLevel="1" s="326">
      <c r="A1318" s="140" t="n">
        <v>6</v>
      </c>
      <c r="B1318" s="40">
        <f>B85</f>
        <v/>
      </c>
      <c r="C1318" s="141">
        <f>D85</f>
        <v/>
      </c>
      <c r="D1318" s="141">
        <f>I85</f>
        <v/>
      </c>
      <c r="E1318" s="141">
        <f>J85</f>
        <v/>
      </c>
      <c r="F1318" s="141">
        <f>K85</f>
        <v/>
      </c>
      <c r="G1318" s="138">
        <f>IF(AND($L$251&gt;0,A1318=$C$13),$L$251*($C$15+$C$18),0)+IF(AND($L$251&gt;0,A1318=$C$13),$C$24,0)</f>
        <v/>
      </c>
      <c r="H1318" s="138">
        <f>IF(OR($L$251&lt;=0,A1318&lt;$C$13),0,IF(AND($L$251&gt;0,$C$17&gt;0,A1318&gt;=$C$13,A1318&lt;($C$13+$C$17)),IF($C$17&lt;=0,0,IF($C$16=0,MAX($L$251*(1-$C$15),0)/$C$17,-PMT($C$16/12,$C$17*12,MAX($L$251*(1-$C$15),0))*12)),0)+X1318*($C$19+$C$20+$C$21)+$C$22+$C$23)</f>
        <v/>
      </c>
      <c r="I1318" s="138">
        <f>IF(B1318="Working",MIN(MAX(D1318-E1318-F1318-G1318-H1318,0),'Tax Assumptions'!$B$20),0)</f>
        <v/>
      </c>
      <c r="J1318" s="138">
        <f>IF(B1318="Working",D1318-E1318-F1318-I1318-G1318-H1318,-L1318)</f>
        <v/>
      </c>
      <c r="K1318" s="141">
        <f>IF(B1318="Retired",$N$251+G1318+H1318,0)</f>
        <v/>
      </c>
      <c r="L1318" s="141">
        <f>M1318+N1318+O1318+P1318</f>
        <v/>
      </c>
      <c r="M1318" s="141">
        <f>IF(B1318="Retired",MIN(((Q1317)*(1+$C$10)+IF(B1318="Working",J1318,0)),K1318),0)</f>
        <v/>
      </c>
      <c r="N1318" s="141">
        <f>IF(B1318="Retired",MIN(MAX(K1318-M1318,0),((R1317)*(1+$C$10)+IF(B1318="Working",E85,0))),0)</f>
        <v/>
      </c>
      <c r="O1318" s="141">
        <f>IF(B1318="Retired",MIN(MAX(K1318-M1318-N1318,0),((S1317)*(1+$C$10)+IF(B1318="Working",I1318,0))),0)</f>
        <v/>
      </c>
      <c r="P1318" s="141">
        <f>IF(B1318="Retired",MIN(MAX(K1318-M1318-N1318-O1318,0),((T1317)*(1+$C$10)+IF(B1318="Working",F85,0))),0)</f>
        <v/>
      </c>
      <c r="Q1318" s="138">
        <f>MAX(((Q1317)*(1+$C$10)+IF(B1318="Working",J1318,0))-M1318,0)</f>
        <v/>
      </c>
      <c r="R1318" s="138">
        <f>MAX(((R1317)*(1+$C$10)+IF(B1318="Working",E85,0))-N1318,0)</f>
        <v/>
      </c>
      <c r="S1318" s="138">
        <f>MAX(((S1317)*(1+$C$10)+IF(B1318="Working",I1318,0))-O1318,0)</f>
        <v/>
      </c>
      <c r="T1318" s="138">
        <f>MAX(((T1317)*(1+$C$10)+IF(B1318="Working",F85,0))-P1318,0)</f>
        <v/>
      </c>
      <c r="U1318" s="138">
        <f>Q1318+R1318+S1318+T1318</f>
        <v/>
      </c>
      <c r="V1318" s="138">
        <f>IF(B1318="Working",MAX(-(((Q1317)*(1+$C$10)+IF(B1318="Working",J1318,0))),0),MAX(K1318-L1318,0))</f>
        <v/>
      </c>
      <c r="W1318" s="138">
        <f>IF(OR(A1318&gt;=$C$13,B1318="Retired"),IF(V1318&gt;0,-V1318,U1318-'Model Inputs'!$B$18),"")</f>
        <v/>
      </c>
      <c r="X1318" s="138">
        <f>IF(AND($L$251&gt;0,A1318&gt;=$C$13),$L$251*(1+$C$25)^(A1318-$C$13),0)</f>
        <v/>
      </c>
      <c r="Y1318" s="138">
        <f>IF(OR($L$251&lt;=0,$C$17&lt;=0,A1318&lt;$C$13,MIN(MAX((A1318-$C$13+1)*12,0),$C$17*12)&gt;=$C$17*12),0,IF($C$16=0,MAX(MAX($L$251*(1-$C$15),0)-(IF($C$17&lt;=0,0,IF($C$16=0,MAX($L$251*(1-$C$15),0)/$C$17,-PMT($C$16/12,$C$17*12,MAX($L$251*(1-$C$15),0))*12))/12)*MIN(MAX((A1318-$C$13+1)*12,0),$C$17*12),0),MAX(MAX($L$251*(1-$C$15),0)*(1+$C$16/12)^MIN(MAX((A1318-$C$13+1)*12,0),$C$17*12)-(IF($C$17&lt;=0,0,IF($C$16=0,MAX($L$251*(1-$C$15),0)/$C$17,-PMT($C$16/12,$C$17*12,MAX($L$251*(1-$C$15),0))*12))/12)*(((1+$C$16/12)^MIN(MAX((A1318-$C$13+1)*12,0),$C$17*12)-1)/($C$16/12)),0)))</f>
        <v/>
      </c>
      <c r="Z1318" s="138">
        <f>MAX(X1318-Y1318,0)</f>
        <v/>
      </c>
      <c r="AA1318" s="142">
        <f>U1318+Z1318</f>
        <v/>
      </c>
      <c r="AB1318" s="5" t="n"/>
      <c r="AC1318" s="5" t="n"/>
      <c r="AD1318" s="5" t="n"/>
      <c r="AE1318" s="5" t="n"/>
      <c r="AF1318" s="5" t="n"/>
      <c r="AG1318" s="5" t="n"/>
    </row>
    <row r="1319" outlineLevel="1" s="326">
      <c r="A1319" s="136" t="n">
        <v>7</v>
      </c>
      <c r="B1319" s="72">
        <f>B86</f>
        <v/>
      </c>
      <c r="C1319" s="137">
        <f>D86</f>
        <v/>
      </c>
      <c r="D1319" s="137">
        <f>I86</f>
        <v/>
      </c>
      <c r="E1319" s="137">
        <f>J86</f>
        <v/>
      </c>
      <c r="F1319" s="137">
        <f>K86</f>
        <v/>
      </c>
      <c r="G1319" s="138">
        <f>IF(AND($L$251&gt;0,A1319=$C$13),$L$251*($C$15+$C$18),0)+IF(AND($L$251&gt;0,A1319=$C$13),$C$24,0)</f>
        <v/>
      </c>
      <c r="H1319" s="138">
        <f>IF(OR($L$251&lt;=0,A1319&lt;$C$13),0,IF(AND($L$251&gt;0,$C$17&gt;0,A1319&gt;=$C$13,A1319&lt;($C$13+$C$17)),IF($C$17&lt;=0,0,IF($C$16=0,MAX($L$251*(1-$C$15),0)/$C$17,-PMT($C$16/12,$C$17*12,MAX($L$251*(1-$C$15),0))*12)),0)+X1319*($C$19+$C$20+$C$21)+$C$22+$C$23)</f>
        <v/>
      </c>
      <c r="I1319" s="138">
        <f>IF(B1319="Working",MIN(MAX(D1319-E1319-F1319-G1319-H1319,0),'Tax Assumptions'!$B$20),0)</f>
        <v/>
      </c>
      <c r="J1319" s="138">
        <f>IF(B1319="Working",D1319-E1319-F1319-I1319-G1319-H1319,-L1319)</f>
        <v/>
      </c>
      <c r="K1319" s="137">
        <f>IF(B1319="Retired",$N$251+G1319+H1319,0)</f>
        <v/>
      </c>
      <c r="L1319" s="137">
        <f>M1319+N1319+O1319+P1319</f>
        <v/>
      </c>
      <c r="M1319" s="137">
        <f>IF(B1319="Retired",MIN(((Q1318)*(1+$C$10)+IF(B1319="Working",J1319,0)),K1319),0)</f>
        <v/>
      </c>
      <c r="N1319" s="137">
        <f>IF(B1319="Retired",MIN(MAX(K1319-M1319,0),((R1318)*(1+$C$10)+IF(B1319="Working",E86,0))),0)</f>
        <v/>
      </c>
      <c r="O1319" s="137">
        <f>IF(B1319="Retired",MIN(MAX(K1319-M1319-N1319,0),((S1318)*(1+$C$10)+IF(B1319="Working",I1319,0))),0)</f>
        <v/>
      </c>
      <c r="P1319" s="137">
        <f>IF(B1319="Retired",MIN(MAX(K1319-M1319-N1319-O1319,0),((T1318)*(1+$C$10)+IF(B1319="Working",F86,0))),0)</f>
        <v/>
      </c>
      <c r="Q1319" s="138">
        <f>MAX(((Q1318)*(1+$C$10)+IF(B1319="Working",J1319,0))-M1319,0)</f>
        <v/>
      </c>
      <c r="R1319" s="138">
        <f>MAX(((R1318)*(1+$C$10)+IF(B1319="Working",E86,0))-N1319,0)</f>
        <v/>
      </c>
      <c r="S1319" s="138">
        <f>MAX(((S1318)*(1+$C$10)+IF(B1319="Working",I1319,0))-O1319,0)</f>
        <v/>
      </c>
      <c r="T1319" s="138">
        <f>MAX(((T1318)*(1+$C$10)+IF(B1319="Working",F86,0))-P1319,0)</f>
        <v/>
      </c>
      <c r="U1319" s="138">
        <f>Q1319+R1319+S1319+T1319</f>
        <v/>
      </c>
      <c r="V1319" s="138">
        <f>IF(B1319="Working",MAX(-(((Q1318)*(1+$C$10)+IF(B1319="Working",J1319,0))),0),MAX(K1319-L1319,0))</f>
        <v/>
      </c>
      <c r="W1319" s="138">
        <f>IF(OR(A1319&gt;=$C$13,B1319="Retired"),IF(V1319&gt;0,-V1319,U1319-'Model Inputs'!$B$18),"")</f>
        <v/>
      </c>
      <c r="X1319" s="138">
        <f>IF(AND($L$251&gt;0,A1319&gt;=$C$13),$L$251*(1+$C$25)^(A1319-$C$13),0)</f>
        <v/>
      </c>
      <c r="Y1319" s="138">
        <f>IF(OR($L$251&lt;=0,$C$17&lt;=0,A1319&lt;$C$13,MIN(MAX((A1319-$C$13+1)*12,0),$C$17*12)&gt;=$C$17*12),0,IF($C$16=0,MAX(MAX($L$251*(1-$C$15),0)-(IF($C$17&lt;=0,0,IF($C$16=0,MAX($L$251*(1-$C$15),0)/$C$17,-PMT($C$16/12,$C$17*12,MAX($L$251*(1-$C$15),0))*12))/12)*MIN(MAX((A1319-$C$13+1)*12,0),$C$17*12),0),MAX(MAX($L$251*(1-$C$15),0)*(1+$C$16/12)^MIN(MAX((A1319-$C$13+1)*12,0),$C$17*12)-(IF($C$17&lt;=0,0,IF($C$16=0,MAX($L$251*(1-$C$15),0)/$C$17,-PMT($C$16/12,$C$17*12,MAX($L$251*(1-$C$15),0))*12))/12)*(((1+$C$16/12)^MIN(MAX((A1319-$C$13+1)*12,0),$C$17*12)-1)/($C$16/12)),0)))</f>
        <v/>
      </c>
      <c r="Z1319" s="138">
        <f>MAX(X1319-Y1319,0)</f>
        <v/>
      </c>
      <c r="AA1319" s="139">
        <f>U1319+Z1319</f>
        <v/>
      </c>
      <c r="AB1319" s="5" t="n"/>
      <c r="AC1319" s="5" t="n"/>
      <c r="AD1319" s="5" t="n"/>
      <c r="AE1319" s="5" t="n"/>
      <c r="AF1319" s="5" t="n"/>
      <c r="AG1319" s="5" t="n"/>
    </row>
    <row r="1320" outlineLevel="1" s="326">
      <c r="A1320" s="140" t="n">
        <v>8</v>
      </c>
      <c r="B1320" s="40">
        <f>B87</f>
        <v/>
      </c>
      <c r="C1320" s="141">
        <f>D87</f>
        <v/>
      </c>
      <c r="D1320" s="141">
        <f>I87</f>
        <v/>
      </c>
      <c r="E1320" s="141">
        <f>J87</f>
        <v/>
      </c>
      <c r="F1320" s="141">
        <f>K87</f>
        <v/>
      </c>
      <c r="G1320" s="138">
        <f>IF(AND($L$251&gt;0,A1320=$C$13),$L$251*($C$15+$C$18),0)+IF(AND($L$251&gt;0,A1320=$C$13),$C$24,0)</f>
        <v/>
      </c>
      <c r="H1320" s="138">
        <f>IF(OR($L$251&lt;=0,A1320&lt;$C$13),0,IF(AND($L$251&gt;0,$C$17&gt;0,A1320&gt;=$C$13,A1320&lt;($C$13+$C$17)),IF($C$17&lt;=0,0,IF($C$16=0,MAX($L$251*(1-$C$15),0)/$C$17,-PMT($C$16/12,$C$17*12,MAX($L$251*(1-$C$15),0))*12)),0)+X1320*($C$19+$C$20+$C$21)+$C$22+$C$23)</f>
        <v/>
      </c>
      <c r="I1320" s="138">
        <f>IF(B1320="Working",MIN(MAX(D1320-E1320-F1320-G1320-H1320,0),'Tax Assumptions'!$B$20),0)</f>
        <v/>
      </c>
      <c r="J1320" s="138">
        <f>IF(B1320="Working",D1320-E1320-F1320-I1320-G1320-H1320,-L1320)</f>
        <v/>
      </c>
      <c r="K1320" s="141">
        <f>IF(B1320="Retired",$N$251+G1320+H1320,0)</f>
        <v/>
      </c>
      <c r="L1320" s="141">
        <f>M1320+N1320+O1320+P1320</f>
        <v/>
      </c>
      <c r="M1320" s="141">
        <f>IF(B1320="Retired",MIN(((Q1319)*(1+$C$10)+IF(B1320="Working",J1320,0)),K1320),0)</f>
        <v/>
      </c>
      <c r="N1320" s="141">
        <f>IF(B1320="Retired",MIN(MAX(K1320-M1320,0),((R1319)*(1+$C$10)+IF(B1320="Working",E87,0))),0)</f>
        <v/>
      </c>
      <c r="O1320" s="141">
        <f>IF(B1320="Retired",MIN(MAX(K1320-M1320-N1320,0),((S1319)*(1+$C$10)+IF(B1320="Working",I1320,0))),0)</f>
        <v/>
      </c>
      <c r="P1320" s="141">
        <f>IF(B1320="Retired",MIN(MAX(K1320-M1320-N1320-O1320,0),((T1319)*(1+$C$10)+IF(B1320="Working",F87,0))),0)</f>
        <v/>
      </c>
      <c r="Q1320" s="138">
        <f>MAX(((Q1319)*(1+$C$10)+IF(B1320="Working",J1320,0))-M1320,0)</f>
        <v/>
      </c>
      <c r="R1320" s="138">
        <f>MAX(((R1319)*(1+$C$10)+IF(B1320="Working",E87,0))-N1320,0)</f>
        <v/>
      </c>
      <c r="S1320" s="138">
        <f>MAX(((S1319)*(1+$C$10)+IF(B1320="Working",I1320,0))-O1320,0)</f>
        <v/>
      </c>
      <c r="T1320" s="138">
        <f>MAX(((T1319)*(1+$C$10)+IF(B1320="Working",F87,0))-P1320,0)</f>
        <v/>
      </c>
      <c r="U1320" s="138">
        <f>Q1320+R1320+S1320+T1320</f>
        <v/>
      </c>
      <c r="V1320" s="138">
        <f>IF(B1320="Working",MAX(-(((Q1319)*(1+$C$10)+IF(B1320="Working",J1320,0))),0),MAX(K1320-L1320,0))</f>
        <v/>
      </c>
      <c r="W1320" s="138">
        <f>IF(OR(A1320&gt;=$C$13,B1320="Retired"),IF(V1320&gt;0,-V1320,U1320-'Model Inputs'!$B$18),"")</f>
        <v/>
      </c>
      <c r="X1320" s="138">
        <f>IF(AND($L$251&gt;0,A1320&gt;=$C$13),$L$251*(1+$C$25)^(A1320-$C$13),0)</f>
        <v/>
      </c>
      <c r="Y1320" s="138">
        <f>IF(OR($L$251&lt;=0,$C$17&lt;=0,A1320&lt;$C$13,MIN(MAX((A1320-$C$13+1)*12,0),$C$17*12)&gt;=$C$17*12),0,IF($C$16=0,MAX(MAX($L$251*(1-$C$15),0)-(IF($C$17&lt;=0,0,IF($C$16=0,MAX($L$251*(1-$C$15),0)/$C$17,-PMT($C$16/12,$C$17*12,MAX($L$251*(1-$C$15),0))*12))/12)*MIN(MAX((A1320-$C$13+1)*12,0),$C$17*12),0),MAX(MAX($L$251*(1-$C$15),0)*(1+$C$16/12)^MIN(MAX((A1320-$C$13+1)*12,0),$C$17*12)-(IF($C$17&lt;=0,0,IF($C$16=0,MAX($L$251*(1-$C$15),0)/$C$17,-PMT($C$16/12,$C$17*12,MAX($L$251*(1-$C$15),0))*12))/12)*(((1+$C$16/12)^MIN(MAX((A1320-$C$13+1)*12,0),$C$17*12)-1)/($C$16/12)),0)))</f>
        <v/>
      </c>
      <c r="Z1320" s="138">
        <f>MAX(X1320-Y1320,0)</f>
        <v/>
      </c>
      <c r="AA1320" s="142">
        <f>U1320+Z1320</f>
        <v/>
      </c>
      <c r="AB1320" s="5" t="n"/>
      <c r="AC1320" s="5" t="n"/>
      <c r="AD1320" s="5" t="n"/>
      <c r="AE1320" s="5" t="n"/>
      <c r="AF1320" s="5" t="n"/>
      <c r="AG1320" s="5" t="n"/>
    </row>
    <row r="1321" outlineLevel="1" s="326">
      <c r="A1321" s="136" t="n">
        <v>9</v>
      </c>
      <c r="B1321" s="72">
        <f>B88</f>
        <v/>
      </c>
      <c r="C1321" s="137">
        <f>D88</f>
        <v/>
      </c>
      <c r="D1321" s="137">
        <f>I88</f>
        <v/>
      </c>
      <c r="E1321" s="137">
        <f>J88</f>
        <v/>
      </c>
      <c r="F1321" s="137">
        <f>K88</f>
        <v/>
      </c>
      <c r="G1321" s="138">
        <f>IF(AND($L$251&gt;0,A1321=$C$13),$L$251*($C$15+$C$18),0)+IF(AND($L$251&gt;0,A1321=$C$13),$C$24,0)</f>
        <v/>
      </c>
      <c r="H1321" s="138">
        <f>IF(OR($L$251&lt;=0,A1321&lt;$C$13),0,IF(AND($L$251&gt;0,$C$17&gt;0,A1321&gt;=$C$13,A1321&lt;($C$13+$C$17)),IF($C$17&lt;=0,0,IF($C$16=0,MAX($L$251*(1-$C$15),0)/$C$17,-PMT($C$16/12,$C$17*12,MAX($L$251*(1-$C$15),0))*12)),0)+X1321*($C$19+$C$20+$C$21)+$C$22+$C$23)</f>
        <v/>
      </c>
      <c r="I1321" s="138">
        <f>IF(B1321="Working",MIN(MAX(D1321-E1321-F1321-G1321-H1321,0),'Tax Assumptions'!$B$20),0)</f>
        <v/>
      </c>
      <c r="J1321" s="138">
        <f>IF(B1321="Working",D1321-E1321-F1321-I1321-G1321-H1321,-L1321)</f>
        <v/>
      </c>
      <c r="K1321" s="137">
        <f>IF(B1321="Retired",$N$251+G1321+H1321,0)</f>
        <v/>
      </c>
      <c r="L1321" s="137">
        <f>M1321+N1321+O1321+P1321</f>
        <v/>
      </c>
      <c r="M1321" s="137">
        <f>IF(B1321="Retired",MIN(((Q1320)*(1+$C$10)+IF(B1321="Working",J1321,0)),K1321),0)</f>
        <v/>
      </c>
      <c r="N1321" s="137">
        <f>IF(B1321="Retired",MIN(MAX(K1321-M1321,0),((R1320)*(1+$C$10)+IF(B1321="Working",E88,0))),0)</f>
        <v/>
      </c>
      <c r="O1321" s="137">
        <f>IF(B1321="Retired",MIN(MAX(K1321-M1321-N1321,0),((S1320)*(1+$C$10)+IF(B1321="Working",I1321,0))),0)</f>
        <v/>
      </c>
      <c r="P1321" s="137">
        <f>IF(B1321="Retired",MIN(MAX(K1321-M1321-N1321-O1321,0),((T1320)*(1+$C$10)+IF(B1321="Working",F88,0))),0)</f>
        <v/>
      </c>
      <c r="Q1321" s="138">
        <f>MAX(((Q1320)*(1+$C$10)+IF(B1321="Working",J1321,0))-M1321,0)</f>
        <v/>
      </c>
      <c r="R1321" s="138">
        <f>MAX(((R1320)*(1+$C$10)+IF(B1321="Working",E88,0))-N1321,0)</f>
        <v/>
      </c>
      <c r="S1321" s="138">
        <f>MAX(((S1320)*(1+$C$10)+IF(B1321="Working",I1321,0))-O1321,0)</f>
        <v/>
      </c>
      <c r="T1321" s="138">
        <f>MAX(((T1320)*(1+$C$10)+IF(B1321="Working",F88,0))-P1321,0)</f>
        <v/>
      </c>
      <c r="U1321" s="138">
        <f>Q1321+R1321+S1321+T1321</f>
        <v/>
      </c>
      <c r="V1321" s="138">
        <f>IF(B1321="Working",MAX(-(((Q1320)*(1+$C$10)+IF(B1321="Working",J1321,0))),0),MAX(K1321-L1321,0))</f>
        <v/>
      </c>
      <c r="W1321" s="138">
        <f>IF(OR(A1321&gt;=$C$13,B1321="Retired"),IF(V1321&gt;0,-V1321,U1321-'Model Inputs'!$B$18),"")</f>
        <v/>
      </c>
      <c r="X1321" s="138">
        <f>IF(AND($L$251&gt;0,A1321&gt;=$C$13),$L$251*(1+$C$25)^(A1321-$C$13),0)</f>
        <v/>
      </c>
      <c r="Y1321" s="138">
        <f>IF(OR($L$251&lt;=0,$C$17&lt;=0,A1321&lt;$C$13,MIN(MAX((A1321-$C$13+1)*12,0),$C$17*12)&gt;=$C$17*12),0,IF($C$16=0,MAX(MAX($L$251*(1-$C$15),0)-(IF($C$17&lt;=0,0,IF($C$16=0,MAX($L$251*(1-$C$15),0)/$C$17,-PMT($C$16/12,$C$17*12,MAX($L$251*(1-$C$15),0))*12))/12)*MIN(MAX((A1321-$C$13+1)*12,0),$C$17*12),0),MAX(MAX($L$251*(1-$C$15),0)*(1+$C$16/12)^MIN(MAX((A1321-$C$13+1)*12,0),$C$17*12)-(IF($C$17&lt;=0,0,IF($C$16=0,MAX($L$251*(1-$C$15),0)/$C$17,-PMT($C$16/12,$C$17*12,MAX($L$251*(1-$C$15),0))*12))/12)*(((1+$C$16/12)^MIN(MAX((A1321-$C$13+1)*12,0),$C$17*12)-1)/($C$16/12)),0)))</f>
        <v/>
      </c>
      <c r="Z1321" s="138">
        <f>MAX(X1321-Y1321,0)</f>
        <v/>
      </c>
      <c r="AA1321" s="139">
        <f>U1321+Z1321</f>
        <v/>
      </c>
      <c r="AB1321" s="5" t="n"/>
      <c r="AC1321" s="5" t="n"/>
      <c r="AD1321" s="5" t="n"/>
      <c r="AE1321" s="5" t="n"/>
      <c r="AF1321" s="5" t="n"/>
      <c r="AG1321" s="5" t="n"/>
    </row>
    <row r="1322" outlineLevel="1" s="326">
      <c r="A1322" s="140" t="n">
        <v>10</v>
      </c>
      <c r="B1322" s="40">
        <f>B89</f>
        <v/>
      </c>
      <c r="C1322" s="141">
        <f>D89</f>
        <v/>
      </c>
      <c r="D1322" s="141">
        <f>I89</f>
        <v/>
      </c>
      <c r="E1322" s="141">
        <f>J89</f>
        <v/>
      </c>
      <c r="F1322" s="141">
        <f>K89</f>
        <v/>
      </c>
      <c r="G1322" s="138">
        <f>IF(AND($L$251&gt;0,A1322=$C$13),$L$251*($C$15+$C$18),0)+IF(AND($L$251&gt;0,A1322=$C$13),$C$24,0)</f>
        <v/>
      </c>
      <c r="H1322" s="138">
        <f>IF(OR($L$251&lt;=0,A1322&lt;$C$13),0,IF(AND($L$251&gt;0,$C$17&gt;0,A1322&gt;=$C$13,A1322&lt;($C$13+$C$17)),IF($C$17&lt;=0,0,IF($C$16=0,MAX($L$251*(1-$C$15),0)/$C$17,-PMT($C$16/12,$C$17*12,MAX($L$251*(1-$C$15),0))*12)),0)+X1322*($C$19+$C$20+$C$21)+$C$22+$C$23)</f>
        <v/>
      </c>
      <c r="I1322" s="138">
        <f>IF(B1322="Working",MIN(MAX(D1322-E1322-F1322-G1322-H1322,0),'Tax Assumptions'!$B$20),0)</f>
        <v/>
      </c>
      <c r="J1322" s="138">
        <f>IF(B1322="Working",D1322-E1322-F1322-I1322-G1322-H1322,-L1322)</f>
        <v/>
      </c>
      <c r="K1322" s="141">
        <f>IF(B1322="Retired",$N$251+G1322+H1322,0)</f>
        <v/>
      </c>
      <c r="L1322" s="141">
        <f>M1322+N1322+O1322+P1322</f>
        <v/>
      </c>
      <c r="M1322" s="141">
        <f>IF(B1322="Retired",MIN(((Q1321)*(1+$C$10)+IF(B1322="Working",J1322,0)),K1322),0)</f>
        <v/>
      </c>
      <c r="N1322" s="141">
        <f>IF(B1322="Retired",MIN(MAX(K1322-M1322,0),((R1321)*(1+$C$10)+IF(B1322="Working",E89,0))),0)</f>
        <v/>
      </c>
      <c r="O1322" s="141">
        <f>IF(B1322="Retired",MIN(MAX(K1322-M1322-N1322,0),((S1321)*(1+$C$10)+IF(B1322="Working",I1322,0))),0)</f>
        <v/>
      </c>
      <c r="P1322" s="141">
        <f>IF(B1322="Retired",MIN(MAX(K1322-M1322-N1322-O1322,0),((T1321)*(1+$C$10)+IF(B1322="Working",F89,0))),0)</f>
        <v/>
      </c>
      <c r="Q1322" s="138">
        <f>MAX(((Q1321)*(1+$C$10)+IF(B1322="Working",J1322,0))-M1322,0)</f>
        <v/>
      </c>
      <c r="R1322" s="138">
        <f>MAX(((R1321)*(1+$C$10)+IF(B1322="Working",E89,0))-N1322,0)</f>
        <v/>
      </c>
      <c r="S1322" s="138">
        <f>MAX(((S1321)*(1+$C$10)+IF(B1322="Working",I1322,0))-O1322,0)</f>
        <v/>
      </c>
      <c r="T1322" s="138">
        <f>MAX(((T1321)*(1+$C$10)+IF(B1322="Working",F89,0))-P1322,0)</f>
        <v/>
      </c>
      <c r="U1322" s="138">
        <f>Q1322+R1322+S1322+T1322</f>
        <v/>
      </c>
      <c r="V1322" s="138">
        <f>IF(B1322="Working",MAX(-(((Q1321)*(1+$C$10)+IF(B1322="Working",J1322,0))),0),MAX(K1322-L1322,0))</f>
        <v/>
      </c>
      <c r="W1322" s="138">
        <f>IF(OR(A1322&gt;=$C$13,B1322="Retired"),IF(V1322&gt;0,-V1322,U1322-'Model Inputs'!$B$18),"")</f>
        <v/>
      </c>
      <c r="X1322" s="138">
        <f>IF(AND($L$251&gt;0,A1322&gt;=$C$13),$L$251*(1+$C$25)^(A1322-$C$13),0)</f>
        <v/>
      </c>
      <c r="Y1322" s="138">
        <f>IF(OR($L$251&lt;=0,$C$17&lt;=0,A1322&lt;$C$13,MIN(MAX((A1322-$C$13+1)*12,0),$C$17*12)&gt;=$C$17*12),0,IF($C$16=0,MAX(MAX($L$251*(1-$C$15),0)-(IF($C$17&lt;=0,0,IF($C$16=0,MAX($L$251*(1-$C$15),0)/$C$17,-PMT($C$16/12,$C$17*12,MAX($L$251*(1-$C$15),0))*12))/12)*MIN(MAX((A1322-$C$13+1)*12,0),$C$17*12),0),MAX(MAX($L$251*(1-$C$15),0)*(1+$C$16/12)^MIN(MAX((A1322-$C$13+1)*12,0),$C$17*12)-(IF($C$17&lt;=0,0,IF($C$16=0,MAX($L$251*(1-$C$15),0)/$C$17,-PMT($C$16/12,$C$17*12,MAX($L$251*(1-$C$15),0))*12))/12)*(((1+$C$16/12)^MIN(MAX((A1322-$C$13+1)*12,0),$C$17*12)-1)/($C$16/12)),0)))</f>
        <v/>
      </c>
      <c r="Z1322" s="138">
        <f>MAX(X1322-Y1322,0)</f>
        <v/>
      </c>
      <c r="AA1322" s="142">
        <f>U1322+Z1322</f>
        <v/>
      </c>
      <c r="AB1322" s="5" t="n"/>
      <c r="AC1322" s="5" t="n"/>
      <c r="AD1322" s="5" t="n"/>
      <c r="AE1322" s="5" t="n"/>
      <c r="AF1322" s="5" t="n"/>
      <c r="AG1322" s="5" t="n"/>
    </row>
    <row r="1323" outlineLevel="1" s="326">
      <c r="A1323" s="136" t="n">
        <v>11</v>
      </c>
      <c r="B1323" s="72">
        <f>B90</f>
        <v/>
      </c>
      <c r="C1323" s="137">
        <f>D90</f>
        <v/>
      </c>
      <c r="D1323" s="137">
        <f>I90</f>
        <v/>
      </c>
      <c r="E1323" s="137">
        <f>J90</f>
        <v/>
      </c>
      <c r="F1323" s="137">
        <f>K90</f>
        <v/>
      </c>
      <c r="G1323" s="138">
        <f>IF(AND($L$251&gt;0,A1323=$C$13),$L$251*($C$15+$C$18),0)+IF(AND($L$251&gt;0,A1323=$C$13),$C$24,0)</f>
        <v/>
      </c>
      <c r="H1323" s="138">
        <f>IF(OR($L$251&lt;=0,A1323&lt;$C$13),0,IF(AND($L$251&gt;0,$C$17&gt;0,A1323&gt;=$C$13,A1323&lt;($C$13+$C$17)),IF($C$17&lt;=0,0,IF($C$16=0,MAX($L$251*(1-$C$15),0)/$C$17,-PMT($C$16/12,$C$17*12,MAX($L$251*(1-$C$15),0))*12)),0)+X1323*($C$19+$C$20+$C$21)+$C$22+$C$23)</f>
        <v/>
      </c>
      <c r="I1323" s="138">
        <f>IF(B1323="Working",MIN(MAX(D1323-E1323-F1323-G1323-H1323,0),'Tax Assumptions'!$B$20),0)</f>
        <v/>
      </c>
      <c r="J1323" s="138">
        <f>IF(B1323="Working",D1323-E1323-F1323-I1323-G1323-H1323,-L1323)</f>
        <v/>
      </c>
      <c r="K1323" s="137">
        <f>IF(B1323="Retired",$N$251+G1323+H1323,0)</f>
        <v/>
      </c>
      <c r="L1323" s="137">
        <f>M1323+N1323+O1323+P1323</f>
        <v/>
      </c>
      <c r="M1323" s="137">
        <f>IF(B1323="Retired",MIN(((Q1322)*(1+$C$10)+IF(B1323="Working",J1323,0)),K1323),0)</f>
        <v/>
      </c>
      <c r="N1323" s="137">
        <f>IF(B1323="Retired",MIN(MAX(K1323-M1323,0),((R1322)*(1+$C$10)+IF(B1323="Working",E90,0))),0)</f>
        <v/>
      </c>
      <c r="O1323" s="137">
        <f>IF(B1323="Retired",MIN(MAX(K1323-M1323-N1323,0),((S1322)*(1+$C$10)+IF(B1323="Working",I1323,0))),0)</f>
        <v/>
      </c>
      <c r="P1323" s="137">
        <f>IF(B1323="Retired",MIN(MAX(K1323-M1323-N1323-O1323,0),((T1322)*(1+$C$10)+IF(B1323="Working",F90,0))),0)</f>
        <v/>
      </c>
      <c r="Q1323" s="138">
        <f>MAX(((Q1322)*(1+$C$10)+IF(B1323="Working",J1323,0))-M1323,0)</f>
        <v/>
      </c>
      <c r="R1323" s="138">
        <f>MAX(((R1322)*(1+$C$10)+IF(B1323="Working",E90,0))-N1323,0)</f>
        <v/>
      </c>
      <c r="S1323" s="138">
        <f>MAX(((S1322)*(1+$C$10)+IF(B1323="Working",I1323,0))-O1323,0)</f>
        <v/>
      </c>
      <c r="T1323" s="138">
        <f>MAX(((T1322)*(1+$C$10)+IF(B1323="Working",F90,0))-P1323,0)</f>
        <v/>
      </c>
      <c r="U1323" s="138">
        <f>Q1323+R1323+S1323+T1323</f>
        <v/>
      </c>
      <c r="V1323" s="138">
        <f>IF(B1323="Working",MAX(-(((Q1322)*(1+$C$10)+IF(B1323="Working",J1323,0))),0),MAX(K1323-L1323,0))</f>
        <v/>
      </c>
      <c r="W1323" s="138">
        <f>IF(OR(A1323&gt;=$C$13,B1323="Retired"),IF(V1323&gt;0,-V1323,U1323-'Model Inputs'!$B$18),"")</f>
        <v/>
      </c>
      <c r="X1323" s="138">
        <f>IF(AND($L$251&gt;0,A1323&gt;=$C$13),$L$251*(1+$C$25)^(A1323-$C$13),0)</f>
        <v/>
      </c>
      <c r="Y1323" s="138">
        <f>IF(OR($L$251&lt;=0,$C$17&lt;=0,A1323&lt;$C$13,MIN(MAX((A1323-$C$13+1)*12,0),$C$17*12)&gt;=$C$17*12),0,IF($C$16=0,MAX(MAX($L$251*(1-$C$15),0)-(IF($C$17&lt;=0,0,IF($C$16=0,MAX($L$251*(1-$C$15),0)/$C$17,-PMT($C$16/12,$C$17*12,MAX($L$251*(1-$C$15),0))*12))/12)*MIN(MAX((A1323-$C$13+1)*12,0),$C$17*12),0),MAX(MAX($L$251*(1-$C$15),0)*(1+$C$16/12)^MIN(MAX((A1323-$C$13+1)*12,0),$C$17*12)-(IF($C$17&lt;=0,0,IF($C$16=0,MAX($L$251*(1-$C$15),0)/$C$17,-PMT($C$16/12,$C$17*12,MAX($L$251*(1-$C$15),0))*12))/12)*(((1+$C$16/12)^MIN(MAX((A1323-$C$13+1)*12,0),$C$17*12)-1)/($C$16/12)),0)))</f>
        <v/>
      </c>
      <c r="Z1323" s="138">
        <f>MAX(X1323-Y1323,0)</f>
        <v/>
      </c>
      <c r="AA1323" s="139">
        <f>U1323+Z1323</f>
        <v/>
      </c>
      <c r="AB1323" s="5" t="n"/>
      <c r="AC1323" s="5" t="n"/>
      <c r="AD1323" s="5" t="n"/>
      <c r="AE1323" s="5" t="n"/>
      <c r="AF1323" s="5" t="n"/>
      <c r="AG1323" s="5" t="n"/>
    </row>
    <row r="1324" outlineLevel="1" s="326">
      <c r="A1324" s="140" t="n">
        <v>12</v>
      </c>
      <c r="B1324" s="40">
        <f>B91</f>
        <v/>
      </c>
      <c r="C1324" s="141">
        <f>D91</f>
        <v/>
      </c>
      <c r="D1324" s="141">
        <f>I91</f>
        <v/>
      </c>
      <c r="E1324" s="141">
        <f>J91</f>
        <v/>
      </c>
      <c r="F1324" s="141">
        <f>K91</f>
        <v/>
      </c>
      <c r="G1324" s="138">
        <f>IF(AND($L$251&gt;0,A1324=$C$13),$L$251*($C$15+$C$18),0)+IF(AND($L$251&gt;0,A1324=$C$13),$C$24,0)</f>
        <v/>
      </c>
      <c r="H1324" s="138">
        <f>IF(OR($L$251&lt;=0,A1324&lt;$C$13),0,IF(AND($L$251&gt;0,$C$17&gt;0,A1324&gt;=$C$13,A1324&lt;($C$13+$C$17)),IF($C$17&lt;=0,0,IF($C$16=0,MAX($L$251*(1-$C$15),0)/$C$17,-PMT($C$16/12,$C$17*12,MAX($L$251*(1-$C$15),0))*12)),0)+X1324*($C$19+$C$20+$C$21)+$C$22+$C$23)</f>
        <v/>
      </c>
      <c r="I1324" s="138">
        <f>IF(B1324="Working",MIN(MAX(D1324-E1324-F1324-G1324-H1324,0),'Tax Assumptions'!$B$20),0)</f>
        <v/>
      </c>
      <c r="J1324" s="138">
        <f>IF(B1324="Working",D1324-E1324-F1324-I1324-G1324-H1324,-L1324)</f>
        <v/>
      </c>
      <c r="K1324" s="141">
        <f>IF(B1324="Retired",$N$251+G1324+H1324,0)</f>
        <v/>
      </c>
      <c r="L1324" s="141">
        <f>M1324+N1324+O1324+P1324</f>
        <v/>
      </c>
      <c r="M1324" s="141">
        <f>IF(B1324="Retired",MIN(((Q1323)*(1+$C$10)+IF(B1324="Working",J1324,0)),K1324),0)</f>
        <v/>
      </c>
      <c r="N1324" s="141">
        <f>IF(B1324="Retired",MIN(MAX(K1324-M1324,0),((R1323)*(1+$C$10)+IF(B1324="Working",E91,0))),0)</f>
        <v/>
      </c>
      <c r="O1324" s="141">
        <f>IF(B1324="Retired",MIN(MAX(K1324-M1324-N1324,0),((S1323)*(1+$C$10)+IF(B1324="Working",I1324,0))),0)</f>
        <v/>
      </c>
      <c r="P1324" s="141">
        <f>IF(B1324="Retired",MIN(MAX(K1324-M1324-N1324-O1324,0),((T1323)*(1+$C$10)+IF(B1324="Working",F91,0))),0)</f>
        <v/>
      </c>
      <c r="Q1324" s="138">
        <f>MAX(((Q1323)*(1+$C$10)+IF(B1324="Working",J1324,0))-M1324,0)</f>
        <v/>
      </c>
      <c r="R1324" s="138">
        <f>MAX(((R1323)*(1+$C$10)+IF(B1324="Working",E91,0))-N1324,0)</f>
        <v/>
      </c>
      <c r="S1324" s="138">
        <f>MAX(((S1323)*(1+$C$10)+IF(B1324="Working",I1324,0))-O1324,0)</f>
        <v/>
      </c>
      <c r="T1324" s="138">
        <f>MAX(((T1323)*(1+$C$10)+IF(B1324="Working",F91,0))-P1324,0)</f>
        <v/>
      </c>
      <c r="U1324" s="138">
        <f>Q1324+R1324+S1324+T1324</f>
        <v/>
      </c>
      <c r="V1324" s="138">
        <f>IF(B1324="Working",MAX(-(((Q1323)*(1+$C$10)+IF(B1324="Working",J1324,0))),0),MAX(K1324-L1324,0))</f>
        <v/>
      </c>
      <c r="W1324" s="138">
        <f>IF(OR(A1324&gt;=$C$13,B1324="Retired"),IF(V1324&gt;0,-V1324,U1324-'Model Inputs'!$B$18),"")</f>
        <v/>
      </c>
      <c r="X1324" s="138">
        <f>IF(AND($L$251&gt;0,A1324&gt;=$C$13),$L$251*(1+$C$25)^(A1324-$C$13),0)</f>
        <v/>
      </c>
      <c r="Y1324" s="138">
        <f>IF(OR($L$251&lt;=0,$C$17&lt;=0,A1324&lt;$C$13,MIN(MAX((A1324-$C$13+1)*12,0),$C$17*12)&gt;=$C$17*12),0,IF($C$16=0,MAX(MAX($L$251*(1-$C$15),0)-(IF($C$17&lt;=0,0,IF($C$16=0,MAX($L$251*(1-$C$15),0)/$C$17,-PMT($C$16/12,$C$17*12,MAX($L$251*(1-$C$15),0))*12))/12)*MIN(MAX((A1324-$C$13+1)*12,0),$C$17*12),0),MAX(MAX($L$251*(1-$C$15),0)*(1+$C$16/12)^MIN(MAX((A1324-$C$13+1)*12,0),$C$17*12)-(IF($C$17&lt;=0,0,IF($C$16=0,MAX($L$251*(1-$C$15),0)/$C$17,-PMT($C$16/12,$C$17*12,MAX($L$251*(1-$C$15),0))*12))/12)*(((1+$C$16/12)^MIN(MAX((A1324-$C$13+1)*12,0),$C$17*12)-1)/($C$16/12)),0)))</f>
        <v/>
      </c>
      <c r="Z1324" s="138">
        <f>MAX(X1324-Y1324,0)</f>
        <v/>
      </c>
      <c r="AA1324" s="142">
        <f>U1324+Z1324</f>
        <v/>
      </c>
      <c r="AB1324" s="5" t="n"/>
      <c r="AC1324" s="5" t="n"/>
      <c r="AD1324" s="5" t="n"/>
      <c r="AE1324" s="5" t="n"/>
      <c r="AF1324" s="5" t="n"/>
      <c r="AG1324" s="5" t="n"/>
    </row>
    <row r="1325" outlineLevel="1" s="326">
      <c r="A1325" s="136" t="n">
        <v>13</v>
      </c>
      <c r="B1325" s="72">
        <f>B92</f>
        <v/>
      </c>
      <c r="C1325" s="137">
        <f>D92</f>
        <v/>
      </c>
      <c r="D1325" s="137">
        <f>I92</f>
        <v/>
      </c>
      <c r="E1325" s="137">
        <f>J92</f>
        <v/>
      </c>
      <c r="F1325" s="137">
        <f>K92</f>
        <v/>
      </c>
      <c r="G1325" s="138">
        <f>IF(AND($L$251&gt;0,A1325=$C$13),$L$251*($C$15+$C$18),0)+IF(AND($L$251&gt;0,A1325=$C$13),$C$24,0)</f>
        <v/>
      </c>
      <c r="H1325" s="138">
        <f>IF(OR($L$251&lt;=0,A1325&lt;$C$13),0,IF(AND($L$251&gt;0,$C$17&gt;0,A1325&gt;=$C$13,A1325&lt;($C$13+$C$17)),IF($C$17&lt;=0,0,IF($C$16=0,MAX($L$251*(1-$C$15),0)/$C$17,-PMT($C$16/12,$C$17*12,MAX($L$251*(1-$C$15),0))*12)),0)+X1325*($C$19+$C$20+$C$21)+$C$22+$C$23)</f>
        <v/>
      </c>
      <c r="I1325" s="138">
        <f>IF(B1325="Working",MIN(MAX(D1325-E1325-F1325-G1325-H1325,0),'Tax Assumptions'!$B$20),0)</f>
        <v/>
      </c>
      <c r="J1325" s="138">
        <f>IF(B1325="Working",D1325-E1325-F1325-I1325-G1325-H1325,-L1325)</f>
        <v/>
      </c>
      <c r="K1325" s="137">
        <f>IF(B1325="Retired",$N$251+G1325+H1325,0)</f>
        <v/>
      </c>
      <c r="L1325" s="137">
        <f>M1325+N1325+O1325+P1325</f>
        <v/>
      </c>
      <c r="M1325" s="137">
        <f>IF(B1325="Retired",MIN(((Q1324)*(1+$C$10)+IF(B1325="Working",J1325,0)),K1325),0)</f>
        <v/>
      </c>
      <c r="N1325" s="137">
        <f>IF(B1325="Retired",MIN(MAX(K1325-M1325,0),((R1324)*(1+$C$10)+IF(B1325="Working",E92,0))),0)</f>
        <v/>
      </c>
      <c r="O1325" s="137">
        <f>IF(B1325="Retired",MIN(MAX(K1325-M1325-N1325,0),((S1324)*(1+$C$10)+IF(B1325="Working",I1325,0))),0)</f>
        <v/>
      </c>
      <c r="P1325" s="137">
        <f>IF(B1325="Retired",MIN(MAX(K1325-M1325-N1325-O1325,0),((T1324)*(1+$C$10)+IF(B1325="Working",F92,0))),0)</f>
        <v/>
      </c>
      <c r="Q1325" s="138">
        <f>MAX(((Q1324)*(1+$C$10)+IF(B1325="Working",J1325,0))-M1325,0)</f>
        <v/>
      </c>
      <c r="R1325" s="138">
        <f>MAX(((R1324)*(1+$C$10)+IF(B1325="Working",E92,0))-N1325,0)</f>
        <v/>
      </c>
      <c r="S1325" s="138">
        <f>MAX(((S1324)*(1+$C$10)+IF(B1325="Working",I1325,0))-O1325,0)</f>
        <v/>
      </c>
      <c r="T1325" s="138">
        <f>MAX(((T1324)*(1+$C$10)+IF(B1325="Working",F92,0))-P1325,0)</f>
        <v/>
      </c>
      <c r="U1325" s="138">
        <f>Q1325+R1325+S1325+T1325</f>
        <v/>
      </c>
      <c r="V1325" s="138">
        <f>IF(B1325="Working",MAX(-(((Q1324)*(1+$C$10)+IF(B1325="Working",J1325,0))),0),MAX(K1325-L1325,0))</f>
        <v/>
      </c>
      <c r="W1325" s="138">
        <f>IF(OR(A1325&gt;=$C$13,B1325="Retired"),IF(V1325&gt;0,-V1325,U1325-'Model Inputs'!$B$18),"")</f>
        <v/>
      </c>
      <c r="X1325" s="138">
        <f>IF(AND($L$251&gt;0,A1325&gt;=$C$13),$L$251*(1+$C$25)^(A1325-$C$13),0)</f>
        <v/>
      </c>
      <c r="Y1325" s="138">
        <f>IF(OR($L$251&lt;=0,$C$17&lt;=0,A1325&lt;$C$13,MIN(MAX((A1325-$C$13+1)*12,0),$C$17*12)&gt;=$C$17*12),0,IF($C$16=0,MAX(MAX($L$251*(1-$C$15),0)-(IF($C$17&lt;=0,0,IF($C$16=0,MAX($L$251*(1-$C$15),0)/$C$17,-PMT($C$16/12,$C$17*12,MAX($L$251*(1-$C$15),0))*12))/12)*MIN(MAX((A1325-$C$13+1)*12,0),$C$17*12),0),MAX(MAX($L$251*(1-$C$15),0)*(1+$C$16/12)^MIN(MAX((A1325-$C$13+1)*12,0),$C$17*12)-(IF($C$17&lt;=0,0,IF($C$16=0,MAX($L$251*(1-$C$15),0)/$C$17,-PMT($C$16/12,$C$17*12,MAX($L$251*(1-$C$15),0))*12))/12)*(((1+$C$16/12)^MIN(MAX((A1325-$C$13+1)*12,0),$C$17*12)-1)/($C$16/12)),0)))</f>
        <v/>
      </c>
      <c r="Z1325" s="138">
        <f>MAX(X1325-Y1325,0)</f>
        <v/>
      </c>
      <c r="AA1325" s="139">
        <f>U1325+Z1325</f>
        <v/>
      </c>
      <c r="AB1325" s="5" t="n"/>
      <c r="AC1325" s="5" t="n"/>
      <c r="AD1325" s="5" t="n"/>
      <c r="AE1325" s="5" t="n"/>
      <c r="AF1325" s="5" t="n"/>
      <c r="AG1325" s="5" t="n"/>
    </row>
    <row r="1326" outlineLevel="1" s="326">
      <c r="A1326" s="140" t="n">
        <v>14</v>
      </c>
      <c r="B1326" s="40">
        <f>B93</f>
        <v/>
      </c>
      <c r="C1326" s="141">
        <f>D93</f>
        <v/>
      </c>
      <c r="D1326" s="141">
        <f>I93</f>
        <v/>
      </c>
      <c r="E1326" s="141">
        <f>J93</f>
        <v/>
      </c>
      <c r="F1326" s="141">
        <f>K93</f>
        <v/>
      </c>
      <c r="G1326" s="138">
        <f>IF(AND($L$251&gt;0,A1326=$C$13),$L$251*($C$15+$C$18),0)+IF(AND($L$251&gt;0,A1326=$C$13),$C$24,0)</f>
        <v/>
      </c>
      <c r="H1326" s="138">
        <f>IF(OR($L$251&lt;=0,A1326&lt;$C$13),0,IF(AND($L$251&gt;0,$C$17&gt;0,A1326&gt;=$C$13,A1326&lt;($C$13+$C$17)),IF($C$17&lt;=0,0,IF($C$16=0,MAX($L$251*(1-$C$15),0)/$C$17,-PMT($C$16/12,$C$17*12,MAX($L$251*(1-$C$15),0))*12)),0)+X1326*($C$19+$C$20+$C$21)+$C$22+$C$23)</f>
        <v/>
      </c>
      <c r="I1326" s="138">
        <f>IF(B1326="Working",MIN(MAX(D1326-E1326-F1326-G1326-H1326,0),'Tax Assumptions'!$B$20),0)</f>
        <v/>
      </c>
      <c r="J1326" s="138">
        <f>IF(B1326="Working",D1326-E1326-F1326-I1326-G1326-H1326,-L1326)</f>
        <v/>
      </c>
      <c r="K1326" s="141">
        <f>IF(B1326="Retired",$N$251+G1326+H1326,0)</f>
        <v/>
      </c>
      <c r="L1326" s="141">
        <f>M1326+N1326+O1326+P1326</f>
        <v/>
      </c>
      <c r="M1326" s="141">
        <f>IF(B1326="Retired",MIN(((Q1325)*(1+$C$10)+IF(B1326="Working",J1326,0)),K1326),0)</f>
        <v/>
      </c>
      <c r="N1326" s="141">
        <f>IF(B1326="Retired",MIN(MAX(K1326-M1326,0),((R1325)*(1+$C$10)+IF(B1326="Working",E93,0))),0)</f>
        <v/>
      </c>
      <c r="O1326" s="141">
        <f>IF(B1326="Retired",MIN(MAX(K1326-M1326-N1326,0),((S1325)*(1+$C$10)+IF(B1326="Working",I1326,0))),0)</f>
        <v/>
      </c>
      <c r="P1326" s="141">
        <f>IF(B1326="Retired",MIN(MAX(K1326-M1326-N1326-O1326,0),((T1325)*(1+$C$10)+IF(B1326="Working",F93,0))),0)</f>
        <v/>
      </c>
      <c r="Q1326" s="138">
        <f>MAX(((Q1325)*(1+$C$10)+IF(B1326="Working",J1326,0))-M1326,0)</f>
        <v/>
      </c>
      <c r="R1326" s="138">
        <f>MAX(((R1325)*(1+$C$10)+IF(B1326="Working",E93,0))-N1326,0)</f>
        <v/>
      </c>
      <c r="S1326" s="138">
        <f>MAX(((S1325)*(1+$C$10)+IF(B1326="Working",I1326,0))-O1326,0)</f>
        <v/>
      </c>
      <c r="T1326" s="138">
        <f>MAX(((T1325)*(1+$C$10)+IF(B1326="Working",F93,0))-P1326,0)</f>
        <v/>
      </c>
      <c r="U1326" s="138">
        <f>Q1326+R1326+S1326+T1326</f>
        <v/>
      </c>
      <c r="V1326" s="138">
        <f>IF(B1326="Working",MAX(-(((Q1325)*(1+$C$10)+IF(B1326="Working",J1326,0))),0),MAX(K1326-L1326,0))</f>
        <v/>
      </c>
      <c r="W1326" s="138">
        <f>IF(OR(A1326&gt;=$C$13,B1326="Retired"),IF(V1326&gt;0,-V1326,U1326-'Model Inputs'!$B$18),"")</f>
        <v/>
      </c>
      <c r="X1326" s="138">
        <f>IF(AND($L$251&gt;0,A1326&gt;=$C$13),$L$251*(1+$C$25)^(A1326-$C$13),0)</f>
        <v/>
      </c>
      <c r="Y1326" s="138">
        <f>IF(OR($L$251&lt;=0,$C$17&lt;=0,A1326&lt;$C$13,MIN(MAX((A1326-$C$13+1)*12,0),$C$17*12)&gt;=$C$17*12),0,IF($C$16=0,MAX(MAX($L$251*(1-$C$15),0)-(IF($C$17&lt;=0,0,IF($C$16=0,MAX($L$251*(1-$C$15),0)/$C$17,-PMT($C$16/12,$C$17*12,MAX($L$251*(1-$C$15),0))*12))/12)*MIN(MAX((A1326-$C$13+1)*12,0),$C$17*12),0),MAX(MAX($L$251*(1-$C$15),0)*(1+$C$16/12)^MIN(MAX((A1326-$C$13+1)*12,0),$C$17*12)-(IF($C$17&lt;=0,0,IF($C$16=0,MAX($L$251*(1-$C$15),0)/$C$17,-PMT($C$16/12,$C$17*12,MAX($L$251*(1-$C$15),0))*12))/12)*(((1+$C$16/12)^MIN(MAX((A1326-$C$13+1)*12,0),$C$17*12)-1)/($C$16/12)),0)))</f>
        <v/>
      </c>
      <c r="Z1326" s="138">
        <f>MAX(X1326-Y1326,0)</f>
        <v/>
      </c>
      <c r="AA1326" s="142">
        <f>U1326+Z1326</f>
        <v/>
      </c>
      <c r="AB1326" s="5" t="n"/>
      <c r="AC1326" s="5" t="n"/>
      <c r="AD1326" s="5" t="n"/>
      <c r="AE1326" s="5" t="n"/>
      <c r="AF1326" s="5" t="n"/>
      <c r="AG1326" s="5" t="n"/>
    </row>
    <row r="1327" outlineLevel="1" s="326">
      <c r="A1327" s="136" t="n">
        <v>15</v>
      </c>
      <c r="B1327" s="72">
        <f>B94</f>
        <v/>
      </c>
      <c r="C1327" s="137">
        <f>D94</f>
        <v/>
      </c>
      <c r="D1327" s="137">
        <f>I94</f>
        <v/>
      </c>
      <c r="E1327" s="137">
        <f>J94</f>
        <v/>
      </c>
      <c r="F1327" s="137">
        <f>K94</f>
        <v/>
      </c>
      <c r="G1327" s="138">
        <f>IF(AND($L$251&gt;0,A1327=$C$13),$L$251*($C$15+$C$18),0)+IF(AND($L$251&gt;0,A1327=$C$13),$C$24,0)</f>
        <v/>
      </c>
      <c r="H1327" s="138">
        <f>IF(OR($L$251&lt;=0,A1327&lt;$C$13),0,IF(AND($L$251&gt;0,$C$17&gt;0,A1327&gt;=$C$13,A1327&lt;($C$13+$C$17)),IF($C$17&lt;=0,0,IF($C$16=0,MAX($L$251*(1-$C$15),0)/$C$17,-PMT($C$16/12,$C$17*12,MAX($L$251*(1-$C$15),0))*12)),0)+X1327*($C$19+$C$20+$C$21)+$C$22+$C$23)</f>
        <v/>
      </c>
      <c r="I1327" s="138">
        <f>IF(B1327="Working",MIN(MAX(D1327-E1327-F1327-G1327-H1327,0),'Tax Assumptions'!$B$20),0)</f>
        <v/>
      </c>
      <c r="J1327" s="138">
        <f>IF(B1327="Working",D1327-E1327-F1327-I1327-G1327-H1327,-L1327)</f>
        <v/>
      </c>
      <c r="K1327" s="137">
        <f>IF(B1327="Retired",$N$251+G1327+H1327,0)</f>
        <v/>
      </c>
      <c r="L1327" s="137">
        <f>M1327+N1327+O1327+P1327</f>
        <v/>
      </c>
      <c r="M1327" s="137">
        <f>IF(B1327="Retired",MIN(((Q1326)*(1+$C$10)+IF(B1327="Working",J1327,0)),K1327),0)</f>
        <v/>
      </c>
      <c r="N1327" s="137">
        <f>IF(B1327="Retired",MIN(MAX(K1327-M1327,0),((R1326)*(1+$C$10)+IF(B1327="Working",E94,0))),0)</f>
        <v/>
      </c>
      <c r="O1327" s="137">
        <f>IF(B1327="Retired",MIN(MAX(K1327-M1327-N1327,0),((S1326)*(1+$C$10)+IF(B1327="Working",I1327,0))),0)</f>
        <v/>
      </c>
      <c r="P1327" s="137">
        <f>IF(B1327="Retired",MIN(MAX(K1327-M1327-N1327-O1327,0),((T1326)*(1+$C$10)+IF(B1327="Working",F94,0))),0)</f>
        <v/>
      </c>
      <c r="Q1327" s="138">
        <f>MAX(((Q1326)*(1+$C$10)+IF(B1327="Working",J1327,0))-M1327,0)</f>
        <v/>
      </c>
      <c r="R1327" s="138">
        <f>MAX(((R1326)*(1+$C$10)+IF(B1327="Working",E94,0))-N1327,0)</f>
        <v/>
      </c>
      <c r="S1327" s="138">
        <f>MAX(((S1326)*(1+$C$10)+IF(B1327="Working",I1327,0))-O1327,0)</f>
        <v/>
      </c>
      <c r="T1327" s="138">
        <f>MAX(((T1326)*(1+$C$10)+IF(B1327="Working",F94,0))-P1327,0)</f>
        <v/>
      </c>
      <c r="U1327" s="138">
        <f>Q1327+R1327+S1327+T1327</f>
        <v/>
      </c>
      <c r="V1327" s="138">
        <f>IF(B1327="Working",MAX(-(((Q1326)*(1+$C$10)+IF(B1327="Working",J1327,0))),0),MAX(K1327-L1327,0))</f>
        <v/>
      </c>
      <c r="W1327" s="138">
        <f>IF(OR(A1327&gt;=$C$13,B1327="Retired"),IF(V1327&gt;0,-V1327,U1327-'Model Inputs'!$B$18),"")</f>
        <v/>
      </c>
      <c r="X1327" s="138">
        <f>IF(AND($L$251&gt;0,A1327&gt;=$C$13),$L$251*(1+$C$25)^(A1327-$C$13),0)</f>
        <v/>
      </c>
      <c r="Y1327" s="138">
        <f>IF(OR($L$251&lt;=0,$C$17&lt;=0,A1327&lt;$C$13,MIN(MAX((A1327-$C$13+1)*12,0),$C$17*12)&gt;=$C$17*12),0,IF($C$16=0,MAX(MAX($L$251*(1-$C$15),0)-(IF($C$17&lt;=0,0,IF($C$16=0,MAX($L$251*(1-$C$15),0)/$C$17,-PMT($C$16/12,$C$17*12,MAX($L$251*(1-$C$15),0))*12))/12)*MIN(MAX((A1327-$C$13+1)*12,0),$C$17*12),0),MAX(MAX($L$251*(1-$C$15),0)*(1+$C$16/12)^MIN(MAX((A1327-$C$13+1)*12,0),$C$17*12)-(IF($C$17&lt;=0,0,IF($C$16=0,MAX($L$251*(1-$C$15),0)/$C$17,-PMT($C$16/12,$C$17*12,MAX($L$251*(1-$C$15),0))*12))/12)*(((1+$C$16/12)^MIN(MAX((A1327-$C$13+1)*12,0),$C$17*12)-1)/($C$16/12)),0)))</f>
        <v/>
      </c>
      <c r="Z1327" s="138">
        <f>MAX(X1327-Y1327,0)</f>
        <v/>
      </c>
      <c r="AA1327" s="139">
        <f>U1327+Z1327</f>
        <v/>
      </c>
      <c r="AB1327" s="5" t="n"/>
      <c r="AC1327" s="5" t="n"/>
      <c r="AD1327" s="5" t="n"/>
      <c r="AE1327" s="5" t="n"/>
      <c r="AF1327" s="5" t="n"/>
      <c r="AG1327" s="5" t="n"/>
    </row>
    <row r="1328" outlineLevel="1" s="326">
      <c r="A1328" s="140" t="n">
        <v>16</v>
      </c>
      <c r="B1328" s="40">
        <f>B95</f>
        <v/>
      </c>
      <c r="C1328" s="141">
        <f>D95</f>
        <v/>
      </c>
      <c r="D1328" s="141">
        <f>I95</f>
        <v/>
      </c>
      <c r="E1328" s="141">
        <f>J95</f>
        <v/>
      </c>
      <c r="F1328" s="141">
        <f>K95</f>
        <v/>
      </c>
      <c r="G1328" s="138">
        <f>IF(AND($L$251&gt;0,A1328=$C$13),$L$251*($C$15+$C$18),0)+IF(AND($L$251&gt;0,A1328=$C$13),$C$24,0)</f>
        <v/>
      </c>
      <c r="H1328" s="138">
        <f>IF(OR($L$251&lt;=0,A1328&lt;$C$13),0,IF(AND($L$251&gt;0,$C$17&gt;0,A1328&gt;=$C$13,A1328&lt;($C$13+$C$17)),IF($C$17&lt;=0,0,IF($C$16=0,MAX($L$251*(1-$C$15),0)/$C$17,-PMT($C$16/12,$C$17*12,MAX($L$251*(1-$C$15),0))*12)),0)+X1328*($C$19+$C$20+$C$21)+$C$22+$C$23)</f>
        <v/>
      </c>
      <c r="I1328" s="138">
        <f>IF(B1328="Working",MIN(MAX(D1328-E1328-F1328-G1328-H1328,0),'Tax Assumptions'!$B$20),0)</f>
        <v/>
      </c>
      <c r="J1328" s="138">
        <f>IF(B1328="Working",D1328-E1328-F1328-I1328-G1328-H1328,-L1328)</f>
        <v/>
      </c>
      <c r="K1328" s="141">
        <f>IF(B1328="Retired",$N$251+G1328+H1328,0)</f>
        <v/>
      </c>
      <c r="L1328" s="141">
        <f>M1328+N1328+O1328+P1328</f>
        <v/>
      </c>
      <c r="M1328" s="141">
        <f>IF(B1328="Retired",MIN(((Q1327)*(1+$C$10)+IF(B1328="Working",J1328,0)),K1328),0)</f>
        <v/>
      </c>
      <c r="N1328" s="141">
        <f>IF(B1328="Retired",MIN(MAX(K1328-M1328,0),((R1327)*(1+$C$10)+IF(B1328="Working",E95,0))),0)</f>
        <v/>
      </c>
      <c r="O1328" s="141">
        <f>IF(B1328="Retired",MIN(MAX(K1328-M1328-N1328,0),((S1327)*(1+$C$10)+IF(B1328="Working",I1328,0))),0)</f>
        <v/>
      </c>
      <c r="P1328" s="141">
        <f>IF(B1328="Retired",MIN(MAX(K1328-M1328-N1328-O1328,0),((T1327)*(1+$C$10)+IF(B1328="Working",F95,0))),0)</f>
        <v/>
      </c>
      <c r="Q1328" s="138">
        <f>MAX(((Q1327)*(1+$C$10)+IF(B1328="Working",J1328,0))-M1328,0)</f>
        <v/>
      </c>
      <c r="R1328" s="138">
        <f>MAX(((R1327)*(1+$C$10)+IF(B1328="Working",E95,0))-N1328,0)</f>
        <v/>
      </c>
      <c r="S1328" s="138">
        <f>MAX(((S1327)*(1+$C$10)+IF(B1328="Working",I1328,0))-O1328,0)</f>
        <v/>
      </c>
      <c r="T1328" s="138">
        <f>MAX(((T1327)*(1+$C$10)+IF(B1328="Working",F95,0))-P1328,0)</f>
        <v/>
      </c>
      <c r="U1328" s="138">
        <f>Q1328+R1328+S1328+T1328</f>
        <v/>
      </c>
      <c r="V1328" s="138">
        <f>IF(B1328="Working",MAX(-(((Q1327)*(1+$C$10)+IF(B1328="Working",J1328,0))),0),MAX(K1328-L1328,0))</f>
        <v/>
      </c>
      <c r="W1328" s="138">
        <f>IF(OR(A1328&gt;=$C$13,B1328="Retired"),IF(V1328&gt;0,-V1328,U1328-'Model Inputs'!$B$18),"")</f>
        <v/>
      </c>
      <c r="X1328" s="138">
        <f>IF(AND($L$251&gt;0,A1328&gt;=$C$13),$L$251*(1+$C$25)^(A1328-$C$13),0)</f>
        <v/>
      </c>
      <c r="Y1328" s="138">
        <f>IF(OR($L$251&lt;=0,$C$17&lt;=0,A1328&lt;$C$13,MIN(MAX((A1328-$C$13+1)*12,0),$C$17*12)&gt;=$C$17*12),0,IF($C$16=0,MAX(MAX($L$251*(1-$C$15),0)-(IF($C$17&lt;=0,0,IF($C$16=0,MAX($L$251*(1-$C$15),0)/$C$17,-PMT($C$16/12,$C$17*12,MAX($L$251*(1-$C$15),0))*12))/12)*MIN(MAX((A1328-$C$13+1)*12,0),$C$17*12),0),MAX(MAX($L$251*(1-$C$15),0)*(1+$C$16/12)^MIN(MAX((A1328-$C$13+1)*12,0),$C$17*12)-(IF($C$17&lt;=0,0,IF($C$16=0,MAX($L$251*(1-$C$15),0)/$C$17,-PMT($C$16/12,$C$17*12,MAX($L$251*(1-$C$15),0))*12))/12)*(((1+$C$16/12)^MIN(MAX((A1328-$C$13+1)*12,0),$C$17*12)-1)/($C$16/12)),0)))</f>
        <v/>
      </c>
      <c r="Z1328" s="138">
        <f>MAX(X1328-Y1328,0)</f>
        <v/>
      </c>
      <c r="AA1328" s="142">
        <f>U1328+Z1328</f>
        <v/>
      </c>
      <c r="AB1328" s="5" t="n"/>
      <c r="AC1328" s="5" t="n"/>
      <c r="AD1328" s="5" t="n"/>
      <c r="AE1328" s="5" t="n"/>
      <c r="AF1328" s="5" t="n"/>
      <c r="AG1328" s="5" t="n"/>
    </row>
    <row r="1329" outlineLevel="1" s="326">
      <c r="A1329" s="136" t="n">
        <v>17</v>
      </c>
      <c r="B1329" s="72">
        <f>B96</f>
        <v/>
      </c>
      <c r="C1329" s="137">
        <f>D96</f>
        <v/>
      </c>
      <c r="D1329" s="137">
        <f>I96</f>
        <v/>
      </c>
      <c r="E1329" s="137">
        <f>J96</f>
        <v/>
      </c>
      <c r="F1329" s="137">
        <f>K96</f>
        <v/>
      </c>
      <c r="G1329" s="138">
        <f>IF(AND($L$251&gt;0,A1329=$C$13),$L$251*($C$15+$C$18),0)+IF(AND($L$251&gt;0,A1329=$C$13),$C$24,0)</f>
        <v/>
      </c>
      <c r="H1329" s="138">
        <f>IF(OR($L$251&lt;=0,A1329&lt;$C$13),0,IF(AND($L$251&gt;0,$C$17&gt;0,A1329&gt;=$C$13,A1329&lt;($C$13+$C$17)),IF($C$17&lt;=0,0,IF($C$16=0,MAX($L$251*(1-$C$15),0)/$C$17,-PMT($C$16/12,$C$17*12,MAX($L$251*(1-$C$15),0))*12)),0)+X1329*($C$19+$C$20+$C$21)+$C$22+$C$23)</f>
        <v/>
      </c>
      <c r="I1329" s="138">
        <f>IF(B1329="Working",MIN(MAX(D1329-E1329-F1329-G1329-H1329,0),'Tax Assumptions'!$B$20),0)</f>
        <v/>
      </c>
      <c r="J1329" s="138">
        <f>IF(B1329="Working",D1329-E1329-F1329-I1329-G1329-H1329,-L1329)</f>
        <v/>
      </c>
      <c r="K1329" s="137">
        <f>IF(B1329="Retired",$N$251+G1329+H1329,0)</f>
        <v/>
      </c>
      <c r="L1329" s="137">
        <f>M1329+N1329+O1329+P1329</f>
        <v/>
      </c>
      <c r="M1329" s="137">
        <f>IF(B1329="Retired",MIN(((Q1328)*(1+$C$10)+IF(B1329="Working",J1329,0)),K1329),0)</f>
        <v/>
      </c>
      <c r="N1329" s="137">
        <f>IF(B1329="Retired",MIN(MAX(K1329-M1329,0),((R1328)*(1+$C$10)+IF(B1329="Working",E96,0))),0)</f>
        <v/>
      </c>
      <c r="O1329" s="137">
        <f>IF(B1329="Retired",MIN(MAX(K1329-M1329-N1329,0),((S1328)*(1+$C$10)+IF(B1329="Working",I1329,0))),0)</f>
        <v/>
      </c>
      <c r="P1329" s="137">
        <f>IF(B1329="Retired",MIN(MAX(K1329-M1329-N1329-O1329,0),((T1328)*(1+$C$10)+IF(B1329="Working",F96,0))),0)</f>
        <v/>
      </c>
      <c r="Q1329" s="138">
        <f>MAX(((Q1328)*(1+$C$10)+IF(B1329="Working",J1329,0))-M1329,0)</f>
        <v/>
      </c>
      <c r="R1329" s="138">
        <f>MAX(((R1328)*(1+$C$10)+IF(B1329="Working",E96,0))-N1329,0)</f>
        <v/>
      </c>
      <c r="S1329" s="138">
        <f>MAX(((S1328)*(1+$C$10)+IF(B1329="Working",I1329,0))-O1329,0)</f>
        <v/>
      </c>
      <c r="T1329" s="138">
        <f>MAX(((T1328)*(1+$C$10)+IF(B1329="Working",F96,0))-P1329,0)</f>
        <v/>
      </c>
      <c r="U1329" s="138">
        <f>Q1329+R1329+S1329+T1329</f>
        <v/>
      </c>
      <c r="V1329" s="138">
        <f>IF(B1329="Working",MAX(-(((Q1328)*(1+$C$10)+IF(B1329="Working",J1329,0))),0),MAX(K1329-L1329,0))</f>
        <v/>
      </c>
      <c r="W1329" s="138">
        <f>IF(OR(A1329&gt;=$C$13,B1329="Retired"),IF(V1329&gt;0,-V1329,U1329-'Model Inputs'!$B$18),"")</f>
        <v/>
      </c>
      <c r="X1329" s="138">
        <f>IF(AND($L$251&gt;0,A1329&gt;=$C$13),$L$251*(1+$C$25)^(A1329-$C$13),0)</f>
        <v/>
      </c>
      <c r="Y1329" s="138">
        <f>IF(OR($L$251&lt;=0,$C$17&lt;=0,A1329&lt;$C$13,MIN(MAX((A1329-$C$13+1)*12,0),$C$17*12)&gt;=$C$17*12),0,IF($C$16=0,MAX(MAX($L$251*(1-$C$15),0)-(IF($C$17&lt;=0,0,IF($C$16=0,MAX($L$251*(1-$C$15),0)/$C$17,-PMT($C$16/12,$C$17*12,MAX($L$251*(1-$C$15),0))*12))/12)*MIN(MAX((A1329-$C$13+1)*12,0),$C$17*12),0),MAX(MAX($L$251*(1-$C$15),0)*(1+$C$16/12)^MIN(MAX((A1329-$C$13+1)*12,0),$C$17*12)-(IF($C$17&lt;=0,0,IF($C$16=0,MAX($L$251*(1-$C$15),0)/$C$17,-PMT($C$16/12,$C$17*12,MAX($L$251*(1-$C$15),0))*12))/12)*(((1+$C$16/12)^MIN(MAX((A1329-$C$13+1)*12,0),$C$17*12)-1)/($C$16/12)),0)))</f>
        <v/>
      </c>
      <c r="Z1329" s="138">
        <f>MAX(X1329-Y1329,0)</f>
        <v/>
      </c>
      <c r="AA1329" s="139">
        <f>U1329+Z1329</f>
        <v/>
      </c>
      <c r="AB1329" s="5" t="n"/>
      <c r="AC1329" s="5" t="n"/>
      <c r="AD1329" s="5" t="n"/>
      <c r="AE1329" s="5" t="n"/>
      <c r="AF1329" s="5" t="n"/>
      <c r="AG1329" s="5" t="n"/>
    </row>
    <row r="1330" outlineLevel="1" s="326">
      <c r="A1330" s="140" t="n">
        <v>18</v>
      </c>
      <c r="B1330" s="40">
        <f>B97</f>
        <v/>
      </c>
      <c r="C1330" s="141">
        <f>D97</f>
        <v/>
      </c>
      <c r="D1330" s="141">
        <f>I97</f>
        <v/>
      </c>
      <c r="E1330" s="141">
        <f>J97</f>
        <v/>
      </c>
      <c r="F1330" s="141">
        <f>K97</f>
        <v/>
      </c>
      <c r="G1330" s="138">
        <f>IF(AND($L$251&gt;0,A1330=$C$13),$L$251*($C$15+$C$18),0)+IF(AND($L$251&gt;0,A1330=$C$13),$C$24,0)</f>
        <v/>
      </c>
      <c r="H1330" s="138">
        <f>IF(OR($L$251&lt;=0,A1330&lt;$C$13),0,IF(AND($L$251&gt;0,$C$17&gt;0,A1330&gt;=$C$13,A1330&lt;($C$13+$C$17)),IF($C$17&lt;=0,0,IF($C$16=0,MAX($L$251*(1-$C$15),0)/$C$17,-PMT($C$16/12,$C$17*12,MAX($L$251*(1-$C$15),0))*12)),0)+X1330*($C$19+$C$20+$C$21)+$C$22+$C$23)</f>
        <v/>
      </c>
      <c r="I1330" s="138">
        <f>IF(B1330="Working",MIN(MAX(D1330-E1330-F1330-G1330-H1330,0),'Tax Assumptions'!$B$20),0)</f>
        <v/>
      </c>
      <c r="J1330" s="138">
        <f>IF(B1330="Working",D1330-E1330-F1330-I1330-G1330-H1330,-L1330)</f>
        <v/>
      </c>
      <c r="K1330" s="141">
        <f>IF(B1330="Retired",$N$251+G1330+H1330,0)</f>
        <v/>
      </c>
      <c r="L1330" s="141">
        <f>M1330+N1330+O1330+P1330</f>
        <v/>
      </c>
      <c r="M1330" s="141">
        <f>IF(B1330="Retired",MIN(((Q1329)*(1+$C$10)+IF(B1330="Working",J1330,0)),K1330),0)</f>
        <v/>
      </c>
      <c r="N1330" s="141">
        <f>IF(B1330="Retired",MIN(MAX(K1330-M1330,0),((R1329)*(1+$C$10)+IF(B1330="Working",E97,0))),0)</f>
        <v/>
      </c>
      <c r="O1330" s="141">
        <f>IF(B1330="Retired",MIN(MAX(K1330-M1330-N1330,0),((S1329)*(1+$C$10)+IF(B1330="Working",I1330,0))),0)</f>
        <v/>
      </c>
      <c r="P1330" s="141">
        <f>IF(B1330="Retired",MIN(MAX(K1330-M1330-N1330-O1330,0),((T1329)*(1+$C$10)+IF(B1330="Working",F97,0))),0)</f>
        <v/>
      </c>
      <c r="Q1330" s="138">
        <f>MAX(((Q1329)*(1+$C$10)+IF(B1330="Working",J1330,0))-M1330,0)</f>
        <v/>
      </c>
      <c r="R1330" s="138">
        <f>MAX(((R1329)*(1+$C$10)+IF(B1330="Working",E97,0))-N1330,0)</f>
        <v/>
      </c>
      <c r="S1330" s="138">
        <f>MAX(((S1329)*(1+$C$10)+IF(B1330="Working",I1330,0))-O1330,0)</f>
        <v/>
      </c>
      <c r="T1330" s="138">
        <f>MAX(((T1329)*(1+$C$10)+IF(B1330="Working",F97,0))-P1330,0)</f>
        <v/>
      </c>
      <c r="U1330" s="138">
        <f>Q1330+R1330+S1330+T1330</f>
        <v/>
      </c>
      <c r="V1330" s="138">
        <f>IF(B1330="Working",MAX(-(((Q1329)*(1+$C$10)+IF(B1330="Working",J1330,0))),0),MAX(K1330-L1330,0))</f>
        <v/>
      </c>
      <c r="W1330" s="138">
        <f>IF(OR(A1330&gt;=$C$13,B1330="Retired"),IF(V1330&gt;0,-V1330,U1330-'Model Inputs'!$B$18),"")</f>
        <v/>
      </c>
      <c r="X1330" s="138">
        <f>IF(AND($L$251&gt;0,A1330&gt;=$C$13),$L$251*(1+$C$25)^(A1330-$C$13),0)</f>
        <v/>
      </c>
      <c r="Y1330" s="138">
        <f>IF(OR($L$251&lt;=0,$C$17&lt;=0,A1330&lt;$C$13,MIN(MAX((A1330-$C$13+1)*12,0),$C$17*12)&gt;=$C$17*12),0,IF($C$16=0,MAX(MAX($L$251*(1-$C$15),0)-(IF($C$17&lt;=0,0,IF($C$16=0,MAX($L$251*(1-$C$15),0)/$C$17,-PMT($C$16/12,$C$17*12,MAX($L$251*(1-$C$15),0))*12))/12)*MIN(MAX((A1330-$C$13+1)*12,0),$C$17*12),0),MAX(MAX($L$251*(1-$C$15),0)*(1+$C$16/12)^MIN(MAX((A1330-$C$13+1)*12,0),$C$17*12)-(IF($C$17&lt;=0,0,IF($C$16=0,MAX($L$251*(1-$C$15),0)/$C$17,-PMT($C$16/12,$C$17*12,MAX($L$251*(1-$C$15),0))*12))/12)*(((1+$C$16/12)^MIN(MAX((A1330-$C$13+1)*12,0),$C$17*12)-1)/($C$16/12)),0)))</f>
        <v/>
      </c>
      <c r="Z1330" s="138">
        <f>MAX(X1330-Y1330,0)</f>
        <v/>
      </c>
      <c r="AA1330" s="142">
        <f>U1330+Z1330</f>
        <v/>
      </c>
      <c r="AB1330" s="5" t="n"/>
      <c r="AC1330" s="5" t="n"/>
      <c r="AD1330" s="5" t="n"/>
      <c r="AE1330" s="5" t="n"/>
      <c r="AF1330" s="5" t="n"/>
      <c r="AG1330" s="5" t="n"/>
    </row>
    <row r="1331" outlineLevel="1" s="326">
      <c r="A1331" s="136" t="n">
        <v>19</v>
      </c>
      <c r="B1331" s="72">
        <f>B98</f>
        <v/>
      </c>
      <c r="C1331" s="137">
        <f>D98</f>
        <v/>
      </c>
      <c r="D1331" s="137">
        <f>I98</f>
        <v/>
      </c>
      <c r="E1331" s="137">
        <f>J98</f>
        <v/>
      </c>
      <c r="F1331" s="137">
        <f>K98</f>
        <v/>
      </c>
      <c r="G1331" s="138">
        <f>IF(AND($L$251&gt;0,A1331=$C$13),$L$251*($C$15+$C$18),0)+IF(AND($L$251&gt;0,A1331=$C$13),$C$24,0)</f>
        <v/>
      </c>
      <c r="H1331" s="138">
        <f>IF(OR($L$251&lt;=0,A1331&lt;$C$13),0,IF(AND($L$251&gt;0,$C$17&gt;0,A1331&gt;=$C$13,A1331&lt;($C$13+$C$17)),IF($C$17&lt;=0,0,IF($C$16=0,MAX($L$251*(1-$C$15),0)/$C$17,-PMT($C$16/12,$C$17*12,MAX($L$251*(1-$C$15),0))*12)),0)+X1331*($C$19+$C$20+$C$21)+$C$22+$C$23)</f>
        <v/>
      </c>
      <c r="I1331" s="138">
        <f>IF(B1331="Working",MIN(MAX(D1331-E1331-F1331-G1331-H1331,0),'Tax Assumptions'!$B$20),0)</f>
        <v/>
      </c>
      <c r="J1331" s="138">
        <f>IF(B1331="Working",D1331-E1331-F1331-I1331-G1331-H1331,-L1331)</f>
        <v/>
      </c>
      <c r="K1331" s="137">
        <f>IF(B1331="Retired",$N$251+G1331+H1331,0)</f>
        <v/>
      </c>
      <c r="L1331" s="137">
        <f>M1331+N1331+O1331+P1331</f>
        <v/>
      </c>
      <c r="M1331" s="137">
        <f>IF(B1331="Retired",MIN(((Q1330)*(1+$C$10)+IF(B1331="Working",J1331,0)),K1331),0)</f>
        <v/>
      </c>
      <c r="N1331" s="137">
        <f>IF(B1331="Retired",MIN(MAX(K1331-M1331,0),((R1330)*(1+$C$10)+IF(B1331="Working",E98,0))),0)</f>
        <v/>
      </c>
      <c r="O1331" s="137">
        <f>IF(B1331="Retired",MIN(MAX(K1331-M1331-N1331,0),((S1330)*(1+$C$10)+IF(B1331="Working",I1331,0))),0)</f>
        <v/>
      </c>
      <c r="P1331" s="137">
        <f>IF(B1331="Retired",MIN(MAX(K1331-M1331-N1331-O1331,0),((T1330)*(1+$C$10)+IF(B1331="Working",F98,0))),0)</f>
        <v/>
      </c>
      <c r="Q1331" s="138">
        <f>MAX(((Q1330)*(1+$C$10)+IF(B1331="Working",J1331,0))-M1331,0)</f>
        <v/>
      </c>
      <c r="R1331" s="138">
        <f>MAX(((R1330)*(1+$C$10)+IF(B1331="Working",E98,0))-N1331,0)</f>
        <v/>
      </c>
      <c r="S1331" s="138">
        <f>MAX(((S1330)*(1+$C$10)+IF(B1331="Working",I1331,0))-O1331,0)</f>
        <v/>
      </c>
      <c r="T1331" s="138">
        <f>MAX(((T1330)*(1+$C$10)+IF(B1331="Working",F98,0))-P1331,0)</f>
        <v/>
      </c>
      <c r="U1331" s="138">
        <f>Q1331+R1331+S1331+T1331</f>
        <v/>
      </c>
      <c r="V1331" s="138">
        <f>IF(B1331="Working",MAX(-(((Q1330)*(1+$C$10)+IF(B1331="Working",J1331,0))),0),MAX(K1331-L1331,0))</f>
        <v/>
      </c>
      <c r="W1331" s="138">
        <f>IF(OR(A1331&gt;=$C$13,B1331="Retired"),IF(V1331&gt;0,-V1331,U1331-'Model Inputs'!$B$18),"")</f>
        <v/>
      </c>
      <c r="X1331" s="138">
        <f>IF(AND($L$251&gt;0,A1331&gt;=$C$13),$L$251*(1+$C$25)^(A1331-$C$13),0)</f>
        <v/>
      </c>
      <c r="Y1331" s="138">
        <f>IF(OR($L$251&lt;=0,$C$17&lt;=0,A1331&lt;$C$13,MIN(MAX((A1331-$C$13+1)*12,0),$C$17*12)&gt;=$C$17*12),0,IF($C$16=0,MAX(MAX($L$251*(1-$C$15),0)-(IF($C$17&lt;=0,0,IF($C$16=0,MAX($L$251*(1-$C$15),0)/$C$17,-PMT($C$16/12,$C$17*12,MAX($L$251*(1-$C$15),0))*12))/12)*MIN(MAX((A1331-$C$13+1)*12,0),$C$17*12),0),MAX(MAX($L$251*(1-$C$15),0)*(1+$C$16/12)^MIN(MAX((A1331-$C$13+1)*12,0),$C$17*12)-(IF($C$17&lt;=0,0,IF($C$16=0,MAX($L$251*(1-$C$15),0)/$C$17,-PMT($C$16/12,$C$17*12,MAX($L$251*(1-$C$15),0))*12))/12)*(((1+$C$16/12)^MIN(MAX((A1331-$C$13+1)*12,0),$C$17*12)-1)/($C$16/12)),0)))</f>
        <v/>
      </c>
      <c r="Z1331" s="138">
        <f>MAX(X1331-Y1331,0)</f>
        <v/>
      </c>
      <c r="AA1331" s="139">
        <f>U1331+Z1331</f>
        <v/>
      </c>
      <c r="AB1331" s="5" t="n"/>
      <c r="AC1331" s="5" t="n"/>
      <c r="AD1331" s="5" t="n"/>
      <c r="AE1331" s="5" t="n"/>
      <c r="AF1331" s="5" t="n"/>
      <c r="AG1331" s="5" t="n"/>
    </row>
    <row r="1332" outlineLevel="1" s="326">
      <c r="A1332" s="140" t="n">
        <v>20</v>
      </c>
      <c r="B1332" s="40">
        <f>B99</f>
        <v/>
      </c>
      <c r="C1332" s="141">
        <f>D99</f>
        <v/>
      </c>
      <c r="D1332" s="141">
        <f>I99</f>
        <v/>
      </c>
      <c r="E1332" s="141">
        <f>J99</f>
        <v/>
      </c>
      <c r="F1332" s="141">
        <f>K99</f>
        <v/>
      </c>
      <c r="G1332" s="138">
        <f>IF(AND($L$251&gt;0,A1332=$C$13),$L$251*($C$15+$C$18),0)+IF(AND($L$251&gt;0,A1332=$C$13),$C$24,0)</f>
        <v/>
      </c>
      <c r="H1332" s="138">
        <f>IF(OR($L$251&lt;=0,A1332&lt;$C$13),0,IF(AND($L$251&gt;0,$C$17&gt;0,A1332&gt;=$C$13,A1332&lt;($C$13+$C$17)),IF($C$17&lt;=0,0,IF($C$16=0,MAX($L$251*(1-$C$15),0)/$C$17,-PMT($C$16/12,$C$17*12,MAX($L$251*(1-$C$15),0))*12)),0)+X1332*($C$19+$C$20+$C$21)+$C$22+$C$23)</f>
        <v/>
      </c>
      <c r="I1332" s="138">
        <f>IF(B1332="Working",MIN(MAX(D1332-E1332-F1332-G1332-H1332,0),'Tax Assumptions'!$B$20),0)</f>
        <v/>
      </c>
      <c r="J1332" s="138">
        <f>IF(B1332="Working",D1332-E1332-F1332-I1332-G1332-H1332,-L1332)</f>
        <v/>
      </c>
      <c r="K1332" s="141">
        <f>IF(B1332="Retired",$N$251+G1332+H1332,0)</f>
        <v/>
      </c>
      <c r="L1332" s="141">
        <f>M1332+N1332+O1332+P1332</f>
        <v/>
      </c>
      <c r="M1332" s="141">
        <f>IF(B1332="Retired",MIN(((Q1331)*(1+$C$10)+IF(B1332="Working",J1332,0)),K1332),0)</f>
        <v/>
      </c>
      <c r="N1332" s="141">
        <f>IF(B1332="Retired",MIN(MAX(K1332-M1332,0),((R1331)*(1+$C$10)+IF(B1332="Working",E99,0))),0)</f>
        <v/>
      </c>
      <c r="O1332" s="141">
        <f>IF(B1332="Retired",MIN(MAX(K1332-M1332-N1332,0),((S1331)*(1+$C$10)+IF(B1332="Working",I1332,0))),0)</f>
        <v/>
      </c>
      <c r="P1332" s="141">
        <f>IF(B1332="Retired",MIN(MAX(K1332-M1332-N1332-O1332,0),((T1331)*(1+$C$10)+IF(B1332="Working",F99,0))),0)</f>
        <v/>
      </c>
      <c r="Q1332" s="138">
        <f>MAX(((Q1331)*(1+$C$10)+IF(B1332="Working",J1332,0))-M1332,0)</f>
        <v/>
      </c>
      <c r="R1332" s="138">
        <f>MAX(((R1331)*(1+$C$10)+IF(B1332="Working",E99,0))-N1332,0)</f>
        <v/>
      </c>
      <c r="S1332" s="138">
        <f>MAX(((S1331)*(1+$C$10)+IF(B1332="Working",I1332,0))-O1332,0)</f>
        <v/>
      </c>
      <c r="T1332" s="138">
        <f>MAX(((T1331)*(1+$C$10)+IF(B1332="Working",F99,0))-P1332,0)</f>
        <v/>
      </c>
      <c r="U1332" s="138">
        <f>Q1332+R1332+S1332+T1332</f>
        <v/>
      </c>
      <c r="V1332" s="138">
        <f>IF(B1332="Working",MAX(-(((Q1331)*(1+$C$10)+IF(B1332="Working",J1332,0))),0),MAX(K1332-L1332,0))</f>
        <v/>
      </c>
      <c r="W1332" s="138">
        <f>IF(OR(A1332&gt;=$C$13,B1332="Retired"),IF(V1332&gt;0,-V1332,U1332-'Model Inputs'!$B$18),"")</f>
        <v/>
      </c>
      <c r="X1332" s="138">
        <f>IF(AND($L$251&gt;0,A1332&gt;=$C$13),$L$251*(1+$C$25)^(A1332-$C$13),0)</f>
        <v/>
      </c>
      <c r="Y1332" s="138">
        <f>IF(OR($L$251&lt;=0,$C$17&lt;=0,A1332&lt;$C$13,MIN(MAX((A1332-$C$13+1)*12,0),$C$17*12)&gt;=$C$17*12),0,IF($C$16=0,MAX(MAX($L$251*(1-$C$15),0)-(IF($C$17&lt;=0,0,IF($C$16=0,MAX($L$251*(1-$C$15),0)/$C$17,-PMT($C$16/12,$C$17*12,MAX($L$251*(1-$C$15),0))*12))/12)*MIN(MAX((A1332-$C$13+1)*12,0),$C$17*12),0),MAX(MAX($L$251*(1-$C$15),0)*(1+$C$16/12)^MIN(MAX((A1332-$C$13+1)*12,0),$C$17*12)-(IF($C$17&lt;=0,0,IF($C$16=0,MAX($L$251*(1-$C$15),0)/$C$17,-PMT($C$16/12,$C$17*12,MAX($L$251*(1-$C$15),0))*12))/12)*(((1+$C$16/12)^MIN(MAX((A1332-$C$13+1)*12,0),$C$17*12)-1)/($C$16/12)),0)))</f>
        <v/>
      </c>
      <c r="Z1332" s="138">
        <f>MAX(X1332-Y1332,0)</f>
        <v/>
      </c>
      <c r="AA1332" s="142">
        <f>U1332+Z1332</f>
        <v/>
      </c>
      <c r="AB1332" s="5" t="n"/>
      <c r="AC1332" s="5" t="n"/>
      <c r="AD1332" s="5" t="n"/>
      <c r="AE1332" s="5" t="n"/>
      <c r="AF1332" s="5" t="n"/>
      <c r="AG1332" s="5" t="n"/>
    </row>
    <row r="1333" outlineLevel="1" s="326">
      <c r="A1333" s="136" t="n">
        <v>21</v>
      </c>
      <c r="B1333" s="72">
        <f>B100</f>
        <v/>
      </c>
      <c r="C1333" s="137">
        <f>D100</f>
        <v/>
      </c>
      <c r="D1333" s="137">
        <f>I100</f>
        <v/>
      </c>
      <c r="E1333" s="137">
        <f>J100</f>
        <v/>
      </c>
      <c r="F1333" s="137">
        <f>K100</f>
        <v/>
      </c>
      <c r="G1333" s="138">
        <f>IF(AND($L$251&gt;0,A1333=$C$13),$L$251*($C$15+$C$18),0)+IF(AND($L$251&gt;0,A1333=$C$13),$C$24,0)</f>
        <v/>
      </c>
      <c r="H1333" s="138">
        <f>IF(OR($L$251&lt;=0,A1333&lt;$C$13),0,IF(AND($L$251&gt;0,$C$17&gt;0,A1333&gt;=$C$13,A1333&lt;($C$13+$C$17)),IF($C$17&lt;=0,0,IF($C$16=0,MAX($L$251*(1-$C$15),0)/$C$17,-PMT($C$16/12,$C$17*12,MAX($L$251*(1-$C$15),0))*12)),0)+X1333*($C$19+$C$20+$C$21)+$C$22+$C$23)</f>
        <v/>
      </c>
      <c r="I1333" s="138">
        <f>IF(B1333="Working",MIN(MAX(D1333-E1333-F1333-G1333-H1333,0),'Tax Assumptions'!$B$20),0)</f>
        <v/>
      </c>
      <c r="J1333" s="138">
        <f>IF(B1333="Working",D1333-E1333-F1333-I1333-G1333-H1333,-L1333)</f>
        <v/>
      </c>
      <c r="K1333" s="137">
        <f>IF(B1333="Retired",$N$251+G1333+H1333,0)</f>
        <v/>
      </c>
      <c r="L1333" s="137">
        <f>M1333+N1333+O1333+P1333</f>
        <v/>
      </c>
      <c r="M1333" s="137">
        <f>IF(B1333="Retired",MIN(((Q1332)*(1+$C$10)+IF(B1333="Working",J1333,0)),K1333),0)</f>
        <v/>
      </c>
      <c r="N1333" s="137">
        <f>IF(B1333="Retired",MIN(MAX(K1333-M1333,0),((R1332)*(1+$C$10)+IF(B1333="Working",E100,0))),0)</f>
        <v/>
      </c>
      <c r="O1333" s="137">
        <f>IF(B1333="Retired",MIN(MAX(K1333-M1333-N1333,0),((S1332)*(1+$C$10)+IF(B1333="Working",I1333,0))),0)</f>
        <v/>
      </c>
      <c r="P1333" s="137">
        <f>IF(B1333="Retired",MIN(MAX(K1333-M1333-N1333-O1333,0),((T1332)*(1+$C$10)+IF(B1333="Working",F100,0))),0)</f>
        <v/>
      </c>
      <c r="Q1333" s="138">
        <f>MAX(((Q1332)*(1+$C$10)+IF(B1333="Working",J1333,0))-M1333,0)</f>
        <v/>
      </c>
      <c r="R1333" s="138">
        <f>MAX(((R1332)*(1+$C$10)+IF(B1333="Working",E100,0))-N1333,0)</f>
        <v/>
      </c>
      <c r="S1333" s="138">
        <f>MAX(((S1332)*(1+$C$10)+IF(B1333="Working",I1333,0))-O1333,0)</f>
        <v/>
      </c>
      <c r="T1333" s="138">
        <f>MAX(((T1332)*(1+$C$10)+IF(B1333="Working",F100,0))-P1333,0)</f>
        <v/>
      </c>
      <c r="U1333" s="138">
        <f>Q1333+R1333+S1333+T1333</f>
        <v/>
      </c>
      <c r="V1333" s="138">
        <f>IF(B1333="Working",MAX(-(((Q1332)*(1+$C$10)+IF(B1333="Working",J1333,0))),0),MAX(K1333-L1333,0))</f>
        <v/>
      </c>
      <c r="W1333" s="138">
        <f>IF(OR(A1333&gt;=$C$13,B1333="Retired"),IF(V1333&gt;0,-V1333,U1333-'Model Inputs'!$B$18),"")</f>
        <v/>
      </c>
      <c r="X1333" s="138">
        <f>IF(AND($L$251&gt;0,A1333&gt;=$C$13),$L$251*(1+$C$25)^(A1333-$C$13),0)</f>
        <v/>
      </c>
      <c r="Y1333" s="138">
        <f>IF(OR($L$251&lt;=0,$C$17&lt;=0,A1333&lt;$C$13,MIN(MAX((A1333-$C$13+1)*12,0),$C$17*12)&gt;=$C$17*12),0,IF($C$16=0,MAX(MAX($L$251*(1-$C$15),0)-(IF($C$17&lt;=0,0,IF($C$16=0,MAX($L$251*(1-$C$15),0)/$C$17,-PMT($C$16/12,$C$17*12,MAX($L$251*(1-$C$15),0))*12))/12)*MIN(MAX((A1333-$C$13+1)*12,0),$C$17*12),0),MAX(MAX($L$251*(1-$C$15),0)*(1+$C$16/12)^MIN(MAX((A1333-$C$13+1)*12,0),$C$17*12)-(IF($C$17&lt;=0,0,IF($C$16=0,MAX($L$251*(1-$C$15),0)/$C$17,-PMT($C$16/12,$C$17*12,MAX($L$251*(1-$C$15),0))*12))/12)*(((1+$C$16/12)^MIN(MAX((A1333-$C$13+1)*12,0),$C$17*12)-1)/($C$16/12)),0)))</f>
        <v/>
      </c>
      <c r="Z1333" s="138">
        <f>MAX(X1333-Y1333,0)</f>
        <v/>
      </c>
      <c r="AA1333" s="139">
        <f>U1333+Z1333</f>
        <v/>
      </c>
      <c r="AB1333" s="5" t="n"/>
      <c r="AC1333" s="5" t="n"/>
      <c r="AD1333" s="5" t="n"/>
      <c r="AE1333" s="5" t="n"/>
      <c r="AF1333" s="5" t="n"/>
      <c r="AG1333" s="5" t="n"/>
    </row>
    <row r="1334" outlineLevel="1" s="326">
      <c r="A1334" s="140" t="n">
        <v>22</v>
      </c>
      <c r="B1334" s="40">
        <f>B101</f>
        <v/>
      </c>
      <c r="C1334" s="141">
        <f>D101</f>
        <v/>
      </c>
      <c r="D1334" s="141">
        <f>I101</f>
        <v/>
      </c>
      <c r="E1334" s="141">
        <f>J101</f>
        <v/>
      </c>
      <c r="F1334" s="141">
        <f>K101</f>
        <v/>
      </c>
      <c r="G1334" s="138">
        <f>IF(AND($L$251&gt;0,A1334=$C$13),$L$251*($C$15+$C$18),0)+IF(AND($L$251&gt;0,A1334=$C$13),$C$24,0)</f>
        <v/>
      </c>
      <c r="H1334" s="138">
        <f>IF(OR($L$251&lt;=0,A1334&lt;$C$13),0,IF(AND($L$251&gt;0,$C$17&gt;0,A1334&gt;=$C$13,A1334&lt;($C$13+$C$17)),IF($C$17&lt;=0,0,IF($C$16=0,MAX($L$251*(1-$C$15),0)/$C$17,-PMT($C$16/12,$C$17*12,MAX($L$251*(1-$C$15),0))*12)),0)+X1334*($C$19+$C$20+$C$21)+$C$22+$C$23)</f>
        <v/>
      </c>
      <c r="I1334" s="138">
        <f>IF(B1334="Working",MIN(MAX(D1334-E1334-F1334-G1334-H1334,0),'Tax Assumptions'!$B$20),0)</f>
        <v/>
      </c>
      <c r="J1334" s="138">
        <f>IF(B1334="Working",D1334-E1334-F1334-I1334-G1334-H1334,-L1334)</f>
        <v/>
      </c>
      <c r="K1334" s="141">
        <f>IF(B1334="Retired",$N$251+G1334+H1334,0)</f>
        <v/>
      </c>
      <c r="L1334" s="141">
        <f>M1334+N1334+O1334+P1334</f>
        <v/>
      </c>
      <c r="M1334" s="141">
        <f>IF(B1334="Retired",MIN(((Q1333)*(1+$C$10)+IF(B1334="Working",J1334,0)),K1334),0)</f>
        <v/>
      </c>
      <c r="N1334" s="141">
        <f>IF(B1334="Retired",MIN(MAX(K1334-M1334,0),((R1333)*(1+$C$10)+IF(B1334="Working",E101,0))),0)</f>
        <v/>
      </c>
      <c r="O1334" s="141">
        <f>IF(B1334="Retired",MIN(MAX(K1334-M1334-N1334,0),((S1333)*(1+$C$10)+IF(B1334="Working",I1334,0))),0)</f>
        <v/>
      </c>
      <c r="P1334" s="141">
        <f>IF(B1334="Retired",MIN(MAX(K1334-M1334-N1334-O1334,0),((T1333)*(1+$C$10)+IF(B1334="Working",F101,0))),0)</f>
        <v/>
      </c>
      <c r="Q1334" s="138">
        <f>MAX(((Q1333)*(1+$C$10)+IF(B1334="Working",J1334,0))-M1334,0)</f>
        <v/>
      </c>
      <c r="R1334" s="138">
        <f>MAX(((R1333)*(1+$C$10)+IF(B1334="Working",E101,0))-N1334,0)</f>
        <v/>
      </c>
      <c r="S1334" s="138">
        <f>MAX(((S1333)*(1+$C$10)+IF(B1334="Working",I1334,0))-O1334,0)</f>
        <v/>
      </c>
      <c r="T1334" s="138">
        <f>MAX(((T1333)*(1+$C$10)+IF(B1334="Working",F101,0))-P1334,0)</f>
        <v/>
      </c>
      <c r="U1334" s="138">
        <f>Q1334+R1334+S1334+T1334</f>
        <v/>
      </c>
      <c r="V1334" s="138">
        <f>IF(B1334="Working",MAX(-(((Q1333)*(1+$C$10)+IF(B1334="Working",J1334,0))),0),MAX(K1334-L1334,0))</f>
        <v/>
      </c>
      <c r="W1334" s="138">
        <f>IF(OR(A1334&gt;=$C$13,B1334="Retired"),IF(V1334&gt;0,-V1334,U1334-'Model Inputs'!$B$18),"")</f>
        <v/>
      </c>
      <c r="X1334" s="138">
        <f>IF(AND($L$251&gt;0,A1334&gt;=$C$13),$L$251*(1+$C$25)^(A1334-$C$13),0)</f>
        <v/>
      </c>
      <c r="Y1334" s="138">
        <f>IF(OR($L$251&lt;=0,$C$17&lt;=0,A1334&lt;$C$13,MIN(MAX((A1334-$C$13+1)*12,0),$C$17*12)&gt;=$C$17*12),0,IF($C$16=0,MAX(MAX($L$251*(1-$C$15),0)-(IF($C$17&lt;=0,0,IF($C$16=0,MAX($L$251*(1-$C$15),0)/$C$17,-PMT($C$16/12,$C$17*12,MAX($L$251*(1-$C$15),0))*12))/12)*MIN(MAX((A1334-$C$13+1)*12,0),$C$17*12),0),MAX(MAX($L$251*(1-$C$15),0)*(1+$C$16/12)^MIN(MAX((A1334-$C$13+1)*12,0),$C$17*12)-(IF($C$17&lt;=0,0,IF($C$16=0,MAX($L$251*(1-$C$15),0)/$C$17,-PMT($C$16/12,$C$17*12,MAX($L$251*(1-$C$15),0))*12))/12)*(((1+$C$16/12)^MIN(MAX((A1334-$C$13+1)*12,0),$C$17*12)-1)/($C$16/12)),0)))</f>
        <v/>
      </c>
      <c r="Z1334" s="138">
        <f>MAX(X1334-Y1334,0)</f>
        <v/>
      </c>
      <c r="AA1334" s="142">
        <f>U1334+Z1334</f>
        <v/>
      </c>
      <c r="AB1334" s="5" t="n"/>
      <c r="AC1334" s="5" t="n"/>
      <c r="AD1334" s="5" t="n"/>
      <c r="AE1334" s="5" t="n"/>
      <c r="AF1334" s="5" t="n"/>
      <c r="AG1334" s="5" t="n"/>
    </row>
    <row r="1335" outlineLevel="1" s="326">
      <c r="A1335" s="136" t="n">
        <v>23</v>
      </c>
      <c r="B1335" s="72">
        <f>B102</f>
        <v/>
      </c>
      <c r="C1335" s="137">
        <f>D102</f>
        <v/>
      </c>
      <c r="D1335" s="137">
        <f>I102</f>
        <v/>
      </c>
      <c r="E1335" s="137">
        <f>J102</f>
        <v/>
      </c>
      <c r="F1335" s="137">
        <f>K102</f>
        <v/>
      </c>
      <c r="G1335" s="138">
        <f>IF(AND($L$251&gt;0,A1335=$C$13),$L$251*($C$15+$C$18),0)+IF(AND($L$251&gt;0,A1335=$C$13),$C$24,0)</f>
        <v/>
      </c>
      <c r="H1335" s="138">
        <f>IF(OR($L$251&lt;=0,A1335&lt;$C$13),0,IF(AND($L$251&gt;0,$C$17&gt;0,A1335&gt;=$C$13,A1335&lt;($C$13+$C$17)),IF($C$17&lt;=0,0,IF($C$16=0,MAX($L$251*(1-$C$15),0)/$C$17,-PMT($C$16/12,$C$17*12,MAX($L$251*(1-$C$15),0))*12)),0)+X1335*($C$19+$C$20+$C$21)+$C$22+$C$23)</f>
        <v/>
      </c>
      <c r="I1335" s="138">
        <f>IF(B1335="Working",MIN(MAX(D1335-E1335-F1335-G1335-H1335,0),'Tax Assumptions'!$B$20),0)</f>
        <v/>
      </c>
      <c r="J1335" s="138">
        <f>IF(B1335="Working",D1335-E1335-F1335-I1335-G1335-H1335,-L1335)</f>
        <v/>
      </c>
      <c r="K1335" s="137">
        <f>IF(B1335="Retired",$N$251+G1335+H1335,0)</f>
        <v/>
      </c>
      <c r="L1335" s="137">
        <f>M1335+N1335+O1335+P1335</f>
        <v/>
      </c>
      <c r="M1335" s="137">
        <f>IF(B1335="Retired",MIN(((Q1334)*(1+$C$10)+IF(B1335="Working",J1335,0)),K1335),0)</f>
        <v/>
      </c>
      <c r="N1335" s="137">
        <f>IF(B1335="Retired",MIN(MAX(K1335-M1335,0),((R1334)*(1+$C$10)+IF(B1335="Working",E102,0))),0)</f>
        <v/>
      </c>
      <c r="O1335" s="137">
        <f>IF(B1335="Retired",MIN(MAX(K1335-M1335-N1335,0),((S1334)*(1+$C$10)+IF(B1335="Working",I1335,0))),0)</f>
        <v/>
      </c>
      <c r="P1335" s="137">
        <f>IF(B1335="Retired",MIN(MAX(K1335-M1335-N1335-O1335,0),((T1334)*(1+$C$10)+IF(B1335="Working",F102,0))),0)</f>
        <v/>
      </c>
      <c r="Q1335" s="138">
        <f>MAX(((Q1334)*(1+$C$10)+IF(B1335="Working",J1335,0))-M1335,0)</f>
        <v/>
      </c>
      <c r="R1335" s="138">
        <f>MAX(((R1334)*(1+$C$10)+IF(B1335="Working",E102,0))-N1335,0)</f>
        <v/>
      </c>
      <c r="S1335" s="138">
        <f>MAX(((S1334)*(1+$C$10)+IF(B1335="Working",I1335,0))-O1335,0)</f>
        <v/>
      </c>
      <c r="T1335" s="138">
        <f>MAX(((T1334)*(1+$C$10)+IF(B1335="Working",F102,0))-P1335,0)</f>
        <v/>
      </c>
      <c r="U1335" s="138">
        <f>Q1335+R1335+S1335+T1335</f>
        <v/>
      </c>
      <c r="V1335" s="138">
        <f>IF(B1335="Working",MAX(-(((Q1334)*(1+$C$10)+IF(B1335="Working",J1335,0))),0),MAX(K1335-L1335,0))</f>
        <v/>
      </c>
      <c r="W1335" s="138">
        <f>IF(OR(A1335&gt;=$C$13,B1335="Retired"),IF(V1335&gt;0,-V1335,U1335-'Model Inputs'!$B$18),"")</f>
        <v/>
      </c>
      <c r="X1335" s="138">
        <f>IF(AND($L$251&gt;0,A1335&gt;=$C$13),$L$251*(1+$C$25)^(A1335-$C$13),0)</f>
        <v/>
      </c>
      <c r="Y1335" s="138">
        <f>IF(OR($L$251&lt;=0,$C$17&lt;=0,A1335&lt;$C$13,MIN(MAX((A1335-$C$13+1)*12,0),$C$17*12)&gt;=$C$17*12),0,IF($C$16=0,MAX(MAX($L$251*(1-$C$15),0)-(IF($C$17&lt;=0,0,IF($C$16=0,MAX($L$251*(1-$C$15),0)/$C$17,-PMT($C$16/12,$C$17*12,MAX($L$251*(1-$C$15),0))*12))/12)*MIN(MAX((A1335-$C$13+1)*12,0),$C$17*12),0),MAX(MAX($L$251*(1-$C$15),0)*(1+$C$16/12)^MIN(MAX((A1335-$C$13+1)*12,0),$C$17*12)-(IF($C$17&lt;=0,0,IF($C$16=0,MAX($L$251*(1-$C$15),0)/$C$17,-PMT($C$16/12,$C$17*12,MAX($L$251*(1-$C$15),0))*12))/12)*(((1+$C$16/12)^MIN(MAX((A1335-$C$13+1)*12,0),$C$17*12)-1)/($C$16/12)),0)))</f>
        <v/>
      </c>
      <c r="Z1335" s="138">
        <f>MAX(X1335-Y1335,0)</f>
        <v/>
      </c>
      <c r="AA1335" s="139">
        <f>U1335+Z1335</f>
        <v/>
      </c>
      <c r="AB1335" s="5" t="n"/>
      <c r="AC1335" s="5" t="n"/>
      <c r="AD1335" s="5" t="n"/>
      <c r="AE1335" s="5" t="n"/>
      <c r="AF1335" s="5" t="n"/>
      <c r="AG1335" s="5" t="n"/>
    </row>
    <row r="1336" outlineLevel="1" s="326">
      <c r="A1336" s="140" t="n">
        <v>24</v>
      </c>
      <c r="B1336" s="40">
        <f>B103</f>
        <v/>
      </c>
      <c r="C1336" s="141">
        <f>D103</f>
        <v/>
      </c>
      <c r="D1336" s="141">
        <f>I103</f>
        <v/>
      </c>
      <c r="E1336" s="141">
        <f>J103</f>
        <v/>
      </c>
      <c r="F1336" s="141">
        <f>K103</f>
        <v/>
      </c>
      <c r="G1336" s="138">
        <f>IF(AND($L$251&gt;0,A1336=$C$13),$L$251*($C$15+$C$18),0)+IF(AND($L$251&gt;0,A1336=$C$13),$C$24,0)</f>
        <v/>
      </c>
      <c r="H1336" s="138">
        <f>IF(OR($L$251&lt;=0,A1336&lt;$C$13),0,IF(AND($L$251&gt;0,$C$17&gt;0,A1336&gt;=$C$13,A1336&lt;($C$13+$C$17)),IF($C$17&lt;=0,0,IF($C$16=0,MAX($L$251*(1-$C$15),0)/$C$17,-PMT($C$16/12,$C$17*12,MAX($L$251*(1-$C$15),0))*12)),0)+X1336*($C$19+$C$20+$C$21)+$C$22+$C$23)</f>
        <v/>
      </c>
      <c r="I1336" s="138">
        <f>IF(B1336="Working",MIN(MAX(D1336-E1336-F1336-G1336-H1336,0),'Tax Assumptions'!$B$20),0)</f>
        <v/>
      </c>
      <c r="J1336" s="138">
        <f>IF(B1336="Working",D1336-E1336-F1336-I1336-G1336-H1336,-L1336)</f>
        <v/>
      </c>
      <c r="K1336" s="141">
        <f>IF(B1336="Retired",$N$251+G1336+H1336,0)</f>
        <v/>
      </c>
      <c r="L1336" s="141">
        <f>M1336+N1336+O1336+P1336</f>
        <v/>
      </c>
      <c r="M1336" s="141">
        <f>IF(B1336="Retired",MIN(((Q1335)*(1+$C$10)+IF(B1336="Working",J1336,0)),K1336),0)</f>
        <v/>
      </c>
      <c r="N1336" s="141">
        <f>IF(B1336="Retired",MIN(MAX(K1336-M1336,0),((R1335)*(1+$C$10)+IF(B1336="Working",E103,0))),0)</f>
        <v/>
      </c>
      <c r="O1336" s="141">
        <f>IF(B1336="Retired",MIN(MAX(K1336-M1336-N1336,0),((S1335)*(1+$C$10)+IF(B1336="Working",I1336,0))),0)</f>
        <v/>
      </c>
      <c r="P1336" s="141">
        <f>IF(B1336="Retired",MIN(MAX(K1336-M1336-N1336-O1336,0),((T1335)*(1+$C$10)+IF(B1336="Working",F103,0))),0)</f>
        <v/>
      </c>
      <c r="Q1336" s="138">
        <f>MAX(((Q1335)*(1+$C$10)+IF(B1336="Working",J1336,0))-M1336,0)</f>
        <v/>
      </c>
      <c r="R1336" s="138">
        <f>MAX(((R1335)*(1+$C$10)+IF(B1336="Working",E103,0))-N1336,0)</f>
        <v/>
      </c>
      <c r="S1336" s="138">
        <f>MAX(((S1335)*(1+$C$10)+IF(B1336="Working",I1336,0))-O1336,0)</f>
        <v/>
      </c>
      <c r="T1336" s="138">
        <f>MAX(((T1335)*(1+$C$10)+IF(B1336="Working",F103,0))-P1336,0)</f>
        <v/>
      </c>
      <c r="U1336" s="138">
        <f>Q1336+R1336+S1336+T1336</f>
        <v/>
      </c>
      <c r="V1336" s="138">
        <f>IF(B1336="Working",MAX(-(((Q1335)*(1+$C$10)+IF(B1336="Working",J1336,0))),0),MAX(K1336-L1336,0))</f>
        <v/>
      </c>
      <c r="W1336" s="138">
        <f>IF(OR(A1336&gt;=$C$13,B1336="Retired"),IF(V1336&gt;0,-V1336,U1336-'Model Inputs'!$B$18),"")</f>
        <v/>
      </c>
      <c r="X1336" s="138">
        <f>IF(AND($L$251&gt;0,A1336&gt;=$C$13),$L$251*(1+$C$25)^(A1336-$C$13),0)</f>
        <v/>
      </c>
      <c r="Y1336" s="138">
        <f>IF(OR($L$251&lt;=0,$C$17&lt;=0,A1336&lt;$C$13,MIN(MAX((A1336-$C$13+1)*12,0),$C$17*12)&gt;=$C$17*12),0,IF($C$16=0,MAX(MAX($L$251*(1-$C$15),0)-(IF($C$17&lt;=0,0,IF($C$16=0,MAX($L$251*(1-$C$15),0)/$C$17,-PMT($C$16/12,$C$17*12,MAX($L$251*(1-$C$15),0))*12))/12)*MIN(MAX((A1336-$C$13+1)*12,0),$C$17*12),0),MAX(MAX($L$251*(1-$C$15),0)*(1+$C$16/12)^MIN(MAX((A1336-$C$13+1)*12,0),$C$17*12)-(IF($C$17&lt;=0,0,IF($C$16=0,MAX($L$251*(1-$C$15),0)/$C$17,-PMT($C$16/12,$C$17*12,MAX($L$251*(1-$C$15),0))*12))/12)*(((1+$C$16/12)^MIN(MAX((A1336-$C$13+1)*12,0),$C$17*12)-1)/($C$16/12)),0)))</f>
        <v/>
      </c>
      <c r="Z1336" s="138">
        <f>MAX(X1336-Y1336,0)</f>
        <v/>
      </c>
      <c r="AA1336" s="142">
        <f>U1336+Z1336</f>
        <v/>
      </c>
      <c r="AB1336" s="5" t="n"/>
      <c r="AC1336" s="5" t="n"/>
      <c r="AD1336" s="5" t="n"/>
      <c r="AE1336" s="5" t="n"/>
      <c r="AF1336" s="5" t="n"/>
      <c r="AG1336" s="5" t="n"/>
    </row>
    <row r="1337" outlineLevel="1" s="326">
      <c r="A1337" s="136" t="n">
        <v>25</v>
      </c>
      <c r="B1337" s="72">
        <f>B104</f>
        <v/>
      </c>
      <c r="C1337" s="137">
        <f>D104</f>
        <v/>
      </c>
      <c r="D1337" s="137">
        <f>I104</f>
        <v/>
      </c>
      <c r="E1337" s="137">
        <f>J104</f>
        <v/>
      </c>
      <c r="F1337" s="137">
        <f>K104</f>
        <v/>
      </c>
      <c r="G1337" s="138">
        <f>IF(AND($L$251&gt;0,A1337=$C$13),$L$251*($C$15+$C$18),0)+IF(AND($L$251&gt;0,A1337=$C$13),$C$24,0)</f>
        <v/>
      </c>
      <c r="H1337" s="138">
        <f>IF(OR($L$251&lt;=0,A1337&lt;$C$13),0,IF(AND($L$251&gt;0,$C$17&gt;0,A1337&gt;=$C$13,A1337&lt;($C$13+$C$17)),IF($C$17&lt;=0,0,IF($C$16=0,MAX($L$251*(1-$C$15),0)/$C$17,-PMT($C$16/12,$C$17*12,MAX($L$251*(1-$C$15),0))*12)),0)+X1337*($C$19+$C$20+$C$21)+$C$22+$C$23)</f>
        <v/>
      </c>
      <c r="I1337" s="138">
        <f>IF(B1337="Working",MIN(MAX(D1337-E1337-F1337-G1337-H1337,0),'Tax Assumptions'!$B$20),0)</f>
        <v/>
      </c>
      <c r="J1337" s="138">
        <f>IF(B1337="Working",D1337-E1337-F1337-I1337-G1337-H1337,-L1337)</f>
        <v/>
      </c>
      <c r="K1337" s="137">
        <f>IF(B1337="Retired",$N$251+G1337+H1337,0)</f>
        <v/>
      </c>
      <c r="L1337" s="137">
        <f>M1337+N1337+O1337+P1337</f>
        <v/>
      </c>
      <c r="M1337" s="137">
        <f>IF(B1337="Retired",MIN(((Q1336)*(1+$C$10)+IF(B1337="Working",J1337,0)),K1337),0)</f>
        <v/>
      </c>
      <c r="N1337" s="137">
        <f>IF(B1337="Retired",MIN(MAX(K1337-M1337,0),((R1336)*(1+$C$10)+IF(B1337="Working",E104,0))),0)</f>
        <v/>
      </c>
      <c r="O1337" s="137">
        <f>IF(B1337="Retired",MIN(MAX(K1337-M1337-N1337,0),((S1336)*(1+$C$10)+IF(B1337="Working",I1337,0))),0)</f>
        <v/>
      </c>
      <c r="P1337" s="137">
        <f>IF(B1337="Retired",MIN(MAX(K1337-M1337-N1337-O1337,0),((T1336)*(1+$C$10)+IF(B1337="Working",F104,0))),0)</f>
        <v/>
      </c>
      <c r="Q1337" s="138">
        <f>MAX(((Q1336)*(1+$C$10)+IF(B1337="Working",J1337,0))-M1337,0)</f>
        <v/>
      </c>
      <c r="R1337" s="138">
        <f>MAX(((R1336)*(1+$C$10)+IF(B1337="Working",E104,0))-N1337,0)</f>
        <v/>
      </c>
      <c r="S1337" s="138">
        <f>MAX(((S1336)*(1+$C$10)+IF(B1337="Working",I1337,0))-O1337,0)</f>
        <v/>
      </c>
      <c r="T1337" s="138">
        <f>MAX(((T1336)*(1+$C$10)+IF(B1337="Working",F104,0))-P1337,0)</f>
        <v/>
      </c>
      <c r="U1337" s="138">
        <f>Q1337+R1337+S1337+T1337</f>
        <v/>
      </c>
      <c r="V1337" s="138">
        <f>IF(B1337="Working",MAX(-(((Q1336)*(1+$C$10)+IF(B1337="Working",J1337,0))),0),MAX(K1337-L1337,0))</f>
        <v/>
      </c>
      <c r="W1337" s="138">
        <f>IF(OR(A1337&gt;=$C$13,B1337="Retired"),IF(V1337&gt;0,-V1337,U1337-'Model Inputs'!$B$18),"")</f>
        <v/>
      </c>
      <c r="X1337" s="138">
        <f>IF(AND($L$251&gt;0,A1337&gt;=$C$13),$L$251*(1+$C$25)^(A1337-$C$13),0)</f>
        <v/>
      </c>
      <c r="Y1337" s="138">
        <f>IF(OR($L$251&lt;=0,$C$17&lt;=0,A1337&lt;$C$13,MIN(MAX((A1337-$C$13+1)*12,0),$C$17*12)&gt;=$C$17*12),0,IF($C$16=0,MAX(MAX($L$251*(1-$C$15),0)-(IF($C$17&lt;=0,0,IF($C$16=0,MAX($L$251*(1-$C$15),0)/$C$17,-PMT($C$16/12,$C$17*12,MAX($L$251*(1-$C$15),0))*12))/12)*MIN(MAX((A1337-$C$13+1)*12,0),$C$17*12),0),MAX(MAX($L$251*(1-$C$15),0)*(1+$C$16/12)^MIN(MAX((A1337-$C$13+1)*12,0),$C$17*12)-(IF($C$17&lt;=0,0,IF($C$16=0,MAX($L$251*(1-$C$15),0)/$C$17,-PMT($C$16/12,$C$17*12,MAX($L$251*(1-$C$15),0))*12))/12)*(((1+$C$16/12)^MIN(MAX((A1337-$C$13+1)*12,0),$C$17*12)-1)/($C$16/12)),0)))</f>
        <v/>
      </c>
      <c r="Z1337" s="138">
        <f>MAX(X1337-Y1337,0)</f>
        <v/>
      </c>
      <c r="AA1337" s="139">
        <f>U1337+Z1337</f>
        <v/>
      </c>
      <c r="AB1337" s="5" t="n"/>
      <c r="AC1337" s="5" t="n"/>
      <c r="AD1337" s="5" t="n"/>
      <c r="AE1337" s="5" t="n"/>
      <c r="AF1337" s="5" t="n"/>
      <c r="AG1337" s="5" t="n"/>
    </row>
    <row r="1338" outlineLevel="1" s="326">
      <c r="A1338" s="140" t="n">
        <v>26</v>
      </c>
      <c r="B1338" s="40">
        <f>B105</f>
        <v/>
      </c>
      <c r="C1338" s="141">
        <f>D105</f>
        <v/>
      </c>
      <c r="D1338" s="141">
        <f>I105</f>
        <v/>
      </c>
      <c r="E1338" s="141">
        <f>J105</f>
        <v/>
      </c>
      <c r="F1338" s="141">
        <f>K105</f>
        <v/>
      </c>
      <c r="G1338" s="138">
        <f>IF(AND($L$251&gt;0,A1338=$C$13),$L$251*($C$15+$C$18),0)+IF(AND($L$251&gt;0,A1338=$C$13),$C$24,0)</f>
        <v/>
      </c>
      <c r="H1338" s="138">
        <f>IF(OR($L$251&lt;=0,A1338&lt;$C$13),0,IF(AND($L$251&gt;0,$C$17&gt;0,A1338&gt;=$C$13,A1338&lt;($C$13+$C$17)),IF($C$17&lt;=0,0,IF($C$16=0,MAX($L$251*(1-$C$15),0)/$C$17,-PMT($C$16/12,$C$17*12,MAX($L$251*(1-$C$15),0))*12)),0)+X1338*($C$19+$C$20+$C$21)+$C$22+$C$23)</f>
        <v/>
      </c>
      <c r="I1338" s="138">
        <f>IF(B1338="Working",MIN(MAX(D1338-E1338-F1338-G1338-H1338,0),'Tax Assumptions'!$B$20),0)</f>
        <v/>
      </c>
      <c r="J1338" s="138">
        <f>IF(B1338="Working",D1338-E1338-F1338-I1338-G1338-H1338,-L1338)</f>
        <v/>
      </c>
      <c r="K1338" s="141">
        <f>IF(B1338="Retired",$N$251+G1338+H1338,0)</f>
        <v/>
      </c>
      <c r="L1338" s="141">
        <f>M1338+N1338+O1338+P1338</f>
        <v/>
      </c>
      <c r="M1338" s="141">
        <f>IF(B1338="Retired",MIN(((Q1337)*(1+$C$10)+IF(B1338="Working",J1338,0)),K1338),0)</f>
        <v/>
      </c>
      <c r="N1338" s="141">
        <f>IF(B1338="Retired",MIN(MAX(K1338-M1338,0),((R1337)*(1+$C$10)+IF(B1338="Working",E105,0))),0)</f>
        <v/>
      </c>
      <c r="O1338" s="141">
        <f>IF(B1338="Retired",MIN(MAX(K1338-M1338-N1338,0),((S1337)*(1+$C$10)+IF(B1338="Working",I1338,0))),0)</f>
        <v/>
      </c>
      <c r="P1338" s="141">
        <f>IF(B1338="Retired",MIN(MAX(K1338-M1338-N1338-O1338,0),((T1337)*(1+$C$10)+IF(B1338="Working",F105,0))),0)</f>
        <v/>
      </c>
      <c r="Q1338" s="138">
        <f>MAX(((Q1337)*(1+$C$10)+IF(B1338="Working",J1338,0))-M1338,0)</f>
        <v/>
      </c>
      <c r="R1338" s="138">
        <f>MAX(((R1337)*(1+$C$10)+IF(B1338="Working",E105,0))-N1338,0)</f>
        <v/>
      </c>
      <c r="S1338" s="138">
        <f>MAX(((S1337)*(1+$C$10)+IF(B1338="Working",I1338,0))-O1338,0)</f>
        <v/>
      </c>
      <c r="T1338" s="138">
        <f>MAX(((T1337)*(1+$C$10)+IF(B1338="Working",F105,0))-P1338,0)</f>
        <v/>
      </c>
      <c r="U1338" s="138">
        <f>Q1338+R1338+S1338+T1338</f>
        <v/>
      </c>
      <c r="V1338" s="138">
        <f>IF(B1338="Working",MAX(-(((Q1337)*(1+$C$10)+IF(B1338="Working",J1338,0))),0),MAX(K1338-L1338,0))</f>
        <v/>
      </c>
      <c r="W1338" s="138">
        <f>IF(OR(A1338&gt;=$C$13,B1338="Retired"),IF(V1338&gt;0,-V1338,U1338-'Model Inputs'!$B$18),"")</f>
        <v/>
      </c>
      <c r="X1338" s="138">
        <f>IF(AND($L$251&gt;0,A1338&gt;=$C$13),$L$251*(1+$C$25)^(A1338-$C$13),0)</f>
        <v/>
      </c>
      <c r="Y1338" s="138">
        <f>IF(OR($L$251&lt;=0,$C$17&lt;=0,A1338&lt;$C$13,MIN(MAX((A1338-$C$13+1)*12,0),$C$17*12)&gt;=$C$17*12),0,IF($C$16=0,MAX(MAX($L$251*(1-$C$15),0)-(IF($C$17&lt;=0,0,IF($C$16=0,MAX($L$251*(1-$C$15),0)/$C$17,-PMT($C$16/12,$C$17*12,MAX($L$251*(1-$C$15),0))*12))/12)*MIN(MAX((A1338-$C$13+1)*12,0),$C$17*12),0),MAX(MAX($L$251*(1-$C$15),0)*(1+$C$16/12)^MIN(MAX((A1338-$C$13+1)*12,0),$C$17*12)-(IF($C$17&lt;=0,0,IF($C$16=0,MAX($L$251*(1-$C$15),0)/$C$17,-PMT($C$16/12,$C$17*12,MAX($L$251*(1-$C$15),0))*12))/12)*(((1+$C$16/12)^MIN(MAX((A1338-$C$13+1)*12,0),$C$17*12)-1)/($C$16/12)),0)))</f>
        <v/>
      </c>
      <c r="Z1338" s="138">
        <f>MAX(X1338-Y1338,0)</f>
        <v/>
      </c>
      <c r="AA1338" s="142">
        <f>U1338+Z1338</f>
        <v/>
      </c>
      <c r="AB1338" s="5" t="n"/>
      <c r="AC1338" s="5" t="n"/>
      <c r="AD1338" s="5" t="n"/>
      <c r="AE1338" s="5" t="n"/>
      <c r="AF1338" s="5" t="n"/>
      <c r="AG1338" s="5" t="n"/>
    </row>
    <row r="1339" outlineLevel="1" s="326">
      <c r="A1339" s="136" t="n">
        <v>27</v>
      </c>
      <c r="B1339" s="72">
        <f>B106</f>
        <v/>
      </c>
      <c r="C1339" s="137">
        <f>D106</f>
        <v/>
      </c>
      <c r="D1339" s="137">
        <f>I106</f>
        <v/>
      </c>
      <c r="E1339" s="137">
        <f>J106</f>
        <v/>
      </c>
      <c r="F1339" s="137">
        <f>K106</f>
        <v/>
      </c>
      <c r="G1339" s="138">
        <f>IF(AND($L$251&gt;0,A1339=$C$13),$L$251*($C$15+$C$18),0)+IF(AND($L$251&gt;0,A1339=$C$13),$C$24,0)</f>
        <v/>
      </c>
      <c r="H1339" s="138">
        <f>IF(OR($L$251&lt;=0,A1339&lt;$C$13),0,IF(AND($L$251&gt;0,$C$17&gt;0,A1339&gt;=$C$13,A1339&lt;($C$13+$C$17)),IF($C$17&lt;=0,0,IF($C$16=0,MAX($L$251*(1-$C$15),0)/$C$17,-PMT($C$16/12,$C$17*12,MAX($L$251*(1-$C$15),0))*12)),0)+X1339*($C$19+$C$20+$C$21)+$C$22+$C$23)</f>
        <v/>
      </c>
      <c r="I1339" s="138">
        <f>IF(B1339="Working",MIN(MAX(D1339-E1339-F1339-G1339-H1339,0),'Tax Assumptions'!$B$20),0)</f>
        <v/>
      </c>
      <c r="J1339" s="138">
        <f>IF(B1339="Working",D1339-E1339-F1339-I1339-G1339-H1339,-L1339)</f>
        <v/>
      </c>
      <c r="K1339" s="137">
        <f>IF(B1339="Retired",$N$251+G1339+H1339,0)</f>
        <v/>
      </c>
      <c r="L1339" s="137">
        <f>M1339+N1339+O1339+P1339</f>
        <v/>
      </c>
      <c r="M1339" s="137">
        <f>IF(B1339="Retired",MIN(((Q1338)*(1+$C$10)+IF(B1339="Working",J1339,0)),K1339),0)</f>
        <v/>
      </c>
      <c r="N1339" s="137">
        <f>IF(B1339="Retired",MIN(MAX(K1339-M1339,0),((R1338)*(1+$C$10)+IF(B1339="Working",E106,0))),0)</f>
        <v/>
      </c>
      <c r="O1339" s="137">
        <f>IF(B1339="Retired",MIN(MAX(K1339-M1339-N1339,0),((S1338)*(1+$C$10)+IF(B1339="Working",I1339,0))),0)</f>
        <v/>
      </c>
      <c r="P1339" s="137">
        <f>IF(B1339="Retired",MIN(MAX(K1339-M1339-N1339-O1339,0),((T1338)*(1+$C$10)+IF(B1339="Working",F106,0))),0)</f>
        <v/>
      </c>
      <c r="Q1339" s="138">
        <f>MAX(((Q1338)*(1+$C$10)+IF(B1339="Working",J1339,0))-M1339,0)</f>
        <v/>
      </c>
      <c r="R1339" s="138">
        <f>MAX(((R1338)*(1+$C$10)+IF(B1339="Working",E106,0))-N1339,0)</f>
        <v/>
      </c>
      <c r="S1339" s="138">
        <f>MAX(((S1338)*(1+$C$10)+IF(B1339="Working",I1339,0))-O1339,0)</f>
        <v/>
      </c>
      <c r="T1339" s="138">
        <f>MAX(((T1338)*(1+$C$10)+IF(B1339="Working",F106,0))-P1339,0)</f>
        <v/>
      </c>
      <c r="U1339" s="138">
        <f>Q1339+R1339+S1339+T1339</f>
        <v/>
      </c>
      <c r="V1339" s="138">
        <f>IF(B1339="Working",MAX(-(((Q1338)*(1+$C$10)+IF(B1339="Working",J1339,0))),0),MAX(K1339-L1339,0))</f>
        <v/>
      </c>
      <c r="W1339" s="138">
        <f>IF(OR(A1339&gt;=$C$13,B1339="Retired"),IF(V1339&gt;0,-V1339,U1339-'Model Inputs'!$B$18),"")</f>
        <v/>
      </c>
      <c r="X1339" s="138">
        <f>IF(AND($L$251&gt;0,A1339&gt;=$C$13),$L$251*(1+$C$25)^(A1339-$C$13),0)</f>
        <v/>
      </c>
      <c r="Y1339" s="138">
        <f>IF(OR($L$251&lt;=0,$C$17&lt;=0,A1339&lt;$C$13,MIN(MAX((A1339-$C$13+1)*12,0),$C$17*12)&gt;=$C$17*12),0,IF($C$16=0,MAX(MAX($L$251*(1-$C$15),0)-(IF($C$17&lt;=0,0,IF($C$16=0,MAX($L$251*(1-$C$15),0)/$C$17,-PMT($C$16/12,$C$17*12,MAX($L$251*(1-$C$15),0))*12))/12)*MIN(MAX((A1339-$C$13+1)*12,0),$C$17*12),0),MAX(MAX($L$251*(1-$C$15),0)*(1+$C$16/12)^MIN(MAX((A1339-$C$13+1)*12,0),$C$17*12)-(IF($C$17&lt;=0,0,IF($C$16=0,MAX($L$251*(1-$C$15),0)/$C$17,-PMT($C$16/12,$C$17*12,MAX($L$251*(1-$C$15),0))*12))/12)*(((1+$C$16/12)^MIN(MAX((A1339-$C$13+1)*12,0),$C$17*12)-1)/($C$16/12)),0)))</f>
        <v/>
      </c>
      <c r="Z1339" s="138">
        <f>MAX(X1339-Y1339,0)</f>
        <v/>
      </c>
      <c r="AA1339" s="139">
        <f>U1339+Z1339</f>
        <v/>
      </c>
      <c r="AB1339" s="5" t="n"/>
      <c r="AC1339" s="5" t="n"/>
      <c r="AD1339" s="5" t="n"/>
      <c r="AE1339" s="5" t="n"/>
      <c r="AF1339" s="5" t="n"/>
      <c r="AG1339" s="5" t="n"/>
    </row>
    <row r="1340" outlineLevel="1" s="326">
      <c r="A1340" s="140" t="n">
        <v>28</v>
      </c>
      <c r="B1340" s="40">
        <f>B107</f>
        <v/>
      </c>
      <c r="C1340" s="141">
        <f>D107</f>
        <v/>
      </c>
      <c r="D1340" s="141">
        <f>I107</f>
        <v/>
      </c>
      <c r="E1340" s="141">
        <f>J107</f>
        <v/>
      </c>
      <c r="F1340" s="141">
        <f>K107</f>
        <v/>
      </c>
      <c r="G1340" s="138">
        <f>IF(AND($L$251&gt;0,A1340=$C$13),$L$251*($C$15+$C$18),0)+IF(AND($L$251&gt;0,A1340=$C$13),$C$24,0)</f>
        <v/>
      </c>
      <c r="H1340" s="138">
        <f>IF(OR($L$251&lt;=0,A1340&lt;$C$13),0,IF(AND($L$251&gt;0,$C$17&gt;0,A1340&gt;=$C$13,A1340&lt;($C$13+$C$17)),IF($C$17&lt;=0,0,IF($C$16=0,MAX($L$251*(1-$C$15),0)/$C$17,-PMT($C$16/12,$C$17*12,MAX($L$251*(1-$C$15),0))*12)),0)+X1340*($C$19+$C$20+$C$21)+$C$22+$C$23)</f>
        <v/>
      </c>
      <c r="I1340" s="138">
        <f>IF(B1340="Working",MIN(MAX(D1340-E1340-F1340-G1340-H1340,0),'Tax Assumptions'!$B$20),0)</f>
        <v/>
      </c>
      <c r="J1340" s="138">
        <f>IF(B1340="Working",D1340-E1340-F1340-I1340-G1340-H1340,-L1340)</f>
        <v/>
      </c>
      <c r="K1340" s="141">
        <f>IF(B1340="Retired",$N$251+G1340+H1340,0)</f>
        <v/>
      </c>
      <c r="L1340" s="141">
        <f>M1340+N1340+O1340+P1340</f>
        <v/>
      </c>
      <c r="M1340" s="141">
        <f>IF(B1340="Retired",MIN(((Q1339)*(1+$C$10)+IF(B1340="Working",J1340,0)),K1340),0)</f>
        <v/>
      </c>
      <c r="N1340" s="141">
        <f>IF(B1340="Retired",MIN(MAX(K1340-M1340,0),((R1339)*(1+$C$10)+IF(B1340="Working",E107,0))),0)</f>
        <v/>
      </c>
      <c r="O1340" s="141">
        <f>IF(B1340="Retired",MIN(MAX(K1340-M1340-N1340,0),((S1339)*(1+$C$10)+IF(B1340="Working",I1340,0))),0)</f>
        <v/>
      </c>
      <c r="P1340" s="141">
        <f>IF(B1340="Retired",MIN(MAX(K1340-M1340-N1340-O1340,0),((T1339)*(1+$C$10)+IF(B1340="Working",F107,0))),0)</f>
        <v/>
      </c>
      <c r="Q1340" s="138">
        <f>MAX(((Q1339)*(1+$C$10)+IF(B1340="Working",J1340,0))-M1340,0)</f>
        <v/>
      </c>
      <c r="R1340" s="138">
        <f>MAX(((R1339)*(1+$C$10)+IF(B1340="Working",E107,0))-N1340,0)</f>
        <v/>
      </c>
      <c r="S1340" s="138">
        <f>MAX(((S1339)*(1+$C$10)+IF(B1340="Working",I1340,0))-O1340,0)</f>
        <v/>
      </c>
      <c r="T1340" s="138">
        <f>MAX(((T1339)*(1+$C$10)+IF(B1340="Working",F107,0))-P1340,0)</f>
        <v/>
      </c>
      <c r="U1340" s="138">
        <f>Q1340+R1340+S1340+T1340</f>
        <v/>
      </c>
      <c r="V1340" s="138">
        <f>IF(B1340="Working",MAX(-(((Q1339)*(1+$C$10)+IF(B1340="Working",J1340,0))),0),MAX(K1340-L1340,0))</f>
        <v/>
      </c>
      <c r="W1340" s="138">
        <f>IF(OR(A1340&gt;=$C$13,B1340="Retired"),IF(V1340&gt;0,-V1340,U1340-'Model Inputs'!$B$18),"")</f>
        <v/>
      </c>
      <c r="X1340" s="138">
        <f>IF(AND($L$251&gt;0,A1340&gt;=$C$13),$L$251*(1+$C$25)^(A1340-$C$13),0)</f>
        <v/>
      </c>
      <c r="Y1340" s="138">
        <f>IF(OR($L$251&lt;=0,$C$17&lt;=0,A1340&lt;$C$13,MIN(MAX((A1340-$C$13+1)*12,0),$C$17*12)&gt;=$C$17*12),0,IF($C$16=0,MAX(MAX($L$251*(1-$C$15),0)-(IF($C$17&lt;=0,0,IF($C$16=0,MAX($L$251*(1-$C$15),0)/$C$17,-PMT($C$16/12,$C$17*12,MAX($L$251*(1-$C$15),0))*12))/12)*MIN(MAX((A1340-$C$13+1)*12,0),$C$17*12),0),MAX(MAX($L$251*(1-$C$15),0)*(1+$C$16/12)^MIN(MAX((A1340-$C$13+1)*12,0),$C$17*12)-(IF($C$17&lt;=0,0,IF($C$16=0,MAX($L$251*(1-$C$15),0)/$C$17,-PMT($C$16/12,$C$17*12,MAX($L$251*(1-$C$15),0))*12))/12)*(((1+$C$16/12)^MIN(MAX((A1340-$C$13+1)*12,0),$C$17*12)-1)/($C$16/12)),0)))</f>
        <v/>
      </c>
      <c r="Z1340" s="138">
        <f>MAX(X1340-Y1340,0)</f>
        <v/>
      </c>
      <c r="AA1340" s="142">
        <f>U1340+Z1340</f>
        <v/>
      </c>
      <c r="AB1340" s="5" t="n"/>
      <c r="AC1340" s="5" t="n"/>
      <c r="AD1340" s="5" t="n"/>
      <c r="AE1340" s="5" t="n"/>
      <c r="AF1340" s="5" t="n"/>
      <c r="AG1340" s="5" t="n"/>
    </row>
    <row r="1341" outlineLevel="1" s="326">
      <c r="A1341" s="136" t="n">
        <v>29</v>
      </c>
      <c r="B1341" s="72">
        <f>B108</f>
        <v/>
      </c>
      <c r="C1341" s="137">
        <f>D108</f>
        <v/>
      </c>
      <c r="D1341" s="137">
        <f>I108</f>
        <v/>
      </c>
      <c r="E1341" s="137">
        <f>J108</f>
        <v/>
      </c>
      <c r="F1341" s="137">
        <f>K108</f>
        <v/>
      </c>
      <c r="G1341" s="138">
        <f>IF(AND($L$251&gt;0,A1341=$C$13),$L$251*($C$15+$C$18),0)+IF(AND($L$251&gt;0,A1341=$C$13),$C$24,0)</f>
        <v/>
      </c>
      <c r="H1341" s="138">
        <f>IF(OR($L$251&lt;=0,A1341&lt;$C$13),0,IF(AND($L$251&gt;0,$C$17&gt;0,A1341&gt;=$C$13,A1341&lt;($C$13+$C$17)),IF($C$17&lt;=0,0,IF($C$16=0,MAX($L$251*(1-$C$15),0)/$C$17,-PMT($C$16/12,$C$17*12,MAX($L$251*(1-$C$15),0))*12)),0)+X1341*($C$19+$C$20+$C$21)+$C$22+$C$23)</f>
        <v/>
      </c>
      <c r="I1341" s="138">
        <f>IF(B1341="Working",MIN(MAX(D1341-E1341-F1341-G1341-H1341,0),'Tax Assumptions'!$B$20),0)</f>
        <v/>
      </c>
      <c r="J1341" s="138">
        <f>IF(B1341="Working",D1341-E1341-F1341-I1341-G1341-H1341,-L1341)</f>
        <v/>
      </c>
      <c r="K1341" s="137">
        <f>IF(B1341="Retired",$N$251+G1341+H1341,0)</f>
        <v/>
      </c>
      <c r="L1341" s="137">
        <f>M1341+N1341+O1341+P1341</f>
        <v/>
      </c>
      <c r="M1341" s="137">
        <f>IF(B1341="Retired",MIN(((Q1340)*(1+$C$10)+IF(B1341="Working",J1341,0)),K1341),0)</f>
        <v/>
      </c>
      <c r="N1341" s="137">
        <f>IF(B1341="Retired",MIN(MAX(K1341-M1341,0),((R1340)*(1+$C$10)+IF(B1341="Working",E108,0))),0)</f>
        <v/>
      </c>
      <c r="O1341" s="137">
        <f>IF(B1341="Retired",MIN(MAX(K1341-M1341-N1341,0),((S1340)*(1+$C$10)+IF(B1341="Working",I1341,0))),0)</f>
        <v/>
      </c>
      <c r="P1341" s="137">
        <f>IF(B1341="Retired",MIN(MAX(K1341-M1341-N1341-O1341,0),((T1340)*(1+$C$10)+IF(B1341="Working",F108,0))),0)</f>
        <v/>
      </c>
      <c r="Q1341" s="138">
        <f>MAX(((Q1340)*(1+$C$10)+IF(B1341="Working",J1341,0))-M1341,0)</f>
        <v/>
      </c>
      <c r="R1341" s="138">
        <f>MAX(((R1340)*(1+$C$10)+IF(B1341="Working",E108,0))-N1341,0)</f>
        <v/>
      </c>
      <c r="S1341" s="138">
        <f>MAX(((S1340)*(1+$C$10)+IF(B1341="Working",I1341,0))-O1341,0)</f>
        <v/>
      </c>
      <c r="T1341" s="138">
        <f>MAX(((T1340)*(1+$C$10)+IF(B1341="Working",F108,0))-P1341,0)</f>
        <v/>
      </c>
      <c r="U1341" s="138">
        <f>Q1341+R1341+S1341+T1341</f>
        <v/>
      </c>
      <c r="V1341" s="138">
        <f>IF(B1341="Working",MAX(-(((Q1340)*(1+$C$10)+IF(B1341="Working",J1341,0))),0),MAX(K1341-L1341,0))</f>
        <v/>
      </c>
      <c r="W1341" s="138">
        <f>IF(OR(A1341&gt;=$C$13,B1341="Retired"),IF(V1341&gt;0,-V1341,U1341-'Model Inputs'!$B$18),"")</f>
        <v/>
      </c>
      <c r="X1341" s="138">
        <f>IF(AND($L$251&gt;0,A1341&gt;=$C$13),$L$251*(1+$C$25)^(A1341-$C$13),0)</f>
        <v/>
      </c>
      <c r="Y1341" s="138">
        <f>IF(OR($L$251&lt;=0,$C$17&lt;=0,A1341&lt;$C$13,MIN(MAX((A1341-$C$13+1)*12,0),$C$17*12)&gt;=$C$17*12),0,IF($C$16=0,MAX(MAX($L$251*(1-$C$15),0)-(IF($C$17&lt;=0,0,IF($C$16=0,MAX($L$251*(1-$C$15),0)/$C$17,-PMT($C$16/12,$C$17*12,MAX($L$251*(1-$C$15),0))*12))/12)*MIN(MAX((A1341-$C$13+1)*12,0),$C$17*12),0),MAX(MAX($L$251*(1-$C$15),0)*(1+$C$16/12)^MIN(MAX((A1341-$C$13+1)*12,0),$C$17*12)-(IF($C$17&lt;=0,0,IF($C$16=0,MAX($L$251*(1-$C$15),0)/$C$17,-PMT($C$16/12,$C$17*12,MAX($L$251*(1-$C$15),0))*12))/12)*(((1+$C$16/12)^MIN(MAX((A1341-$C$13+1)*12,0),$C$17*12)-1)/($C$16/12)),0)))</f>
        <v/>
      </c>
      <c r="Z1341" s="138">
        <f>MAX(X1341-Y1341,0)</f>
        <v/>
      </c>
      <c r="AA1341" s="139">
        <f>U1341+Z1341</f>
        <v/>
      </c>
      <c r="AB1341" s="5" t="n"/>
      <c r="AC1341" s="5" t="n"/>
      <c r="AD1341" s="5" t="n"/>
      <c r="AE1341" s="5" t="n"/>
      <c r="AF1341" s="5" t="n"/>
      <c r="AG1341" s="5" t="n"/>
    </row>
    <row r="1342" outlineLevel="1" s="326">
      <c r="A1342" s="140" t="n">
        <v>30</v>
      </c>
      <c r="B1342" s="40">
        <f>B109</f>
        <v/>
      </c>
      <c r="C1342" s="141">
        <f>D109</f>
        <v/>
      </c>
      <c r="D1342" s="141">
        <f>I109</f>
        <v/>
      </c>
      <c r="E1342" s="141">
        <f>J109</f>
        <v/>
      </c>
      <c r="F1342" s="141">
        <f>K109</f>
        <v/>
      </c>
      <c r="G1342" s="138">
        <f>IF(AND($L$251&gt;0,A1342=$C$13),$L$251*($C$15+$C$18),0)+IF(AND($L$251&gt;0,A1342=$C$13),$C$24,0)</f>
        <v/>
      </c>
      <c r="H1342" s="138">
        <f>IF(OR($L$251&lt;=0,A1342&lt;$C$13),0,IF(AND($L$251&gt;0,$C$17&gt;0,A1342&gt;=$C$13,A1342&lt;($C$13+$C$17)),IF($C$17&lt;=0,0,IF($C$16=0,MAX($L$251*(1-$C$15),0)/$C$17,-PMT($C$16/12,$C$17*12,MAX($L$251*(1-$C$15),0))*12)),0)+X1342*($C$19+$C$20+$C$21)+$C$22+$C$23)</f>
        <v/>
      </c>
      <c r="I1342" s="138">
        <f>IF(B1342="Working",MIN(MAX(D1342-E1342-F1342-G1342-H1342,0),'Tax Assumptions'!$B$20),0)</f>
        <v/>
      </c>
      <c r="J1342" s="138">
        <f>IF(B1342="Working",D1342-E1342-F1342-I1342-G1342-H1342,-L1342)</f>
        <v/>
      </c>
      <c r="K1342" s="141">
        <f>IF(B1342="Retired",$N$251+G1342+H1342,0)</f>
        <v/>
      </c>
      <c r="L1342" s="141">
        <f>M1342+N1342+O1342+P1342</f>
        <v/>
      </c>
      <c r="M1342" s="141">
        <f>IF(B1342="Retired",MIN(((Q1341)*(1+$C$10)+IF(B1342="Working",J1342,0)),K1342),0)</f>
        <v/>
      </c>
      <c r="N1342" s="141">
        <f>IF(B1342="Retired",MIN(MAX(K1342-M1342,0),((R1341)*(1+$C$10)+IF(B1342="Working",E109,0))),0)</f>
        <v/>
      </c>
      <c r="O1342" s="141">
        <f>IF(B1342="Retired",MIN(MAX(K1342-M1342-N1342,0),((S1341)*(1+$C$10)+IF(B1342="Working",I1342,0))),0)</f>
        <v/>
      </c>
      <c r="P1342" s="141">
        <f>IF(B1342="Retired",MIN(MAX(K1342-M1342-N1342-O1342,0),((T1341)*(1+$C$10)+IF(B1342="Working",F109,0))),0)</f>
        <v/>
      </c>
      <c r="Q1342" s="138">
        <f>MAX(((Q1341)*(1+$C$10)+IF(B1342="Working",J1342,0))-M1342,0)</f>
        <v/>
      </c>
      <c r="R1342" s="138">
        <f>MAX(((R1341)*(1+$C$10)+IF(B1342="Working",E109,0))-N1342,0)</f>
        <v/>
      </c>
      <c r="S1342" s="138">
        <f>MAX(((S1341)*(1+$C$10)+IF(B1342="Working",I1342,0))-O1342,0)</f>
        <v/>
      </c>
      <c r="T1342" s="138">
        <f>MAX(((T1341)*(1+$C$10)+IF(B1342="Working",F109,0))-P1342,0)</f>
        <v/>
      </c>
      <c r="U1342" s="138">
        <f>Q1342+R1342+S1342+T1342</f>
        <v/>
      </c>
      <c r="V1342" s="138">
        <f>IF(B1342="Working",MAX(-(((Q1341)*(1+$C$10)+IF(B1342="Working",J1342,0))),0),MAX(K1342-L1342,0))</f>
        <v/>
      </c>
      <c r="W1342" s="138">
        <f>IF(OR(A1342&gt;=$C$13,B1342="Retired"),IF(V1342&gt;0,-V1342,U1342-'Model Inputs'!$B$18),"")</f>
        <v/>
      </c>
      <c r="X1342" s="138">
        <f>IF(AND($L$251&gt;0,A1342&gt;=$C$13),$L$251*(1+$C$25)^(A1342-$C$13),0)</f>
        <v/>
      </c>
      <c r="Y1342" s="138">
        <f>IF(OR($L$251&lt;=0,$C$17&lt;=0,A1342&lt;$C$13,MIN(MAX((A1342-$C$13+1)*12,0),$C$17*12)&gt;=$C$17*12),0,IF($C$16=0,MAX(MAX($L$251*(1-$C$15),0)-(IF($C$17&lt;=0,0,IF($C$16=0,MAX($L$251*(1-$C$15),0)/$C$17,-PMT($C$16/12,$C$17*12,MAX($L$251*(1-$C$15),0))*12))/12)*MIN(MAX((A1342-$C$13+1)*12,0),$C$17*12),0),MAX(MAX($L$251*(1-$C$15),0)*(1+$C$16/12)^MIN(MAX((A1342-$C$13+1)*12,0),$C$17*12)-(IF($C$17&lt;=0,0,IF($C$16=0,MAX($L$251*(1-$C$15),0)/$C$17,-PMT($C$16/12,$C$17*12,MAX($L$251*(1-$C$15),0))*12))/12)*(((1+$C$16/12)^MIN(MAX((A1342-$C$13+1)*12,0),$C$17*12)-1)/($C$16/12)),0)))</f>
        <v/>
      </c>
      <c r="Z1342" s="138">
        <f>MAX(X1342-Y1342,0)</f>
        <v/>
      </c>
      <c r="AA1342" s="142">
        <f>U1342+Z1342</f>
        <v/>
      </c>
      <c r="AB1342" s="5" t="n"/>
      <c r="AC1342" s="5" t="n"/>
      <c r="AD1342" s="5" t="n"/>
      <c r="AE1342" s="5" t="n"/>
      <c r="AF1342" s="5" t="n"/>
      <c r="AG1342" s="5" t="n"/>
    </row>
    <row r="1343" outlineLevel="1" s="326">
      <c r="A1343" s="136" t="n">
        <v>31</v>
      </c>
      <c r="B1343" s="72">
        <f>B110</f>
        <v/>
      </c>
      <c r="C1343" s="137">
        <f>D110</f>
        <v/>
      </c>
      <c r="D1343" s="137">
        <f>I110</f>
        <v/>
      </c>
      <c r="E1343" s="137">
        <f>J110</f>
        <v/>
      </c>
      <c r="F1343" s="137">
        <f>K110</f>
        <v/>
      </c>
      <c r="G1343" s="138">
        <f>IF(AND($L$251&gt;0,A1343=$C$13),$L$251*($C$15+$C$18),0)+IF(AND($L$251&gt;0,A1343=$C$13),$C$24,0)</f>
        <v/>
      </c>
      <c r="H1343" s="138">
        <f>IF(OR($L$251&lt;=0,A1343&lt;$C$13),0,IF(AND($L$251&gt;0,$C$17&gt;0,A1343&gt;=$C$13,A1343&lt;($C$13+$C$17)),IF($C$17&lt;=0,0,IF($C$16=0,MAX($L$251*(1-$C$15),0)/$C$17,-PMT($C$16/12,$C$17*12,MAX($L$251*(1-$C$15),0))*12)),0)+X1343*($C$19+$C$20+$C$21)+$C$22+$C$23)</f>
        <v/>
      </c>
      <c r="I1343" s="138">
        <f>IF(B1343="Working",MIN(MAX(D1343-E1343-F1343-G1343-H1343,0),'Tax Assumptions'!$B$20),0)</f>
        <v/>
      </c>
      <c r="J1343" s="138">
        <f>IF(B1343="Working",D1343-E1343-F1343-I1343-G1343-H1343,-L1343)</f>
        <v/>
      </c>
      <c r="K1343" s="137">
        <f>IF(B1343="Retired",$N$251+G1343+H1343,0)</f>
        <v/>
      </c>
      <c r="L1343" s="137">
        <f>M1343+N1343+O1343+P1343</f>
        <v/>
      </c>
      <c r="M1343" s="137">
        <f>IF(B1343="Retired",MIN(((Q1342)*(1+$C$10)+IF(B1343="Working",J1343,0)),K1343),0)</f>
        <v/>
      </c>
      <c r="N1343" s="137">
        <f>IF(B1343="Retired",MIN(MAX(K1343-M1343,0),((R1342)*(1+$C$10)+IF(B1343="Working",E110,0))),0)</f>
        <v/>
      </c>
      <c r="O1343" s="137">
        <f>IF(B1343="Retired",MIN(MAX(K1343-M1343-N1343,0),((S1342)*(1+$C$10)+IF(B1343="Working",I1343,0))),0)</f>
        <v/>
      </c>
      <c r="P1343" s="137">
        <f>IF(B1343="Retired",MIN(MAX(K1343-M1343-N1343-O1343,0),((T1342)*(1+$C$10)+IF(B1343="Working",F110,0))),0)</f>
        <v/>
      </c>
      <c r="Q1343" s="138">
        <f>MAX(((Q1342)*(1+$C$10)+IF(B1343="Working",J1343,0))-M1343,0)</f>
        <v/>
      </c>
      <c r="R1343" s="138">
        <f>MAX(((R1342)*(1+$C$10)+IF(B1343="Working",E110,0))-N1343,0)</f>
        <v/>
      </c>
      <c r="S1343" s="138">
        <f>MAX(((S1342)*(1+$C$10)+IF(B1343="Working",I1343,0))-O1343,0)</f>
        <v/>
      </c>
      <c r="T1343" s="138">
        <f>MAX(((T1342)*(1+$C$10)+IF(B1343="Working",F110,0))-P1343,0)</f>
        <v/>
      </c>
      <c r="U1343" s="138">
        <f>Q1343+R1343+S1343+T1343</f>
        <v/>
      </c>
      <c r="V1343" s="138">
        <f>IF(B1343="Working",MAX(-(((Q1342)*(1+$C$10)+IF(B1343="Working",J1343,0))),0),MAX(K1343-L1343,0))</f>
        <v/>
      </c>
      <c r="W1343" s="138">
        <f>IF(OR(A1343&gt;=$C$13,B1343="Retired"),IF(V1343&gt;0,-V1343,U1343-'Model Inputs'!$B$18),"")</f>
        <v/>
      </c>
      <c r="X1343" s="138">
        <f>IF(AND($L$251&gt;0,A1343&gt;=$C$13),$L$251*(1+$C$25)^(A1343-$C$13),0)</f>
        <v/>
      </c>
      <c r="Y1343" s="138">
        <f>IF(OR($L$251&lt;=0,$C$17&lt;=0,A1343&lt;$C$13,MIN(MAX((A1343-$C$13+1)*12,0),$C$17*12)&gt;=$C$17*12),0,IF($C$16=0,MAX(MAX($L$251*(1-$C$15),0)-(IF($C$17&lt;=0,0,IF($C$16=0,MAX($L$251*(1-$C$15),0)/$C$17,-PMT($C$16/12,$C$17*12,MAX($L$251*(1-$C$15),0))*12))/12)*MIN(MAX((A1343-$C$13+1)*12,0),$C$17*12),0),MAX(MAX($L$251*(1-$C$15),0)*(1+$C$16/12)^MIN(MAX((A1343-$C$13+1)*12,0),$C$17*12)-(IF($C$17&lt;=0,0,IF($C$16=0,MAX($L$251*(1-$C$15),0)/$C$17,-PMT($C$16/12,$C$17*12,MAX($L$251*(1-$C$15),0))*12))/12)*(((1+$C$16/12)^MIN(MAX((A1343-$C$13+1)*12,0),$C$17*12)-1)/($C$16/12)),0)))</f>
        <v/>
      </c>
      <c r="Z1343" s="138">
        <f>MAX(X1343-Y1343,0)</f>
        <v/>
      </c>
      <c r="AA1343" s="139">
        <f>U1343+Z1343</f>
        <v/>
      </c>
      <c r="AB1343" s="5" t="n"/>
      <c r="AC1343" s="5" t="n"/>
      <c r="AD1343" s="5" t="n"/>
      <c r="AE1343" s="5" t="n"/>
      <c r="AF1343" s="5" t="n"/>
      <c r="AG1343" s="5" t="n"/>
    </row>
    <row r="1344" outlineLevel="1" s="326">
      <c r="A1344" s="140" t="n">
        <v>32</v>
      </c>
      <c r="B1344" s="40">
        <f>B111</f>
        <v/>
      </c>
      <c r="C1344" s="141">
        <f>D111</f>
        <v/>
      </c>
      <c r="D1344" s="141">
        <f>I111</f>
        <v/>
      </c>
      <c r="E1344" s="141">
        <f>J111</f>
        <v/>
      </c>
      <c r="F1344" s="141">
        <f>K111</f>
        <v/>
      </c>
      <c r="G1344" s="138">
        <f>IF(AND($L$251&gt;0,A1344=$C$13),$L$251*($C$15+$C$18),0)+IF(AND($L$251&gt;0,A1344=$C$13),$C$24,0)</f>
        <v/>
      </c>
      <c r="H1344" s="138">
        <f>IF(OR($L$251&lt;=0,A1344&lt;$C$13),0,IF(AND($L$251&gt;0,$C$17&gt;0,A1344&gt;=$C$13,A1344&lt;($C$13+$C$17)),IF($C$17&lt;=0,0,IF($C$16=0,MAX($L$251*(1-$C$15),0)/$C$17,-PMT($C$16/12,$C$17*12,MAX($L$251*(1-$C$15),0))*12)),0)+X1344*($C$19+$C$20+$C$21)+$C$22+$C$23)</f>
        <v/>
      </c>
      <c r="I1344" s="138">
        <f>IF(B1344="Working",MIN(MAX(D1344-E1344-F1344-G1344-H1344,0),'Tax Assumptions'!$B$20),0)</f>
        <v/>
      </c>
      <c r="J1344" s="138">
        <f>IF(B1344="Working",D1344-E1344-F1344-I1344-G1344-H1344,-L1344)</f>
        <v/>
      </c>
      <c r="K1344" s="141">
        <f>IF(B1344="Retired",$N$251+G1344+H1344,0)</f>
        <v/>
      </c>
      <c r="L1344" s="141">
        <f>M1344+N1344+O1344+P1344</f>
        <v/>
      </c>
      <c r="M1344" s="141">
        <f>IF(B1344="Retired",MIN(((Q1343)*(1+$C$10)+IF(B1344="Working",J1344,0)),K1344),0)</f>
        <v/>
      </c>
      <c r="N1344" s="141">
        <f>IF(B1344="Retired",MIN(MAX(K1344-M1344,0),((R1343)*(1+$C$10)+IF(B1344="Working",E111,0))),0)</f>
        <v/>
      </c>
      <c r="O1344" s="141">
        <f>IF(B1344="Retired",MIN(MAX(K1344-M1344-N1344,0),((S1343)*(1+$C$10)+IF(B1344="Working",I1344,0))),0)</f>
        <v/>
      </c>
      <c r="P1344" s="141">
        <f>IF(B1344="Retired",MIN(MAX(K1344-M1344-N1344-O1344,0),((T1343)*(1+$C$10)+IF(B1344="Working",F111,0))),0)</f>
        <v/>
      </c>
      <c r="Q1344" s="138">
        <f>MAX(((Q1343)*(1+$C$10)+IF(B1344="Working",J1344,0))-M1344,0)</f>
        <v/>
      </c>
      <c r="R1344" s="138">
        <f>MAX(((R1343)*(1+$C$10)+IF(B1344="Working",E111,0))-N1344,0)</f>
        <v/>
      </c>
      <c r="S1344" s="138">
        <f>MAX(((S1343)*(1+$C$10)+IF(B1344="Working",I1344,0))-O1344,0)</f>
        <v/>
      </c>
      <c r="T1344" s="138">
        <f>MAX(((T1343)*(1+$C$10)+IF(B1344="Working",F111,0))-P1344,0)</f>
        <v/>
      </c>
      <c r="U1344" s="138">
        <f>Q1344+R1344+S1344+T1344</f>
        <v/>
      </c>
      <c r="V1344" s="138">
        <f>IF(B1344="Working",MAX(-(((Q1343)*(1+$C$10)+IF(B1344="Working",J1344,0))),0),MAX(K1344-L1344,0))</f>
        <v/>
      </c>
      <c r="W1344" s="138">
        <f>IF(OR(A1344&gt;=$C$13,B1344="Retired"),IF(V1344&gt;0,-V1344,U1344-'Model Inputs'!$B$18),"")</f>
        <v/>
      </c>
      <c r="X1344" s="138">
        <f>IF(AND($L$251&gt;0,A1344&gt;=$C$13),$L$251*(1+$C$25)^(A1344-$C$13),0)</f>
        <v/>
      </c>
      <c r="Y1344" s="138">
        <f>IF(OR($L$251&lt;=0,$C$17&lt;=0,A1344&lt;$C$13,MIN(MAX((A1344-$C$13+1)*12,0),$C$17*12)&gt;=$C$17*12),0,IF($C$16=0,MAX(MAX($L$251*(1-$C$15),0)-(IF($C$17&lt;=0,0,IF($C$16=0,MAX($L$251*(1-$C$15),0)/$C$17,-PMT($C$16/12,$C$17*12,MAX($L$251*(1-$C$15),0))*12))/12)*MIN(MAX((A1344-$C$13+1)*12,0),$C$17*12),0),MAX(MAX($L$251*(1-$C$15),0)*(1+$C$16/12)^MIN(MAX((A1344-$C$13+1)*12,0),$C$17*12)-(IF($C$17&lt;=0,0,IF($C$16=0,MAX($L$251*(1-$C$15),0)/$C$17,-PMT($C$16/12,$C$17*12,MAX($L$251*(1-$C$15),0))*12))/12)*(((1+$C$16/12)^MIN(MAX((A1344-$C$13+1)*12,0),$C$17*12)-1)/($C$16/12)),0)))</f>
        <v/>
      </c>
      <c r="Z1344" s="138">
        <f>MAX(X1344-Y1344,0)</f>
        <v/>
      </c>
      <c r="AA1344" s="142">
        <f>U1344+Z1344</f>
        <v/>
      </c>
      <c r="AB1344" s="5" t="n"/>
      <c r="AC1344" s="5" t="n"/>
      <c r="AD1344" s="5" t="n"/>
      <c r="AE1344" s="5" t="n"/>
      <c r="AF1344" s="5" t="n"/>
      <c r="AG1344" s="5" t="n"/>
    </row>
    <row r="1345" outlineLevel="1" s="326">
      <c r="A1345" s="136" t="n">
        <v>33</v>
      </c>
      <c r="B1345" s="72">
        <f>B112</f>
        <v/>
      </c>
      <c r="C1345" s="137">
        <f>D112</f>
        <v/>
      </c>
      <c r="D1345" s="137">
        <f>I112</f>
        <v/>
      </c>
      <c r="E1345" s="137">
        <f>J112</f>
        <v/>
      </c>
      <c r="F1345" s="137">
        <f>K112</f>
        <v/>
      </c>
      <c r="G1345" s="138">
        <f>IF(AND($L$251&gt;0,A1345=$C$13),$L$251*($C$15+$C$18),0)+IF(AND($L$251&gt;0,A1345=$C$13),$C$24,0)</f>
        <v/>
      </c>
      <c r="H1345" s="138">
        <f>IF(OR($L$251&lt;=0,A1345&lt;$C$13),0,IF(AND($L$251&gt;0,$C$17&gt;0,A1345&gt;=$C$13,A1345&lt;($C$13+$C$17)),IF($C$17&lt;=0,0,IF($C$16=0,MAX($L$251*(1-$C$15),0)/$C$17,-PMT($C$16/12,$C$17*12,MAX($L$251*(1-$C$15),0))*12)),0)+X1345*($C$19+$C$20+$C$21)+$C$22+$C$23)</f>
        <v/>
      </c>
      <c r="I1345" s="138">
        <f>IF(B1345="Working",MIN(MAX(D1345-E1345-F1345-G1345-H1345,0),'Tax Assumptions'!$B$20),0)</f>
        <v/>
      </c>
      <c r="J1345" s="138">
        <f>IF(B1345="Working",D1345-E1345-F1345-I1345-G1345-H1345,-L1345)</f>
        <v/>
      </c>
      <c r="K1345" s="137">
        <f>IF(B1345="Retired",$N$251+G1345+H1345,0)</f>
        <v/>
      </c>
      <c r="L1345" s="137">
        <f>M1345+N1345+O1345+P1345</f>
        <v/>
      </c>
      <c r="M1345" s="137">
        <f>IF(B1345="Retired",MIN(((Q1344)*(1+$C$10)+IF(B1345="Working",J1345,0)),K1345),0)</f>
        <v/>
      </c>
      <c r="N1345" s="137">
        <f>IF(B1345="Retired",MIN(MAX(K1345-M1345,0),((R1344)*(1+$C$10)+IF(B1345="Working",E112,0))),0)</f>
        <v/>
      </c>
      <c r="O1345" s="137">
        <f>IF(B1345="Retired",MIN(MAX(K1345-M1345-N1345,0),((S1344)*(1+$C$10)+IF(B1345="Working",I1345,0))),0)</f>
        <v/>
      </c>
      <c r="P1345" s="137">
        <f>IF(B1345="Retired",MIN(MAX(K1345-M1345-N1345-O1345,0),((T1344)*(1+$C$10)+IF(B1345="Working",F112,0))),0)</f>
        <v/>
      </c>
      <c r="Q1345" s="138">
        <f>MAX(((Q1344)*(1+$C$10)+IF(B1345="Working",J1345,0))-M1345,0)</f>
        <v/>
      </c>
      <c r="R1345" s="138">
        <f>MAX(((R1344)*(1+$C$10)+IF(B1345="Working",E112,0))-N1345,0)</f>
        <v/>
      </c>
      <c r="S1345" s="138">
        <f>MAX(((S1344)*(1+$C$10)+IF(B1345="Working",I1345,0))-O1345,0)</f>
        <v/>
      </c>
      <c r="T1345" s="138">
        <f>MAX(((T1344)*(1+$C$10)+IF(B1345="Working",F112,0))-P1345,0)</f>
        <v/>
      </c>
      <c r="U1345" s="138">
        <f>Q1345+R1345+S1345+T1345</f>
        <v/>
      </c>
      <c r="V1345" s="138">
        <f>IF(B1345="Working",MAX(-(((Q1344)*(1+$C$10)+IF(B1345="Working",J1345,0))),0),MAX(K1345-L1345,0))</f>
        <v/>
      </c>
      <c r="W1345" s="138">
        <f>IF(OR(A1345&gt;=$C$13,B1345="Retired"),IF(V1345&gt;0,-V1345,U1345-'Model Inputs'!$B$18),"")</f>
        <v/>
      </c>
      <c r="X1345" s="138">
        <f>IF(AND($L$251&gt;0,A1345&gt;=$C$13),$L$251*(1+$C$25)^(A1345-$C$13),0)</f>
        <v/>
      </c>
      <c r="Y1345" s="138">
        <f>IF(OR($L$251&lt;=0,$C$17&lt;=0,A1345&lt;$C$13,MIN(MAX((A1345-$C$13+1)*12,0),$C$17*12)&gt;=$C$17*12),0,IF($C$16=0,MAX(MAX($L$251*(1-$C$15),0)-(IF($C$17&lt;=0,0,IF($C$16=0,MAX($L$251*(1-$C$15),0)/$C$17,-PMT($C$16/12,$C$17*12,MAX($L$251*(1-$C$15),0))*12))/12)*MIN(MAX((A1345-$C$13+1)*12,0),$C$17*12),0),MAX(MAX($L$251*(1-$C$15),0)*(1+$C$16/12)^MIN(MAX((A1345-$C$13+1)*12,0),$C$17*12)-(IF($C$17&lt;=0,0,IF($C$16=0,MAX($L$251*(1-$C$15),0)/$C$17,-PMT($C$16/12,$C$17*12,MAX($L$251*(1-$C$15),0))*12))/12)*(((1+$C$16/12)^MIN(MAX((A1345-$C$13+1)*12,0),$C$17*12)-1)/($C$16/12)),0)))</f>
        <v/>
      </c>
      <c r="Z1345" s="138">
        <f>MAX(X1345-Y1345,0)</f>
        <v/>
      </c>
      <c r="AA1345" s="139">
        <f>U1345+Z1345</f>
        <v/>
      </c>
      <c r="AB1345" s="5" t="n"/>
      <c r="AC1345" s="5" t="n"/>
      <c r="AD1345" s="5" t="n"/>
      <c r="AE1345" s="5" t="n"/>
      <c r="AF1345" s="5" t="n"/>
      <c r="AG1345" s="5" t="n"/>
    </row>
    <row r="1346" outlineLevel="1" s="326">
      <c r="A1346" s="140" t="n">
        <v>34</v>
      </c>
      <c r="B1346" s="40">
        <f>B113</f>
        <v/>
      </c>
      <c r="C1346" s="141">
        <f>D113</f>
        <v/>
      </c>
      <c r="D1346" s="141">
        <f>I113</f>
        <v/>
      </c>
      <c r="E1346" s="141">
        <f>J113</f>
        <v/>
      </c>
      <c r="F1346" s="141">
        <f>K113</f>
        <v/>
      </c>
      <c r="G1346" s="138">
        <f>IF(AND($L$251&gt;0,A1346=$C$13),$L$251*($C$15+$C$18),0)+IF(AND($L$251&gt;0,A1346=$C$13),$C$24,0)</f>
        <v/>
      </c>
      <c r="H1346" s="138">
        <f>IF(OR($L$251&lt;=0,A1346&lt;$C$13),0,IF(AND($L$251&gt;0,$C$17&gt;0,A1346&gt;=$C$13,A1346&lt;($C$13+$C$17)),IF($C$17&lt;=0,0,IF($C$16=0,MAX($L$251*(1-$C$15),0)/$C$17,-PMT($C$16/12,$C$17*12,MAX($L$251*(1-$C$15),0))*12)),0)+X1346*($C$19+$C$20+$C$21)+$C$22+$C$23)</f>
        <v/>
      </c>
      <c r="I1346" s="138">
        <f>IF(B1346="Working",MIN(MAX(D1346-E1346-F1346-G1346-H1346,0),'Tax Assumptions'!$B$20),0)</f>
        <v/>
      </c>
      <c r="J1346" s="138">
        <f>IF(B1346="Working",D1346-E1346-F1346-I1346-G1346-H1346,-L1346)</f>
        <v/>
      </c>
      <c r="K1346" s="141">
        <f>IF(B1346="Retired",$N$251+G1346+H1346,0)</f>
        <v/>
      </c>
      <c r="L1346" s="141">
        <f>M1346+N1346+O1346+P1346</f>
        <v/>
      </c>
      <c r="M1346" s="141">
        <f>IF(B1346="Retired",MIN(((Q1345)*(1+$C$10)+IF(B1346="Working",J1346,0)),K1346),0)</f>
        <v/>
      </c>
      <c r="N1346" s="141">
        <f>IF(B1346="Retired",MIN(MAX(K1346-M1346,0),((R1345)*(1+$C$10)+IF(B1346="Working",E113,0))),0)</f>
        <v/>
      </c>
      <c r="O1346" s="141">
        <f>IF(B1346="Retired",MIN(MAX(K1346-M1346-N1346,0),((S1345)*(1+$C$10)+IF(B1346="Working",I1346,0))),0)</f>
        <v/>
      </c>
      <c r="P1346" s="141">
        <f>IF(B1346="Retired",MIN(MAX(K1346-M1346-N1346-O1346,0),((T1345)*(1+$C$10)+IF(B1346="Working",F113,0))),0)</f>
        <v/>
      </c>
      <c r="Q1346" s="138">
        <f>MAX(((Q1345)*(1+$C$10)+IF(B1346="Working",J1346,0))-M1346,0)</f>
        <v/>
      </c>
      <c r="R1346" s="138">
        <f>MAX(((R1345)*(1+$C$10)+IF(B1346="Working",E113,0))-N1346,0)</f>
        <v/>
      </c>
      <c r="S1346" s="138">
        <f>MAX(((S1345)*(1+$C$10)+IF(B1346="Working",I1346,0))-O1346,0)</f>
        <v/>
      </c>
      <c r="T1346" s="138">
        <f>MAX(((T1345)*(1+$C$10)+IF(B1346="Working",F113,0))-P1346,0)</f>
        <v/>
      </c>
      <c r="U1346" s="138">
        <f>Q1346+R1346+S1346+T1346</f>
        <v/>
      </c>
      <c r="V1346" s="138">
        <f>IF(B1346="Working",MAX(-(((Q1345)*(1+$C$10)+IF(B1346="Working",J1346,0))),0),MAX(K1346-L1346,0))</f>
        <v/>
      </c>
      <c r="W1346" s="138">
        <f>IF(OR(A1346&gt;=$C$13,B1346="Retired"),IF(V1346&gt;0,-V1346,U1346-'Model Inputs'!$B$18),"")</f>
        <v/>
      </c>
      <c r="X1346" s="138">
        <f>IF(AND($L$251&gt;0,A1346&gt;=$C$13),$L$251*(1+$C$25)^(A1346-$C$13),0)</f>
        <v/>
      </c>
      <c r="Y1346" s="138">
        <f>IF(OR($L$251&lt;=0,$C$17&lt;=0,A1346&lt;$C$13,MIN(MAX((A1346-$C$13+1)*12,0),$C$17*12)&gt;=$C$17*12),0,IF($C$16=0,MAX(MAX($L$251*(1-$C$15),0)-(IF($C$17&lt;=0,0,IF($C$16=0,MAX($L$251*(1-$C$15),0)/$C$17,-PMT($C$16/12,$C$17*12,MAX($L$251*(1-$C$15),0))*12))/12)*MIN(MAX((A1346-$C$13+1)*12,0),$C$17*12),0),MAX(MAX($L$251*(1-$C$15),0)*(1+$C$16/12)^MIN(MAX((A1346-$C$13+1)*12,0),$C$17*12)-(IF($C$17&lt;=0,0,IF($C$16=0,MAX($L$251*(1-$C$15),0)/$C$17,-PMT($C$16/12,$C$17*12,MAX($L$251*(1-$C$15),0))*12))/12)*(((1+$C$16/12)^MIN(MAX((A1346-$C$13+1)*12,0),$C$17*12)-1)/($C$16/12)),0)))</f>
        <v/>
      </c>
      <c r="Z1346" s="138">
        <f>MAX(X1346-Y1346,0)</f>
        <v/>
      </c>
      <c r="AA1346" s="142">
        <f>U1346+Z1346</f>
        <v/>
      </c>
      <c r="AB1346" s="5" t="n"/>
      <c r="AC1346" s="5" t="n"/>
      <c r="AD1346" s="5" t="n"/>
      <c r="AE1346" s="5" t="n"/>
      <c r="AF1346" s="5" t="n"/>
      <c r="AG1346" s="5" t="n"/>
    </row>
    <row r="1347" outlineLevel="1" s="326">
      <c r="A1347" s="136" t="n">
        <v>35</v>
      </c>
      <c r="B1347" s="72">
        <f>B114</f>
        <v/>
      </c>
      <c r="C1347" s="137">
        <f>D114</f>
        <v/>
      </c>
      <c r="D1347" s="137">
        <f>I114</f>
        <v/>
      </c>
      <c r="E1347" s="137">
        <f>J114</f>
        <v/>
      </c>
      <c r="F1347" s="137">
        <f>K114</f>
        <v/>
      </c>
      <c r="G1347" s="138">
        <f>IF(AND($L$251&gt;0,A1347=$C$13),$L$251*($C$15+$C$18),0)+IF(AND($L$251&gt;0,A1347=$C$13),$C$24,0)</f>
        <v/>
      </c>
      <c r="H1347" s="138">
        <f>IF(OR($L$251&lt;=0,A1347&lt;$C$13),0,IF(AND($L$251&gt;0,$C$17&gt;0,A1347&gt;=$C$13,A1347&lt;($C$13+$C$17)),IF($C$17&lt;=0,0,IF($C$16=0,MAX($L$251*(1-$C$15),0)/$C$17,-PMT($C$16/12,$C$17*12,MAX($L$251*(1-$C$15),0))*12)),0)+X1347*($C$19+$C$20+$C$21)+$C$22+$C$23)</f>
        <v/>
      </c>
      <c r="I1347" s="138">
        <f>IF(B1347="Working",MIN(MAX(D1347-E1347-F1347-G1347-H1347,0),'Tax Assumptions'!$B$20),0)</f>
        <v/>
      </c>
      <c r="J1347" s="138">
        <f>IF(B1347="Working",D1347-E1347-F1347-I1347-G1347-H1347,-L1347)</f>
        <v/>
      </c>
      <c r="K1347" s="137">
        <f>IF(B1347="Retired",$N$251+G1347+H1347,0)</f>
        <v/>
      </c>
      <c r="L1347" s="137">
        <f>M1347+N1347+O1347+P1347</f>
        <v/>
      </c>
      <c r="M1347" s="137">
        <f>IF(B1347="Retired",MIN(((Q1346)*(1+$C$10)+IF(B1347="Working",J1347,0)),K1347),0)</f>
        <v/>
      </c>
      <c r="N1347" s="137">
        <f>IF(B1347="Retired",MIN(MAX(K1347-M1347,0),((R1346)*(1+$C$10)+IF(B1347="Working",E114,0))),0)</f>
        <v/>
      </c>
      <c r="O1347" s="137">
        <f>IF(B1347="Retired",MIN(MAX(K1347-M1347-N1347,0),((S1346)*(1+$C$10)+IF(B1347="Working",I1347,0))),0)</f>
        <v/>
      </c>
      <c r="P1347" s="137">
        <f>IF(B1347="Retired",MIN(MAX(K1347-M1347-N1347-O1347,0),((T1346)*(1+$C$10)+IF(B1347="Working",F114,0))),0)</f>
        <v/>
      </c>
      <c r="Q1347" s="138">
        <f>MAX(((Q1346)*(1+$C$10)+IF(B1347="Working",J1347,0))-M1347,0)</f>
        <v/>
      </c>
      <c r="R1347" s="138">
        <f>MAX(((R1346)*(1+$C$10)+IF(B1347="Working",E114,0))-N1347,0)</f>
        <v/>
      </c>
      <c r="S1347" s="138">
        <f>MAX(((S1346)*(1+$C$10)+IF(B1347="Working",I1347,0))-O1347,0)</f>
        <v/>
      </c>
      <c r="T1347" s="138">
        <f>MAX(((T1346)*(1+$C$10)+IF(B1347="Working",F114,0))-P1347,0)</f>
        <v/>
      </c>
      <c r="U1347" s="138">
        <f>Q1347+R1347+S1347+T1347</f>
        <v/>
      </c>
      <c r="V1347" s="138">
        <f>IF(B1347="Working",MAX(-(((Q1346)*(1+$C$10)+IF(B1347="Working",J1347,0))),0),MAX(K1347-L1347,0))</f>
        <v/>
      </c>
      <c r="W1347" s="138">
        <f>IF(OR(A1347&gt;=$C$13,B1347="Retired"),IF(V1347&gt;0,-V1347,U1347-'Model Inputs'!$B$18),"")</f>
        <v/>
      </c>
      <c r="X1347" s="138">
        <f>IF(AND($L$251&gt;0,A1347&gt;=$C$13),$L$251*(1+$C$25)^(A1347-$C$13),0)</f>
        <v/>
      </c>
      <c r="Y1347" s="138">
        <f>IF(OR($L$251&lt;=0,$C$17&lt;=0,A1347&lt;$C$13,MIN(MAX((A1347-$C$13+1)*12,0),$C$17*12)&gt;=$C$17*12),0,IF($C$16=0,MAX(MAX($L$251*(1-$C$15),0)-(IF($C$17&lt;=0,0,IF($C$16=0,MAX($L$251*(1-$C$15),0)/$C$17,-PMT($C$16/12,$C$17*12,MAX($L$251*(1-$C$15),0))*12))/12)*MIN(MAX((A1347-$C$13+1)*12,0),$C$17*12),0),MAX(MAX($L$251*(1-$C$15),0)*(1+$C$16/12)^MIN(MAX((A1347-$C$13+1)*12,0),$C$17*12)-(IF($C$17&lt;=0,0,IF($C$16=0,MAX($L$251*(1-$C$15),0)/$C$17,-PMT($C$16/12,$C$17*12,MAX($L$251*(1-$C$15),0))*12))/12)*(((1+$C$16/12)^MIN(MAX((A1347-$C$13+1)*12,0),$C$17*12)-1)/($C$16/12)),0)))</f>
        <v/>
      </c>
      <c r="Z1347" s="138">
        <f>MAX(X1347-Y1347,0)</f>
        <v/>
      </c>
      <c r="AA1347" s="139">
        <f>U1347+Z1347</f>
        <v/>
      </c>
      <c r="AB1347" s="5" t="n"/>
      <c r="AC1347" s="5" t="n"/>
      <c r="AD1347" s="5" t="n"/>
      <c r="AE1347" s="5" t="n"/>
      <c r="AF1347" s="5" t="n"/>
      <c r="AG1347" s="5" t="n"/>
    </row>
    <row r="1348" outlineLevel="1" s="326">
      <c r="A1348" s="140" t="n">
        <v>36</v>
      </c>
      <c r="B1348" s="40">
        <f>B115</f>
        <v/>
      </c>
      <c r="C1348" s="141">
        <f>D115</f>
        <v/>
      </c>
      <c r="D1348" s="141">
        <f>I115</f>
        <v/>
      </c>
      <c r="E1348" s="141">
        <f>J115</f>
        <v/>
      </c>
      <c r="F1348" s="141">
        <f>K115</f>
        <v/>
      </c>
      <c r="G1348" s="138">
        <f>IF(AND($L$251&gt;0,A1348=$C$13),$L$251*($C$15+$C$18),0)+IF(AND($L$251&gt;0,A1348=$C$13),$C$24,0)</f>
        <v/>
      </c>
      <c r="H1348" s="138">
        <f>IF(OR($L$251&lt;=0,A1348&lt;$C$13),0,IF(AND($L$251&gt;0,$C$17&gt;0,A1348&gt;=$C$13,A1348&lt;($C$13+$C$17)),IF($C$17&lt;=0,0,IF($C$16=0,MAX($L$251*(1-$C$15),0)/$C$17,-PMT($C$16/12,$C$17*12,MAX($L$251*(1-$C$15),0))*12)),0)+X1348*($C$19+$C$20+$C$21)+$C$22+$C$23)</f>
        <v/>
      </c>
      <c r="I1348" s="138">
        <f>IF(B1348="Working",MIN(MAX(D1348-E1348-F1348-G1348-H1348,0),'Tax Assumptions'!$B$20),0)</f>
        <v/>
      </c>
      <c r="J1348" s="138">
        <f>IF(B1348="Working",D1348-E1348-F1348-I1348-G1348-H1348,-L1348)</f>
        <v/>
      </c>
      <c r="K1348" s="141">
        <f>IF(B1348="Retired",$N$251+G1348+H1348,0)</f>
        <v/>
      </c>
      <c r="L1348" s="141">
        <f>M1348+N1348+O1348+P1348</f>
        <v/>
      </c>
      <c r="M1348" s="141">
        <f>IF(B1348="Retired",MIN(((Q1347)*(1+$C$10)+IF(B1348="Working",J1348,0)),K1348),0)</f>
        <v/>
      </c>
      <c r="N1348" s="141">
        <f>IF(B1348="Retired",MIN(MAX(K1348-M1348,0),((R1347)*(1+$C$10)+IF(B1348="Working",E115,0))),0)</f>
        <v/>
      </c>
      <c r="O1348" s="141">
        <f>IF(B1348="Retired",MIN(MAX(K1348-M1348-N1348,0),((S1347)*(1+$C$10)+IF(B1348="Working",I1348,0))),0)</f>
        <v/>
      </c>
      <c r="P1348" s="141">
        <f>IF(B1348="Retired",MIN(MAX(K1348-M1348-N1348-O1348,0),((T1347)*(1+$C$10)+IF(B1348="Working",F115,0))),0)</f>
        <v/>
      </c>
      <c r="Q1348" s="138">
        <f>MAX(((Q1347)*(1+$C$10)+IF(B1348="Working",J1348,0))-M1348,0)</f>
        <v/>
      </c>
      <c r="R1348" s="138">
        <f>MAX(((R1347)*(1+$C$10)+IF(B1348="Working",E115,0))-N1348,0)</f>
        <v/>
      </c>
      <c r="S1348" s="138">
        <f>MAX(((S1347)*(1+$C$10)+IF(B1348="Working",I1348,0))-O1348,0)</f>
        <v/>
      </c>
      <c r="T1348" s="138">
        <f>MAX(((T1347)*(1+$C$10)+IF(B1348="Working",F115,0))-P1348,0)</f>
        <v/>
      </c>
      <c r="U1348" s="138">
        <f>Q1348+R1348+S1348+T1348</f>
        <v/>
      </c>
      <c r="V1348" s="138">
        <f>IF(B1348="Working",MAX(-(((Q1347)*(1+$C$10)+IF(B1348="Working",J1348,0))),0),MAX(K1348-L1348,0))</f>
        <v/>
      </c>
      <c r="W1348" s="138">
        <f>IF(OR(A1348&gt;=$C$13,B1348="Retired"),IF(V1348&gt;0,-V1348,U1348-'Model Inputs'!$B$18),"")</f>
        <v/>
      </c>
      <c r="X1348" s="138">
        <f>IF(AND($L$251&gt;0,A1348&gt;=$C$13),$L$251*(1+$C$25)^(A1348-$C$13),0)</f>
        <v/>
      </c>
      <c r="Y1348" s="138">
        <f>IF(OR($L$251&lt;=0,$C$17&lt;=0,A1348&lt;$C$13,MIN(MAX((A1348-$C$13+1)*12,0),$C$17*12)&gt;=$C$17*12),0,IF($C$16=0,MAX(MAX($L$251*(1-$C$15),0)-(IF($C$17&lt;=0,0,IF($C$16=0,MAX($L$251*(1-$C$15),0)/$C$17,-PMT($C$16/12,$C$17*12,MAX($L$251*(1-$C$15),0))*12))/12)*MIN(MAX((A1348-$C$13+1)*12,0),$C$17*12),0),MAX(MAX($L$251*(1-$C$15),0)*(1+$C$16/12)^MIN(MAX((A1348-$C$13+1)*12,0),$C$17*12)-(IF($C$17&lt;=0,0,IF($C$16=0,MAX($L$251*(1-$C$15),0)/$C$17,-PMT($C$16/12,$C$17*12,MAX($L$251*(1-$C$15),0))*12))/12)*(((1+$C$16/12)^MIN(MAX((A1348-$C$13+1)*12,0),$C$17*12)-1)/($C$16/12)),0)))</f>
        <v/>
      </c>
      <c r="Z1348" s="138">
        <f>MAX(X1348-Y1348,0)</f>
        <v/>
      </c>
      <c r="AA1348" s="142">
        <f>U1348+Z1348</f>
        <v/>
      </c>
      <c r="AB1348" s="5" t="n"/>
      <c r="AC1348" s="5" t="n"/>
      <c r="AD1348" s="5" t="n"/>
      <c r="AE1348" s="5" t="n"/>
      <c r="AF1348" s="5" t="n"/>
      <c r="AG1348" s="5" t="n"/>
    </row>
    <row r="1349" outlineLevel="1" s="326">
      <c r="A1349" s="136" t="n">
        <v>37</v>
      </c>
      <c r="B1349" s="72">
        <f>B116</f>
        <v/>
      </c>
      <c r="C1349" s="137">
        <f>D116</f>
        <v/>
      </c>
      <c r="D1349" s="137">
        <f>I116</f>
        <v/>
      </c>
      <c r="E1349" s="137">
        <f>J116</f>
        <v/>
      </c>
      <c r="F1349" s="137">
        <f>K116</f>
        <v/>
      </c>
      <c r="G1349" s="138">
        <f>IF(AND($L$251&gt;0,A1349=$C$13),$L$251*($C$15+$C$18),0)+IF(AND($L$251&gt;0,A1349=$C$13),$C$24,0)</f>
        <v/>
      </c>
      <c r="H1349" s="138">
        <f>IF(OR($L$251&lt;=0,A1349&lt;$C$13),0,IF(AND($L$251&gt;0,$C$17&gt;0,A1349&gt;=$C$13,A1349&lt;($C$13+$C$17)),IF($C$17&lt;=0,0,IF($C$16=0,MAX($L$251*(1-$C$15),0)/$C$17,-PMT($C$16/12,$C$17*12,MAX($L$251*(1-$C$15),0))*12)),0)+X1349*($C$19+$C$20+$C$21)+$C$22+$C$23)</f>
        <v/>
      </c>
      <c r="I1349" s="138">
        <f>IF(B1349="Working",MIN(MAX(D1349-E1349-F1349-G1349-H1349,0),'Tax Assumptions'!$B$20),0)</f>
        <v/>
      </c>
      <c r="J1349" s="138">
        <f>IF(B1349="Working",D1349-E1349-F1349-I1349-G1349-H1349,-L1349)</f>
        <v/>
      </c>
      <c r="K1349" s="137">
        <f>IF(B1349="Retired",$N$251+G1349+H1349,0)</f>
        <v/>
      </c>
      <c r="L1349" s="137">
        <f>M1349+N1349+O1349+P1349</f>
        <v/>
      </c>
      <c r="M1349" s="137">
        <f>IF(B1349="Retired",MIN(((Q1348)*(1+$C$10)+IF(B1349="Working",J1349,0)),K1349),0)</f>
        <v/>
      </c>
      <c r="N1349" s="137">
        <f>IF(B1349="Retired",MIN(MAX(K1349-M1349,0),((R1348)*(1+$C$10)+IF(B1349="Working",E116,0))),0)</f>
        <v/>
      </c>
      <c r="O1349" s="137">
        <f>IF(B1349="Retired",MIN(MAX(K1349-M1349-N1349,0),((S1348)*(1+$C$10)+IF(B1349="Working",I1349,0))),0)</f>
        <v/>
      </c>
      <c r="P1349" s="137">
        <f>IF(B1349="Retired",MIN(MAX(K1349-M1349-N1349-O1349,0),((T1348)*(1+$C$10)+IF(B1349="Working",F116,0))),0)</f>
        <v/>
      </c>
      <c r="Q1349" s="138">
        <f>MAX(((Q1348)*(1+$C$10)+IF(B1349="Working",J1349,0))-M1349,0)</f>
        <v/>
      </c>
      <c r="R1349" s="138">
        <f>MAX(((R1348)*(1+$C$10)+IF(B1349="Working",E116,0))-N1349,0)</f>
        <v/>
      </c>
      <c r="S1349" s="138">
        <f>MAX(((S1348)*(1+$C$10)+IF(B1349="Working",I1349,0))-O1349,0)</f>
        <v/>
      </c>
      <c r="T1349" s="138">
        <f>MAX(((T1348)*(1+$C$10)+IF(B1349="Working",F116,0))-P1349,0)</f>
        <v/>
      </c>
      <c r="U1349" s="138">
        <f>Q1349+R1349+S1349+T1349</f>
        <v/>
      </c>
      <c r="V1349" s="138">
        <f>IF(B1349="Working",MAX(-(((Q1348)*(1+$C$10)+IF(B1349="Working",J1349,0))),0),MAX(K1349-L1349,0))</f>
        <v/>
      </c>
      <c r="W1349" s="138">
        <f>IF(OR(A1349&gt;=$C$13,B1349="Retired"),IF(V1349&gt;0,-V1349,U1349-'Model Inputs'!$B$18),"")</f>
        <v/>
      </c>
      <c r="X1349" s="138">
        <f>IF(AND($L$251&gt;0,A1349&gt;=$C$13),$L$251*(1+$C$25)^(A1349-$C$13),0)</f>
        <v/>
      </c>
      <c r="Y1349" s="138">
        <f>IF(OR($L$251&lt;=0,$C$17&lt;=0,A1349&lt;$C$13,MIN(MAX((A1349-$C$13+1)*12,0),$C$17*12)&gt;=$C$17*12),0,IF($C$16=0,MAX(MAX($L$251*(1-$C$15),0)-(IF($C$17&lt;=0,0,IF($C$16=0,MAX($L$251*(1-$C$15),0)/$C$17,-PMT($C$16/12,$C$17*12,MAX($L$251*(1-$C$15),0))*12))/12)*MIN(MAX((A1349-$C$13+1)*12,0),$C$17*12),0),MAX(MAX($L$251*(1-$C$15),0)*(1+$C$16/12)^MIN(MAX((A1349-$C$13+1)*12,0),$C$17*12)-(IF($C$17&lt;=0,0,IF($C$16=0,MAX($L$251*(1-$C$15),0)/$C$17,-PMT($C$16/12,$C$17*12,MAX($L$251*(1-$C$15),0))*12))/12)*(((1+$C$16/12)^MIN(MAX((A1349-$C$13+1)*12,0),$C$17*12)-1)/($C$16/12)),0)))</f>
        <v/>
      </c>
      <c r="Z1349" s="138">
        <f>MAX(X1349-Y1349,0)</f>
        <v/>
      </c>
      <c r="AA1349" s="139">
        <f>U1349+Z1349</f>
        <v/>
      </c>
      <c r="AB1349" s="5" t="n"/>
      <c r="AC1349" s="5" t="n"/>
      <c r="AD1349" s="5" t="n"/>
      <c r="AE1349" s="5" t="n"/>
      <c r="AF1349" s="5" t="n"/>
      <c r="AG1349" s="5" t="n"/>
    </row>
    <row r="1350" outlineLevel="1" s="326">
      <c r="A1350" s="140" t="n">
        <v>38</v>
      </c>
      <c r="B1350" s="40">
        <f>B117</f>
        <v/>
      </c>
      <c r="C1350" s="141">
        <f>D117</f>
        <v/>
      </c>
      <c r="D1350" s="141">
        <f>I117</f>
        <v/>
      </c>
      <c r="E1350" s="141">
        <f>J117</f>
        <v/>
      </c>
      <c r="F1350" s="141">
        <f>K117</f>
        <v/>
      </c>
      <c r="G1350" s="138">
        <f>IF(AND($L$251&gt;0,A1350=$C$13),$L$251*($C$15+$C$18),0)+IF(AND($L$251&gt;0,A1350=$C$13),$C$24,0)</f>
        <v/>
      </c>
      <c r="H1350" s="138">
        <f>IF(OR($L$251&lt;=0,A1350&lt;$C$13),0,IF(AND($L$251&gt;0,$C$17&gt;0,A1350&gt;=$C$13,A1350&lt;($C$13+$C$17)),IF($C$17&lt;=0,0,IF($C$16=0,MAX($L$251*(1-$C$15),0)/$C$17,-PMT($C$16/12,$C$17*12,MAX($L$251*(1-$C$15),0))*12)),0)+X1350*($C$19+$C$20+$C$21)+$C$22+$C$23)</f>
        <v/>
      </c>
      <c r="I1350" s="138">
        <f>IF(B1350="Working",MIN(MAX(D1350-E1350-F1350-G1350-H1350,0),'Tax Assumptions'!$B$20),0)</f>
        <v/>
      </c>
      <c r="J1350" s="138">
        <f>IF(B1350="Working",D1350-E1350-F1350-I1350-G1350-H1350,-L1350)</f>
        <v/>
      </c>
      <c r="K1350" s="141">
        <f>IF(B1350="Retired",$N$251+G1350+H1350,0)</f>
        <v/>
      </c>
      <c r="L1350" s="141">
        <f>M1350+N1350+O1350+P1350</f>
        <v/>
      </c>
      <c r="M1350" s="141">
        <f>IF(B1350="Retired",MIN(((Q1349)*(1+$C$10)+IF(B1350="Working",J1350,0)),K1350),0)</f>
        <v/>
      </c>
      <c r="N1350" s="141">
        <f>IF(B1350="Retired",MIN(MAX(K1350-M1350,0),((R1349)*(1+$C$10)+IF(B1350="Working",E117,0))),0)</f>
        <v/>
      </c>
      <c r="O1350" s="141">
        <f>IF(B1350="Retired",MIN(MAX(K1350-M1350-N1350,0),((S1349)*(1+$C$10)+IF(B1350="Working",I1350,0))),0)</f>
        <v/>
      </c>
      <c r="P1350" s="141">
        <f>IF(B1350="Retired",MIN(MAX(K1350-M1350-N1350-O1350,0),((T1349)*(1+$C$10)+IF(B1350="Working",F117,0))),0)</f>
        <v/>
      </c>
      <c r="Q1350" s="138">
        <f>MAX(((Q1349)*(1+$C$10)+IF(B1350="Working",J1350,0))-M1350,0)</f>
        <v/>
      </c>
      <c r="R1350" s="138">
        <f>MAX(((R1349)*(1+$C$10)+IF(B1350="Working",E117,0))-N1350,0)</f>
        <v/>
      </c>
      <c r="S1350" s="138">
        <f>MAX(((S1349)*(1+$C$10)+IF(B1350="Working",I1350,0))-O1350,0)</f>
        <v/>
      </c>
      <c r="T1350" s="138">
        <f>MAX(((T1349)*(1+$C$10)+IF(B1350="Working",F117,0))-P1350,0)</f>
        <v/>
      </c>
      <c r="U1350" s="138">
        <f>Q1350+R1350+S1350+T1350</f>
        <v/>
      </c>
      <c r="V1350" s="138">
        <f>IF(B1350="Working",MAX(-(((Q1349)*(1+$C$10)+IF(B1350="Working",J1350,0))),0),MAX(K1350-L1350,0))</f>
        <v/>
      </c>
      <c r="W1350" s="138">
        <f>IF(OR(A1350&gt;=$C$13,B1350="Retired"),IF(V1350&gt;0,-V1350,U1350-'Model Inputs'!$B$18),"")</f>
        <v/>
      </c>
      <c r="X1350" s="138">
        <f>IF(AND($L$251&gt;0,A1350&gt;=$C$13),$L$251*(1+$C$25)^(A1350-$C$13),0)</f>
        <v/>
      </c>
      <c r="Y1350" s="138">
        <f>IF(OR($L$251&lt;=0,$C$17&lt;=0,A1350&lt;$C$13,MIN(MAX((A1350-$C$13+1)*12,0),$C$17*12)&gt;=$C$17*12),0,IF($C$16=0,MAX(MAX($L$251*(1-$C$15),0)-(IF($C$17&lt;=0,0,IF($C$16=0,MAX($L$251*(1-$C$15),0)/$C$17,-PMT($C$16/12,$C$17*12,MAX($L$251*(1-$C$15),0))*12))/12)*MIN(MAX((A1350-$C$13+1)*12,0),$C$17*12),0),MAX(MAX($L$251*(1-$C$15),0)*(1+$C$16/12)^MIN(MAX((A1350-$C$13+1)*12,0),$C$17*12)-(IF($C$17&lt;=0,0,IF($C$16=0,MAX($L$251*(1-$C$15),0)/$C$17,-PMT($C$16/12,$C$17*12,MAX($L$251*(1-$C$15),0))*12))/12)*(((1+$C$16/12)^MIN(MAX((A1350-$C$13+1)*12,0),$C$17*12)-1)/($C$16/12)),0)))</f>
        <v/>
      </c>
      <c r="Z1350" s="138">
        <f>MAX(X1350-Y1350,0)</f>
        <v/>
      </c>
      <c r="AA1350" s="142">
        <f>U1350+Z1350</f>
        <v/>
      </c>
      <c r="AB1350" s="5" t="n"/>
      <c r="AC1350" s="5" t="n"/>
      <c r="AD1350" s="5" t="n"/>
      <c r="AE1350" s="5" t="n"/>
      <c r="AF1350" s="5" t="n"/>
      <c r="AG1350" s="5" t="n"/>
    </row>
    <row r="1351" outlineLevel="1" s="326">
      <c r="A1351" s="136" t="n">
        <v>39</v>
      </c>
      <c r="B1351" s="72">
        <f>B118</f>
        <v/>
      </c>
      <c r="C1351" s="137">
        <f>D118</f>
        <v/>
      </c>
      <c r="D1351" s="137">
        <f>I118</f>
        <v/>
      </c>
      <c r="E1351" s="137">
        <f>J118</f>
        <v/>
      </c>
      <c r="F1351" s="137">
        <f>K118</f>
        <v/>
      </c>
      <c r="G1351" s="138">
        <f>IF(AND($L$251&gt;0,A1351=$C$13),$L$251*($C$15+$C$18),0)+IF(AND($L$251&gt;0,A1351=$C$13),$C$24,0)</f>
        <v/>
      </c>
      <c r="H1351" s="138">
        <f>IF(OR($L$251&lt;=0,A1351&lt;$C$13),0,IF(AND($L$251&gt;0,$C$17&gt;0,A1351&gt;=$C$13,A1351&lt;($C$13+$C$17)),IF($C$17&lt;=0,0,IF($C$16=0,MAX($L$251*(1-$C$15),0)/$C$17,-PMT($C$16/12,$C$17*12,MAX($L$251*(1-$C$15),0))*12)),0)+X1351*($C$19+$C$20+$C$21)+$C$22+$C$23)</f>
        <v/>
      </c>
      <c r="I1351" s="138">
        <f>IF(B1351="Working",MIN(MAX(D1351-E1351-F1351-G1351-H1351,0),'Tax Assumptions'!$B$20),0)</f>
        <v/>
      </c>
      <c r="J1351" s="138">
        <f>IF(B1351="Working",D1351-E1351-F1351-I1351-G1351-H1351,-L1351)</f>
        <v/>
      </c>
      <c r="K1351" s="137">
        <f>IF(B1351="Retired",$N$251+G1351+H1351,0)</f>
        <v/>
      </c>
      <c r="L1351" s="137">
        <f>M1351+N1351+O1351+P1351</f>
        <v/>
      </c>
      <c r="M1351" s="137">
        <f>IF(B1351="Retired",MIN(((Q1350)*(1+$C$10)+IF(B1351="Working",J1351,0)),K1351),0)</f>
        <v/>
      </c>
      <c r="N1351" s="137">
        <f>IF(B1351="Retired",MIN(MAX(K1351-M1351,0),((R1350)*(1+$C$10)+IF(B1351="Working",E118,0))),0)</f>
        <v/>
      </c>
      <c r="O1351" s="137">
        <f>IF(B1351="Retired",MIN(MAX(K1351-M1351-N1351,0),((S1350)*(1+$C$10)+IF(B1351="Working",I1351,0))),0)</f>
        <v/>
      </c>
      <c r="P1351" s="137">
        <f>IF(B1351="Retired",MIN(MAX(K1351-M1351-N1351-O1351,0),((T1350)*(1+$C$10)+IF(B1351="Working",F118,0))),0)</f>
        <v/>
      </c>
      <c r="Q1351" s="138">
        <f>MAX(((Q1350)*(1+$C$10)+IF(B1351="Working",J1351,0))-M1351,0)</f>
        <v/>
      </c>
      <c r="R1351" s="138">
        <f>MAX(((R1350)*(1+$C$10)+IF(B1351="Working",E118,0))-N1351,0)</f>
        <v/>
      </c>
      <c r="S1351" s="138">
        <f>MAX(((S1350)*(1+$C$10)+IF(B1351="Working",I1351,0))-O1351,0)</f>
        <v/>
      </c>
      <c r="T1351" s="138">
        <f>MAX(((T1350)*(1+$C$10)+IF(B1351="Working",F118,0))-P1351,0)</f>
        <v/>
      </c>
      <c r="U1351" s="138">
        <f>Q1351+R1351+S1351+T1351</f>
        <v/>
      </c>
      <c r="V1351" s="138">
        <f>IF(B1351="Working",MAX(-(((Q1350)*(1+$C$10)+IF(B1351="Working",J1351,0))),0),MAX(K1351-L1351,0))</f>
        <v/>
      </c>
      <c r="W1351" s="138">
        <f>IF(OR(A1351&gt;=$C$13,B1351="Retired"),IF(V1351&gt;0,-V1351,U1351-'Model Inputs'!$B$18),"")</f>
        <v/>
      </c>
      <c r="X1351" s="138">
        <f>IF(AND($L$251&gt;0,A1351&gt;=$C$13),$L$251*(1+$C$25)^(A1351-$C$13),0)</f>
        <v/>
      </c>
      <c r="Y1351" s="138">
        <f>IF(OR($L$251&lt;=0,$C$17&lt;=0,A1351&lt;$C$13,MIN(MAX((A1351-$C$13+1)*12,0),$C$17*12)&gt;=$C$17*12),0,IF($C$16=0,MAX(MAX($L$251*(1-$C$15),0)-(IF($C$17&lt;=0,0,IF($C$16=0,MAX($L$251*(1-$C$15),0)/$C$17,-PMT($C$16/12,$C$17*12,MAX($L$251*(1-$C$15),0))*12))/12)*MIN(MAX((A1351-$C$13+1)*12,0),$C$17*12),0),MAX(MAX($L$251*(1-$C$15),0)*(1+$C$16/12)^MIN(MAX((A1351-$C$13+1)*12,0),$C$17*12)-(IF($C$17&lt;=0,0,IF($C$16=0,MAX($L$251*(1-$C$15),0)/$C$17,-PMT($C$16/12,$C$17*12,MAX($L$251*(1-$C$15),0))*12))/12)*(((1+$C$16/12)^MIN(MAX((A1351-$C$13+1)*12,0),$C$17*12)-1)/($C$16/12)),0)))</f>
        <v/>
      </c>
      <c r="Z1351" s="138">
        <f>MAX(X1351-Y1351,0)</f>
        <v/>
      </c>
      <c r="AA1351" s="139">
        <f>U1351+Z1351</f>
        <v/>
      </c>
      <c r="AB1351" s="5" t="n"/>
      <c r="AC1351" s="5" t="n"/>
      <c r="AD1351" s="5" t="n"/>
      <c r="AE1351" s="5" t="n"/>
      <c r="AF1351" s="5" t="n"/>
      <c r="AG1351" s="5" t="n"/>
    </row>
    <row r="1352" outlineLevel="1" s="326">
      <c r="A1352" s="140" t="n">
        <v>40</v>
      </c>
      <c r="B1352" s="40">
        <f>B119</f>
        <v/>
      </c>
      <c r="C1352" s="141">
        <f>D119</f>
        <v/>
      </c>
      <c r="D1352" s="141">
        <f>I119</f>
        <v/>
      </c>
      <c r="E1352" s="141">
        <f>J119</f>
        <v/>
      </c>
      <c r="F1352" s="141">
        <f>K119</f>
        <v/>
      </c>
      <c r="G1352" s="138">
        <f>IF(AND($L$251&gt;0,A1352=$C$13),$L$251*($C$15+$C$18),0)+IF(AND($L$251&gt;0,A1352=$C$13),$C$24,0)</f>
        <v/>
      </c>
      <c r="H1352" s="138">
        <f>IF(OR($L$251&lt;=0,A1352&lt;$C$13),0,IF(AND($L$251&gt;0,$C$17&gt;0,A1352&gt;=$C$13,A1352&lt;($C$13+$C$17)),IF($C$17&lt;=0,0,IF($C$16=0,MAX($L$251*(1-$C$15),0)/$C$17,-PMT($C$16/12,$C$17*12,MAX($L$251*(1-$C$15),0))*12)),0)+X1352*($C$19+$C$20+$C$21)+$C$22+$C$23)</f>
        <v/>
      </c>
      <c r="I1352" s="138">
        <f>IF(B1352="Working",MIN(MAX(D1352-E1352-F1352-G1352-H1352,0),'Tax Assumptions'!$B$20),0)</f>
        <v/>
      </c>
      <c r="J1352" s="138">
        <f>IF(B1352="Working",D1352-E1352-F1352-I1352-G1352-H1352,-L1352)</f>
        <v/>
      </c>
      <c r="K1352" s="141">
        <f>IF(B1352="Retired",$N$251+G1352+H1352,0)</f>
        <v/>
      </c>
      <c r="L1352" s="141">
        <f>M1352+N1352+O1352+P1352</f>
        <v/>
      </c>
      <c r="M1352" s="141">
        <f>IF(B1352="Retired",MIN(((Q1351)*(1+$C$10)+IF(B1352="Working",J1352,0)),K1352),0)</f>
        <v/>
      </c>
      <c r="N1352" s="141">
        <f>IF(B1352="Retired",MIN(MAX(K1352-M1352,0),((R1351)*(1+$C$10)+IF(B1352="Working",E119,0))),0)</f>
        <v/>
      </c>
      <c r="O1352" s="141">
        <f>IF(B1352="Retired",MIN(MAX(K1352-M1352-N1352,0),((S1351)*(1+$C$10)+IF(B1352="Working",I1352,0))),0)</f>
        <v/>
      </c>
      <c r="P1352" s="141">
        <f>IF(B1352="Retired",MIN(MAX(K1352-M1352-N1352-O1352,0),((T1351)*(1+$C$10)+IF(B1352="Working",F119,0))),0)</f>
        <v/>
      </c>
      <c r="Q1352" s="138">
        <f>MAX(((Q1351)*(1+$C$10)+IF(B1352="Working",J1352,0))-M1352,0)</f>
        <v/>
      </c>
      <c r="R1352" s="138">
        <f>MAX(((R1351)*(1+$C$10)+IF(B1352="Working",E119,0))-N1352,0)</f>
        <v/>
      </c>
      <c r="S1352" s="138">
        <f>MAX(((S1351)*(1+$C$10)+IF(B1352="Working",I1352,0))-O1352,0)</f>
        <v/>
      </c>
      <c r="T1352" s="138">
        <f>MAX(((T1351)*(1+$C$10)+IF(B1352="Working",F119,0))-P1352,0)</f>
        <v/>
      </c>
      <c r="U1352" s="138">
        <f>Q1352+R1352+S1352+T1352</f>
        <v/>
      </c>
      <c r="V1352" s="138">
        <f>IF(B1352="Working",MAX(-(((Q1351)*(1+$C$10)+IF(B1352="Working",J1352,0))),0),MAX(K1352-L1352,0))</f>
        <v/>
      </c>
      <c r="W1352" s="138">
        <f>IF(OR(A1352&gt;=$C$13,B1352="Retired"),IF(V1352&gt;0,-V1352,U1352-'Model Inputs'!$B$18),"")</f>
        <v/>
      </c>
      <c r="X1352" s="138">
        <f>IF(AND($L$251&gt;0,A1352&gt;=$C$13),$L$251*(1+$C$25)^(A1352-$C$13),0)</f>
        <v/>
      </c>
      <c r="Y1352" s="138">
        <f>IF(OR($L$251&lt;=0,$C$17&lt;=0,A1352&lt;$C$13,MIN(MAX((A1352-$C$13+1)*12,0),$C$17*12)&gt;=$C$17*12),0,IF($C$16=0,MAX(MAX($L$251*(1-$C$15),0)-(IF($C$17&lt;=0,0,IF($C$16=0,MAX($L$251*(1-$C$15),0)/$C$17,-PMT($C$16/12,$C$17*12,MAX($L$251*(1-$C$15),0))*12))/12)*MIN(MAX((A1352-$C$13+1)*12,0),$C$17*12),0),MAX(MAX($L$251*(1-$C$15),0)*(1+$C$16/12)^MIN(MAX((A1352-$C$13+1)*12,0),$C$17*12)-(IF($C$17&lt;=0,0,IF($C$16=0,MAX($L$251*(1-$C$15),0)/$C$17,-PMT($C$16/12,$C$17*12,MAX($L$251*(1-$C$15),0))*12))/12)*(((1+$C$16/12)^MIN(MAX((A1352-$C$13+1)*12,0),$C$17*12)-1)/($C$16/12)),0)))</f>
        <v/>
      </c>
      <c r="Z1352" s="138">
        <f>MAX(X1352-Y1352,0)</f>
        <v/>
      </c>
      <c r="AA1352" s="142">
        <f>U1352+Z1352</f>
        <v/>
      </c>
      <c r="AB1352" s="5" t="n"/>
      <c r="AC1352" s="5" t="n"/>
      <c r="AD1352" s="5" t="n"/>
      <c r="AE1352" s="5" t="n"/>
      <c r="AF1352" s="5" t="n"/>
      <c r="AG1352" s="5" t="n"/>
    </row>
    <row r="1353" outlineLevel="1" s="326">
      <c r="A1353" s="143" t="inlineStr">
        <is>
          <t>Case Summary</t>
        </is>
      </c>
      <c r="B1353" s="144" t="n"/>
      <c r="C1353" s="144" t="n"/>
      <c r="D1353" s="144" t="n"/>
      <c r="E1353" s="144" t="n"/>
      <c r="F1353" s="144" t="n"/>
      <c r="G1353" s="145">
        <f>SUM(G1313:G1352)</f>
        <v/>
      </c>
      <c r="H1353" s="145">
        <f>SUM(H1313:H1352)</f>
        <v/>
      </c>
      <c r="I1353" s="145">
        <f>SUM(I1313:I1352)</f>
        <v/>
      </c>
      <c r="J1353" s="145">
        <f>SUM(J1313:J1352)</f>
        <v/>
      </c>
      <c r="K1353" s="145">
        <f>SUM(K1313:K1352)</f>
        <v/>
      </c>
      <c r="L1353" s="145">
        <f>SUM(L1313:L1352)</f>
        <v/>
      </c>
      <c r="M1353" s="145">
        <f>SUM(M1313:M1352)</f>
        <v/>
      </c>
      <c r="N1353" s="145">
        <f>SUM(N1313:N1352)</f>
        <v/>
      </c>
      <c r="O1353" s="145">
        <f>SUM(O1313:O1352)</f>
        <v/>
      </c>
      <c r="P1353" s="145">
        <f>SUM(P1313:P1352)</f>
        <v/>
      </c>
      <c r="Q1353" s="145">
        <f>Q1352</f>
        <v/>
      </c>
      <c r="R1353" s="145">
        <f>R1352</f>
        <v/>
      </c>
      <c r="S1353" s="145">
        <f>S1352</f>
        <v/>
      </c>
      <c r="T1353" s="145">
        <f>T1352</f>
        <v/>
      </c>
      <c r="U1353" s="145">
        <f>U1352</f>
        <v/>
      </c>
      <c r="V1353" s="145">
        <f>SUM(V1313:V1352)</f>
        <v/>
      </c>
      <c r="W1353" s="145">
        <f>MIN(W1313:W1352)</f>
        <v/>
      </c>
      <c r="X1353" s="145">
        <f>X1352</f>
        <v/>
      </c>
      <c r="Y1353" s="145">
        <f>Y1352</f>
        <v/>
      </c>
      <c r="Z1353" s="145">
        <f>Z1352</f>
        <v/>
      </c>
      <c r="AA1353" s="146">
        <f>AA1352</f>
        <v/>
      </c>
      <c r="AB1353" s="5" t="n"/>
      <c r="AC1353" s="5" t="n"/>
      <c r="AD1353" s="5" t="n"/>
      <c r="AE1353" s="5" t="n"/>
      <c r="AF1353" s="5" t="n"/>
      <c r="AG1353" s="5" t="n"/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  <c r="M1354" s="5" t="n"/>
      <c r="N1354" s="5" t="n"/>
      <c r="O1354" s="5" t="n"/>
      <c r="P1354" s="5" t="n"/>
      <c r="Q1354" s="5" t="n"/>
      <c r="R1354" s="5" t="n"/>
      <c r="S1354" s="5" t="n"/>
      <c r="T1354" s="5" t="n"/>
      <c r="U1354" s="5" t="n"/>
      <c r="V1354" s="5" t="n"/>
      <c r="W1354" s="5" t="n"/>
      <c r="X1354" s="5" t="n"/>
      <c r="Y1354" s="5" t="n"/>
      <c r="Z1354" s="5" t="n"/>
      <c r="AA1354" s="5" t="n"/>
      <c r="AB1354" s="5" t="n"/>
      <c r="AC1354" s="5" t="n"/>
      <c r="AD1354" s="5" t="n"/>
      <c r="AE1354" s="5" t="n"/>
      <c r="AF1354" s="5" t="n"/>
      <c r="AG1354" s="5" t="n"/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  <c r="M1355" s="5" t="n"/>
      <c r="N1355" s="5" t="n"/>
      <c r="O1355" s="5" t="n"/>
      <c r="P1355" s="5" t="n"/>
      <c r="Q1355" s="5" t="n"/>
      <c r="R1355" s="5" t="n"/>
      <c r="S1355" s="5" t="n"/>
      <c r="T1355" s="5" t="n"/>
      <c r="U1355" s="5" t="n"/>
      <c r="V1355" s="5" t="n"/>
      <c r="W1355" s="5" t="n"/>
      <c r="X1355" s="5" t="n"/>
      <c r="Y1355" s="5" t="n"/>
      <c r="Z1355" s="5" t="n"/>
      <c r="AA1355" s="5" t="n"/>
      <c r="AB1355" s="5" t="n"/>
      <c r="AC1355" s="5" t="n"/>
      <c r="AD1355" s="5" t="n"/>
      <c r="AE1355" s="5" t="n"/>
      <c r="AF1355" s="5" t="n"/>
      <c r="AG1355" s="5" t="n"/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  <c r="M1356" s="5" t="n"/>
      <c r="N1356" s="5" t="n"/>
      <c r="O1356" s="5" t="n"/>
      <c r="P1356" s="5" t="n"/>
      <c r="Q1356" s="5" t="n"/>
      <c r="R1356" s="5" t="n"/>
      <c r="S1356" s="5" t="n"/>
      <c r="T1356" s="5" t="n"/>
      <c r="U1356" s="5" t="n"/>
      <c r="V1356" s="5" t="n"/>
      <c r="W1356" s="5" t="n"/>
      <c r="X1356" s="5" t="n"/>
      <c r="Y1356" s="5" t="n"/>
      <c r="Z1356" s="5" t="n"/>
      <c r="AA1356" s="5" t="n"/>
      <c r="AB1356" s="5" t="n"/>
      <c r="AC1356" s="5" t="n"/>
      <c r="AD1356" s="5" t="n"/>
      <c r="AE1356" s="5" t="n"/>
      <c r="AF1356" s="5" t="n"/>
      <c r="AG1356" s="5" t="n"/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  <c r="M1357" s="5" t="n"/>
      <c r="N1357" s="5" t="n"/>
      <c r="O1357" s="5" t="n"/>
      <c r="P1357" s="5" t="n"/>
      <c r="Q1357" s="5" t="n"/>
      <c r="R1357" s="5" t="n"/>
      <c r="S1357" s="5" t="n"/>
      <c r="T1357" s="5" t="n"/>
      <c r="U1357" s="5" t="n"/>
      <c r="V1357" s="5" t="n"/>
      <c r="W1357" s="5" t="n"/>
      <c r="X1357" s="5" t="n"/>
      <c r="Y1357" s="5" t="n"/>
      <c r="Z1357" s="5" t="n"/>
      <c r="AA1357" s="5" t="n"/>
      <c r="AB1357" s="5" t="n"/>
      <c r="AC1357" s="5" t="n"/>
      <c r="AD1357" s="5" t="n"/>
      <c r="AE1357" s="5" t="n"/>
      <c r="AF1357" s="5" t="n"/>
      <c r="AG1357" s="5" t="n"/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  <c r="M1358" s="5" t="n"/>
      <c r="N1358" s="5" t="n"/>
      <c r="O1358" s="5" t="n"/>
      <c r="P1358" s="5" t="n"/>
      <c r="Q1358" s="5" t="n"/>
      <c r="R1358" s="5" t="n"/>
      <c r="S1358" s="5" t="n"/>
      <c r="T1358" s="5" t="n"/>
      <c r="U1358" s="5" t="n"/>
      <c r="V1358" s="5" t="n"/>
      <c r="W1358" s="5" t="n"/>
      <c r="X1358" s="5" t="n"/>
      <c r="Y1358" s="5" t="n"/>
      <c r="Z1358" s="5" t="n"/>
      <c r="AA1358" s="5" t="n"/>
      <c r="AB1358" s="5" t="n"/>
      <c r="AC1358" s="5" t="n"/>
      <c r="AD1358" s="5" t="n"/>
      <c r="AE1358" s="5" t="n"/>
      <c r="AF1358" s="5" t="n"/>
      <c r="AG1358" s="5" t="n"/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  <c r="M1359" s="5" t="n"/>
      <c r="N1359" s="5" t="n"/>
      <c r="O1359" s="5" t="n"/>
      <c r="P1359" s="5" t="n"/>
      <c r="Q1359" s="5" t="n"/>
      <c r="R1359" s="5" t="n"/>
      <c r="S1359" s="5" t="n"/>
      <c r="T1359" s="5" t="n"/>
      <c r="U1359" s="5" t="n"/>
      <c r="V1359" s="5" t="n"/>
      <c r="W1359" s="5" t="n"/>
      <c r="X1359" s="5" t="n"/>
      <c r="Y1359" s="5" t="n"/>
      <c r="Z1359" s="5" t="n"/>
      <c r="AA1359" s="5" t="n"/>
      <c r="AB1359" s="5" t="n"/>
      <c r="AC1359" s="5" t="n"/>
      <c r="AD1359" s="5" t="n"/>
      <c r="AE1359" s="5" t="n"/>
      <c r="AF1359" s="5" t="n"/>
      <c r="AG1359" s="5" t="n"/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  <c r="M1360" s="5" t="n"/>
      <c r="N1360" s="5" t="n"/>
      <c r="O1360" s="5" t="n"/>
      <c r="P1360" s="5" t="n"/>
      <c r="Q1360" s="5" t="n"/>
      <c r="R1360" s="5" t="n"/>
      <c r="S1360" s="5" t="n"/>
      <c r="T1360" s="5" t="n"/>
      <c r="U1360" s="5" t="n"/>
      <c r="V1360" s="5" t="n"/>
      <c r="W1360" s="5" t="n"/>
      <c r="X1360" s="5" t="n"/>
      <c r="Y1360" s="5" t="n"/>
      <c r="Z1360" s="5" t="n"/>
      <c r="AA1360" s="5" t="n"/>
      <c r="AB1360" s="5" t="n"/>
      <c r="AC1360" s="5" t="n"/>
      <c r="AD1360" s="5" t="n"/>
      <c r="AE1360" s="5" t="n"/>
      <c r="AF1360" s="5" t="n"/>
      <c r="AG1360" s="5" t="n"/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  <c r="M1361" s="5" t="n"/>
      <c r="N1361" s="5" t="n"/>
      <c r="O1361" s="5" t="n"/>
      <c r="P1361" s="5" t="n"/>
      <c r="Q1361" s="5" t="n"/>
      <c r="R1361" s="5" t="n"/>
      <c r="S1361" s="5" t="n"/>
      <c r="T1361" s="5" t="n"/>
      <c r="U1361" s="5" t="n"/>
      <c r="V1361" s="5" t="n"/>
      <c r="W1361" s="5" t="n"/>
      <c r="X1361" s="5" t="n"/>
      <c r="Y1361" s="5" t="n"/>
      <c r="Z1361" s="5" t="n"/>
      <c r="AA1361" s="5" t="n"/>
      <c r="AB1361" s="5" t="n"/>
      <c r="AC1361" s="5" t="n"/>
      <c r="AD1361" s="5" t="n"/>
      <c r="AE1361" s="5" t="n"/>
      <c r="AF1361" s="5" t="n"/>
      <c r="AG1361" s="5" t="n"/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  <c r="M1362" s="5" t="n"/>
      <c r="N1362" s="5" t="n"/>
      <c r="O1362" s="5" t="n"/>
      <c r="P1362" s="5" t="n"/>
      <c r="Q1362" s="5" t="n"/>
      <c r="R1362" s="5" t="n"/>
      <c r="S1362" s="5" t="n"/>
      <c r="T1362" s="5" t="n"/>
      <c r="U1362" s="5" t="n"/>
      <c r="V1362" s="5" t="n"/>
      <c r="W1362" s="5" t="n"/>
      <c r="X1362" s="5" t="n"/>
      <c r="Y1362" s="5" t="n"/>
      <c r="Z1362" s="5" t="n"/>
      <c r="AA1362" s="5" t="n"/>
      <c r="AB1362" s="5" t="n"/>
      <c r="AC1362" s="5" t="n"/>
      <c r="AD1362" s="5" t="n"/>
      <c r="AE1362" s="5" t="n"/>
      <c r="AF1362" s="5" t="n"/>
      <c r="AG1362" s="5" t="n"/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  <c r="M1363" s="5" t="n"/>
      <c r="N1363" s="5" t="n"/>
      <c r="O1363" s="5" t="n"/>
      <c r="P1363" s="5" t="n"/>
      <c r="Q1363" s="5" t="n"/>
      <c r="R1363" s="5" t="n"/>
      <c r="S1363" s="5" t="n"/>
      <c r="T1363" s="5" t="n"/>
      <c r="U1363" s="5" t="n"/>
      <c r="V1363" s="5" t="n"/>
      <c r="W1363" s="5" t="n"/>
      <c r="X1363" s="5" t="n"/>
      <c r="Y1363" s="5" t="n"/>
      <c r="Z1363" s="5" t="n"/>
      <c r="AA1363" s="5" t="n"/>
      <c r="AB1363" s="5" t="n"/>
      <c r="AC1363" s="5" t="n"/>
      <c r="AD1363" s="5" t="n"/>
      <c r="AE1363" s="5" t="n"/>
      <c r="AF1363" s="5" t="n"/>
      <c r="AG1363" s="5" t="n"/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  <c r="M1364" s="5" t="n"/>
      <c r="N1364" s="5" t="n"/>
      <c r="O1364" s="5" t="n"/>
      <c r="P1364" s="5" t="n"/>
      <c r="Q1364" s="5" t="n"/>
      <c r="R1364" s="5" t="n"/>
      <c r="S1364" s="5" t="n"/>
      <c r="T1364" s="5" t="n"/>
      <c r="U1364" s="5" t="n"/>
      <c r="V1364" s="5" t="n"/>
      <c r="W1364" s="5" t="n"/>
      <c r="X1364" s="5" t="n"/>
      <c r="Y1364" s="5" t="n"/>
      <c r="Z1364" s="5" t="n"/>
      <c r="AA1364" s="5" t="n"/>
      <c r="AB1364" s="5" t="n"/>
      <c r="AC1364" s="5" t="n"/>
      <c r="AD1364" s="5" t="n"/>
      <c r="AE1364" s="5" t="n"/>
      <c r="AF1364" s="5" t="n"/>
      <c r="AG1364" s="5" t="n"/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  <c r="M1365" s="5" t="n"/>
      <c r="N1365" s="5" t="n"/>
      <c r="O1365" s="5" t="n"/>
      <c r="P1365" s="5" t="n"/>
      <c r="Q1365" s="5" t="n"/>
      <c r="R1365" s="5" t="n"/>
      <c r="S1365" s="5" t="n"/>
      <c r="T1365" s="5" t="n"/>
      <c r="U1365" s="5" t="n"/>
      <c r="V1365" s="5" t="n"/>
      <c r="W1365" s="5" t="n"/>
      <c r="X1365" s="5" t="n"/>
      <c r="Y1365" s="5" t="n"/>
      <c r="Z1365" s="5" t="n"/>
      <c r="AA1365" s="5" t="n"/>
      <c r="AB1365" s="5" t="n"/>
      <c r="AC1365" s="5" t="n"/>
      <c r="AD1365" s="5" t="n"/>
      <c r="AE1365" s="5" t="n"/>
      <c r="AF1365" s="5" t="n"/>
      <c r="AG1365" s="5" t="n"/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  <c r="M1366" s="5" t="n"/>
      <c r="N1366" s="5" t="n"/>
      <c r="O1366" s="5" t="n"/>
      <c r="P1366" s="5" t="n"/>
      <c r="Q1366" s="5" t="n"/>
      <c r="R1366" s="5" t="n"/>
      <c r="S1366" s="5" t="n"/>
      <c r="T1366" s="5" t="n"/>
      <c r="U1366" s="5" t="n"/>
      <c r="V1366" s="5" t="n"/>
      <c r="W1366" s="5" t="n"/>
      <c r="X1366" s="5" t="n"/>
      <c r="Y1366" s="5" t="n"/>
      <c r="Z1366" s="5" t="n"/>
      <c r="AA1366" s="5" t="n"/>
      <c r="AB1366" s="5" t="n"/>
      <c r="AC1366" s="5" t="n"/>
      <c r="AD1366" s="5" t="n"/>
      <c r="AE1366" s="5" t="n"/>
      <c r="AF1366" s="5" t="n"/>
      <c r="AG1366" s="5" t="n"/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  <c r="M1367" s="5" t="n"/>
      <c r="N1367" s="5" t="n"/>
      <c r="O1367" s="5" t="n"/>
      <c r="P1367" s="5" t="n"/>
      <c r="Q1367" s="5" t="n"/>
      <c r="R1367" s="5" t="n"/>
      <c r="S1367" s="5" t="n"/>
      <c r="T1367" s="5" t="n"/>
      <c r="U1367" s="5" t="n"/>
      <c r="V1367" s="5" t="n"/>
      <c r="W1367" s="5" t="n"/>
      <c r="X1367" s="5" t="n"/>
      <c r="Y1367" s="5" t="n"/>
      <c r="Z1367" s="5" t="n"/>
      <c r="AA1367" s="5" t="n"/>
      <c r="AB1367" s="5" t="n"/>
      <c r="AC1367" s="5" t="n"/>
      <c r="AD1367" s="5" t="n"/>
      <c r="AE1367" s="5" t="n"/>
      <c r="AF1367" s="5" t="n"/>
      <c r="AG1367" s="5" t="n"/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  <c r="M1368" s="5" t="n"/>
      <c r="N1368" s="5" t="n"/>
      <c r="O1368" s="5" t="n"/>
      <c r="P1368" s="5" t="n"/>
      <c r="Q1368" s="5" t="n"/>
      <c r="R1368" s="5" t="n"/>
      <c r="S1368" s="5" t="n"/>
      <c r="T1368" s="5" t="n"/>
      <c r="U1368" s="5" t="n"/>
      <c r="V1368" s="5" t="n"/>
      <c r="W1368" s="5" t="n"/>
      <c r="X1368" s="5" t="n"/>
      <c r="Y1368" s="5" t="n"/>
      <c r="Z1368" s="5" t="n"/>
      <c r="AA1368" s="5" t="n"/>
      <c r="AB1368" s="5" t="n"/>
      <c r="AC1368" s="5" t="n"/>
      <c r="AD1368" s="5" t="n"/>
      <c r="AE1368" s="5" t="n"/>
      <c r="AF1368" s="5" t="n"/>
      <c r="AG1368" s="5" t="n"/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  <c r="M1369" s="5" t="n"/>
      <c r="N1369" s="5" t="n"/>
      <c r="O1369" s="5" t="n"/>
      <c r="P1369" s="5" t="n"/>
      <c r="Q1369" s="5" t="n"/>
      <c r="R1369" s="5" t="n"/>
      <c r="S1369" s="5" t="n"/>
      <c r="T1369" s="5" t="n"/>
      <c r="U1369" s="5" t="n"/>
      <c r="V1369" s="5" t="n"/>
      <c r="W1369" s="5" t="n"/>
      <c r="X1369" s="5" t="n"/>
      <c r="Y1369" s="5" t="n"/>
      <c r="Z1369" s="5" t="n"/>
      <c r="AA1369" s="5" t="n"/>
      <c r="AB1369" s="5" t="n"/>
      <c r="AC1369" s="5" t="n"/>
      <c r="AD1369" s="5" t="n"/>
      <c r="AE1369" s="5" t="n"/>
      <c r="AF1369" s="5" t="n"/>
      <c r="AG1369" s="5" t="n"/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  <c r="M1370" s="5" t="n"/>
      <c r="N1370" s="5" t="n"/>
      <c r="O1370" s="5" t="n"/>
      <c r="P1370" s="5" t="n"/>
      <c r="Q1370" s="5" t="n"/>
      <c r="R1370" s="5" t="n"/>
      <c r="S1370" s="5" t="n"/>
      <c r="T1370" s="5" t="n"/>
      <c r="U1370" s="5" t="n"/>
      <c r="V1370" s="5" t="n"/>
      <c r="W1370" s="5" t="n"/>
      <c r="X1370" s="5" t="n"/>
      <c r="Y1370" s="5" t="n"/>
      <c r="Z1370" s="5" t="n"/>
      <c r="AA1370" s="5" t="n"/>
      <c r="AB1370" s="5" t="n"/>
      <c r="AC1370" s="5" t="n"/>
      <c r="AD1370" s="5" t="n"/>
      <c r="AE1370" s="5" t="n"/>
      <c r="AF1370" s="5" t="n"/>
      <c r="AG1370" s="5" t="n"/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  <c r="M1371" s="5" t="n"/>
      <c r="N1371" s="5" t="n"/>
      <c r="O1371" s="5" t="n"/>
      <c r="P1371" s="5" t="n"/>
      <c r="Q1371" s="5" t="n"/>
      <c r="R1371" s="5" t="n"/>
      <c r="S1371" s="5" t="n"/>
      <c r="T1371" s="5" t="n"/>
      <c r="U1371" s="5" t="n"/>
      <c r="V1371" s="5" t="n"/>
      <c r="W1371" s="5" t="n"/>
      <c r="X1371" s="5" t="n"/>
      <c r="Y1371" s="5" t="n"/>
      <c r="Z1371" s="5" t="n"/>
      <c r="AA1371" s="5" t="n"/>
      <c r="AB1371" s="5" t="n"/>
      <c r="AC1371" s="5" t="n"/>
      <c r="AD1371" s="5" t="n"/>
      <c r="AE1371" s="5" t="n"/>
      <c r="AF1371" s="5" t="n"/>
      <c r="AG1371" s="5" t="n"/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  <c r="M1372" s="5" t="n"/>
      <c r="N1372" s="5" t="n"/>
      <c r="O1372" s="5" t="n"/>
      <c r="P1372" s="5" t="n"/>
      <c r="Q1372" s="5" t="n"/>
      <c r="R1372" s="5" t="n"/>
      <c r="S1372" s="5" t="n"/>
      <c r="T1372" s="5" t="n"/>
      <c r="U1372" s="5" t="n"/>
      <c r="V1372" s="5" t="n"/>
      <c r="W1372" s="5" t="n"/>
      <c r="X1372" s="5" t="n"/>
      <c r="Y1372" s="5" t="n"/>
      <c r="Z1372" s="5" t="n"/>
      <c r="AA1372" s="5" t="n"/>
      <c r="AB1372" s="5" t="n"/>
      <c r="AC1372" s="5" t="n"/>
      <c r="AD1372" s="5" t="n"/>
      <c r="AE1372" s="5" t="n"/>
      <c r="AF1372" s="5" t="n"/>
      <c r="AG1372" s="5" t="n"/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  <c r="M1373" s="5" t="n"/>
      <c r="N1373" s="5" t="n"/>
      <c r="O1373" s="5" t="n"/>
      <c r="P1373" s="5" t="n"/>
      <c r="Q1373" s="5" t="n"/>
      <c r="R1373" s="5" t="n"/>
      <c r="S1373" s="5" t="n"/>
      <c r="T1373" s="5" t="n"/>
      <c r="U1373" s="5" t="n"/>
      <c r="V1373" s="5" t="n"/>
      <c r="W1373" s="5" t="n"/>
      <c r="X1373" s="5" t="n"/>
      <c r="Y1373" s="5" t="n"/>
      <c r="Z1373" s="5" t="n"/>
      <c r="AA1373" s="5" t="n"/>
      <c r="AB1373" s="5" t="n"/>
      <c r="AC1373" s="5" t="n"/>
      <c r="AD1373" s="5" t="n"/>
      <c r="AE1373" s="5" t="n"/>
      <c r="AF1373" s="5" t="n"/>
      <c r="AG1373" s="5" t="n"/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  <c r="M1374" s="5" t="n"/>
      <c r="N1374" s="5" t="n"/>
      <c r="O1374" s="5" t="n"/>
      <c r="P1374" s="5" t="n"/>
      <c r="Q1374" s="5" t="n"/>
      <c r="R1374" s="5" t="n"/>
      <c r="S1374" s="5" t="n"/>
      <c r="T1374" s="5" t="n"/>
      <c r="U1374" s="5" t="n"/>
      <c r="V1374" s="5" t="n"/>
      <c r="W1374" s="5" t="n"/>
      <c r="X1374" s="5" t="n"/>
      <c r="Y1374" s="5" t="n"/>
      <c r="Z1374" s="5" t="n"/>
      <c r="AA1374" s="5" t="n"/>
      <c r="AB1374" s="5" t="n"/>
      <c r="AC1374" s="5" t="n"/>
      <c r="AD1374" s="5" t="n"/>
      <c r="AE1374" s="5" t="n"/>
      <c r="AF1374" s="5" t="n"/>
      <c r="AG1374" s="5" t="n"/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  <c r="M1375" s="5" t="n"/>
      <c r="N1375" s="5" t="n"/>
      <c r="O1375" s="5" t="n"/>
      <c r="P1375" s="5" t="n"/>
      <c r="Q1375" s="5" t="n"/>
      <c r="R1375" s="5" t="n"/>
      <c r="S1375" s="5" t="n"/>
      <c r="T1375" s="5" t="n"/>
      <c r="U1375" s="5" t="n"/>
      <c r="V1375" s="5" t="n"/>
      <c r="W1375" s="5" t="n"/>
      <c r="X1375" s="5" t="n"/>
      <c r="Y1375" s="5" t="n"/>
      <c r="Z1375" s="5" t="n"/>
      <c r="AA1375" s="5" t="n"/>
      <c r="AB1375" s="5" t="n"/>
      <c r="AC1375" s="5" t="n"/>
      <c r="AD1375" s="5" t="n"/>
      <c r="AE1375" s="5" t="n"/>
      <c r="AF1375" s="5" t="n"/>
      <c r="AG1375" s="5" t="n"/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  <c r="M1376" s="5" t="n"/>
      <c r="N1376" s="5" t="n"/>
      <c r="O1376" s="5" t="n"/>
      <c r="P1376" s="5" t="n"/>
      <c r="Q1376" s="5" t="n"/>
      <c r="R1376" s="5" t="n"/>
      <c r="S1376" s="5" t="n"/>
      <c r="T1376" s="5" t="n"/>
      <c r="U1376" s="5" t="n"/>
      <c r="V1376" s="5" t="n"/>
      <c r="W1376" s="5" t="n"/>
      <c r="X1376" s="5" t="n"/>
      <c r="Y1376" s="5" t="n"/>
      <c r="Z1376" s="5" t="n"/>
      <c r="AA1376" s="5" t="n"/>
      <c r="AB1376" s="5" t="n"/>
      <c r="AC1376" s="5" t="n"/>
      <c r="AD1376" s="5" t="n"/>
      <c r="AE1376" s="5" t="n"/>
      <c r="AF1376" s="5" t="n"/>
      <c r="AG1376" s="5" t="n"/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  <c r="M1377" s="5" t="n"/>
      <c r="N1377" s="5" t="n"/>
      <c r="O1377" s="5" t="n"/>
      <c r="P1377" s="5" t="n"/>
      <c r="Q1377" s="5" t="n"/>
      <c r="R1377" s="5" t="n"/>
      <c r="S1377" s="5" t="n"/>
      <c r="T1377" s="5" t="n"/>
      <c r="U1377" s="5" t="n"/>
      <c r="V1377" s="5" t="n"/>
      <c r="W1377" s="5" t="n"/>
      <c r="X1377" s="5" t="n"/>
      <c r="Y1377" s="5" t="n"/>
      <c r="Z1377" s="5" t="n"/>
      <c r="AA1377" s="5" t="n"/>
      <c r="AB1377" s="5" t="n"/>
      <c r="AC1377" s="5" t="n"/>
      <c r="AD1377" s="5" t="n"/>
      <c r="AE1377" s="5" t="n"/>
      <c r="AF1377" s="5" t="n"/>
      <c r="AG1377" s="5" t="n"/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  <c r="M1378" s="5" t="n"/>
      <c r="N1378" s="5" t="n"/>
      <c r="O1378" s="5" t="n"/>
      <c r="P1378" s="5" t="n"/>
      <c r="Q1378" s="5" t="n"/>
      <c r="R1378" s="5" t="n"/>
      <c r="S1378" s="5" t="n"/>
      <c r="T1378" s="5" t="n"/>
      <c r="U1378" s="5" t="n"/>
      <c r="V1378" s="5" t="n"/>
      <c r="W1378" s="5" t="n"/>
      <c r="X1378" s="5" t="n"/>
      <c r="Y1378" s="5" t="n"/>
      <c r="Z1378" s="5" t="n"/>
      <c r="AA1378" s="5" t="n"/>
      <c r="AB1378" s="5" t="n"/>
      <c r="AC1378" s="5" t="n"/>
      <c r="AD1378" s="5" t="n"/>
      <c r="AE1378" s="5" t="n"/>
      <c r="AF1378" s="5" t="n"/>
      <c r="AG1378" s="5" t="n"/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  <c r="M1379" s="5" t="n"/>
      <c r="N1379" s="5" t="n"/>
      <c r="O1379" s="5" t="n"/>
      <c r="P1379" s="5" t="n"/>
      <c r="Q1379" s="5" t="n"/>
      <c r="R1379" s="5" t="n"/>
      <c r="S1379" s="5" t="n"/>
      <c r="T1379" s="5" t="n"/>
      <c r="U1379" s="5" t="n"/>
      <c r="V1379" s="5" t="n"/>
      <c r="W1379" s="5" t="n"/>
      <c r="X1379" s="5" t="n"/>
      <c r="Y1379" s="5" t="n"/>
      <c r="Z1379" s="5" t="n"/>
      <c r="AA1379" s="5" t="n"/>
      <c r="AB1379" s="5" t="n"/>
      <c r="AC1379" s="5" t="n"/>
      <c r="AD1379" s="5" t="n"/>
      <c r="AE1379" s="5" t="n"/>
      <c r="AF1379" s="5" t="n"/>
      <c r="AG1379" s="5" t="n"/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  <c r="M1380" s="5" t="n"/>
      <c r="N1380" s="5" t="n"/>
      <c r="O1380" s="5" t="n"/>
      <c r="P1380" s="5" t="n"/>
      <c r="Q1380" s="5" t="n"/>
      <c r="R1380" s="5" t="n"/>
      <c r="S1380" s="5" t="n"/>
      <c r="T1380" s="5" t="n"/>
      <c r="U1380" s="5" t="n"/>
      <c r="V1380" s="5" t="n"/>
      <c r="W1380" s="5" t="n"/>
      <c r="X1380" s="5" t="n"/>
      <c r="Y1380" s="5" t="n"/>
      <c r="Z1380" s="5" t="n"/>
      <c r="AA1380" s="5" t="n"/>
      <c r="AB1380" s="5" t="n"/>
      <c r="AC1380" s="5" t="n"/>
      <c r="AD1380" s="5" t="n"/>
      <c r="AE1380" s="5" t="n"/>
      <c r="AF1380" s="5" t="n"/>
      <c r="AG1380" s="5" t="n"/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  <c r="M1381" s="5" t="n"/>
      <c r="N1381" s="5" t="n"/>
      <c r="O1381" s="5" t="n"/>
      <c r="P1381" s="5" t="n"/>
      <c r="Q1381" s="5" t="n"/>
      <c r="R1381" s="5" t="n"/>
      <c r="S1381" s="5" t="n"/>
      <c r="T1381" s="5" t="n"/>
      <c r="U1381" s="5" t="n"/>
      <c r="V1381" s="5" t="n"/>
      <c r="W1381" s="5" t="n"/>
      <c r="X1381" s="5" t="n"/>
      <c r="Y1381" s="5" t="n"/>
      <c r="Z1381" s="5" t="n"/>
      <c r="AA1381" s="5" t="n"/>
      <c r="AB1381" s="5" t="n"/>
      <c r="AC1381" s="5" t="n"/>
      <c r="AD1381" s="5" t="n"/>
      <c r="AE1381" s="5" t="n"/>
      <c r="AF1381" s="5" t="n"/>
      <c r="AG1381" s="5" t="n"/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  <c r="M1382" s="5" t="n"/>
      <c r="N1382" s="5" t="n"/>
      <c r="O1382" s="5" t="n"/>
      <c r="P1382" s="5" t="n"/>
      <c r="Q1382" s="5" t="n"/>
      <c r="R1382" s="5" t="n"/>
      <c r="S1382" s="5" t="n"/>
      <c r="T1382" s="5" t="n"/>
      <c r="U1382" s="5" t="n"/>
      <c r="V1382" s="5" t="n"/>
      <c r="W1382" s="5" t="n"/>
      <c r="X1382" s="5" t="n"/>
      <c r="Y1382" s="5" t="n"/>
      <c r="Z1382" s="5" t="n"/>
      <c r="AA1382" s="5" t="n"/>
      <c r="AB1382" s="5" t="n"/>
      <c r="AC1382" s="5" t="n"/>
      <c r="AD1382" s="5" t="n"/>
      <c r="AE1382" s="5" t="n"/>
      <c r="AF1382" s="5" t="n"/>
      <c r="AG1382" s="5" t="n"/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  <c r="M1383" s="5" t="n"/>
      <c r="N1383" s="5" t="n"/>
      <c r="O1383" s="5" t="n"/>
      <c r="P1383" s="5" t="n"/>
      <c r="Q1383" s="5" t="n"/>
      <c r="R1383" s="5" t="n"/>
      <c r="S1383" s="5" t="n"/>
      <c r="T1383" s="5" t="n"/>
      <c r="U1383" s="5" t="n"/>
      <c r="V1383" s="5" t="n"/>
      <c r="W1383" s="5" t="n"/>
      <c r="X1383" s="5" t="n"/>
      <c r="Y1383" s="5" t="n"/>
      <c r="Z1383" s="5" t="n"/>
      <c r="AA1383" s="5" t="n"/>
      <c r="AB1383" s="5" t="n"/>
      <c r="AC1383" s="5" t="n"/>
      <c r="AD1383" s="5" t="n"/>
      <c r="AE1383" s="5" t="n"/>
      <c r="AF1383" s="5" t="n"/>
      <c r="AG1383" s="5" t="n"/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  <c r="M1384" s="5" t="n"/>
      <c r="N1384" s="5" t="n"/>
      <c r="O1384" s="5" t="n"/>
      <c r="P1384" s="5" t="n"/>
      <c r="Q1384" s="5" t="n"/>
      <c r="R1384" s="5" t="n"/>
      <c r="S1384" s="5" t="n"/>
      <c r="T1384" s="5" t="n"/>
      <c r="U1384" s="5" t="n"/>
      <c r="V1384" s="5" t="n"/>
      <c r="W1384" s="5" t="n"/>
      <c r="X1384" s="5" t="n"/>
      <c r="Y1384" s="5" t="n"/>
      <c r="Z1384" s="5" t="n"/>
      <c r="AA1384" s="5" t="n"/>
      <c r="AB1384" s="5" t="n"/>
      <c r="AC1384" s="5" t="n"/>
      <c r="AD1384" s="5" t="n"/>
      <c r="AE1384" s="5" t="n"/>
      <c r="AF1384" s="5" t="n"/>
      <c r="AG1384" s="5" t="n"/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  <c r="M1385" s="5" t="n"/>
      <c r="N1385" s="5" t="n"/>
      <c r="O1385" s="5" t="n"/>
      <c r="P1385" s="5" t="n"/>
      <c r="Q1385" s="5" t="n"/>
      <c r="R1385" s="5" t="n"/>
      <c r="S1385" s="5" t="n"/>
      <c r="T1385" s="5" t="n"/>
      <c r="U1385" s="5" t="n"/>
      <c r="V1385" s="5" t="n"/>
      <c r="W1385" s="5" t="n"/>
      <c r="X1385" s="5" t="n"/>
      <c r="Y1385" s="5" t="n"/>
      <c r="Z1385" s="5" t="n"/>
      <c r="AA1385" s="5" t="n"/>
      <c r="AB1385" s="5" t="n"/>
      <c r="AC1385" s="5" t="n"/>
      <c r="AD1385" s="5" t="n"/>
      <c r="AE1385" s="5" t="n"/>
      <c r="AF1385" s="5" t="n"/>
      <c r="AG1385" s="5" t="n"/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  <c r="M1386" s="5" t="n"/>
      <c r="N1386" s="5" t="n"/>
      <c r="O1386" s="5" t="n"/>
      <c r="P1386" s="5" t="n"/>
      <c r="Q1386" s="5" t="n"/>
      <c r="R1386" s="5" t="n"/>
      <c r="S1386" s="5" t="n"/>
      <c r="T1386" s="5" t="n"/>
      <c r="U1386" s="5" t="n"/>
      <c r="V1386" s="5" t="n"/>
      <c r="W1386" s="5" t="n"/>
      <c r="X1386" s="5" t="n"/>
      <c r="Y1386" s="5" t="n"/>
      <c r="Z1386" s="5" t="n"/>
      <c r="AA1386" s="5" t="n"/>
      <c r="AB1386" s="5" t="n"/>
      <c r="AC1386" s="5" t="n"/>
      <c r="AD1386" s="5" t="n"/>
      <c r="AE1386" s="5" t="n"/>
      <c r="AF1386" s="5" t="n"/>
      <c r="AG1386" s="5" t="n"/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  <c r="M1387" s="5" t="n"/>
      <c r="N1387" s="5" t="n"/>
      <c r="O1387" s="5" t="n"/>
      <c r="P1387" s="5" t="n"/>
      <c r="Q1387" s="5" t="n"/>
      <c r="R1387" s="5" t="n"/>
      <c r="S1387" s="5" t="n"/>
      <c r="T1387" s="5" t="n"/>
      <c r="U1387" s="5" t="n"/>
      <c r="V1387" s="5" t="n"/>
      <c r="W1387" s="5" t="n"/>
      <c r="X1387" s="5" t="n"/>
      <c r="Y1387" s="5" t="n"/>
      <c r="Z1387" s="5" t="n"/>
      <c r="AA1387" s="5" t="n"/>
      <c r="AB1387" s="5" t="n"/>
      <c r="AC1387" s="5" t="n"/>
      <c r="AD1387" s="5" t="n"/>
      <c r="AE1387" s="5" t="n"/>
      <c r="AF1387" s="5" t="n"/>
      <c r="AG1387" s="5" t="n"/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  <c r="M1388" s="5" t="n"/>
      <c r="N1388" s="5" t="n"/>
      <c r="O1388" s="5" t="n"/>
      <c r="P1388" s="5" t="n"/>
      <c r="Q1388" s="5" t="n"/>
      <c r="R1388" s="5" t="n"/>
      <c r="S1388" s="5" t="n"/>
      <c r="T1388" s="5" t="n"/>
      <c r="U1388" s="5" t="n"/>
      <c r="V1388" s="5" t="n"/>
      <c r="W1388" s="5" t="n"/>
      <c r="X1388" s="5" t="n"/>
      <c r="Y1388" s="5" t="n"/>
      <c r="Z1388" s="5" t="n"/>
      <c r="AA1388" s="5" t="n"/>
      <c r="AB1388" s="5" t="n"/>
      <c r="AC1388" s="5" t="n"/>
      <c r="AD1388" s="5" t="n"/>
      <c r="AE1388" s="5" t="n"/>
      <c r="AF1388" s="5" t="n"/>
      <c r="AG1388" s="5" t="n"/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  <c r="M1389" s="5" t="n"/>
      <c r="N1389" s="5" t="n"/>
      <c r="O1389" s="5" t="n"/>
      <c r="P1389" s="5" t="n"/>
      <c r="Q1389" s="5" t="n"/>
      <c r="R1389" s="5" t="n"/>
      <c r="S1389" s="5" t="n"/>
      <c r="T1389" s="5" t="n"/>
      <c r="U1389" s="5" t="n"/>
      <c r="V1389" s="5" t="n"/>
      <c r="W1389" s="5" t="n"/>
      <c r="X1389" s="5" t="n"/>
      <c r="Y1389" s="5" t="n"/>
      <c r="Z1389" s="5" t="n"/>
      <c r="AA1389" s="5" t="n"/>
      <c r="AB1389" s="5" t="n"/>
      <c r="AC1389" s="5" t="n"/>
      <c r="AD1389" s="5" t="n"/>
      <c r="AE1389" s="5" t="n"/>
      <c r="AF1389" s="5" t="n"/>
      <c r="AG1389" s="5" t="n"/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  <c r="M1390" s="5" t="n"/>
      <c r="N1390" s="5" t="n"/>
      <c r="O1390" s="5" t="n"/>
      <c r="P1390" s="5" t="n"/>
      <c r="Q1390" s="5" t="n"/>
      <c r="R1390" s="5" t="n"/>
      <c r="S1390" s="5" t="n"/>
      <c r="T1390" s="5" t="n"/>
      <c r="U1390" s="5" t="n"/>
      <c r="V1390" s="5" t="n"/>
      <c r="W1390" s="5" t="n"/>
      <c r="X1390" s="5" t="n"/>
      <c r="Y1390" s="5" t="n"/>
      <c r="Z1390" s="5" t="n"/>
      <c r="AA1390" s="5" t="n"/>
      <c r="AB1390" s="5" t="n"/>
      <c r="AC1390" s="5" t="n"/>
      <c r="AD1390" s="5" t="n"/>
      <c r="AE1390" s="5" t="n"/>
      <c r="AF1390" s="5" t="n"/>
      <c r="AG1390" s="5" t="n"/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  <c r="M1391" s="5" t="n"/>
      <c r="N1391" s="5" t="n"/>
      <c r="O1391" s="5" t="n"/>
      <c r="P1391" s="5" t="n"/>
      <c r="Q1391" s="5" t="n"/>
      <c r="R1391" s="5" t="n"/>
      <c r="S1391" s="5" t="n"/>
      <c r="T1391" s="5" t="n"/>
      <c r="U1391" s="5" t="n"/>
      <c r="V1391" s="5" t="n"/>
      <c r="W1391" s="5" t="n"/>
      <c r="X1391" s="5" t="n"/>
      <c r="Y1391" s="5" t="n"/>
      <c r="Z1391" s="5" t="n"/>
      <c r="AA1391" s="5" t="n"/>
      <c r="AB1391" s="5" t="n"/>
      <c r="AC1391" s="5" t="n"/>
      <c r="AD1391" s="5" t="n"/>
      <c r="AE1391" s="5" t="n"/>
      <c r="AF1391" s="5" t="n"/>
      <c r="AG1391" s="5" t="n"/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  <c r="M1392" s="5" t="n"/>
      <c r="N1392" s="5" t="n"/>
      <c r="O1392" s="5" t="n"/>
      <c r="P1392" s="5" t="n"/>
      <c r="Q1392" s="5" t="n"/>
      <c r="R1392" s="5" t="n"/>
      <c r="S1392" s="5" t="n"/>
      <c r="T1392" s="5" t="n"/>
      <c r="U1392" s="5" t="n"/>
      <c r="V1392" s="5" t="n"/>
      <c r="W1392" s="5" t="n"/>
      <c r="X1392" s="5" t="n"/>
      <c r="Y1392" s="5" t="n"/>
      <c r="Z1392" s="5" t="n"/>
      <c r="AA1392" s="5" t="n"/>
      <c r="AB1392" s="5" t="n"/>
      <c r="AC1392" s="5" t="n"/>
      <c r="AD1392" s="5" t="n"/>
      <c r="AE1392" s="5" t="n"/>
      <c r="AF1392" s="5" t="n"/>
      <c r="AG1392" s="5" t="n"/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  <c r="M1393" s="5" t="n"/>
      <c r="N1393" s="5" t="n"/>
      <c r="O1393" s="5" t="n"/>
      <c r="P1393" s="5" t="n"/>
      <c r="Q1393" s="5" t="n"/>
      <c r="R1393" s="5" t="n"/>
      <c r="S1393" s="5" t="n"/>
      <c r="T1393" s="5" t="n"/>
      <c r="U1393" s="5" t="n"/>
      <c r="V1393" s="5" t="n"/>
      <c r="W1393" s="5" t="n"/>
      <c r="X1393" s="5" t="n"/>
      <c r="Y1393" s="5" t="n"/>
      <c r="Z1393" s="5" t="n"/>
      <c r="AA1393" s="5" t="n"/>
      <c r="AB1393" s="5" t="n"/>
      <c r="AC1393" s="5" t="n"/>
      <c r="AD1393" s="5" t="n"/>
      <c r="AE1393" s="5" t="n"/>
      <c r="AF1393" s="5" t="n"/>
      <c r="AG1393" s="5" t="n"/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  <c r="M1394" s="5" t="n"/>
      <c r="N1394" s="5" t="n"/>
      <c r="O1394" s="5" t="n"/>
      <c r="P1394" s="5" t="n"/>
      <c r="Q1394" s="5" t="n"/>
      <c r="R1394" s="5" t="n"/>
      <c r="S1394" s="5" t="n"/>
      <c r="T1394" s="5" t="n"/>
      <c r="U1394" s="5" t="n"/>
      <c r="V1394" s="5" t="n"/>
      <c r="W1394" s="5" t="n"/>
      <c r="X1394" s="5" t="n"/>
      <c r="Y1394" s="5" t="n"/>
      <c r="Z1394" s="5" t="n"/>
      <c r="AA1394" s="5" t="n"/>
      <c r="AB1394" s="5" t="n"/>
      <c r="AC1394" s="5" t="n"/>
      <c r="AD1394" s="5" t="n"/>
      <c r="AE1394" s="5" t="n"/>
      <c r="AF1394" s="5" t="n"/>
      <c r="AG1394" s="5" t="n"/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  <c r="M1395" s="5" t="n"/>
      <c r="N1395" s="5" t="n"/>
      <c r="O1395" s="5" t="n"/>
      <c r="P1395" s="5" t="n"/>
      <c r="Q1395" s="5" t="n"/>
      <c r="R1395" s="5" t="n"/>
      <c r="S1395" s="5" t="n"/>
      <c r="T1395" s="5" t="n"/>
      <c r="U1395" s="5" t="n"/>
      <c r="V1395" s="5" t="n"/>
      <c r="W1395" s="5" t="n"/>
      <c r="X1395" s="5" t="n"/>
      <c r="Y1395" s="5" t="n"/>
      <c r="Z1395" s="5" t="n"/>
      <c r="AA1395" s="5" t="n"/>
      <c r="AB1395" s="5" t="n"/>
      <c r="AC1395" s="5" t="n"/>
      <c r="AD1395" s="5" t="n"/>
      <c r="AE1395" s="5" t="n"/>
      <c r="AF1395" s="5" t="n"/>
      <c r="AG1395" s="5" t="n"/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  <c r="M1396" s="5" t="n"/>
      <c r="N1396" s="5" t="n"/>
      <c r="O1396" s="5" t="n"/>
      <c r="P1396" s="5" t="n"/>
      <c r="Q1396" s="5" t="n"/>
      <c r="R1396" s="5" t="n"/>
      <c r="S1396" s="5" t="n"/>
      <c r="T1396" s="5" t="n"/>
      <c r="U1396" s="5" t="n"/>
      <c r="V1396" s="5" t="n"/>
      <c r="W1396" s="5" t="n"/>
      <c r="X1396" s="5" t="n"/>
      <c r="Y1396" s="5" t="n"/>
      <c r="Z1396" s="5" t="n"/>
      <c r="AA1396" s="5" t="n"/>
      <c r="AB1396" s="5" t="n"/>
      <c r="AC1396" s="5" t="n"/>
      <c r="AD1396" s="5" t="n"/>
      <c r="AE1396" s="5" t="n"/>
      <c r="AF1396" s="5" t="n"/>
      <c r="AG1396" s="5" t="n"/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  <c r="M1397" s="5" t="n"/>
      <c r="N1397" s="5" t="n"/>
      <c r="O1397" s="5" t="n"/>
      <c r="P1397" s="5" t="n"/>
      <c r="Q1397" s="5" t="n"/>
      <c r="R1397" s="5" t="n"/>
      <c r="S1397" s="5" t="n"/>
      <c r="T1397" s="5" t="n"/>
      <c r="U1397" s="5" t="n"/>
      <c r="V1397" s="5" t="n"/>
      <c r="W1397" s="5" t="n"/>
      <c r="X1397" s="5" t="n"/>
      <c r="Y1397" s="5" t="n"/>
      <c r="Z1397" s="5" t="n"/>
      <c r="AA1397" s="5" t="n"/>
      <c r="AB1397" s="5" t="n"/>
      <c r="AC1397" s="5" t="n"/>
      <c r="AD1397" s="5" t="n"/>
      <c r="AE1397" s="5" t="n"/>
      <c r="AF1397" s="5" t="n"/>
      <c r="AG1397" s="5" t="n"/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  <c r="M1398" s="5" t="n"/>
      <c r="N1398" s="5" t="n"/>
      <c r="O1398" s="5" t="n"/>
      <c r="P1398" s="5" t="n"/>
      <c r="Q1398" s="5" t="n"/>
      <c r="R1398" s="5" t="n"/>
      <c r="S1398" s="5" t="n"/>
      <c r="T1398" s="5" t="n"/>
      <c r="U1398" s="5" t="n"/>
      <c r="V1398" s="5" t="n"/>
      <c r="W1398" s="5" t="n"/>
      <c r="X1398" s="5" t="n"/>
      <c r="Y1398" s="5" t="n"/>
      <c r="Z1398" s="5" t="n"/>
      <c r="AA1398" s="5" t="n"/>
      <c r="AB1398" s="5" t="n"/>
      <c r="AC1398" s="5" t="n"/>
      <c r="AD1398" s="5" t="n"/>
      <c r="AE1398" s="5" t="n"/>
      <c r="AF1398" s="5" t="n"/>
      <c r="AG1398" s="5" t="n"/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  <c r="M1399" s="5" t="n"/>
      <c r="N1399" s="5" t="n"/>
      <c r="O1399" s="5" t="n"/>
      <c r="P1399" s="5" t="n"/>
      <c r="Q1399" s="5" t="n"/>
      <c r="R1399" s="5" t="n"/>
      <c r="S1399" s="5" t="n"/>
      <c r="T1399" s="5" t="n"/>
      <c r="U1399" s="5" t="n"/>
      <c r="V1399" s="5" t="n"/>
      <c r="W1399" s="5" t="n"/>
      <c r="X1399" s="5" t="n"/>
      <c r="Y1399" s="5" t="n"/>
      <c r="Z1399" s="5" t="n"/>
      <c r="AA1399" s="5" t="n"/>
      <c r="AB1399" s="5" t="n"/>
      <c r="AC1399" s="5" t="n"/>
      <c r="AD1399" s="5" t="n"/>
      <c r="AE1399" s="5" t="n"/>
      <c r="AF1399" s="5" t="n"/>
      <c r="AG1399" s="5" t="n"/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  <c r="M1400" s="5" t="n"/>
      <c r="N1400" s="5" t="n"/>
      <c r="O1400" s="5" t="n"/>
      <c r="P1400" s="5" t="n"/>
      <c r="Q1400" s="5" t="n"/>
      <c r="R1400" s="5" t="n"/>
      <c r="S1400" s="5" t="n"/>
      <c r="T1400" s="5" t="n"/>
      <c r="U1400" s="5" t="n"/>
      <c r="V1400" s="5" t="n"/>
      <c r="W1400" s="5" t="n"/>
      <c r="X1400" s="5" t="n"/>
      <c r="Y1400" s="5" t="n"/>
      <c r="Z1400" s="5" t="n"/>
      <c r="AA1400" s="5" t="n"/>
      <c r="AB1400" s="5" t="n"/>
      <c r="AC1400" s="5" t="n"/>
      <c r="AD1400" s="5" t="n"/>
      <c r="AE1400" s="5" t="n"/>
      <c r="AF1400" s="5" t="n"/>
      <c r="AG1400" s="5" t="n"/>
    </row>
  </sheetData>
  <mergeCells count="50">
    <mergeCell ref="A1179:AA1179"/>
    <mergeCell ref="J217:M217"/>
    <mergeCell ref="J224:Q224"/>
    <mergeCell ref="P4:AG10"/>
    <mergeCell ref="A1135:AA1135"/>
    <mergeCell ref="N220:Q220"/>
    <mergeCell ref="A871:AA871"/>
    <mergeCell ref="J223:M223"/>
    <mergeCell ref="A78:AG78"/>
    <mergeCell ref="A1091:AA1091"/>
    <mergeCell ref="A1267:AA1267"/>
    <mergeCell ref="A255:AA255"/>
    <mergeCell ref="A1223:AA1223"/>
    <mergeCell ref="N222:Q222"/>
    <mergeCell ref="A519:AA519"/>
    <mergeCell ref="N217:Q217"/>
    <mergeCell ref="A1311:AA1311"/>
    <mergeCell ref="A1047:AA1047"/>
    <mergeCell ref="J219:M219"/>
    <mergeCell ref="A695:AA695"/>
    <mergeCell ref="A959:AA959"/>
    <mergeCell ref="A2:AA2"/>
    <mergeCell ref="A217:B217"/>
    <mergeCell ref="A607:AA607"/>
    <mergeCell ref="N218:Q218"/>
    <mergeCell ref="A651:AA651"/>
    <mergeCell ref="J216:Q216"/>
    <mergeCell ref="N221:Q221"/>
    <mergeCell ref="A126:AG126"/>
    <mergeCell ref="J220:M220"/>
    <mergeCell ref="N223:Q223"/>
    <mergeCell ref="A827:AA827"/>
    <mergeCell ref="A563:AA563"/>
    <mergeCell ref="A299:AA299"/>
    <mergeCell ref="J222:M222"/>
    <mergeCell ref="A475:AA475"/>
    <mergeCell ref="A783:AA783"/>
    <mergeCell ref="A216:I216"/>
    <mergeCell ref="N219:Q219"/>
    <mergeCell ref="A739:AA739"/>
    <mergeCell ref="A1003:AA1003"/>
    <mergeCell ref="A30:AG30"/>
    <mergeCell ref="C217:G217"/>
    <mergeCell ref="A387:AA387"/>
    <mergeCell ref="A431:AA431"/>
    <mergeCell ref="J218:M218"/>
    <mergeCell ref="A915:AA915"/>
    <mergeCell ref="J221:M221"/>
    <mergeCell ref="A1:AA1"/>
    <mergeCell ref="A343:AA343"/>
  </mergeCells>
  <conditionalFormatting sqref="C220:G224">
    <cfRule type="cellIs" priority="1" operator="greaterThan" dxfId="33" stopIfTrue="1">
      <formula>250000</formula>
    </cfRule>
    <cfRule type="cellIs" priority="2" operator="between" dxfId="32" stopIfTrue="1">
      <formula>-250000</formula>
      <formula>250000</formula>
    </cfRule>
    <cfRule type="cellIs" priority="3" operator="lessThan" dxfId="31" stopIfTrue="1">
      <formula>-250000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D7D31"/>
    <outlinePr summaryBelow="0"/>
    <pageSetUpPr/>
  </sheetPr>
  <dimension ref="A1:AB170"/>
  <sheetViews>
    <sheetView showGridLines="0" zoomScale="81" workbookViewId="0">
      <pane ySplit="19" topLeftCell="A20" activePane="bottomLeft" state="frozen"/>
      <selection pane="bottomLeft" activeCell="A1" sqref="A1:Q1"/>
    </sheetView>
  </sheetViews>
  <sheetFormatPr baseColWidth="10" defaultColWidth="8.83203125" defaultRowHeight="15" outlineLevelRow="1"/>
  <cols>
    <col width="22" customWidth="1" style="326" min="1" max="1"/>
    <col width="14" customWidth="1" style="326" min="2" max="2"/>
    <col width="10" customWidth="1" style="326" min="3" max="3"/>
    <col width="14" customWidth="1" style="326" min="4" max="5"/>
    <col width="16" customWidth="1" style="326" min="6" max="6"/>
    <col width="14" customWidth="1" style="326" min="7" max="8"/>
    <col width="16" customWidth="1" style="326" min="9" max="12"/>
    <col width="28" customWidth="1" style="326" min="13" max="13"/>
    <col width="16" customWidth="1" style="326" min="14" max="15"/>
    <col width="15" customWidth="1" style="326" min="16" max="16"/>
    <col width="34" customWidth="1" style="326" min="17" max="17"/>
    <col width="14" customWidth="1" style="326" min="18" max="18"/>
    <col width="15" customWidth="1" style="326" min="19" max="19"/>
    <col width="12" customWidth="1" style="326" min="20" max="20"/>
    <col width="15" customWidth="1" style="326" min="21" max="21"/>
    <col width="28" customWidth="1" style="326" min="22" max="22"/>
    <col width="16" customWidth="1" style="326" min="23" max="28"/>
  </cols>
  <sheetData>
    <row r="1" ht="26" customHeight="1" s="326">
      <c r="A1" s="492" t="inlineStr">
        <is>
          <t>IC Quant Job Switch Scenarios</t>
        </is>
      </c>
      <c r="B1" s="399" t="n"/>
      <c r="C1" s="399" t="n"/>
      <c r="D1" s="399" t="n"/>
      <c r="E1" s="399" t="n"/>
      <c r="F1" s="399" t="n"/>
      <c r="G1" s="399" t="n"/>
      <c r="H1" s="399" t="n"/>
      <c r="I1" s="399" t="n"/>
      <c r="J1" s="399" t="n"/>
      <c r="K1" s="399" t="n"/>
      <c r="L1" s="399" t="n"/>
      <c r="M1" s="399" t="n"/>
      <c r="N1" s="399" t="n"/>
      <c r="O1" s="399" t="n"/>
      <c r="P1" s="399" t="n"/>
      <c r="Q1" s="399" t="n"/>
      <c r="R1" s="453" t="n"/>
      <c r="S1" s="453" t="n"/>
      <c r="T1" s="453" t="n"/>
      <c r="U1" s="453" t="n"/>
      <c r="V1" s="453" t="n"/>
      <c r="W1" s="453" t="n"/>
      <c r="X1" s="453" t="n"/>
      <c r="Y1" s="453" t="n"/>
      <c r="Z1" s="453" t="n"/>
      <c r="AA1" s="453" t="n"/>
      <c r="AB1" s="453" t="n"/>
    </row>
    <row r="2" ht="40" customHeight="1" s="326">
      <c r="A2" s="493" t="inlineStr">
        <is>
      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      </is>
      </c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399" t="n"/>
      <c r="L2" s="399" t="n"/>
      <c r="M2" s="399" t="n"/>
      <c r="N2" s="399" t="n"/>
      <c r="O2" s="399" t="n"/>
      <c r="P2" s="399" t="n"/>
      <c r="Q2" s="399" t="n"/>
      <c r="R2" s="454" t="n"/>
      <c r="S2" s="454" t="n"/>
      <c r="T2" s="454" t="n"/>
      <c r="U2" s="454" t="n"/>
      <c r="V2" s="454" t="n"/>
      <c r="W2" s="454" t="n"/>
      <c r="X2" s="454" t="n"/>
      <c r="Y2" s="454" t="n"/>
      <c r="Z2" s="454" t="n"/>
      <c r="AA2" s="454" t="n"/>
      <c r="AB2" s="454" t="n"/>
    </row>
    <row r="3" ht="16" customHeight="1" s="326">
      <c r="A3" s="455" t="inlineStr">
        <is>
          <t>Back to Financial Dashboard</t>
        </is>
      </c>
    </row>
    <row r="4" ht="20" customHeight="1" s="326">
      <c r="A4" s="494" t="inlineStr">
        <is>
          <t>Assumptions</t>
        </is>
      </c>
      <c r="B4" s="399" t="n"/>
      <c r="C4" s="399" t="n"/>
      <c r="D4" s="399" t="n"/>
      <c r="E4" s="399" t="n"/>
      <c r="F4" s="399" t="n"/>
      <c r="G4" s="399" t="n"/>
      <c r="H4" s="399" t="n"/>
      <c r="I4" s="399" t="n"/>
      <c r="J4" s="399" t="n"/>
      <c r="K4" s="399" t="n"/>
      <c r="L4" s="399" t="n"/>
      <c r="M4" s="399" t="n"/>
      <c r="N4" s="399" t="n"/>
      <c r="O4" s="399" t="n"/>
      <c r="P4" s="399" t="n"/>
      <c r="Q4" s="399" t="n"/>
    </row>
    <row r="5" ht="20" customHeight="1" s="326">
      <c r="A5" s="495" t="inlineStr">
        <is>
          <t>Switch timing</t>
        </is>
      </c>
      <c r="B5" s="496" t="inlineStr">
        <is>
          <t>Switch after completing 3 / 4 / 5 projection years at Jump; the next two projection years are base-only noncompete years, then the boosted new-firm package starts.</t>
        </is>
      </c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  <c r="L5" s="399" t="n"/>
      <c r="M5" s="399" t="n"/>
      <c r="N5" s="399" t="n"/>
      <c r="O5" s="399" t="n"/>
      <c r="P5" s="399" t="n"/>
      <c r="Q5" s="399" t="n"/>
    </row>
    <row r="6" ht="20" customHeight="1" s="326">
      <c r="A6" s="495" t="inlineStr">
        <is>
          <t>Comp bump</t>
        </is>
      </c>
      <c r="B6" s="496" t="inlineStr">
        <is>
          <t>Bump applies to switch-year base + FY bonus accrued after the two-year noncompete and through Y8; PM carry / pod economics are intentionally excluded.</t>
        </is>
      </c>
      <c r="C6" s="399" t="n"/>
      <c r="D6" s="399" t="n"/>
      <c r="E6" s="399" t="n"/>
      <c r="F6" s="399" t="n"/>
      <c r="G6" s="399" t="n"/>
      <c r="H6" s="399" t="n"/>
      <c r="I6" s="399" t="n"/>
      <c r="J6" s="399" t="n"/>
      <c r="K6" s="399" t="n"/>
      <c r="L6" s="399" t="n"/>
      <c r="M6" s="399" t="n"/>
      <c r="N6" s="399" t="n"/>
      <c r="O6" s="399" t="n"/>
      <c r="P6" s="399" t="n"/>
      <c r="Q6" s="399" t="n"/>
    </row>
    <row r="7" ht="20" customHeight="1" s="326">
      <c r="A7" s="495" t="inlineStr">
        <is>
          <t>Forfeited deferred comp</t>
        </is>
      </c>
      <c r="B7" s="496" t="inlineStr">
        <is>
          <t>Gross walk-away BK from Savings Projection is shown separately and not deducted; buyouts and exact forfeiture tax timing are not modeled here.</t>
        </is>
      </c>
      <c r="C7" s="399" t="n"/>
      <c r="D7" s="399" t="n"/>
      <c r="E7" s="399" t="n"/>
      <c r="F7" s="399" t="n"/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399" t="n"/>
    </row>
    <row r="8" ht="20" customHeight="1" s="326">
      <c r="A8" s="495" t="inlineStr">
        <is>
          <t>Tax / spending basis</t>
        </is>
      </c>
      <c r="B8" s="496" t="inlineStr">
        <is>
          <t>Uses current workbook NYC tax tables, rent/living inflation, retirement contributions, and 6% base-return assumption. Post-Y8 IC comp uses the plateau controls at J15:J17.</t>
        </is>
      </c>
      <c r="C8" s="399" t="n"/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</row>
    <row r="9" ht="20" customHeight="1" s="326">
      <c r="A9" s="495" t="inlineStr">
        <is>
          <t>Threshold basis</t>
        </is>
      </c>
      <c r="B9" s="496" t="inlineStr">
        <is>
          <t>House + retirement thresholds use base home assumptions from Model Inputs and the workbook draw-rate target.</t>
        </is>
      </c>
      <c r="C9" s="399" t="n"/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</row>
    <row r="10" ht="20" customHeight="1" s="326"/>
    <row r="11" ht="20" customHeight="1" s="326"/>
    <row r="12" ht="20" customHeight="1" s="326">
      <c r="A12" s="494" t="inlineStr">
        <is>
          <t>House + Immediate Retirement Thresholds</t>
        </is>
      </c>
      <c r="B12" s="399" t="n"/>
      <c r="C12" s="399" t="n"/>
      <c r="D12" s="399" t="n"/>
      <c r="E12" s="399" t="n"/>
      <c r="F12" s="399" t="n"/>
      <c r="G12" s="399" t="n"/>
    </row>
    <row r="13" ht="20" customHeight="1" s="326">
      <c r="A13" s="175" t="inlineStr">
        <is>
          <t>Threshold</t>
        </is>
      </c>
      <c r="B13" s="175" t="inlineStr">
        <is>
          <t>Home Price</t>
        </is>
      </c>
      <c r="C13" s="175" t="inlineStr">
        <is>
          <t>Down Payment %</t>
        </is>
      </c>
      <c r="D13" s="175" t="inlineStr">
        <is>
          <t>Cash To Close</t>
        </is>
      </c>
      <c r="E13" s="175" t="inlineStr">
        <is>
          <t>Annual Housing Carry</t>
        </is>
      </c>
      <c r="F13" s="175" t="inlineStr">
        <is>
          <t>Wealth Needed Before Close</t>
        </is>
      </c>
      <c r="G13" s="175" t="inlineStr">
        <is>
          <t>Notes</t>
        </is>
      </c>
    </row>
    <row r="14" ht="20" customHeight="1" s="326">
      <c r="A14" s="174" t="inlineStr">
        <is>
          <t>$5M all-cash</t>
        </is>
      </c>
      <c r="B14" s="176" t="n">
        <v>5000000</v>
      </c>
      <c r="C14" s="177" t="n">
        <v>1</v>
      </c>
      <c r="D14" s="178">
        <f>B14*C14+B14*'Model Inputs'!$G$18</f>
        <v/>
      </c>
      <c r="E14" s="178">
        <f>IF(C14&gt;=1,0,-PMT('Model Inputs'!$G$16/12,'Model Inputs'!$G$17*12,B14*(1-C14))*12)+B14*SUM('Model Inputs'!$G$19:$G$21)+'Model Inputs'!$G$22+'Model Inputs'!$G$23</f>
        <v/>
      </c>
      <c r="F14" s="178">
        <f>D14+('Model Inputs'!$B$11+E14)/'Model Inputs'!$B$16</f>
        <v/>
      </c>
      <c r="G14" s="173" t="inlineStr">
        <is>
          <t>Uses Model Inputs base home column G</t>
        </is>
      </c>
      <c r="I14" s="497" t="inlineStr">
        <is>
          <t>IC Plateau Control</t>
        </is>
      </c>
      <c r="J14" s="497" t="inlineStr">
        <is>
          <t>Value</t>
        </is>
      </c>
      <c r="K14" s="497" t="inlineStr">
        <is>
          <t>Notes</t>
        </is>
      </c>
      <c r="L14" s="461" t="n"/>
    </row>
    <row r="15" ht="20" customHeight="1" s="326">
      <c r="A15" s="174" t="inlineStr">
        <is>
          <t>$5M 50% down</t>
        </is>
      </c>
      <c r="B15" s="176" t="n">
        <v>5000000</v>
      </c>
      <c r="C15" s="177" t="n">
        <v>0.5</v>
      </c>
      <c r="D15" s="178">
        <f>B15*C15+B15*'Model Inputs'!$G$18</f>
        <v/>
      </c>
      <c r="E15" s="178">
        <f>IF(C15&gt;=1,0,-PMT('Model Inputs'!$G$16/12,'Model Inputs'!$G$17*12,B15*(1-C15))*12)+B15*SUM('Model Inputs'!$G$19:$G$21)+'Model Inputs'!$G$22+'Model Inputs'!$G$23</f>
        <v/>
      </c>
      <c r="F15" s="178">
        <f>D15+('Model Inputs'!$B$11+E15)/'Model Inputs'!$B$16</f>
        <v/>
      </c>
      <c r="G15" s="173" t="inlineStr">
        <is>
          <t>Uses Model Inputs base home column G</t>
        </is>
      </c>
      <c r="I15" s="497" t="inlineStr">
        <is>
          <t>Plateau starts after YOE</t>
        </is>
      </c>
      <c r="J15" s="498" t="n">
        <v>8</v>
      </c>
      <c r="K15" s="497" t="inlineStr">
        <is>
          <t>Bump applies through this YOE; plateau begins after it.</t>
        </is>
      </c>
      <c r="L15" s="461" t="n"/>
    </row>
    <row r="16" ht="20" customHeight="1" s="326">
      <c r="A16" s="174" t="inlineStr">
        <is>
          <t>$7M all-cash</t>
        </is>
      </c>
      <c r="B16" s="176" t="n">
        <v>7000000</v>
      </c>
      <c r="C16" s="177" t="n">
        <v>1</v>
      </c>
      <c r="D16" s="178">
        <f>B16*C16+B16*'Model Inputs'!$G$18</f>
        <v/>
      </c>
      <c r="E16" s="178">
        <f>IF(C16&gt;=1,0,-PMT('Model Inputs'!$G$16/12,'Model Inputs'!$G$17*12,B16*(1-C16))*12)+B16*SUM('Model Inputs'!$G$19:$G$21)+'Model Inputs'!$G$22+'Model Inputs'!$G$23</f>
        <v/>
      </c>
      <c r="F16" s="178">
        <f>D16+('Model Inputs'!$B$11+E16)/'Model Inputs'!$B$16</f>
        <v/>
      </c>
      <c r="G16" s="173" t="inlineStr">
        <is>
          <t>Uses Model Inputs base home column G</t>
        </is>
      </c>
      <c r="I16" s="497" t="inlineStr">
        <is>
          <t>Steady-state midpoint</t>
        </is>
      </c>
      <c r="J16" s="499" t="n">
        <v>3500000</v>
      </c>
      <c r="K16" s="497" t="inlineStr">
        <is>
          <t>Default long-run IC midpoint.</t>
        </is>
      </c>
      <c r="L16" s="461" t="n"/>
    </row>
    <row r="17" ht="20" customHeight="1" s="326">
      <c r="A17" s="174" t="inlineStr">
        <is>
          <t>$7M 50% down</t>
        </is>
      </c>
      <c r="B17" s="176" t="n">
        <v>7000000</v>
      </c>
      <c r="C17" s="177" t="n">
        <v>0.5</v>
      </c>
      <c r="D17" s="178">
        <f>B17*C17+B17*'Model Inputs'!$G$18</f>
        <v/>
      </c>
      <c r="E17" s="178">
        <f>IF(C17&gt;=1,0,-PMT('Model Inputs'!$G$16/12,'Model Inputs'!$G$17*12,B17*(1-C17))*12)+B17*SUM('Model Inputs'!$G$19:$G$21)+'Model Inputs'!$G$22+'Model Inputs'!$G$23</f>
        <v/>
      </c>
      <c r="F17" s="178">
        <f>D17+('Model Inputs'!$B$11+E17)/'Model Inputs'!$B$16</f>
        <v/>
      </c>
      <c r="G17" s="173" t="inlineStr">
        <is>
          <t>Uses Model Inputs base home column G</t>
        </is>
      </c>
      <c r="I17" s="497" t="inlineStr">
        <is>
          <t>Variability band</t>
        </is>
      </c>
      <c r="J17" s="499" t="n">
        <v>500000</v>
      </c>
      <c r="K17" s="497" t="inlineStr">
        <is>
          <t>Sinusoidal variability around midpoint.</t>
        </is>
      </c>
      <c r="L17" s="461" t="n"/>
    </row>
    <row r="18" ht="20" customHeight="1" s="326">
      <c r="I18" s="497" t="inlineStr">
        <is>
          <t>Noncompete years</t>
        </is>
      </c>
      <c r="J18" s="498" t="n">
        <v>2</v>
      </c>
      <c r="K18" s="497" t="inlineStr">
        <is>
          <t>Base-salary-only years before new firm starts.</t>
        </is>
      </c>
      <c r="L18" s="461" t="n"/>
    </row>
    <row r="20" ht="20" customHeight="1" s="326">
      <c r="A20" s="494" t="inlineStr">
        <is>
          <t>Scenario Summary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  <c r="O20" s="399" t="n"/>
      <c r="P20" s="399" t="n"/>
      <c r="Q20" s="399" t="n"/>
      <c r="R20" s="451" t="n"/>
      <c r="S20" s="451" t="n"/>
      <c r="T20" s="451" t="n"/>
      <c r="U20" s="451" t="n"/>
      <c r="V20" s="451" t="n"/>
    </row>
    <row r="21" ht="20" customHeight="1" s="326">
      <c r="A21" s="494" t="inlineStr">
        <is>
          <t>Scenario</t>
        </is>
      </c>
      <c r="B21" s="494" t="inlineStr">
        <is>
          <t>Switch After YOE</t>
        </is>
      </c>
      <c r="C21" s="494" t="inlineStr">
        <is>
          <t>Bump</t>
        </is>
      </c>
      <c r="D21" s="494" t="inlineStr">
        <is>
          <t>Walk-Away BK</t>
        </is>
      </c>
      <c r="E21" s="494" t="inlineStr">
        <is>
          <t>Y10 Cash Comp</t>
        </is>
      </c>
      <c r="F21" s="494" t="inlineStr">
        <is>
          <t>Y10 Taxable Liquid</t>
        </is>
      </c>
      <c r="G21" s="494" t="inlineStr">
        <is>
          <t>Y10 Retirement</t>
        </is>
      </c>
      <c r="H21" s="494" t="inlineStr">
        <is>
          <t>Y10 Liquid NW</t>
        </is>
      </c>
      <c r="I21" s="494" t="inlineStr">
        <is>
          <t>Y10 vs $5M Cash</t>
        </is>
      </c>
      <c r="J21" s="494" t="inlineStr">
        <is>
          <t>Y10 vs $5M 50%</t>
        </is>
      </c>
      <c r="K21" s="494" t="inlineStr">
        <is>
          <t>Y10 vs $7M Cash</t>
        </is>
      </c>
      <c r="L21" s="494" t="inlineStr">
        <is>
          <t>Y10 vs $7M 50%</t>
        </is>
      </c>
      <c r="M21" s="494" t="inlineStr">
        <is>
          <t>Y10 Read</t>
        </is>
      </c>
      <c r="N21" s="494" t="inlineStr">
        <is>
          <t>Y15 Cash Comp</t>
        </is>
      </c>
      <c r="O21" s="494" t="inlineStr">
        <is>
          <t>Y15 Taxable Liquid</t>
        </is>
      </c>
      <c r="P21" s="494" t="inlineStr">
        <is>
          <t>Y15 Retirement</t>
        </is>
      </c>
      <c r="Q21" s="494" t="inlineStr">
        <is>
          <t>Y15 Liquid NW</t>
        </is>
      </c>
      <c r="R21" s="494" t="inlineStr">
        <is>
          <t>Y15 vs $5M Cash</t>
        </is>
      </c>
      <c r="S21" s="494" t="inlineStr">
        <is>
          <t>Y15 vs $5M 50%</t>
        </is>
      </c>
      <c r="T21" s="494" t="inlineStr">
        <is>
          <t>Y15 vs $7M Cash</t>
        </is>
      </c>
      <c r="U21" s="494" t="inlineStr">
        <is>
          <t>Y15 vs $7M 50%</t>
        </is>
      </c>
      <c r="V21" s="494" t="inlineStr">
        <is>
          <t>Y15 Read</t>
        </is>
      </c>
      <c r="W21" s="494" t="inlineStr">
        <is>
          <t>First $5M Cash</t>
        </is>
      </c>
      <c r="X21" s="494" t="inlineStr">
        <is>
          <t>First $5M 50%</t>
        </is>
      </c>
      <c r="Y21" s="494" t="inlineStr">
        <is>
          <t>First $7M Cash</t>
        </is>
      </c>
      <c r="Z21" s="494" t="inlineStr">
        <is>
          <t>First $7M 50%</t>
        </is>
      </c>
    </row>
    <row r="22" ht="20" customHeight="1" s="326">
      <c r="A22" s="181" t="inlineStr">
        <is>
          <t>3Y 2x</t>
        </is>
      </c>
      <c r="B22" s="203" t="n">
        <v>3</v>
      </c>
      <c r="C22" s="205" t="n">
        <v>2</v>
      </c>
      <c r="D22" s="184">
        <f>INDEX('Savings Projection'!$BK$19:$BK$58,B22)</f>
        <v/>
      </c>
      <c r="E22" s="184">
        <f>SUMIFS($L$36:$L$170,$A$36:$A$170,$A22,$D$36:$D$170,10)</f>
        <v/>
      </c>
      <c r="F22" s="184">
        <f>SUMIFS($V$36:$V$170,$A$36:$A$170,$A22,$D$36:$D$170,10)</f>
        <v/>
      </c>
      <c r="G22" s="190">
        <f>SUMIFS($W$36:$W$170,$A$36:$A$170,$A22,$D$36:$D$170,10)</f>
        <v/>
      </c>
      <c r="H22" s="190">
        <f>SUMIFS($X$36:$X$170,$A$36:$A$170,$A22,$D$36:$D$170,10)</f>
        <v/>
      </c>
      <c r="I22" s="190">
        <f>H22-$F$14</f>
        <v/>
      </c>
      <c r="J22" s="190">
        <f>H22-$F$15</f>
        <v/>
      </c>
      <c r="K22" s="184">
        <f>H22-$F$16</f>
        <v/>
      </c>
      <c r="L22" s="184">
        <f>H22-$F$17</f>
        <v/>
      </c>
      <c r="M22" s="181">
        <f>IF(H22&gt;=$F$17,"Clears $7M 50% by Y10",IF(H22&gt;=$F$16,"Clears $7M cash by Y10",IF(H22&gt;=$F$15,"Clears $5M 50% by Y10",IF(H22&gt;=$F$14,"Clears $5M cash by Y10","Short of $5M retire+house by Y10"))))</f>
        <v/>
      </c>
      <c r="N22" s="184">
        <f>SUMIFS($L$36:$L$170,$A$36:$A$170,$A22,$D$36:$D$170,15)</f>
        <v/>
      </c>
      <c r="O22" s="192">
        <f>SUMIFS($V$36:$V$170,$A$36:$A$170,$A22,$D$36:$D$170,15)</f>
        <v/>
      </c>
      <c r="P22" s="192">
        <f>SUMIFS($W$36:$W$170,$A$36:$A$170,$A22,$D$36:$D$170,15)</f>
        <v/>
      </c>
      <c r="Q22" s="192">
        <f>SUMIFS($X$36:$X$170,$A$36:$A$170,$A22,$D$36:$D$170,15)</f>
        <v/>
      </c>
      <c r="R22" s="192">
        <f>Q22-$F$14</f>
        <v/>
      </c>
      <c r="S22" s="192">
        <f>Q22-$F$15</f>
        <v/>
      </c>
      <c r="T22" s="192">
        <f>Q22-$F$16</f>
        <v/>
      </c>
      <c r="U22" s="192">
        <f>Q22-$F$17</f>
        <v/>
      </c>
      <c r="V22" s="186">
        <f>IF(Q22&gt;=$F$17,"Clears $7M 50% by Y15",IF(Q22&gt;=$F$16,"Clears $7M cash by Y15",IF(Q22&gt;=$F$15,"Clears $5M 50% by Y15",IF(Q22&gt;=$F$14,"Clears $5M cash by Y15","Short of $5M retire+house by Y15"))))</f>
        <v/>
      </c>
      <c r="W22" s="186">
        <f>IF(SUMIFS($Y$36:$Y$170,$A$36:$A$170,$A22)=0,"Not by Y15","Y"&amp;SUMIFS($Y$36:$Y$170,$A$36:$A$170,$A22)&amp;" / "&amp;(('Model Inputs'!$B$22-1)+SUMIFS($Y$36:$Y$170,$A$36:$A$170,$A22)))</f>
        <v/>
      </c>
      <c r="X22" s="186">
        <f>IF(SUMIFS($Z$36:$Z$170,$A$36:$A$170,$A22)=0,"Not by Y15","Y"&amp;SUMIFS($Z$36:$Z$170,$A$36:$A$170,$A22)&amp;" / "&amp;(('Model Inputs'!$B$22-1)+SUMIFS($Z$36:$Z$170,$A$36:$A$170,$A22)))</f>
        <v/>
      </c>
      <c r="Y22" s="186">
        <f>IF(SUMIFS($AA$36:$AA$170,$A$36:$A$170,$A22)=0,"Not by Y15","Y"&amp;SUMIFS($AA$36:$AA$170,$A$36:$A$170,$A22)&amp;" / "&amp;(('Model Inputs'!$B$22-1)+SUMIFS($AA$36:$AA$170,$A$36:$A$170,$A22)))</f>
        <v/>
      </c>
      <c r="Z22" s="186">
        <f>IF(SUMIFS($AB$36:$AB$170,$A$36:$A$170,$A22)=0,"Not by Y15","Y"&amp;SUMIFS($AB$36:$AB$170,$A$36:$A$170,$A22)&amp;" / "&amp;(('Model Inputs'!$B$22-1)+SUMIFS($AB$36:$AB$170,$A$36:$A$170,$A22)))</f>
        <v/>
      </c>
    </row>
    <row r="23" ht="20" customHeight="1" s="326">
      <c r="A23" s="181" t="inlineStr">
        <is>
          <t>3Y 3x</t>
        </is>
      </c>
      <c r="B23" s="203" t="n">
        <v>3</v>
      </c>
      <c r="C23" s="205" t="n">
        <v>3</v>
      </c>
      <c r="D23" s="184">
        <f>INDEX('Savings Projection'!$BK$19:$BK$58,B23)</f>
        <v/>
      </c>
      <c r="E23" s="184">
        <f>SUMIFS($L$36:$L$170,$A$36:$A$170,$A23,$D$36:$D$170,10)</f>
        <v/>
      </c>
      <c r="F23" s="184">
        <f>SUMIFS($V$36:$V$170,$A$36:$A$170,$A23,$D$36:$D$170,10)</f>
        <v/>
      </c>
      <c r="G23" s="190">
        <f>SUMIFS($W$36:$W$170,$A$36:$A$170,$A23,$D$36:$D$170,10)</f>
        <v/>
      </c>
      <c r="H23" s="190">
        <f>SUMIFS($X$36:$X$170,$A$36:$A$170,$A23,$D$36:$D$170,10)</f>
        <v/>
      </c>
      <c r="I23" s="190">
        <f>H23-$F$14</f>
        <v/>
      </c>
      <c r="J23" s="190">
        <f>H23-$F$15</f>
        <v/>
      </c>
      <c r="K23" s="184">
        <f>H23-$F$16</f>
        <v/>
      </c>
      <c r="L23" s="184">
        <f>H23-$F$17</f>
        <v/>
      </c>
      <c r="M23" s="181">
        <f>IF(H23&gt;=$F$17,"Clears $7M 50% by Y10",IF(H23&gt;=$F$16,"Clears $7M cash by Y10",IF(H23&gt;=$F$15,"Clears $5M 50% by Y10",IF(H23&gt;=$F$14,"Clears $5M cash by Y10","Short of $5M retire+house by Y10"))))</f>
        <v/>
      </c>
      <c r="N23" s="184">
        <f>SUMIFS($L$36:$L$170,$A$36:$A$170,$A23,$D$36:$D$170,15)</f>
        <v/>
      </c>
      <c r="O23" s="192">
        <f>SUMIFS($V$36:$V$170,$A$36:$A$170,$A23,$D$36:$D$170,15)</f>
        <v/>
      </c>
      <c r="P23" s="192">
        <f>SUMIFS($W$36:$W$170,$A$36:$A$170,$A23,$D$36:$D$170,15)</f>
        <v/>
      </c>
      <c r="Q23" s="192">
        <f>SUMIFS($X$36:$X$170,$A$36:$A$170,$A23,$D$36:$D$170,15)</f>
        <v/>
      </c>
      <c r="R23" s="192">
        <f>Q23-$F$14</f>
        <v/>
      </c>
      <c r="S23" s="192">
        <f>Q23-$F$15</f>
        <v/>
      </c>
      <c r="T23" s="192">
        <f>Q23-$F$16</f>
        <v/>
      </c>
      <c r="U23" s="192">
        <f>Q23-$F$17</f>
        <v/>
      </c>
      <c r="V23" s="186">
        <f>IF(Q23&gt;=$F$17,"Clears $7M 50% by Y15",IF(Q23&gt;=$F$16,"Clears $7M cash by Y15",IF(Q23&gt;=$F$15,"Clears $5M 50% by Y15",IF(Q23&gt;=$F$14,"Clears $5M cash by Y15","Short of $5M retire+house by Y15"))))</f>
        <v/>
      </c>
      <c r="W23" s="186">
        <f>IF(SUMIFS($Y$36:$Y$170,$A$36:$A$170,$A23)=0,"Not by Y15","Y"&amp;SUMIFS($Y$36:$Y$170,$A$36:$A$170,$A23)&amp;" / "&amp;(('Model Inputs'!$B$22-1)+SUMIFS($Y$36:$Y$170,$A$36:$A$170,$A23)))</f>
        <v/>
      </c>
      <c r="X23" s="186">
        <f>IF(SUMIFS($Z$36:$Z$170,$A$36:$A$170,$A23)=0,"Not by Y15","Y"&amp;SUMIFS($Z$36:$Z$170,$A$36:$A$170,$A23)&amp;" / "&amp;(('Model Inputs'!$B$22-1)+SUMIFS($Z$36:$Z$170,$A$36:$A$170,$A23)))</f>
        <v/>
      </c>
      <c r="Y23" s="186">
        <f>IF(SUMIFS($AA$36:$AA$170,$A$36:$A$170,$A23)=0,"Not by Y15","Y"&amp;SUMIFS($AA$36:$AA$170,$A$36:$A$170,$A23)&amp;" / "&amp;(('Model Inputs'!$B$22-1)+SUMIFS($AA$36:$AA$170,$A$36:$A$170,$A23)))</f>
        <v/>
      </c>
      <c r="Z23" s="186">
        <f>IF(SUMIFS($AB$36:$AB$170,$A$36:$A$170,$A23)=0,"Not by Y15","Y"&amp;SUMIFS($AB$36:$AB$170,$A$36:$A$170,$A23)&amp;" / "&amp;(('Model Inputs'!$B$22-1)+SUMIFS($AB$36:$AB$170,$A$36:$A$170,$A23)))</f>
        <v/>
      </c>
    </row>
    <row r="24" ht="20" customHeight="1" s="326">
      <c r="A24" s="181" t="inlineStr">
        <is>
          <t>3Y 4x</t>
        </is>
      </c>
      <c r="B24" s="203" t="n">
        <v>3</v>
      </c>
      <c r="C24" s="205" t="n">
        <v>4</v>
      </c>
      <c r="D24" s="184">
        <f>INDEX('Savings Projection'!$BK$19:$BK$58,B24)</f>
        <v/>
      </c>
      <c r="E24" s="184">
        <f>SUMIFS($L$36:$L$170,$A$36:$A$170,$A24,$D$36:$D$170,10)</f>
        <v/>
      </c>
      <c r="F24" s="184">
        <f>SUMIFS($V$36:$V$170,$A$36:$A$170,$A24,$D$36:$D$170,10)</f>
        <v/>
      </c>
      <c r="G24" s="190">
        <f>SUMIFS($W$36:$W$170,$A$36:$A$170,$A24,$D$36:$D$170,10)</f>
        <v/>
      </c>
      <c r="H24" s="190">
        <f>SUMIFS($X$36:$X$170,$A$36:$A$170,$A24,$D$36:$D$170,10)</f>
        <v/>
      </c>
      <c r="I24" s="190">
        <f>H24-$F$14</f>
        <v/>
      </c>
      <c r="J24" s="190">
        <f>H24-$F$15</f>
        <v/>
      </c>
      <c r="K24" s="184">
        <f>H24-$F$16</f>
        <v/>
      </c>
      <c r="L24" s="184">
        <f>H24-$F$17</f>
        <v/>
      </c>
      <c r="M24" s="181">
        <f>IF(H24&gt;=$F$17,"Clears $7M 50% by Y10",IF(H24&gt;=$F$16,"Clears $7M cash by Y10",IF(H24&gt;=$F$15,"Clears $5M 50% by Y10",IF(H24&gt;=$F$14,"Clears $5M cash by Y10","Short of $5M retire+house by Y10"))))</f>
        <v/>
      </c>
      <c r="N24" s="184">
        <f>SUMIFS($L$36:$L$170,$A$36:$A$170,$A24,$D$36:$D$170,15)</f>
        <v/>
      </c>
      <c r="O24" s="192">
        <f>SUMIFS($V$36:$V$170,$A$36:$A$170,$A24,$D$36:$D$170,15)</f>
        <v/>
      </c>
      <c r="P24" s="192">
        <f>SUMIFS($W$36:$W$170,$A$36:$A$170,$A24,$D$36:$D$170,15)</f>
        <v/>
      </c>
      <c r="Q24" s="192">
        <f>SUMIFS($X$36:$X$170,$A$36:$A$170,$A24,$D$36:$D$170,15)</f>
        <v/>
      </c>
      <c r="R24" s="192">
        <f>Q24-$F$14</f>
        <v/>
      </c>
      <c r="S24" s="192">
        <f>Q24-$F$15</f>
        <v/>
      </c>
      <c r="T24" s="192">
        <f>Q24-$F$16</f>
        <v/>
      </c>
      <c r="U24" s="192">
        <f>Q24-$F$17</f>
        <v/>
      </c>
      <c r="V24" s="186">
        <f>IF(Q24&gt;=$F$17,"Clears $7M 50% by Y15",IF(Q24&gt;=$F$16,"Clears $7M cash by Y15",IF(Q24&gt;=$F$15,"Clears $5M 50% by Y15",IF(Q24&gt;=$F$14,"Clears $5M cash by Y15","Short of $5M retire+house by Y15"))))</f>
        <v/>
      </c>
      <c r="W24" s="186">
        <f>IF(SUMIFS($Y$36:$Y$170,$A$36:$A$170,$A24)=0,"Not by Y15","Y"&amp;SUMIFS($Y$36:$Y$170,$A$36:$A$170,$A24)&amp;" / "&amp;(('Model Inputs'!$B$22-1)+SUMIFS($Y$36:$Y$170,$A$36:$A$170,$A24)))</f>
        <v/>
      </c>
      <c r="X24" s="186">
        <f>IF(SUMIFS($Z$36:$Z$170,$A$36:$A$170,$A24)=0,"Not by Y15","Y"&amp;SUMIFS($Z$36:$Z$170,$A$36:$A$170,$A24)&amp;" / "&amp;(('Model Inputs'!$B$22-1)+SUMIFS($Z$36:$Z$170,$A$36:$A$170,$A24)))</f>
        <v/>
      </c>
      <c r="Y24" s="186">
        <f>IF(SUMIFS($AA$36:$AA$170,$A$36:$A$170,$A24)=0,"Not by Y15","Y"&amp;SUMIFS($AA$36:$AA$170,$A$36:$A$170,$A24)&amp;" / "&amp;(('Model Inputs'!$B$22-1)+SUMIFS($AA$36:$AA$170,$A$36:$A$170,$A24)))</f>
        <v/>
      </c>
      <c r="Z24" s="186">
        <f>IF(SUMIFS($AB$36:$AB$170,$A$36:$A$170,$A24)=0,"Not by Y15","Y"&amp;SUMIFS($AB$36:$AB$170,$A$36:$A$170,$A24)&amp;" / "&amp;(('Model Inputs'!$B$22-1)+SUMIFS($AB$36:$AB$170,$A$36:$A$170,$A24)))</f>
        <v/>
      </c>
    </row>
    <row r="25" ht="20" customHeight="1" s="326">
      <c r="A25" s="181" t="inlineStr">
        <is>
          <t>4Y 2x</t>
        </is>
      </c>
      <c r="B25" s="203" t="n">
        <v>4</v>
      </c>
      <c r="C25" s="205" t="n">
        <v>2</v>
      </c>
      <c r="D25" s="184">
        <f>INDEX('Savings Projection'!$BK$19:$BK$58,B25)</f>
        <v/>
      </c>
      <c r="E25" s="184">
        <f>SUMIFS($L$36:$L$170,$A$36:$A$170,$A25,$D$36:$D$170,10)</f>
        <v/>
      </c>
      <c r="F25" s="184">
        <f>SUMIFS($V$36:$V$170,$A$36:$A$170,$A25,$D$36:$D$170,10)</f>
        <v/>
      </c>
      <c r="G25" s="190">
        <f>SUMIFS($W$36:$W$170,$A$36:$A$170,$A25,$D$36:$D$170,10)</f>
        <v/>
      </c>
      <c r="H25" s="190">
        <f>SUMIFS($X$36:$X$170,$A$36:$A$170,$A25,$D$36:$D$170,10)</f>
        <v/>
      </c>
      <c r="I25" s="190">
        <f>H25-$F$14</f>
        <v/>
      </c>
      <c r="J25" s="190">
        <f>H25-$F$15</f>
        <v/>
      </c>
      <c r="K25" s="184">
        <f>H25-$F$16</f>
        <v/>
      </c>
      <c r="L25" s="184">
        <f>H25-$F$17</f>
        <v/>
      </c>
      <c r="M25" s="181">
        <f>IF(H25&gt;=$F$17,"Clears $7M 50% by Y10",IF(H25&gt;=$F$16,"Clears $7M cash by Y10",IF(H25&gt;=$F$15,"Clears $5M 50% by Y10",IF(H25&gt;=$F$14,"Clears $5M cash by Y10","Short of $5M retire+house by Y10"))))</f>
        <v/>
      </c>
      <c r="N25" s="184">
        <f>SUMIFS($L$36:$L$170,$A$36:$A$170,$A25,$D$36:$D$170,15)</f>
        <v/>
      </c>
      <c r="O25" s="192">
        <f>SUMIFS($V$36:$V$170,$A$36:$A$170,$A25,$D$36:$D$170,15)</f>
        <v/>
      </c>
      <c r="P25" s="192">
        <f>SUMIFS($W$36:$W$170,$A$36:$A$170,$A25,$D$36:$D$170,15)</f>
        <v/>
      </c>
      <c r="Q25" s="192">
        <f>SUMIFS($X$36:$X$170,$A$36:$A$170,$A25,$D$36:$D$170,15)</f>
        <v/>
      </c>
      <c r="R25" s="192">
        <f>Q25-$F$14</f>
        <v/>
      </c>
      <c r="S25" s="192">
        <f>Q25-$F$15</f>
        <v/>
      </c>
      <c r="T25" s="192">
        <f>Q25-$F$16</f>
        <v/>
      </c>
      <c r="U25" s="192">
        <f>Q25-$F$17</f>
        <v/>
      </c>
      <c r="V25" s="186">
        <f>IF(Q25&gt;=$F$17,"Clears $7M 50% by Y15",IF(Q25&gt;=$F$16,"Clears $7M cash by Y15",IF(Q25&gt;=$F$15,"Clears $5M 50% by Y15",IF(Q25&gt;=$F$14,"Clears $5M cash by Y15","Short of $5M retire+house by Y15"))))</f>
        <v/>
      </c>
      <c r="W25" s="186">
        <f>IF(SUMIFS($Y$36:$Y$170,$A$36:$A$170,$A25)=0,"Not by Y15","Y"&amp;SUMIFS($Y$36:$Y$170,$A$36:$A$170,$A25)&amp;" / "&amp;(('Model Inputs'!$B$22-1)+SUMIFS($Y$36:$Y$170,$A$36:$A$170,$A25)))</f>
        <v/>
      </c>
      <c r="X25" s="186">
        <f>IF(SUMIFS($Z$36:$Z$170,$A$36:$A$170,$A25)=0,"Not by Y15","Y"&amp;SUMIFS($Z$36:$Z$170,$A$36:$A$170,$A25)&amp;" / "&amp;(('Model Inputs'!$B$22-1)+SUMIFS($Z$36:$Z$170,$A$36:$A$170,$A25)))</f>
        <v/>
      </c>
      <c r="Y25" s="186">
        <f>IF(SUMIFS($AA$36:$AA$170,$A$36:$A$170,$A25)=0,"Not by Y15","Y"&amp;SUMIFS($AA$36:$AA$170,$A$36:$A$170,$A25)&amp;" / "&amp;(('Model Inputs'!$B$22-1)+SUMIFS($AA$36:$AA$170,$A$36:$A$170,$A25)))</f>
        <v/>
      </c>
      <c r="Z25" s="186">
        <f>IF(SUMIFS($AB$36:$AB$170,$A$36:$A$170,$A25)=0,"Not by Y15","Y"&amp;SUMIFS($AB$36:$AB$170,$A$36:$A$170,$A25)&amp;" / "&amp;(('Model Inputs'!$B$22-1)+SUMIFS($AB$36:$AB$170,$A$36:$A$170,$A25)))</f>
        <v/>
      </c>
    </row>
    <row r="26" ht="20" customHeight="1" s="326">
      <c r="A26" s="181" t="inlineStr">
        <is>
          <t>4Y 3x</t>
        </is>
      </c>
      <c r="B26" s="203" t="n">
        <v>4</v>
      </c>
      <c r="C26" s="205" t="n">
        <v>3</v>
      </c>
      <c r="D26" s="184">
        <f>INDEX('Savings Projection'!$BK$19:$BK$58,B26)</f>
        <v/>
      </c>
      <c r="E26" s="184">
        <f>SUMIFS($L$36:$L$170,$A$36:$A$170,$A26,$D$36:$D$170,10)</f>
        <v/>
      </c>
      <c r="F26" s="184">
        <f>SUMIFS($V$36:$V$170,$A$36:$A$170,$A26,$D$36:$D$170,10)</f>
        <v/>
      </c>
      <c r="G26" s="190">
        <f>SUMIFS($W$36:$W$170,$A$36:$A$170,$A26,$D$36:$D$170,10)</f>
        <v/>
      </c>
      <c r="H26" s="190">
        <f>SUMIFS($X$36:$X$170,$A$36:$A$170,$A26,$D$36:$D$170,10)</f>
        <v/>
      </c>
      <c r="I26" s="190">
        <f>H26-$F$14</f>
        <v/>
      </c>
      <c r="J26" s="190">
        <f>H26-$F$15</f>
        <v/>
      </c>
      <c r="K26" s="184">
        <f>H26-$F$16</f>
        <v/>
      </c>
      <c r="L26" s="184">
        <f>H26-$F$17</f>
        <v/>
      </c>
      <c r="M26" s="181">
        <f>IF(H26&gt;=$F$17,"Clears $7M 50% by Y10",IF(H26&gt;=$F$16,"Clears $7M cash by Y10",IF(H26&gt;=$F$15,"Clears $5M 50% by Y10",IF(H26&gt;=$F$14,"Clears $5M cash by Y10","Short of $5M retire+house by Y10"))))</f>
        <v/>
      </c>
      <c r="N26" s="184">
        <f>SUMIFS($L$36:$L$170,$A$36:$A$170,$A26,$D$36:$D$170,15)</f>
        <v/>
      </c>
      <c r="O26" s="192">
        <f>SUMIFS($V$36:$V$170,$A$36:$A$170,$A26,$D$36:$D$170,15)</f>
        <v/>
      </c>
      <c r="P26" s="192">
        <f>SUMIFS($W$36:$W$170,$A$36:$A$170,$A26,$D$36:$D$170,15)</f>
        <v/>
      </c>
      <c r="Q26" s="192">
        <f>SUMIFS($X$36:$X$170,$A$36:$A$170,$A26,$D$36:$D$170,15)</f>
        <v/>
      </c>
      <c r="R26" s="192">
        <f>Q26-$F$14</f>
        <v/>
      </c>
      <c r="S26" s="192">
        <f>Q26-$F$15</f>
        <v/>
      </c>
      <c r="T26" s="192">
        <f>Q26-$F$16</f>
        <v/>
      </c>
      <c r="U26" s="192">
        <f>Q26-$F$17</f>
        <v/>
      </c>
      <c r="V26" s="186">
        <f>IF(Q26&gt;=$F$17,"Clears $7M 50% by Y15",IF(Q26&gt;=$F$16,"Clears $7M cash by Y15",IF(Q26&gt;=$F$15,"Clears $5M 50% by Y15",IF(Q26&gt;=$F$14,"Clears $5M cash by Y15","Short of $5M retire+house by Y15"))))</f>
        <v/>
      </c>
      <c r="W26" s="186">
        <f>IF(SUMIFS($Y$36:$Y$170,$A$36:$A$170,$A26)=0,"Not by Y15","Y"&amp;SUMIFS($Y$36:$Y$170,$A$36:$A$170,$A26)&amp;" / "&amp;(('Model Inputs'!$B$22-1)+SUMIFS($Y$36:$Y$170,$A$36:$A$170,$A26)))</f>
        <v/>
      </c>
      <c r="X26" s="186">
        <f>IF(SUMIFS($Z$36:$Z$170,$A$36:$A$170,$A26)=0,"Not by Y15","Y"&amp;SUMIFS($Z$36:$Z$170,$A$36:$A$170,$A26)&amp;" / "&amp;(('Model Inputs'!$B$22-1)+SUMIFS($Z$36:$Z$170,$A$36:$A$170,$A26)))</f>
        <v/>
      </c>
      <c r="Y26" s="186">
        <f>IF(SUMIFS($AA$36:$AA$170,$A$36:$A$170,$A26)=0,"Not by Y15","Y"&amp;SUMIFS($AA$36:$AA$170,$A$36:$A$170,$A26)&amp;" / "&amp;(('Model Inputs'!$B$22-1)+SUMIFS($AA$36:$AA$170,$A$36:$A$170,$A26)))</f>
        <v/>
      </c>
      <c r="Z26" s="186">
        <f>IF(SUMIFS($AB$36:$AB$170,$A$36:$A$170,$A26)=0,"Not by Y15","Y"&amp;SUMIFS($AB$36:$AB$170,$A$36:$A$170,$A26)&amp;" / "&amp;(('Model Inputs'!$B$22-1)+SUMIFS($AB$36:$AB$170,$A$36:$A$170,$A26)))</f>
        <v/>
      </c>
    </row>
    <row r="27" ht="20" customHeight="1" s="326">
      <c r="A27" s="181" t="inlineStr">
        <is>
          <t>4Y 4x</t>
        </is>
      </c>
      <c r="B27" s="203" t="n">
        <v>4</v>
      </c>
      <c r="C27" s="205" t="n">
        <v>4</v>
      </c>
      <c r="D27" s="184">
        <f>INDEX('Savings Projection'!$BK$19:$BK$58,B27)</f>
        <v/>
      </c>
      <c r="E27" s="184">
        <f>SUMIFS($L$36:$L$170,$A$36:$A$170,$A27,$D$36:$D$170,10)</f>
        <v/>
      </c>
      <c r="F27" s="184">
        <f>SUMIFS($V$36:$V$170,$A$36:$A$170,$A27,$D$36:$D$170,10)</f>
        <v/>
      </c>
      <c r="G27" s="190">
        <f>SUMIFS($W$36:$W$170,$A$36:$A$170,$A27,$D$36:$D$170,10)</f>
        <v/>
      </c>
      <c r="H27" s="190">
        <f>SUMIFS($X$36:$X$170,$A$36:$A$170,$A27,$D$36:$D$170,10)</f>
        <v/>
      </c>
      <c r="I27" s="190">
        <f>H27-$F$14</f>
        <v/>
      </c>
      <c r="J27" s="190">
        <f>H27-$F$15</f>
        <v/>
      </c>
      <c r="K27" s="184">
        <f>H27-$F$16</f>
        <v/>
      </c>
      <c r="L27" s="184">
        <f>H27-$F$17</f>
        <v/>
      </c>
      <c r="M27" s="181">
        <f>IF(H27&gt;=$F$17,"Clears $7M 50% by Y10",IF(H27&gt;=$F$16,"Clears $7M cash by Y10",IF(H27&gt;=$F$15,"Clears $5M 50% by Y10",IF(H27&gt;=$F$14,"Clears $5M cash by Y10","Short of $5M retire+house by Y10"))))</f>
        <v/>
      </c>
      <c r="N27" s="184">
        <f>SUMIFS($L$36:$L$170,$A$36:$A$170,$A27,$D$36:$D$170,15)</f>
        <v/>
      </c>
      <c r="O27" s="192">
        <f>SUMIFS($V$36:$V$170,$A$36:$A$170,$A27,$D$36:$D$170,15)</f>
        <v/>
      </c>
      <c r="P27" s="192">
        <f>SUMIFS($W$36:$W$170,$A$36:$A$170,$A27,$D$36:$D$170,15)</f>
        <v/>
      </c>
      <c r="Q27" s="192">
        <f>SUMIFS($X$36:$X$170,$A$36:$A$170,$A27,$D$36:$D$170,15)</f>
        <v/>
      </c>
      <c r="R27" s="192">
        <f>Q27-$F$14</f>
        <v/>
      </c>
      <c r="S27" s="192">
        <f>Q27-$F$15</f>
        <v/>
      </c>
      <c r="T27" s="192">
        <f>Q27-$F$16</f>
        <v/>
      </c>
      <c r="U27" s="192">
        <f>Q27-$F$17</f>
        <v/>
      </c>
      <c r="V27" s="186">
        <f>IF(Q27&gt;=$F$17,"Clears $7M 50% by Y15",IF(Q27&gt;=$F$16,"Clears $7M cash by Y15",IF(Q27&gt;=$F$15,"Clears $5M 50% by Y15",IF(Q27&gt;=$F$14,"Clears $5M cash by Y15","Short of $5M retire+house by Y15"))))</f>
        <v/>
      </c>
      <c r="W27" s="186">
        <f>IF(SUMIFS($Y$36:$Y$170,$A$36:$A$170,$A27)=0,"Not by Y15","Y"&amp;SUMIFS($Y$36:$Y$170,$A$36:$A$170,$A27)&amp;" / "&amp;(('Model Inputs'!$B$22-1)+SUMIFS($Y$36:$Y$170,$A$36:$A$170,$A27)))</f>
        <v/>
      </c>
      <c r="X27" s="186">
        <f>IF(SUMIFS($Z$36:$Z$170,$A$36:$A$170,$A27)=0,"Not by Y15","Y"&amp;SUMIFS($Z$36:$Z$170,$A$36:$A$170,$A27)&amp;" / "&amp;(('Model Inputs'!$B$22-1)+SUMIFS($Z$36:$Z$170,$A$36:$A$170,$A27)))</f>
        <v/>
      </c>
      <c r="Y27" s="186">
        <f>IF(SUMIFS($AA$36:$AA$170,$A$36:$A$170,$A27)=0,"Not by Y15","Y"&amp;SUMIFS($AA$36:$AA$170,$A$36:$A$170,$A27)&amp;" / "&amp;(('Model Inputs'!$B$22-1)+SUMIFS($AA$36:$AA$170,$A$36:$A$170,$A27)))</f>
        <v/>
      </c>
      <c r="Z27" s="186">
        <f>IF(SUMIFS($AB$36:$AB$170,$A$36:$A$170,$A27)=0,"Not by Y15","Y"&amp;SUMIFS($AB$36:$AB$170,$A$36:$A$170,$A27)&amp;" / "&amp;(('Model Inputs'!$B$22-1)+SUMIFS($AB$36:$AB$170,$A$36:$A$170,$A27)))</f>
        <v/>
      </c>
    </row>
    <row r="28" ht="20" customHeight="1" s="326">
      <c r="A28" s="181" t="inlineStr">
        <is>
          <t>5Y 2x</t>
        </is>
      </c>
      <c r="B28" s="203" t="n">
        <v>5</v>
      </c>
      <c r="C28" s="205" t="n">
        <v>2</v>
      </c>
      <c r="D28" s="184">
        <f>INDEX('Savings Projection'!$BK$19:$BK$58,B28)</f>
        <v/>
      </c>
      <c r="E28" s="184">
        <f>SUMIFS($L$36:$L$170,$A$36:$A$170,$A28,$D$36:$D$170,10)</f>
        <v/>
      </c>
      <c r="F28" s="184">
        <f>SUMIFS($V$36:$V$170,$A$36:$A$170,$A28,$D$36:$D$170,10)</f>
        <v/>
      </c>
      <c r="G28" s="190">
        <f>SUMIFS($W$36:$W$170,$A$36:$A$170,$A28,$D$36:$D$170,10)</f>
        <v/>
      </c>
      <c r="H28" s="190">
        <f>SUMIFS($X$36:$X$170,$A$36:$A$170,$A28,$D$36:$D$170,10)</f>
        <v/>
      </c>
      <c r="I28" s="190">
        <f>H28-$F$14</f>
        <v/>
      </c>
      <c r="J28" s="190">
        <f>H28-$F$15</f>
        <v/>
      </c>
      <c r="K28" s="184">
        <f>H28-$F$16</f>
        <v/>
      </c>
      <c r="L28" s="184">
        <f>H28-$F$17</f>
        <v/>
      </c>
      <c r="M28" s="181">
        <f>IF(H28&gt;=$F$17,"Clears $7M 50% by Y10",IF(H28&gt;=$F$16,"Clears $7M cash by Y10",IF(H28&gt;=$F$15,"Clears $5M 50% by Y10",IF(H28&gt;=$F$14,"Clears $5M cash by Y10","Short of $5M retire+house by Y10"))))</f>
        <v/>
      </c>
      <c r="N28" s="184">
        <f>SUMIFS($L$36:$L$170,$A$36:$A$170,$A28,$D$36:$D$170,15)</f>
        <v/>
      </c>
      <c r="O28" s="192">
        <f>SUMIFS($V$36:$V$170,$A$36:$A$170,$A28,$D$36:$D$170,15)</f>
        <v/>
      </c>
      <c r="P28" s="192">
        <f>SUMIFS($W$36:$W$170,$A$36:$A$170,$A28,$D$36:$D$170,15)</f>
        <v/>
      </c>
      <c r="Q28" s="192">
        <f>SUMIFS($X$36:$X$170,$A$36:$A$170,$A28,$D$36:$D$170,15)</f>
        <v/>
      </c>
      <c r="R28" s="192">
        <f>Q28-$F$14</f>
        <v/>
      </c>
      <c r="S28" s="192">
        <f>Q28-$F$15</f>
        <v/>
      </c>
      <c r="T28" s="192">
        <f>Q28-$F$16</f>
        <v/>
      </c>
      <c r="U28" s="192">
        <f>Q28-$F$17</f>
        <v/>
      </c>
      <c r="V28" s="186">
        <f>IF(Q28&gt;=$F$17,"Clears $7M 50% by Y15",IF(Q28&gt;=$F$16,"Clears $7M cash by Y15",IF(Q28&gt;=$F$15,"Clears $5M 50% by Y15",IF(Q28&gt;=$F$14,"Clears $5M cash by Y15","Short of $5M retire+house by Y15"))))</f>
        <v/>
      </c>
      <c r="W28" s="186">
        <f>IF(SUMIFS($Y$36:$Y$170,$A$36:$A$170,$A28)=0,"Not by Y15","Y"&amp;SUMIFS($Y$36:$Y$170,$A$36:$A$170,$A28)&amp;" / "&amp;(('Model Inputs'!$B$22-1)+SUMIFS($Y$36:$Y$170,$A$36:$A$170,$A28)))</f>
        <v/>
      </c>
      <c r="X28" s="186">
        <f>IF(SUMIFS($Z$36:$Z$170,$A$36:$A$170,$A28)=0,"Not by Y15","Y"&amp;SUMIFS($Z$36:$Z$170,$A$36:$A$170,$A28)&amp;" / "&amp;(('Model Inputs'!$B$22-1)+SUMIFS($Z$36:$Z$170,$A$36:$A$170,$A28)))</f>
        <v/>
      </c>
      <c r="Y28" s="186">
        <f>IF(SUMIFS($AA$36:$AA$170,$A$36:$A$170,$A28)=0,"Not by Y15","Y"&amp;SUMIFS($AA$36:$AA$170,$A$36:$A$170,$A28)&amp;" / "&amp;(('Model Inputs'!$B$22-1)+SUMIFS($AA$36:$AA$170,$A$36:$A$170,$A28)))</f>
        <v/>
      </c>
      <c r="Z28" s="186">
        <f>IF(SUMIFS($AB$36:$AB$170,$A$36:$A$170,$A28)=0,"Not by Y15","Y"&amp;SUMIFS($AB$36:$AB$170,$A$36:$A$170,$A28)&amp;" / "&amp;(('Model Inputs'!$B$22-1)+SUMIFS($AB$36:$AB$170,$A$36:$A$170,$A28)))</f>
        <v/>
      </c>
    </row>
    <row r="29" ht="20" customHeight="1" s="326">
      <c r="A29" s="181" t="inlineStr">
        <is>
          <t>5Y 3x</t>
        </is>
      </c>
      <c r="B29" s="203" t="n">
        <v>5</v>
      </c>
      <c r="C29" s="205" t="n">
        <v>3</v>
      </c>
      <c r="D29" s="184">
        <f>INDEX('Savings Projection'!$BK$19:$BK$58,B29)</f>
        <v/>
      </c>
      <c r="E29" s="184">
        <f>SUMIFS($L$36:$L$170,$A$36:$A$170,$A29,$D$36:$D$170,10)</f>
        <v/>
      </c>
      <c r="F29" s="184">
        <f>SUMIFS($V$36:$V$170,$A$36:$A$170,$A29,$D$36:$D$170,10)</f>
        <v/>
      </c>
      <c r="G29" s="190">
        <f>SUMIFS($W$36:$W$170,$A$36:$A$170,$A29,$D$36:$D$170,10)</f>
        <v/>
      </c>
      <c r="H29" s="190">
        <f>SUMIFS($X$36:$X$170,$A$36:$A$170,$A29,$D$36:$D$170,10)</f>
        <v/>
      </c>
      <c r="I29" s="190">
        <f>H29-$F$14</f>
        <v/>
      </c>
      <c r="J29" s="190">
        <f>H29-$F$15</f>
        <v/>
      </c>
      <c r="K29" s="184">
        <f>H29-$F$16</f>
        <v/>
      </c>
      <c r="L29" s="184">
        <f>H29-$F$17</f>
        <v/>
      </c>
      <c r="M29" s="181">
        <f>IF(H29&gt;=$F$17,"Clears $7M 50% by Y10",IF(H29&gt;=$F$16,"Clears $7M cash by Y10",IF(H29&gt;=$F$15,"Clears $5M 50% by Y10",IF(H29&gt;=$F$14,"Clears $5M cash by Y10","Short of $5M retire+house by Y10"))))</f>
        <v/>
      </c>
      <c r="N29" s="184">
        <f>SUMIFS($L$36:$L$170,$A$36:$A$170,$A29,$D$36:$D$170,15)</f>
        <v/>
      </c>
      <c r="O29" s="192">
        <f>SUMIFS($V$36:$V$170,$A$36:$A$170,$A29,$D$36:$D$170,15)</f>
        <v/>
      </c>
      <c r="P29" s="192">
        <f>SUMIFS($W$36:$W$170,$A$36:$A$170,$A29,$D$36:$D$170,15)</f>
        <v/>
      </c>
      <c r="Q29" s="192">
        <f>SUMIFS($X$36:$X$170,$A$36:$A$170,$A29,$D$36:$D$170,15)</f>
        <v/>
      </c>
      <c r="R29" s="192">
        <f>Q29-$F$14</f>
        <v/>
      </c>
      <c r="S29" s="192">
        <f>Q29-$F$15</f>
        <v/>
      </c>
      <c r="T29" s="192">
        <f>Q29-$F$16</f>
        <v/>
      </c>
      <c r="U29" s="192">
        <f>Q29-$F$17</f>
        <v/>
      </c>
      <c r="V29" s="186">
        <f>IF(Q29&gt;=$F$17,"Clears $7M 50% by Y15",IF(Q29&gt;=$F$16,"Clears $7M cash by Y15",IF(Q29&gt;=$F$15,"Clears $5M 50% by Y15",IF(Q29&gt;=$F$14,"Clears $5M cash by Y15","Short of $5M retire+house by Y15"))))</f>
        <v/>
      </c>
      <c r="W29" s="186">
        <f>IF(SUMIFS($Y$36:$Y$170,$A$36:$A$170,$A29)=0,"Not by Y15","Y"&amp;SUMIFS($Y$36:$Y$170,$A$36:$A$170,$A29)&amp;" / "&amp;(('Model Inputs'!$B$22-1)+SUMIFS($Y$36:$Y$170,$A$36:$A$170,$A29)))</f>
        <v/>
      </c>
      <c r="X29" s="186">
        <f>IF(SUMIFS($Z$36:$Z$170,$A$36:$A$170,$A29)=0,"Not by Y15","Y"&amp;SUMIFS($Z$36:$Z$170,$A$36:$A$170,$A29)&amp;" / "&amp;(('Model Inputs'!$B$22-1)+SUMIFS($Z$36:$Z$170,$A$36:$A$170,$A29)))</f>
        <v/>
      </c>
      <c r="Y29" s="186">
        <f>IF(SUMIFS($AA$36:$AA$170,$A$36:$A$170,$A29)=0,"Not by Y15","Y"&amp;SUMIFS($AA$36:$AA$170,$A$36:$A$170,$A29)&amp;" / "&amp;(('Model Inputs'!$B$22-1)+SUMIFS($AA$36:$AA$170,$A$36:$A$170,$A29)))</f>
        <v/>
      </c>
      <c r="Z29" s="186">
        <f>IF(SUMIFS($AB$36:$AB$170,$A$36:$A$170,$A29)=0,"Not by Y15","Y"&amp;SUMIFS($AB$36:$AB$170,$A$36:$A$170,$A29)&amp;" / "&amp;(('Model Inputs'!$B$22-1)+SUMIFS($AB$36:$AB$170,$A$36:$A$170,$A29)))</f>
        <v/>
      </c>
    </row>
    <row r="30" ht="20" customHeight="1" s="326">
      <c r="A30" s="181" t="inlineStr">
        <is>
          <t>5Y 4x</t>
        </is>
      </c>
      <c r="B30" s="203" t="n">
        <v>5</v>
      </c>
      <c r="C30" s="205" t="n">
        <v>4</v>
      </c>
      <c r="D30" s="184">
        <f>INDEX('Savings Projection'!$BK$19:$BK$58,B30)</f>
        <v/>
      </c>
      <c r="E30" s="184">
        <f>SUMIFS($L$36:$L$170,$A$36:$A$170,$A30,$D$36:$D$170,10)</f>
        <v/>
      </c>
      <c r="F30" s="184">
        <f>SUMIFS($V$36:$V$170,$A$36:$A$170,$A30,$D$36:$D$170,10)</f>
        <v/>
      </c>
      <c r="G30" s="190">
        <f>SUMIFS($W$36:$W$170,$A$36:$A$170,$A30,$D$36:$D$170,10)</f>
        <v/>
      </c>
      <c r="H30" s="190">
        <f>SUMIFS($X$36:$X$170,$A$36:$A$170,$A30,$D$36:$D$170,10)</f>
        <v/>
      </c>
      <c r="I30" s="190">
        <f>H30-$F$14</f>
        <v/>
      </c>
      <c r="J30" s="190">
        <f>H30-$F$15</f>
        <v/>
      </c>
      <c r="K30" s="184">
        <f>H30-$F$16</f>
        <v/>
      </c>
      <c r="L30" s="184">
        <f>H30-$F$17</f>
        <v/>
      </c>
      <c r="M30" s="181">
        <f>IF(H30&gt;=$F$17,"Clears $7M 50% by Y10",IF(H30&gt;=$F$16,"Clears $7M cash by Y10",IF(H30&gt;=$F$15,"Clears $5M 50% by Y10",IF(H30&gt;=$F$14,"Clears $5M cash by Y10","Short of $5M retire+house by Y10"))))</f>
        <v/>
      </c>
      <c r="N30" s="184">
        <f>SUMIFS($L$36:$L$170,$A$36:$A$170,$A30,$D$36:$D$170,15)</f>
        <v/>
      </c>
      <c r="O30" s="192">
        <f>SUMIFS($V$36:$V$170,$A$36:$A$170,$A30,$D$36:$D$170,15)</f>
        <v/>
      </c>
      <c r="P30" s="192">
        <f>SUMIFS($W$36:$W$170,$A$36:$A$170,$A30,$D$36:$D$170,15)</f>
        <v/>
      </c>
      <c r="Q30" s="192">
        <f>SUMIFS($X$36:$X$170,$A$36:$A$170,$A30,$D$36:$D$170,15)</f>
        <v/>
      </c>
      <c r="R30" s="192">
        <f>Q30-$F$14</f>
        <v/>
      </c>
      <c r="S30" s="192">
        <f>Q30-$F$15</f>
        <v/>
      </c>
      <c r="T30" s="192">
        <f>Q30-$F$16</f>
        <v/>
      </c>
      <c r="U30" s="192">
        <f>Q30-$F$17</f>
        <v/>
      </c>
      <c r="V30" s="186">
        <f>IF(Q30&gt;=$F$17,"Clears $7M 50% by Y15",IF(Q30&gt;=$F$16,"Clears $7M cash by Y15",IF(Q30&gt;=$F$15,"Clears $5M 50% by Y15",IF(Q30&gt;=$F$14,"Clears $5M cash by Y15","Short of $5M retire+house by Y15"))))</f>
        <v/>
      </c>
      <c r="W30" s="186">
        <f>IF(SUMIFS($Y$36:$Y$170,$A$36:$A$170,$A30)=0,"Not by Y15","Y"&amp;SUMIFS($Y$36:$Y$170,$A$36:$A$170,$A30)&amp;" / "&amp;(('Model Inputs'!$B$22-1)+SUMIFS($Y$36:$Y$170,$A$36:$A$170,$A30)))</f>
        <v/>
      </c>
      <c r="X30" s="186">
        <f>IF(SUMIFS($Z$36:$Z$170,$A$36:$A$170,$A30)=0,"Not by Y15","Y"&amp;SUMIFS($Z$36:$Z$170,$A$36:$A$170,$A30)&amp;" / "&amp;(('Model Inputs'!$B$22-1)+SUMIFS($Z$36:$Z$170,$A$36:$A$170,$A30)))</f>
        <v/>
      </c>
      <c r="Y30" s="186">
        <f>IF(SUMIFS($AA$36:$AA$170,$A$36:$A$170,$A30)=0,"Not by Y15","Y"&amp;SUMIFS($AA$36:$AA$170,$A$36:$A$170,$A30)&amp;" / "&amp;(('Model Inputs'!$B$22-1)+SUMIFS($AA$36:$AA$170,$A$36:$A$170,$A30)))</f>
        <v/>
      </c>
      <c r="Z30" s="186">
        <f>IF(SUMIFS($AB$36:$AB$170,$A$36:$A$170,$A30)=0,"Not by Y15","Y"&amp;SUMIFS($AB$36:$AB$170,$A$36:$A$170,$A30)&amp;" / "&amp;(('Model Inputs'!$B$22-1)+SUMIFS($AB$36:$AB$170,$A$36:$A$170,$A30)))</f>
        <v/>
      </c>
    </row>
    <row r="33">
      <c r="A33" s="403" t="inlineStr">
        <is>
          <t>Year-By-Year Scenario Helper</t>
        </is>
      </c>
      <c r="B33" s="399" t="n"/>
      <c r="C33" s="399" t="n"/>
      <c r="D33" s="399" t="n"/>
      <c r="E33" s="399" t="n"/>
      <c r="F33" s="399" t="n"/>
      <c r="G33" s="399" t="n"/>
      <c r="H33" s="399" t="n"/>
      <c r="I33" s="399" t="n"/>
      <c r="J33" s="399" t="n"/>
      <c r="K33" s="399" t="n"/>
      <c r="L33" s="399" t="n"/>
      <c r="M33" s="399" t="n"/>
      <c r="N33" s="399" t="n"/>
      <c r="O33" s="399" t="n"/>
      <c r="P33" s="399" t="n"/>
      <c r="Q33" s="399" t="n"/>
      <c r="R33" s="399" t="n"/>
      <c r="S33" s="399" t="n"/>
      <c r="T33" s="399" t="n"/>
      <c r="U33" s="399" t="n"/>
      <c r="V33" s="399" t="n"/>
      <c r="W33" s="399" t="n"/>
      <c r="X33" s="399" t="n"/>
    </row>
    <row r="34">
      <c r="A34" s="398" t="inlineStr">
        <is>
          <t>Visible helper model: rows intentionally start at Y1/CY2026 so pre-switch wealth accumulation is included. For switch YOE N, Jump years are 1..N, noncompete years N+1 and N+2 are base-only, the bumped new-firm package starts in N+3, and helper rows stop at Y15.</t>
        </is>
      </c>
      <c r="B34" s="399" t="n"/>
      <c r="C34" s="399" t="n"/>
      <c r="D34" s="399" t="n"/>
      <c r="E34" s="399" t="n"/>
      <c r="F34" s="399" t="n"/>
      <c r="G34" s="399" t="n"/>
      <c r="H34" s="399" t="n"/>
      <c r="I34" s="399" t="n"/>
      <c r="J34" s="399" t="n"/>
      <c r="K34" s="399" t="n"/>
      <c r="L34" s="399" t="n"/>
      <c r="M34" s="399" t="n"/>
      <c r="N34" s="399" t="n"/>
      <c r="O34" s="399" t="n"/>
      <c r="P34" s="399" t="n"/>
      <c r="Q34" s="399" t="n"/>
      <c r="R34" s="399" t="n"/>
      <c r="S34" s="399" t="n"/>
      <c r="T34" s="399" t="n"/>
      <c r="U34" s="399" t="n"/>
      <c r="V34" s="399" t="n"/>
      <c r="W34" s="399" t="n"/>
      <c r="X34" s="399" t="n"/>
    </row>
    <row r="35" ht="18" customHeight="1" s="326">
      <c r="A35" s="500" t="inlineStr">
        <is>
          <t>Scenario</t>
        </is>
      </c>
      <c r="B35" s="500" t="inlineStr">
        <is>
          <t>Switch After YOE</t>
        </is>
      </c>
      <c r="C35" s="500" t="inlineStr">
        <is>
          <t>Bump</t>
        </is>
      </c>
      <c r="D35" s="500" t="inlineStr">
        <is>
          <t>Projection Year</t>
        </is>
      </c>
      <c r="E35" s="500" t="inlineStr">
        <is>
          <t>Calendar Year</t>
        </is>
      </c>
      <c r="F35" s="500" t="inlineStr">
        <is>
          <t>Base Earned</t>
        </is>
      </c>
      <c r="G35" s="500" t="inlineStr">
        <is>
          <t>Trend Bonus</t>
        </is>
      </c>
      <c r="H35" s="500" t="inlineStr">
        <is>
          <t>Swing %</t>
        </is>
      </c>
      <c r="I35" s="500" t="inlineStr">
        <is>
          <t>FY Bonus Accrued</t>
        </is>
      </c>
      <c r="J35" s="500" t="inlineStr">
        <is>
          <t>Bonus Cash Received</t>
        </is>
      </c>
      <c r="K35" s="500" t="inlineStr">
        <is>
          <t>Baseline Cash Gross</t>
        </is>
      </c>
      <c r="L35" s="500" t="inlineStr">
        <is>
          <t>Scenario Cash Gross</t>
        </is>
      </c>
      <c r="M35" s="500" t="inlineStr">
        <is>
          <t>401(k)</t>
        </is>
      </c>
      <c r="N35" s="500" t="inlineStr">
        <is>
          <t>Fed Taxable</t>
        </is>
      </c>
      <c r="O35" s="500" t="inlineStr">
        <is>
          <t>NY Taxable</t>
        </is>
      </c>
      <c r="P35" s="500" t="inlineStr">
        <is>
          <t>Total Tax / Deductions</t>
        </is>
      </c>
      <c r="Q35" s="500" t="inlineStr">
        <is>
          <t>Post-Tax Cash</t>
        </is>
      </c>
      <c r="R35" s="500" t="inlineStr">
        <is>
          <t>Rent + Living</t>
        </is>
      </c>
      <c r="S35" s="500" t="inlineStr">
        <is>
          <t>Cash After Living</t>
        </is>
      </c>
      <c r="T35" s="500" t="inlineStr">
        <is>
          <t>Roth</t>
        </is>
      </c>
      <c r="U35" s="500" t="inlineStr">
        <is>
          <t>Taxable Savings</t>
        </is>
      </c>
      <c r="V35" s="500" t="inlineStr">
        <is>
          <t>Taxable Balance</t>
        </is>
      </c>
      <c r="W35" s="500" t="inlineStr">
        <is>
          <t>Retirement Balance</t>
        </is>
      </c>
      <c r="X35" s="500" t="inlineStr">
        <is>
          <t>Liquid Net Worth</t>
        </is>
      </c>
      <c r="Y35" s="501" t="inlineStr">
        <is>
          <t>First $5M Cash Yr</t>
        </is>
      </c>
      <c r="Z35" s="501" t="inlineStr">
        <is>
          <t>First $5M 50% Yr</t>
        </is>
      </c>
      <c r="AA35" s="501" t="inlineStr">
        <is>
          <t>First $7M Cash Yr</t>
        </is>
      </c>
      <c r="AB35" s="501" t="inlineStr">
        <is>
          <t>First $7M 50% Yr</t>
        </is>
      </c>
    </row>
    <row r="36" outlineLevel="1" ht="18" customHeight="1" s="326">
      <c r="A36" s="174">
        <f>$A$22</f>
        <v/>
      </c>
      <c r="B36" s="193">
        <f>$B$22</f>
        <v/>
      </c>
      <c r="C36" s="179">
        <f>$C$22</f>
        <v/>
      </c>
      <c r="D36" s="193" t="n">
        <v>1</v>
      </c>
      <c r="E36" s="193">
        <f>('Model Inputs'!$B$22-1)+D36</f>
        <v/>
      </c>
      <c r="F36" s="189">
        <f>IF(D36=1,'Model Inputs'!$B$25*(13-'Model Inputs'!$B$23)/12,'Model Inputs'!$B$25)</f>
        <v/>
      </c>
      <c r="G36" s="189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/>
      </c>
      <c r="H36" s="180">
        <f>IF(D36&lt;=2,0,'Model Inputs'!$B$32*SIN(2*PI()*(D36-3+'Model Inputs'!$B$34)/MAX(1,'Model Inputs'!$B$33)))</f>
        <v/>
      </c>
      <c r="I36" s="189">
        <f>G36*(1+H36)</f>
        <v/>
      </c>
      <c r="J36" s="189">
        <f>0</f>
        <v/>
      </c>
      <c r="K36" s="189">
        <f>F36+J36+IF(D36=1,'Model Inputs'!$B$26,0)</f>
        <v/>
      </c>
      <c r="L36" s="189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/>
      </c>
      <c r="M36" s="189">
        <f>MIN(L36,'Tax Assumptions'!$B$19)</f>
        <v/>
      </c>
      <c r="N36" s="189">
        <f>MAX(L36-M36-'Tax Assumptions'!$B$8,0)</f>
        <v/>
      </c>
      <c r="O36" s="189">
        <f>MAX(L36-M36-'Tax Assumptions'!$B$9,0)</f>
        <v/>
      </c>
      <c r="P36" s="189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/>
      </c>
      <c r="Q36" s="189">
        <f>L36-M36-P36</f>
        <v/>
      </c>
      <c r="R36" s="189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/>
      </c>
      <c r="S36" s="189">
        <f>Q36-R36</f>
        <v/>
      </c>
      <c r="T36" s="189">
        <f>MIN(MAX(S36,0),'Tax Assumptions'!$B$20)</f>
        <v/>
      </c>
      <c r="U36" s="189">
        <f>S36-T36</f>
        <v/>
      </c>
      <c r="V36" s="189">
        <f>MAX('Model Inputs'!$B$7*(1+'Model Inputs'!$B$13)+U36,0)</f>
        <v/>
      </c>
      <c r="W36" s="189">
        <f>MAX(('Model Inputs'!$B$8+'Model Inputs'!$B$9+'Model Inputs'!$B$10)*(1+'Model Inputs'!$B$13)+M36+T36,0)</f>
        <v/>
      </c>
      <c r="X36" s="189">
        <f>V36+W36</f>
        <v/>
      </c>
      <c r="Y36" s="191">
        <f>IF(AND(X36&gt;=$F$14,0&lt;$F$14),D36,"")</f>
        <v/>
      </c>
      <c r="Z36" s="191">
        <f>IF(AND(X36&gt;=$F$15,0&lt;$F$15),D36,"")</f>
        <v/>
      </c>
      <c r="AA36" s="191">
        <f>IF(AND(X36&gt;=$F$16,0&lt;$F$16),D36,"")</f>
        <v/>
      </c>
      <c r="AB36" s="191">
        <f>IF(AND(X36&gt;=$F$17,0&lt;$F$17),D36,"")</f>
        <v/>
      </c>
    </row>
    <row r="37" outlineLevel="1" ht="18" customHeight="1" s="326">
      <c r="A37" s="174">
        <f>$A$22</f>
        <v/>
      </c>
      <c r="B37" s="193">
        <f>$B$22</f>
        <v/>
      </c>
      <c r="C37" s="179">
        <f>$C$22</f>
        <v/>
      </c>
      <c r="D37" s="193" t="n">
        <v>2</v>
      </c>
      <c r="E37" s="193">
        <f>('Model Inputs'!$B$22-1)+D37</f>
        <v/>
      </c>
      <c r="F37" s="189">
        <f>IF(D37=1,'Model Inputs'!$B$25*(13-'Model Inputs'!$B$23)/12,'Model Inputs'!$B$25)</f>
        <v/>
      </c>
      <c r="G37" s="189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/>
      </c>
      <c r="H37" s="180">
        <f>IF(D37&lt;=2,0,'Model Inputs'!$B$32*SIN(2*PI()*(D37-3+'Model Inputs'!$B$34)/MAX(1,'Model Inputs'!$B$33)))</f>
        <v/>
      </c>
      <c r="I37" s="189">
        <f>G37*(1+H37)</f>
        <v/>
      </c>
      <c r="J37" s="189">
        <f>0.75*I36</f>
        <v/>
      </c>
      <c r="K37" s="189">
        <f>F37+J37+IF(D37=1,'Model Inputs'!$B$26,0)</f>
        <v/>
      </c>
      <c r="L37" s="189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/>
      </c>
      <c r="M37" s="189">
        <f>MIN(L37,'Tax Assumptions'!$B$19)</f>
        <v/>
      </c>
      <c r="N37" s="189">
        <f>MAX(L37-M37-'Tax Assumptions'!$B$8,0)</f>
        <v/>
      </c>
      <c r="O37" s="189">
        <f>MAX(L37-M37-'Tax Assumptions'!$B$9,0)</f>
        <v/>
      </c>
      <c r="P37" s="189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/>
      </c>
      <c r="Q37" s="189">
        <f>L37-M37-P37</f>
        <v/>
      </c>
      <c r="R37" s="189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/>
      </c>
      <c r="S37" s="189">
        <f>Q37-R37</f>
        <v/>
      </c>
      <c r="T37" s="189">
        <f>MIN(MAX(S37,0),'Tax Assumptions'!$B$20)</f>
        <v/>
      </c>
      <c r="U37" s="189">
        <f>S37-T37</f>
        <v/>
      </c>
      <c r="V37" s="189">
        <f>MAX(V36*(1+'Model Inputs'!$B$13)+U37,0)</f>
        <v/>
      </c>
      <c r="W37" s="189">
        <f>MAX(W36*(1+'Model Inputs'!$B$13)+M37+T37,0)</f>
        <v/>
      </c>
      <c r="X37" s="189">
        <f>V37+W37</f>
        <v/>
      </c>
      <c r="Y37" s="191">
        <f>IF(AND(X37&gt;=$F$14,X36&lt;$F$14),D37,"")</f>
        <v/>
      </c>
      <c r="Z37" s="191">
        <f>IF(AND(X37&gt;=$F$15,X36&lt;$F$15),D37,"")</f>
        <v/>
      </c>
      <c r="AA37" s="191">
        <f>IF(AND(X37&gt;=$F$16,X36&lt;$F$16),D37,"")</f>
        <v/>
      </c>
      <c r="AB37" s="191">
        <f>IF(AND(X37&gt;=$F$17,X36&lt;$F$17),D37,"")</f>
        <v/>
      </c>
    </row>
    <row r="38" outlineLevel="1" ht="18" customHeight="1" s="326">
      <c r="A38" s="174">
        <f>$A$22</f>
        <v/>
      </c>
      <c r="B38" s="193">
        <f>$B$22</f>
        <v/>
      </c>
      <c r="C38" s="179">
        <f>$C$22</f>
        <v/>
      </c>
      <c r="D38" s="193" t="n">
        <v>3</v>
      </c>
      <c r="E38" s="193">
        <f>('Model Inputs'!$B$22-1)+D38</f>
        <v/>
      </c>
      <c r="F38" s="189">
        <f>IF(D38=1,'Model Inputs'!$B$25*(13-'Model Inputs'!$B$23)/12,'Model Inputs'!$B$25)</f>
        <v/>
      </c>
      <c r="G38" s="189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/>
      </c>
      <c r="H38" s="180">
        <f>IF(D38&lt;=2,0,'Model Inputs'!$B$32*SIN(2*PI()*(D38-3+'Model Inputs'!$B$34)/MAX(1,'Model Inputs'!$B$33)))</f>
        <v/>
      </c>
      <c r="I38" s="189">
        <f>G38*(1+H38)</f>
        <v/>
      </c>
      <c r="J38" s="189">
        <f>0.75*I37+0.25*I36</f>
        <v/>
      </c>
      <c r="K38" s="189">
        <f>F38+J38+IF(D38=1,'Model Inputs'!$B$26,0)</f>
        <v/>
      </c>
      <c r="L38" s="189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/>
      </c>
      <c r="M38" s="189">
        <f>MIN(L38,'Tax Assumptions'!$B$19)</f>
        <v/>
      </c>
      <c r="N38" s="189">
        <f>MAX(L38-M38-'Tax Assumptions'!$B$8,0)</f>
        <v/>
      </c>
      <c r="O38" s="189">
        <f>MAX(L38-M38-'Tax Assumptions'!$B$9,0)</f>
        <v/>
      </c>
      <c r="P38" s="189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/>
      </c>
      <c r="Q38" s="189">
        <f>L38-M38-P38</f>
        <v/>
      </c>
      <c r="R38" s="189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/>
      </c>
      <c r="S38" s="189">
        <f>Q38-R38</f>
        <v/>
      </c>
      <c r="T38" s="189">
        <f>MIN(MAX(S38,0),'Tax Assumptions'!$B$20)</f>
        <v/>
      </c>
      <c r="U38" s="189">
        <f>S38-T38</f>
        <v/>
      </c>
      <c r="V38" s="189">
        <f>MAX(V37*(1+'Model Inputs'!$B$13)+U38,0)</f>
        <v/>
      </c>
      <c r="W38" s="189">
        <f>MAX(W37*(1+'Model Inputs'!$B$13)+M38+T38,0)</f>
        <v/>
      </c>
      <c r="X38" s="189">
        <f>V38+W38</f>
        <v/>
      </c>
      <c r="Y38" s="191">
        <f>IF(AND(X38&gt;=$F$14,X37&lt;$F$14),D38,"")</f>
        <v/>
      </c>
      <c r="Z38" s="191">
        <f>IF(AND(X38&gt;=$F$15,X37&lt;$F$15),D38,"")</f>
        <v/>
      </c>
      <c r="AA38" s="191">
        <f>IF(AND(X38&gt;=$F$16,X37&lt;$F$16),D38,"")</f>
        <v/>
      </c>
      <c r="AB38" s="191">
        <f>IF(AND(X38&gt;=$F$17,X37&lt;$F$17),D38,"")</f>
        <v/>
      </c>
    </row>
    <row r="39" outlineLevel="1" ht="18" customHeight="1" s="326">
      <c r="A39" s="174">
        <f>$A$22</f>
        <v/>
      </c>
      <c r="B39" s="193">
        <f>$B$22</f>
        <v/>
      </c>
      <c r="C39" s="179">
        <f>$C$22</f>
        <v/>
      </c>
      <c r="D39" s="193" t="n">
        <v>4</v>
      </c>
      <c r="E39" s="193">
        <f>('Model Inputs'!$B$22-1)+D39</f>
        <v/>
      </c>
      <c r="F39" s="189">
        <f>IF(D39=1,'Model Inputs'!$B$25*(13-'Model Inputs'!$B$23)/12,'Model Inputs'!$B$25)</f>
        <v/>
      </c>
      <c r="G39" s="189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/>
      </c>
      <c r="H39" s="180">
        <f>IF(D39&lt;=2,0,'Model Inputs'!$B$32*SIN(2*PI()*(D39-3+'Model Inputs'!$B$34)/MAX(1,'Model Inputs'!$B$33)))</f>
        <v/>
      </c>
      <c r="I39" s="189">
        <f>G39*(1+H39)</f>
        <v/>
      </c>
      <c r="J39" s="189">
        <f>0.75*I38+0.25*I37</f>
        <v/>
      </c>
      <c r="K39" s="189">
        <f>F39+J39+IF(D39=1,'Model Inputs'!$B$26,0)</f>
        <v/>
      </c>
      <c r="L39" s="189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/>
      </c>
      <c r="M39" s="189">
        <f>MIN(L39,'Tax Assumptions'!$B$19)</f>
        <v/>
      </c>
      <c r="N39" s="189">
        <f>MAX(L39-M39-'Tax Assumptions'!$B$8,0)</f>
        <v/>
      </c>
      <c r="O39" s="189">
        <f>MAX(L39-M39-'Tax Assumptions'!$B$9,0)</f>
        <v/>
      </c>
      <c r="P39" s="189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/>
      </c>
      <c r="Q39" s="189">
        <f>L39-M39-P39</f>
        <v/>
      </c>
      <c r="R39" s="189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/>
      </c>
      <c r="S39" s="189">
        <f>Q39-R39</f>
        <v/>
      </c>
      <c r="T39" s="189">
        <f>MIN(MAX(S39,0),'Tax Assumptions'!$B$20)</f>
        <v/>
      </c>
      <c r="U39" s="189">
        <f>S39-T39</f>
        <v/>
      </c>
      <c r="V39" s="189">
        <f>MAX(V38*(1+'Model Inputs'!$B$13)+U39,0)</f>
        <v/>
      </c>
      <c r="W39" s="189">
        <f>MAX(W38*(1+'Model Inputs'!$B$13)+M39+T39,0)</f>
        <v/>
      </c>
      <c r="X39" s="189">
        <f>V39+W39</f>
        <v/>
      </c>
      <c r="Y39" s="191">
        <f>IF(AND(X39&gt;=$F$14,X38&lt;$F$14),D39,"")</f>
        <v/>
      </c>
      <c r="Z39" s="191">
        <f>IF(AND(X39&gt;=$F$15,X38&lt;$F$15),D39,"")</f>
        <v/>
      </c>
      <c r="AA39" s="191">
        <f>IF(AND(X39&gt;=$F$16,X38&lt;$F$16),D39,"")</f>
        <v/>
      </c>
      <c r="AB39" s="191">
        <f>IF(AND(X39&gt;=$F$17,X38&lt;$F$17),D39,"")</f>
        <v/>
      </c>
    </row>
    <row r="40" outlineLevel="1" ht="18" customHeight="1" s="326">
      <c r="A40" s="174">
        <f>$A$22</f>
        <v/>
      </c>
      <c r="B40" s="193">
        <f>$B$22</f>
        <v/>
      </c>
      <c r="C40" s="179">
        <f>$C$22</f>
        <v/>
      </c>
      <c r="D40" s="193" t="n">
        <v>5</v>
      </c>
      <c r="E40" s="193">
        <f>('Model Inputs'!$B$22-1)+D40</f>
        <v/>
      </c>
      <c r="F40" s="189">
        <f>IF(D40=1,'Model Inputs'!$B$25*(13-'Model Inputs'!$B$23)/12,'Model Inputs'!$B$25)</f>
        <v/>
      </c>
      <c r="G40" s="189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/>
      </c>
      <c r="H40" s="180">
        <f>IF(D40&lt;=2,0,'Model Inputs'!$B$32*SIN(2*PI()*(D40-3+'Model Inputs'!$B$34)/MAX(1,'Model Inputs'!$B$33)))</f>
        <v/>
      </c>
      <c r="I40" s="189">
        <f>G40*(1+H40)</f>
        <v/>
      </c>
      <c r="J40" s="189">
        <f>0.75*I39+0.25*I38</f>
        <v/>
      </c>
      <c r="K40" s="189">
        <f>F40+J40+IF(D40=1,'Model Inputs'!$B$26,0)</f>
        <v/>
      </c>
      <c r="L40" s="189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/>
      </c>
      <c r="M40" s="189">
        <f>MIN(L40,'Tax Assumptions'!$B$19)</f>
        <v/>
      </c>
      <c r="N40" s="189">
        <f>MAX(L40-M40-'Tax Assumptions'!$B$8,0)</f>
        <v/>
      </c>
      <c r="O40" s="189">
        <f>MAX(L40-M40-'Tax Assumptions'!$B$9,0)</f>
        <v/>
      </c>
      <c r="P40" s="189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/>
      </c>
      <c r="Q40" s="189">
        <f>L40-M40-P40</f>
        <v/>
      </c>
      <c r="R40" s="189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/>
      </c>
      <c r="S40" s="189">
        <f>Q40-R40</f>
        <v/>
      </c>
      <c r="T40" s="189">
        <f>MIN(MAX(S40,0),'Tax Assumptions'!$B$20)</f>
        <v/>
      </c>
      <c r="U40" s="189">
        <f>S40-T40</f>
        <v/>
      </c>
      <c r="V40" s="189">
        <f>MAX(V39*(1+'Model Inputs'!$B$13)+U40,0)</f>
        <v/>
      </c>
      <c r="W40" s="189">
        <f>MAX(W39*(1+'Model Inputs'!$B$13)+M40+T40,0)</f>
        <v/>
      </c>
      <c r="X40" s="189">
        <f>V40+W40</f>
        <v/>
      </c>
      <c r="Y40" s="191">
        <f>IF(AND(X40&gt;=$F$14,X39&lt;$F$14),D40,"")</f>
        <v/>
      </c>
      <c r="Z40" s="191">
        <f>IF(AND(X40&gt;=$F$15,X39&lt;$F$15),D40,"")</f>
        <v/>
      </c>
      <c r="AA40" s="191">
        <f>IF(AND(X40&gt;=$F$16,X39&lt;$F$16),D40,"")</f>
        <v/>
      </c>
      <c r="AB40" s="191">
        <f>IF(AND(X40&gt;=$F$17,X39&lt;$F$17),D40,"")</f>
        <v/>
      </c>
    </row>
    <row r="41" outlineLevel="1" ht="18" customHeight="1" s="326">
      <c r="A41" s="174">
        <f>$A$22</f>
        <v/>
      </c>
      <c r="B41" s="193">
        <f>$B$22</f>
        <v/>
      </c>
      <c r="C41" s="179">
        <f>$C$22</f>
        <v/>
      </c>
      <c r="D41" s="193" t="n">
        <v>6</v>
      </c>
      <c r="E41" s="193">
        <f>('Model Inputs'!$B$22-1)+D41</f>
        <v/>
      </c>
      <c r="F41" s="189">
        <f>IF(D41=1,'Model Inputs'!$B$25*(13-'Model Inputs'!$B$23)/12,'Model Inputs'!$B$25)</f>
        <v/>
      </c>
      <c r="G41" s="189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/>
      </c>
      <c r="H41" s="180">
        <f>IF(D41&lt;=2,0,'Model Inputs'!$B$32*SIN(2*PI()*(D41-3+'Model Inputs'!$B$34)/MAX(1,'Model Inputs'!$B$33)))</f>
        <v/>
      </c>
      <c r="I41" s="189">
        <f>G41*(1+H41)</f>
        <v/>
      </c>
      <c r="J41" s="189">
        <f>0.75*I40+0.25*I39</f>
        <v/>
      </c>
      <c r="K41" s="189">
        <f>F41+J41+IF(D41=1,'Model Inputs'!$B$26,0)</f>
        <v/>
      </c>
      <c r="L41" s="189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/>
      </c>
      <c r="M41" s="189">
        <f>MIN(L41,'Tax Assumptions'!$B$19)</f>
        <v/>
      </c>
      <c r="N41" s="189">
        <f>MAX(L41-M41-'Tax Assumptions'!$B$8,0)</f>
        <v/>
      </c>
      <c r="O41" s="189">
        <f>MAX(L41-M41-'Tax Assumptions'!$B$9,0)</f>
        <v/>
      </c>
      <c r="P41" s="189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/>
      </c>
      <c r="Q41" s="189">
        <f>L41-M41-P41</f>
        <v/>
      </c>
      <c r="R41" s="189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/>
      </c>
      <c r="S41" s="189">
        <f>Q41-R41</f>
        <v/>
      </c>
      <c r="T41" s="189">
        <f>MIN(MAX(S41,0),'Tax Assumptions'!$B$20)</f>
        <v/>
      </c>
      <c r="U41" s="189">
        <f>S41-T41</f>
        <v/>
      </c>
      <c r="V41" s="189">
        <f>MAX(V40*(1+'Model Inputs'!$B$13)+U41,0)</f>
        <v/>
      </c>
      <c r="W41" s="189">
        <f>MAX(W40*(1+'Model Inputs'!$B$13)+M41+T41,0)</f>
        <v/>
      </c>
      <c r="X41" s="189">
        <f>V41+W41</f>
        <v/>
      </c>
      <c r="Y41" s="191">
        <f>IF(AND(X41&gt;=$F$14,X40&lt;$F$14),D41,"")</f>
        <v/>
      </c>
      <c r="Z41" s="191">
        <f>IF(AND(X41&gt;=$F$15,X40&lt;$F$15),D41,"")</f>
        <v/>
      </c>
      <c r="AA41" s="191">
        <f>IF(AND(X41&gt;=$F$16,X40&lt;$F$16),D41,"")</f>
        <v/>
      </c>
      <c r="AB41" s="191">
        <f>IF(AND(X41&gt;=$F$17,X40&lt;$F$17),D41,"")</f>
        <v/>
      </c>
    </row>
    <row r="42" outlineLevel="1" ht="18" customHeight="1" s="326">
      <c r="A42" s="174">
        <f>$A$22</f>
        <v/>
      </c>
      <c r="B42" s="193">
        <f>$B$22</f>
        <v/>
      </c>
      <c r="C42" s="179">
        <f>$C$22</f>
        <v/>
      </c>
      <c r="D42" s="193" t="n">
        <v>7</v>
      </c>
      <c r="E42" s="193">
        <f>('Model Inputs'!$B$22-1)+D42</f>
        <v/>
      </c>
      <c r="F42" s="189">
        <f>IF(D42=1,'Model Inputs'!$B$25*(13-'Model Inputs'!$B$23)/12,'Model Inputs'!$B$25)</f>
        <v/>
      </c>
      <c r="G42" s="189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/>
      </c>
      <c r="H42" s="180">
        <f>IF(D42&lt;=2,0,'Model Inputs'!$B$32*SIN(2*PI()*(D42-3+'Model Inputs'!$B$34)/MAX(1,'Model Inputs'!$B$33)))</f>
        <v/>
      </c>
      <c r="I42" s="189">
        <f>G42*(1+H42)</f>
        <v/>
      </c>
      <c r="J42" s="189">
        <f>0.75*I41+0.25*I40</f>
        <v/>
      </c>
      <c r="K42" s="189">
        <f>F42+J42+IF(D42=1,'Model Inputs'!$B$26,0)</f>
        <v/>
      </c>
      <c r="L42" s="189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/>
      </c>
      <c r="M42" s="189">
        <f>MIN(L42,'Tax Assumptions'!$B$19)</f>
        <v/>
      </c>
      <c r="N42" s="189">
        <f>MAX(L42-M42-'Tax Assumptions'!$B$8,0)</f>
        <v/>
      </c>
      <c r="O42" s="189">
        <f>MAX(L42-M42-'Tax Assumptions'!$B$9,0)</f>
        <v/>
      </c>
      <c r="P42" s="189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/>
      </c>
      <c r="Q42" s="189">
        <f>L42-M42-P42</f>
        <v/>
      </c>
      <c r="R42" s="189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/>
      </c>
      <c r="S42" s="189">
        <f>Q42-R42</f>
        <v/>
      </c>
      <c r="T42" s="189">
        <f>MIN(MAX(S42,0),'Tax Assumptions'!$B$20)</f>
        <v/>
      </c>
      <c r="U42" s="189">
        <f>S42-T42</f>
        <v/>
      </c>
      <c r="V42" s="189">
        <f>MAX(V41*(1+'Model Inputs'!$B$13)+U42,0)</f>
        <v/>
      </c>
      <c r="W42" s="189">
        <f>MAX(W41*(1+'Model Inputs'!$B$13)+M42+T42,0)</f>
        <v/>
      </c>
      <c r="X42" s="189">
        <f>V42+W42</f>
        <v/>
      </c>
      <c r="Y42" s="191">
        <f>IF(AND(X42&gt;=$F$14,X41&lt;$F$14),D42,"")</f>
        <v/>
      </c>
      <c r="Z42" s="191">
        <f>IF(AND(X42&gt;=$F$15,X41&lt;$F$15),D42,"")</f>
        <v/>
      </c>
      <c r="AA42" s="191">
        <f>IF(AND(X42&gt;=$F$16,X41&lt;$F$16),D42,"")</f>
        <v/>
      </c>
      <c r="AB42" s="191">
        <f>IF(AND(X42&gt;=$F$17,X41&lt;$F$17),D42,"")</f>
        <v/>
      </c>
    </row>
    <row r="43" outlineLevel="1" ht="18" customHeight="1" s="326">
      <c r="A43" s="174">
        <f>$A$22</f>
        <v/>
      </c>
      <c r="B43" s="193">
        <f>$B$22</f>
        <v/>
      </c>
      <c r="C43" s="179">
        <f>$C$22</f>
        <v/>
      </c>
      <c r="D43" s="193" t="n">
        <v>8</v>
      </c>
      <c r="E43" s="193">
        <f>('Model Inputs'!$B$22-1)+D43</f>
        <v/>
      </c>
      <c r="F43" s="189">
        <f>IF(D43=1,'Model Inputs'!$B$25*(13-'Model Inputs'!$B$23)/12,'Model Inputs'!$B$25)</f>
        <v/>
      </c>
      <c r="G43" s="189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/>
      </c>
      <c r="H43" s="180">
        <f>IF(D43&lt;=2,0,'Model Inputs'!$B$32*SIN(2*PI()*(D43-3+'Model Inputs'!$B$34)/MAX(1,'Model Inputs'!$B$33)))</f>
        <v/>
      </c>
      <c r="I43" s="189">
        <f>G43*(1+H43)</f>
        <v/>
      </c>
      <c r="J43" s="189">
        <f>0.75*I42+0.25*I41</f>
        <v/>
      </c>
      <c r="K43" s="189">
        <f>F43+J43+IF(D43=1,'Model Inputs'!$B$26,0)</f>
        <v/>
      </c>
      <c r="L43" s="189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/>
      </c>
      <c r="M43" s="189">
        <f>MIN(L43,'Tax Assumptions'!$B$19)</f>
        <v/>
      </c>
      <c r="N43" s="189">
        <f>MAX(L43-M43-'Tax Assumptions'!$B$8,0)</f>
        <v/>
      </c>
      <c r="O43" s="189">
        <f>MAX(L43-M43-'Tax Assumptions'!$B$9,0)</f>
        <v/>
      </c>
      <c r="P43" s="189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/>
      </c>
      <c r="Q43" s="189">
        <f>L43-M43-P43</f>
        <v/>
      </c>
      <c r="R43" s="189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/>
      </c>
      <c r="S43" s="189">
        <f>Q43-R43</f>
        <v/>
      </c>
      <c r="T43" s="189">
        <f>MIN(MAX(S43,0),'Tax Assumptions'!$B$20)</f>
        <v/>
      </c>
      <c r="U43" s="189">
        <f>S43-T43</f>
        <v/>
      </c>
      <c r="V43" s="189">
        <f>MAX(V42*(1+'Model Inputs'!$B$13)+U43,0)</f>
        <v/>
      </c>
      <c r="W43" s="189">
        <f>MAX(W42*(1+'Model Inputs'!$B$13)+M43+T43,0)</f>
        <v/>
      </c>
      <c r="X43" s="189">
        <f>V43+W43</f>
        <v/>
      </c>
      <c r="Y43" s="191">
        <f>IF(AND(X43&gt;=$F$14,X42&lt;$F$14),D43,"")</f>
        <v/>
      </c>
      <c r="Z43" s="191">
        <f>IF(AND(X43&gt;=$F$15,X42&lt;$F$15),D43,"")</f>
        <v/>
      </c>
      <c r="AA43" s="191">
        <f>IF(AND(X43&gt;=$F$16,X42&lt;$F$16),D43,"")</f>
        <v/>
      </c>
      <c r="AB43" s="191">
        <f>IF(AND(X43&gt;=$F$17,X42&lt;$F$17),D43,"")</f>
        <v/>
      </c>
    </row>
    <row r="44" outlineLevel="1" ht="18" customHeight="1" s="326">
      <c r="A44" s="174">
        <f>$A$22</f>
        <v/>
      </c>
      <c r="B44" s="193">
        <f>$B$22</f>
        <v/>
      </c>
      <c r="C44" s="179">
        <f>$C$22</f>
        <v/>
      </c>
      <c r="D44" s="193" t="n">
        <v>9</v>
      </c>
      <c r="E44" s="193">
        <f>('Model Inputs'!$B$22-1)+D44</f>
        <v/>
      </c>
      <c r="F44" s="189">
        <f>IF(D44=1,'Model Inputs'!$B$25*(13-'Model Inputs'!$B$23)/12,'Model Inputs'!$B$25)</f>
        <v/>
      </c>
      <c r="G44" s="189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/>
      </c>
      <c r="H44" s="180">
        <f>IF(D44&lt;=2,0,'Model Inputs'!$B$32*SIN(2*PI()*(D44-3+'Model Inputs'!$B$34)/MAX(1,'Model Inputs'!$B$33)))</f>
        <v/>
      </c>
      <c r="I44" s="189">
        <f>G44*(1+H44)</f>
        <v/>
      </c>
      <c r="J44" s="189">
        <f>0.75*I43+0.25*I42</f>
        <v/>
      </c>
      <c r="K44" s="189">
        <f>F44+J44+IF(D44=1,'Model Inputs'!$B$26,0)</f>
        <v/>
      </c>
      <c r="L44" s="189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/>
      </c>
      <c r="M44" s="189">
        <f>MIN(L44,'Tax Assumptions'!$B$19)</f>
        <v/>
      </c>
      <c r="N44" s="189">
        <f>MAX(L44-M44-'Tax Assumptions'!$B$8,0)</f>
        <v/>
      </c>
      <c r="O44" s="189">
        <f>MAX(L44-M44-'Tax Assumptions'!$B$9,0)</f>
        <v/>
      </c>
      <c r="P44" s="189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/>
      </c>
      <c r="Q44" s="189">
        <f>L44-M44-P44</f>
        <v/>
      </c>
      <c r="R44" s="189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/>
      </c>
      <c r="S44" s="189">
        <f>Q44-R44</f>
        <v/>
      </c>
      <c r="T44" s="189">
        <f>MIN(MAX(S44,0),'Tax Assumptions'!$B$20)</f>
        <v/>
      </c>
      <c r="U44" s="189">
        <f>S44-T44</f>
        <v/>
      </c>
      <c r="V44" s="189">
        <f>MAX(V43*(1+'Model Inputs'!$B$13)+U44,0)</f>
        <v/>
      </c>
      <c r="W44" s="189">
        <f>MAX(W43*(1+'Model Inputs'!$B$13)+M44+T44,0)</f>
        <v/>
      </c>
      <c r="X44" s="189">
        <f>V44+W44</f>
        <v/>
      </c>
      <c r="Y44" s="191">
        <f>IF(AND(X44&gt;=$F$14,X43&lt;$F$14),D44,"")</f>
        <v/>
      </c>
      <c r="Z44" s="191">
        <f>IF(AND(X44&gt;=$F$15,X43&lt;$F$15),D44,"")</f>
        <v/>
      </c>
      <c r="AA44" s="191">
        <f>IF(AND(X44&gt;=$F$16,X43&lt;$F$16),D44,"")</f>
        <v/>
      </c>
      <c r="AB44" s="191">
        <f>IF(AND(X44&gt;=$F$17,X43&lt;$F$17),D44,"")</f>
        <v/>
      </c>
    </row>
    <row r="45" outlineLevel="1" ht="18" customHeight="1" s="326">
      <c r="A45" s="174">
        <f>$A$22</f>
        <v/>
      </c>
      <c r="B45" s="193">
        <f>$B$22</f>
        <v/>
      </c>
      <c r="C45" s="179">
        <f>$C$22</f>
        <v/>
      </c>
      <c r="D45" s="193" t="n">
        <v>10</v>
      </c>
      <c r="E45" s="193">
        <f>('Model Inputs'!$B$22-1)+D45</f>
        <v/>
      </c>
      <c r="F45" s="189">
        <f>IF(D45=1,'Model Inputs'!$B$25*(13-'Model Inputs'!$B$23)/12,'Model Inputs'!$B$25)</f>
        <v/>
      </c>
      <c r="G45" s="189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/>
      </c>
      <c r="H45" s="180">
        <f>IF(D45&lt;=2,0,'Model Inputs'!$B$32*SIN(2*PI()*(D45-3+'Model Inputs'!$B$34)/MAX(1,'Model Inputs'!$B$33)))</f>
        <v/>
      </c>
      <c r="I45" s="189">
        <f>G45*(1+H45)</f>
        <v/>
      </c>
      <c r="J45" s="189">
        <f>0.75*I44+0.25*I43</f>
        <v/>
      </c>
      <c r="K45" s="189">
        <f>F45+J45+IF(D45=1,'Model Inputs'!$B$26,0)</f>
        <v/>
      </c>
      <c r="L45" s="189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/>
      </c>
      <c r="M45" s="189">
        <f>MIN(L45,'Tax Assumptions'!$B$19)</f>
        <v/>
      </c>
      <c r="N45" s="189">
        <f>MAX(L45-M45-'Tax Assumptions'!$B$8,0)</f>
        <v/>
      </c>
      <c r="O45" s="189">
        <f>MAX(L45-M45-'Tax Assumptions'!$B$9,0)</f>
        <v/>
      </c>
      <c r="P45" s="189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/>
      </c>
      <c r="Q45" s="189">
        <f>L45-M45-P45</f>
        <v/>
      </c>
      <c r="R45" s="189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/>
      </c>
      <c r="S45" s="189">
        <f>Q45-R45</f>
        <v/>
      </c>
      <c r="T45" s="189">
        <f>MIN(MAX(S45,0),'Tax Assumptions'!$B$20)</f>
        <v/>
      </c>
      <c r="U45" s="189">
        <f>S45-T45</f>
        <v/>
      </c>
      <c r="V45" s="189">
        <f>MAX(V44*(1+'Model Inputs'!$B$13)+U45,0)</f>
        <v/>
      </c>
      <c r="W45" s="189">
        <f>MAX(W44*(1+'Model Inputs'!$B$13)+M45+T45,0)</f>
        <v/>
      </c>
      <c r="X45" s="189">
        <f>V45+W45</f>
        <v/>
      </c>
      <c r="Y45" s="191">
        <f>IF(AND(X45&gt;=$F$14,X44&lt;$F$14),D45,"")</f>
        <v/>
      </c>
      <c r="Z45" s="191">
        <f>IF(AND(X45&gt;=$F$15,X44&lt;$F$15),D45,"")</f>
        <v/>
      </c>
      <c r="AA45" s="191">
        <f>IF(AND(X45&gt;=$F$16,X44&lt;$F$16),D45,"")</f>
        <v/>
      </c>
      <c r="AB45" s="191">
        <f>IF(AND(X45&gt;=$F$17,X44&lt;$F$17),D45,"")</f>
        <v/>
      </c>
    </row>
    <row r="46" outlineLevel="1" ht="18" customHeight="1" s="326">
      <c r="A46" s="174">
        <f>$A$22</f>
        <v/>
      </c>
      <c r="B46" s="193">
        <f>$B$22</f>
        <v/>
      </c>
      <c r="C46" s="179">
        <f>$C$22</f>
        <v/>
      </c>
      <c r="D46" s="193" t="n">
        <v>11</v>
      </c>
      <c r="E46" s="193">
        <f>('Model Inputs'!$B$22-1)+D46</f>
        <v/>
      </c>
      <c r="F46" s="189">
        <f>IF(D46=1,'Model Inputs'!$B$25*(13-'Model Inputs'!$B$23)/12,'Model Inputs'!$B$25)</f>
        <v/>
      </c>
      <c r="G46" s="189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/>
      </c>
      <c r="H46" s="180">
        <f>IF(D46&lt;=2,0,'Model Inputs'!$B$32*SIN(2*PI()*(D46-3+'Model Inputs'!$B$34)/MAX(1,'Model Inputs'!$B$33)))</f>
        <v/>
      </c>
      <c r="I46" s="189">
        <f>G46*(1+H46)</f>
        <v/>
      </c>
      <c r="J46" s="189">
        <f>0.75*I45+0.25*I44</f>
        <v/>
      </c>
      <c r="K46" s="189">
        <f>F46+J46+IF(D46=1,'Model Inputs'!$B$26,0)</f>
        <v/>
      </c>
      <c r="L46" s="189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/>
      </c>
      <c r="M46" s="189">
        <f>MIN(L46,'Tax Assumptions'!$B$19)</f>
        <v/>
      </c>
      <c r="N46" s="189">
        <f>MAX(L46-M46-'Tax Assumptions'!$B$8,0)</f>
        <v/>
      </c>
      <c r="O46" s="189">
        <f>MAX(L46-M46-'Tax Assumptions'!$B$9,0)</f>
        <v/>
      </c>
      <c r="P46" s="189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/>
      </c>
      <c r="Q46" s="189">
        <f>L46-M46-P46</f>
        <v/>
      </c>
      <c r="R46" s="189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/>
      </c>
      <c r="S46" s="189">
        <f>Q46-R46</f>
        <v/>
      </c>
      <c r="T46" s="189">
        <f>MIN(MAX(S46,0),'Tax Assumptions'!$B$20)</f>
        <v/>
      </c>
      <c r="U46" s="189">
        <f>S46-T46</f>
        <v/>
      </c>
      <c r="V46" s="189">
        <f>MAX(V45*(1+'Model Inputs'!$B$13)+U46,0)</f>
        <v/>
      </c>
      <c r="W46" s="189">
        <f>MAX(W45*(1+'Model Inputs'!$B$13)+M46+T46,0)</f>
        <v/>
      </c>
      <c r="X46" s="189">
        <f>V46+W46</f>
        <v/>
      </c>
      <c r="Y46" s="191">
        <f>IF(AND(X46&gt;=$F$14,X45&lt;$F$14),D46,"")</f>
        <v/>
      </c>
      <c r="Z46" s="191">
        <f>IF(AND(X46&gt;=$F$15,X45&lt;$F$15),D46,"")</f>
        <v/>
      </c>
      <c r="AA46" s="191">
        <f>IF(AND(X46&gt;=$F$16,X45&lt;$F$16),D46,"")</f>
        <v/>
      </c>
      <c r="AB46" s="191">
        <f>IF(AND(X46&gt;=$F$17,X45&lt;$F$17),D46,"")</f>
        <v/>
      </c>
    </row>
    <row r="47" outlineLevel="1" ht="18" customHeight="1" s="326">
      <c r="A47" s="174">
        <f>$A$22</f>
        <v/>
      </c>
      <c r="B47" s="193">
        <f>$B$22</f>
        <v/>
      </c>
      <c r="C47" s="179">
        <f>$C$22</f>
        <v/>
      </c>
      <c r="D47" s="193" t="n">
        <v>12</v>
      </c>
      <c r="E47" s="193">
        <f>('Model Inputs'!$B$22-1)+D47</f>
        <v/>
      </c>
      <c r="F47" s="189">
        <f>IF(D47=1,'Model Inputs'!$B$25*(13-'Model Inputs'!$B$23)/12,'Model Inputs'!$B$25)</f>
        <v/>
      </c>
      <c r="G47" s="189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/>
      </c>
      <c r="H47" s="180">
        <f>IF(D47&lt;=2,0,'Model Inputs'!$B$32*SIN(2*PI()*(D47-3+'Model Inputs'!$B$34)/MAX(1,'Model Inputs'!$B$33)))</f>
        <v/>
      </c>
      <c r="I47" s="189">
        <f>G47*(1+H47)</f>
        <v/>
      </c>
      <c r="J47" s="189">
        <f>0.75*I46+0.25*I45</f>
        <v/>
      </c>
      <c r="K47" s="189">
        <f>F47+J47+IF(D47=1,'Model Inputs'!$B$26,0)</f>
        <v/>
      </c>
      <c r="L47" s="189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/>
      </c>
      <c r="M47" s="189">
        <f>MIN(L47,'Tax Assumptions'!$B$19)</f>
        <v/>
      </c>
      <c r="N47" s="189">
        <f>MAX(L47-M47-'Tax Assumptions'!$B$8,0)</f>
        <v/>
      </c>
      <c r="O47" s="189">
        <f>MAX(L47-M47-'Tax Assumptions'!$B$9,0)</f>
        <v/>
      </c>
      <c r="P47" s="189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/>
      </c>
      <c r="Q47" s="189">
        <f>L47-M47-P47</f>
        <v/>
      </c>
      <c r="R47" s="189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/>
      </c>
      <c r="S47" s="189">
        <f>Q47-R47</f>
        <v/>
      </c>
      <c r="T47" s="189">
        <f>MIN(MAX(S47,0),'Tax Assumptions'!$B$20)</f>
        <v/>
      </c>
      <c r="U47" s="189">
        <f>S47-T47</f>
        <v/>
      </c>
      <c r="V47" s="189">
        <f>MAX(V46*(1+'Model Inputs'!$B$13)+U47,0)</f>
        <v/>
      </c>
      <c r="W47" s="189">
        <f>MAX(W46*(1+'Model Inputs'!$B$13)+M47+T47,0)</f>
        <v/>
      </c>
      <c r="X47" s="189">
        <f>V47+W47</f>
        <v/>
      </c>
      <c r="Y47" s="191">
        <f>IF(AND(X47&gt;=$F$14,X46&lt;$F$14),D47,"")</f>
        <v/>
      </c>
      <c r="Z47" s="191">
        <f>IF(AND(X47&gt;=$F$15,X46&lt;$F$15),D47,"")</f>
        <v/>
      </c>
      <c r="AA47" s="191">
        <f>IF(AND(X47&gt;=$F$16,X46&lt;$F$16),D47,"")</f>
        <v/>
      </c>
      <c r="AB47" s="191">
        <f>IF(AND(X47&gt;=$F$17,X46&lt;$F$17),D47,"")</f>
        <v/>
      </c>
    </row>
    <row r="48" outlineLevel="1" ht="18" customHeight="1" s="326">
      <c r="A48" s="174">
        <f>$A$22</f>
        <v/>
      </c>
      <c r="B48" s="193">
        <f>$B$22</f>
        <v/>
      </c>
      <c r="C48" s="179">
        <f>$C$22</f>
        <v/>
      </c>
      <c r="D48" s="193" t="n">
        <v>13</v>
      </c>
      <c r="E48" s="193">
        <f>('Model Inputs'!$B$22-1)+D48</f>
        <v/>
      </c>
      <c r="F48" s="189">
        <f>IF(D48=1,'Model Inputs'!$B$25*(13-'Model Inputs'!$B$23)/12,'Model Inputs'!$B$25)</f>
        <v/>
      </c>
      <c r="G48" s="189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/>
      </c>
      <c r="H48" s="180">
        <f>IF(D48&lt;=2,0,'Model Inputs'!$B$32*SIN(2*PI()*(D48-3+'Model Inputs'!$B$34)/MAX(1,'Model Inputs'!$B$33)))</f>
        <v/>
      </c>
      <c r="I48" s="189">
        <f>G48*(1+H48)</f>
        <v/>
      </c>
      <c r="J48" s="189">
        <f>0.75*I47+0.25*I46</f>
        <v/>
      </c>
      <c r="K48" s="189">
        <f>F48+J48+IF(D48=1,'Model Inputs'!$B$26,0)</f>
        <v/>
      </c>
      <c r="L48" s="189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/>
      </c>
      <c r="M48" s="189">
        <f>MIN(L48,'Tax Assumptions'!$B$19)</f>
        <v/>
      </c>
      <c r="N48" s="189">
        <f>MAX(L48-M48-'Tax Assumptions'!$B$8,0)</f>
        <v/>
      </c>
      <c r="O48" s="189">
        <f>MAX(L48-M48-'Tax Assumptions'!$B$9,0)</f>
        <v/>
      </c>
      <c r="P48" s="189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/>
      </c>
      <c r="Q48" s="189">
        <f>L48-M48-P48</f>
        <v/>
      </c>
      <c r="R48" s="189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/>
      </c>
      <c r="S48" s="189">
        <f>Q48-R48</f>
        <v/>
      </c>
      <c r="T48" s="189">
        <f>MIN(MAX(S48,0),'Tax Assumptions'!$B$20)</f>
        <v/>
      </c>
      <c r="U48" s="189">
        <f>S48-T48</f>
        <v/>
      </c>
      <c r="V48" s="189">
        <f>MAX(V47*(1+'Model Inputs'!$B$13)+U48,0)</f>
        <v/>
      </c>
      <c r="W48" s="189">
        <f>MAX(W47*(1+'Model Inputs'!$B$13)+M48+T48,0)</f>
        <v/>
      </c>
      <c r="X48" s="189">
        <f>V48+W48</f>
        <v/>
      </c>
      <c r="Y48" s="191">
        <f>IF(AND(X48&gt;=$F$14,X47&lt;$F$14),D48,"")</f>
        <v/>
      </c>
      <c r="Z48" s="191">
        <f>IF(AND(X48&gt;=$F$15,X47&lt;$F$15),D48,"")</f>
        <v/>
      </c>
      <c r="AA48" s="191">
        <f>IF(AND(X48&gt;=$F$16,X47&lt;$F$16),D48,"")</f>
        <v/>
      </c>
      <c r="AB48" s="191">
        <f>IF(AND(X48&gt;=$F$17,X47&lt;$F$17),D48,"")</f>
        <v/>
      </c>
    </row>
    <row r="49" outlineLevel="1" ht="18" customHeight="1" s="326">
      <c r="A49" s="174">
        <f>$A$22</f>
        <v/>
      </c>
      <c r="B49" s="193">
        <f>$B$22</f>
        <v/>
      </c>
      <c r="C49" s="179">
        <f>$C$22</f>
        <v/>
      </c>
      <c r="D49" s="193" t="n">
        <v>14</v>
      </c>
      <c r="E49" s="193">
        <f>('Model Inputs'!$B$22-1)+D49</f>
        <v/>
      </c>
      <c r="F49" s="189">
        <f>IF(D49=1,'Model Inputs'!$B$25*(13-'Model Inputs'!$B$23)/12,'Model Inputs'!$B$25)</f>
        <v/>
      </c>
      <c r="G49" s="189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/>
      </c>
      <c r="H49" s="180">
        <f>IF(D49&lt;=2,0,'Model Inputs'!$B$32*SIN(2*PI()*(D49-3+'Model Inputs'!$B$34)/MAX(1,'Model Inputs'!$B$33)))</f>
        <v/>
      </c>
      <c r="I49" s="189">
        <f>G49*(1+H49)</f>
        <v/>
      </c>
      <c r="J49" s="189">
        <f>0.75*I48+0.25*I47</f>
        <v/>
      </c>
      <c r="K49" s="189">
        <f>F49+J49+IF(D49=1,'Model Inputs'!$B$26,0)</f>
        <v/>
      </c>
      <c r="L49" s="189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/>
      </c>
      <c r="M49" s="189">
        <f>MIN(L49,'Tax Assumptions'!$B$19)</f>
        <v/>
      </c>
      <c r="N49" s="189">
        <f>MAX(L49-M49-'Tax Assumptions'!$B$8,0)</f>
        <v/>
      </c>
      <c r="O49" s="189">
        <f>MAX(L49-M49-'Tax Assumptions'!$B$9,0)</f>
        <v/>
      </c>
      <c r="P49" s="189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/>
      </c>
      <c r="Q49" s="189">
        <f>L49-M49-P49</f>
        <v/>
      </c>
      <c r="R49" s="189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/>
      </c>
      <c r="S49" s="189">
        <f>Q49-R49</f>
        <v/>
      </c>
      <c r="T49" s="189">
        <f>MIN(MAX(S49,0),'Tax Assumptions'!$B$20)</f>
        <v/>
      </c>
      <c r="U49" s="189">
        <f>S49-T49</f>
        <v/>
      </c>
      <c r="V49" s="189">
        <f>MAX(V48*(1+'Model Inputs'!$B$13)+U49,0)</f>
        <v/>
      </c>
      <c r="W49" s="189">
        <f>MAX(W48*(1+'Model Inputs'!$B$13)+M49+T49,0)</f>
        <v/>
      </c>
      <c r="X49" s="189">
        <f>V49+W49</f>
        <v/>
      </c>
      <c r="Y49" s="191">
        <f>IF(AND(X49&gt;=$F$14,X48&lt;$F$14),D49,"")</f>
        <v/>
      </c>
      <c r="Z49" s="191">
        <f>IF(AND(X49&gt;=$F$15,X48&lt;$F$15),D49,"")</f>
        <v/>
      </c>
      <c r="AA49" s="191">
        <f>IF(AND(X49&gt;=$F$16,X48&lt;$F$16),D49,"")</f>
        <v/>
      </c>
      <c r="AB49" s="191">
        <f>IF(AND(X49&gt;=$F$17,X48&lt;$F$17),D49,"")</f>
        <v/>
      </c>
    </row>
    <row r="50" outlineLevel="1" ht="18" customHeight="1" s="326">
      <c r="A50" s="174">
        <f>$A$22</f>
        <v/>
      </c>
      <c r="B50" s="193">
        <f>$B$22</f>
        <v/>
      </c>
      <c r="C50" s="179">
        <f>$C$22</f>
        <v/>
      </c>
      <c r="D50" s="193" t="n">
        <v>15</v>
      </c>
      <c r="E50" s="193">
        <f>('Model Inputs'!$B$22-1)+D50</f>
        <v/>
      </c>
      <c r="F50" s="189">
        <f>IF(D50=1,'Model Inputs'!$B$25*(13-'Model Inputs'!$B$23)/12,'Model Inputs'!$B$25)</f>
        <v/>
      </c>
      <c r="G50" s="189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/>
      </c>
      <c r="H50" s="180">
        <f>IF(D50&lt;=2,0,'Model Inputs'!$B$32*SIN(2*PI()*(D50-3+'Model Inputs'!$B$34)/MAX(1,'Model Inputs'!$B$33)))</f>
        <v/>
      </c>
      <c r="I50" s="189">
        <f>G50*(1+H50)</f>
        <v/>
      </c>
      <c r="J50" s="189">
        <f>0.75*I49+0.25*I48</f>
        <v/>
      </c>
      <c r="K50" s="189">
        <f>F50+J50+IF(D50=1,'Model Inputs'!$B$26,0)</f>
        <v/>
      </c>
      <c r="L50" s="189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/>
      </c>
      <c r="M50" s="189">
        <f>MIN(L50,'Tax Assumptions'!$B$19)</f>
        <v/>
      </c>
      <c r="N50" s="189">
        <f>MAX(L50-M50-'Tax Assumptions'!$B$8,0)</f>
        <v/>
      </c>
      <c r="O50" s="189">
        <f>MAX(L50-M50-'Tax Assumptions'!$B$9,0)</f>
        <v/>
      </c>
      <c r="P50" s="189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/>
      </c>
      <c r="Q50" s="189">
        <f>L50-M50-P50</f>
        <v/>
      </c>
      <c r="R50" s="189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/>
      </c>
      <c r="S50" s="189">
        <f>Q50-R50</f>
        <v/>
      </c>
      <c r="T50" s="189">
        <f>MIN(MAX(S50,0),'Tax Assumptions'!$B$20)</f>
        <v/>
      </c>
      <c r="U50" s="189">
        <f>S50-T50</f>
        <v/>
      </c>
      <c r="V50" s="189">
        <f>MAX(V49*(1+'Model Inputs'!$B$13)+U50,0)</f>
        <v/>
      </c>
      <c r="W50" s="189">
        <f>MAX(W49*(1+'Model Inputs'!$B$13)+M50+T50,0)</f>
        <v/>
      </c>
      <c r="X50" s="189">
        <f>V50+W50</f>
        <v/>
      </c>
      <c r="Y50" s="191">
        <f>IF(AND(X50&gt;=$F$14,X49&lt;$F$14),D50,"")</f>
        <v/>
      </c>
      <c r="Z50" s="191">
        <f>IF(AND(X50&gt;=$F$15,X49&lt;$F$15),D50,"")</f>
        <v/>
      </c>
      <c r="AA50" s="191">
        <f>IF(AND(X50&gt;=$F$16,X49&lt;$F$16),D50,"")</f>
        <v/>
      </c>
      <c r="AB50" s="191">
        <f>IF(AND(X50&gt;=$F$17,X49&lt;$F$17),D50,"")</f>
        <v/>
      </c>
    </row>
    <row r="51" outlineLevel="1" ht="18" customHeight="1" s="326">
      <c r="A51" s="174">
        <f>$A$23</f>
        <v/>
      </c>
      <c r="B51" s="193">
        <f>$B$23</f>
        <v/>
      </c>
      <c r="C51" s="179">
        <f>$C$23</f>
        <v/>
      </c>
      <c r="D51" s="193" t="n">
        <v>1</v>
      </c>
      <c r="E51" s="193">
        <f>('Model Inputs'!$B$22-1)+D51</f>
        <v/>
      </c>
      <c r="F51" s="189">
        <f>IF(D51=1,'Model Inputs'!$B$25*(13-'Model Inputs'!$B$23)/12,'Model Inputs'!$B$25)</f>
        <v/>
      </c>
      <c r="G51" s="189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/>
      </c>
      <c r="H51" s="180">
        <f>IF(D51&lt;=2,0,'Model Inputs'!$B$32*SIN(2*PI()*(D51-3+'Model Inputs'!$B$34)/MAX(1,'Model Inputs'!$B$33)))</f>
        <v/>
      </c>
      <c r="I51" s="189">
        <f>G51*(1+H51)</f>
        <v/>
      </c>
      <c r="J51" s="189">
        <f>0</f>
        <v/>
      </c>
      <c r="K51" s="189">
        <f>F51+J51+IF(D51=1,'Model Inputs'!$B$26,0)</f>
        <v/>
      </c>
      <c r="L51" s="189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/>
      </c>
      <c r="M51" s="189">
        <f>MIN(L51,'Tax Assumptions'!$B$19)</f>
        <v/>
      </c>
      <c r="N51" s="189">
        <f>MAX(L51-M51-'Tax Assumptions'!$B$8,0)</f>
        <v/>
      </c>
      <c r="O51" s="189">
        <f>MAX(L51-M51-'Tax Assumptions'!$B$9,0)</f>
        <v/>
      </c>
      <c r="P51" s="189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/>
      </c>
      <c r="Q51" s="189">
        <f>L51-M51-P51</f>
        <v/>
      </c>
      <c r="R51" s="189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/>
      </c>
      <c r="S51" s="189">
        <f>Q51-R51</f>
        <v/>
      </c>
      <c r="T51" s="189">
        <f>MIN(MAX(S51,0),'Tax Assumptions'!$B$20)</f>
        <v/>
      </c>
      <c r="U51" s="189">
        <f>S51-T51</f>
        <v/>
      </c>
      <c r="V51" s="189">
        <f>MAX('Model Inputs'!$B$7*(1+'Model Inputs'!$B$13)+U51,0)</f>
        <v/>
      </c>
      <c r="W51" s="189">
        <f>MAX(('Model Inputs'!$B$8+'Model Inputs'!$B$9+'Model Inputs'!$B$10)*(1+'Model Inputs'!$B$13)+M51+T51,0)</f>
        <v/>
      </c>
      <c r="X51" s="189">
        <f>V51+W51</f>
        <v/>
      </c>
      <c r="Y51" s="191">
        <f>IF(AND(X51&gt;=$F$14,0&lt;$F$14),D51,"")</f>
        <v/>
      </c>
      <c r="Z51" s="191">
        <f>IF(AND(X51&gt;=$F$15,0&lt;$F$15),D51,"")</f>
        <v/>
      </c>
      <c r="AA51" s="191">
        <f>IF(AND(X51&gt;=$F$16,0&lt;$F$16),D51,"")</f>
        <v/>
      </c>
      <c r="AB51" s="191">
        <f>IF(AND(X51&gt;=$F$17,0&lt;$F$17),D51,"")</f>
        <v/>
      </c>
    </row>
    <row r="52" outlineLevel="1" ht="18" customHeight="1" s="326">
      <c r="A52" s="174">
        <f>$A$23</f>
        <v/>
      </c>
      <c r="B52" s="193">
        <f>$B$23</f>
        <v/>
      </c>
      <c r="C52" s="179">
        <f>$C$23</f>
        <v/>
      </c>
      <c r="D52" s="193" t="n">
        <v>2</v>
      </c>
      <c r="E52" s="193">
        <f>('Model Inputs'!$B$22-1)+D52</f>
        <v/>
      </c>
      <c r="F52" s="189">
        <f>IF(D52=1,'Model Inputs'!$B$25*(13-'Model Inputs'!$B$23)/12,'Model Inputs'!$B$25)</f>
        <v/>
      </c>
      <c r="G52" s="189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/>
      </c>
      <c r="H52" s="180">
        <f>IF(D52&lt;=2,0,'Model Inputs'!$B$32*SIN(2*PI()*(D52-3+'Model Inputs'!$B$34)/MAX(1,'Model Inputs'!$B$33)))</f>
        <v/>
      </c>
      <c r="I52" s="189">
        <f>G52*(1+H52)</f>
        <v/>
      </c>
      <c r="J52" s="189">
        <f>0.75*I51</f>
        <v/>
      </c>
      <c r="K52" s="189">
        <f>F52+J52+IF(D52=1,'Model Inputs'!$B$26,0)</f>
        <v/>
      </c>
      <c r="L52" s="189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/>
      </c>
      <c r="M52" s="189">
        <f>MIN(L52,'Tax Assumptions'!$B$19)</f>
        <v/>
      </c>
      <c r="N52" s="189">
        <f>MAX(L52-M52-'Tax Assumptions'!$B$8,0)</f>
        <v/>
      </c>
      <c r="O52" s="189">
        <f>MAX(L52-M52-'Tax Assumptions'!$B$9,0)</f>
        <v/>
      </c>
      <c r="P52" s="189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/>
      </c>
      <c r="Q52" s="189">
        <f>L52-M52-P52</f>
        <v/>
      </c>
      <c r="R52" s="189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/>
      </c>
      <c r="S52" s="189">
        <f>Q52-R52</f>
        <v/>
      </c>
      <c r="T52" s="189">
        <f>MIN(MAX(S52,0),'Tax Assumptions'!$B$20)</f>
        <v/>
      </c>
      <c r="U52" s="189">
        <f>S52-T52</f>
        <v/>
      </c>
      <c r="V52" s="189">
        <f>MAX(V51*(1+'Model Inputs'!$B$13)+U52,0)</f>
        <v/>
      </c>
      <c r="W52" s="189">
        <f>MAX(W51*(1+'Model Inputs'!$B$13)+M52+T52,0)</f>
        <v/>
      </c>
      <c r="X52" s="189">
        <f>V52+W52</f>
        <v/>
      </c>
      <c r="Y52" s="191">
        <f>IF(AND(X52&gt;=$F$14,X51&lt;$F$14),D52,"")</f>
        <v/>
      </c>
      <c r="Z52" s="191">
        <f>IF(AND(X52&gt;=$F$15,X51&lt;$F$15),D52,"")</f>
        <v/>
      </c>
      <c r="AA52" s="191">
        <f>IF(AND(X52&gt;=$F$16,X51&lt;$F$16),D52,"")</f>
        <v/>
      </c>
      <c r="AB52" s="191">
        <f>IF(AND(X52&gt;=$F$17,X51&lt;$F$17),D52,"")</f>
        <v/>
      </c>
    </row>
    <row r="53" outlineLevel="1" ht="18" customHeight="1" s="326">
      <c r="A53" s="174">
        <f>$A$23</f>
        <v/>
      </c>
      <c r="B53" s="193">
        <f>$B$23</f>
        <v/>
      </c>
      <c r="C53" s="179">
        <f>$C$23</f>
        <v/>
      </c>
      <c r="D53" s="193" t="n">
        <v>3</v>
      </c>
      <c r="E53" s="193">
        <f>('Model Inputs'!$B$22-1)+D53</f>
        <v/>
      </c>
      <c r="F53" s="189">
        <f>IF(D53=1,'Model Inputs'!$B$25*(13-'Model Inputs'!$B$23)/12,'Model Inputs'!$B$25)</f>
        <v/>
      </c>
      <c r="G53" s="189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/>
      </c>
      <c r="H53" s="180">
        <f>IF(D53&lt;=2,0,'Model Inputs'!$B$32*SIN(2*PI()*(D53-3+'Model Inputs'!$B$34)/MAX(1,'Model Inputs'!$B$33)))</f>
        <v/>
      </c>
      <c r="I53" s="189">
        <f>G53*(1+H53)</f>
        <v/>
      </c>
      <c r="J53" s="189">
        <f>0.75*I52+0.25*I51</f>
        <v/>
      </c>
      <c r="K53" s="189">
        <f>F53+J53+IF(D53=1,'Model Inputs'!$B$26,0)</f>
        <v/>
      </c>
      <c r="L53" s="189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/>
      </c>
      <c r="M53" s="189">
        <f>MIN(L53,'Tax Assumptions'!$B$19)</f>
        <v/>
      </c>
      <c r="N53" s="189">
        <f>MAX(L53-M53-'Tax Assumptions'!$B$8,0)</f>
        <v/>
      </c>
      <c r="O53" s="189">
        <f>MAX(L53-M53-'Tax Assumptions'!$B$9,0)</f>
        <v/>
      </c>
      <c r="P53" s="189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/>
      </c>
      <c r="Q53" s="189">
        <f>L53-M53-P53</f>
        <v/>
      </c>
      <c r="R53" s="189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/>
      </c>
      <c r="S53" s="189">
        <f>Q53-R53</f>
        <v/>
      </c>
      <c r="T53" s="189">
        <f>MIN(MAX(S53,0),'Tax Assumptions'!$B$20)</f>
        <v/>
      </c>
      <c r="U53" s="189">
        <f>S53-T53</f>
        <v/>
      </c>
      <c r="V53" s="189">
        <f>MAX(V52*(1+'Model Inputs'!$B$13)+U53,0)</f>
        <v/>
      </c>
      <c r="W53" s="189">
        <f>MAX(W52*(1+'Model Inputs'!$B$13)+M53+T53,0)</f>
        <v/>
      </c>
      <c r="X53" s="189">
        <f>V53+W53</f>
        <v/>
      </c>
      <c r="Y53" s="191">
        <f>IF(AND(X53&gt;=$F$14,X52&lt;$F$14),D53,"")</f>
        <v/>
      </c>
      <c r="Z53" s="191">
        <f>IF(AND(X53&gt;=$F$15,X52&lt;$F$15),D53,"")</f>
        <v/>
      </c>
      <c r="AA53" s="191">
        <f>IF(AND(X53&gt;=$F$16,X52&lt;$F$16),D53,"")</f>
        <v/>
      </c>
      <c r="AB53" s="191">
        <f>IF(AND(X53&gt;=$F$17,X52&lt;$F$17),D53,"")</f>
        <v/>
      </c>
    </row>
    <row r="54" outlineLevel="1" ht="18" customHeight="1" s="326">
      <c r="A54" s="174">
        <f>$A$23</f>
        <v/>
      </c>
      <c r="B54" s="193">
        <f>$B$23</f>
        <v/>
      </c>
      <c r="C54" s="179">
        <f>$C$23</f>
        <v/>
      </c>
      <c r="D54" s="193" t="n">
        <v>4</v>
      </c>
      <c r="E54" s="193">
        <f>('Model Inputs'!$B$22-1)+D54</f>
        <v/>
      </c>
      <c r="F54" s="189">
        <f>IF(D54=1,'Model Inputs'!$B$25*(13-'Model Inputs'!$B$23)/12,'Model Inputs'!$B$25)</f>
        <v/>
      </c>
      <c r="G54" s="189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/>
      </c>
      <c r="H54" s="180">
        <f>IF(D54&lt;=2,0,'Model Inputs'!$B$32*SIN(2*PI()*(D54-3+'Model Inputs'!$B$34)/MAX(1,'Model Inputs'!$B$33)))</f>
        <v/>
      </c>
      <c r="I54" s="189">
        <f>G54*(1+H54)</f>
        <v/>
      </c>
      <c r="J54" s="189">
        <f>0.75*I53+0.25*I52</f>
        <v/>
      </c>
      <c r="K54" s="189">
        <f>F54+J54+IF(D54=1,'Model Inputs'!$B$26,0)</f>
        <v/>
      </c>
      <c r="L54" s="189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/>
      </c>
      <c r="M54" s="189">
        <f>MIN(L54,'Tax Assumptions'!$B$19)</f>
        <v/>
      </c>
      <c r="N54" s="189">
        <f>MAX(L54-M54-'Tax Assumptions'!$B$8,0)</f>
        <v/>
      </c>
      <c r="O54" s="189">
        <f>MAX(L54-M54-'Tax Assumptions'!$B$9,0)</f>
        <v/>
      </c>
      <c r="P54" s="189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/>
      </c>
      <c r="Q54" s="189">
        <f>L54-M54-P54</f>
        <v/>
      </c>
      <c r="R54" s="189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/>
      </c>
      <c r="S54" s="189">
        <f>Q54-R54</f>
        <v/>
      </c>
      <c r="T54" s="189">
        <f>MIN(MAX(S54,0),'Tax Assumptions'!$B$20)</f>
        <v/>
      </c>
      <c r="U54" s="189">
        <f>S54-T54</f>
        <v/>
      </c>
      <c r="V54" s="189">
        <f>MAX(V53*(1+'Model Inputs'!$B$13)+U54,0)</f>
        <v/>
      </c>
      <c r="W54" s="189">
        <f>MAX(W53*(1+'Model Inputs'!$B$13)+M54+T54,0)</f>
        <v/>
      </c>
      <c r="X54" s="189">
        <f>V54+W54</f>
        <v/>
      </c>
      <c r="Y54" s="191">
        <f>IF(AND(X54&gt;=$F$14,X53&lt;$F$14),D54,"")</f>
        <v/>
      </c>
      <c r="Z54" s="191">
        <f>IF(AND(X54&gt;=$F$15,X53&lt;$F$15),D54,"")</f>
        <v/>
      </c>
      <c r="AA54" s="191">
        <f>IF(AND(X54&gt;=$F$16,X53&lt;$F$16),D54,"")</f>
        <v/>
      </c>
      <c r="AB54" s="191">
        <f>IF(AND(X54&gt;=$F$17,X53&lt;$F$17),D54,"")</f>
        <v/>
      </c>
    </row>
    <row r="55" outlineLevel="1" ht="18" customHeight="1" s="326">
      <c r="A55" s="174">
        <f>$A$23</f>
        <v/>
      </c>
      <c r="B55" s="193">
        <f>$B$23</f>
        <v/>
      </c>
      <c r="C55" s="179">
        <f>$C$23</f>
        <v/>
      </c>
      <c r="D55" s="193" t="n">
        <v>5</v>
      </c>
      <c r="E55" s="193">
        <f>('Model Inputs'!$B$22-1)+D55</f>
        <v/>
      </c>
      <c r="F55" s="189">
        <f>IF(D55=1,'Model Inputs'!$B$25*(13-'Model Inputs'!$B$23)/12,'Model Inputs'!$B$25)</f>
        <v/>
      </c>
      <c r="G55" s="189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/>
      </c>
      <c r="H55" s="180">
        <f>IF(D55&lt;=2,0,'Model Inputs'!$B$32*SIN(2*PI()*(D55-3+'Model Inputs'!$B$34)/MAX(1,'Model Inputs'!$B$33)))</f>
        <v/>
      </c>
      <c r="I55" s="189">
        <f>G55*(1+H55)</f>
        <v/>
      </c>
      <c r="J55" s="189">
        <f>0.75*I54+0.25*I53</f>
        <v/>
      </c>
      <c r="K55" s="189">
        <f>F55+J55+IF(D55=1,'Model Inputs'!$B$26,0)</f>
        <v/>
      </c>
      <c r="L55" s="189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/>
      </c>
      <c r="M55" s="189">
        <f>MIN(L55,'Tax Assumptions'!$B$19)</f>
        <v/>
      </c>
      <c r="N55" s="189">
        <f>MAX(L55-M55-'Tax Assumptions'!$B$8,0)</f>
        <v/>
      </c>
      <c r="O55" s="189">
        <f>MAX(L55-M55-'Tax Assumptions'!$B$9,0)</f>
        <v/>
      </c>
      <c r="P55" s="189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/>
      </c>
      <c r="Q55" s="189">
        <f>L55-M55-P55</f>
        <v/>
      </c>
      <c r="R55" s="189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/>
      </c>
      <c r="S55" s="189">
        <f>Q55-R55</f>
        <v/>
      </c>
      <c r="T55" s="189">
        <f>MIN(MAX(S55,0),'Tax Assumptions'!$B$20)</f>
        <v/>
      </c>
      <c r="U55" s="189">
        <f>S55-T55</f>
        <v/>
      </c>
      <c r="V55" s="189">
        <f>MAX(V54*(1+'Model Inputs'!$B$13)+U55,0)</f>
        <v/>
      </c>
      <c r="W55" s="189">
        <f>MAX(W54*(1+'Model Inputs'!$B$13)+M55+T55,0)</f>
        <v/>
      </c>
      <c r="X55" s="189">
        <f>V55+W55</f>
        <v/>
      </c>
      <c r="Y55" s="191">
        <f>IF(AND(X55&gt;=$F$14,X54&lt;$F$14),D55,"")</f>
        <v/>
      </c>
      <c r="Z55" s="191">
        <f>IF(AND(X55&gt;=$F$15,X54&lt;$F$15),D55,"")</f>
        <v/>
      </c>
      <c r="AA55" s="191">
        <f>IF(AND(X55&gt;=$F$16,X54&lt;$F$16),D55,"")</f>
        <v/>
      </c>
      <c r="AB55" s="191">
        <f>IF(AND(X55&gt;=$F$17,X54&lt;$F$17),D55,"")</f>
        <v/>
      </c>
    </row>
    <row r="56" outlineLevel="1" ht="18" customHeight="1" s="326">
      <c r="A56" s="174">
        <f>$A$23</f>
        <v/>
      </c>
      <c r="B56" s="193">
        <f>$B$23</f>
        <v/>
      </c>
      <c r="C56" s="179">
        <f>$C$23</f>
        <v/>
      </c>
      <c r="D56" s="193" t="n">
        <v>6</v>
      </c>
      <c r="E56" s="193">
        <f>('Model Inputs'!$B$22-1)+D56</f>
        <v/>
      </c>
      <c r="F56" s="189">
        <f>IF(D56=1,'Model Inputs'!$B$25*(13-'Model Inputs'!$B$23)/12,'Model Inputs'!$B$25)</f>
        <v/>
      </c>
      <c r="G56" s="189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/>
      </c>
      <c r="H56" s="180">
        <f>IF(D56&lt;=2,0,'Model Inputs'!$B$32*SIN(2*PI()*(D56-3+'Model Inputs'!$B$34)/MAX(1,'Model Inputs'!$B$33)))</f>
        <v/>
      </c>
      <c r="I56" s="189">
        <f>G56*(1+H56)</f>
        <v/>
      </c>
      <c r="J56" s="189">
        <f>0.75*I55+0.25*I54</f>
        <v/>
      </c>
      <c r="K56" s="189">
        <f>F56+J56+IF(D56=1,'Model Inputs'!$B$26,0)</f>
        <v/>
      </c>
      <c r="L56" s="189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/>
      </c>
      <c r="M56" s="189">
        <f>MIN(L56,'Tax Assumptions'!$B$19)</f>
        <v/>
      </c>
      <c r="N56" s="189">
        <f>MAX(L56-M56-'Tax Assumptions'!$B$8,0)</f>
        <v/>
      </c>
      <c r="O56" s="189">
        <f>MAX(L56-M56-'Tax Assumptions'!$B$9,0)</f>
        <v/>
      </c>
      <c r="P56" s="189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/>
      </c>
      <c r="Q56" s="189">
        <f>L56-M56-P56</f>
        <v/>
      </c>
      <c r="R56" s="189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/>
      </c>
      <c r="S56" s="189">
        <f>Q56-R56</f>
        <v/>
      </c>
      <c r="T56" s="189">
        <f>MIN(MAX(S56,0),'Tax Assumptions'!$B$20)</f>
        <v/>
      </c>
      <c r="U56" s="189">
        <f>S56-T56</f>
        <v/>
      </c>
      <c r="V56" s="189">
        <f>MAX(V55*(1+'Model Inputs'!$B$13)+U56,0)</f>
        <v/>
      </c>
      <c r="W56" s="189">
        <f>MAX(W55*(1+'Model Inputs'!$B$13)+M56+T56,0)</f>
        <v/>
      </c>
      <c r="X56" s="189">
        <f>V56+W56</f>
        <v/>
      </c>
      <c r="Y56" s="191">
        <f>IF(AND(X56&gt;=$F$14,X55&lt;$F$14),D56,"")</f>
        <v/>
      </c>
      <c r="Z56" s="191">
        <f>IF(AND(X56&gt;=$F$15,X55&lt;$F$15),D56,"")</f>
        <v/>
      </c>
      <c r="AA56" s="191">
        <f>IF(AND(X56&gt;=$F$16,X55&lt;$F$16),D56,"")</f>
        <v/>
      </c>
      <c r="AB56" s="191">
        <f>IF(AND(X56&gt;=$F$17,X55&lt;$F$17),D56,"")</f>
        <v/>
      </c>
    </row>
    <row r="57" outlineLevel="1" ht="18" customHeight="1" s="326">
      <c r="A57" s="174">
        <f>$A$23</f>
        <v/>
      </c>
      <c r="B57" s="193">
        <f>$B$23</f>
        <v/>
      </c>
      <c r="C57" s="179">
        <f>$C$23</f>
        <v/>
      </c>
      <c r="D57" s="193" t="n">
        <v>7</v>
      </c>
      <c r="E57" s="193">
        <f>('Model Inputs'!$B$22-1)+D57</f>
        <v/>
      </c>
      <c r="F57" s="189">
        <f>IF(D57=1,'Model Inputs'!$B$25*(13-'Model Inputs'!$B$23)/12,'Model Inputs'!$B$25)</f>
        <v/>
      </c>
      <c r="G57" s="189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/>
      </c>
      <c r="H57" s="180">
        <f>IF(D57&lt;=2,0,'Model Inputs'!$B$32*SIN(2*PI()*(D57-3+'Model Inputs'!$B$34)/MAX(1,'Model Inputs'!$B$33)))</f>
        <v/>
      </c>
      <c r="I57" s="189">
        <f>G57*(1+H57)</f>
        <v/>
      </c>
      <c r="J57" s="189">
        <f>0.75*I56+0.25*I55</f>
        <v/>
      </c>
      <c r="K57" s="189">
        <f>F57+J57+IF(D57=1,'Model Inputs'!$B$26,0)</f>
        <v/>
      </c>
      <c r="L57" s="189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/>
      </c>
      <c r="M57" s="189">
        <f>MIN(L57,'Tax Assumptions'!$B$19)</f>
        <v/>
      </c>
      <c r="N57" s="189">
        <f>MAX(L57-M57-'Tax Assumptions'!$B$8,0)</f>
        <v/>
      </c>
      <c r="O57" s="189">
        <f>MAX(L57-M57-'Tax Assumptions'!$B$9,0)</f>
        <v/>
      </c>
      <c r="P57" s="189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/>
      </c>
      <c r="Q57" s="189">
        <f>L57-M57-P57</f>
        <v/>
      </c>
      <c r="R57" s="189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/>
      </c>
      <c r="S57" s="189">
        <f>Q57-R57</f>
        <v/>
      </c>
      <c r="T57" s="189">
        <f>MIN(MAX(S57,0),'Tax Assumptions'!$B$20)</f>
        <v/>
      </c>
      <c r="U57" s="189">
        <f>S57-T57</f>
        <v/>
      </c>
      <c r="V57" s="189">
        <f>MAX(V56*(1+'Model Inputs'!$B$13)+U57,0)</f>
        <v/>
      </c>
      <c r="W57" s="189">
        <f>MAX(W56*(1+'Model Inputs'!$B$13)+M57+T57,0)</f>
        <v/>
      </c>
      <c r="X57" s="189">
        <f>V57+W57</f>
        <v/>
      </c>
      <c r="Y57" s="191">
        <f>IF(AND(X57&gt;=$F$14,X56&lt;$F$14),D57,"")</f>
        <v/>
      </c>
      <c r="Z57" s="191">
        <f>IF(AND(X57&gt;=$F$15,X56&lt;$F$15),D57,"")</f>
        <v/>
      </c>
      <c r="AA57" s="191">
        <f>IF(AND(X57&gt;=$F$16,X56&lt;$F$16),D57,"")</f>
        <v/>
      </c>
      <c r="AB57" s="191">
        <f>IF(AND(X57&gt;=$F$17,X56&lt;$F$17),D57,"")</f>
        <v/>
      </c>
    </row>
    <row r="58" outlineLevel="1" ht="18" customHeight="1" s="326">
      <c r="A58" s="174">
        <f>$A$23</f>
        <v/>
      </c>
      <c r="B58" s="193">
        <f>$B$23</f>
        <v/>
      </c>
      <c r="C58" s="179">
        <f>$C$23</f>
        <v/>
      </c>
      <c r="D58" s="193" t="n">
        <v>8</v>
      </c>
      <c r="E58" s="193">
        <f>('Model Inputs'!$B$22-1)+D58</f>
        <v/>
      </c>
      <c r="F58" s="189">
        <f>IF(D58=1,'Model Inputs'!$B$25*(13-'Model Inputs'!$B$23)/12,'Model Inputs'!$B$25)</f>
        <v/>
      </c>
      <c r="G58" s="189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/>
      </c>
      <c r="H58" s="180">
        <f>IF(D58&lt;=2,0,'Model Inputs'!$B$32*SIN(2*PI()*(D58-3+'Model Inputs'!$B$34)/MAX(1,'Model Inputs'!$B$33)))</f>
        <v/>
      </c>
      <c r="I58" s="189">
        <f>G58*(1+H58)</f>
        <v/>
      </c>
      <c r="J58" s="189">
        <f>0.75*I57+0.25*I56</f>
        <v/>
      </c>
      <c r="K58" s="189">
        <f>F58+J58+IF(D58=1,'Model Inputs'!$B$26,0)</f>
        <v/>
      </c>
      <c r="L58" s="189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/>
      </c>
      <c r="M58" s="189">
        <f>MIN(L58,'Tax Assumptions'!$B$19)</f>
        <v/>
      </c>
      <c r="N58" s="189">
        <f>MAX(L58-M58-'Tax Assumptions'!$B$8,0)</f>
        <v/>
      </c>
      <c r="O58" s="189">
        <f>MAX(L58-M58-'Tax Assumptions'!$B$9,0)</f>
        <v/>
      </c>
      <c r="P58" s="189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/>
      </c>
      <c r="Q58" s="189">
        <f>L58-M58-P58</f>
        <v/>
      </c>
      <c r="R58" s="189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/>
      </c>
      <c r="S58" s="189">
        <f>Q58-R58</f>
        <v/>
      </c>
      <c r="T58" s="189">
        <f>MIN(MAX(S58,0),'Tax Assumptions'!$B$20)</f>
        <v/>
      </c>
      <c r="U58" s="189">
        <f>S58-T58</f>
        <v/>
      </c>
      <c r="V58" s="189">
        <f>MAX(V57*(1+'Model Inputs'!$B$13)+U58,0)</f>
        <v/>
      </c>
      <c r="W58" s="189">
        <f>MAX(W57*(1+'Model Inputs'!$B$13)+M58+T58,0)</f>
        <v/>
      </c>
      <c r="X58" s="189">
        <f>V58+W58</f>
        <v/>
      </c>
      <c r="Y58" s="191">
        <f>IF(AND(X58&gt;=$F$14,X57&lt;$F$14),D58,"")</f>
        <v/>
      </c>
      <c r="Z58" s="191">
        <f>IF(AND(X58&gt;=$F$15,X57&lt;$F$15),D58,"")</f>
        <v/>
      </c>
      <c r="AA58" s="191">
        <f>IF(AND(X58&gt;=$F$16,X57&lt;$F$16),D58,"")</f>
        <v/>
      </c>
      <c r="AB58" s="191">
        <f>IF(AND(X58&gt;=$F$17,X57&lt;$F$17),D58,"")</f>
        <v/>
      </c>
    </row>
    <row r="59" outlineLevel="1" ht="18" customHeight="1" s="326">
      <c r="A59" s="174">
        <f>$A$23</f>
        <v/>
      </c>
      <c r="B59" s="193">
        <f>$B$23</f>
        <v/>
      </c>
      <c r="C59" s="179">
        <f>$C$23</f>
        <v/>
      </c>
      <c r="D59" s="193" t="n">
        <v>9</v>
      </c>
      <c r="E59" s="193">
        <f>('Model Inputs'!$B$22-1)+D59</f>
        <v/>
      </c>
      <c r="F59" s="189">
        <f>IF(D59=1,'Model Inputs'!$B$25*(13-'Model Inputs'!$B$23)/12,'Model Inputs'!$B$25)</f>
        <v/>
      </c>
      <c r="G59" s="189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/>
      </c>
      <c r="H59" s="180">
        <f>IF(D59&lt;=2,0,'Model Inputs'!$B$32*SIN(2*PI()*(D59-3+'Model Inputs'!$B$34)/MAX(1,'Model Inputs'!$B$33)))</f>
        <v/>
      </c>
      <c r="I59" s="189">
        <f>G59*(1+H59)</f>
        <v/>
      </c>
      <c r="J59" s="189">
        <f>0.75*I58+0.25*I57</f>
        <v/>
      </c>
      <c r="K59" s="189">
        <f>F59+J59+IF(D59=1,'Model Inputs'!$B$26,0)</f>
        <v/>
      </c>
      <c r="L59" s="189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/>
      </c>
      <c r="M59" s="189">
        <f>MIN(L59,'Tax Assumptions'!$B$19)</f>
        <v/>
      </c>
      <c r="N59" s="189">
        <f>MAX(L59-M59-'Tax Assumptions'!$B$8,0)</f>
        <v/>
      </c>
      <c r="O59" s="189">
        <f>MAX(L59-M59-'Tax Assumptions'!$B$9,0)</f>
        <v/>
      </c>
      <c r="P59" s="189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/>
      </c>
      <c r="Q59" s="189">
        <f>L59-M59-P59</f>
        <v/>
      </c>
      <c r="R59" s="189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/>
      </c>
      <c r="S59" s="189">
        <f>Q59-R59</f>
        <v/>
      </c>
      <c r="T59" s="189">
        <f>MIN(MAX(S59,0),'Tax Assumptions'!$B$20)</f>
        <v/>
      </c>
      <c r="U59" s="189">
        <f>S59-T59</f>
        <v/>
      </c>
      <c r="V59" s="189">
        <f>MAX(V58*(1+'Model Inputs'!$B$13)+U59,0)</f>
        <v/>
      </c>
      <c r="W59" s="189">
        <f>MAX(W58*(1+'Model Inputs'!$B$13)+M59+T59,0)</f>
        <v/>
      </c>
      <c r="X59" s="189">
        <f>V59+W59</f>
        <v/>
      </c>
      <c r="Y59" s="191">
        <f>IF(AND(X59&gt;=$F$14,X58&lt;$F$14),D59,"")</f>
        <v/>
      </c>
      <c r="Z59" s="191">
        <f>IF(AND(X59&gt;=$F$15,X58&lt;$F$15),D59,"")</f>
        <v/>
      </c>
      <c r="AA59" s="191">
        <f>IF(AND(X59&gt;=$F$16,X58&lt;$F$16),D59,"")</f>
        <v/>
      </c>
      <c r="AB59" s="191">
        <f>IF(AND(X59&gt;=$F$17,X58&lt;$F$17),D59,"")</f>
        <v/>
      </c>
    </row>
    <row r="60" outlineLevel="1" ht="18" customHeight="1" s="326">
      <c r="A60" s="174">
        <f>$A$23</f>
        <v/>
      </c>
      <c r="B60" s="193">
        <f>$B$23</f>
        <v/>
      </c>
      <c r="C60" s="179">
        <f>$C$23</f>
        <v/>
      </c>
      <c r="D60" s="193" t="n">
        <v>10</v>
      </c>
      <c r="E60" s="193">
        <f>('Model Inputs'!$B$22-1)+D60</f>
        <v/>
      </c>
      <c r="F60" s="189">
        <f>IF(D60=1,'Model Inputs'!$B$25*(13-'Model Inputs'!$B$23)/12,'Model Inputs'!$B$25)</f>
        <v/>
      </c>
      <c r="G60" s="189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/>
      </c>
      <c r="H60" s="180">
        <f>IF(D60&lt;=2,0,'Model Inputs'!$B$32*SIN(2*PI()*(D60-3+'Model Inputs'!$B$34)/MAX(1,'Model Inputs'!$B$33)))</f>
        <v/>
      </c>
      <c r="I60" s="189">
        <f>G60*(1+H60)</f>
        <v/>
      </c>
      <c r="J60" s="189">
        <f>0.75*I59+0.25*I58</f>
        <v/>
      </c>
      <c r="K60" s="189">
        <f>F60+J60+IF(D60=1,'Model Inputs'!$B$26,0)</f>
        <v/>
      </c>
      <c r="L60" s="189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/>
      </c>
      <c r="M60" s="189">
        <f>MIN(L60,'Tax Assumptions'!$B$19)</f>
        <v/>
      </c>
      <c r="N60" s="189">
        <f>MAX(L60-M60-'Tax Assumptions'!$B$8,0)</f>
        <v/>
      </c>
      <c r="O60" s="189">
        <f>MAX(L60-M60-'Tax Assumptions'!$B$9,0)</f>
        <v/>
      </c>
      <c r="P60" s="189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/>
      </c>
      <c r="Q60" s="189">
        <f>L60-M60-P60</f>
        <v/>
      </c>
      <c r="R60" s="189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/>
      </c>
      <c r="S60" s="189">
        <f>Q60-R60</f>
        <v/>
      </c>
      <c r="T60" s="189">
        <f>MIN(MAX(S60,0),'Tax Assumptions'!$B$20)</f>
        <v/>
      </c>
      <c r="U60" s="189">
        <f>S60-T60</f>
        <v/>
      </c>
      <c r="V60" s="189">
        <f>MAX(V59*(1+'Model Inputs'!$B$13)+U60,0)</f>
        <v/>
      </c>
      <c r="W60" s="189">
        <f>MAX(W59*(1+'Model Inputs'!$B$13)+M60+T60,0)</f>
        <v/>
      </c>
      <c r="X60" s="189">
        <f>V60+W60</f>
        <v/>
      </c>
      <c r="Y60" s="191">
        <f>IF(AND(X60&gt;=$F$14,X59&lt;$F$14),D60,"")</f>
        <v/>
      </c>
      <c r="Z60" s="191">
        <f>IF(AND(X60&gt;=$F$15,X59&lt;$F$15),D60,"")</f>
        <v/>
      </c>
      <c r="AA60" s="191">
        <f>IF(AND(X60&gt;=$F$16,X59&lt;$F$16),D60,"")</f>
        <v/>
      </c>
      <c r="AB60" s="191">
        <f>IF(AND(X60&gt;=$F$17,X59&lt;$F$17),D60,"")</f>
        <v/>
      </c>
    </row>
    <row r="61" outlineLevel="1" ht="18" customHeight="1" s="326">
      <c r="A61" s="174">
        <f>$A$23</f>
        <v/>
      </c>
      <c r="B61" s="193">
        <f>$B$23</f>
        <v/>
      </c>
      <c r="C61" s="179">
        <f>$C$23</f>
        <v/>
      </c>
      <c r="D61" s="193" t="n">
        <v>11</v>
      </c>
      <c r="E61" s="193">
        <f>('Model Inputs'!$B$22-1)+D61</f>
        <v/>
      </c>
      <c r="F61" s="189">
        <f>IF(D61=1,'Model Inputs'!$B$25*(13-'Model Inputs'!$B$23)/12,'Model Inputs'!$B$25)</f>
        <v/>
      </c>
      <c r="G61" s="189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/>
      </c>
      <c r="H61" s="180">
        <f>IF(D61&lt;=2,0,'Model Inputs'!$B$32*SIN(2*PI()*(D61-3+'Model Inputs'!$B$34)/MAX(1,'Model Inputs'!$B$33)))</f>
        <v/>
      </c>
      <c r="I61" s="189">
        <f>G61*(1+H61)</f>
        <v/>
      </c>
      <c r="J61" s="189">
        <f>0.75*I60+0.25*I59</f>
        <v/>
      </c>
      <c r="K61" s="189">
        <f>F61+J61+IF(D61=1,'Model Inputs'!$B$26,0)</f>
        <v/>
      </c>
      <c r="L61" s="189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/>
      </c>
      <c r="M61" s="189">
        <f>MIN(L61,'Tax Assumptions'!$B$19)</f>
        <v/>
      </c>
      <c r="N61" s="189">
        <f>MAX(L61-M61-'Tax Assumptions'!$B$8,0)</f>
        <v/>
      </c>
      <c r="O61" s="189">
        <f>MAX(L61-M61-'Tax Assumptions'!$B$9,0)</f>
        <v/>
      </c>
      <c r="P61" s="189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/>
      </c>
      <c r="Q61" s="189">
        <f>L61-M61-P61</f>
        <v/>
      </c>
      <c r="R61" s="189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/>
      </c>
      <c r="S61" s="189">
        <f>Q61-R61</f>
        <v/>
      </c>
      <c r="T61" s="189">
        <f>MIN(MAX(S61,0),'Tax Assumptions'!$B$20)</f>
        <v/>
      </c>
      <c r="U61" s="189">
        <f>S61-T61</f>
        <v/>
      </c>
      <c r="V61" s="189">
        <f>MAX(V60*(1+'Model Inputs'!$B$13)+U61,0)</f>
        <v/>
      </c>
      <c r="W61" s="189">
        <f>MAX(W60*(1+'Model Inputs'!$B$13)+M61+T61,0)</f>
        <v/>
      </c>
      <c r="X61" s="189">
        <f>V61+W61</f>
        <v/>
      </c>
      <c r="Y61" s="191">
        <f>IF(AND(X61&gt;=$F$14,X60&lt;$F$14),D61,"")</f>
        <v/>
      </c>
      <c r="Z61" s="191">
        <f>IF(AND(X61&gt;=$F$15,X60&lt;$F$15),D61,"")</f>
        <v/>
      </c>
      <c r="AA61" s="191">
        <f>IF(AND(X61&gt;=$F$16,X60&lt;$F$16),D61,"")</f>
        <v/>
      </c>
      <c r="AB61" s="191">
        <f>IF(AND(X61&gt;=$F$17,X60&lt;$F$17),D61,"")</f>
        <v/>
      </c>
    </row>
    <row r="62" outlineLevel="1" ht="18" customHeight="1" s="326">
      <c r="A62" s="174">
        <f>$A$23</f>
        <v/>
      </c>
      <c r="B62" s="193">
        <f>$B$23</f>
        <v/>
      </c>
      <c r="C62" s="179">
        <f>$C$23</f>
        <v/>
      </c>
      <c r="D62" s="193" t="n">
        <v>12</v>
      </c>
      <c r="E62" s="193">
        <f>('Model Inputs'!$B$22-1)+D62</f>
        <v/>
      </c>
      <c r="F62" s="189">
        <f>IF(D62=1,'Model Inputs'!$B$25*(13-'Model Inputs'!$B$23)/12,'Model Inputs'!$B$25)</f>
        <v/>
      </c>
      <c r="G62" s="189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/>
      </c>
      <c r="H62" s="180">
        <f>IF(D62&lt;=2,0,'Model Inputs'!$B$32*SIN(2*PI()*(D62-3+'Model Inputs'!$B$34)/MAX(1,'Model Inputs'!$B$33)))</f>
        <v/>
      </c>
      <c r="I62" s="189">
        <f>G62*(1+H62)</f>
        <v/>
      </c>
      <c r="J62" s="189">
        <f>0.75*I61+0.25*I60</f>
        <v/>
      </c>
      <c r="K62" s="189">
        <f>F62+J62+IF(D62=1,'Model Inputs'!$B$26,0)</f>
        <v/>
      </c>
      <c r="L62" s="189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/>
      </c>
      <c r="M62" s="189">
        <f>MIN(L62,'Tax Assumptions'!$B$19)</f>
        <v/>
      </c>
      <c r="N62" s="189">
        <f>MAX(L62-M62-'Tax Assumptions'!$B$8,0)</f>
        <v/>
      </c>
      <c r="O62" s="189">
        <f>MAX(L62-M62-'Tax Assumptions'!$B$9,0)</f>
        <v/>
      </c>
      <c r="P62" s="189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/>
      </c>
      <c r="Q62" s="189">
        <f>L62-M62-P62</f>
        <v/>
      </c>
      <c r="R62" s="189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/>
      </c>
      <c r="S62" s="189">
        <f>Q62-R62</f>
        <v/>
      </c>
      <c r="T62" s="189">
        <f>MIN(MAX(S62,0),'Tax Assumptions'!$B$20)</f>
        <v/>
      </c>
      <c r="U62" s="189">
        <f>S62-T62</f>
        <v/>
      </c>
      <c r="V62" s="189">
        <f>MAX(V61*(1+'Model Inputs'!$B$13)+U62,0)</f>
        <v/>
      </c>
      <c r="W62" s="189">
        <f>MAX(W61*(1+'Model Inputs'!$B$13)+M62+T62,0)</f>
        <v/>
      </c>
      <c r="X62" s="189">
        <f>V62+W62</f>
        <v/>
      </c>
      <c r="Y62" s="191">
        <f>IF(AND(X62&gt;=$F$14,X61&lt;$F$14),D62,"")</f>
        <v/>
      </c>
      <c r="Z62" s="191">
        <f>IF(AND(X62&gt;=$F$15,X61&lt;$F$15),D62,"")</f>
        <v/>
      </c>
      <c r="AA62" s="191">
        <f>IF(AND(X62&gt;=$F$16,X61&lt;$F$16),D62,"")</f>
        <v/>
      </c>
      <c r="AB62" s="191">
        <f>IF(AND(X62&gt;=$F$17,X61&lt;$F$17),D62,"")</f>
        <v/>
      </c>
    </row>
    <row r="63" outlineLevel="1" ht="18" customHeight="1" s="326">
      <c r="A63" s="174">
        <f>$A$23</f>
        <v/>
      </c>
      <c r="B63" s="193">
        <f>$B$23</f>
        <v/>
      </c>
      <c r="C63" s="179">
        <f>$C$23</f>
        <v/>
      </c>
      <c r="D63" s="193" t="n">
        <v>13</v>
      </c>
      <c r="E63" s="193">
        <f>('Model Inputs'!$B$22-1)+D63</f>
        <v/>
      </c>
      <c r="F63" s="189">
        <f>IF(D63=1,'Model Inputs'!$B$25*(13-'Model Inputs'!$B$23)/12,'Model Inputs'!$B$25)</f>
        <v/>
      </c>
      <c r="G63" s="189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/>
      </c>
      <c r="H63" s="180">
        <f>IF(D63&lt;=2,0,'Model Inputs'!$B$32*SIN(2*PI()*(D63-3+'Model Inputs'!$B$34)/MAX(1,'Model Inputs'!$B$33)))</f>
        <v/>
      </c>
      <c r="I63" s="189">
        <f>G63*(1+H63)</f>
        <v/>
      </c>
      <c r="J63" s="189">
        <f>0.75*I62+0.25*I61</f>
        <v/>
      </c>
      <c r="K63" s="189">
        <f>F63+J63+IF(D63=1,'Model Inputs'!$B$26,0)</f>
        <v/>
      </c>
      <c r="L63" s="189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/>
      </c>
      <c r="M63" s="189">
        <f>MIN(L63,'Tax Assumptions'!$B$19)</f>
        <v/>
      </c>
      <c r="N63" s="189">
        <f>MAX(L63-M63-'Tax Assumptions'!$B$8,0)</f>
        <v/>
      </c>
      <c r="O63" s="189">
        <f>MAX(L63-M63-'Tax Assumptions'!$B$9,0)</f>
        <v/>
      </c>
      <c r="P63" s="189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/>
      </c>
      <c r="Q63" s="189">
        <f>L63-M63-P63</f>
        <v/>
      </c>
      <c r="R63" s="189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/>
      </c>
      <c r="S63" s="189">
        <f>Q63-R63</f>
        <v/>
      </c>
      <c r="T63" s="189">
        <f>MIN(MAX(S63,0),'Tax Assumptions'!$B$20)</f>
        <v/>
      </c>
      <c r="U63" s="189">
        <f>S63-T63</f>
        <v/>
      </c>
      <c r="V63" s="189">
        <f>MAX(V62*(1+'Model Inputs'!$B$13)+U63,0)</f>
        <v/>
      </c>
      <c r="W63" s="189">
        <f>MAX(W62*(1+'Model Inputs'!$B$13)+M63+T63,0)</f>
        <v/>
      </c>
      <c r="X63" s="189">
        <f>V63+W63</f>
        <v/>
      </c>
      <c r="Y63" s="191">
        <f>IF(AND(X63&gt;=$F$14,X62&lt;$F$14),D63,"")</f>
        <v/>
      </c>
      <c r="Z63" s="191">
        <f>IF(AND(X63&gt;=$F$15,X62&lt;$F$15),D63,"")</f>
        <v/>
      </c>
      <c r="AA63" s="191">
        <f>IF(AND(X63&gt;=$F$16,X62&lt;$F$16),D63,"")</f>
        <v/>
      </c>
      <c r="AB63" s="191">
        <f>IF(AND(X63&gt;=$F$17,X62&lt;$F$17),D63,"")</f>
        <v/>
      </c>
    </row>
    <row r="64" outlineLevel="1" ht="18" customHeight="1" s="326">
      <c r="A64" s="174">
        <f>$A$23</f>
        <v/>
      </c>
      <c r="B64" s="193">
        <f>$B$23</f>
        <v/>
      </c>
      <c r="C64" s="179">
        <f>$C$23</f>
        <v/>
      </c>
      <c r="D64" s="193" t="n">
        <v>14</v>
      </c>
      <c r="E64" s="193">
        <f>('Model Inputs'!$B$22-1)+D64</f>
        <v/>
      </c>
      <c r="F64" s="189">
        <f>IF(D64=1,'Model Inputs'!$B$25*(13-'Model Inputs'!$B$23)/12,'Model Inputs'!$B$25)</f>
        <v/>
      </c>
      <c r="G64" s="189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/>
      </c>
      <c r="H64" s="180">
        <f>IF(D64&lt;=2,0,'Model Inputs'!$B$32*SIN(2*PI()*(D64-3+'Model Inputs'!$B$34)/MAX(1,'Model Inputs'!$B$33)))</f>
        <v/>
      </c>
      <c r="I64" s="189">
        <f>G64*(1+H64)</f>
        <v/>
      </c>
      <c r="J64" s="189">
        <f>0.75*I63+0.25*I62</f>
        <v/>
      </c>
      <c r="K64" s="189">
        <f>F64+J64+IF(D64=1,'Model Inputs'!$B$26,0)</f>
        <v/>
      </c>
      <c r="L64" s="189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/>
      </c>
      <c r="M64" s="189">
        <f>MIN(L64,'Tax Assumptions'!$B$19)</f>
        <v/>
      </c>
      <c r="N64" s="189">
        <f>MAX(L64-M64-'Tax Assumptions'!$B$8,0)</f>
        <v/>
      </c>
      <c r="O64" s="189">
        <f>MAX(L64-M64-'Tax Assumptions'!$B$9,0)</f>
        <v/>
      </c>
      <c r="P64" s="189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/>
      </c>
      <c r="Q64" s="189">
        <f>L64-M64-P64</f>
        <v/>
      </c>
      <c r="R64" s="189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/>
      </c>
      <c r="S64" s="189">
        <f>Q64-R64</f>
        <v/>
      </c>
      <c r="T64" s="189">
        <f>MIN(MAX(S64,0),'Tax Assumptions'!$B$20)</f>
        <v/>
      </c>
      <c r="U64" s="189">
        <f>S64-T64</f>
        <v/>
      </c>
      <c r="V64" s="189">
        <f>MAX(V63*(1+'Model Inputs'!$B$13)+U64,0)</f>
        <v/>
      </c>
      <c r="W64" s="189">
        <f>MAX(W63*(1+'Model Inputs'!$B$13)+M64+T64,0)</f>
        <v/>
      </c>
      <c r="X64" s="189">
        <f>V64+W64</f>
        <v/>
      </c>
      <c r="Y64" s="191">
        <f>IF(AND(X64&gt;=$F$14,X63&lt;$F$14),D64,"")</f>
        <v/>
      </c>
      <c r="Z64" s="191">
        <f>IF(AND(X64&gt;=$F$15,X63&lt;$F$15),D64,"")</f>
        <v/>
      </c>
      <c r="AA64" s="191">
        <f>IF(AND(X64&gt;=$F$16,X63&lt;$F$16),D64,"")</f>
        <v/>
      </c>
      <c r="AB64" s="191">
        <f>IF(AND(X64&gt;=$F$17,X63&lt;$F$17),D64,"")</f>
        <v/>
      </c>
    </row>
    <row r="65" outlineLevel="1" ht="18" customHeight="1" s="326">
      <c r="A65" s="174">
        <f>$A$23</f>
        <v/>
      </c>
      <c r="B65" s="193">
        <f>$B$23</f>
        <v/>
      </c>
      <c r="C65" s="179">
        <f>$C$23</f>
        <v/>
      </c>
      <c r="D65" s="193" t="n">
        <v>15</v>
      </c>
      <c r="E65" s="193">
        <f>('Model Inputs'!$B$22-1)+D65</f>
        <v/>
      </c>
      <c r="F65" s="189">
        <f>IF(D65=1,'Model Inputs'!$B$25*(13-'Model Inputs'!$B$23)/12,'Model Inputs'!$B$25)</f>
        <v/>
      </c>
      <c r="G65" s="189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/>
      </c>
      <c r="H65" s="180">
        <f>IF(D65&lt;=2,0,'Model Inputs'!$B$32*SIN(2*PI()*(D65-3+'Model Inputs'!$B$34)/MAX(1,'Model Inputs'!$B$33)))</f>
        <v/>
      </c>
      <c r="I65" s="189">
        <f>G65*(1+H65)</f>
        <v/>
      </c>
      <c r="J65" s="189">
        <f>0.75*I64+0.25*I63</f>
        <v/>
      </c>
      <c r="K65" s="189">
        <f>F65+J65+IF(D65=1,'Model Inputs'!$B$26,0)</f>
        <v/>
      </c>
      <c r="L65" s="189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/>
      </c>
      <c r="M65" s="189">
        <f>MIN(L65,'Tax Assumptions'!$B$19)</f>
        <v/>
      </c>
      <c r="N65" s="189">
        <f>MAX(L65-M65-'Tax Assumptions'!$B$8,0)</f>
        <v/>
      </c>
      <c r="O65" s="189">
        <f>MAX(L65-M65-'Tax Assumptions'!$B$9,0)</f>
        <v/>
      </c>
      <c r="P65" s="189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/>
      </c>
      <c r="Q65" s="189">
        <f>L65-M65-P65</f>
        <v/>
      </c>
      <c r="R65" s="189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/>
      </c>
      <c r="S65" s="189">
        <f>Q65-R65</f>
        <v/>
      </c>
      <c r="T65" s="189">
        <f>MIN(MAX(S65,0),'Tax Assumptions'!$B$20)</f>
        <v/>
      </c>
      <c r="U65" s="189">
        <f>S65-T65</f>
        <v/>
      </c>
      <c r="V65" s="189">
        <f>MAX(V64*(1+'Model Inputs'!$B$13)+U65,0)</f>
        <v/>
      </c>
      <c r="W65" s="189">
        <f>MAX(W64*(1+'Model Inputs'!$B$13)+M65+T65,0)</f>
        <v/>
      </c>
      <c r="X65" s="189">
        <f>V65+W65</f>
        <v/>
      </c>
      <c r="Y65" s="191">
        <f>IF(AND(X65&gt;=$F$14,X64&lt;$F$14),D65,"")</f>
        <v/>
      </c>
      <c r="Z65" s="191">
        <f>IF(AND(X65&gt;=$F$15,X64&lt;$F$15),D65,"")</f>
        <v/>
      </c>
      <c r="AA65" s="191">
        <f>IF(AND(X65&gt;=$F$16,X64&lt;$F$16),D65,"")</f>
        <v/>
      </c>
      <c r="AB65" s="191">
        <f>IF(AND(X65&gt;=$F$17,X64&lt;$F$17),D65,"")</f>
        <v/>
      </c>
    </row>
    <row r="66" outlineLevel="1" ht="18" customHeight="1" s="326">
      <c r="A66" s="174">
        <f>$A$24</f>
        <v/>
      </c>
      <c r="B66" s="193">
        <f>$B$24</f>
        <v/>
      </c>
      <c r="C66" s="179">
        <f>$C$24</f>
        <v/>
      </c>
      <c r="D66" s="193" t="n">
        <v>1</v>
      </c>
      <c r="E66" s="193">
        <f>('Model Inputs'!$B$22-1)+D66</f>
        <v/>
      </c>
      <c r="F66" s="189">
        <f>IF(D66=1,'Model Inputs'!$B$25*(13-'Model Inputs'!$B$23)/12,'Model Inputs'!$B$25)</f>
        <v/>
      </c>
      <c r="G66" s="189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/>
      </c>
      <c r="H66" s="180">
        <f>IF(D66&lt;=2,0,'Model Inputs'!$B$32*SIN(2*PI()*(D66-3+'Model Inputs'!$B$34)/MAX(1,'Model Inputs'!$B$33)))</f>
        <v/>
      </c>
      <c r="I66" s="189">
        <f>G66*(1+H66)</f>
        <v/>
      </c>
      <c r="J66" s="189">
        <f>0</f>
        <v/>
      </c>
      <c r="K66" s="189">
        <f>F66+J66+IF(D66=1,'Model Inputs'!$B$26,0)</f>
        <v/>
      </c>
      <c r="L66" s="189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/>
      </c>
      <c r="M66" s="189">
        <f>MIN(L66,'Tax Assumptions'!$B$19)</f>
        <v/>
      </c>
      <c r="N66" s="189">
        <f>MAX(L66-M66-'Tax Assumptions'!$B$8,0)</f>
        <v/>
      </c>
      <c r="O66" s="189">
        <f>MAX(L66-M66-'Tax Assumptions'!$B$9,0)</f>
        <v/>
      </c>
      <c r="P66" s="189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/>
      </c>
      <c r="Q66" s="189">
        <f>L66-M66-P66</f>
        <v/>
      </c>
      <c r="R66" s="189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/>
      </c>
      <c r="S66" s="189">
        <f>Q66-R66</f>
        <v/>
      </c>
      <c r="T66" s="189">
        <f>MIN(MAX(S66,0),'Tax Assumptions'!$B$20)</f>
        <v/>
      </c>
      <c r="U66" s="189">
        <f>S66-T66</f>
        <v/>
      </c>
      <c r="V66" s="189">
        <f>MAX('Model Inputs'!$B$7*(1+'Model Inputs'!$B$13)+U66,0)</f>
        <v/>
      </c>
      <c r="W66" s="189">
        <f>MAX(('Model Inputs'!$B$8+'Model Inputs'!$B$9+'Model Inputs'!$B$10)*(1+'Model Inputs'!$B$13)+M66+T66,0)</f>
        <v/>
      </c>
      <c r="X66" s="189">
        <f>V66+W66</f>
        <v/>
      </c>
      <c r="Y66" s="191">
        <f>IF(AND(X66&gt;=$F$14,0&lt;$F$14),D66,"")</f>
        <v/>
      </c>
      <c r="Z66" s="191">
        <f>IF(AND(X66&gt;=$F$15,0&lt;$F$15),D66,"")</f>
        <v/>
      </c>
      <c r="AA66" s="191">
        <f>IF(AND(X66&gt;=$F$16,0&lt;$F$16),D66,"")</f>
        <v/>
      </c>
      <c r="AB66" s="191">
        <f>IF(AND(X66&gt;=$F$17,0&lt;$F$17),D66,"")</f>
        <v/>
      </c>
    </row>
    <row r="67" outlineLevel="1" ht="18" customHeight="1" s="326">
      <c r="A67" s="174">
        <f>$A$24</f>
        <v/>
      </c>
      <c r="B67" s="193">
        <f>$B$24</f>
        <v/>
      </c>
      <c r="C67" s="179">
        <f>$C$24</f>
        <v/>
      </c>
      <c r="D67" s="193" t="n">
        <v>2</v>
      </c>
      <c r="E67" s="193">
        <f>('Model Inputs'!$B$22-1)+D67</f>
        <v/>
      </c>
      <c r="F67" s="189">
        <f>IF(D67=1,'Model Inputs'!$B$25*(13-'Model Inputs'!$B$23)/12,'Model Inputs'!$B$25)</f>
        <v/>
      </c>
      <c r="G67" s="189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/>
      </c>
      <c r="H67" s="180">
        <f>IF(D67&lt;=2,0,'Model Inputs'!$B$32*SIN(2*PI()*(D67-3+'Model Inputs'!$B$34)/MAX(1,'Model Inputs'!$B$33)))</f>
        <v/>
      </c>
      <c r="I67" s="189">
        <f>G67*(1+H67)</f>
        <v/>
      </c>
      <c r="J67" s="189">
        <f>0.75*I66</f>
        <v/>
      </c>
      <c r="K67" s="189">
        <f>F67+J67+IF(D67=1,'Model Inputs'!$B$26,0)</f>
        <v/>
      </c>
      <c r="L67" s="189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/>
      </c>
      <c r="M67" s="189">
        <f>MIN(L67,'Tax Assumptions'!$B$19)</f>
        <v/>
      </c>
      <c r="N67" s="189">
        <f>MAX(L67-M67-'Tax Assumptions'!$B$8,0)</f>
        <v/>
      </c>
      <c r="O67" s="189">
        <f>MAX(L67-M67-'Tax Assumptions'!$B$9,0)</f>
        <v/>
      </c>
      <c r="P67" s="189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/>
      </c>
      <c r="Q67" s="189">
        <f>L67-M67-P67</f>
        <v/>
      </c>
      <c r="R67" s="189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/>
      </c>
      <c r="S67" s="189">
        <f>Q67-R67</f>
        <v/>
      </c>
      <c r="T67" s="189">
        <f>MIN(MAX(S67,0),'Tax Assumptions'!$B$20)</f>
        <v/>
      </c>
      <c r="U67" s="189">
        <f>S67-T67</f>
        <v/>
      </c>
      <c r="V67" s="189">
        <f>MAX(V66*(1+'Model Inputs'!$B$13)+U67,0)</f>
        <v/>
      </c>
      <c r="W67" s="189">
        <f>MAX(W66*(1+'Model Inputs'!$B$13)+M67+T67,0)</f>
        <v/>
      </c>
      <c r="X67" s="189">
        <f>V67+W67</f>
        <v/>
      </c>
      <c r="Y67" s="191">
        <f>IF(AND(X67&gt;=$F$14,X66&lt;$F$14),D67,"")</f>
        <v/>
      </c>
      <c r="Z67" s="191">
        <f>IF(AND(X67&gt;=$F$15,X66&lt;$F$15),D67,"")</f>
        <v/>
      </c>
      <c r="AA67" s="191">
        <f>IF(AND(X67&gt;=$F$16,X66&lt;$F$16),D67,"")</f>
        <v/>
      </c>
      <c r="AB67" s="191">
        <f>IF(AND(X67&gt;=$F$17,X66&lt;$F$17),D67,"")</f>
        <v/>
      </c>
    </row>
    <row r="68" outlineLevel="1" ht="18" customHeight="1" s="326">
      <c r="A68" s="174">
        <f>$A$24</f>
        <v/>
      </c>
      <c r="B68" s="193">
        <f>$B$24</f>
        <v/>
      </c>
      <c r="C68" s="179">
        <f>$C$24</f>
        <v/>
      </c>
      <c r="D68" s="193" t="n">
        <v>3</v>
      </c>
      <c r="E68" s="193">
        <f>('Model Inputs'!$B$22-1)+D68</f>
        <v/>
      </c>
      <c r="F68" s="189">
        <f>IF(D68=1,'Model Inputs'!$B$25*(13-'Model Inputs'!$B$23)/12,'Model Inputs'!$B$25)</f>
        <v/>
      </c>
      <c r="G68" s="189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/>
      </c>
      <c r="H68" s="180">
        <f>IF(D68&lt;=2,0,'Model Inputs'!$B$32*SIN(2*PI()*(D68-3+'Model Inputs'!$B$34)/MAX(1,'Model Inputs'!$B$33)))</f>
        <v/>
      </c>
      <c r="I68" s="189">
        <f>G68*(1+H68)</f>
        <v/>
      </c>
      <c r="J68" s="189">
        <f>0.75*I67+0.25*I66</f>
        <v/>
      </c>
      <c r="K68" s="189">
        <f>F68+J68+IF(D68=1,'Model Inputs'!$B$26,0)</f>
        <v/>
      </c>
      <c r="L68" s="189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/>
      </c>
      <c r="M68" s="189">
        <f>MIN(L68,'Tax Assumptions'!$B$19)</f>
        <v/>
      </c>
      <c r="N68" s="189">
        <f>MAX(L68-M68-'Tax Assumptions'!$B$8,0)</f>
        <v/>
      </c>
      <c r="O68" s="189">
        <f>MAX(L68-M68-'Tax Assumptions'!$B$9,0)</f>
        <v/>
      </c>
      <c r="P68" s="189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/>
      </c>
      <c r="Q68" s="189">
        <f>L68-M68-P68</f>
        <v/>
      </c>
      <c r="R68" s="189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/>
      </c>
      <c r="S68" s="189">
        <f>Q68-R68</f>
        <v/>
      </c>
      <c r="T68" s="189">
        <f>MIN(MAX(S68,0),'Tax Assumptions'!$B$20)</f>
        <v/>
      </c>
      <c r="U68" s="189">
        <f>S68-T68</f>
        <v/>
      </c>
      <c r="V68" s="189">
        <f>MAX(V67*(1+'Model Inputs'!$B$13)+U68,0)</f>
        <v/>
      </c>
      <c r="W68" s="189">
        <f>MAX(W67*(1+'Model Inputs'!$B$13)+M68+T68,0)</f>
        <v/>
      </c>
      <c r="X68" s="189">
        <f>V68+W68</f>
        <v/>
      </c>
      <c r="Y68" s="191">
        <f>IF(AND(X68&gt;=$F$14,X67&lt;$F$14),D68,"")</f>
        <v/>
      </c>
      <c r="Z68" s="191">
        <f>IF(AND(X68&gt;=$F$15,X67&lt;$F$15),D68,"")</f>
        <v/>
      </c>
      <c r="AA68" s="191">
        <f>IF(AND(X68&gt;=$F$16,X67&lt;$F$16),D68,"")</f>
        <v/>
      </c>
      <c r="AB68" s="191">
        <f>IF(AND(X68&gt;=$F$17,X67&lt;$F$17),D68,"")</f>
        <v/>
      </c>
    </row>
    <row r="69" outlineLevel="1" ht="18" customHeight="1" s="326">
      <c r="A69" s="174">
        <f>$A$24</f>
        <v/>
      </c>
      <c r="B69" s="193">
        <f>$B$24</f>
        <v/>
      </c>
      <c r="C69" s="179">
        <f>$C$24</f>
        <v/>
      </c>
      <c r="D69" s="193" t="n">
        <v>4</v>
      </c>
      <c r="E69" s="193">
        <f>('Model Inputs'!$B$22-1)+D69</f>
        <v/>
      </c>
      <c r="F69" s="189">
        <f>IF(D69=1,'Model Inputs'!$B$25*(13-'Model Inputs'!$B$23)/12,'Model Inputs'!$B$25)</f>
        <v/>
      </c>
      <c r="G69" s="189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/>
      </c>
      <c r="H69" s="180">
        <f>IF(D69&lt;=2,0,'Model Inputs'!$B$32*SIN(2*PI()*(D69-3+'Model Inputs'!$B$34)/MAX(1,'Model Inputs'!$B$33)))</f>
        <v/>
      </c>
      <c r="I69" s="189">
        <f>G69*(1+H69)</f>
        <v/>
      </c>
      <c r="J69" s="189">
        <f>0.75*I68+0.25*I67</f>
        <v/>
      </c>
      <c r="K69" s="189">
        <f>F69+J69+IF(D69=1,'Model Inputs'!$B$26,0)</f>
        <v/>
      </c>
      <c r="L69" s="189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/>
      </c>
      <c r="M69" s="189">
        <f>MIN(L69,'Tax Assumptions'!$B$19)</f>
        <v/>
      </c>
      <c r="N69" s="189">
        <f>MAX(L69-M69-'Tax Assumptions'!$B$8,0)</f>
        <v/>
      </c>
      <c r="O69" s="189">
        <f>MAX(L69-M69-'Tax Assumptions'!$B$9,0)</f>
        <v/>
      </c>
      <c r="P69" s="189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/>
      </c>
      <c r="Q69" s="189">
        <f>L69-M69-P69</f>
        <v/>
      </c>
      <c r="R69" s="189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/>
      </c>
      <c r="S69" s="189">
        <f>Q69-R69</f>
        <v/>
      </c>
      <c r="T69" s="189">
        <f>MIN(MAX(S69,0),'Tax Assumptions'!$B$20)</f>
        <v/>
      </c>
      <c r="U69" s="189">
        <f>S69-T69</f>
        <v/>
      </c>
      <c r="V69" s="189">
        <f>MAX(V68*(1+'Model Inputs'!$B$13)+U69,0)</f>
        <v/>
      </c>
      <c r="W69" s="189">
        <f>MAX(W68*(1+'Model Inputs'!$B$13)+M69+T69,0)</f>
        <v/>
      </c>
      <c r="X69" s="189">
        <f>V69+W69</f>
        <v/>
      </c>
      <c r="Y69" s="191">
        <f>IF(AND(X69&gt;=$F$14,X68&lt;$F$14),D69,"")</f>
        <v/>
      </c>
      <c r="Z69" s="191">
        <f>IF(AND(X69&gt;=$F$15,X68&lt;$F$15),D69,"")</f>
        <v/>
      </c>
      <c r="AA69" s="191">
        <f>IF(AND(X69&gt;=$F$16,X68&lt;$F$16),D69,"")</f>
        <v/>
      </c>
      <c r="AB69" s="191">
        <f>IF(AND(X69&gt;=$F$17,X68&lt;$F$17),D69,"")</f>
        <v/>
      </c>
    </row>
    <row r="70" outlineLevel="1" ht="18" customHeight="1" s="326">
      <c r="A70" s="174">
        <f>$A$24</f>
        <v/>
      </c>
      <c r="B70" s="193">
        <f>$B$24</f>
        <v/>
      </c>
      <c r="C70" s="179">
        <f>$C$24</f>
        <v/>
      </c>
      <c r="D70" s="193" t="n">
        <v>5</v>
      </c>
      <c r="E70" s="193">
        <f>('Model Inputs'!$B$22-1)+D70</f>
        <v/>
      </c>
      <c r="F70" s="189">
        <f>IF(D70=1,'Model Inputs'!$B$25*(13-'Model Inputs'!$B$23)/12,'Model Inputs'!$B$25)</f>
        <v/>
      </c>
      <c r="G70" s="189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/>
      </c>
      <c r="H70" s="180">
        <f>IF(D70&lt;=2,0,'Model Inputs'!$B$32*SIN(2*PI()*(D70-3+'Model Inputs'!$B$34)/MAX(1,'Model Inputs'!$B$33)))</f>
        <v/>
      </c>
      <c r="I70" s="189">
        <f>G70*(1+H70)</f>
        <v/>
      </c>
      <c r="J70" s="189">
        <f>0.75*I69+0.25*I68</f>
        <v/>
      </c>
      <c r="K70" s="189">
        <f>F70+J70+IF(D70=1,'Model Inputs'!$B$26,0)</f>
        <v/>
      </c>
      <c r="L70" s="189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/>
      </c>
      <c r="M70" s="189">
        <f>MIN(L70,'Tax Assumptions'!$B$19)</f>
        <v/>
      </c>
      <c r="N70" s="189">
        <f>MAX(L70-M70-'Tax Assumptions'!$B$8,0)</f>
        <v/>
      </c>
      <c r="O70" s="189">
        <f>MAX(L70-M70-'Tax Assumptions'!$B$9,0)</f>
        <v/>
      </c>
      <c r="P70" s="189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/>
      </c>
      <c r="Q70" s="189">
        <f>L70-M70-P70</f>
        <v/>
      </c>
      <c r="R70" s="189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/>
      </c>
      <c r="S70" s="189">
        <f>Q70-R70</f>
        <v/>
      </c>
      <c r="T70" s="189">
        <f>MIN(MAX(S70,0),'Tax Assumptions'!$B$20)</f>
        <v/>
      </c>
      <c r="U70" s="189">
        <f>S70-T70</f>
        <v/>
      </c>
      <c r="V70" s="189">
        <f>MAX(V69*(1+'Model Inputs'!$B$13)+U70,0)</f>
        <v/>
      </c>
      <c r="W70" s="189">
        <f>MAX(W69*(1+'Model Inputs'!$B$13)+M70+T70,0)</f>
        <v/>
      </c>
      <c r="X70" s="189">
        <f>V70+W70</f>
        <v/>
      </c>
      <c r="Y70" s="191">
        <f>IF(AND(X70&gt;=$F$14,X69&lt;$F$14),D70,"")</f>
        <v/>
      </c>
      <c r="Z70" s="191">
        <f>IF(AND(X70&gt;=$F$15,X69&lt;$F$15),D70,"")</f>
        <v/>
      </c>
      <c r="AA70" s="191">
        <f>IF(AND(X70&gt;=$F$16,X69&lt;$F$16),D70,"")</f>
        <v/>
      </c>
      <c r="AB70" s="191">
        <f>IF(AND(X70&gt;=$F$17,X69&lt;$F$17),D70,"")</f>
        <v/>
      </c>
    </row>
    <row r="71" outlineLevel="1" ht="18" customHeight="1" s="326">
      <c r="A71" s="174">
        <f>$A$24</f>
        <v/>
      </c>
      <c r="B71" s="193">
        <f>$B$24</f>
        <v/>
      </c>
      <c r="C71" s="179">
        <f>$C$24</f>
        <v/>
      </c>
      <c r="D71" s="193" t="n">
        <v>6</v>
      </c>
      <c r="E71" s="193">
        <f>('Model Inputs'!$B$22-1)+D71</f>
        <v/>
      </c>
      <c r="F71" s="189">
        <f>IF(D71=1,'Model Inputs'!$B$25*(13-'Model Inputs'!$B$23)/12,'Model Inputs'!$B$25)</f>
        <v/>
      </c>
      <c r="G71" s="189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/>
      </c>
      <c r="H71" s="180">
        <f>IF(D71&lt;=2,0,'Model Inputs'!$B$32*SIN(2*PI()*(D71-3+'Model Inputs'!$B$34)/MAX(1,'Model Inputs'!$B$33)))</f>
        <v/>
      </c>
      <c r="I71" s="189">
        <f>G71*(1+H71)</f>
        <v/>
      </c>
      <c r="J71" s="189">
        <f>0.75*I70+0.25*I69</f>
        <v/>
      </c>
      <c r="K71" s="189">
        <f>F71+J71+IF(D71=1,'Model Inputs'!$B$26,0)</f>
        <v/>
      </c>
      <c r="L71" s="189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/>
      </c>
      <c r="M71" s="189">
        <f>MIN(L71,'Tax Assumptions'!$B$19)</f>
        <v/>
      </c>
      <c r="N71" s="189">
        <f>MAX(L71-M71-'Tax Assumptions'!$B$8,0)</f>
        <v/>
      </c>
      <c r="O71" s="189">
        <f>MAX(L71-M71-'Tax Assumptions'!$B$9,0)</f>
        <v/>
      </c>
      <c r="P71" s="189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/>
      </c>
      <c r="Q71" s="189">
        <f>L71-M71-P71</f>
        <v/>
      </c>
      <c r="R71" s="189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/>
      </c>
      <c r="S71" s="189">
        <f>Q71-R71</f>
        <v/>
      </c>
      <c r="T71" s="189">
        <f>MIN(MAX(S71,0),'Tax Assumptions'!$B$20)</f>
        <v/>
      </c>
      <c r="U71" s="189">
        <f>S71-T71</f>
        <v/>
      </c>
      <c r="V71" s="189">
        <f>MAX(V70*(1+'Model Inputs'!$B$13)+U71,0)</f>
        <v/>
      </c>
      <c r="W71" s="189">
        <f>MAX(W70*(1+'Model Inputs'!$B$13)+M71+T71,0)</f>
        <v/>
      </c>
      <c r="X71" s="189">
        <f>V71+W71</f>
        <v/>
      </c>
      <c r="Y71" s="191">
        <f>IF(AND(X71&gt;=$F$14,X70&lt;$F$14),D71,"")</f>
        <v/>
      </c>
      <c r="Z71" s="191">
        <f>IF(AND(X71&gt;=$F$15,X70&lt;$F$15),D71,"")</f>
        <v/>
      </c>
      <c r="AA71" s="191">
        <f>IF(AND(X71&gt;=$F$16,X70&lt;$F$16),D71,"")</f>
        <v/>
      </c>
      <c r="AB71" s="191">
        <f>IF(AND(X71&gt;=$F$17,X70&lt;$F$17),D71,"")</f>
        <v/>
      </c>
    </row>
    <row r="72" outlineLevel="1" ht="18" customHeight="1" s="326">
      <c r="A72" s="174">
        <f>$A$24</f>
        <v/>
      </c>
      <c r="B72" s="193">
        <f>$B$24</f>
        <v/>
      </c>
      <c r="C72" s="179">
        <f>$C$24</f>
        <v/>
      </c>
      <c r="D72" s="193" t="n">
        <v>7</v>
      </c>
      <c r="E72" s="193">
        <f>('Model Inputs'!$B$22-1)+D72</f>
        <v/>
      </c>
      <c r="F72" s="189">
        <f>IF(D72=1,'Model Inputs'!$B$25*(13-'Model Inputs'!$B$23)/12,'Model Inputs'!$B$25)</f>
        <v/>
      </c>
      <c r="G72" s="189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/>
      </c>
      <c r="H72" s="180">
        <f>IF(D72&lt;=2,0,'Model Inputs'!$B$32*SIN(2*PI()*(D72-3+'Model Inputs'!$B$34)/MAX(1,'Model Inputs'!$B$33)))</f>
        <v/>
      </c>
      <c r="I72" s="189">
        <f>G72*(1+H72)</f>
        <v/>
      </c>
      <c r="J72" s="189">
        <f>0.75*I71+0.25*I70</f>
        <v/>
      </c>
      <c r="K72" s="189">
        <f>F72+J72+IF(D72=1,'Model Inputs'!$B$26,0)</f>
        <v/>
      </c>
      <c r="L72" s="189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/>
      </c>
      <c r="M72" s="189">
        <f>MIN(L72,'Tax Assumptions'!$B$19)</f>
        <v/>
      </c>
      <c r="N72" s="189">
        <f>MAX(L72-M72-'Tax Assumptions'!$B$8,0)</f>
        <v/>
      </c>
      <c r="O72" s="189">
        <f>MAX(L72-M72-'Tax Assumptions'!$B$9,0)</f>
        <v/>
      </c>
      <c r="P72" s="189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/>
      </c>
      <c r="Q72" s="189">
        <f>L72-M72-P72</f>
        <v/>
      </c>
      <c r="R72" s="189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/>
      </c>
      <c r="S72" s="189">
        <f>Q72-R72</f>
        <v/>
      </c>
      <c r="T72" s="189">
        <f>MIN(MAX(S72,0),'Tax Assumptions'!$B$20)</f>
        <v/>
      </c>
      <c r="U72" s="189">
        <f>S72-T72</f>
        <v/>
      </c>
      <c r="V72" s="189">
        <f>MAX(V71*(1+'Model Inputs'!$B$13)+U72,0)</f>
        <v/>
      </c>
      <c r="W72" s="189">
        <f>MAX(W71*(1+'Model Inputs'!$B$13)+M72+T72,0)</f>
        <v/>
      </c>
      <c r="X72" s="189">
        <f>V72+W72</f>
        <v/>
      </c>
      <c r="Y72" s="191">
        <f>IF(AND(X72&gt;=$F$14,X71&lt;$F$14),D72,"")</f>
        <v/>
      </c>
      <c r="Z72" s="191">
        <f>IF(AND(X72&gt;=$F$15,X71&lt;$F$15),D72,"")</f>
        <v/>
      </c>
      <c r="AA72" s="191">
        <f>IF(AND(X72&gt;=$F$16,X71&lt;$F$16),D72,"")</f>
        <v/>
      </c>
      <c r="AB72" s="191">
        <f>IF(AND(X72&gt;=$F$17,X71&lt;$F$17),D72,"")</f>
        <v/>
      </c>
    </row>
    <row r="73" outlineLevel="1" ht="18" customHeight="1" s="326">
      <c r="A73" s="174">
        <f>$A$24</f>
        <v/>
      </c>
      <c r="B73" s="193">
        <f>$B$24</f>
        <v/>
      </c>
      <c r="C73" s="179">
        <f>$C$24</f>
        <v/>
      </c>
      <c r="D73" s="193" t="n">
        <v>8</v>
      </c>
      <c r="E73" s="193">
        <f>('Model Inputs'!$B$22-1)+D73</f>
        <v/>
      </c>
      <c r="F73" s="189">
        <f>IF(D73=1,'Model Inputs'!$B$25*(13-'Model Inputs'!$B$23)/12,'Model Inputs'!$B$25)</f>
        <v/>
      </c>
      <c r="G73" s="189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/>
      </c>
      <c r="H73" s="180">
        <f>IF(D73&lt;=2,0,'Model Inputs'!$B$32*SIN(2*PI()*(D73-3+'Model Inputs'!$B$34)/MAX(1,'Model Inputs'!$B$33)))</f>
        <v/>
      </c>
      <c r="I73" s="189">
        <f>G73*(1+H73)</f>
        <v/>
      </c>
      <c r="J73" s="189">
        <f>0.75*I72+0.25*I71</f>
        <v/>
      </c>
      <c r="K73" s="189">
        <f>F73+J73+IF(D73=1,'Model Inputs'!$B$26,0)</f>
        <v/>
      </c>
      <c r="L73" s="189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/>
      </c>
      <c r="M73" s="189">
        <f>MIN(L73,'Tax Assumptions'!$B$19)</f>
        <v/>
      </c>
      <c r="N73" s="189">
        <f>MAX(L73-M73-'Tax Assumptions'!$B$8,0)</f>
        <v/>
      </c>
      <c r="O73" s="189">
        <f>MAX(L73-M73-'Tax Assumptions'!$B$9,0)</f>
        <v/>
      </c>
      <c r="P73" s="189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/>
      </c>
      <c r="Q73" s="189">
        <f>L73-M73-P73</f>
        <v/>
      </c>
      <c r="R73" s="189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/>
      </c>
      <c r="S73" s="189">
        <f>Q73-R73</f>
        <v/>
      </c>
      <c r="T73" s="189">
        <f>MIN(MAX(S73,0),'Tax Assumptions'!$B$20)</f>
        <v/>
      </c>
      <c r="U73" s="189">
        <f>S73-T73</f>
        <v/>
      </c>
      <c r="V73" s="189">
        <f>MAX(V72*(1+'Model Inputs'!$B$13)+U73,0)</f>
        <v/>
      </c>
      <c r="W73" s="189">
        <f>MAX(W72*(1+'Model Inputs'!$B$13)+M73+T73,0)</f>
        <v/>
      </c>
      <c r="X73" s="189">
        <f>V73+W73</f>
        <v/>
      </c>
      <c r="Y73" s="191">
        <f>IF(AND(X73&gt;=$F$14,X72&lt;$F$14),D73,"")</f>
        <v/>
      </c>
      <c r="Z73" s="191">
        <f>IF(AND(X73&gt;=$F$15,X72&lt;$F$15),D73,"")</f>
        <v/>
      </c>
      <c r="AA73" s="191">
        <f>IF(AND(X73&gt;=$F$16,X72&lt;$F$16),D73,"")</f>
        <v/>
      </c>
      <c r="AB73" s="191">
        <f>IF(AND(X73&gt;=$F$17,X72&lt;$F$17),D73,"")</f>
        <v/>
      </c>
    </row>
    <row r="74" outlineLevel="1" ht="18" customHeight="1" s="326">
      <c r="A74" s="174">
        <f>$A$24</f>
        <v/>
      </c>
      <c r="B74" s="193">
        <f>$B$24</f>
        <v/>
      </c>
      <c r="C74" s="179">
        <f>$C$24</f>
        <v/>
      </c>
      <c r="D74" s="193" t="n">
        <v>9</v>
      </c>
      <c r="E74" s="193">
        <f>('Model Inputs'!$B$22-1)+D74</f>
        <v/>
      </c>
      <c r="F74" s="189">
        <f>IF(D74=1,'Model Inputs'!$B$25*(13-'Model Inputs'!$B$23)/12,'Model Inputs'!$B$25)</f>
        <v/>
      </c>
      <c r="G74" s="189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/>
      </c>
      <c r="H74" s="180">
        <f>IF(D74&lt;=2,0,'Model Inputs'!$B$32*SIN(2*PI()*(D74-3+'Model Inputs'!$B$34)/MAX(1,'Model Inputs'!$B$33)))</f>
        <v/>
      </c>
      <c r="I74" s="189">
        <f>G74*(1+H74)</f>
        <v/>
      </c>
      <c r="J74" s="189">
        <f>0.75*I73+0.25*I72</f>
        <v/>
      </c>
      <c r="K74" s="189">
        <f>F74+J74+IF(D74=1,'Model Inputs'!$B$26,0)</f>
        <v/>
      </c>
      <c r="L74" s="189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/>
      </c>
      <c r="M74" s="189">
        <f>MIN(L74,'Tax Assumptions'!$B$19)</f>
        <v/>
      </c>
      <c r="N74" s="189">
        <f>MAX(L74-M74-'Tax Assumptions'!$B$8,0)</f>
        <v/>
      </c>
      <c r="O74" s="189">
        <f>MAX(L74-M74-'Tax Assumptions'!$B$9,0)</f>
        <v/>
      </c>
      <c r="P74" s="189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/>
      </c>
      <c r="Q74" s="189">
        <f>L74-M74-P74</f>
        <v/>
      </c>
      <c r="R74" s="189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/>
      </c>
      <c r="S74" s="189">
        <f>Q74-R74</f>
        <v/>
      </c>
      <c r="T74" s="189">
        <f>MIN(MAX(S74,0),'Tax Assumptions'!$B$20)</f>
        <v/>
      </c>
      <c r="U74" s="189">
        <f>S74-T74</f>
        <v/>
      </c>
      <c r="V74" s="189">
        <f>MAX(V73*(1+'Model Inputs'!$B$13)+U74,0)</f>
        <v/>
      </c>
      <c r="W74" s="189">
        <f>MAX(W73*(1+'Model Inputs'!$B$13)+M74+T74,0)</f>
        <v/>
      </c>
      <c r="X74" s="189">
        <f>V74+W74</f>
        <v/>
      </c>
      <c r="Y74" s="191">
        <f>IF(AND(X74&gt;=$F$14,X73&lt;$F$14),D74,"")</f>
        <v/>
      </c>
      <c r="Z74" s="191">
        <f>IF(AND(X74&gt;=$F$15,X73&lt;$F$15),D74,"")</f>
        <v/>
      </c>
      <c r="AA74" s="191">
        <f>IF(AND(X74&gt;=$F$16,X73&lt;$F$16),D74,"")</f>
        <v/>
      </c>
      <c r="AB74" s="191">
        <f>IF(AND(X74&gt;=$F$17,X73&lt;$F$17),D74,"")</f>
        <v/>
      </c>
    </row>
    <row r="75" outlineLevel="1" ht="18" customHeight="1" s="326">
      <c r="A75" s="174">
        <f>$A$24</f>
        <v/>
      </c>
      <c r="B75" s="193">
        <f>$B$24</f>
        <v/>
      </c>
      <c r="C75" s="179">
        <f>$C$24</f>
        <v/>
      </c>
      <c r="D75" s="193" t="n">
        <v>10</v>
      </c>
      <c r="E75" s="193">
        <f>('Model Inputs'!$B$22-1)+D75</f>
        <v/>
      </c>
      <c r="F75" s="189">
        <f>IF(D75=1,'Model Inputs'!$B$25*(13-'Model Inputs'!$B$23)/12,'Model Inputs'!$B$25)</f>
        <v/>
      </c>
      <c r="G75" s="189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/>
      </c>
      <c r="H75" s="180">
        <f>IF(D75&lt;=2,0,'Model Inputs'!$B$32*SIN(2*PI()*(D75-3+'Model Inputs'!$B$34)/MAX(1,'Model Inputs'!$B$33)))</f>
        <v/>
      </c>
      <c r="I75" s="189">
        <f>G75*(1+H75)</f>
        <v/>
      </c>
      <c r="J75" s="189">
        <f>0.75*I74+0.25*I73</f>
        <v/>
      </c>
      <c r="K75" s="189">
        <f>F75+J75+IF(D75=1,'Model Inputs'!$B$26,0)</f>
        <v/>
      </c>
      <c r="L75" s="189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/>
      </c>
      <c r="M75" s="189">
        <f>MIN(L75,'Tax Assumptions'!$B$19)</f>
        <v/>
      </c>
      <c r="N75" s="189">
        <f>MAX(L75-M75-'Tax Assumptions'!$B$8,0)</f>
        <v/>
      </c>
      <c r="O75" s="189">
        <f>MAX(L75-M75-'Tax Assumptions'!$B$9,0)</f>
        <v/>
      </c>
      <c r="P75" s="189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/>
      </c>
      <c r="Q75" s="189">
        <f>L75-M75-P75</f>
        <v/>
      </c>
      <c r="R75" s="189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/>
      </c>
      <c r="S75" s="189">
        <f>Q75-R75</f>
        <v/>
      </c>
      <c r="T75" s="189">
        <f>MIN(MAX(S75,0),'Tax Assumptions'!$B$20)</f>
        <v/>
      </c>
      <c r="U75" s="189">
        <f>S75-T75</f>
        <v/>
      </c>
      <c r="V75" s="189">
        <f>MAX(V74*(1+'Model Inputs'!$B$13)+U75,0)</f>
        <v/>
      </c>
      <c r="W75" s="189">
        <f>MAX(W74*(1+'Model Inputs'!$B$13)+M75+T75,0)</f>
        <v/>
      </c>
      <c r="X75" s="189">
        <f>V75+W75</f>
        <v/>
      </c>
      <c r="Y75" s="191">
        <f>IF(AND(X75&gt;=$F$14,X74&lt;$F$14),D75,"")</f>
        <v/>
      </c>
      <c r="Z75" s="191">
        <f>IF(AND(X75&gt;=$F$15,X74&lt;$F$15),D75,"")</f>
        <v/>
      </c>
      <c r="AA75" s="191">
        <f>IF(AND(X75&gt;=$F$16,X74&lt;$F$16),D75,"")</f>
        <v/>
      </c>
      <c r="AB75" s="191">
        <f>IF(AND(X75&gt;=$F$17,X74&lt;$F$17),D75,"")</f>
        <v/>
      </c>
    </row>
    <row r="76" outlineLevel="1" ht="18" customHeight="1" s="326">
      <c r="A76" s="174">
        <f>$A$24</f>
        <v/>
      </c>
      <c r="B76" s="193">
        <f>$B$24</f>
        <v/>
      </c>
      <c r="C76" s="179">
        <f>$C$24</f>
        <v/>
      </c>
      <c r="D76" s="193" t="n">
        <v>11</v>
      </c>
      <c r="E76" s="193">
        <f>('Model Inputs'!$B$22-1)+D76</f>
        <v/>
      </c>
      <c r="F76" s="189">
        <f>IF(D76=1,'Model Inputs'!$B$25*(13-'Model Inputs'!$B$23)/12,'Model Inputs'!$B$25)</f>
        <v/>
      </c>
      <c r="G76" s="189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/>
      </c>
      <c r="H76" s="180">
        <f>IF(D76&lt;=2,0,'Model Inputs'!$B$32*SIN(2*PI()*(D76-3+'Model Inputs'!$B$34)/MAX(1,'Model Inputs'!$B$33)))</f>
        <v/>
      </c>
      <c r="I76" s="189">
        <f>G76*(1+H76)</f>
        <v/>
      </c>
      <c r="J76" s="189">
        <f>0.75*I75+0.25*I74</f>
        <v/>
      </c>
      <c r="K76" s="189">
        <f>F76+J76+IF(D76=1,'Model Inputs'!$B$26,0)</f>
        <v/>
      </c>
      <c r="L76" s="189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/>
      </c>
      <c r="M76" s="189">
        <f>MIN(L76,'Tax Assumptions'!$B$19)</f>
        <v/>
      </c>
      <c r="N76" s="189">
        <f>MAX(L76-M76-'Tax Assumptions'!$B$8,0)</f>
        <v/>
      </c>
      <c r="O76" s="189">
        <f>MAX(L76-M76-'Tax Assumptions'!$B$9,0)</f>
        <v/>
      </c>
      <c r="P76" s="189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/>
      </c>
      <c r="Q76" s="189">
        <f>L76-M76-P76</f>
        <v/>
      </c>
      <c r="R76" s="189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/>
      </c>
      <c r="S76" s="189">
        <f>Q76-R76</f>
        <v/>
      </c>
      <c r="T76" s="189">
        <f>MIN(MAX(S76,0),'Tax Assumptions'!$B$20)</f>
        <v/>
      </c>
      <c r="U76" s="189">
        <f>S76-T76</f>
        <v/>
      </c>
      <c r="V76" s="189">
        <f>MAX(V75*(1+'Model Inputs'!$B$13)+U76,0)</f>
        <v/>
      </c>
      <c r="W76" s="189">
        <f>MAX(W75*(1+'Model Inputs'!$B$13)+M76+T76,0)</f>
        <v/>
      </c>
      <c r="X76" s="189">
        <f>V76+W76</f>
        <v/>
      </c>
      <c r="Y76" s="191">
        <f>IF(AND(X76&gt;=$F$14,X75&lt;$F$14),D76,"")</f>
        <v/>
      </c>
      <c r="Z76" s="191">
        <f>IF(AND(X76&gt;=$F$15,X75&lt;$F$15),D76,"")</f>
        <v/>
      </c>
      <c r="AA76" s="191">
        <f>IF(AND(X76&gt;=$F$16,X75&lt;$F$16),D76,"")</f>
        <v/>
      </c>
      <c r="AB76" s="191">
        <f>IF(AND(X76&gt;=$F$17,X75&lt;$F$17),D76,"")</f>
        <v/>
      </c>
    </row>
    <row r="77" outlineLevel="1" ht="18" customHeight="1" s="326">
      <c r="A77" s="174">
        <f>$A$24</f>
        <v/>
      </c>
      <c r="B77" s="193">
        <f>$B$24</f>
        <v/>
      </c>
      <c r="C77" s="179">
        <f>$C$24</f>
        <v/>
      </c>
      <c r="D77" s="193" t="n">
        <v>12</v>
      </c>
      <c r="E77" s="193">
        <f>('Model Inputs'!$B$22-1)+D77</f>
        <v/>
      </c>
      <c r="F77" s="189">
        <f>IF(D77=1,'Model Inputs'!$B$25*(13-'Model Inputs'!$B$23)/12,'Model Inputs'!$B$25)</f>
        <v/>
      </c>
      <c r="G77" s="189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/>
      </c>
      <c r="H77" s="180">
        <f>IF(D77&lt;=2,0,'Model Inputs'!$B$32*SIN(2*PI()*(D77-3+'Model Inputs'!$B$34)/MAX(1,'Model Inputs'!$B$33)))</f>
        <v/>
      </c>
      <c r="I77" s="189">
        <f>G77*(1+H77)</f>
        <v/>
      </c>
      <c r="J77" s="189">
        <f>0.75*I76+0.25*I75</f>
        <v/>
      </c>
      <c r="K77" s="189">
        <f>F77+J77+IF(D77=1,'Model Inputs'!$B$26,0)</f>
        <v/>
      </c>
      <c r="L77" s="189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/>
      </c>
      <c r="M77" s="189">
        <f>MIN(L77,'Tax Assumptions'!$B$19)</f>
        <v/>
      </c>
      <c r="N77" s="189">
        <f>MAX(L77-M77-'Tax Assumptions'!$B$8,0)</f>
        <v/>
      </c>
      <c r="O77" s="189">
        <f>MAX(L77-M77-'Tax Assumptions'!$B$9,0)</f>
        <v/>
      </c>
      <c r="P77" s="189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/>
      </c>
      <c r="Q77" s="189">
        <f>L77-M77-P77</f>
        <v/>
      </c>
      <c r="R77" s="189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/>
      </c>
      <c r="S77" s="189">
        <f>Q77-R77</f>
        <v/>
      </c>
      <c r="T77" s="189">
        <f>MIN(MAX(S77,0),'Tax Assumptions'!$B$20)</f>
        <v/>
      </c>
      <c r="U77" s="189">
        <f>S77-T77</f>
        <v/>
      </c>
      <c r="V77" s="189">
        <f>MAX(V76*(1+'Model Inputs'!$B$13)+U77,0)</f>
        <v/>
      </c>
      <c r="W77" s="189">
        <f>MAX(W76*(1+'Model Inputs'!$B$13)+M77+T77,0)</f>
        <v/>
      </c>
      <c r="X77" s="189">
        <f>V77+W77</f>
        <v/>
      </c>
      <c r="Y77" s="191">
        <f>IF(AND(X77&gt;=$F$14,X76&lt;$F$14),D77,"")</f>
        <v/>
      </c>
      <c r="Z77" s="191">
        <f>IF(AND(X77&gt;=$F$15,X76&lt;$F$15),D77,"")</f>
        <v/>
      </c>
      <c r="AA77" s="191">
        <f>IF(AND(X77&gt;=$F$16,X76&lt;$F$16),D77,"")</f>
        <v/>
      </c>
      <c r="AB77" s="191">
        <f>IF(AND(X77&gt;=$F$17,X76&lt;$F$17),D77,"")</f>
        <v/>
      </c>
    </row>
    <row r="78" outlineLevel="1" ht="18" customHeight="1" s="326">
      <c r="A78" s="174">
        <f>$A$24</f>
        <v/>
      </c>
      <c r="B78" s="193">
        <f>$B$24</f>
        <v/>
      </c>
      <c r="C78" s="179">
        <f>$C$24</f>
        <v/>
      </c>
      <c r="D78" s="193" t="n">
        <v>13</v>
      </c>
      <c r="E78" s="193">
        <f>('Model Inputs'!$B$22-1)+D78</f>
        <v/>
      </c>
      <c r="F78" s="189">
        <f>IF(D78=1,'Model Inputs'!$B$25*(13-'Model Inputs'!$B$23)/12,'Model Inputs'!$B$25)</f>
        <v/>
      </c>
      <c r="G78" s="189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/>
      </c>
      <c r="H78" s="180">
        <f>IF(D78&lt;=2,0,'Model Inputs'!$B$32*SIN(2*PI()*(D78-3+'Model Inputs'!$B$34)/MAX(1,'Model Inputs'!$B$33)))</f>
        <v/>
      </c>
      <c r="I78" s="189">
        <f>G78*(1+H78)</f>
        <v/>
      </c>
      <c r="J78" s="189">
        <f>0.75*I77+0.25*I76</f>
        <v/>
      </c>
      <c r="K78" s="189">
        <f>F78+J78+IF(D78=1,'Model Inputs'!$B$26,0)</f>
        <v/>
      </c>
      <c r="L78" s="189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/>
      </c>
      <c r="M78" s="189">
        <f>MIN(L78,'Tax Assumptions'!$B$19)</f>
        <v/>
      </c>
      <c r="N78" s="189">
        <f>MAX(L78-M78-'Tax Assumptions'!$B$8,0)</f>
        <v/>
      </c>
      <c r="O78" s="189">
        <f>MAX(L78-M78-'Tax Assumptions'!$B$9,0)</f>
        <v/>
      </c>
      <c r="P78" s="189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/>
      </c>
      <c r="Q78" s="189">
        <f>L78-M78-P78</f>
        <v/>
      </c>
      <c r="R78" s="189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/>
      </c>
      <c r="S78" s="189">
        <f>Q78-R78</f>
        <v/>
      </c>
      <c r="T78" s="189">
        <f>MIN(MAX(S78,0),'Tax Assumptions'!$B$20)</f>
        <v/>
      </c>
      <c r="U78" s="189">
        <f>S78-T78</f>
        <v/>
      </c>
      <c r="V78" s="189">
        <f>MAX(V77*(1+'Model Inputs'!$B$13)+U78,0)</f>
        <v/>
      </c>
      <c r="W78" s="189">
        <f>MAX(W77*(1+'Model Inputs'!$B$13)+M78+T78,0)</f>
        <v/>
      </c>
      <c r="X78" s="189">
        <f>V78+W78</f>
        <v/>
      </c>
      <c r="Y78" s="191">
        <f>IF(AND(X78&gt;=$F$14,X77&lt;$F$14),D78,"")</f>
        <v/>
      </c>
      <c r="Z78" s="191">
        <f>IF(AND(X78&gt;=$F$15,X77&lt;$F$15),D78,"")</f>
        <v/>
      </c>
      <c r="AA78" s="191">
        <f>IF(AND(X78&gt;=$F$16,X77&lt;$F$16),D78,"")</f>
        <v/>
      </c>
      <c r="AB78" s="191">
        <f>IF(AND(X78&gt;=$F$17,X77&lt;$F$17),D78,"")</f>
        <v/>
      </c>
    </row>
    <row r="79" outlineLevel="1" ht="18" customHeight="1" s="326">
      <c r="A79" s="174">
        <f>$A$24</f>
        <v/>
      </c>
      <c r="B79" s="193">
        <f>$B$24</f>
        <v/>
      </c>
      <c r="C79" s="179">
        <f>$C$24</f>
        <v/>
      </c>
      <c r="D79" s="193" t="n">
        <v>14</v>
      </c>
      <c r="E79" s="193">
        <f>('Model Inputs'!$B$22-1)+D79</f>
        <v/>
      </c>
      <c r="F79" s="189">
        <f>IF(D79=1,'Model Inputs'!$B$25*(13-'Model Inputs'!$B$23)/12,'Model Inputs'!$B$25)</f>
        <v/>
      </c>
      <c r="G79" s="189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/>
      </c>
      <c r="H79" s="180">
        <f>IF(D79&lt;=2,0,'Model Inputs'!$B$32*SIN(2*PI()*(D79-3+'Model Inputs'!$B$34)/MAX(1,'Model Inputs'!$B$33)))</f>
        <v/>
      </c>
      <c r="I79" s="189">
        <f>G79*(1+H79)</f>
        <v/>
      </c>
      <c r="J79" s="189">
        <f>0.75*I78+0.25*I77</f>
        <v/>
      </c>
      <c r="K79" s="189">
        <f>F79+J79+IF(D79=1,'Model Inputs'!$B$26,0)</f>
        <v/>
      </c>
      <c r="L79" s="189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/>
      </c>
      <c r="M79" s="189">
        <f>MIN(L79,'Tax Assumptions'!$B$19)</f>
        <v/>
      </c>
      <c r="N79" s="189">
        <f>MAX(L79-M79-'Tax Assumptions'!$B$8,0)</f>
        <v/>
      </c>
      <c r="O79" s="189">
        <f>MAX(L79-M79-'Tax Assumptions'!$B$9,0)</f>
        <v/>
      </c>
      <c r="P79" s="189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/>
      </c>
      <c r="Q79" s="189">
        <f>L79-M79-P79</f>
        <v/>
      </c>
      <c r="R79" s="189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/>
      </c>
      <c r="S79" s="189">
        <f>Q79-R79</f>
        <v/>
      </c>
      <c r="T79" s="189">
        <f>MIN(MAX(S79,0),'Tax Assumptions'!$B$20)</f>
        <v/>
      </c>
      <c r="U79" s="189">
        <f>S79-T79</f>
        <v/>
      </c>
      <c r="V79" s="189">
        <f>MAX(V78*(1+'Model Inputs'!$B$13)+U79,0)</f>
        <v/>
      </c>
      <c r="W79" s="189">
        <f>MAX(W78*(1+'Model Inputs'!$B$13)+M79+T79,0)</f>
        <v/>
      </c>
      <c r="X79" s="189">
        <f>V79+W79</f>
        <v/>
      </c>
      <c r="Y79" s="191">
        <f>IF(AND(X79&gt;=$F$14,X78&lt;$F$14),D79,"")</f>
        <v/>
      </c>
      <c r="Z79" s="191">
        <f>IF(AND(X79&gt;=$F$15,X78&lt;$F$15),D79,"")</f>
        <v/>
      </c>
      <c r="AA79" s="191">
        <f>IF(AND(X79&gt;=$F$16,X78&lt;$F$16),D79,"")</f>
        <v/>
      </c>
      <c r="AB79" s="191">
        <f>IF(AND(X79&gt;=$F$17,X78&lt;$F$17),D79,"")</f>
        <v/>
      </c>
    </row>
    <row r="80" outlineLevel="1" ht="18" customHeight="1" s="326">
      <c r="A80" s="174">
        <f>$A$24</f>
        <v/>
      </c>
      <c r="B80" s="193">
        <f>$B$24</f>
        <v/>
      </c>
      <c r="C80" s="179">
        <f>$C$24</f>
        <v/>
      </c>
      <c r="D80" s="193" t="n">
        <v>15</v>
      </c>
      <c r="E80" s="193">
        <f>('Model Inputs'!$B$22-1)+D80</f>
        <v/>
      </c>
      <c r="F80" s="189">
        <f>IF(D80=1,'Model Inputs'!$B$25*(13-'Model Inputs'!$B$23)/12,'Model Inputs'!$B$25)</f>
        <v/>
      </c>
      <c r="G80" s="189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/>
      </c>
      <c r="H80" s="180">
        <f>IF(D80&lt;=2,0,'Model Inputs'!$B$32*SIN(2*PI()*(D80-3+'Model Inputs'!$B$34)/MAX(1,'Model Inputs'!$B$33)))</f>
        <v/>
      </c>
      <c r="I80" s="189">
        <f>G80*(1+H80)</f>
        <v/>
      </c>
      <c r="J80" s="189">
        <f>0.75*I79+0.25*I78</f>
        <v/>
      </c>
      <c r="K80" s="189">
        <f>F80+J80+IF(D80=1,'Model Inputs'!$B$26,0)</f>
        <v/>
      </c>
      <c r="L80" s="189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/>
      </c>
      <c r="M80" s="189">
        <f>MIN(L80,'Tax Assumptions'!$B$19)</f>
        <v/>
      </c>
      <c r="N80" s="189">
        <f>MAX(L80-M80-'Tax Assumptions'!$B$8,0)</f>
        <v/>
      </c>
      <c r="O80" s="189">
        <f>MAX(L80-M80-'Tax Assumptions'!$B$9,0)</f>
        <v/>
      </c>
      <c r="P80" s="189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/>
      </c>
      <c r="Q80" s="189">
        <f>L80-M80-P80</f>
        <v/>
      </c>
      <c r="R80" s="189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/>
      </c>
      <c r="S80" s="189">
        <f>Q80-R80</f>
        <v/>
      </c>
      <c r="T80" s="189">
        <f>MIN(MAX(S80,0),'Tax Assumptions'!$B$20)</f>
        <v/>
      </c>
      <c r="U80" s="189">
        <f>S80-T80</f>
        <v/>
      </c>
      <c r="V80" s="189">
        <f>MAX(V79*(1+'Model Inputs'!$B$13)+U80,0)</f>
        <v/>
      </c>
      <c r="W80" s="189">
        <f>MAX(W79*(1+'Model Inputs'!$B$13)+M80+T80,0)</f>
        <v/>
      </c>
      <c r="X80" s="189">
        <f>V80+W80</f>
        <v/>
      </c>
      <c r="Y80" s="191">
        <f>IF(AND(X80&gt;=$F$14,X79&lt;$F$14),D80,"")</f>
        <v/>
      </c>
      <c r="Z80" s="191">
        <f>IF(AND(X80&gt;=$F$15,X79&lt;$F$15),D80,"")</f>
        <v/>
      </c>
      <c r="AA80" s="191">
        <f>IF(AND(X80&gt;=$F$16,X79&lt;$F$16),D80,"")</f>
        <v/>
      </c>
      <c r="AB80" s="191">
        <f>IF(AND(X80&gt;=$F$17,X79&lt;$F$17),D80,"")</f>
        <v/>
      </c>
    </row>
    <row r="81" outlineLevel="1" ht="18" customHeight="1" s="326">
      <c r="A81" s="174">
        <f>$A$25</f>
        <v/>
      </c>
      <c r="B81" s="193">
        <f>$B$25</f>
        <v/>
      </c>
      <c r="C81" s="179">
        <f>$C$25</f>
        <v/>
      </c>
      <c r="D81" s="193" t="n">
        <v>1</v>
      </c>
      <c r="E81" s="193">
        <f>('Model Inputs'!$B$22-1)+D81</f>
        <v/>
      </c>
      <c r="F81" s="189">
        <f>IF(D81=1,'Model Inputs'!$B$25*(13-'Model Inputs'!$B$23)/12,'Model Inputs'!$B$25)</f>
        <v/>
      </c>
      <c r="G81" s="189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/>
      </c>
      <c r="H81" s="180">
        <f>IF(D81&lt;=2,0,'Model Inputs'!$B$32*SIN(2*PI()*(D81-3+'Model Inputs'!$B$34)/MAX(1,'Model Inputs'!$B$33)))</f>
        <v/>
      </c>
      <c r="I81" s="189">
        <f>G81*(1+H81)</f>
        <v/>
      </c>
      <c r="J81" s="189">
        <f>0</f>
        <v/>
      </c>
      <c r="K81" s="189">
        <f>F81+J81+IF(D81=1,'Model Inputs'!$B$26,0)</f>
        <v/>
      </c>
      <c r="L81" s="189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/>
      </c>
      <c r="M81" s="189">
        <f>MIN(L81,'Tax Assumptions'!$B$19)</f>
        <v/>
      </c>
      <c r="N81" s="189">
        <f>MAX(L81-M81-'Tax Assumptions'!$B$8,0)</f>
        <v/>
      </c>
      <c r="O81" s="189">
        <f>MAX(L81-M81-'Tax Assumptions'!$B$9,0)</f>
        <v/>
      </c>
      <c r="P81" s="189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/>
      </c>
      <c r="Q81" s="189">
        <f>L81-M81-P81</f>
        <v/>
      </c>
      <c r="R81" s="189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/>
      </c>
      <c r="S81" s="189">
        <f>Q81-R81</f>
        <v/>
      </c>
      <c r="T81" s="189">
        <f>MIN(MAX(S81,0),'Tax Assumptions'!$B$20)</f>
        <v/>
      </c>
      <c r="U81" s="189">
        <f>S81-T81</f>
        <v/>
      </c>
      <c r="V81" s="189">
        <f>MAX('Model Inputs'!$B$7*(1+'Model Inputs'!$B$13)+U81,0)</f>
        <v/>
      </c>
      <c r="W81" s="189">
        <f>MAX(('Model Inputs'!$B$8+'Model Inputs'!$B$9+'Model Inputs'!$B$10)*(1+'Model Inputs'!$B$13)+M81+T81,0)</f>
        <v/>
      </c>
      <c r="X81" s="189">
        <f>V81+W81</f>
        <v/>
      </c>
      <c r="Y81" s="191">
        <f>IF(AND(X81&gt;=$F$14,0&lt;$F$14),D81,"")</f>
        <v/>
      </c>
      <c r="Z81" s="191">
        <f>IF(AND(X81&gt;=$F$15,0&lt;$F$15),D81,"")</f>
        <v/>
      </c>
      <c r="AA81" s="191">
        <f>IF(AND(X81&gt;=$F$16,0&lt;$F$16),D81,"")</f>
        <v/>
      </c>
      <c r="AB81" s="191">
        <f>IF(AND(X81&gt;=$F$17,0&lt;$F$17),D81,"")</f>
        <v/>
      </c>
    </row>
    <row r="82" outlineLevel="1" ht="18" customHeight="1" s="326">
      <c r="A82" s="174">
        <f>$A$25</f>
        <v/>
      </c>
      <c r="B82" s="193">
        <f>$B$25</f>
        <v/>
      </c>
      <c r="C82" s="179">
        <f>$C$25</f>
        <v/>
      </c>
      <c r="D82" s="193" t="n">
        <v>2</v>
      </c>
      <c r="E82" s="193">
        <f>('Model Inputs'!$B$22-1)+D82</f>
        <v/>
      </c>
      <c r="F82" s="189">
        <f>IF(D82=1,'Model Inputs'!$B$25*(13-'Model Inputs'!$B$23)/12,'Model Inputs'!$B$25)</f>
        <v/>
      </c>
      <c r="G82" s="189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/>
      </c>
      <c r="H82" s="180">
        <f>IF(D82&lt;=2,0,'Model Inputs'!$B$32*SIN(2*PI()*(D82-3+'Model Inputs'!$B$34)/MAX(1,'Model Inputs'!$B$33)))</f>
        <v/>
      </c>
      <c r="I82" s="189">
        <f>G82*(1+H82)</f>
        <v/>
      </c>
      <c r="J82" s="189">
        <f>0.75*I81</f>
        <v/>
      </c>
      <c r="K82" s="189">
        <f>F82+J82+IF(D82=1,'Model Inputs'!$B$26,0)</f>
        <v/>
      </c>
      <c r="L82" s="189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/>
      </c>
      <c r="M82" s="189">
        <f>MIN(L82,'Tax Assumptions'!$B$19)</f>
        <v/>
      </c>
      <c r="N82" s="189">
        <f>MAX(L82-M82-'Tax Assumptions'!$B$8,0)</f>
        <v/>
      </c>
      <c r="O82" s="189">
        <f>MAX(L82-M82-'Tax Assumptions'!$B$9,0)</f>
        <v/>
      </c>
      <c r="P82" s="189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/>
      </c>
      <c r="Q82" s="189">
        <f>L82-M82-P82</f>
        <v/>
      </c>
      <c r="R82" s="189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/>
      </c>
      <c r="S82" s="189">
        <f>Q82-R82</f>
        <v/>
      </c>
      <c r="T82" s="189">
        <f>MIN(MAX(S82,0),'Tax Assumptions'!$B$20)</f>
        <v/>
      </c>
      <c r="U82" s="189">
        <f>S82-T82</f>
        <v/>
      </c>
      <c r="V82" s="189">
        <f>MAX(V81*(1+'Model Inputs'!$B$13)+U82,0)</f>
        <v/>
      </c>
      <c r="W82" s="189">
        <f>MAX(W81*(1+'Model Inputs'!$B$13)+M82+T82,0)</f>
        <v/>
      </c>
      <c r="X82" s="189">
        <f>V82+W82</f>
        <v/>
      </c>
      <c r="Y82" s="191">
        <f>IF(AND(X82&gt;=$F$14,X81&lt;$F$14),D82,"")</f>
        <v/>
      </c>
      <c r="Z82" s="191">
        <f>IF(AND(X82&gt;=$F$15,X81&lt;$F$15),D82,"")</f>
        <v/>
      </c>
      <c r="AA82" s="191">
        <f>IF(AND(X82&gt;=$F$16,X81&lt;$F$16),D82,"")</f>
        <v/>
      </c>
      <c r="AB82" s="191">
        <f>IF(AND(X82&gt;=$F$17,X81&lt;$F$17),D82,"")</f>
        <v/>
      </c>
    </row>
    <row r="83" outlineLevel="1" ht="18" customHeight="1" s="326">
      <c r="A83" s="174">
        <f>$A$25</f>
        <v/>
      </c>
      <c r="B83" s="193">
        <f>$B$25</f>
        <v/>
      </c>
      <c r="C83" s="179">
        <f>$C$25</f>
        <v/>
      </c>
      <c r="D83" s="193" t="n">
        <v>3</v>
      </c>
      <c r="E83" s="193">
        <f>('Model Inputs'!$B$22-1)+D83</f>
        <v/>
      </c>
      <c r="F83" s="189">
        <f>IF(D83=1,'Model Inputs'!$B$25*(13-'Model Inputs'!$B$23)/12,'Model Inputs'!$B$25)</f>
        <v/>
      </c>
      <c r="G83" s="189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/>
      </c>
      <c r="H83" s="180">
        <f>IF(D83&lt;=2,0,'Model Inputs'!$B$32*SIN(2*PI()*(D83-3+'Model Inputs'!$B$34)/MAX(1,'Model Inputs'!$B$33)))</f>
        <v/>
      </c>
      <c r="I83" s="189">
        <f>G83*(1+H83)</f>
        <v/>
      </c>
      <c r="J83" s="189">
        <f>0.75*I82+0.25*I81</f>
        <v/>
      </c>
      <c r="K83" s="189">
        <f>F83+J83+IF(D83=1,'Model Inputs'!$B$26,0)</f>
        <v/>
      </c>
      <c r="L83" s="189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/>
      </c>
      <c r="M83" s="189">
        <f>MIN(L83,'Tax Assumptions'!$B$19)</f>
        <v/>
      </c>
      <c r="N83" s="189">
        <f>MAX(L83-M83-'Tax Assumptions'!$B$8,0)</f>
        <v/>
      </c>
      <c r="O83" s="189">
        <f>MAX(L83-M83-'Tax Assumptions'!$B$9,0)</f>
        <v/>
      </c>
      <c r="P83" s="189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/>
      </c>
      <c r="Q83" s="189">
        <f>L83-M83-P83</f>
        <v/>
      </c>
      <c r="R83" s="189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/>
      </c>
      <c r="S83" s="189">
        <f>Q83-R83</f>
        <v/>
      </c>
      <c r="T83" s="189">
        <f>MIN(MAX(S83,0),'Tax Assumptions'!$B$20)</f>
        <v/>
      </c>
      <c r="U83" s="189">
        <f>S83-T83</f>
        <v/>
      </c>
      <c r="V83" s="189">
        <f>MAX(V82*(1+'Model Inputs'!$B$13)+U83,0)</f>
        <v/>
      </c>
      <c r="W83" s="189">
        <f>MAX(W82*(1+'Model Inputs'!$B$13)+M83+T83,0)</f>
        <v/>
      </c>
      <c r="X83" s="189">
        <f>V83+W83</f>
        <v/>
      </c>
      <c r="Y83" s="191">
        <f>IF(AND(X83&gt;=$F$14,X82&lt;$F$14),D83,"")</f>
        <v/>
      </c>
      <c r="Z83" s="191">
        <f>IF(AND(X83&gt;=$F$15,X82&lt;$F$15),D83,"")</f>
        <v/>
      </c>
      <c r="AA83" s="191">
        <f>IF(AND(X83&gt;=$F$16,X82&lt;$F$16),D83,"")</f>
        <v/>
      </c>
      <c r="AB83" s="191">
        <f>IF(AND(X83&gt;=$F$17,X82&lt;$F$17),D83,"")</f>
        <v/>
      </c>
    </row>
    <row r="84" outlineLevel="1" ht="18" customHeight="1" s="326">
      <c r="A84" s="174">
        <f>$A$25</f>
        <v/>
      </c>
      <c r="B84" s="193">
        <f>$B$25</f>
        <v/>
      </c>
      <c r="C84" s="179">
        <f>$C$25</f>
        <v/>
      </c>
      <c r="D84" s="193" t="n">
        <v>4</v>
      </c>
      <c r="E84" s="193">
        <f>('Model Inputs'!$B$22-1)+D84</f>
        <v/>
      </c>
      <c r="F84" s="189">
        <f>IF(D84=1,'Model Inputs'!$B$25*(13-'Model Inputs'!$B$23)/12,'Model Inputs'!$B$25)</f>
        <v/>
      </c>
      <c r="G84" s="189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/>
      </c>
      <c r="H84" s="180">
        <f>IF(D84&lt;=2,0,'Model Inputs'!$B$32*SIN(2*PI()*(D84-3+'Model Inputs'!$B$34)/MAX(1,'Model Inputs'!$B$33)))</f>
        <v/>
      </c>
      <c r="I84" s="189">
        <f>G84*(1+H84)</f>
        <v/>
      </c>
      <c r="J84" s="189">
        <f>0.75*I83+0.25*I82</f>
        <v/>
      </c>
      <c r="K84" s="189">
        <f>F84+J84+IF(D84=1,'Model Inputs'!$B$26,0)</f>
        <v/>
      </c>
      <c r="L84" s="189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/>
      </c>
      <c r="M84" s="189">
        <f>MIN(L84,'Tax Assumptions'!$B$19)</f>
        <v/>
      </c>
      <c r="N84" s="189">
        <f>MAX(L84-M84-'Tax Assumptions'!$B$8,0)</f>
        <v/>
      </c>
      <c r="O84" s="189">
        <f>MAX(L84-M84-'Tax Assumptions'!$B$9,0)</f>
        <v/>
      </c>
      <c r="P84" s="189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/>
      </c>
      <c r="Q84" s="189">
        <f>L84-M84-P84</f>
        <v/>
      </c>
      <c r="R84" s="189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/>
      </c>
      <c r="S84" s="189">
        <f>Q84-R84</f>
        <v/>
      </c>
      <c r="T84" s="189">
        <f>MIN(MAX(S84,0),'Tax Assumptions'!$B$20)</f>
        <v/>
      </c>
      <c r="U84" s="189">
        <f>S84-T84</f>
        <v/>
      </c>
      <c r="V84" s="189">
        <f>MAX(V83*(1+'Model Inputs'!$B$13)+U84,0)</f>
        <v/>
      </c>
      <c r="W84" s="189">
        <f>MAX(W83*(1+'Model Inputs'!$B$13)+M84+T84,0)</f>
        <v/>
      </c>
      <c r="X84" s="189">
        <f>V84+W84</f>
        <v/>
      </c>
      <c r="Y84" s="191">
        <f>IF(AND(X84&gt;=$F$14,X83&lt;$F$14),D84,"")</f>
        <v/>
      </c>
      <c r="Z84" s="191">
        <f>IF(AND(X84&gt;=$F$15,X83&lt;$F$15),D84,"")</f>
        <v/>
      </c>
      <c r="AA84" s="191">
        <f>IF(AND(X84&gt;=$F$16,X83&lt;$F$16),D84,"")</f>
        <v/>
      </c>
      <c r="AB84" s="191">
        <f>IF(AND(X84&gt;=$F$17,X83&lt;$F$17),D84,"")</f>
        <v/>
      </c>
    </row>
    <row r="85" outlineLevel="1" ht="18" customHeight="1" s="326">
      <c r="A85" s="174">
        <f>$A$25</f>
        <v/>
      </c>
      <c r="B85" s="193">
        <f>$B$25</f>
        <v/>
      </c>
      <c r="C85" s="179">
        <f>$C$25</f>
        <v/>
      </c>
      <c r="D85" s="193" t="n">
        <v>5</v>
      </c>
      <c r="E85" s="193">
        <f>('Model Inputs'!$B$22-1)+D85</f>
        <v/>
      </c>
      <c r="F85" s="189">
        <f>IF(D85=1,'Model Inputs'!$B$25*(13-'Model Inputs'!$B$23)/12,'Model Inputs'!$B$25)</f>
        <v/>
      </c>
      <c r="G85" s="189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/>
      </c>
      <c r="H85" s="180">
        <f>IF(D85&lt;=2,0,'Model Inputs'!$B$32*SIN(2*PI()*(D85-3+'Model Inputs'!$B$34)/MAX(1,'Model Inputs'!$B$33)))</f>
        <v/>
      </c>
      <c r="I85" s="189">
        <f>G85*(1+H85)</f>
        <v/>
      </c>
      <c r="J85" s="189">
        <f>0.75*I84+0.25*I83</f>
        <v/>
      </c>
      <c r="K85" s="189">
        <f>F85+J85+IF(D85=1,'Model Inputs'!$B$26,0)</f>
        <v/>
      </c>
      <c r="L85" s="189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/>
      </c>
      <c r="M85" s="189">
        <f>MIN(L85,'Tax Assumptions'!$B$19)</f>
        <v/>
      </c>
      <c r="N85" s="189">
        <f>MAX(L85-M85-'Tax Assumptions'!$B$8,0)</f>
        <v/>
      </c>
      <c r="O85" s="189">
        <f>MAX(L85-M85-'Tax Assumptions'!$B$9,0)</f>
        <v/>
      </c>
      <c r="P85" s="189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/>
      </c>
      <c r="Q85" s="189">
        <f>L85-M85-P85</f>
        <v/>
      </c>
      <c r="R85" s="189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/>
      </c>
      <c r="S85" s="189">
        <f>Q85-R85</f>
        <v/>
      </c>
      <c r="T85" s="189">
        <f>MIN(MAX(S85,0),'Tax Assumptions'!$B$20)</f>
        <v/>
      </c>
      <c r="U85" s="189">
        <f>S85-T85</f>
        <v/>
      </c>
      <c r="V85" s="189">
        <f>MAX(V84*(1+'Model Inputs'!$B$13)+U85,0)</f>
        <v/>
      </c>
      <c r="W85" s="189">
        <f>MAX(W84*(1+'Model Inputs'!$B$13)+M85+T85,0)</f>
        <v/>
      </c>
      <c r="X85" s="189">
        <f>V85+W85</f>
        <v/>
      </c>
      <c r="Y85" s="191">
        <f>IF(AND(X85&gt;=$F$14,X84&lt;$F$14),D85,"")</f>
        <v/>
      </c>
      <c r="Z85" s="191">
        <f>IF(AND(X85&gt;=$F$15,X84&lt;$F$15),D85,"")</f>
        <v/>
      </c>
      <c r="AA85" s="191">
        <f>IF(AND(X85&gt;=$F$16,X84&lt;$F$16),D85,"")</f>
        <v/>
      </c>
      <c r="AB85" s="191">
        <f>IF(AND(X85&gt;=$F$17,X84&lt;$F$17),D85,"")</f>
        <v/>
      </c>
    </row>
    <row r="86" outlineLevel="1" ht="18" customHeight="1" s="326">
      <c r="A86" s="174">
        <f>$A$25</f>
        <v/>
      </c>
      <c r="B86" s="193">
        <f>$B$25</f>
        <v/>
      </c>
      <c r="C86" s="179">
        <f>$C$25</f>
        <v/>
      </c>
      <c r="D86" s="193" t="n">
        <v>6</v>
      </c>
      <c r="E86" s="193">
        <f>('Model Inputs'!$B$22-1)+D86</f>
        <v/>
      </c>
      <c r="F86" s="189">
        <f>IF(D86=1,'Model Inputs'!$B$25*(13-'Model Inputs'!$B$23)/12,'Model Inputs'!$B$25)</f>
        <v/>
      </c>
      <c r="G86" s="189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/>
      </c>
      <c r="H86" s="180">
        <f>IF(D86&lt;=2,0,'Model Inputs'!$B$32*SIN(2*PI()*(D86-3+'Model Inputs'!$B$34)/MAX(1,'Model Inputs'!$B$33)))</f>
        <v/>
      </c>
      <c r="I86" s="189">
        <f>G86*(1+H86)</f>
        <v/>
      </c>
      <c r="J86" s="189">
        <f>0.75*I85+0.25*I84</f>
        <v/>
      </c>
      <c r="K86" s="189">
        <f>F86+J86+IF(D86=1,'Model Inputs'!$B$26,0)</f>
        <v/>
      </c>
      <c r="L86" s="189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/>
      </c>
      <c r="M86" s="189">
        <f>MIN(L86,'Tax Assumptions'!$B$19)</f>
        <v/>
      </c>
      <c r="N86" s="189">
        <f>MAX(L86-M86-'Tax Assumptions'!$B$8,0)</f>
        <v/>
      </c>
      <c r="O86" s="189">
        <f>MAX(L86-M86-'Tax Assumptions'!$B$9,0)</f>
        <v/>
      </c>
      <c r="P86" s="189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/>
      </c>
      <c r="Q86" s="189">
        <f>L86-M86-P86</f>
        <v/>
      </c>
      <c r="R86" s="189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/>
      </c>
      <c r="S86" s="189">
        <f>Q86-R86</f>
        <v/>
      </c>
      <c r="T86" s="189">
        <f>MIN(MAX(S86,0),'Tax Assumptions'!$B$20)</f>
        <v/>
      </c>
      <c r="U86" s="189">
        <f>S86-T86</f>
        <v/>
      </c>
      <c r="V86" s="189">
        <f>MAX(V85*(1+'Model Inputs'!$B$13)+U86,0)</f>
        <v/>
      </c>
      <c r="W86" s="189">
        <f>MAX(W85*(1+'Model Inputs'!$B$13)+M86+T86,0)</f>
        <v/>
      </c>
      <c r="X86" s="189">
        <f>V86+W86</f>
        <v/>
      </c>
      <c r="Y86" s="191">
        <f>IF(AND(X86&gt;=$F$14,X85&lt;$F$14),D86,"")</f>
        <v/>
      </c>
      <c r="Z86" s="191">
        <f>IF(AND(X86&gt;=$F$15,X85&lt;$F$15),D86,"")</f>
        <v/>
      </c>
      <c r="AA86" s="191">
        <f>IF(AND(X86&gt;=$F$16,X85&lt;$F$16),D86,"")</f>
        <v/>
      </c>
      <c r="AB86" s="191">
        <f>IF(AND(X86&gt;=$F$17,X85&lt;$F$17),D86,"")</f>
        <v/>
      </c>
    </row>
    <row r="87" outlineLevel="1" ht="18" customHeight="1" s="326">
      <c r="A87" s="174">
        <f>$A$25</f>
        <v/>
      </c>
      <c r="B87" s="193">
        <f>$B$25</f>
        <v/>
      </c>
      <c r="C87" s="179">
        <f>$C$25</f>
        <v/>
      </c>
      <c r="D87" s="193" t="n">
        <v>7</v>
      </c>
      <c r="E87" s="193">
        <f>('Model Inputs'!$B$22-1)+D87</f>
        <v/>
      </c>
      <c r="F87" s="189">
        <f>IF(D87=1,'Model Inputs'!$B$25*(13-'Model Inputs'!$B$23)/12,'Model Inputs'!$B$25)</f>
        <v/>
      </c>
      <c r="G87" s="189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/>
      </c>
      <c r="H87" s="180">
        <f>IF(D87&lt;=2,0,'Model Inputs'!$B$32*SIN(2*PI()*(D87-3+'Model Inputs'!$B$34)/MAX(1,'Model Inputs'!$B$33)))</f>
        <v/>
      </c>
      <c r="I87" s="189">
        <f>G87*(1+H87)</f>
        <v/>
      </c>
      <c r="J87" s="189">
        <f>0.75*I86+0.25*I85</f>
        <v/>
      </c>
      <c r="K87" s="189">
        <f>F87+J87+IF(D87=1,'Model Inputs'!$B$26,0)</f>
        <v/>
      </c>
      <c r="L87" s="189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/>
      </c>
      <c r="M87" s="189">
        <f>MIN(L87,'Tax Assumptions'!$B$19)</f>
        <v/>
      </c>
      <c r="N87" s="189">
        <f>MAX(L87-M87-'Tax Assumptions'!$B$8,0)</f>
        <v/>
      </c>
      <c r="O87" s="189">
        <f>MAX(L87-M87-'Tax Assumptions'!$B$9,0)</f>
        <v/>
      </c>
      <c r="P87" s="189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/>
      </c>
      <c r="Q87" s="189">
        <f>L87-M87-P87</f>
        <v/>
      </c>
      <c r="R87" s="189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/>
      </c>
      <c r="S87" s="189">
        <f>Q87-R87</f>
        <v/>
      </c>
      <c r="T87" s="189">
        <f>MIN(MAX(S87,0),'Tax Assumptions'!$B$20)</f>
        <v/>
      </c>
      <c r="U87" s="189">
        <f>S87-T87</f>
        <v/>
      </c>
      <c r="V87" s="189">
        <f>MAX(V86*(1+'Model Inputs'!$B$13)+U87,0)</f>
        <v/>
      </c>
      <c r="W87" s="189">
        <f>MAX(W86*(1+'Model Inputs'!$B$13)+M87+T87,0)</f>
        <v/>
      </c>
      <c r="X87" s="189">
        <f>V87+W87</f>
        <v/>
      </c>
      <c r="Y87" s="191">
        <f>IF(AND(X87&gt;=$F$14,X86&lt;$F$14),D87,"")</f>
        <v/>
      </c>
      <c r="Z87" s="191">
        <f>IF(AND(X87&gt;=$F$15,X86&lt;$F$15),D87,"")</f>
        <v/>
      </c>
      <c r="AA87" s="191">
        <f>IF(AND(X87&gt;=$F$16,X86&lt;$F$16),D87,"")</f>
        <v/>
      </c>
      <c r="AB87" s="191">
        <f>IF(AND(X87&gt;=$F$17,X86&lt;$F$17),D87,"")</f>
        <v/>
      </c>
    </row>
    <row r="88" outlineLevel="1" ht="18" customHeight="1" s="326">
      <c r="A88" s="174">
        <f>$A$25</f>
        <v/>
      </c>
      <c r="B88" s="193">
        <f>$B$25</f>
        <v/>
      </c>
      <c r="C88" s="179">
        <f>$C$25</f>
        <v/>
      </c>
      <c r="D88" s="193" t="n">
        <v>8</v>
      </c>
      <c r="E88" s="193">
        <f>('Model Inputs'!$B$22-1)+D88</f>
        <v/>
      </c>
      <c r="F88" s="189">
        <f>IF(D88=1,'Model Inputs'!$B$25*(13-'Model Inputs'!$B$23)/12,'Model Inputs'!$B$25)</f>
        <v/>
      </c>
      <c r="G88" s="189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/>
      </c>
      <c r="H88" s="180">
        <f>IF(D88&lt;=2,0,'Model Inputs'!$B$32*SIN(2*PI()*(D88-3+'Model Inputs'!$B$34)/MAX(1,'Model Inputs'!$B$33)))</f>
        <v/>
      </c>
      <c r="I88" s="189">
        <f>G88*(1+H88)</f>
        <v/>
      </c>
      <c r="J88" s="189">
        <f>0.75*I87+0.25*I86</f>
        <v/>
      </c>
      <c r="K88" s="189">
        <f>F88+J88+IF(D88=1,'Model Inputs'!$B$26,0)</f>
        <v/>
      </c>
      <c r="L88" s="189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/>
      </c>
      <c r="M88" s="189">
        <f>MIN(L88,'Tax Assumptions'!$B$19)</f>
        <v/>
      </c>
      <c r="N88" s="189">
        <f>MAX(L88-M88-'Tax Assumptions'!$B$8,0)</f>
        <v/>
      </c>
      <c r="O88" s="189">
        <f>MAX(L88-M88-'Tax Assumptions'!$B$9,0)</f>
        <v/>
      </c>
      <c r="P88" s="189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/>
      </c>
      <c r="Q88" s="189">
        <f>L88-M88-P88</f>
        <v/>
      </c>
      <c r="R88" s="189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/>
      </c>
      <c r="S88" s="189">
        <f>Q88-R88</f>
        <v/>
      </c>
      <c r="T88" s="189">
        <f>MIN(MAX(S88,0),'Tax Assumptions'!$B$20)</f>
        <v/>
      </c>
      <c r="U88" s="189">
        <f>S88-T88</f>
        <v/>
      </c>
      <c r="V88" s="189">
        <f>MAX(V87*(1+'Model Inputs'!$B$13)+U88,0)</f>
        <v/>
      </c>
      <c r="W88" s="189">
        <f>MAX(W87*(1+'Model Inputs'!$B$13)+M88+T88,0)</f>
        <v/>
      </c>
      <c r="X88" s="189">
        <f>V88+W88</f>
        <v/>
      </c>
      <c r="Y88" s="191">
        <f>IF(AND(X88&gt;=$F$14,X87&lt;$F$14),D88,"")</f>
        <v/>
      </c>
      <c r="Z88" s="191">
        <f>IF(AND(X88&gt;=$F$15,X87&lt;$F$15),D88,"")</f>
        <v/>
      </c>
      <c r="AA88" s="191">
        <f>IF(AND(X88&gt;=$F$16,X87&lt;$F$16),D88,"")</f>
        <v/>
      </c>
      <c r="AB88" s="191">
        <f>IF(AND(X88&gt;=$F$17,X87&lt;$F$17),D88,"")</f>
        <v/>
      </c>
    </row>
    <row r="89" outlineLevel="1" ht="18" customHeight="1" s="326">
      <c r="A89" s="174">
        <f>$A$25</f>
        <v/>
      </c>
      <c r="B89" s="193">
        <f>$B$25</f>
        <v/>
      </c>
      <c r="C89" s="179">
        <f>$C$25</f>
        <v/>
      </c>
      <c r="D89" s="193" t="n">
        <v>9</v>
      </c>
      <c r="E89" s="193">
        <f>('Model Inputs'!$B$22-1)+D89</f>
        <v/>
      </c>
      <c r="F89" s="189">
        <f>IF(D89=1,'Model Inputs'!$B$25*(13-'Model Inputs'!$B$23)/12,'Model Inputs'!$B$25)</f>
        <v/>
      </c>
      <c r="G89" s="189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/>
      </c>
      <c r="H89" s="180">
        <f>IF(D89&lt;=2,0,'Model Inputs'!$B$32*SIN(2*PI()*(D89-3+'Model Inputs'!$B$34)/MAX(1,'Model Inputs'!$B$33)))</f>
        <v/>
      </c>
      <c r="I89" s="189">
        <f>G89*(1+H89)</f>
        <v/>
      </c>
      <c r="J89" s="189">
        <f>0.75*I88+0.25*I87</f>
        <v/>
      </c>
      <c r="K89" s="189">
        <f>F89+J89+IF(D89=1,'Model Inputs'!$B$26,0)</f>
        <v/>
      </c>
      <c r="L89" s="189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/>
      </c>
      <c r="M89" s="189">
        <f>MIN(L89,'Tax Assumptions'!$B$19)</f>
        <v/>
      </c>
      <c r="N89" s="189">
        <f>MAX(L89-M89-'Tax Assumptions'!$B$8,0)</f>
        <v/>
      </c>
      <c r="O89" s="189">
        <f>MAX(L89-M89-'Tax Assumptions'!$B$9,0)</f>
        <v/>
      </c>
      <c r="P89" s="189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/>
      </c>
      <c r="Q89" s="189">
        <f>L89-M89-P89</f>
        <v/>
      </c>
      <c r="R89" s="189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/>
      </c>
      <c r="S89" s="189">
        <f>Q89-R89</f>
        <v/>
      </c>
      <c r="T89" s="189">
        <f>MIN(MAX(S89,0),'Tax Assumptions'!$B$20)</f>
        <v/>
      </c>
      <c r="U89" s="189">
        <f>S89-T89</f>
        <v/>
      </c>
      <c r="V89" s="189">
        <f>MAX(V88*(1+'Model Inputs'!$B$13)+U89,0)</f>
        <v/>
      </c>
      <c r="W89" s="189">
        <f>MAX(W88*(1+'Model Inputs'!$B$13)+M89+T89,0)</f>
        <v/>
      </c>
      <c r="X89" s="189">
        <f>V89+W89</f>
        <v/>
      </c>
      <c r="Y89" s="191">
        <f>IF(AND(X89&gt;=$F$14,X88&lt;$F$14),D89,"")</f>
        <v/>
      </c>
      <c r="Z89" s="191">
        <f>IF(AND(X89&gt;=$F$15,X88&lt;$F$15),D89,"")</f>
        <v/>
      </c>
      <c r="AA89" s="191">
        <f>IF(AND(X89&gt;=$F$16,X88&lt;$F$16),D89,"")</f>
        <v/>
      </c>
      <c r="AB89" s="191">
        <f>IF(AND(X89&gt;=$F$17,X88&lt;$F$17),D89,"")</f>
        <v/>
      </c>
    </row>
    <row r="90" outlineLevel="1" ht="18" customHeight="1" s="326">
      <c r="A90" s="174">
        <f>$A$25</f>
        <v/>
      </c>
      <c r="B90" s="193">
        <f>$B$25</f>
        <v/>
      </c>
      <c r="C90" s="179">
        <f>$C$25</f>
        <v/>
      </c>
      <c r="D90" s="193" t="n">
        <v>10</v>
      </c>
      <c r="E90" s="193">
        <f>('Model Inputs'!$B$22-1)+D90</f>
        <v/>
      </c>
      <c r="F90" s="189">
        <f>IF(D90=1,'Model Inputs'!$B$25*(13-'Model Inputs'!$B$23)/12,'Model Inputs'!$B$25)</f>
        <v/>
      </c>
      <c r="G90" s="189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/>
      </c>
      <c r="H90" s="180">
        <f>IF(D90&lt;=2,0,'Model Inputs'!$B$32*SIN(2*PI()*(D90-3+'Model Inputs'!$B$34)/MAX(1,'Model Inputs'!$B$33)))</f>
        <v/>
      </c>
      <c r="I90" s="189">
        <f>G90*(1+H90)</f>
        <v/>
      </c>
      <c r="J90" s="189">
        <f>0.75*I89+0.25*I88</f>
        <v/>
      </c>
      <c r="K90" s="189">
        <f>F90+J90+IF(D90=1,'Model Inputs'!$B$26,0)</f>
        <v/>
      </c>
      <c r="L90" s="189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/>
      </c>
      <c r="M90" s="189">
        <f>MIN(L90,'Tax Assumptions'!$B$19)</f>
        <v/>
      </c>
      <c r="N90" s="189">
        <f>MAX(L90-M90-'Tax Assumptions'!$B$8,0)</f>
        <v/>
      </c>
      <c r="O90" s="189">
        <f>MAX(L90-M90-'Tax Assumptions'!$B$9,0)</f>
        <v/>
      </c>
      <c r="P90" s="189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/>
      </c>
      <c r="Q90" s="189">
        <f>L90-M90-P90</f>
        <v/>
      </c>
      <c r="R90" s="189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/>
      </c>
      <c r="S90" s="189">
        <f>Q90-R90</f>
        <v/>
      </c>
      <c r="T90" s="189">
        <f>MIN(MAX(S90,0),'Tax Assumptions'!$B$20)</f>
        <v/>
      </c>
      <c r="U90" s="189">
        <f>S90-T90</f>
        <v/>
      </c>
      <c r="V90" s="189">
        <f>MAX(V89*(1+'Model Inputs'!$B$13)+U90,0)</f>
        <v/>
      </c>
      <c r="W90" s="189">
        <f>MAX(W89*(1+'Model Inputs'!$B$13)+M90+T90,0)</f>
        <v/>
      </c>
      <c r="X90" s="189">
        <f>V90+W90</f>
        <v/>
      </c>
      <c r="Y90" s="191">
        <f>IF(AND(X90&gt;=$F$14,X89&lt;$F$14),D90,"")</f>
        <v/>
      </c>
      <c r="Z90" s="191">
        <f>IF(AND(X90&gt;=$F$15,X89&lt;$F$15),D90,"")</f>
        <v/>
      </c>
      <c r="AA90" s="191">
        <f>IF(AND(X90&gt;=$F$16,X89&lt;$F$16),D90,"")</f>
        <v/>
      </c>
      <c r="AB90" s="191">
        <f>IF(AND(X90&gt;=$F$17,X89&lt;$F$17),D90,"")</f>
        <v/>
      </c>
    </row>
    <row r="91" outlineLevel="1" ht="18" customHeight="1" s="326">
      <c r="A91" s="174">
        <f>$A$25</f>
        <v/>
      </c>
      <c r="B91" s="193">
        <f>$B$25</f>
        <v/>
      </c>
      <c r="C91" s="179">
        <f>$C$25</f>
        <v/>
      </c>
      <c r="D91" s="193" t="n">
        <v>11</v>
      </c>
      <c r="E91" s="193">
        <f>('Model Inputs'!$B$22-1)+D91</f>
        <v/>
      </c>
      <c r="F91" s="189">
        <f>IF(D91=1,'Model Inputs'!$B$25*(13-'Model Inputs'!$B$23)/12,'Model Inputs'!$B$25)</f>
        <v/>
      </c>
      <c r="G91" s="189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/>
      </c>
      <c r="H91" s="180">
        <f>IF(D91&lt;=2,0,'Model Inputs'!$B$32*SIN(2*PI()*(D91-3+'Model Inputs'!$B$34)/MAX(1,'Model Inputs'!$B$33)))</f>
        <v/>
      </c>
      <c r="I91" s="189">
        <f>G91*(1+H91)</f>
        <v/>
      </c>
      <c r="J91" s="189">
        <f>0.75*I90+0.25*I89</f>
        <v/>
      </c>
      <c r="K91" s="189">
        <f>F91+J91+IF(D91=1,'Model Inputs'!$B$26,0)</f>
        <v/>
      </c>
      <c r="L91" s="189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/>
      </c>
      <c r="M91" s="189">
        <f>MIN(L91,'Tax Assumptions'!$B$19)</f>
        <v/>
      </c>
      <c r="N91" s="189">
        <f>MAX(L91-M91-'Tax Assumptions'!$B$8,0)</f>
        <v/>
      </c>
      <c r="O91" s="189">
        <f>MAX(L91-M91-'Tax Assumptions'!$B$9,0)</f>
        <v/>
      </c>
      <c r="P91" s="189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/>
      </c>
      <c r="Q91" s="189">
        <f>L91-M91-P91</f>
        <v/>
      </c>
      <c r="R91" s="189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/>
      </c>
      <c r="S91" s="189">
        <f>Q91-R91</f>
        <v/>
      </c>
      <c r="T91" s="189">
        <f>MIN(MAX(S91,0),'Tax Assumptions'!$B$20)</f>
        <v/>
      </c>
      <c r="U91" s="189">
        <f>S91-T91</f>
        <v/>
      </c>
      <c r="V91" s="189">
        <f>MAX(V90*(1+'Model Inputs'!$B$13)+U91,0)</f>
        <v/>
      </c>
      <c r="W91" s="189">
        <f>MAX(W90*(1+'Model Inputs'!$B$13)+M91+T91,0)</f>
        <v/>
      </c>
      <c r="X91" s="189">
        <f>V91+W91</f>
        <v/>
      </c>
      <c r="Y91" s="191">
        <f>IF(AND(X91&gt;=$F$14,X90&lt;$F$14),D91,"")</f>
        <v/>
      </c>
      <c r="Z91" s="191">
        <f>IF(AND(X91&gt;=$F$15,X90&lt;$F$15),D91,"")</f>
        <v/>
      </c>
      <c r="AA91" s="191">
        <f>IF(AND(X91&gt;=$F$16,X90&lt;$F$16),D91,"")</f>
        <v/>
      </c>
      <c r="AB91" s="191">
        <f>IF(AND(X91&gt;=$F$17,X90&lt;$F$17),D91,"")</f>
        <v/>
      </c>
    </row>
    <row r="92" outlineLevel="1" ht="18" customHeight="1" s="326">
      <c r="A92" s="174">
        <f>$A$25</f>
        <v/>
      </c>
      <c r="B92" s="193">
        <f>$B$25</f>
        <v/>
      </c>
      <c r="C92" s="179">
        <f>$C$25</f>
        <v/>
      </c>
      <c r="D92" s="193" t="n">
        <v>12</v>
      </c>
      <c r="E92" s="193">
        <f>('Model Inputs'!$B$22-1)+D92</f>
        <v/>
      </c>
      <c r="F92" s="189">
        <f>IF(D92=1,'Model Inputs'!$B$25*(13-'Model Inputs'!$B$23)/12,'Model Inputs'!$B$25)</f>
        <v/>
      </c>
      <c r="G92" s="189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/>
      </c>
      <c r="H92" s="180">
        <f>IF(D92&lt;=2,0,'Model Inputs'!$B$32*SIN(2*PI()*(D92-3+'Model Inputs'!$B$34)/MAX(1,'Model Inputs'!$B$33)))</f>
        <v/>
      </c>
      <c r="I92" s="189">
        <f>G92*(1+H92)</f>
        <v/>
      </c>
      <c r="J92" s="189">
        <f>0.75*I91+0.25*I90</f>
        <v/>
      </c>
      <c r="K92" s="189">
        <f>F92+J92+IF(D92=1,'Model Inputs'!$B$26,0)</f>
        <v/>
      </c>
      <c r="L92" s="189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/>
      </c>
      <c r="M92" s="189">
        <f>MIN(L92,'Tax Assumptions'!$B$19)</f>
        <v/>
      </c>
      <c r="N92" s="189">
        <f>MAX(L92-M92-'Tax Assumptions'!$B$8,0)</f>
        <v/>
      </c>
      <c r="O92" s="189">
        <f>MAX(L92-M92-'Tax Assumptions'!$B$9,0)</f>
        <v/>
      </c>
      <c r="P92" s="189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/>
      </c>
      <c r="Q92" s="189">
        <f>L92-M92-P92</f>
        <v/>
      </c>
      <c r="R92" s="189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/>
      </c>
      <c r="S92" s="189">
        <f>Q92-R92</f>
        <v/>
      </c>
      <c r="T92" s="189">
        <f>MIN(MAX(S92,0),'Tax Assumptions'!$B$20)</f>
        <v/>
      </c>
      <c r="U92" s="189">
        <f>S92-T92</f>
        <v/>
      </c>
      <c r="V92" s="189">
        <f>MAX(V91*(1+'Model Inputs'!$B$13)+U92,0)</f>
        <v/>
      </c>
      <c r="W92" s="189">
        <f>MAX(W91*(1+'Model Inputs'!$B$13)+M92+T92,0)</f>
        <v/>
      </c>
      <c r="X92" s="189">
        <f>V92+W92</f>
        <v/>
      </c>
      <c r="Y92" s="191">
        <f>IF(AND(X92&gt;=$F$14,X91&lt;$F$14),D92,"")</f>
        <v/>
      </c>
      <c r="Z92" s="191">
        <f>IF(AND(X92&gt;=$F$15,X91&lt;$F$15),D92,"")</f>
        <v/>
      </c>
      <c r="AA92" s="191">
        <f>IF(AND(X92&gt;=$F$16,X91&lt;$F$16),D92,"")</f>
        <v/>
      </c>
      <c r="AB92" s="191">
        <f>IF(AND(X92&gt;=$F$17,X91&lt;$F$17),D92,"")</f>
        <v/>
      </c>
    </row>
    <row r="93" outlineLevel="1" ht="18" customHeight="1" s="326">
      <c r="A93" s="174">
        <f>$A$25</f>
        <v/>
      </c>
      <c r="B93" s="193">
        <f>$B$25</f>
        <v/>
      </c>
      <c r="C93" s="179">
        <f>$C$25</f>
        <v/>
      </c>
      <c r="D93" s="193" t="n">
        <v>13</v>
      </c>
      <c r="E93" s="193">
        <f>('Model Inputs'!$B$22-1)+D93</f>
        <v/>
      </c>
      <c r="F93" s="189">
        <f>IF(D93=1,'Model Inputs'!$B$25*(13-'Model Inputs'!$B$23)/12,'Model Inputs'!$B$25)</f>
        <v/>
      </c>
      <c r="G93" s="189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/>
      </c>
      <c r="H93" s="180">
        <f>IF(D93&lt;=2,0,'Model Inputs'!$B$32*SIN(2*PI()*(D93-3+'Model Inputs'!$B$34)/MAX(1,'Model Inputs'!$B$33)))</f>
        <v/>
      </c>
      <c r="I93" s="189">
        <f>G93*(1+H93)</f>
        <v/>
      </c>
      <c r="J93" s="189">
        <f>0.75*I92+0.25*I91</f>
        <v/>
      </c>
      <c r="K93" s="189">
        <f>F93+J93+IF(D93=1,'Model Inputs'!$B$26,0)</f>
        <v/>
      </c>
      <c r="L93" s="189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/>
      </c>
      <c r="M93" s="189">
        <f>MIN(L93,'Tax Assumptions'!$B$19)</f>
        <v/>
      </c>
      <c r="N93" s="189">
        <f>MAX(L93-M93-'Tax Assumptions'!$B$8,0)</f>
        <v/>
      </c>
      <c r="O93" s="189">
        <f>MAX(L93-M93-'Tax Assumptions'!$B$9,0)</f>
        <v/>
      </c>
      <c r="P93" s="189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/>
      </c>
      <c r="Q93" s="189">
        <f>L93-M93-P93</f>
        <v/>
      </c>
      <c r="R93" s="189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/>
      </c>
      <c r="S93" s="189">
        <f>Q93-R93</f>
        <v/>
      </c>
      <c r="T93" s="189">
        <f>MIN(MAX(S93,0),'Tax Assumptions'!$B$20)</f>
        <v/>
      </c>
      <c r="U93" s="189">
        <f>S93-T93</f>
        <v/>
      </c>
      <c r="V93" s="189">
        <f>MAX(V92*(1+'Model Inputs'!$B$13)+U93,0)</f>
        <v/>
      </c>
      <c r="W93" s="189">
        <f>MAX(W92*(1+'Model Inputs'!$B$13)+M93+T93,0)</f>
        <v/>
      </c>
      <c r="X93" s="189">
        <f>V93+W93</f>
        <v/>
      </c>
      <c r="Y93" s="191">
        <f>IF(AND(X93&gt;=$F$14,X92&lt;$F$14),D93,"")</f>
        <v/>
      </c>
      <c r="Z93" s="191">
        <f>IF(AND(X93&gt;=$F$15,X92&lt;$F$15),D93,"")</f>
        <v/>
      </c>
      <c r="AA93" s="191">
        <f>IF(AND(X93&gt;=$F$16,X92&lt;$F$16),D93,"")</f>
        <v/>
      </c>
      <c r="AB93" s="191">
        <f>IF(AND(X93&gt;=$F$17,X92&lt;$F$17),D93,"")</f>
        <v/>
      </c>
    </row>
    <row r="94" outlineLevel="1" ht="18" customHeight="1" s="326">
      <c r="A94" s="174">
        <f>$A$25</f>
        <v/>
      </c>
      <c r="B94" s="193">
        <f>$B$25</f>
        <v/>
      </c>
      <c r="C94" s="179">
        <f>$C$25</f>
        <v/>
      </c>
      <c r="D94" s="193" t="n">
        <v>14</v>
      </c>
      <c r="E94" s="193">
        <f>('Model Inputs'!$B$22-1)+D94</f>
        <v/>
      </c>
      <c r="F94" s="189">
        <f>IF(D94=1,'Model Inputs'!$B$25*(13-'Model Inputs'!$B$23)/12,'Model Inputs'!$B$25)</f>
        <v/>
      </c>
      <c r="G94" s="189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/>
      </c>
      <c r="H94" s="180">
        <f>IF(D94&lt;=2,0,'Model Inputs'!$B$32*SIN(2*PI()*(D94-3+'Model Inputs'!$B$34)/MAX(1,'Model Inputs'!$B$33)))</f>
        <v/>
      </c>
      <c r="I94" s="189">
        <f>G94*(1+H94)</f>
        <v/>
      </c>
      <c r="J94" s="189">
        <f>0.75*I93+0.25*I92</f>
        <v/>
      </c>
      <c r="K94" s="189">
        <f>F94+J94+IF(D94=1,'Model Inputs'!$B$26,0)</f>
        <v/>
      </c>
      <c r="L94" s="189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/>
      </c>
      <c r="M94" s="189">
        <f>MIN(L94,'Tax Assumptions'!$B$19)</f>
        <v/>
      </c>
      <c r="N94" s="189">
        <f>MAX(L94-M94-'Tax Assumptions'!$B$8,0)</f>
        <v/>
      </c>
      <c r="O94" s="189">
        <f>MAX(L94-M94-'Tax Assumptions'!$B$9,0)</f>
        <v/>
      </c>
      <c r="P94" s="189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/>
      </c>
      <c r="Q94" s="189">
        <f>L94-M94-P94</f>
        <v/>
      </c>
      <c r="R94" s="189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/>
      </c>
      <c r="S94" s="189">
        <f>Q94-R94</f>
        <v/>
      </c>
      <c r="T94" s="189">
        <f>MIN(MAX(S94,0),'Tax Assumptions'!$B$20)</f>
        <v/>
      </c>
      <c r="U94" s="189">
        <f>S94-T94</f>
        <v/>
      </c>
      <c r="V94" s="189">
        <f>MAX(V93*(1+'Model Inputs'!$B$13)+U94,0)</f>
        <v/>
      </c>
      <c r="W94" s="189">
        <f>MAX(W93*(1+'Model Inputs'!$B$13)+M94+T94,0)</f>
        <v/>
      </c>
      <c r="X94" s="189">
        <f>V94+W94</f>
        <v/>
      </c>
      <c r="Y94" s="191">
        <f>IF(AND(X94&gt;=$F$14,X93&lt;$F$14),D94,"")</f>
        <v/>
      </c>
      <c r="Z94" s="191">
        <f>IF(AND(X94&gt;=$F$15,X93&lt;$F$15),D94,"")</f>
        <v/>
      </c>
      <c r="AA94" s="191">
        <f>IF(AND(X94&gt;=$F$16,X93&lt;$F$16),D94,"")</f>
        <v/>
      </c>
      <c r="AB94" s="191">
        <f>IF(AND(X94&gt;=$F$17,X93&lt;$F$17),D94,"")</f>
        <v/>
      </c>
    </row>
    <row r="95" outlineLevel="1" ht="18" customHeight="1" s="326">
      <c r="A95" s="174">
        <f>$A$25</f>
        <v/>
      </c>
      <c r="B95" s="193">
        <f>$B$25</f>
        <v/>
      </c>
      <c r="C95" s="179">
        <f>$C$25</f>
        <v/>
      </c>
      <c r="D95" s="193" t="n">
        <v>15</v>
      </c>
      <c r="E95" s="193">
        <f>('Model Inputs'!$B$22-1)+D95</f>
        <v/>
      </c>
      <c r="F95" s="189">
        <f>IF(D95=1,'Model Inputs'!$B$25*(13-'Model Inputs'!$B$23)/12,'Model Inputs'!$B$25)</f>
        <v/>
      </c>
      <c r="G95" s="189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/>
      </c>
      <c r="H95" s="180">
        <f>IF(D95&lt;=2,0,'Model Inputs'!$B$32*SIN(2*PI()*(D95-3+'Model Inputs'!$B$34)/MAX(1,'Model Inputs'!$B$33)))</f>
        <v/>
      </c>
      <c r="I95" s="189">
        <f>G95*(1+H95)</f>
        <v/>
      </c>
      <c r="J95" s="189">
        <f>0.75*I94+0.25*I93</f>
        <v/>
      </c>
      <c r="K95" s="189">
        <f>F95+J95+IF(D95=1,'Model Inputs'!$B$26,0)</f>
        <v/>
      </c>
      <c r="L95" s="189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/>
      </c>
      <c r="M95" s="189">
        <f>MIN(L95,'Tax Assumptions'!$B$19)</f>
        <v/>
      </c>
      <c r="N95" s="189">
        <f>MAX(L95-M95-'Tax Assumptions'!$B$8,0)</f>
        <v/>
      </c>
      <c r="O95" s="189">
        <f>MAX(L95-M95-'Tax Assumptions'!$B$9,0)</f>
        <v/>
      </c>
      <c r="P95" s="189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/>
      </c>
      <c r="Q95" s="189">
        <f>L95-M95-P95</f>
        <v/>
      </c>
      <c r="R95" s="189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/>
      </c>
      <c r="S95" s="189">
        <f>Q95-R95</f>
        <v/>
      </c>
      <c r="T95" s="189">
        <f>MIN(MAX(S95,0),'Tax Assumptions'!$B$20)</f>
        <v/>
      </c>
      <c r="U95" s="189">
        <f>S95-T95</f>
        <v/>
      </c>
      <c r="V95" s="189">
        <f>MAX(V94*(1+'Model Inputs'!$B$13)+U95,0)</f>
        <v/>
      </c>
      <c r="W95" s="189">
        <f>MAX(W94*(1+'Model Inputs'!$B$13)+M95+T95,0)</f>
        <v/>
      </c>
      <c r="X95" s="189">
        <f>V95+W95</f>
        <v/>
      </c>
      <c r="Y95" s="191">
        <f>IF(AND(X95&gt;=$F$14,X94&lt;$F$14),D95,"")</f>
        <v/>
      </c>
      <c r="Z95" s="191">
        <f>IF(AND(X95&gt;=$F$15,X94&lt;$F$15),D95,"")</f>
        <v/>
      </c>
      <c r="AA95" s="191">
        <f>IF(AND(X95&gt;=$F$16,X94&lt;$F$16),D95,"")</f>
        <v/>
      </c>
      <c r="AB95" s="191">
        <f>IF(AND(X95&gt;=$F$17,X94&lt;$F$17),D95,"")</f>
        <v/>
      </c>
    </row>
    <row r="96" outlineLevel="1" ht="18" customHeight="1" s="326">
      <c r="A96" s="174">
        <f>$A$26</f>
        <v/>
      </c>
      <c r="B96" s="193">
        <f>$B$26</f>
        <v/>
      </c>
      <c r="C96" s="179">
        <f>$C$26</f>
        <v/>
      </c>
      <c r="D96" s="193" t="n">
        <v>1</v>
      </c>
      <c r="E96" s="193">
        <f>('Model Inputs'!$B$22-1)+D96</f>
        <v/>
      </c>
      <c r="F96" s="189">
        <f>IF(D96=1,'Model Inputs'!$B$25*(13-'Model Inputs'!$B$23)/12,'Model Inputs'!$B$25)</f>
        <v/>
      </c>
      <c r="G96" s="189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/>
      </c>
      <c r="H96" s="180">
        <f>IF(D96&lt;=2,0,'Model Inputs'!$B$32*SIN(2*PI()*(D96-3+'Model Inputs'!$B$34)/MAX(1,'Model Inputs'!$B$33)))</f>
        <v/>
      </c>
      <c r="I96" s="189">
        <f>G96*(1+H96)</f>
        <v/>
      </c>
      <c r="J96" s="189">
        <f>0</f>
        <v/>
      </c>
      <c r="K96" s="189">
        <f>F96+J96+IF(D96=1,'Model Inputs'!$B$26,0)</f>
        <v/>
      </c>
      <c r="L96" s="189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/>
      </c>
      <c r="M96" s="189">
        <f>MIN(L96,'Tax Assumptions'!$B$19)</f>
        <v/>
      </c>
      <c r="N96" s="189">
        <f>MAX(L96-M96-'Tax Assumptions'!$B$8,0)</f>
        <v/>
      </c>
      <c r="O96" s="189">
        <f>MAX(L96-M96-'Tax Assumptions'!$B$9,0)</f>
        <v/>
      </c>
      <c r="P96" s="189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/>
      </c>
      <c r="Q96" s="189">
        <f>L96-M96-P96</f>
        <v/>
      </c>
      <c r="R96" s="189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/>
      </c>
      <c r="S96" s="189">
        <f>Q96-R96</f>
        <v/>
      </c>
      <c r="T96" s="189">
        <f>MIN(MAX(S96,0),'Tax Assumptions'!$B$20)</f>
        <v/>
      </c>
      <c r="U96" s="189">
        <f>S96-T96</f>
        <v/>
      </c>
      <c r="V96" s="189">
        <f>MAX('Model Inputs'!$B$7*(1+'Model Inputs'!$B$13)+U96,0)</f>
        <v/>
      </c>
      <c r="W96" s="189">
        <f>MAX(('Model Inputs'!$B$8+'Model Inputs'!$B$9+'Model Inputs'!$B$10)*(1+'Model Inputs'!$B$13)+M96+T96,0)</f>
        <v/>
      </c>
      <c r="X96" s="189">
        <f>V96+W96</f>
        <v/>
      </c>
      <c r="Y96" s="191">
        <f>IF(AND(X96&gt;=$F$14,0&lt;$F$14),D96,"")</f>
        <v/>
      </c>
      <c r="Z96" s="191">
        <f>IF(AND(X96&gt;=$F$15,0&lt;$F$15),D96,"")</f>
        <v/>
      </c>
      <c r="AA96" s="191">
        <f>IF(AND(X96&gt;=$F$16,0&lt;$F$16),D96,"")</f>
        <v/>
      </c>
      <c r="AB96" s="191">
        <f>IF(AND(X96&gt;=$F$17,0&lt;$F$17),D96,"")</f>
        <v/>
      </c>
    </row>
    <row r="97" outlineLevel="1" ht="18" customHeight="1" s="326">
      <c r="A97" s="174">
        <f>$A$26</f>
        <v/>
      </c>
      <c r="B97" s="193">
        <f>$B$26</f>
        <v/>
      </c>
      <c r="C97" s="179">
        <f>$C$26</f>
        <v/>
      </c>
      <c r="D97" s="193" t="n">
        <v>2</v>
      </c>
      <c r="E97" s="193">
        <f>('Model Inputs'!$B$22-1)+D97</f>
        <v/>
      </c>
      <c r="F97" s="189">
        <f>IF(D97=1,'Model Inputs'!$B$25*(13-'Model Inputs'!$B$23)/12,'Model Inputs'!$B$25)</f>
        <v/>
      </c>
      <c r="G97" s="189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/>
      </c>
      <c r="H97" s="180">
        <f>IF(D97&lt;=2,0,'Model Inputs'!$B$32*SIN(2*PI()*(D97-3+'Model Inputs'!$B$34)/MAX(1,'Model Inputs'!$B$33)))</f>
        <v/>
      </c>
      <c r="I97" s="189">
        <f>G97*(1+H97)</f>
        <v/>
      </c>
      <c r="J97" s="189">
        <f>0.75*I96</f>
        <v/>
      </c>
      <c r="K97" s="189">
        <f>F97+J97+IF(D97=1,'Model Inputs'!$B$26,0)</f>
        <v/>
      </c>
      <c r="L97" s="189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/>
      </c>
      <c r="M97" s="189">
        <f>MIN(L97,'Tax Assumptions'!$B$19)</f>
        <v/>
      </c>
      <c r="N97" s="189">
        <f>MAX(L97-M97-'Tax Assumptions'!$B$8,0)</f>
        <v/>
      </c>
      <c r="O97" s="189">
        <f>MAX(L97-M97-'Tax Assumptions'!$B$9,0)</f>
        <v/>
      </c>
      <c r="P97" s="189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/>
      </c>
      <c r="Q97" s="189">
        <f>L97-M97-P97</f>
        <v/>
      </c>
      <c r="R97" s="189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/>
      </c>
      <c r="S97" s="189">
        <f>Q97-R97</f>
        <v/>
      </c>
      <c r="T97" s="189">
        <f>MIN(MAX(S97,0),'Tax Assumptions'!$B$20)</f>
        <v/>
      </c>
      <c r="U97" s="189">
        <f>S97-T97</f>
        <v/>
      </c>
      <c r="V97" s="189">
        <f>MAX(V96*(1+'Model Inputs'!$B$13)+U97,0)</f>
        <v/>
      </c>
      <c r="W97" s="189">
        <f>MAX(W96*(1+'Model Inputs'!$B$13)+M97+T97,0)</f>
        <v/>
      </c>
      <c r="X97" s="189">
        <f>V97+W97</f>
        <v/>
      </c>
      <c r="Y97" s="191">
        <f>IF(AND(X97&gt;=$F$14,X96&lt;$F$14),D97,"")</f>
        <v/>
      </c>
      <c r="Z97" s="191">
        <f>IF(AND(X97&gt;=$F$15,X96&lt;$F$15),D97,"")</f>
        <v/>
      </c>
      <c r="AA97" s="191">
        <f>IF(AND(X97&gt;=$F$16,X96&lt;$F$16),D97,"")</f>
        <v/>
      </c>
      <c r="AB97" s="191">
        <f>IF(AND(X97&gt;=$F$17,X96&lt;$F$17),D97,"")</f>
        <v/>
      </c>
    </row>
    <row r="98" outlineLevel="1" ht="18" customHeight="1" s="326">
      <c r="A98" s="174">
        <f>$A$26</f>
        <v/>
      </c>
      <c r="B98" s="193">
        <f>$B$26</f>
        <v/>
      </c>
      <c r="C98" s="179">
        <f>$C$26</f>
        <v/>
      </c>
      <c r="D98" s="193" t="n">
        <v>3</v>
      </c>
      <c r="E98" s="193">
        <f>('Model Inputs'!$B$22-1)+D98</f>
        <v/>
      </c>
      <c r="F98" s="189">
        <f>IF(D98=1,'Model Inputs'!$B$25*(13-'Model Inputs'!$B$23)/12,'Model Inputs'!$B$25)</f>
        <v/>
      </c>
      <c r="G98" s="189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/>
      </c>
      <c r="H98" s="180">
        <f>IF(D98&lt;=2,0,'Model Inputs'!$B$32*SIN(2*PI()*(D98-3+'Model Inputs'!$B$34)/MAX(1,'Model Inputs'!$B$33)))</f>
        <v/>
      </c>
      <c r="I98" s="189">
        <f>G98*(1+H98)</f>
        <v/>
      </c>
      <c r="J98" s="189">
        <f>0.75*I97+0.25*I96</f>
        <v/>
      </c>
      <c r="K98" s="189">
        <f>F98+J98+IF(D98=1,'Model Inputs'!$B$26,0)</f>
        <v/>
      </c>
      <c r="L98" s="189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/>
      </c>
      <c r="M98" s="189">
        <f>MIN(L98,'Tax Assumptions'!$B$19)</f>
        <v/>
      </c>
      <c r="N98" s="189">
        <f>MAX(L98-M98-'Tax Assumptions'!$B$8,0)</f>
        <v/>
      </c>
      <c r="O98" s="189">
        <f>MAX(L98-M98-'Tax Assumptions'!$B$9,0)</f>
        <v/>
      </c>
      <c r="P98" s="189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/>
      </c>
      <c r="Q98" s="189">
        <f>L98-M98-P98</f>
        <v/>
      </c>
      <c r="R98" s="189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/>
      </c>
      <c r="S98" s="189">
        <f>Q98-R98</f>
        <v/>
      </c>
      <c r="T98" s="189">
        <f>MIN(MAX(S98,0),'Tax Assumptions'!$B$20)</f>
        <v/>
      </c>
      <c r="U98" s="189">
        <f>S98-T98</f>
        <v/>
      </c>
      <c r="V98" s="189">
        <f>MAX(V97*(1+'Model Inputs'!$B$13)+U98,0)</f>
        <v/>
      </c>
      <c r="W98" s="189">
        <f>MAX(W97*(1+'Model Inputs'!$B$13)+M98+T98,0)</f>
        <v/>
      </c>
      <c r="X98" s="189">
        <f>V98+W98</f>
        <v/>
      </c>
      <c r="Y98" s="191">
        <f>IF(AND(X98&gt;=$F$14,X97&lt;$F$14),D98,"")</f>
        <v/>
      </c>
      <c r="Z98" s="191">
        <f>IF(AND(X98&gt;=$F$15,X97&lt;$F$15),D98,"")</f>
        <v/>
      </c>
      <c r="AA98" s="191">
        <f>IF(AND(X98&gt;=$F$16,X97&lt;$F$16),D98,"")</f>
        <v/>
      </c>
      <c r="AB98" s="191">
        <f>IF(AND(X98&gt;=$F$17,X97&lt;$F$17),D98,"")</f>
        <v/>
      </c>
    </row>
    <row r="99" outlineLevel="1" ht="18" customHeight="1" s="326">
      <c r="A99" s="174">
        <f>$A$26</f>
        <v/>
      </c>
      <c r="B99" s="193">
        <f>$B$26</f>
        <v/>
      </c>
      <c r="C99" s="179">
        <f>$C$26</f>
        <v/>
      </c>
      <c r="D99" s="193" t="n">
        <v>4</v>
      </c>
      <c r="E99" s="193">
        <f>('Model Inputs'!$B$22-1)+D99</f>
        <v/>
      </c>
      <c r="F99" s="189">
        <f>IF(D99=1,'Model Inputs'!$B$25*(13-'Model Inputs'!$B$23)/12,'Model Inputs'!$B$25)</f>
        <v/>
      </c>
      <c r="G99" s="189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/>
      </c>
      <c r="H99" s="180">
        <f>IF(D99&lt;=2,0,'Model Inputs'!$B$32*SIN(2*PI()*(D99-3+'Model Inputs'!$B$34)/MAX(1,'Model Inputs'!$B$33)))</f>
        <v/>
      </c>
      <c r="I99" s="189">
        <f>G99*(1+H99)</f>
        <v/>
      </c>
      <c r="J99" s="189">
        <f>0.75*I98+0.25*I97</f>
        <v/>
      </c>
      <c r="K99" s="189">
        <f>F99+J99+IF(D99=1,'Model Inputs'!$B$26,0)</f>
        <v/>
      </c>
      <c r="L99" s="189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/>
      </c>
      <c r="M99" s="189">
        <f>MIN(L99,'Tax Assumptions'!$B$19)</f>
        <v/>
      </c>
      <c r="N99" s="189">
        <f>MAX(L99-M99-'Tax Assumptions'!$B$8,0)</f>
        <v/>
      </c>
      <c r="O99" s="189">
        <f>MAX(L99-M99-'Tax Assumptions'!$B$9,0)</f>
        <v/>
      </c>
      <c r="P99" s="189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/>
      </c>
      <c r="Q99" s="189">
        <f>L99-M99-P99</f>
        <v/>
      </c>
      <c r="R99" s="189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/>
      </c>
      <c r="S99" s="189">
        <f>Q99-R99</f>
        <v/>
      </c>
      <c r="T99" s="189">
        <f>MIN(MAX(S99,0),'Tax Assumptions'!$B$20)</f>
        <v/>
      </c>
      <c r="U99" s="189">
        <f>S99-T99</f>
        <v/>
      </c>
      <c r="V99" s="189">
        <f>MAX(V98*(1+'Model Inputs'!$B$13)+U99,0)</f>
        <v/>
      </c>
      <c r="W99" s="189">
        <f>MAX(W98*(1+'Model Inputs'!$B$13)+M99+T99,0)</f>
        <v/>
      </c>
      <c r="X99" s="189">
        <f>V99+W99</f>
        <v/>
      </c>
      <c r="Y99" s="191">
        <f>IF(AND(X99&gt;=$F$14,X98&lt;$F$14),D99,"")</f>
        <v/>
      </c>
      <c r="Z99" s="191">
        <f>IF(AND(X99&gt;=$F$15,X98&lt;$F$15),D99,"")</f>
        <v/>
      </c>
      <c r="AA99" s="191">
        <f>IF(AND(X99&gt;=$F$16,X98&lt;$F$16),D99,"")</f>
        <v/>
      </c>
      <c r="AB99" s="191">
        <f>IF(AND(X99&gt;=$F$17,X98&lt;$F$17),D99,"")</f>
        <v/>
      </c>
    </row>
    <row r="100" outlineLevel="1" ht="18" customHeight="1" s="326">
      <c r="A100" s="174">
        <f>$A$26</f>
        <v/>
      </c>
      <c r="B100" s="193">
        <f>$B$26</f>
        <v/>
      </c>
      <c r="C100" s="179">
        <f>$C$26</f>
        <v/>
      </c>
      <c r="D100" s="193" t="n">
        <v>5</v>
      </c>
      <c r="E100" s="193">
        <f>('Model Inputs'!$B$22-1)+D100</f>
        <v/>
      </c>
      <c r="F100" s="189">
        <f>IF(D100=1,'Model Inputs'!$B$25*(13-'Model Inputs'!$B$23)/12,'Model Inputs'!$B$25)</f>
        <v/>
      </c>
      <c r="G100" s="189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/>
      </c>
      <c r="H100" s="180">
        <f>IF(D100&lt;=2,0,'Model Inputs'!$B$32*SIN(2*PI()*(D100-3+'Model Inputs'!$B$34)/MAX(1,'Model Inputs'!$B$33)))</f>
        <v/>
      </c>
      <c r="I100" s="189">
        <f>G100*(1+H100)</f>
        <v/>
      </c>
      <c r="J100" s="189">
        <f>0.75*I99+0.25*I98</f>
        <v/>
      </c>
      <c r="K100" s="189">
        <f>F100+J100+IF(D100=1,'Model Inputs'!$B$26,0)</f>
        <v/>
      </c>
      <c r="L100" s="189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/>
      </c>
      <c r="M100" s="189">
        <f>MIN(L100,'Tax Assumptions'!$B$19)</f>
        <v/>
      </c>
      <c r="N100" s="189">
        <f>MAX(L100-M100-'Tax Assumptions'!$B$8,0)</f>
        <v/>
      </c>
      <c r="O100" s="189">
        <f>MAX(L100-M100-'Tax Assumptions'!$B$9,0)</f>
        <v/>
      </c>
      <c r="P100" s="189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/>
      </c>
      <c r="Q100" s="189">
        <f>L100-M100-P100</f>
        <v/>
      </c>
      <c r="R100" s="189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/>
      </c>
      <c r="S100" s="189">
        <f>Q100-R100</f>
        <v/>
      </c>
      <c r="T100" s="189">
        <f>MIN(MAX(S100,0),'Tax Assumptions'!$B$20)</f>
        <v/>
      </c>
      <c r="U100" s="189">
        <f>S100-T100</f>
        <v/>
      </c>
      <c r="V100" s="189">
        <f>MAX(V99*(1+'Model Inputs'!$B$13)+U100,0)</f>
        <v/>
      </c>
      <c r="W100" s="189">
        <f>MAX(W99*(1+'Model Inputs'!$B$13)+M100+T100,0)</f>
        <v/>
      </c>
      <c r="X100" s="189">
        <f>V100+W100</f>
        <v/>
      </c>
      <c r="Y100" s="191">
        <f>IF(AND(X100&gt;=$F$14,X99&lt;$F$14),D100,"")</f>
        <v/>
      </c>
      <c r="Z100" s="191">
        <f>IF(AND(X100&gt;=$F$15,X99&lt;$F$15),D100,"")</f>
        <v/>
      </c>
      <c r="AA100" s="191">
        <f>IF(AND(X100&gt;=$F$16,X99&lt;$F$16),D100,"")</f>
        <v/>
      </c>
      <c r="AB100" s="191">
        <f>IF(AND(X100&gt;=$F$17,X99&lt;$F$17),D100,"")</f>
        <v/>
      </c>
    </row>
    <row r="101" outlineLevel="1" ht="18" customHeight="1" s="326">
      <c r="A101" s="174">
        <f>$A$26</f>
        <v/>
      </c>
      <c r="B101" s="193">
        <f>$B$26</f>
        <v/>
      </c>
      <c r="C101" s="179">
        <f>$C$26</f>
        <v/>
      </c>
      <c r="D101" s="193" t="n">
        <v>6</v>
      </c>
      <c r="E101" s="193">
        <f>('Model Inputs'!$B$22-1)+D101</f>
        <v/>
      </c>
      <c r="F101" s="189">
        <f>IF(D101=1,'Model Inputs'!$B$25*(13-'Model Inputs'!$B$23)/12,'Model Inputs'!$B$25)</f>
        <v/>
      </c>
      <c r="G101" s="189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/>
      </c>
      <c r="H101" s="180">
        <f>IF(D101&lt;=2,0,'Model Inputs'!$B$32*SIN(2*PI()*(D101-3+'Model Inputs'!$B$34)/MAX(1,'Model Inputs'!$B$33)))</f>
        <v/>
      </c>
      <c r="I101" s="189">
        <f>G101*(1+H101)</f>
        <v/>
      </c>
      <c r="J101" s="189">
        <f>0.75*I100+0.25*I99</f>
        <v/>
      </c>
      <c r="K101" s="189">
        <f>F101+J101+IF(D101=1,'Model Inputs'!$B$26,0)</f>
        <v/>
      </c>
      <c r="L101" s="189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/>
      </c>
      <c r="M101" s="189">
        <f>MIN(L101,'Tax Assumptions'!$B$19)</f>
        <v/>
      </c>
      <c r="N101" s="189">
        <f>MAX(L101-M101-'Tax Assumptions'!$B$8,0)</f>
        <v/>
      </c>
      <c r="O101" s="189">
        <f>MAX(L101-M101-'Tax Assumptions'!$B$9,0)</f>
        <v/>
      </c>
      <c r="P101" s="189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/>
      </c>
      <c r="Q101" s="189">
        <f>L101-M101-P101</f>
        <v/>
      </c>
      <c r="R101" s="189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/>
      </c>
      <c r="S101" s="189">
        <f>Q101-R101</f>
        <v/>
      </c>
      <c r="T101" s="189">
        <f>MIN(MAX(S101,0),'Tax Assumptions'!$B$20)</f>
        <v/>
      </c>
      <c r="U101" s="189">
        <f>S101-T101</f>
        <v/>
      </c>
      <c r="V101" s="189">
        <f>MAX(V100*(1+'Model Inputs'!$B$13)+U101,0)</f>
        <v/>
      </c>
      <c r="W101" s="189">
        <f>MAX(W100*(1+'Model Inputs'!$B$13)+M101+T101,0)</f>
        <v/>
      </c>
      <c r="X101" s="189">
        <f>V101+W101</f>
        <v/>
      </c>
      <c r="Y101" s="191">
        <f>IF(AND(X101&gt;=$F$14,X100&lt;$F$14),D101,"")</f>
        <v/>
      </c>
      <c r="Z101" s="191">
        <f>IF(AND(X101&gt;=$F$15,X100&lt;$F$15),D101,"")</f>
        <v/>
      </c>
      <c r="AA101" s="191">
        <f>IF(AND(X101&gt;=$F$16,X100&lt;$F$16),D101,"")</f>
        <v/>
      </c>
      <c r="AB101" s="191">
        <f>IF(AND(X101&gt;=$F$17,X100&lt;$F$17),D101,"")</f>
        <v/>
      </c>
    </row>
    <row r="102" outlineLevel="1" ht="18" customHeight="1" s="326">
      <c r="A102" s="174">
        <f>$A$26</f>
        <v/>
      </c>
      <c r="B102" s="193">
        <f>$B$26</f>
        <v/>
      </c>
      <c r="C102" s="179">
        <f>$C$26</f>
        <v/>
      </c>
      <c r="D102" s="193" t="n">
        <v>7</v>
      </c>
      <c r="E102" s="193">
        <f>('Model Inputs'!$B$22-1)+D102</f>
        <v/>
      </c>
      <c r="F102" s="189">
        <f>IF(D102=1,'Model Inputs'!$B$25*(13-'Model Inputs'!$B$23)/12,'Model Inputs'!$B$25)</f>
        <v/>
      </c>
      <c r="G102" s="189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/>
      </c>
      <c r="H102" s="180">
        <f>IF(D102&lt;=2,0,'Model Inputs'!$B$32*SIN(2*PI()*(D102-3+'Model Inputs'!$B$34)/MAX(1,'Model Inputs'!$B$33)))</f>
        <v/>
      </c>
      <c r="I102" s="189">
        <f>G102*(1+H102)</f>
        <v/>
      </c>
      <c r="J102" s="189">
        <f>0.75*I101+0.25*I100</f>
        <v/>
      </c>
      <c r="K102" s="189">
        <f>F102+J102+IF(D102=1,'Model Inputs'!$B$26,0)</f>
        <v/>
      </c>
      <c r="L102" s="189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/>
      </c>
      <c r="M102" s="189">
        <f>MIN(L102,'Tax Assumptions'!$B$19)</f>
        <v/>
      </c>
      <c r="N102" s="189">
        <f>MAX(L102-M102-'Tax Assumptions'!$B$8,0)</f>
        <v/>
      </c>
      <c r="O102" s="189">
        <f>MAX(L102-M102-'Tax Assumptions'!$B$9,0)</f>
        <v/>
      </c>
      <c r="P102" s="189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/>
      </c>
      <c r="Q102" s="189">
        <f>L102-M102-P102</f>
        <v/>
      </c>
      <c r="R102" s="189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/>
      </c>
      <c r="S102" s="189">
        <f>Q102-R102</f>
        <v/>
      </c>
      <c r="T102" s="189">
        <f>MIN(MAX(S102,0),'Tax Assumptions'!$B$20)</f>
        <v/>
      </c>
      <c r="U102" s="189">
        <f>S102-T102</f>
        <v/>
      </c>
      <c r="V102" s="189">
        <f>MAX(V101*(1+'Model Inputs'!$B$13)+U102,0)</f>
        <v/>
      </c>
      <c r="W102" s="189">
        <f>MAX(W101*(1+'Model Inputs'!$B$13)+M102+T102,0)</f>
        <v/>
      </c>
      <c r="X102" s="189">
        <f>V102+W102</f>
        <v/>
      </c>
      <c r="Y102" s="191">
        <f>IF(AND(X102&gt;=$F$14,X101&lt;$F$14),D102,"")</f>
        <v/>
      </c>
      <c r="Z102" s="191">
        <f>IF(AND(X102&gt;=$F$15,X101&lt;$F$15),D102,"")</f>
        <v/>
      </c>
      <c r="AA102" s="191">
        <f>IF(AND(X102&gt;=$F$16,X101&lt;$F$16),D102,"")</f>
        <v/>
      </c>
      <c r="AB102" s="191">
        <f>IF(AND(X102&gt;=$F$17,X101&lt;$F$17),D102,"")</f>
        <v/>
      </c>
    </row>
    <row r="103" outlineLevel="1" ht="18" customHeight="1" s="326">
      <c r="A103" s="174">
        <f>$A$26</f>
        <v/>
      </c>
      <c r="B103" s="193">
        <f>$B$26</f>
        <v/>
      </c>
      <c r="C103" s="179">
        <f>$C$26</f>
        <v/>
      </c>
      <c r="D103" s="193" t="n">
        <v>8</v>
      </c>
      <c r="E103" s="193">
        <f>('Model Inputs'!$B$22-1)+D103</f>
        <v/>
      </c>
      <c r="F103" s="189">
        <f>IF(D103=1,'Model Inputs'!$B$25*(13-'Model Inputs'!$B$23)/12,'Model Inputs'!$B$25)</f>
        <v/>
      </c>
      <c r="G103" s="189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/>
      </c>
      <c r="H103" s="180">
        <f>IF(D103&lt;=2,0,'Model Inputs'!$B$32*SIN(2*PI()*(D103-3+'Model Inputs'!$B$34)/MAX(1,'Model Inputs'!$B$33)))</f>
        <v/>
      </c>
      <c r="I103" s="189">
        <f>G103*(1+H103)</f>
        <v/>
      </c>
      <c r="J103" s="189">
        <f>0.75*I102+0.25*I101</f>
        <v/>
      </c>
      <c r="K103" s="189">
        <f>F103+J103+IF(D103=1,'Model Inputs'!$B$26,0)</f>
        <v/>
      </c>
      <c r="L103" s="189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/>
      </c>
      <c r="M103" s="189">
        <f>MIN(L103,'Tax Assumptions'!$B$19)</f>
        <v/>
      </c>
      <c r="N103" s="189">
        <f>MAX(L103-M103-'Tax Assumptions'!$B$8,0)</f>
        <v/>
      </c>
      <c r="O103" s="189">
        <f>MAX(L103-M103-'Tax Assumptions'!$B$9,0)</f>
        <v/>
      </c>
      <c r="P103" s="189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/>
      </c>
      <c r="Q103" s="189">
        <f>L103-M103-P103</f>
        <v/>
      </c>
      <c r="R103" s="189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/>
      </c>
      <c r="S103" s="189">
        <f>Q103-R103</f>
        <v/>
      </c>
      <c r="T103" s="189">
        <f>MIN(MAX(S103,0),'Tax Assumptions'!$B$20)</f>
        <v/>
      </c>
      <c r="U103" s="189">
        <f>S103-T103</f>
        <v/>
      </c>
      <c r="V103" s="189">
        <f>MAX(V102*(1+'Model Inputs'!$B$13)+U103,0)</f>
        <v/>
      </c>
      <c r="W103" s="189">
        <f>MAX(W102*(1+'Model Inputs'!$B$13)+M103+T103,0)</f>
        <v/>
      </c>
      <c r="X103" s="189">
        <f>V103+W103</f>
        <v/>
      </c>
      <c r="Y103" s="191">
        <f>IF(AND(X103&gt;=$F$14,X102&lt;$F$14),D103,"")</f>
        <v/>
      </c>
      <c r="Z103" s="191">
        <f>IF(AND(X103&gt;=$F$15,X102&lt;$F$15),D103,"")</f>
        <v/>
      </c>
      <c r="AA103" s="191">
        <f>IF(AND(X103&gt;=$F$16,X102&lt;$F$16),D103,"")</f>
        <v/>
      </c>
      <c r="AB103" s="191">
        <f>IF(AND(X103&gt;=$F$17,X102&lt;$F$17),D103,"")</f>
        <v/>
      </c>
    </row>
    <row r="104" outlineLevel="1" ht="18" customHeight="1" s="326">
      <c r="A104" s="174">
        <f>$A$26</f>
        <v/>
      </c>
      <c r="B104" s="193">
        <f>$B$26</f>
        <v/>
      </c>
      <c r="C104" s="179">
        <f>$C$26</f>
        <v/>
      </c>
      <c r="D104" s="193" t="n">
        <v>9</v>
      </c>
      <c r="E104" s="193">
        <f>('Model Inputs'!$B$22-1)+D104</f>
        <v/>
      </c>
      <c r="F104" s="189">
        <f>IF(D104=1,'Model Inputs'!$B$25*(13-'Model Inputs'!$B$23)/12,'Model Inputs'!$B$25)</f>
        <v/>
      </c>
      <c r="G104" s="189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/>
      </c>
      <c r="H104" s="180">
        <f>IF(D104&lt;=2,0,'Model Inputs'!$B$32*SIN(2*PI()*(D104-3+'Model Inputs'!$B$34)/MAX(1,'Model Inputs'!$B$33)))</f>
        <v/>
      </c>
      <c r="I104" s="189">
        <f>G104*(1+H104)</f>
        <v/>
      </c>
      <c r="J104" s="189">
        <f>0.75*I103+0.25*I102</f>
        <v/>
      </c>
      <c r="K104" s="189">
        <f>F104+J104+IF(D104=1,'Model Inputs'!$B$26,0)</f>
        <v/>
      </c>
      <c r="L104" s="189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/>
      </c>
      <c r="M104" s="189">
        <f>MIN(L104,'Tax Assumptions'!$B$19)</f>
        <v/>
      </c>
      <c r="N104" s="189">
        <f>MAX(L104-M104-'Tax Assumptions'!$B$8,0)</f>
        <v/>
      </c>
      <c r="O104" s="189">
        <f>MAX(L104-M104-'Tax Assumptions'!$B$9,0)</f>
        <v/>
      </c>
      <c r="P104" s="189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/>
      </c>
      <c r="Q104" s="189">
        <f>L104-M104-P104</f>
        <v/>
      </c>
      <c r="R104" s="189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/>
      </c>
      <c r="S104" s="189">
        <f>Q104-R104</f>
        <v/>
      </c>
      <c r="T104" s="189">
        <f>MIN(MAX(S104,0),'Tax Assumptions'!$B$20)</f>
        <v/>
      </c>
      <c r="U104" s="189">
        <f>S104-T104</f>
        <v/>
      </c>
      <c r="V104" s="189">
        <f>MAX(V103*(1+'Model Inputs'!$B$13)+U104,0)</f>
        <v/>
      </c>
      <c r="W104" s="189">
        <f>MAX(W103*(1+'Model Inputs'!$B$13)+M104+T104,0)</f>
        <v/>
      </c>
      <c r="X104" s="189">
        <f>V104+W104</f>
        <v/>
      </c>
      <c r="Y104" s="191">
        <f>IF(AND(X104&gt;=$F$14,X103&lt;$F$14),D104,"")</f>
        <v/>
      </c>
      <c r="Z104" s="191">
        <f>IF(AND(X104&gt;=$F$15,X103&lt;$F$15),D104,"")</f>
        <v/>
      </c>
      <c r="AA104" s="191">
        <f>IF(AND(X104&gt;=$F$16,X103&lt;$F$16),D104,"")</f>
        <v/>
      </c>
      <c r="AB104" s="191">
        <f>IF(AND(X104&gt;=$F$17,X103&lt;$F$17),D104,"")</f>
        <v/>
      </c>
    </row>
    <row r="105" outlineLevel="1" ht="18" customHeight="1" s="326">
      <c r="A105" s="174">
        <f>$A$26</f>
        <v/>
      </c>
      <c r="B105" s="193">
        <f>$B$26</f>
        <v/>
      </c>
      <c r="C105" s="179">
        <f>$C$26</f>
        <v/>
      </c>
      <c r="D105" s="193" t="n">
        <v>10</v>
      </c>
      <c r="E105" s="193">
        <f>('Model Inputs'!$B$22-1)+D105</f>
        <v/>
      </c>
      <c r="F105" s="189">
        <f>IF(D105=1,'Model Inputs'!$B$25*(13-'Model Inputs'!$B$23)/12,'Model Inputs'!$B$25)</f>
        <v/>
      </c>
      <c r="G105" s="189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/>
      </c>
      <c r="H105" s="180">
        <f>IF(D105&lt;=2,0,'Model Inputs'!$B$32*SIN(2*PI()*(D105-3+'Model Inputs'!$B$34)/MAX(1,'Model Inputs'!$B$33)))</f>
        <v/>
      </c>
      <c r="I105" s="189">
        <f>G105*(1+H105)</f>
        <v/>
      </c>
      <c r="J105" s="189">
        <f>0.75*I104+0.25*I103</f>
        <v/>
      </c>
      <c r="K105" s="189">
        <f>F105+J105+IF(D105=1,'Model Inputs'!$B$26,0)</f>
        <v/>
      </c>
      <c r="L105" s="189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/>
      </c>
      <c r="M105" s="189">
        <f>MIN(L105,'Tax Assumptions'!$B$19)</f>
        <v/>
      </c>
      <c r="N105" s="189">
        <f>MAX(L105-M105-'Tax Assumptions'!$B$8,0)</f>
        <v/>
      </c>
      <c r="O105" s="189">
        <f>MAX(L105-M105-'Tax Assumptions'!$B$9,0)</f>
        <v/>
      </c>
      <c r="P105" s="189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/>
      </c>
      <c r="Q105" s="189">
        <f>L105-M105-P105</f>
        <v/>
      </c>
      <c r="R105" s="189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/>
      </c>
      <c r="S105" s="189">
        <f>Q105-R105</f>
        <v/>
      </c>
      <c r="T105" s="189">
        <f>MIN(MAX(S105,0),'Tax Assumptions'!$B$20)</f>
        <v/>
      </c>
      <c r="U105" s="189">
        <f>S105-T105</f>
        <v/>
      </c>
      <c r="V105" s="189">
        <f>MAX(V104*(1+'Model Inputs'!$B$13)+U105,0)</f>
        <v/>
      </c>
      <c r="W105" s="189">
        <f>MAX(W104*(1+'Model Inputs'!$B$13)+M105+T105,0)</f>
        <v/>
      </c>
      <c r="X105" s="189">
        <f>V105+W105</f>
        <v/>
      </c>
      <c r="Y105" s="191">
        <f>IF(AND(X105&gt;=$F$14,X104&lt;$F$14),D105,"")</f>
        <v/>
      </c>
      <c r="Z105" s="191">
        <f>IF(AND(X105&gt;=$F$15,X104&lt;$F$15),D105,"")</f>
        <v/>
      </c>
      <c r="AA105" s="191">
        <f>IF(AND(X105&gt;=$F$16,X104&lt;$F$16),D105,"")</f>
        <v/>
      </c>
      <c r="AB105" s="191">
        <f>IF(AND(X105&gt;=$F$17,X104&lt;$F$17),D105,"")</f>
        <v/>
      </c>
    </row>
    <row r="106" outlineLevel="1" ht="18" customHeight="1" s="326">
      <c r="A106" s="174">
        <f>$A$26</f>
        <v/>
      </c>
      <c r="B106" s="193">
        <f>$B$26</f>
        <v/>
      </c>
      <c r="C106" s="179">
        <f>$C$26</f>
        <v/>
      </c>
      <c r="D106" s="193" t="n">
        <v>11</v>
      </c>
      <c r="E106" s="193">
        <f>('Model Inputs'!$B$22-1)+D106</f>
        <v/>
      </c>
      <c r="F106" s="189">
        <f>IF(D106=1,'Model Inputs'!$B$25*(13-'Model Inputs'!$B$23)/12,'Model Inputs'!$B$25)</f>
        <v/>
      </c>
      <c r="G106" s="189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/>
      </c>
      <c r="H106" s="180">
        <f>IF(D106&lt;=2,0,'Model Inputs'!$B$32*SIN(2*PI()*(D106-3+'Model Inputs'!$B$34)/MAX(1,'Model Inputs'!$B$33)))</f>
        <v/>
      </c>
      <c r="I106" s="189">
        <f>G106*(1+H106)</f>
        <v/>
      </c>
      <c r="J106" s="189">
        <f>0.75*I105+0.25*I104</f>
        <v/>
      </c>
      <c r="K106" s="189">
        <f>F106+J106+IF(D106=1,'Model Inputs'!$B$26,0)</f>
        <v/>
      </c>
      <c r="L106" s="189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/>
      </c>
      <c r="M106" s="189">
        <f>MIN(L106,'Tax Assumptions'!$B$19)</f>
        <v/>
      </c>
      <c r="N106" s="189">
        <f>MAX(L106-M106-'Tax Assumptions'!$B$8,0)</f>
        <v/>
      </c>
      <c r="O106" s="189">
        <f>MAX(L106-M106-'Tax Assumptions'!$B$9,0)</f>
        <v/>
      </c>
      <c r="P106" s="189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/>
      </c>
      <c r="Q106" s="189">
        <f>L106-M106-P106</f>
        <v/>
      </c>
      <c r="R106" s="189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/>
      </c>
      <c r="S106" s="189">
        <f>Q106-R106</f>
        <v/>
      </c>
      <c r="T106" s="189">
        <f>MIN(MAX(S106,0),'Tax Assumptions'!$B$20)</f>
        <v/>
      </c>
      <c r="U106" s="189">
        <f>S106-T106</f>
        <v/>
      </c>
      <c r="V106" s="189">
        <f>MAX(V105*(1+'Model Inputs'!$B$13)+U106,0)</f>
        <v/>
      </c>
      <c r="W106" s="189">
        <f>MAX(W105*(1+'Model Inputs'!$B$13)+M106+T106,0)</f>
        <v/>
      </c>
      <c r="X106" s="189">
        <f>V106+W106</f>
        <v/>
      </c>
      <c r="Y106" s="191">
        <f>IF(AND(X106&gt;=$F$14,X105&lt;$F$14),D106,"")</f>
        <v/>
      </c>
      <c r="Z106" s="191">
        <f>IF(AND(X106&gt;=$F$15,X105&lt;$F$15),D106,"")</f>
        <v/>
      </c>
      <c r="AA106" s="191">
        <f>IF(AND(X106&gt;=$F$16,X105&lt;$F$16),D106,"")</f>
        <v/>
      </c>
      <c r="AB106" s="191">
        <f>IF(AND(X106&gt;=$F$17,X105&lt;$F$17),D106,"")</f>
        <v/>
      </c>
    </row>
    <row r="107" outlineLevel="1" ht="18" customHeight="1" s="326">
      <c r="A107" s="174">
        <f>$A$26</f>
        <v/>
      </c>
      <c r="B107" s="193">
        <f>$B$26</f>
        <v/>
      </c>
      <c r="C107" s="179">
        <f>$C$26</f>
        <v/>
      </c>
      <c r="D107" s="193" t="n">
        <v>12</v>
      </c>
      <c r="E107" s="193">
        <f>('Model Inputs'!$B$22-1)+D107</f>
        <v/>
      </c>
      <c r="F107" s="189">
        <f>IF(D107=1,'Model Inputs'!$B$25*(13-'Model Inputs'!$B$23)/12,'Model Inputs'!$B$25)</f>
        <v/>
      </c>
      <c r="G107" s="189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/>
      </c>
      <c r="H107" s="180">
        <f>IF(D107&lt;=2,0,'Model Inputs'!$B$32*SIN(2*PI()*(D107-3+'Model Inputs'!$B$34)/MAX(1,'Model Inputs'!$B$33)))</f>
        <v/>
      </c>
      <c r="I107" s="189">
        <f>G107*(1+H107)</f>
        <v/>
      </c>
      <c r="J107" s="189">
        <f>0.75*I106+0.25*I105</f>
        <v/>
      </c>
      <c r="K107" s="189">
        <f>F107+J107+IF(D107=1,'Model Inputs'!$B$26,0)</f>
        <v/>
      </c>
      <c r="L107" s="189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/>
      </c>
      <c r="M107" s="189">
        <f>MIN(L107,'Tax Assumptions'!$B$19)</f>
        <v/>
      </c>
      <c r="N107" s="189">
        <f>MAX(L107-M107-'Tax Assumptions'!$B$8,0)</f>
        <v/>
      </c>
      <c r="O107" s="189">
        <f>MAX(L107-M107-'Tax Assumptions'!$B$9,0)</f>
        <v/>
      </c>
      <c r="P107" s="189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/>
      </c>
      <c r="Q107" s="189">
        <f>L107-M107-P107</f>
        <v/>
      </c>
      <c r="R107" s="189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/>
      </c>
      <c r="S107" s="189">
        <f>Q107-R107</f>
        <v/>
      </c>
      <c r="T107" s="189">
        <f>MIN(MAX(S107,0),'Tax Assumptions'!$B$20)</f>
        <v/>
      </c>
      <c r="U107" s="189">
        <f>S107-T107</f>
        <v/>
      </c>
      <c r="V107" s="189">
        <f>MAX(V106*(1+'Model Inputs'!$B$13)+U107,0)</f>
        <v/>
      </c>
      <c r="W107" s="189">
        <f>MAX(W106*(1+'Model Inputs'!$B$13)+M107+T107,0)</f>
        <v/>
      </c>
      <c r="X107" s="189">
        <f>V107+W107</f>
        <v/>
      </c>
      <c r="Y107" s="191">
        <f>IF(AND(X107&gt;=$F$14,X106&lt;$F$14),D107,"")</f>
        <v/>
      </c>
      <c r="Z107" s="191">
        <f>IF(AND(X107&gt;=$F$15,X106&lt;$F$15),D107,"")</f>
        <v/>
      </c>
      <c r="AA107" s="191">
        <f>IF(AND(X107&gt;=$F$16,X106&lt;$F$16),D107,"")</f>
        <v/>
      </c>
      <c r="AB107" s="191">
        <f>IF(AND(X107&gt;=$F$17,X106&lt;$F$17),D107,"")</f>
        <v/>
      </c>
    </row>
    <row r="108" outlineLevel="1" ht="18" customHeight="1" s="326">
      <c r="A108" s="174">
        <f>$A$26</f>
        <v/>
      </c>
      <c r="B108" s="193">
        <f>$B$26</f>
        <v/>
      </c>
      <c r="C108" s="179">
        <f>$C$26</f>
        <v/>
      </c>
      <c r="D108" s="193" t="n">
        <v>13</v>
      </c>
      <c r="E108" s="193">
        <f>('Model Inputs'!$B$22-1)+D108</f>
        <v/>
      </c>
      <c r="F108" s="189">
        <f>IF(D108=1,'Model Inputs'!$B$25*(13-'Model Inputs'!$B$23)/12,'Model Inputs'!$B$25)</f>
        <v/>
      </c>
      <c r="G108" s="189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/>
      </c>
      <c r="H108" s="180">
        <f>IF(D108&lt;=2,0,'Model Inputs'!$B$32*SIN(2*PI()*(D108-3+'Model Inputs'!$B$34)/MAX(1,'Model Inputs'!$B$33)))</f>
        <v/>
      </c>
      <c r="I108" s="189">
        <f>G108*(1+H108)</f>
        <v/>
      </c>
      <c r="J108" s="189">
        <f>0.75*I107+0.25*I106</f>
        <v/>
      </c>
      <c r="K108" s="189">
        <f>F108+J108+IF(D108=1,'Model Inputs'!$B$26,0)</f>
        <v/>
      </c>
      <c r="L108" s="189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/>
      </c>
      <c r="M108" s="189">
        <f>MIN(L108,'Tax Assumptions'!$B$19)</f>
        <v/>
      </c>
      <c r="N108" s="189">
        <f>MAX(L108-M108-'Tax Assumptions'!$B$8,0)</f>
        <v/>
      </c>
      <c r="O108" s="189">
        <f>MAX(L108-M108-'Tax Assumptions'!$B$9,0)</f>
        <v/>
      </c>
      <c r="P108" s="189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/>
      </c>
      <c r="Q108" s="189">
        <f>L108-M108-P108</f>
        <v/>
      </c>
      <c r="R108" s="189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/>
      </c>
      <c r="S108" s="189">
        <f>Q108-R108</f>
        <v/>
      </c>
      <c r="T108" s="189">
        <f>MIN(MAX(S108,0),'Tax Assumptions'!$B$20)</f>
        <v/>
      </c>
      <c r="U108" s="189">
        <f>S108-T108</f>
        <v/>
      </c>
      <c r="V108" s="189">
        <f>MAX(V107*(1+'Model Inputs'!$B$13)+U108,0)</f>
        <v/>
      </c>
      <c r="W108" s="189">
        <f>MAX(W107*(1+'Model Inputs'!$B$13)+M108+T108,0)</f>
        <v/>
      </c>
      <c r="X108" s="189">
        <f>V108+W108</f>
        <v/>
      </c>
      <c r="Y108" s="191">
        <f>IF(AND(X108&gt;=$F$14,X107&lt;$F$14),D108,"")</f>
        <v/>
      </c>
      <c r="Z108" s="191">
        <f>IF(AND(X108&gt;=$F$15,X107&lt;$F$15),D108,"")</f>
        <v/>
      </c>
      <c r="AA108" s="191">
        <f>IF(AND(X108&gt;=$F$16,X107&lt;$F$16),D108,"")</f>
        <v/>
      </c>
      <c r="AB108" s="191">
        <f>IF(AND(X108&gt;=$F$17,X107&lt;$F$17),D108,"")</f>
        <v/>
      </c>
    </row>
    <row r="109" outlineLevel="1" ht="18" customHeight="1" s="326">
      <c r="A109" s="174">
        <f>$A$26</f>
        <v/>
      </c>
      <c r="B109" s="193">
        <f>$B$26</f>
        <v/>
      </c>
      <c r="C109" s="179">
        <f>$C$26</f>
        <v/>
      </c>
      <c r="D109" s="193" t="n">
        <v>14</v>
      </c>
      <c r="E109" s="193">
        <f>('Model Inputs'!$B$22-1)+D109</f>
        <v/>
      </c>
      <c r="F109" s="189">
        <f>IF(D109=1,'Model Inputs'!$B$25*(13-'Model Inputs'!$B$23)/12,'Model Inputs'!$B$25)</f>
        <v/>
      </c>
      <c r="G109" s="189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/>
      </c>
      <c r="H109" s="180">
        <f>IF(D109&lt;=2,0,'Model Inputs'!$B$32*SIN(2*PI()*(D109-3+'Model Inputs'!$B$34)/MAX(1,'Model Inputs'!$B$33)))</f>
        <v/>
      </c>
      <c r="I109" s="189">
        <f>G109*(1+H109)</f>
        <v/>
      </c>
      <c r="J109" s="189">
        <f>0.75*I108+0.25*I107</f>
        <v/>
      </c>
      <c r="K109" s="189">
        <f>F109+J109+IF(D109=1,'Model Inputs'!$B$26,0)</f>
        <v/>
      </c>
      <c r="L109" s="189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/>
      </c>
      <c r="M109" s="189">
        <f>MIN(L109,'Tax Assumptions'!$B$19)</f>
        <v/>
      </c>
      <c r="N109" s="189">
        <f>MAX(L109-M109-'Tax Assumptions'!$B$8,0)</f>
        <v/>
      </c>
      <c r="O109" s="189">
        <f>MAX(L109-M109-'Tax Assumptions'!$B$9,0)</f>
        <v/>
      </c>
      <c r="P109" s="189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/>
      </c>
      <c r="Q109" s="189">
        <f>L109-M109-P109</f>
        <v/>
      </c>
      <c r="R109" s="189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/>
      </c>
      <c r="S109" s="189">
        <f>Q109-R109</f>
        <v/>
      </c>
      <c r="T109" s="189">
        <f>MIN(MAX(S109,0),'Tax Assumptions'!$B$20)</f>
        <v/>
      </c>
      <c r="U109" s="189">
        <f>S109-T109</f>
        <v/>
      </c>
      <c r="V109" s="189">
        <f>MAX(V108*(1+'Model Inputs'!$B$13)+U109,0)</f>
        <v/>
      </c>
      <c r="W109" s="189">
        <f>MAX(W108*(1+'Model Inputs'!$B$13)+M109+T109,0)</f>
        <v/>
      </c>
      <c r="X109" s="189">
        <f>V109+W109</f>
        <v/>
      </c>
      <c r="Y109" s="191">
        <f>IF(AND(X109&gt;=$F$14,X108&lt;$F$14),D109,"")</f>
        <v/>
      </c>
      <c r="Z109" s="191">
        <f>IF(AND(X109&gt;=$F$15,X108&lt;$F$15),D109,"")</f>
        <v/>
      </c>
      <c r="AA109" s="191">
        <f>IF(AND(X109&gt;=$F$16,X108&lt;$F$16),D109,"")</f>
        <v/>
      </c>
      <c r="AB109" s="191">
        <f>IF(AND(X109&gt;=$F$17,X108&lt;$F$17),D109,"")</f>
        <v/>
      </c>
    </row>
    <row r="110" outlineLevel="1" ht="18" customHeight="1" s="326">
      <c r="A110" s="174">
        <f>$A$26</f>
        <v/>
      </c>
      <c r="B110" s="193">
        <f>$B$26</f>
        <v/>
      </c>
      <c r="C110" s="179">
        <f>$C$26</f>
        <v/>
      </c>
      <c r="D110" s="193" t="n">
        <v>15</v>
      </c>
      <c r="E110" s="193">
        <f>('Model Inputs'!$B$22-1)+D110</f>
        <v/>
      </c>
      <c r="F110" s="189">
        <f>IF(D110=1,'Model Inputs'!$B$25*(13-'Model Inputs'!$B$23)/12,'Model Inputs'!$B$25)</f>
        <v/>
      </c>
      <c r="G110" s="189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/>
      </c>
      <c r="H110" s="180">
        <f>IF(D110&lt;=2,0,'Model Inputs'!$B$32*SIN(2*PI()*(D110-3+'Model Inputs'!$B$34)/MAX(1,'Model Inputs'!$B$33)))</f>
        <v/>
      </c>
      <c r="I110" s="189">
        <f>G110*(1+H110)</f>
        <v/>
      </c>
      <c r="J110" s="189">
        <f>0.75*I109+0.25*I108</f>
        <v/>
      </c>
      <c r="K110" s="189">
        <f>F110+J110+IF(D110=1,'Model Inputs'!$B$26,0)</f>
        <v/>
      </c>
      <c r="L110" s="189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/>
      </c>
      <c r="M110" s="189">
        <f>MIN(L110,'Tax Assumptions'!$B$19)</f>
        <v/>
      </c>
      <c r="N110" s="189">
        <f>MAX(L110-M110-'Tax Assumptions'!$B$8,0)</f>
        <v/>
      </c>
      <c r="O110" s="189">
        <f>MAX(L110-M110-'Tax Assumptions'!$B$9,0)</f>
        <v/>
      </c>
      <c r="P110" s="189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/>
      </c>
      <c r="Q110" s="189">
        <f>L110-M110-P110</f>
        <v/>
      </c>
      <c r="R110" s="189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/>
      </c>
      <c r="S110" s="189">
        <f>Q110-R110</f>
        <v/>
      </c>
      <c r="T110" s="189">
        <f>MIN(MAX(S110,0),'Tax Assumptions'!$B$20)</f>
        <v/>
      </c>
      <c r="U110" s="189">
        <f>S110-T110</f>
        <v/>
      </c>
      <c r="V110" s="189">
        <f>MAX(V109*(1+'Model Inputs'!$B$13)+U110,0)</f>
        <v/>
      </c>
      <c r="W110" s="189">
        <f>MAX(W109*(1+'Model Inputs'!$B$13)+M110+T110,0)</f>
        <v/>
      </c>
      <c r="X110" s="189">
        <f>V110+W110</f>
        <v/>
      </c>
      <c r="Y110" s="191">
        <f>IF(AND(X110&gt;=$F$14,X109&lt;$F$14),D110,"")</f>
        <v/>
      </c>
      <c r="Z110" s="191">
        <f>IF(AND(X110&gt;=$F$15,X109&lt;$F$15),D110,"")</f>
        <v/>
      </c>
      <c r="AA110" s="191">
        <f>IF(AND(X110&gt;=$F$16,X109&lt;$F$16),D110,"")</f>
        <v/>
      </c>
      <c r="AB110" s="191">
        <f>IF(AND(X110&gt;=$F$17,X109&lt;$F$17),D110,"")</f>
        <v/>
      </c>
    </row>
    <row r="111" outlineLevel="1" ht="18" customHeight="1" s="326">
      <c r="A111" s="174">
        <f>$A$27</f>
        <v/>
      </c>
      <c r="B111" s="193">
        <f>$B$27</f>
        <v/>
      </c>
      <c r="C111" s="179">
        <f>$C$27</f>
        <v/>
      </c>
      <c r="D111" s="193" t="n">
        <v>1</v>
      </c>
      <c r="E111" s="193">
        <f>('Model Inputs'!$B$22-1)+D111</f>
        <v/>
      </c>
      <c r="F111" s="189">
        <f>IF(D111=1,'Model Inputs'!$B$25*(13-'Model Inputs'!$B$23)/12,'Model Inputs'!$B$25)</f>
        <v/>
      </c>
      <c r="G111" s="189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/>
      </c>
      <c r="H111" s="180">
        <f>IF(D111&lt;=2,0,'Model Inputs'!$B$32*SIN(2*PI()*(D111-3+'Model Inputs'!$B$34)/MAX(1,'Model Inputs'!$B$33)))</f>
        <v/>
      </c>
      <c r="I111" s="189">
        <f>G111*(1+H111)</f>
        <v/>
      </c>
      <c r="J111" s="189">
        <f>0</f>
        <v/>
      </c>
      <c r="K111" s="189">
        <f>F111+J111+IF(D111=1,'Model Inputs'!$B$26,0)</f>
        <v/>
      </c>
      <c r="L111" s="189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/>
      </c>
      <c r="M111" s="189">
        <f>MIN(L111,'Tax Assumptions'!$B$19)</f>
        <v/>
      </c>
      <c r="N111" s="189">
        <f>MAX(L111-M111-'Tax Assumptions'!$B$8,0)</f>
        <v/>
      </c>
      <c r="O111" s="189">
        <f>MAX(L111-M111-'Tax Assumptions'!$B$9,0)</f>
        <v/>
      </c>
      <c r="P111" s="189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/>
      </c>
      <c r="Q111" s="189">
        <f>L111-M111-P111</f>
        <v/>
      </c>
      <c r="R111" s="189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/>
      </c>
      <c r="S111" s="189">
        <f>Q111-R111</f>
        <v/>
      </c>
      <c r="T111" s="189">
        <f>MIN(MAX(S111,0),'Tax Assumptions'!$B$20)</f>
        <v/>
      </c>
      <c r="U111" s="189">
        <f>S111-T111</f>
        <v/>
      </c>
      <c r="V111" s="189">
        <f>MAX('Model Inputs'!$B$7*(1+'Model Inputs'!$B$13)+U111,0)</f>
        <v/>
      </c>
      <c r="W111" s="189">
        <f>MAX(('Model Inputs'!$B$8+'Model Inputs'!$B$9+'Model Inputs'!$B$10)*(1+'Model Inputs'!$B$13)+M111+T111,0)</f>
        <v/>
      </c>
      <c r="X111" s="189">
        <f>V111+W111</f>
        <v/>
      </c>
      <c r="Y111" s="191">
        <f>IF(AND(X111&gt;=$F$14,0&lt;$F$14),D111,"")</f>
        <v/>
      </c>
      <c r="Z111" s="191">
        <f>IF(AND(X111&gt;=$F$15,0&lt;$F$15),D111,"")</f>
        <v/>
      </c>
      <c r="AA111" s="191">
        <f>IF(AND(X111&gt;=$F$16,0&lt;$F$16),D111,"")</f>
        <v/>
      </c>
      <c r="AB111" s="191">
        <f>IF(AND(X111&gt;=$F$17,0&lt;$F$17),D111,"")</f>
        <v/>
      </c>
    </row>
    <row r="112" outlineLevel="1" ht="18" customHeight="1" s="326">
      <c r="A112" s="174">
        <f>$A$27</f>
        <v/>
      </c>
      <c r="B112" s="193">
        <f>$B$27</f>
        <v/>
      </c>
      <c r="C112" s="179">
        <f>$C$27</f>
        <v/>
      </c>
      <c r="D112" s="193" t="n">
        <v>2</v>
      </c>
      <c r="E112" s="193">
        <f>('Model Inputs'!$B$22-1)+D112</f>
        <v/>
      </c>
      <c r="F112" s="189">
        <f>IF(D112=1,'Model Inputs'!$B$25*(13-'Model Inputs'!$B$23)/12,'Model Inputs'!$B$25)</f>
        <v/>
      </c>
      <c r="G112" s="189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/>
      </c>
      <c r="H112" s="180">
        <f>IF(D112&lt;=2,0,'Model Inputs'!$B$32*SIN(2*PI()*(D112-3+'Model Inputs'!$B$34)/MAX(1,'Model Inputs'!$B$33)))</f>
        <v/>
      </c>
      <c r="I112" s="189">
        <f>G112*(1+H112)</f>
        <v/>
      </c>
      <c r="J112" s="189">
        <f>0.75*I111</f>
        <v/>
      </c>
      <c r="K112" s="189">
        <f>F112+J112+IF(D112=1,'Model Inputs'!$B$26,0)</f>
        <v/>
      </c>
      <c r="L112" s="189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/>
      </c>
      <c r="M112" s="189">
        <f>MIN(L112,'Tax Assumptions'!$B$19)</f>
        <v/>
      </c>
      <c r="N112" s="189">
        <f>MAX(L112-M112-'Tax Assumptions'!$B$8,0)</f>
        <v/>
      </c>
      <c r="O112" s="189">
        <f>MAX(L112-M112-'Tax Assumptions'!$B$9,0)</f>
        <v/>
      </c>
      <c r="P112" s="189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/>
      </c>
      <c r="Q112" s="189">
        <f>L112-M112-P112</f>
        <v/>
      </c>
      <c r="R112" s="189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/>
      </c>
      <c r="S112" s="189">
        <f>Q112-R112</f>
        <v/>
      </c>
      <c r="T112" s="189">
        <f>MIN(MAX(S112,0),'Tax Assumptions'!$B$20)</f>
        <v/>
      </c>
      <c r="U112" s="189">
        <f>S112-T112</f>
        <v/>
      </c>
      <c r="V112" s="189">
        <f>MAX(V111*(1+'Model Inputs'!$B$13)+U112,0)</f>
        <v/>
      </c>
      <c r="W112" s="189">
        <f>MAX(W111*(1+'Model Inputs'!$B$13)+M112+T112,0)</f>
        <v/>
      </c>
      <c r="X112" s="189">
        <f>V112+W112</f>
        <v/>
      </c>
      <c r="Y112" s="191">
        <f>IF(AND(X112&gt;=$F$14,X111&lt;$F$14),D112,"")</f>
        <v/>
      </c>
      <c r="Z112" s="191">
        <f>IF(AND(X112&gt;=$F$15,X111&lt;$F$15),D112,"")</f>
        <v/>
      </c>
      <c r="AA112" s="191">
        <f>IF(AND(X112&gt;=$F$16,X111&lt;$F$16),D112,"")</f>
        <v/>
      </c>
      <c r="AB112" s="191">
        <f>IF(AND(X112&gt;=$F$17,X111&lt;$F$17),D112,"")</f>
        <v/>
      </c>
    </row>
    <row r="113" outlineLevel="1" ht="18" customHeight="1" s="326">
      <c r="A113" s="174">
        <f>$A$27</f>
        <v/>
      </c>
      <c r="B113" s="193">
        <f>$B$27</f>
        <v/>
      </c>
      <c r="C113" s="179">
        <f>$C$27</f>
        <v/>
      </c>
      <c r="D113" s="193" t="n">
        <v>3</v>
      </c>
      <c r="E113" s="193">
        <f>('Model Inputs'!$B$22-1)+D113</f>
        <v/>
      </c>
      <c r="F113" s="189">
        <f>IF(D113=1,'Model Inputs'!$B$25*(13-'Model Inputs'!$B$23)/12,'Model Inputs'!$B$25)</f>
        <v/>
      </c>
      <c r="G113" s="189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/>
      </c>
      <c r="H113" s="180">
        <f>IF(D113&lt;=2,0,'Model Inputs'!$B$32*SIN(2*PI()*(D113-3+'Model Inputs'!$B$34)/MAX(1,'Model Inputs'!$B$33)))</f>
        <v/>
      </c>
      <c r="I113" s="189">
        <f>G113*(1+H113)</f>
        <v/>
      </c>
      <c r="J113" s="189">
        <f>0.75*I112+0.25*I111</f>
        <v/>
      </c>
      <c r="K113" s="189">
        <f>F113+J113+IF(D113=1,'Model Inputs'!$B$26,0)</f>
        <v/>
      </c>
      <c r="L113" s="189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/>
      </c>
      <c r="M113" s="189">
        <f>MIN(L113,'Tax Assumptions'!$B$19)</f>
        <v/>
      </c>
      <c r="N113" s="189">
        <f>MAX(L113-M113-'Tax Assumptions'!$B$8,0)</f>
        <v/>
      </c>
      <c r="O113" s="189">
        <f>MAX(L113-M113-'Tax Assumptions'!$B$9,0)</f>
        <v/>
      </c>
      <c r="P113" s="189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/>
      </c>
      <c r="Q113" s="189">
        <f>L113-M113-P113</f>
        <v/>
      </c>
      <c r="R113" s="189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/>
      </c>
      <c r="S113" s="189">
        <f>Q113-R113</f>
        <v/>
      </c>
      <c r="T113" s="189">
        <f>MIN(MAX(S113,0),'Tax Assumptions'!$B$20)</f>
        <v/>
      </c>
      <c r="U113" s="189">
        <f>S113-T113</f>
        <v/>
      </c>
      <c r="V113" s="189">
        <f>MAX(V112*(1+'Model Inputs'!$B$13)+U113,0)</f>
        <v/>
      </c>
      <c r="W113" s="189">
        <f>MAX(W112*(1+'Model Inputs'!$B$13)+M113+T113,0)</f>
        <v/>
      </c>
      <c r="X113" s="189">
        <f>V113+W113</f>
        <v/>
      </c>
      <c r="Y113" s="191">
        <f>IF(AND(X113&gt;=$F$14,X112&lt;$F$14),D113,"")</f>
        <v/>
      </c>
      <c r="Z113" s="191">
        <f>IF(AND(X113&gt;=$F$15,X112&lt;$F$15),D113,"")</f>
        <v/>
      </c>
      <c r="AA113" s="191">
        <f>IF(AND(X113&gt;=$F$16,X112&lt;$F$16),D113,"")</f>
        <v/>
      </c>
      <c r="AB113" s="191">
        <f>IF(AND(X113&gt;=$F$17,X112&lt;$F$17),D113,"")</f>
        <v/>
      </c>
    </row>
    <row r="114" outlineLevel="1" ht="18" customHeight="1" s="326">
      <c r="A114" s="174">
        <f>$A$27</f>
        <v/>
      </c>
      <c r="B114" s="193">
        <f>$B$27</f>
        <v/>
      </c>
      <c r="C114" s="179">
        <f>$C$27</f>
        <v/>
      </c>
      <c r="D114" s="193" t="n">
        <v>4</v>
      </c>
      <c r="E114" s="193">
        <f>('Model Inputs'!$B$22-1)+D114</f>
        <v/>
      </c>
      <c r="F114" s="189">
        <f>IF(D114=1,'Model Inputs'!$B$25*(13-'Model Inputs'!$B$23)/12,'Model Inputs'!$B$25)</f>
        <v/>
      </c>
      <c r="G114" s="189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/>
      </c>
      <c r="H114" s="180">
        <f>IF(D114&lt;=2,0,'Model Inputs'!$B$32*SIN(2*PI()*(D114-3+'Model Inputs'!$B$34)/MAX(1,'Model Inputs'!$B$33)))</f>
        <v/>
      </c>
      <c r="I114" s="189">
        <f>G114*(1+H114)</f>
        <v/>
      </c>
      <c r="J114" s="189">
        <f>0.75*I113+0.25*I112</f>
        <v/>
      </c>
      <c r="K114" s="189">
        <f>F114+J114+IF(D114=1,'Model Inputs'!$B$26,0)</f>
        <v/>
      </c>
      <c r="L114" s="189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/>
      </c>
      <c r="M114" s="189">
        <f>MIN(L114,'Tax Assumptions'!$B$19)</f>
        <v/>
      </c>
      <c r="N114" s="189">
        <f>MAX(L114-M114-'Tax Assumptions'!$B$8,0)</f>
        <v/>
      </c>
      <c r="O114" s="189">
        <f>MAX(L114-M114-'Tax Assumptions'!$B$9,0)</f>
        <v/>
      </c>
      <c r="P114" s="189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/>
      </c>
      <c r="Q114" s="189">
        <f>L114-M114-P114</f>
        <v/>
      </c>
      <c r="R114" s="189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/>
      </c>
      <c r="S114" s="189">
        <f>Q114-R114</f>
        <v/>
      </c>
      <c r="T114" s="189">
        <f>MIN(MAX(S114,0),'Tax Assumptions'!$B$20)</f>
        <v/>
      </c>
      <c r="U114" s="189">
        <f>S114-T114</f>
        <v/>
      </c>
      <c r="V114" s="189">
        <f>MAX(V113*(1+'Model Inputs'!$B$13)+U114,0)</f>
        <v/>
      </c>
      <c r="W114" s="189">
        <f>MAX(W113*(1+'Model Inputs'!$B$13)+M114+T114,0)</f>
        <v/>
      </c>
      <c r="X114" s="189">
        <f>V114+W114</f>
        <v/>
      </c>
      <c r="Y114" s="191">
        <f>IF(AND(X114&gt;=$F$14,X113&lt;$F$14),D114,"")</f>
        <v/>
      </c>
      <c r="Z114" s="191">
        <f>IF(AND(X114&gt;=$F$15,X113&lt;$F$15),D114,"")</f>
        <v/>
      </c>
      <c r="AA114" s="191">
        <f>IF(AND(X114&gt;=$F$16,X113&lt;$F$16),D114,"")</f>
        <v/>
      </c>
      <c r="AB114" s="191">
        <f>IF(AND(X114&gt;=$F$17,X113&lt;$F$17),D114,"")</f>
        <v/>
      </c>
    </row>
    <row r="115" outlineLevel="1" ht="18" customHeight="1" s="326">
      <c r="A115" s="174">
        <f>$A$27</f>
        <v/>
      </c>
      <c r="B115" s="193">
        <f>$B$27</f>
        <v/>
      </c>
      <c r="C115" s="179">
        <f>$C$27</f>
        <v/>
      </c>
      <c r="D115" s="193" t="n">
        <v>5</v>
      </c>
      <c r="E115" s="193">
        <f>('Model Inputs'!$B$22-1)+D115</f>
        <v/>
      </c>
      <c r="F115" s="189">
        <f>IF(D115=1,'Model Inputs'!$B$25*(13-'Model Inputs'!$B$23)/12,'Model Inputs'!$B$25)</f>
        <v/>
      </c>
      <c r="G115" s="189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/>
      </c>
      <c r="H115" s="180">
        <f>IF(D115&lt;=2,0,'Model Inputs'!$B$32*SIN(2*PI()*(D115-3+'Model Inputs'!$B$34)/MAX(1,'Model Inputs'!$B$33)))</f>
        <v/>
      </c>
      <c r="I115" s="189">
        <f>G115*(1+H115)</f>
        <v/>
      </c>
      <c r="J115" s="189">
        <f>0.75*I114+0.25*I113</f>
        <v/>
      </c>
      <c r="K115" s="189">
        <f>F115+J115+IF(D115=1,'Model Inputs'!$B$26,0)</f>
        <v/>
      </c>
      <c r="L115" s="189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/>
      </c>
      <c r="M115" s="189">
        <f>MIN(L115,'Tax Assumptions'!$B$19)</f>
        <v/>
      </c>
      <c r="N115" s="189">
        <f>MAX(L115-M115-'Tax Assumptions'!$B$8,0)</f>
        <v/>
      </c>
      <c r="O115" s="189">
        <f>MAX(L115-M115-'Tax Assumptions'!$B$9,0)</f>
        <v/>
      </c>
      <c r="P115" s="189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/>
      </c>
      <c r="Q115" s="189">
        <f>L115-M115-P115</f>
        <v/>
      </c>
      <c r="R115" s="189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/>
      </c>
      <c r="S115" s="189">
        <f>Q115-R115</f>
        <v/>
      </c>
      <c r="T115" s="189">
        <f>MIN(MAX(S115,0),'Tax Assumptions'!$B$20)</f>
        <v/>
      </c>
      <c r="U115" s="189">
        <f>S115-T115</f>
        <v/>
      </c>
      <c r="V115" s="189">
        <f>MAX(V114*(1+'Model Inputs'!$B$13)+U115,0)</f>
        <v/>
      </c>
      <c r="W115" s="189">
        <f>MAX(W114*(1+'Model Inputs'!$B$13)+M115+T115,0)</f>
        <v/>
      </c>
      <c r="X115" s="189">
        <f>V115+W115</f>
        <v/>
      </c>
      <c r="Y115" s="191">
        <f>IF(AND(X115&gt;=$F$14,X114&lt;$F$14),D115,"")</f>
        <v/>
      </c>
      <c r="Z115" s="191">
        <f>IF(AND(X115&gt;=$F$15,X114&lt;$F$15),D115,"")</f>
        <v/>
      </c>
      <c r="AA115" s="191">
        <f>IF(AND(X115&gt;=$F$16,X114&lt;$F$16),D115,"")</f>
        <v/>
      </c>
      <c r="AB115" s="191">
        <f>IF(AND(X115&gt;=$F$17,X114&lt;$F$17),D115,"")</f>
        <v/>
      </c>
    </row>
    <row r="116" outlineLevel="1" ht="18" customHeight="1" s="326">
      <c r="A116" s="174">
        <f>$A$27</f>
        <v/>
      </c>
      <c r="B116" s="193">
        <f>$B$27</f>
        <v/>
      </c>
      <c r="C116" s="179">
        <f>$C$27</f>
        <v/>
      </c>
      <c r="D116" s="193" t="n">
        <v>6</v>
      </c>
      <c r="E116" s="193">
        <f>('Model Inputs'!$B$22-1)+D116</f>
        <v/>
      </c>
      <c r="F116" s="189">
        <f>IF(D116=1,'Model Inputs'!$B$25*(13-'Model Inputs'!$B$23)/12,'Model Inputs'!$B$25)</f>
        <v/>
      </c>
      <c r="G116" s="189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/>
      </c>
      <c r="H116" s="180">
        <f>IF(D116&lt;=2,0,'Model Inputs'!$B$32*SIN(2*PI()*(D116-3+'Model Inputs'!$B$34)/MAX(1,'Model Inputs'!$B$33)))</f>
        <v/>
      </c>
      <c r="I116" s="189">
        <f>G116*(1+H116)</f>
        <v/>
      </c>
      <c r="J116" s="189">
        <f>0.75*I115+0.25*I114</f>
        <v/>
      </c>
      <c r="K116" s="189">
        <f>F116+J116+IF(D116=1,'Model Inputs'!$B$26,0)</f>
        <v/>
      </c>
      <c r="L116" s="189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/>
      </c>
      <c r="M116" s="189">
        <f>MIN(L116,'Tax Assumptions'!$B$19)</f>
        <v/>
      </c>
      <c r="N116" s="189">
        <f>MAX(L116-M116-'Tax Assumptions'!$B$8,0)</f>
        <v/>
      </c>
      <c r="O116" s="189">
        <f>MAX(L116-M116-'Tax Assumptions'!$B$9,0)</f>
        <v/>
      </c>
      <c r="P116" s="189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/>
      </c>
      <c r="Q116" s="189">
        <f>L116-M116-P116</f>
        <v/>
      </c>
      <c r="R116" s="189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/>
      </c>
      <c r="S116" s="189">
        <f>Q116-R116</f>
        <v/>
      </c>
      <c r="T116" s="189">
        <f>MIN(MAX(S116,0),'Tax Assumptions'!$B$20)</f>
        <v/>
      </c>
      <c r="U116" s="189">
        <f>S116-T116</f>
        <v/>
      </c>
      <c r="V116" s="189">
        <f>MAX(V115*(1+'Model Inputs'!$B$13)+U116,0)</f>
        <v/>
      </c>
      <c r="W116" s="189">
        <f>MAX(W115*(1+'Model Inputs'!$B$13)+M116+T116,0)</f>
        <v/>
      </c>
      <c r="X116" s="189">
        <f>V116+W116</f>
        <v/>
      </c>
      <c r="Y116" s="191">
        <f>IF(AND(X116&gt;=$F$14,X115&lt;$F$14),D116,"")</f>
        <v/>
      </c>
      <c r="Z116" s="191">
        <f>IF(AND(X116&gt;=$F$15,X115&lt;$F$15),D116,"")</f>
        <v/>
      </c>
      <c r="AA116" s="191">
        <f>IF(AND(X116&gt;=$F$16,X115&lt;$F$16),D116,"")</f>
        <v/>
      </c>
      <c r="AB116" s="191">
        <f>IF(AND(X116&gt;=$F$17,X115&lt;$F$17),D116,"")</f>
        <v/>
      </c>
    </row>
    <row r="117" outlineLevel="1" ht="18" customHeight="1" s="326">
      <c r="A117" s="174">
        <f>$A$27</f>
        <v/>
      </c>
      <c r="B117" s="193">
        <f>$B$27</f>
        <v/>
      </c>
      <c r="C117" s="179">
        <f>$C$27</f>
        <v/>
      </c>
      <c r="D117" s="193" t="n">
        <v>7</v>
      </c>
      <c r="E117" s="193">
        <f>('Model Inputs'!$B$22-1)+D117</f>
        <v/>
      </c>
      <c r="F117" s="189">
        <f>IF(D117=1,'Model Inputs'!$B$25*(13-'Model Inputs'!$B$23)/12,'Model Inputs'!$B$25)</f>
        <v/>
      </c>
      <c r="G117" s="189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/>
      </c>
      <c r="H117" s="180">
        <f>IF(D117&lt;=2,0,'Model Inputs'!$B$32*SIN(2*PI()*(D117-3+'Model Inputs'!$B$34)/MAX(1,'Model Inputs'!$B$33)))</f>
        <v/>
      </c>
      <c r="I117" s="189">
        <f>G117*(1+H117)</f>
        <v/>
      </c>
      <c r="J117" s="189">
        <f>0.75*I116+0.25*I115</f>
        <v/>
      </c>
      <c r="K117" s="189">
        <f>F117+J117+IF(D117=1,'Model Inputs'!$B$26,0)</f>
        <v/>
      </c>
      <c r="L117" s="189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/>
      </c>
      <c r="M117" s="189">
        <f>MIN(L117,'Tax Assumptions'!$B$19)</f>
        <v/>
      </c>
      <c r="N117" s="189">
        <f>MAX(L117-M117-'Tax Assumptions'!$B$8,0)</f>
        <v/>
      </c>
      <c r="O117" s="189">
        <f>MAX(L117-M117-'Tax Assumptions'!$B$9,0)</f>
        <v/>
      </c>
      <c r="P117" s="189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/>
      </c>
      <c r="Q117" s="189">
        <f>L117-M117-P117</f>
        <v/>
      </c>
      <c r="R117" s="189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/>
      </c>
      <c r="S117" s="189">
        <f>Q117-R117</f>
        <v/>
      </c>
      <c r="T117" s="189">
        <f>MIN(MAX(S117,0),'Tax Assumptions'!$B$20)</f>
        <v/>
      </c>
      <c r="U117" s="189">
        <f>S117-T117</f>
        <v/>
      </c>
      <c r="V117" s="189">
        <f>MAX(V116*(1+'Model Inputs'!$B$13)+U117,0)</f>
        <v/>
      </c>
      <c r="W117" s="189">
        <f>MAX(W116*(1+'Model Inputs'!$B$13)+M117+T117,0)</f>
        <v/>
      </c>
      <c r="X117" s="189">
        <f>V117+W117</f>
        <v/>
      </c>
      <c r="Y117" s="191">
        <f>IF(AND(X117&gt;=$F$14,X116&lt;$F$14),D117,"")</f>
        <v/>
      </c>
      <c r="Z117" s="191">
        <f>IF(AND(X117&gt;=$F$15,X116&lt;$F$15),D117,"")</f>
        <v/>
      </c>
      <c r="AA117" s="191">
        <f>IF(AND(X117&gt;=$F$16,X116&lt;$F$16),D117,"")</f>
        <v/>
      </c>
      <c r="AB117" s="191">
        <f>IF(AND(X117&gt;=$F$17,X116&lt;$F$17),D117,"")</f>
        <v/>
      </c>
    </row>
    <row r="118" outlineLevel="1" ht="18" customHeight="1" s="326">
      <c r="A118" s="174">
        <f>$A$27</f>
        <v/>
      </c>
      <c r="B118" s="193">
        <f>$B$27</f>
        <v/>
      </c>
      <c r="C118" s="179">
        <f>$C$27</f>
        <v/>
      </c>
      <c r="D118" s="193" t="n">
        <v>8</v>
      </c>
      <c r="E118" s="193">
        <f>('Model Inputs'!$B$22-1)+D118</f>
        <v/>
      </c>
      <c r="F118" s="189">
        <f>IF(D118=1,'Model Inputs'!$B$25*(13-'Model Inputs'!$B$23)/12,'Model Inputs'!$B$25)</f>
        <v/>
      </c>
      <c r="G118" s="189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/>
      </c>
      <c r="H118" s="180">
        <f>IF(D118&lt;=2,0,'Model Inputs'!$B$32*SIN(2*PI()*(D118-3+'Model Inputs'!$B$34)/MAX(1,'Model Inputs'!$B$33)))</f>
        <v/>
      </c>
      <c r="I118" s="189">
        <f>G118*(1+H118)</f>
        <v/>
      </c>
      <c r="J118" s="189">
        <f>0.75*I117+0.25*I116</f>
        <v/>
      </c>
      <c r="K118" s="189">
        <f>F118+J118+IF(D118=1,'Model Inputs'!$B$26,0)</f>
        <v/>
      </c>
      <c r="L118" s="189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/>
      </c>
      <c r="M118" s="189">
        <f>MIN(L118,'Tax Assumptions'!$B$19)</f>
        <v/>
      </c>
      <c r="N118" s="189">
        <f>MAX(L118-M118-'Tax Assumptions'!$B$8,0)</f>
        <v/>
      </c>
      <c r="O118" s="189">
        <f>MAX(L118-M118-'Tax Assumptions'!$B$9,0)</f>
        <v/>
      </c>
      <c r="P118" s="189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/>
      </c>
      <c r="Q118" s="189">
        <f>L118-M118-P118</f>
        <v/>
      </c>
      <c r="R118" s="189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/>
      </c>
      <c r="S118" s="189">
        <f>Q118-R118</f>
        <v/>
      </c>
      <c r="T118" s="189">
        <f>MIN(MAX(S118,0),'Tax Assumptions'!$B$20)</f>
        <v/>
      </c>
      <c r="U118" s="189">
        <f>S118-T118</f>
        <v/>
      </c>
      <c r="V118" s="189">
        <f>MAX(V117*(1+'Model Inputs'!$B$13)+U118,0)</f>
        <v/>
      </c>
      <c r="W118" s="189">
        <f>MAX(W117*(1+'Model Inputs'!$B$13)+M118+T118,0)</f>
        <v/>
      </c>
      <c r="X118" s="189">
        <f>V118+W118</f>
        <v/>
      </c>
      <c r="Y118" s="191">
        <f>IF(AND(X118&gt;=$F$14,X117&lt;$F$14),D118,"")</f>
        <v/>
      </c>
      <c r="Z118" s="191">
        <f>IF(AND(X118&gt;=$F$15,X117&lt;$F$15),D118,"")</f>
        <v/>
      </c>
      <c r="AA118" s="191">
        <f>IF(AND(X118&gt;=$F$16,X117&lt;$F$16),D118,"")</f>
        <v/>
      </c>
      <c r="AB118" s="191">
        <f>IF(AND(X118&gt;=$F$17,X117&lt;$F$17),D118,"")</f>
        <v/>
      </c>
    </row>
    <row r="119" outlineLevel="1" ht="18" customHeight="1" s="326">
      <c r="A119" s="174">
        <f>$A$27</f>
        <v/>
      </c>
      <c r="B119" s="193">
        <f>$B$27</f>
        <v/>
      </c>
      <c r="C119" s="179">
        <f>$C$27</f>
        <v/>
      </c>
      <c r="D119" s="193" t="n">
        <v>9</v>
      </c>
      <c r="E119" s="193">
        <f>('Model Inputs'!$B$22-1)+D119</f>
        <v/>
      </c>
      <c r="F119" s="189">
        <f>IF(D119=1,'Model Inputs'!$B$25*(13-'Model Inputs'!$B$23)/12,'Model Inputs'!$B$25)</f>
        <v/>
      </c>
      <c r="G119" s="189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/>
      </c>
      <c r="H119" s="180">
        <f>IF(D119&lt;=2,0,'Model Inputs'!$B$32*SIN(2*PI()*(D119-3+'Model Inputs'!$B$34)/MAX(1,'Model Inputs'!$B$33)))</f>
        <v/>
      </c>
      <c r="I119" s="189">
        <f>G119*(1+H119)</f>
        <v/>
      </c>
      <c r="J119" s="189">
        <f>0.75*I118+0.25*I117</f>
        <v/>
      </c>
      <c r="K119" s="189">
        <f>F119+J119+IF(D119=1,'Model Inputs'!$B$26,0)</f>
        <v/>
      </c>
      <c r="L119" s="189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/>
      </c>
      <c r="M119" s="189">
        <f>MIN(L119,'Tax Assumptions'!$B$19)</f>
        <v/>
      </c>
      <c r="N119" s="189">
        <f>MAX(L119-M119-'Tax Assumptions'!$B$8,0)</f>
        <v/>
      </c>
      <c r="O119" s="189">
        <f>MAX(L119-M119-'Tax Assumptions'!$B$9,0)</f>
        <v/>
      </c>
      <c r="P119" s="189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/>
      </c>
      <c r="Q119" s="189">
        <f>L119-M119-P119</f>
        <v/>
      </c>
      <c r="R119" s="189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/>
      </c>
      <c r="S119" s="189">
        <f>Q119-R119</f>
        <v/>
      </c>
      <c r="T119" s="189">
        <f>MIN(MAX(S119,0),'Tax Assumptions'!$B$20)</f>
        <v/>
      </c>
      <c r="U119" s="189">
        <f>S119-T119</f>
        <v/>
      </c>
      <c r="V119" s="189">
        <f>MAX(V118*(1+'Model Inputs'!$B$13)+U119,0)</f>
        <v/>
      </c>
      <c r="W119" s="189">
        <f>MAX(W118*(1+'Model Inputs'!$B$13)+M119+T119,0)</f>
        <v/>
      </c>
      <c r="X119" s="189">
        <f>V119+W119</f>
        <v/>
      </c>
      <c r="Y119" s="191">
        <f>IF(AND(X119&gt;=$F$14,X118&lt;$F$14),D119,"")</f>
        <v/>
      </c>
      <c r="Z119" s="191">
        <f>IF(AND(X119&gt;=$F$15,X118&lt;$F$15),D119,"")</f>
        <v/>
      </c>
      <c r="AA119" s="191">
        <f>IF(AND(X119&gt;=$F$16,X118&lt;$F$16),D119,"")</f>
        <v/>
      </c>
      <c r="AB119" s="191">
        <f>IF(AND(X119&gt;=$F$17,X118&lt;$F$17),D119,"")</f>
        <v/>
      </c>
    </row>
    <row r="120" outlineLevel="1" ht="18" customHeight="1" s="326">
      <c r="A120" s="174">
        <f>$A$27</f>
        <v/>
      </c>
      <c r="B120" s="193">
        <f>$B$27</f>
        <v/>
      </c>
      <c r="C120" s="179">
        <f>$C$27</f>
        <v/>
      </c>
      <c r="D120" s="193" t="n">
        <v>10</v>
      </c>
      <c r="E120" s="193">
        <f>('Model Inputs'!$B$22-1)+D120</f>
        <v/>
      </c>
      <c r="F120" s="189">
        <f>IF(D120=1,'Model Inputs'!$B$25*(13-'Model Inputs'!$B$23)/12,'Model Inputs'!$B$25)</f>
        <v/>
      </c>
      <c r="G120" s="189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/>
      </c>
      <c r="H120" s="180">
        <f>IF(D120&lt;=2,0,'Model Inputs'!$B$32*SIN(2*PI()*(D120-3+'Model Inputs'!$B$34)/MAX(1,'Model Inputs'!$B$33)))</f>
        <v/>
      </c>
      <c r="I120" s="189">
        <f>G120*(1+H120)</f>
        <v/>
      </c>
      <c r="J120" s="189">
        <f>0.75*I119+0.25*I118</f>
        <v/>
      </c>
      <c r="K120" s="189">
        <f>F120+J120+IF(D120=1,'Model Inputs'!$B$26,0)</f>
        <v/>
      </c>
      <c r="L120" s="189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/>
      </c>
      <c r="M120" s="189">
        <f>MIN(L120,'Tax Assumptions'!$B$19)</f>
        <v/>
      </c>
      <c r="N120" s="189">
        <f>MAX(L120-M120-'Tax Assumptions'!$B$8,0)</f>
        <v/>
      </c>
      <c r="O120" s="189">
        <f>MAX(L120-M120-'Tax Assumptions'!$B$9,0)</f>
        <v/>
      </c>
      <c r="P120" s="189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/>
      </c>
      <c r="Q120" s="189">
        <f>L120-M120-P120</f>
        <v/>
      </c>
      <c r="R120" s="189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/>
      </c>
      <c r="S120" s="189">
        <f>Q120-R120</f>
        <v/>
      </c>
      <c r="T120" s="189">
        <f>MIN(MAX(S120,0),'Tax Assumptions'!$B$20)</f>
        <v/>
      </c>
      <c r="U120" s="189">
        <f>S120-T120</f>
        <v/>
      </c>
      <c r="V120" s="189">
        <f>MAX(V119*(1+'Model Inputs'!$B$13)+U120,0)</f>
        <v/>
      </c>
      <c r="W120" s="189">
        <f>MAX(W119*(1+'Model Inputs'!$B$13)+M120+T120,0)</f>
        <v/>
      </c>
      <c r="X120" s="189">
        <f>V120+W120</f>
        <v/>
      </c>
      <c r="Y120" s="191">
        <f>IF(AND(X120&gt;=$F$14,X119&lt;$F$14),D120,"")</f>
        <v/>
      </c>
      <c r="Z120" s="191">
        <f>IF(AND(X120&gt;=$F$15,X119&lt;$F$15),D120,"")</f>
        <v/>
      </c>
      <c r="AA120" s="191">
        <f>IF(AND(X120&gt;=$F$16,X119&lt;$F$16),D120,"")</f>
        <v/>
      </c>
      <c r="AB120" s="191">
        <f>IF(AND(X120&gt;=$F$17,X119&lt;$F$17),D120,"")</f>
        <v/>
      </c>
    </row>
    <row r="121" outlineLevel="1" ht="18" customHeight="1" s="326">
      <c r="A121" s="174">
        <f>$A$27</f>
        <v/>
      </c>
      <c r="B121" s="193">
        <f>$B$27</f>
        <v/>
      </c>
      <c r="C121" s="179">
        <f>$C$27</f>
        <v/>
      </c>
      <c r="D121" s="193" t="n">
        <v>11</v>
      </c>
      <c r="E121" s="193">
        <f>('Model Inputs'!$B$22-1)+D121</f>
        <v/>
      </c>
      <c r="F121" s="189">
        <f>IF(D121=1,'Model Inputs'!$B$25*(13-'Model Inputs'!$B$23)/12,'Model Inputs'!$B$25)</f>
        <v/>
      </c>
      <c r="G121" s="189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/>
      </c>
      <c r="H121" s="180">
        <f>IF(D121&lt;=2,0,'Model Inputs'!$B$32*SIN(2*PI()*(D121-3+'Model Inputs'!$B$34)/MAX(1,'Model Inputs'!$B$33)))</f>
        <v/>
      </c>
      <c r="I121" s="189">
        <f>G121*(1+H121)</f>
        <v/>
      </c>
      <c r="J121" s="189">
        <f>0.75*I120+0.25*I119</f>
        <v/>
      </c>
      <c r="K121" s="189">
        <f>F121+J121+IF(D121=1,'Model Inputs'!$B$26,0)</f>
        <v/>
      </c>
      <c r="L121" s="189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/>
      </c>
      <c r="M121" s="189">
        <f>MIN(L121,'Tax Assumptions'!$B$19)</f>
        <v/>
      </c>
      <c r="N121" s="189">
        <f>MAX(L121-M121-'Tax Assumptions'!$B$8,0)</f>
        <v/>
      </c>
      <c r="O121" s="189">
        <f>MAX(L121-M121-'Tax Assumptions'!$B$9,0)</f>
        <v/>
      </c>
      <c r="P121" s="189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/>
      </c>
      <c r="Q121" s="189">
        <f>L121-M121-P121</f>
        <v/>
      </c>
      <c r="R121" s="189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/>
      </c>
      <c r="S121" s="189">
        <f>Q121-R121</f>
        <v/>
      </c>
      <c r="T121" s="189">
        <f>MIN(MAX(S121,0),'Tax Assumptions'!$B$20)</f>
        <v/>
      </c>
      <c r="U121" s="189">
        <f>S121-T121</f>
        <v/>
      </c>
      <c r="V121" s="189">
        <f>MAX(V120*(1+'Model Inputs'!$B$13)+U121,0)</f>
        <v/>
      </c>
      <c r="W121" s="189">
        <f>MAX(W120*(1+'Model Inputs'!$B$13)+M121+T121,0)</f>
        <v/>
      </c>
      <c r="X121" s="189">
        <f>V121+W121</f>
        <v/>
      </c>
      <c r="Y121" s="191">
        <f>IF(AND(X121&gt;=$F$14,X120&lt;$F$14),D121,"")</f>
        <v/>
      </c>
      <c r="Z121" s="191">
        <f>IF(AND(X121&gt;=$F$15,X120&lt;$F$15),D121,"")</f>
        <v/>
      </c>
      <c r="AA121" s="191">
        <f>IF(AND(X121&gt;=$F$16,X120&lt;$F$16),D121,"")</f>
        <v/>
      </c>
      <c r="AB121" s="191">
        <f>IF(AND(X121&gt;=$F$17,X120&lt;$F$17),D121,"")</f>
        <v/>
      </c>
    </row>
    <row r="122" outlineLevel="1" ht="18" customHeight="1" s="326">
      <c r="A122" s="174">
        <f>$A$27</f>
        <v/>
      </c>
      <c r="B122" s="193">
        <f>$B$27</f>
        <v/>
      </c>
      <c r="C122" s="179">
        <f>$C$27</f>
        <v/>
      </c>
      <c r="D122" s="193" t="n">
        <v>12</v>
      </c>
      <c r="E122" s="193">
        <f>('Model Inputs'!$B$22-1)+D122</f>
        <v/>
      </c>
      <c r="F122" s="189">
        <f>IF(D122=1,'Model Inputs'!$B$25*(13-'Model Inputs'!$B$23)/12,'Model Inputs'!$B$25)</f>
        <v/>
      </c>
      <c r="G122" s="189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/>
      </c>
      <c r="H122" s="180">
        <f>IF(D122&lt;=2,0,'Model Inputs'!$B$32*SIN(2*PI()*(D122-3+'Model Inputs'!$B$34)/MAX(1,'Model Inputs'!$B$33)))</f>
        <v/>
      </c>
      <c r="I122" s="189">
        <f>G122*(1+H122)</f>
        <v/>
      </c>
      <c r="J122" s="189">
        <f>0.75*I121+0.25*I120</f>
        <v/>
      </c>
      <c r="K122" s="189">
        <f>F122+J122+IF(D122=1,'Model Inputs'!$B$26,0)</f>
        <v/>
      </c>
      <c r="L122" s="189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/>
      </c>
      <c r="M122" s="189">
        <f>MIN(L122,'Tax Assumptions'!$B$19)</f>
        <v/>
      </c>
      <c r="N122" s="189">
        <f>MAX(L122-M122-'Tax Assumptions'!$B$8,0)</f>
        <v/>
      </c>
      <c r="O122" s="189">
        <f>MAX(L122-M122-'Tax Assumptions'!$B$9,0)</f>
        <v/>
      </c>
      <c r="P122" s="189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/>
      </c>
      <c r="Q122" s="189">
        <f>L122-M122-P122</f>
        <v/>
      </c>
      <c r="R122" s="189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/>
      </c>
      <c r="S122" s="189">
        <f>Q122-R122</f>
        <v/>
      </c>
      <c r="T122" s="189">
        <f>MIN(MAX(S122,0),'Tax Assumptions'!$B$20)</f>
        <v/>
      </c>
      <c r="U122" s="189">
        <f>S122-T122</f>
        <v/>
      </c>
      <c r="V122" s="189">
        <f>MAX(V121*(1+'Model Inputs'!$B$13)+U122,0)</f>
        <v/>
      </c>
      <c r="W122" s="189">
        <f>MAX(W121*(1+'Model Inputs'!$B$13)+M122+T122,0)</f>
        <v/>
      </c>
      <c r="X122" s="189">
        <f>V122+W122</f>
        <v/>
      </c>
      <c r="Y122" s="191">
        <f>IF(AND(X122&gt;=$F$14,X121&lt;$F$14),D122,"")</f>
        <v/>
      </c>
      <c r="Z122" s="191">
        <f>IF(AND(X122&gt;=$F$15,X121&lt;$F$15),D122,"")</f>
        <v/>
      </c>
      <c r="AA122" s="191">
        <f>IF(AND(X122&gt;=$F$16,X121&lt;$F$16),D122,"")</f>
        <v/>
      </c>
      <c r="AB122" s="191">
        <f>IF(AND(X122&gt;=$F$17,X121&lt;$F$17),D122,"")</f>
        <v/>
      </c>
    </row>
    <row r="123" outlineLevel="1" ht="18" customHeight="1" s="326">
      <c r="A123" s="174">
        <f>$A$27</f>
        <v/>
      </c>
      <c r="B123" s="193">
        <f>$B$27</f>
        <v/>
      </c>
      <c r="C123" s="179">
        <f>$C$27</f>
        <v/>
      </c>
      <c r="D123" s="193" t="n">
        <v>13</v>
      </c>
      <c r="E123" s="193">
        <f>('Model Inputs'!$B$22-1)+D123</f>
        <v/>
      </c>
      <c r="F123" s="189">
        <f>IF(D123=1,'Model Inputs'!$B$25*(13-'Model Inputs'!$B$23)/12,'Model Inputs'!$B$25)</f>
        <v/>
      </c>
      <c r="G123" s="189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/>
      </c>
      <c r="H123" s="180">
        <f>IF(D123&lt;=2,0,'Model Inputs'!$B$32*SIN(2*PI()*(D123-3+'Model Inputs'!$B$34)/MAX(1,'Model Inputs'!$B$33)))</f>
        <v/>
      </c>
      <c r="I123" s="189">
        <f>G123*(1+H123)</f>
        <v/>
      </c>
      <c r="J123" s="189">
        <f>0.75*I122+0.25*I121</f>
        <v/>
      </c>
      <c r="K123" s="189">
        <f>F123+J123+IF(D123=1,'Model Inputs'!$B$26,0)</f>
        <v/>
      </c>
      <c r="L123" s="189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/>
      </c>
      <c r="M123" s="189">
        <f>MIN(L123,'Tax Assumptions'!$B$19)</f>
        <v/>
      </c>
      <c r="N123" s="189">
        <f>MAX(L123-M123-'Tax Assumptions'!$B$8,0)</f>
        <v/>
      </c>
      <c r="O123" s="189">
        <f>MAX(L123-M123-'Tax Assumptions'!$B$9,0)</f>
        <v/>
      </c>
      <c r="P123" s="189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/>
      </c>
      <c r="Q123" s="189">
        <f>L123-M123-P123</f>
        <v/>
      </c>
      <c r="R123" s="189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/>
      </c>
      <c r="S123" s="189">
        <f>Q123-R123</f>
        <v/>
      </c>
      <c r="T123" s="189">
        <f>MIN(MAX(S123,0),'Tax Assumptions'!$B$20)</f>
        <v/>
      </c>
      <c r="U123" s="189">
        <f>S123-T123</f>
        <v/>
      </c>
      <c r="V123" s="189">
        <f>MAX(V122*(1+'Model Inputs'!$B$13)+U123,0)</f>
        <v/>
      </c>
      <c r="W123" s="189">
        <f>MAX(W122*(1+'Model Inputs'!$B$13)+M123+T123,0)</f>
        <v/>
      </c>
      <c r="X123" s="189">
        <f>V123+W123</f>
        <v/>
      </c>
      <c r="Y123" s="191">
        <f>IF(AND(X123&gt;=$F$14,X122&lt;$F$14),D123,"")</f>
        <v/>
      </c>
      <c r="Z123" s="191">
        <f>IF(AND(X123&gt;=$F$15,X122&lt;$F$15),D123,"")</f>
        <v/>
      </c>
      <c r="AA123" s="191">
        <f>IF(AND(X123&gt;=$F$16,X122&lt;$F$16),D123,"")</f>
        <v/>
      </c>
      <c r="AB123" s="191">
        <f>IF(AND(X123&gt;=$F$17,X122&lt;$F$17),D123,"")</f>
        <v/>
      </c>
    </row>
    <row r="124" outlineLevel="1" ht="18" customHeight="1" s="326">
      <c r="A124" s="174">
        <f>$A$27</f>
        <v/>
      </c>
      <c r="B124" s="193">
        <f>$B$27</f>
        <v/>
      </c>
      <c r="C124" s="179">
        <f>$C$27</f>
        <v/>
      </c>
      <c r="D124" s="193" t="n">
        <v>14</v>
      </c>
      <c r="E124" s="193">
        <f>('Model Inputs'!$B$22-1)+D124</f>
        <v/>
      </c>
      <c r="F124" s="189">
        <f>IF(D124=1,'Model Inputs'!$B$25*(13-'Model Inputs'!$B$23)/12,'Model Inputs'!$B$25)</f>
        <v/>
      </c>
      <c r="G124" s="189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/>
      </c>
      <c r="H124" s="180">
        <f>IF(D124&lt;=2,0,'Model Inputs'!$B$32*SIN(2*PI()*(D124-3+'Model Inputs'!$B$34)/MAX(1,'Model Inputs'!$B$33)))</f>
        <v/>
      </c>
      <c r="I124" s="189">
        <f>G124*(1+H124)</f>
        <v/>
      </c>
      <c r="J124" s="189">
        <f>0.75*I123+0.25*I122</f>
        <v/>
      </c>
      <c r="K124" s="189">
        <f>F124+J124+IF(D124=1,'Model Inputs'!$B$26,0)</f>
        <v/>
      </c>
      <c r="L124" s="189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/>
      </c>
      <c r="M124" s="189">
        <f>MIN(L124,'Tax Assumptions'!$B$19)</f>
        <v/>
      </c>
      <c r="N124" s="189">
        <f>MAX(L124-M124-'Tax Assumptions'!$B$8,0)</f>
        <v/>
      </c>
      <c r="O124" s="189">
        <f>MAX(L124-M124-'Tax Assumptions'!$B$9,0)</f>
        <v/>
      </c>
      <c r="P124" s="189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/>
      </c>
      <c r="Q124" s="189">
        <f>L124-M124-P124</f>
        <v/>
      </c>
      <c r="R124" s="189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/>
      </c>
      <c r="S124" s="189">
        <f>Q124-R124</f>
        <v/>
      </c>
      <c r="T124" s="189">
        <f>MIN(MAX(S124,0),'Tax Assumptions'!$B$20)</f>
        <v/>
      </c>
      <c r="U124" s="189">
        <f>S124-T124</f>
        <v/>
      </c>
      <c r="V124" s="189">
        <f>MAX(V123*(1+'Model Inputs'!$B$13)+U124,0)</f>
        <v/>
      </c>
      <c r="W124" s="189">
        <f>MAX(W123*(1+'Model Inputs'!$B$13)+M124+T124,0)</f>
        <v/>
      </c>
      <c r="X124" s="189">
        <f>V124+W124</f>
        <v/>
      </c>
      <c r="Y124" s="191">
        <f>IF(AND(X124&gt;=$F$14,X123&lt;$F$14),D124,"")</f>
        <v/>
      </c>
      <c r="Z124" s="191">
        <f>IF(AND(X124&gt;=$F$15,X123&lt;$F$15),D124,"")</f>
        <v/>
      </c>
      <c r="AA124" s="191">
        <f>IF(AND(X124&gt;=$F$16,X123&lt;$F$16),D124,"")</f>
        <v/>
      </c>
      <c r="AB124" s="191">
        <f>IF(AND(X124&gt;=$F$17,X123&lt;$F$17),D124,"")</f>
        <v/>
      </c>
    </row>
    <row r="125" outlineLevel="1" ht="18" customHeight="1" s="326">
      <c r="A125" s="174">
        <f>$A$27</f>
        <v/>
      </c>
      <c r="B125" s="193">
        <f>$B$27</f>
        <v/>
      </c>
      <c r="C125" s="179">
        <f>$C$27</f>
        <v/>
      </c>
      <c r="D125" s="193" t="n">
        <v>15</v>
      </c>
      <c r="E125" s="193">
        <f>('Model Inputs'!$B$22-1)+D125</f>
        <v/>
      </c>
      <c r="F125" s="189">
        <f>IF(D125=1,'Model Inputs'!$B$25*(13-'Model Inputs'!$B$23)/12,'Model Inputs'!$B$25)</f>
        <v/>
      </c>
      <c r="G125" s="189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/>
      </c>
      <c r="H125" s="180">
        <f>IF(D125&lt;=2,0,'Model Inputs'!$B$32*SIN(2*PI()*(D125-3+'Model Inputs'!$B$34)/MAX(1,'Model Inputs'!$B$33)))</f>
        <v/>
      </c>
      <c r="I125" s="189">
        <f>G125*(1+H125)</f>
        <v/>
      </c>
      <c r="J125" s="189">
        <f>0.75*I124+0.25*I123</f>
        <v/>
      </c>
      <c r="K125" s="189">
        <f>F125+J125+IF(D125=1,'Model Inputs'!$B$26,0)</f>
        <v/>
      </c>
      <c r="L125" s="189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/>
      </c>
      <c r="M125" s="189">
        <f>MIN(L125,'Tax Assumptions'!$B$19)</f>
        <v/>
      </c>
      <c r="N125" s="189">
        <f>MAX(L125-M125-'Tax Assumptions'!$B$8,0)</f>
        <v/>
      </c>
      <c r="O125" s="189">
        <f>MAX(L125-M125-'Tax Assumptions'!$B$9,0)</f>
        <v/>
      </c>
      <c r="P125" s="189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/>
      </c>
      <c r="Q125" s="189">
        <f>L125-M125-P125</f>
        <v/>
      </c>
      <c r="R125" s="189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/>
      </c>
      <c r="S125" s="189">
        <f>Q125-R125</f>
        <v/>
      </c>
      <c r="T125" s="189">
        <f>MIN(MAX(S125,0),'Tax Assumptions'!$B$20)</f>
        <v/>
      </c>
      <c r="U125" s="189">
        <f>S125-T125</f>
        <v/>
      </c>
      <c r="V125" s="189">
        <f>MAX(V124*(1+'Model Inputs'!$B$13)+U125,0)</f>
        <v/>
      </c>
      <c r="W125" s="189">
        <f>MAX(W124*(1+'Model Inputs'!$B$13)+M125+T125,0)</f>
        <v/>
      </c>
      <c r="X125" s="189">
        <f>V125+W125</f>
        <v/>
      </c>
      <c r="Y125" s="191">
        <f>IF(AND(X125&gt;=$F$14,X124&lt;$F$14),D125,"")</f>
        <v/>
      </c>
      <c r="Z125" s="191">
        <f>IF(AND(X125&gt;=$F$15,X124&lt;$F$15),D125,"")</f>
        <v/>
      </c>
      <c r="AA125" s="191">
        <f>IF(AND(X125&gt;=$F$16,X124&lt;$F$16),D125,"")</f>
        <v/>
      </c>
      <c r="AB125" s="191">
        <f>IF(AND(X125&gt;=$F$17,X124&lt;$F$17),D125,"")</f>
        <v/>
      </c>
    </row>
    <row r="126" outlineLevel="1" ht="18" customHeight="1" s="326">
      <c r="A126" s="174">
        <f>$A$28</f>
        <v/>
      </c>
      <c r="B126" s="193">
        <f>$B$28</f>
        <v/>
      </c>
      <c r="C126" s="179">
        <f>$C$28</f>
        <v/>
      </c>
      <c r="D126" s="193" t="n">
        <v>1</v>
      </c>
      <c r="E126" s="193">
        <f>('Model Inputs'!$B$22-1)+D126</f>
        <v/>
      </c>
      <c r="F126" s="189">
        <f>IF(D126=1,'Model Inputs'!$B$25*(13-'Model Inputs'!$B$23)/12,'Model Inputs'!$B$25)</f>
        <v/>
      </c>
      <c r="G126" s="189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/>
      </c>
      <c r="H126" s="180">
        <f>IF(D126&lt;=2,0,'Model Inputs'!$B$32*SIN(2*PI()*(D126-3+'Model Inputs'!$B$34)/MAX(1,'Model Inputs'!$B$33)))</f>
        <v/>
      </c>
      <c r="I126" s="189">
        <f>G126*(1+H126)</f>
        <v/>
      </c>
      <c r="J126" s="189">
        <f>0</f>
        <v/>
      </c>
      <c r="K126" s="189">
        <f>F126+J126+IF(D126=1,'Model Inputs'!$B$26,0)</f>
        <v/>
      </c>
      <c r="L126" s="189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/>
      </c>
      <c r="M126" s="189">
        <f>MIN(L126,'Tax Assumptions'!$B$19)</f>
        <v/>
      </c>
      <c r="N126" s="189">
        <f>MAX(L126-M126-'Tax Assumptions'!$B$8,0)</f>
        <v/>
      </c>
      <c r="O126" s="189">
        <f>MAX(L126-M126-'Tax Assumptions'!$B$9,0)</f>
        <v/>
      </c>
      <c r="P126" s="189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/>
      </c>
      <c r="Q126" s="189">
        <f>L126-M126-P126</f>
        <v/>
      </c>
      <c r="R126" s="189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/>
      </c>
      <c r="S126" s="189">
        <f>Q126-R126</f>
        <v/>
      </c>
      <c r="T126" s="189">
        <f>MIN(MAX(S126,0),'Tax Assumptions'!$B$20)</f>
        <v/>
      </c>
      <c r="U126" s="189">
        <f>S126-T126</f>
        <v/>
      </c>
      <c r="V126" s="189">
        <f>MAX('Model Inputs'!$B$7*(1+'Model Inputs'!$B$13)+U126,0)</f>
        <v/>
      </c>
      <c r="W126" s="189">
        <f>MAX(('Model Inputs'!$B$8+'Model Inputs'!$B$9+'Model Inputs'!$B$10)*(1+'Model Inputs'!$B$13)+M126+T126,0)</f>
        <v/>
      </c>
      <c r="X126" s="189">
        <f>V126+W126</f>
        <v/>
      </c>
      <c r="Y126" s="191">
        <f>IF(AND(X126&gt;=$F$14,0&lt;$F$14),D126,"")</f>
        <v/>
      </c>
      <c r="Z126" s="191">
        <f>IF(AND(X126&gt;=$F$15,0&lt;$F$15),D126,"")</f>
        <v/>
      </c>
      <c r="AA126" s="191">
        <f>IF(AND(X126&gt;=$F$16,0&lt;$F$16),D126,"")</f>
        <v/>
      </c>
      <c r="AB126" s="191">
        <f>IF(AND(X126&gt;=$F$17,0&lt;$F$17),D126,"")</f>
        <v/>
      </c>
    </row>
    <row r="127" outlineLevel="1" ht="18" customHeight="1" s="326">
      <c r="A127" s="174">
        <f>$A$28</f>
        <v/>
      </c>
      <c r="B127" s="193">
        <f>$B$28</f>
        <v/>
      </c>
      <c r="C127" s="179">
        <f>$C$28</f>
        <v/>
      </c>
      <c r="D127" s="193" t="n">
        <v>2</v>
      </c>
      <c r="E127" s="193">
        <f>('Model Inputs'!$B$22-1)+D127</f>
        <v/>
      </c>
      <c r="F127" s="189">
        <f>IF(D127=1,'Model Inputs'!$B$25*(13-'Model Inputs'!$B$23)/12,'Model Inputs'!$B$25)</f>
        <v/>
      </c>
      <c r="G127" s="189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/>
      </c>
      <c r="H127" s="180">
        <f>IF(D127&lt;=2,0,'Model Inputs'!$B$32*SIN(2*PI()*(D127-3+'Model Inputs'!$B$34)/MAX(1,'Model Inputs'!$B$33)))</f>
        <v/>
      </c>
      <c r="I127" s="189">
        <f>G127*(1+H127)</f>
        <v/>
      </c>
      <c r="J127" s="189">
        <f>0.75*I126</f>
        <v/>
      </c>
      <c r="K127" s="189">
        <f>F127+J127+IF(D127=1,'Model Inputs'!$B$26,0)</f>
        <v/>
      </c>
      <c r="L127" s="189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/>
      </c>
      <c r="M127" s="189">
        <f>MIN(L127,'Tax Assumptions'!$B$19)</f>
        <v/>
      </c>
      <c r="N127" s="189">
        <f>MAX(L127-M127-'Tax Assumptions'!$B$8,0)</f>
        <v/>
      </c>
      <c r="O127" s="189">
        <f>MAX(L127-M127-'Tax Assumptions'!$B$9,0)</f>
        <v/>
      </c>
      <c r="P127" s="189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/>
      </c>
      <c r="Q127" s="189">
        <f>L127-M127-P127</f>
        <v/>
      </c>
      <c r="R127" s="189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/>
      </c>
      <c r="S127" s="189">
        <f>Q127-R127</f>
        <v/>
      </c>
      <c r="T127" s="189">
        <f>MIN(MAX(S127,0),'Tax Assumptions'!$B$20)</f>
        <v/>
      </c>
      <c r="U127" s="189">
        <f>S127-T127</f>
        <v/>
      </c>
      <c r="V127" s="189">
        <f>MAX(V126*(1+'Model Inputs'!$B$13)+U127,0)</f>
        <v/>
      </c>
      <c r="W127" s="189">
        <f>MAX(W126*(1+'Model Inputs'!$B$13)+M127+T127,0)</f>
        <v/>
      </c>
      <c r="X127" s="189">
        <f>V127+W127</f>
        <v/>
      </c>
      <c r="Y127" s="191">
        <f>IF(AND(X127&gt;=$F$14,X126&lt;$F$14),D127,"")</f>
        <v/>
      </c>
      <c r="Z127" s="191">
        <f>IF(AND(X127&gt;=$F$15,X126&lt;$F$15),D127,"")</f>
        <v/>
      </c>
      <c r="AA127" s="191">
        <f>IF(AND(X127&gt;=$F$16,X126&lt;$F$16),D127,"")</f>
        <v/>
      </c>
      <c r="AB127" s="191">
        <f>IF(AND(X127&gt;=$F$17,X126&lt;$F$17),D127,"")</f>
        <v/>
      </c>
    </row>
    <row r="128" outlineLevel="1" ht="18" customHeight="1" s="326">
      <c r="A128" s="174">
        <f>$A$28</f>
        <v/>
      </c>
      <c r="B128" s="193">
        <f>$B$28</f>
        <v/>
      </c>
      <c r="C128" s="179">
        <f>$C$28</f>
        <v/>
      </c>
      <c r="D128" s="193" t="n">
        <v>3</v>
      </c>
      <c r="E128" s="193">
        <f>('Model Inputs'!$B$22-1)+D128</f>
        <v/>
      </c>
      <c r="F128" s="189">
        <f>IF(D128=1,'Model Inputs'!$B$25*(13-'Model Inputs'!$B$23)/12,'Model Inputs'!$B$25)</f>
        <v/>
      </c>
      <c r="G128" s="189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/>
      </c>
      <c r="H128" s="180">
        <f>IF(D128&lt;=2,0,'Model Inputs'!$B$32*SIN(2*PI()*(D128-3+'Model Inputs'!$B$34)/MAX(1,'Model Inputs'!$B$33)))</f>
        <v/>
      </c>
      <c r="I128" s="189">
        <f>G128*(1+H128)</f>
        <v/>
      </c>
      <c r="J128" s="189">
        <f>0.75*I127+0.25*I126</f>
        <v/>
      </c>
      <c r="K128" s="189">
        <f>F128+J128+IF(D128=1,'Model Inputs'!$B$26,0)</f>
        <v/>
      </c>
      <c r="L128" s="189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/>
      </c>
      <c r="M128" s="189">
        <f>MIN(L128,'Tax Assumptions'!$B$19)</f>
        <v/>
      </c>
      <c r="N128" s="189">
        <f>MAX(L128-M128-'Tax Assumptions'!$B$8,0)</f>
        <v/>
      </c>
      <c r="O128" s="189">
        <f>MAX(L128-M128-'Tax Assumptions'!$B$9,0)</f>
        <v/>
      </c>
      <c r="P128" s="189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/>
      </c>
      <c r="Q128" s="189">
        <f>L128-M128-P128</f>
        <v/>
      </c>
      <c r="R128" s="189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/>
      </c>
      <c r="S128" s="189">
        <f>Q128-R128</f>
        <v/>
      </c>
      <c r="T128" s="189">
        <f>MIN(MAX(S128,0),'Tax Assumptions'!$B$20)</f>
        <v/>
      </c>
      <c r="U128" s="189">
        <f>S128-T128</f>
        <v/>
      </c>
      <c r="V128" s="189">
        <f>MAX(V127*(1+'Model Inputs'!$B$13)+U128,0)</f>
        <v/>
      </c>
      <c r="W128" s="189">
        <f>MAX(W127*(1+'Model Inputs'!$B$13)+M128+T128,0)</f>
        <v/>
      </c>
      <c r="X128" s="189">
        <f>V128+W128</f>
        <v/>
      </c>
      <c r="Y128" s="191">
        <f>IF(AND(X128&gt;=$F$14,X127&lt;$F$14),D128,"")</f>
        <v/>
      </c>
      <c r="Z128" s="191">
        <f>IF(AND(X128&gt;=$F$15,X127&lt;$F$15),D128,"")</f>
        <v/>
      </c>
      <c r="AA128" s="191">
        <f>IF(AND(X128&gt;=$F$16,X127&lt;$F$16),D128,"")</f>
        <v/>
      </c>
      <c r="AB128" s="191">
        <f>IF(AND(X128&gt;=$F$17,X127&lt;$F$17),D128,"")</f>
        <v/>
      </c>
    </row>
    <row r="129" outlineLevel="1" ht="18" customHeight="1" s="326">
      <c r="A129" s="174">
        <f>$A$28</f>
        <v/>
      </c>
      <c r="B129" s="193">
        <f>$B$28</f>
        <v/>
      </c>
      <c r="C129" s="179">
        <f>$C$28</f>
        <v/>
      </c>
      <c r="D129" s="193" t="n">
        <v>4</v>
      </c>
      <c r="E129" s="193">
        <f>('Model Inputs'!$B$22-1)+D129</f>
        <v/>
      </c>
      <c r="F129" s="189">
        <f>IF(D129=1,'Model Inputs'!$B$25*(13-'Model Inputs'!$B$23)/12,'Model Inputs'!$B$25)</f>
        <v/>
      </c>
      <c r="G129" s="189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/>
      </c>
      <c r="H129" s="180">
        <f>IF(D129&lt;=2,0,'Model Inputs'!$B$32*SIN(2*PI()*(D129-3+'Model Inputs'!$B$34)/MAX(1,'Model Inputs'!$B$33)))</f>
        <v/>
      </c>
      <c r="I129" s="189">
        <f>G129*(1+H129)</f>
        <v/>
      </c>
      <c r="J129" s="189">
        <f>0.75*I128+0.25*I127</f>
        <v/>
      </c>
      <c r="K129" s="189">
        <f>F129+J129+IF(D129=1,'Model Inputs'!$B$26,0)</f>
        <v/>
      </c>
      <c r="L129" s="189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/>
      </c>
      <c r="M129" s="189">
        <f>MIN(L129,'Tax Assumptions'!$B$19)</f>
        <v/>
      </c>
      <c r="N129" s="189">
        <f>MAX(L129-M129-'Tax Assumptions'!$B$8,0)</f>
        <v/>
      </c>
      <c r="O129" s="189">
        <f>MAX(L129-M129-'Tax Assumptions'!$B$9,0)</f>
        <v/>
      </c>
      <c r="P129" s="189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/>
      </c>
      <c r="Q129" s="189">
        <f>L129-M129-P129</f>
        <v/>
      </c>
      <c r="R129" s="189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/>
      </c>
      <c r="S129" s="189">
        <f>Q129-R129</f>
        <v/>
      </c>
      <c r="T129" s="189">
        <f>MIN(MAX(S129,0),'Tax Assumptions'!$B$20)</f>
        <v/>
      </c>
      <c r="U129" s="189">
        <f>S129-T129</f>
        <v/>
      </c>
      <c r="V129" s="189">
        <f>MAX(V128*(1+'Model Inputs'!$B$13)+U129,0)</f>
        <v/>
      </c>
      <c r="W129" s="189">
        <f>MAX(W128*(1+'Model Inputs'!$B$13)+M129+T129,0)</f>
        <v/>
      </c>
      <c r="X129" s="189">
        <f>V129+W129</f>
        <v/>
      </c>
      <c r="Y129" s="191">
        <f>IF(AND(X129&gt;=$F$14,X128&lt;$F$14),D129,"")</f>
        <v/>
      </c>
      <c r="Z129" s="191">
        <f>IF(AND(X129&gt;=$F$15,X128&lt;$F$15),D129,"")</f>
        <v/>
      </c>
      <c r="AA129" s="191">
        <f>IF(AND(X129&gt;=$F$16,X128&lt;$F$16),D129,"")</f>
        <v/>
      </c>
      <c r="AB129" s="191">
        <f>IF(AND(X129&gt;=$F$17,X128&lt;$F$17),D129,"")</f>
        <v/>
      </c>
    </row>
    <row r="130" outlineLevel="1" ht="18" customHeight="1" s="326">
      <c r="A130" s="174">
        <f>$A$28</f>
        <v/>
      </c>
      <c r="B130" s="193">
        <f>$B$28</f>
        <v/>
      </c>
      <c r="C130" s="179">
        <f>$C$28</f>
        <v/>
      </c>
      <c r="D130" s="193" t="n">
        <v>5</v>
      </c>
      <c r="E130" s="193">
        <f>('Model Inputs'!$B$22-1)+D130</f>
        <v/>
      </c>
      <c r="F130" s="189">
        <f>IF(D130=1,'Model Inputs'!$B$25*(13-'Model Inputs'!$B$23)/12,'Model Inputs'!$B$25)</f>
        <v/>
      </c>
      <c r="G130" s="189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/>
      </c>
      <c r="H130" s="180">
        <f>IF(D130&lt;=2,0,'Model Inputs'!$B$32*SIN(2*PI()*(D130-3+'Model Inputs'!$B$34)/MAX(1,'Model Inputs'!$B$33)))</f>
        <v/>
      </c>
      <c r="I130" s="189">
        <f>G130*(1+H130)</f>
        <v/>
      </c>
      <c r="J130" s="189">
        <f>0.75*I129+0.25*I128</f>
        <v/>
      </c>
      <c r="K130" s="189">
        <f>F130+J130+IF(D130=1,'Model Inputs'!$B$26,0)</f>
        <v/>
      </c>
      <c r="L130" s="189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/>
      </c>
      <c r="M130" s="189">
        <f>MIN(L130,'Tax Assumptions'!$B$19)</f>
        <v/>
      </c>
      <c r="N130" s="189">
        <f>MAX(L130-M130-'Tax Assumptions'!$B$8,0)</f>
        <v/>
      </c>
      <c r="O130" s="189">
        <f>MAX(L130-M130-'Tax Assumptions'!$B$9,0)</f>
        <v/>
      </c>
      <c r="P130" s="189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/>
      </c>
      <c r="Q130" s="189">
        <f>L130-M130-P130</f>
        <v/>
      </c>
      <c r="R130" s="189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/>
      </c>
      <c r="S130" s="189">
        <f>Q130-R130</f>
        <v/>
      </c>
      <c r="T130" s="189">
        <f>MIN(MAX(S130,0),'Tax Assumptions'!$B$20)</f>
        <v/>
      </c>
      <c r="U130" s="189">
        <f>S130-T130</f>
        <v/>
      </c>
      <c r="V130" s="189">
        <f>MAX(V129*(1+'Model Inputs'!$B$13)+U130,0)</f>
        <v/>
      </c>
      <c r="W130" s="189">
        <f>MAX(W129*(1+'Model Inputs'!$B$13)+M130+T130,0)</f>
        <v/>
      </c>
      <c r="X130" s="189">
        <f>V130+W130</f>
        <v/>
      </c>
      <c r="Y130" s="191">
        <f>IF(AND(X130&gt;=$F$14,X129&lt;$F$14),D130,"")</f>
        <v/>
      </c>
      <c r="Z130" s="191">
        <f>IF(AND(X130&gt;=$F$15,X129&lt;$F$15),D130,"")</f>
        <v/>
      </c>
      <c r="AA130" s="191">
        <f>IF(AND(X130&gt;=$F$16,X129&lt;$F$16),D130,"")</f>
        <v/>
      </c>
      <c r="AB130" s="191">
        <f>IF(AND(X130&gt;=$F$17,X129&lt;$F$17),D130,"")</f>
        <v/>
      </c>
    </row>
    <row r="131" outlineLevel="1" ht="18" customHeight="1" s="326">
      <c r="A131" s="174">
        <f>$A$28</f>
        <v/>
      </c>
      <c r="B131" s="193">
        <f>$B$28</f>
        <v/>
      </c>
      <c r="C131" s="179">
        <f>$C$28</f>
        <v/>
      </c>
      <c r="D131" s="193" t="n">
        <v>6</v>
      </c>
      <c r="E131" s="193">
        <f>('Model Inputs'!$B$22-1)+D131</f>
        <v/>
      </c>
      <c r="F131" s="189">
        <f>IF(D131=1,'Model Inputs'!$B$25*(13-'Model Inputs'!$B$23)/12,'Model Inputs'!$B$25)</f>
        <v/>
      </c>
      <c r="G131" s="189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/>
      </c>
      <c r="H131" s="180">
        <f>IF(D131&lt;=2,0,'Model Inputs'!$B$32*SIN(2*PI()*(D131-3+'Model Inputs'!$B$34)/MAX(1,'Model Inputs'!$B$33)))</f>
        <v/>
      </c>
      <c r="I131" s="189">
        <f>G131*(1+H131)</f>
        <v/>
      </c>
      <c r="J131" s="189">
        <f>0.75*I130+0.25*I129</f>
        <v/>
      </c>
      <c r="K131" s="189">
        <f>F131+J131+IF(D131=1,'Model Inputs'!$B$26,0)</f>
        <v/>
      </c>
      <c r="L131" s="189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/>
      </c>
      <c r="M131" s="189">
        <f>MIN(L131,'Tax Assumptions'!$B$19)</f>
        <v/>
      </c>
      <c r="N131" s="189">
        <f>MAX(L131-M131-'Tax Assumptions'!$B$8,0)</f>
        <v/>
      </c>
      <c r="O131" s="189">
        <f>MAX(L131-M131-'Tax Assumptions'!$B$9,0)</f>
        <v/>
      </c>
      <c r="P131" s="189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/>
      </c>
      <c r="Q131" s="189">
        <f>L131-M131-P131</f>
        <v/>
      </c>
      <c r="R131" s="189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/>
      </c>
      <c r="S131" s="189">
        <f>Q131-R131</f>
        <v/>
      </c>
      <c r="T131" s="189">
        <f>MIN(MAX(S131,0),'Tax Assumptions'!$B$20)</f>
        <v/>
      </c>
      <c r="U131" s="189">
        <f>S131-T131</f>
        <v/>
      </c>
      <c r="V131" s="189">
        <f>MAX(V130*(1+'Model Inputs'!$B$13)+U131,0)</f>
        <v/>
      </c>
      <c r="W131" s="189">
        <f>MAX(W130*(1+'Model Inputs'!$B$13)+M131+T131,0)</f>
        <v/>
      </c>
      <c r="X131" s="189">
        <f>V131+W131</f>
        <v/>
      </c>
      <c r="Y131" s="191">
        <f>IF(AND(X131&gt;=$F$14,X130&lt;$F$14),D131,"")</f>
        <v/>
      </c>
      <c r="Z131" s="191">
        <f>IF(AND(X131&gt;=$F$15,X130&lt;$F$15),D131,"")</f>
        <v/>
      </c>
      <c r="AA131" s="191">
        <f>IF(AND(X131&gt;=$F$16,X130&lt;$F$16),D131,"")</f>
        <v/>
      </c>
      <c r="AB131" s="191">
        <f>IF(AND(X131&gt;=$F$17,X130&lt;$F$17),D131,"")</f>
        <v/>
      </c>
    </row>
    <row r="132" outlineLevel="1" ht="18" customHeight="1" s="326">
      <c r="A132" s="174">
        <f>$A$28</f>
        <v/>
      </c>
      <c r="B132" s="193">
        <f>$B$28</f>
        <v/>
      </c>
      <c r="C132" s="179">
        <f>$C$28</f>
        <v/>
      </c>
      <c r="D132" s="193" t="n">
        <v>7</v>
      </c>
      <c r="E132" s="193">
        <f>('Model Inputs'!$B$22-1)+D132</f>
        <v/>
      </c>
      <c r="F132" s="189">
        <f>IF(D132=1,'Model Inputs'!$B$25*(13-'Model Inputs'!$B$23)/12,'Model Inputs'!$B$25)</f>
        <v/>
      </c>
      <c r="G132" s="189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/>
      </c>
      <c r="H132" s="180">
        <f>IF(D132&lt;=2,0,'Model Inputs'!$B$32*SIN(2*PI()*(D132-3+'Model Inputs'!$B$34)/MAX(1,'Model Inputs'!$B$33)))</f>
        <v/>
      </c>
      <c r="I132" s="189">
        <f>G132*(1+H132)</f>
        <v/>
      </c>
      <c r="J132" s="189">
        <f>0.75*I131+0.25*I130</f>
        <v/>
      </c>
      <c r="K132" s="189">
        <f>F132+J132+IF(D132=1,'Model Inputs'!$B$26,0)</f>
        <v/>
      </c>
      <c r="L132" s="189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/>
      </c>
      <c r="M132" s="189">
        <f>MIN(L132,'Tax Assumptions'!$B$19)</f>
        <v/>
      </c>
      <c r="N132" s="189">
        <f>MAX(L132-M132-'Tax Assumptions'!$B$8,0)</f>
        <v/>
      </c>
      <c r="O132" s="189">
        <f>MAX(L132-M132-'Tax Assumptions'!$B$9,0)</f>
        <v/>
      </c>
      <c r="P132" s="189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/>
      </c>
      <c r="Q132" s="189">
        <f>L132-M132-P132</f>
        <v/>
      </c>
      <c r="R132" s="189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/>
      </c>
      <c r="S132" s="189">
        <f>Q132-R132</f>
        <v/>
      </c>
      <c r="T132" s="189">
        <f>MIN(MAX(S132,0),'Tax Assumptions'!$B$20)</f>
        <v/>
      </c>
      <c r="U132" s="189">
        <f>S132-T132</f>
        <v/>
      </c>
      <c r="V132" s="189">
        <f>MAX(V131*(1+'Model Inputs'!$B$13)+U132,0)</f>
        <v/>
      </c>
      <c r="W132" s="189">
        <f>MAX(W131*(1+'Model Inputs'!$B$13)+M132+T132,0)</f>
        <v/>
      </c>
      <c r="X132" s="189">
        <f>V132+W132</f>
        <v/>
      </c>
      <c r="Y132" s="191">
        <f>IF(AND(X132&gt;=$F$14,X131&lt;$F$14),D132,"")</f>
        <v/>
      </c>
      <c r="Z132" s="191">
        <f>IF(AND(X132&gt;=$F$15,X131&lt;$F$15),D132,"")</f>
        <v/>
      </c>
      <c r="AA132" s="191">
        <f>IF(AND(X132&gt;=$F$16,X131&lt;$F$16),D132,"")</f>
        <v/>
      </c>
      <c r="AB132" s="191">
        <f>IF(AND(X132&gt;=$F$17,X131&lt;$F$17),D132,"")</f>
        <v/>
      </c>
    </row>
    <row r="133" outlineLevel="1" ht="18" customHeight="1" s="326">
      <c r="A133" s="174">
        <f>$A$28</f>
        <v/>
      </c>
      <c r="B133" s="193">
        <f>$B$28</f>
        <v/>
      </c>
      <c r="C133" s="179">
        <f>$C$28</f>
        <v/>
      </c>
      <c r="D133" s="193" t="n">
        <v>8</v>
      </c>
      <c r="E133" s="193">
        <f>('Model Inputs'!$B$22-1)+D133</f>
        <v/>
      </c>
      <c r="F133" s="189">
        <f>IF(D133=1,'Model Inputs'!$B$25*(13-'Model Inputs'!$B$23)/12,'Model Inputs'!$B$25)</f>
        <v/>
      </c>
      <c r="G133" s="189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/>
      </c>
      <c r="H133" s="180">
        <f>IF(D133&lt;=2,0,'Model Inputs'!$B$32*SIN(2*PI()*(D133-3+'Model Inputs'!$B$34)/MAX(1,'Model Inputs'!$B$33)))</f>
        <v/>
      </c>
      <c r="I133" s="189">
        <f>G133*(1+H133)</f>
        <v/>
      </c>
      <c r="J133" s="189">
        <f>0.75*I132+0.25*I131</f>
        <v/>
      </c>
      <c r="K133" s="189">
        <f>F133+J133+IF(D133=1,'Model Inputs'!$B$26,0)</f>
        <v/>
      </c>
      <c r="L133" s="189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/>
      </c>
      <c r="M133" s="189">
        <f>MIN(L133,'Tax Assumptions'!$B$19)</f>
        <v/>
      </c>
      <c r="N133" s="189">
        <f>MAX(L133-M133-'Tax Assumptions'!$B$8,0)</f>
        <v/>
      </c>
      <c r="O133" s="189">
        <f>MAX(L133-M133-'Tax Assumptions'!$B$9,0)</f>
        <v/>
      </c>
      <c r="P133" s="189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/>
      </c>
      <c r="Q133" s="189">
        <f>L133-M133-P133</f>
        <v/>
      </c>
      <c r="R133" s="189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/>
      </c>
      <c r="S133" s="189">
        <f>Q133-R133</f>
        <v/>
      </c>
      <c r="T133" s="189">
        <f>MIN(MAX(S133,0),'Tax Assumptions'!$B$20)</f>
        <v/>
      </c>
      <c r="U133" s="189">
        <f>S133-T133</f>
        <v/>
      </c>
      <c r="V133" s="189">
        <f>MAX(V132*(1+'Model Inputs'!$B$13)+U133,0)</f>
        <v/>
      </c>
      <c r="W133" s="189">
        <f>MAX(W132*(1+'Model Inputs'!$B$13)+M133+T133,0)</f>
        <v/>
      </c>
      <c r="X133" s="189">
        <f>V133+W133</f>
        <v/>
      </c>
      <c r="Y133" s="191">
        <f>IF(AND(X133&gt;=$F$14,X132&lt;$F$14),D133,"")</f>
        <v/>
      </c>
      <c r="Z133" s="191">
        <f>IF(AND(X133&gt;=$F$15,X132&lt;$F$15),D133,"")</f>
        <v/>
      </c>
      <c r="AA133" s="191">
        <f>IF(AND(X133&gt;=$F$16,X132&lt;$F$16),D133,"")</f>
        <v/>
      </c>
      <c r="AB133" s="191">
        <f>IF(AND(X133&gt;=$F$17,X132&lt;$F$17),D133,"")</f>
        <v/>
      </c>
    </row>
    <row r="134" outlineLevel="1" ht="18" customHeight="1" s="326">
      <c r="A134" s="174">
        <f>$A$28</f>
        <v/>
      </c>
      <c r="B134" s="193">
        <f>$B$28</f>
        <v/>
      </c>
      <c r="C134" s="179">
        <f>$C$28</f>
        <v/>
      </c>
      <c r="D134" s="193" t="n">
        <v>9</v>
      </c>
      <c r="E134" s="193">
        <f>('Model Inputs'!$B$22-1)+D134</f>
        <v/>
      </c>
      <c r="F134" s="189">
        <f>IF(D134=1,'Model Inputs'!$B$25*(13-'Model Inputs'!$B$23)/12,'Model Inputs'!$B$25)</f>
        <v/>
      </c>
      <c r="G134" s="189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/>
      </c>
      <c r="H134" s="180">
        <f>IF(D134&lt;=2,0,'Model Inputs'!$B$32*SIN(2*PI()*(D134-3+'Model Inputs'!$B$34)/MAX(1,'Model Inputs'!$B$33)))</f>
        <v/>
      </c>
      <c r="I134" s="189">
        <f>G134*(1+H134)</f>
        <v/>
      </c>
      <c r="J134" s="189">
        <f>0.75*I133+0.25*I132</f>
        <v/>
      </c>
      <c r="K134" s="189">
        <f>F134+J134+IF(D134=1,'Model Inputs'!$B$26,0)</f>
        <v/>
      </c>
      <c r="L134" s="189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/>
      </c>
      <c r="M134" s="189">
        <f>MIN(L134,'Tax Assumptions'!$B$19)</f>
        <v/>
      </c>
      <c r="N134" s="189">
        <f>MAX(L134-M134-'Tax Assumptions'!$B$8,0)</f>
        <v/>
      </c>
      <c r="O134" s="189">
        <f>MAX(L134-M134-'Tax Assumptions'!$B$9,0)</f>
        <v/>
      </c>
      <c r="P134" s="189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/>
      </c>
      <c r="Q134" s="189">
        <f>L134-M134-P134</f>
        <v/>
      </c>
      <c r="R134" s="189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/>
      </c>
      <c r="S134" s="189">
        <f>Q134-R134</f>
        <v/>
      </c>
      <c r="T134" s="189">
        <f>MIN(MAX(S134,0),'Tax Assumptions'!$B$20)</f>
        <v/>
      </c>
      <c r="U134" s="189">
        <f>S134-T134</f>
        <v/>
      </c>
      <c r="V134" s="189">
        <f>MAX(V133*(1+'Model Inputs'!$B$13)+U134,0)</f>
        <v/>
      </c>
      <c r="W134" s="189">
        <f>MAX(W133*(1+'Model Inputs'!$B$13)+M134+T134,0)</f>
        <v/>
      </c>
      <c r="X134" s="189">
        <f>V134+W134</f>
        <v/>
      </c>
      <c r="Y134" s="191">
        <f>IF(AND(X134&gt;=$F$14,X133&lt;$F$14),D134,"")</f>
        <v/>
      </c>
      <c r="Z134" s="191">
        <f>IF(AND(X134&gt;=$F$15,X133&lt;$F$15),D134,"")</f>
        <v/>
      </c>
      <c r="AA134" s="191">
        <f>IF(AND(X134&gt;=$F$16,X133&lt;$F$16),D134,"")</f>
        <v/>
      </c>
      <c r="AB134" s="191">
        <f>IF(AND(X134&gt;=$F$17,X133&lt;$F$17),D134,"")</f>
        <v/>
      </c>
    </row>
    <row r="135" outlineLevel="1" ht="18" customHeight="1" s="326">
      <c r="A135" s="174">
        <f>$A$28</f>
        <v/>
      </c>
      <c r="B135" s="193">
        <f>$B$28</f>
        <v/>
      </c>
      <c r="C135" s="179">
        <f>$C$28</f>
        <v/>
      </c>
      <c r="D135" s="193" t="n">
        <v>10</v>
      </c>
      <c r="E135" s="193">
        <f>('Model Inputs'!$B$22-1)+D135</f>
        <v/>
      </c>
      <c r="F135" s="189">
        <f>IF(D135=1,'Model Inputs'!$B$25*(13-'Model Inputs'!$B$23)/12,'Model Inputs'!$B$25)</f>
        <v/>
      </c>
      <c r="G135" s="189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/>
      </c>
      <c r="H135" s="180">
        <f>IF(D135&lt;=2,0,'Model Inputs'!$B$32*SIN(2*PI()*(D135-3+'Model Inputs'!$B$34)/MAX(1,'Model Inputs'!$B$33)))</f>
        <v/>
      </c>
      <c r="I135" s="189">
        <f>G135*(1+H135)</f>
        <v/>
      </c>
      <c r="J135" s="189">
        <f>0.75*I134+0.25*I133</f>
        <v/>
      </c>
      <c r="K135" s="189">
        <f>F135+J135+IF(D135=1,'Model Inputs'!$B$26,0)</f>
        <v/>
      </c>
      <c r="L135" s="189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/>
      </c>
      <c r="M135" s="189">
        <f>MIN(L135,'Tax Assumptions'!$B$19)</f>
        <v/>
      </c>
      <c r="N135" s="189">
        <f>MAX(L135-M135-'Tax Assumptions'!$B$8,0)</f>
        <v/>
      </c>
      <c r="O135" s="189">
        <f>MAX(L135-M135-'Tax Assumptions'!$B$9,0)</f>
        <v/>
      </c>
      <c r="P135" s="189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/>
      </c>
      <c r="Q135" s="189">
        <f>L135-M135-P135</f>
        <v/>
      </c>
      <c r="R135" s="189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/>
      </c>
      <c r="S135" s="189">
        <f>Q135-R135</f>
        <v/>
      </c>
      <c r="T135" s="189">
        <f>MIN(MAX(S135,0),'Tax Assumptions'!$B$20)</f>
        <v/>
      </c>
      <c r="U135" s="189">
        <f>S135-T135</f>
        <v/>
      </c>
      <c r="V135" s="189">
        <f>MAX(V134*(1+'Model Inputs'!$B$13)+U135,0)</f>
        <v/>
      </c>
      <c r="W135" s="189">
        <f>MAX(W134*(1+'Model Inputs'!$B$13)+M135+T135,0)</f>
        <v/>
      </c>
      <c r="X135" s="189">
        <f>V135+W135</f>
        <v/>
      </c>
      <c r="Y135" s="191">
        <f>IF(AND(X135&gt;=$F$14,X134&lt;$F$14),D135,"")</f>
        <v/>
      </c>
      <c r="Z135" s="191">
        <f>IF(AND(X135&gt;=$F$15,X134&lt;$F$15),D135,"")</f>
        <v/>
      </c>
      <c r="AA135" s="191">
        <f>IF(AND(X135&gt;=$F$16,X134&lt;$F$16),D135,"")</f>
        <v/>
      </c>
      <c r="AB135" s="191">
        <f>IF(AND(X135&gt;=$F$17,X134&lt;$F$17),D135,"")</f>
        <v/>
      </c>
    </row>
    <row r="136" outlineLevel="1" ht="18" customHeight="1" s="326">
      <c r="A136" s="174">
        <f>$A$28</f>
        <v/>
      </c>
      <c r="B136" s="193">
        <f>$B$28</f>
        <v/>
      </c>
      <c r="C136" s="179">
        <f>$C$28</f>
        <v/>
      </c>
      <c r="D136" s="193" t="n">
        <v>11</v>
      </c>
      <c r="E136" s="193">
        <f>('Model Inputs'!$B$22-1)+D136</f>
        <v/>
      </c>
      <c r="F136" s="189">
        <f>IF(D136=1,'Model Inputs'!$B$25*(13-'Model Inputs'!$B$23)/12,'Model Inputs'!$B$25)</f>
        <v/>
      </c>
      <c r="G136" s="189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/>
      </c>
      <c r="H136" s="180">
        <f>IF(D136&lt;=2,0,'Model Inputs'!$B$32*SIN(2*PI()*(D136-3+'Model Inputs'!$B$34)/MAX(1,'Model Inputs'!$B$33)))</f>
        <v/>
      </c>
      <c r="I136" s="189">
        <f>G136*(1+H136)</f>
        <v/>
      </c>
      <c r="J136" s="189">
        <f>0.75*I135+0.25*I134</f>
        <v/>
      </c>
      <c r="K136" s="189">
        <f>F136+J136+IF(D136=1,'Model Inputs'!$B$26,0)</f>
        <v/>
      </c>
      <c r="L136" s="189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/>
      </c>
      <c r="M136" s="189">
        <f>MIN(L136,'Tax Assumptions'!$B$19)</f>
        <v/>
      </c>
      <c r="N136" s="189">
        <f>MAX(L136-M136-'Tax Assumptions'!$B$8,0)</f>
        <v/>
      </c>
      <c r="O136" s="189">
        <f>MAX(L136-M136-'Tax Assumptions'!$B$9,0)</f>
        <v/>
      </c>
      <c r="P136" s="189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/>
      </c>
      <c r="Q136" s="189">
        <f>L136-M136-P136</f>
        <v/>
      </c>
      <c r="R136" s="189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/>
      </c>
      <c r="S136" s="189">
        <f>Q136-R136</f>
        <v/>
      </c>
      <c r="T136" s="189">
        <f>MIN(MAX(S136,0),'Tax Assumptions'!$B$20)</f>
        <v/>
      </c>
      <c r="U136" s="189">
        <f>S136-T136</f>
        <v/>
      </c>
      <c r="V136" s="189">
        <f>MAX(V135*(1+'Model Inputs'!$B$13)+U136,0)</f>
        <v/>
      </c>
      <c r="W136" s="189">
        <f>MAX(W135*(1+'Model Inputs'!$B$13)+M136+T136,0)</f>
        <v/>
      </c>
      <c r="X136" s="189">
        <f>V136+W136</f>
        <v/>
      </c>
      <c r="Y136" s="191">
        <f>IF(AND(X136&gt;=$F$14,X135&lt;$F$14),D136,"")</f>
        <v/>
      </c>
      <c r="Z136" s="191">
        <f>IF(AND(X136&gt;=$F$15,X135&lt;$F$15),D136,"")</f>
        <v/>
      </c>
      <c r="AA136" s="191">
        <f>IF(AND(X136&gt;=$F$16,X135&lt;$F$16),D136,"")</f>
        <v/>
      </c>
      <c r="AB136" s="191">
        <f>IF(AND(X136&gt;=$F$17,X135&lt;$F$17),D136,"")</f>
        <v/>
      </c>
    </row>
    <row r="137" outlineLevel="1" ht="18" customHeight="1" s="326">
      <c r="A137" s="174">
        <f>$A$28</f>
        <v/>
      </c>
      <c r="B137" s="193">
        <f>$B$28</f>
        <v/>
      </c>
      <c r="C137" s="179">
        <f>$C$28</f>
        <v/>
      </c>
      <c r="D137" s="193" t="n">
        <v>12</v>
      </c>
      <c r="E137" s="193">
        <f>('Model Inputs'!$B$22-1)+D137</f>
        <v/>
      </c>
      <c r="F137" s="189">
        <f>IF(D137=1,'Model Inputs'!$B$25*(13-'Model Inputs'!$B$23)/12,'Model Inputs'!$B$25)</f>
        <v/>
      </c>
      <c r="G137" s="189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/>
      </c>
      <c r="H137" s="180">
        <f>IF(D137&lt;=2,0,'Model Inputs'!$B$32*SIN(2*PI()*(D137-3+'Model Inputs'!$B$34)/MAX(1,'Model Inputs'!$B$33)))</f>
        <v/>
      </c>
      <c r="I137" s="189">
        <f>G137*(1+H137)</f>
        <v/>
      </c>
      <c r="J137" s="189">
        <f>0.75*I136+0.25*I135</f>
        <v/>
      </c>
      <c r="K137" s="189">
        <f>F137+J137+IF(D137=1,'Model Inputs'!$B$26,0)</f>
        <v/>
      </c>
      <c r="L137" s="189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/>
      </c>
      <c r="M137" s="189">
        <f>MIN(L137,'Tax Assumptions'!$B$19)</f>
        <v/>
      </c>
      <c r="N137" s="189">
        <f>MAX(L137-M137-'Tax Assumptions'!$B$8,0)</f>
        <v/>
      </c>
      <c r="O137" s="189">
        <f>MAX(L137-M137-'Tax Assumptions'!$B$9,0)</f>
        <v/>
      </c>
      <c r="P137" s="189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/>
      </c>
      <c r="Q137" s="189">
        <f>L137-M137-P137</f>
        <v/>
      </c>
      <c r="R137" s="189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/>
      </c>
      <c r="S137" s="189">
        <f>Q137-R137</f>
        <v/>
      </c>
      <c r="T137" s="189">
        <f>MIN(MAX(S137,0),'Tax Assumptions'!$B$20)</f>
        <v/>
      </c>
      <c r="U137" s="189">
        <f>S137-T137</f>
        <v/>
      </c>
      <c r="V137" s="189">
        <f>MAX(V136*(1+'Model Inputs'!$B$13)+U137,0)</f>
        <v/>
      </c>
      <c r="W137" s="189">
        <f>MAX(W136*(1+'Model Inputs'!$B$13)+M137+T137,0)</f>
        <v/>
      </c>
      <c r="X137" s="189">
        <f>V137+W137</f>
        <v/>
      </c>
      <c r="Y137" s="191">
        <f>IF(AND(X137&gt;=$F$14,X136&lt;$F$14),D137,"")</f>
        <v/>
      </c>
      <c r="Z137" s="191">
        <f>IF(AND(X137&gt;=$F$15,X136&lt;$F$15),D137,"")</f>
        <v/>
      </c>
      <c r="AA137" s="191">
        <f>IF(AND(X137&gt;=$F$16,X136&lt;$F$16),D137,"")</f>
        <v/>
      </c>
      <c r="AB137" s="191">
        <f>IF(AND(X137&gt;=$F$17,X136&lt;$F$17),D137,"")</f>
        <v/>
      </c>
    </row>
    <row r="138" outlineLevel="1" ht="18" customHeight="1" s="326">
      <c r="A138" s="174">
        <f>$A$28</f>
        <v/>
      </c>
      <c r="B138" s="193">
        <f>$B$28</f>
        <v/>
      </c>
      <c r="C138" s="179">
        <f>$C$28</f>
        <v/>
      </c>
      <c r="D138" s="193" t="n">
        <v>13</v>
      </c>
      <c r="E138" s="193">
        <f>('Model Inputs'!$B$22-1)+D138</f>
        <v/>
      </c>
      <c r="F138" s="189">
        <f>IF(D138=1,'Model Inputs'!$B$25*(13-'Model Inputs'!$B$23)/12,'Model Inputs'!$B$25)</f>
        <v/>
      </c>
      <c r="G138" s="189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/>
      </c>
      <c r="H138" s="180">
        <f>IF(D138&lt;=2,0,'Model Inputs'!$B$32*SIN(2*PI()*(D138-3+'Model Inputs'!$B$34)/MAX(1,'Model Inputs'!$B$33)))</f>
        <v/>
      </c>
      <c r="I138" s="189">
        <f>G138*(1+H138)</f>
        <v/>
      </c>
      <c r="J138" s="189">
        <f>0.75*I137+0.25*I136</f>
        <v/>
      </c>
      <c r="K138" s="189">
        <f>F138+J138+IF(D138=1,'Model Inputs'!$B$26,0)</f>
        <v/>
      </c>
      <c r="L138" s="189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/>
      </c>
      <c r="M138" s="189">
        <f>MIN(L138,'Tax Assumptions'!$B$19)</f>
        <v/>
      </c>
      <c r="N138" s="189">
        <f>MAX(L138-M138-'Tax Assumptions'!$B$8,0)</f>
        <v/>
      </c>
      <c r="O138" s="189">
        <f>MAX(L138-M138-'Tax Assumptions'!$B$9,0)</f>
        <v/>
      </c>
      <c r="P138" s="189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/>
      </c>
      <c r="Q138" s="189">
        <f>L138-M138-P138</f>
        <v/>
      </c>
      <c r="R138" s="189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/>
      </c>
      <c r="S138" s="189">
        <f>Q138-R138</f>
        <v/>
      </c>
      <c r="T138" s="189">
        <f>MIN(MAX(S138,0),'Tax Assumptions'!$B$20)</f>
        <v/>
      </c>
      <c r="U138" s="189">
        <f>S138-T138</f>
        <v/>
      </c>
      <c r="V138" s="189">
        <f>MAX(V137*(1+'Model Inputs'!$B$13)+U138,0)</f>
        <v/>
      </c>
      <c r="W138" s="189">
        <f>MAX(W137*(1+'Model Inputs'!$B$13)+M138+T138,0)</f>
        <v/>
      </c>
      <c r="X138" s="189">
        <f>V138+W138</f>
        <v/>
      </c>
      <c r="Y138" s="191">
        <f>IF(AND(X138&gt;=$F$14,X137&lt;$F$14),D138,"")</f>
        <v/>
      </c>
      <c r="Z138" s="191">
        <f>IF(AND(X138&gt;=$F$15,X137&lt;$F$15),D138,"")</f>
        <v/>
      </c>
      <c r="AA138" s="191">
        <f>IF(AND(X138&gt;=$F$16,X137&lt;$F$16),D138,"")</f>
        <v/>
      </c>
      <c r="AB138" s="191">
        <f>IF(AND(X138&gt;=$F$17,X137&lt;$F$17),D138,"")</f>
        <v/>
      </c>
    </row>
    <row r="139" outlineLevel="1" ht="18" customHeight="1" s="326">
      <c r="A139" s="174">
        <f>$A$28</f>
        <v/>
      </c>
      <c r="B139" s="193">
        <f>$B$28</f>
        <v/>
      </c>
      <c r="C139" s="179">
        <f>$C$28</f>
        <v/>
      </c>
      <c r="D139" s="193" t="n">
        <v>14</v>
      </c>
      <c r="E139" s="193">
        <f>('Model Inputs'!$B$22-1)+D139</f>
        <v/>
      </c>
      <c r="F139" s="189">
        <f>IF(D139=1,'Model Inputs'!$B$25*(13-'Model Inputs'!$B$23)/12,'Model Inputs'!$B$25)</f>
        <v/>
      </c>
      <c r="G139" s="189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/>
      </c>
      <c r="H139" s="180">
        <f>IF(D139&lt;=2,0,'Model Inputs'!$B$32*SIN(2*PI()*(D139-3+'Model Inputs'!$B$34)/MAX(1,'Model Inputs'!$B$33)))</f>
        <v/>
      </c>
      <c r="I139" s="189">
        <f>G139*(1+H139)</f>
        <v/>
      </c>
      <c r="J139" s="189">
        <f>0.75*I138+0.25*I137</f>
        <v/>
      </c>
      <c r="K139" s="189">
        <f>F139+J139+IF(D139=1,'Model Inputs'!$B$26,0)</f>
        <v/>
      </c>
      <c r="L139" s="189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/>
      </c>
      <c r="M139" s="189">
        <f>MIN(L139,'Tax Assumptions'!$B$19)</f>
        <v/>
      </c>
      <c r="N139" s="189">
        <f>MAX(L139-M139-'Tax Assumptions'!$B$8,0)</f>
        <v/>
      </c>
      <c r="O139" s="189">
        <f>MAX(L139-M139-'Tax Assumptions'!$B$9,0)</f>
        <v/>
      </c>
      <c r="P139" s="189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/>
      </c>
      <c r="Q139" s="189">
        <f>L139-M139-P139</f>
        <v/>
      </c>
      <c r="R139" s="189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/>
      </c>
      <c r="S139" s="189">
        <f>Q139-R139</f>
        <v/>
      </c>
      <c r="T139" s="189">
        <f>MIN(MAX(S139,0),'Tax Assumptions'!$B$20)</f>
        <v/>
      </c>
      <c r="U139" s="189">
        <f>S139-T139</f>
        <v/>
      </c>
      <c r="V139" s="189">
        <f>MAX(V138*(1+'Model Inputs'!$B$13)+U139,0)</f>
        <v/>
      </c>
      <c r="W139" s="189">
        <f>MAX(W138*(1+'Model Inputs'!$B$13)+M139+T139,0)</f>
        <v/>
      </c>
      <c r="X139" s="189">
        <f>V139+W139</f>
        <v/>
      </c>
      <c r="Y139" s="191">
        <f>IF(AND(X139&gt;=$F$14,X138&lt;$F$14),D139,"")</f>
        <v/>
      </c>
      <c r="Z139" s="191">
        <f>IF(AND(X139&gt;=$F$15,X138&lt;$F$15),D139,"")</f>
        <v/>
      </c>
      <c r="AA139" s="191">
        <f>IF(AND(X139&gt;=$F$16,X138&lt;$F$16),D139,"")</f>
        <v/>
      </c>
      <c r="AB139" s="191">
        <f>IF(AND(X139&gt;=$F$17,X138&lt;$F$17),D139,"")</f>
        <v/>
      </c>
    </row>
    <row r="140" outlineLevel="1" ht="18" customHeight="1" s="326">
      <c r="A140" s="174">
        <f>$A$28</f>
        <v/>
      </c>
      <c r="B140" s="193">
        <f>$B$28</f>
        <v/>
      </c>
      <c r="C140" s="179">
        <f>$C$28</f>
        <v/>
      </c>
      <c r="D140" s="193" t="n">
        <v>15</v>
      </c>
      <c r="E140" s="193">
        <f>('Model Inputs'!$B$22-1)+D140</f>
        <v/>
      </c>
      <c r="F140" s="189">
        <f>IF(D140=1,'Model Inputs'!$B$25*(13-'Model Inputs'!$B$23)/12,'Model Inputs'!$B$25)</f>
        <v/>
      </c>
      <c r="G140" s="189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/>
      </c>
      <c r="H140" s="180">
        <f>IF(D140&lt;=2,0,'Model Inputs'!$B$32*SIN(2*PI()*(D140-3+'Model Inputs'!$B$34)/MAX(1,'Model Inputs'!$B$33)))</f>
        <v/>
      </c>
      <c r="I140" s="189">
        <f>G140*(1+H140)</f>
        <v/>
      </c>
      <c r="J140" s="189">
        <f>0.75*I139+0.25*I138</f>
        <v/>
      </c>
      <c r="K140" s="189">
        <f>F140+J140+IF(D140=1,'Model Inputs'!$B$26,0)</f>
        <v/>
      </c>
      <c r="L140" s="189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/>
      </c>
      <c r="M140" s="189">
        <f>MIN(L140,'Tax Assumptions'!$B$19)</f>
        <v/>
      </c>
      <c r="N140" s="189">
        <f>MAX(L140-M140-'Tax Assumptions'!$B$8,0)</f>
        <v/>
      </c>
      <c r="O140" s="189">
        <f>MAX(L140-M140-'Tax Assumptions'!$B$9,0)</f>
        <v/>
      </c>
      <c r="P140" s="189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/>
      </c>
      <c r="Q140" s="189">
        <f>L140-M140-P140</f>
        <v/>
      </c>
      <c r="R140" s="189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/>
      </c>
      <c r="S140" s="189">
        <f>Q140-R140</f>
        <v/>
      </c>
      <c r="T140" s="189">
        <f>MIN(MAX(S140,0),'Tax Assumptions'!$B$20)</f>
        <v/>
      </c>
      <c r="U140" s="189">
        <f>S140-T140</f>
        <v/>
      </c>
      <c r="V140" s="189">
        <f>MAX(V139*(1+'Model Inputs'!$B$13)+U140,0)</f>
        <v/>
      </c>
      <c r="W140" s="189">
        <f>MAX(W139*(1+'Model Inputs'!$B$13)+M140+T140,0)</f>
        <v/>
      </c>
      <c r="X140" s="189">
        <f>V140+W140</f>
        <v/>
      </c>
      <c r="Y140" s="191">
        <f>IF(AND(X140&gt;=$F$14,X139&lt;$F$14),D140,"")</f>
        <v/>
      </c>
      <c r="Z140" s="191">
        <f>IF(AND(X140&gt;=$F$15,X139&lt;$F$15),D140,"")</f>
        <v/>
      </c>
      <c r="AA140" s="191">
        <f>IF(AND(X140&gt;=$F$16,X139&lt;$F$16),D140,"")</f>
        <v/>
      </c>
      <c r="AB140" s="191">
        <f>IF(AND(X140&gt;=$F$17,X139&lt;$F$17),D140,"")</f>
        <v/>
      </c>
    </row>
    <row r="141" outlineLevel="1" ht="18" customHeight="1" s="326">
      <c r="A141" s="174">
        <f>$A$29</f>
        <v/>
      </c>
      <c r="B141" s="193">
        <f>$B$29</f>
        <v/>
      </c>
      <c r="C141" s="179">
        <f>$C$29</f>
        <v/>
      </c>
      <c r="D141" s="193" t="n">
        <v>1</v>
      </c>
      <c r="E141" s="193">
        <f>('Model Inputs'!$B$22-1)+D141</f>
        <v/>
      </c>
      <c r="F141" s="189">
        <f>IF(D141=1,'Model Inputs'!$B$25*(13-'Model Inputs'!$B$23)/12,'Model Inputs'!$B$25)</f>
        <v/>
      </c>
      <c r="G141" s="189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/>
      </c>
      <c r="H141" s="180">
        <f>IF(D141&lt;=2,0,'Model Inputs'!$B$32*SIN(2*PI()*(D141-3+'Model Inputs'!$B$34)/MAX(1,'Model Inputs'!$B$33)))</f>
        <v/>
      </c>
      <c r="I141" s="189">
        <f>G141*(1+H141)</f>
        <v/>
      </c>
      <c r="J141" s="189">
        <f>0</f>
        <v/>
      </c>
      <c r="K141" s="189">
        <f>F141+J141+IF(D141=1,'Model Inputs'!$B$26,0)</f>
        <v/>
      </c>
      <c r="L141" s="189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/>
      </c>
      <c r="M141" s="189">
        <f>MIN(L141,'Tax Assumptions'!$B$19)</f>
        <v/>
      </c>
      <c r="N141" s="189">
        <f>MAX(L141-M141-'Tax Assumptions'!$B$8,0)</f>
        <v/>
      </c>
      <c r="O141" s="189">
        <f>MAX(L141-M141-'Tax Assumptions'!$B$9,0)</f>
        <v/>
      </c>
      <c r="P141" s="189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/>
      </c>
      <c r="Q141" s="189">
        <f>L141-M141-P141</f>
        <v/>
      </c>
      <c r="R141" s="189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/>
      </c>
      <c r="S141" s="189">
        <f>Q141-R141</f>
        <v/>
      </c>
      <c r="T141" s="189">
        <f>MIN(MAX(S141,0),'Tax Assumptions'!$B$20)</f>
        <v/>
      </c>
      <c r="U141" s="189">
        <f>S141-T141</f>
        <v/>
      </c>
      <c r="V141" s="189">
        <f>MAX('Model Inputs'!$B$7*(1+'Model Inputs'!$B$13)+U141,0)</f>
        <v/>
      </c>
      <c r="W141" s="189">
        <f>MAX(('Model Inputs'!$B$8+'Model Inputs'!$B$9+'Model Inputs'!$B$10)*(1+'Model Inputs'!$B$13)+M141+T141,0)</f>
        <v/>
      </c>
      <c r="X141" s="189">
        <f>V141+W141</f>
        <v/>
      </c>
      <c r="Y141" s="191">
        <f>IF(AND(X141&gt;=$F$14,0&lt;$F$14),D141,"")</f>
        <v/>
      </c>
      <c r="Z141" s="191">
        <f>IF(AND(X141&gt;=$F$15,0&lt;$F$15),D141,"")</f>
        <v/>
      </c>
      <c r="AA141" s="191">
        <f>IF(AND(X141&gt;=$F$16,0&lt;$F$16),D141,"")</f>
        <v/>
      </c>
      <c r="AB141" s="191">
        <f>IF(AND(X141&gt;=$F$17,0&lt;$F$17),D141,"")</f>
        <v/>
      </c>
    </row>
    <row r="142" outlineLevel="1" ht="18" customHeight="1" s="326">
      <c r="A142" s="174">
        <f>$A$29</f>
        <v/>
      </c>
      <c r="B142" s="193">
        <f>$B$29</f>
        <v/>
      </c>
      <c r="C142" s="179">
        <f>$C$29</f>
        <v/>
      </c>
      <c r="D142" s="193" t="n">
        <v>2</v>
      </c>
      <c r="E142" s="193">
        <f>('Model Inputs'!$B$22-1)+D142</f>
        <v/>
      </c>
      <c r="F142" s="189">
        <f>IF(D142=1,'Model Inputs'!$B$25*(13-'Model Inputs'!$B$23)/12,'Model Inputs'!$B$25)</f>
        <v/>
      </c>
      <c r="G142" s="189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/>
      </c>
      <c r="H142" s="180">
        <f>IF(D142&lt;=2,0,'Model Inputs'!$B$32*SIN(2*PI()*(D142-3+'Model Inputs'!$B$34)/MAX(1,'Model Inputs'!$B$33)))</f>
        <v/>
      </c>
      <c r="I142" s="189">
        <f>G142*(1+H142)</f>
        <v/>
      </c>
      <c r="J142" s="189">
        <f>0.75*I141</f>
        <v/>
      </c>
      <c r="K142" s="189">
        <f>F142+J142+IF(D142=1,'Model Inputs'!$B$26,0)</f>
        <v/>
      </c>
      <c r="L142" s="189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/>
      </c>
      <c r="M142" s="189">
        <f>MIN(L142,'Tax Assumptions'!$B$19)</f>
        <v/>
      </c>
      <c r="N142" s="189">
        <f>MAX(L142-M142-'Tax Assumptions'!$B$8,0)</f>
        <v/>
      </c>
      <c r="O142" s="189">
        <f>MAX(L142-M142-'Tax Assumptions'!$B$9,0)</f>
        <v/>
      </c>
      <c r="P142" s="189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/>
      </c>
      <c r="Q142" s="189">
        <f>L142-M142-P142</f>
        <v/>
      </c>
      <c r="R142" s="189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/>
      </c>
      <c r="S142" s="189">
        <f>Q142-R142</f>
        <v/>
      </c>
      <c r="T142" s="189">
        <f>MIN(MAX(S142,0),'Tax Assumptions'!$B$20)</f>
        <v/>
      </c>
      <c r="U142" s="189">
        <f>S142-T142</f>
        <v/>
      </c>
      <c r="V142" s="189">
        <f>MAX(V141*(1+'Model Inputs'!$B$13)+U142,0)</f>
        <v/>
      </c>
      <c r="W142" s="189">
        <f>MAX(W141*(1+'Model Inputs'!$B$13)+M142+T142,0)</f>
        <v/>
      </c>
      <c r="X142" s="189">
        <f>V142+W142</f>
        <v/>
      </c>
      <c r="Y142" s="191">
        <f>IF(AND(X142&gt;=$F$14,X141&lt;$F$14),D142,"")</f>
        <v/>
      </c>
      <c r="Z142" s="191">
        <f>IF(AND(X142&gt;=$F$15,X141&lt;$F$15),D142,"")</f>
        <v/>
      </c>
      <c r="AA142" s="191">
        <f>IF(AND(X142&gt;=$F$16,X141&lt;$F$16),D142,"")</f>
        <v/>
      </c>
      <c r="AB142" s="191">
        <f>IF(AND(X142&gt;=$F$17,X141&lt;$F$17),D142,"")</f>
        <v/>
      </c>
    </row>
    <row r="143" outlineLevel="1" ht="18" customHeight="1" s="326">
      <c r="A143" s="174">
        <f>$A$29</f>
        <v/>
      </c>
      <c r="B143" s="193">
        <f>$B$29</f>
        <v/>
      </c>
      <c r="C143" s="179">
        <f>$C$29</f>
        <v/>
      </c>
      <c r="D143" s="193" t="n">
        <v>3</v>
      </c>
      <c r="E143" s="193">
        <f>('Model Inputs'!$B$22-1)+D143</f>
        <v/>
      </c>
      <c r="F143" s="189">
        <f>IF(D143=1,'Model Inputs'!$B$25*(13-'Model Inputs'!$B$23)/12,'Model Inputs'!$B$25)</f>
        <v/>
      </c>
      <c r="G143" s="189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/>
      </c>
      <c r="H143" s="180">
        <f>IF(D143&lt;=2,0,'Model Inputs'!$B$32*SIN(2*PI()*(D143-3+'Model Inputs'!$B$34)/MAX(1,'Model Inputs'!$B$33)))</f>
        <v/>
      </c>
      <c r="I143" s="189">
        <f>G143*(1+H143)</f>
        <v/>
      </c>
      <c r="J143" s="189">
        <f>0.75*I142+0.25*I141</f>
        <v/>
      </c>
      <c r="K143" s="189">
        <f>F143+J143+IF(D143=1,'Model Inputs'!$B$26,0)</f>
        <v/>
      </c>
      <c r="L143" s="189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/>
      </c>
      <c r="M143" s="189">
        <f>MIN(L143,'Tax Assumptions'!$B$19)</f>
        <v/>
      </c>
      <c r="N143" s="189">
        <f>MAX(L143-M143-'Tax Assumptions'!$B$8,0)</f>
        <v/>
      </c>
      <c r="O143" s="189">
        <f>MAX(L143-M143-'Tax Assumptions'!$B$9,0)</f>
        <v/>
      </c>
      <c r="P143" s="189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/>
      </c>
      <c r="Q143" s="189">
        <f>L143-M143-P143</f>
        <v/>
      </c>
      <c r="R143" s="189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/>
      </c>
      <c r="S143" s="189">
        <f>Q143-R143</f>
        <v/>
      </c>
      <c r="T143" s="189">
        <f>MIN(MAX(S143,0),'Tax Assumptions'!$B$20)</f>
        <v/>
      </c>
      <c r="U143" s="189">
        <f>S143-T143</f>
        <v/>
      </c>
      <c r="V143" s="189">
        <f>MAX(V142*(1+'Model Inputs'!$B$13)+U143,0)</f>
        <v/>
      </c>
      <c r="W143" s="189">
        <f>MAX(W142*(1+'Model Inputs'!$B$13)+M143+T143,0)</f>
        <v/>
      </c>
      <c r="X143" s="189">
        <f>V143+W143</f>
        <v/>
      </c>
      <c r="Y143" s="191">
        <f>IF(AND(X143&gt;=$F$14,X142&lt;$F$14),D143,"")</f>
        <v/>
      </c>
      <c r="Z143" s="191">
        <f>IF(AND(X143&gt;=$F$15,X142&lt;$F$15),D143,"")</f>
        <v/>
      </c>
      <c r="AA143" s="191">
        <f>IF(AND(X143&gt;=$F$16,X142&lt;$F$16),D143,"")</f>
        <v/>
      </c>
      <c r="AB143" s="191">
        <f>IF(AND(X143&gt;=$F$17,X142&lt;$F$17),D143,"")</f>
        <v/>
      </c>
    </row>
    <row r="144" outlineLevel="1" ht="18" customHeight="1" s="326">
      <c r="A144" s="174">
        <f>$A$29</f>
        <v/>
      </c>
      <c r="B144" s="193">
        <f>$B$29</f>
        <v/>
      </c>
      <c r="C144" s="179">
        <f>$C$29</f>
        <v/>
      </c>
      <c r="D144" s="193" t="n">
        <v>4</v>
      </c>
      <c r="E144" s="193">
        <f>('Model Inputs'!$B$22-1)+D144</f>
        <v/>
      </c>
      <c r="F144" s="189">
        <f>IF(D144=1,'Model Inputs'!$B$25*(13-'Model Inputs'!$B$23)/12,'Model Inputs'!$B$25)</f>
        <v/>
      </c>
      <c r="G144" s="189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/>
      </c>
      <c r="H144" s="180">
        <f>IF(D144&lt;=2,0,'Model Inputs'!$B$32*SIN(2*PI()*(D144-3+'Model Inputs'!$B$34)/MAX(1,'Model Inputs'!$B$33)))</f>
        <v/>
      </c>
      <c r="I144" s="189">
        <f>G144*(1+H144)</f>
        <v/>
      </c>
      <c r="J144" s="189">
        <f>0.75*I143+0.25*I142</f>
        <v/>
      </c>
      <c r="K144" s="189">
        <f>F144+J144+IF(D144=1,'Model Inputs'!$B$26,0)</f>
        <v/>
      </c>
      <c r="L144" s="189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/>
      </c>
      <c r="M144" s="189">
        <f>MIN(L144,'Tax Assumptions'!$B$19)</f>
        <v/>
      </c>
      <c r="N144" s="189">
        <f>MAX(L144-M144-'Tax Assumptions'!$B$8,0)</f>
        <v/>
      </c>
      <c r="O144" s="189">
        <f>MAX(L144-M144-'Tax Assumptions'!$B$9,0)</f>
        <v/>
      </c>
      <c r="P144" s="189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/>
      </c>
      <c r="Q144" s="189">
        <f>L144-M144-P144</f>
        <v/>
      </c>
      <c r="R144" s="189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/>
      </c>
      <c r="S144" s="189">
        <f>Q144-R144</f>
        <v/>
      </c>
      <c r="T144" s="189">
        <f>MIN(MAX(S144,0),'Tax Assumptions'!$B$20)</f>
        <v/>
      </c>
      <c r="U144" s="189">
        <f>S144-T144</f>
        <v/>
      </c>
      <c r="V144" s="189">
        <f>MAX(V143*(1+'Model Inputs'!$B$13)+U144,0)</f>
        <v/>
      </c>
      <c r="W144" s="189">
        <f>MAX(W143*(1+'Model Inputs'!$B$13)+M144+T144,0)</f>
        <v/>
      </c>
      <c r="X144" s="189">
        <f>V144+W144</f>
        <v/>
      </c>
      <c r="Y144" s="191">
        <f>IF(AND(X144&gt;=$F$14,X143&lt;$F$14),D144,"")</f>
        <v/>
      </c>
      <c r="Z144" s="191">
        <f>IF(AND(X144&gt;=$F$15,X143&lt;$F$15),D144,"")</f>
        <v/>
      </c>
      <c r="AA144" s="191">
        <f>IF(AND(X144&gt;=$F$16,X143&lt;$F$16),D144,"")</f>
        <v/>
      </c>
      <c r="AB144" s="191">
        <f>IF(AND(X144&gt;=$F$17,X143&lt;$F$17),D144,"")</f>
        <v/>
      </c>
    </row>
    <row r="145" outlineLevel="1" ht="18" customHeight="1" s="326">
      <c r="A145" s="174">
        <f>$A$29</f>
        <v/>
      </c>
      <c r="B145" s="193">
        <f>$B$29</f>
        <v/>
      </c>
      <c r="C145" s="179">
        <f>$C$29</f>
        <v/>
      </c>
      <c r="D145" s="193" t="n">
        <v>5</v>
      </c>
      <c r="E145" s="193">
        <f>('Model Inputs'!$B$22-1)+D145</f>
        <v/>
      </c>
      <c r="F145" s="189">
        <f>IF(D145=1,'Model Inputs'!$B$25*(13-'Model Inputs'!$B$23)/12,'Model Inputs'!$B$25)</f>
        <v/>
      </c>
      <c r="G145" s="189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/>
      </c>
      <c r="H145" s="180">
        <f>IF(D145&lt;=2,0,'Model Inputs'!$B$32*SIN(2*PI()*(D145-3+'Model Inputs'!$B$34)/MAX(1,'Model Inputs'!$B$33)))</f>
        <v/>
      </c>
      <c r="I145" s="189">
        <f>G145*(1+H145)</f>
        <v/>
      </c>
      <c r="J145" s="189">
        <f>0.75*I144+0.25*I143</f>
        <v/>
      </c>
      <c r="K145" s="189">
        <f>F145+J145+IF(D145=1,'Model Inputs'!$B$26,0)</f>
        <v/>
      </c>
      <c r="L145" s="189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/>
      </c>
      <c r="M145" s="189">
        <f>MIN(L145,'Tax Assumptions'!$B$19)</f>
        <v/>
      </c>
      <c r="N145" s="189">
        <f>MAX(L145-M145-'Tax Assumptions'!$B$8,0)</f>
        <v/>
      </c>
      <c r="O145" s="189">
        <f>MAX(L145-M145-'Tax Assumptions'!$B$9,0)</f>
        <v/>
      </c>
      <c r="P145" s="189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/>
      </c>
      <c r="Q145" s="189">
        <f>L145-M145-P145</f>
        <v/>
      </c>
      <c r="R145" s="189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/>
      </c>
      <c r="S145" s="189">
        <f>Q145-R145</f>
        <v/>
      </c>
      <c r="T145" s="189">
        <f>MIN(MAX(S145,0),'Tax Assumptions'!$B$20)</f>
        <v/>
      </c>
      <c r="U145" s="189">
        <f>S145-T145</f>
        <v/>
      </c>
      <c r="V145" s="189">
        <f>MAX(V144*(1+'Model Inputs'!$B$13)+U145,0)</f>
        <v/>
      </c>
      <c r="W145" s="189">
        <f>MAX(W144*(1+'Model Inputs'!$B$13)+M145+T145,0)</f>
        <v/>
      </c>
      <c r="X145" s="189">
        <f>V145+W145</f>
        <v/>
      </c>
      <c r="Y145" s="191">
        <f>IF(AND(X145&gt;=$F$14,X144&lt;$F$14),D145,"")</f>
        <v/>
      </c>
      <c r="Z145" s="191">
        <f>IF(AND(X145&gt;=$F$15,X144&lt;$F$15),D145,"")</f>
        <v/>
      </c>
      <c r="AA145" s="191">
        <f>IF(AND(X145&gt;=$F$16,X144&lt;$F$16),D145,"")</f>
        <v/>
      </c>
      <c r="AB145" s="191">
        <f>IF(AND(X145&gt;=$F$17,X144&lt;$F$17),D145,"")</f>
        <v/>
      </c>
    </row>
    <row r="146" outlineLevel="1" ht="18" customHeight="1" s="326">
      <c r="A146" s="174">
        <f>$A$29</f>
        <v/>
      </c>
      <c r="B146" s="193">
        <f>$B$29</f>
        <v/>
      </c>
      <c r="C146" s="179">
        <f>$C$29</f>
        <v/>
      </c>
      <c r="D146" s="193" t="n">
        <v>6</v>
      </c>
      <c r="E146" s="193">
        <f>('Model Inputs'!$B$22-1)+D146</f>
        <v/>
      </c>
      <c r="F146" s="189">
        <f>IF(D146=1,'Model Inputs'!$B$25*(13-'Model Inputs'!$B$23)/12,'Model Inputs'!$B$25)</f>
        <v/>
      </c>
      <c r="G146" s="189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/>
      </c>
      <c r="H146" s="180">
        <f>IF(D146&lt;=2,0,'Model Inputs'!$B$32*SIN(2*PI()*(D146-3+'Model Inputs'!$B$34)/MAX(1,'Model Inputs'!$B$33)))</f>
        <v/>
      </c>
      <c r="I146" s="189">
        <f>G146*(1+H146)</f>
        <v/>
      </c>
      <c r="J146" s="189">
        <f>0.75*I145+0.25*I144</f>
        <v/>
      </c>
      <c r="K146" s="189">
        <f>F146+J146+IF(D146=1,'Model Inputs'!$B$26,0)</f>
        <v/>
      </c>
      <c r="L146" s="189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/>
      </c>
      <c r="M146" s="189">
        <f>MIN(L146,'Tax Assumptions'!$B$19)</f>
        <v/>
      </c>
      <c r="N146" s="189">
        <f>MAX(L146-M146-'Tax Assumptions'!$B$8,0)</f>
        <v/>
      </c>
      <c r="O146" s="189">
        <f>MAX(L146-M146-'Tax Assumptions'!$B$9,0)</f>
        <v/>
      </c>
      <c r="P146" s="189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/>
      </c>
      <c r="Q146" s="189">
        <f>L146-M146-P146</f>
        <v/>
      </c>
      <c r="R146" s="189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/>
      </c>
      <c r="S146" s="189">
        <f>Q146-R146</f>
        <v/>
      </c>
      <c r="T146" s="189">
        <f>MIN(MAX(S146,0),'Tax Assumptions'!$B$20)</f>
        <v/>
      </c>
      <c r="U146" s="189">
        <f>S146-T146</f>
        <v/>
      </c>
      <c r="V146" s="189">
        <f>MAX(V145*(1+'Model Inputs'!$B$13)+U146,0)</f>
        <v/>
      </c>
      <c r="W146" s="189">
        <f>MAX(W145*(1+'Model Inputs'!$B$13)+M146+T146,0)</f>
        <v/>
      </c>
      <c r="X146" s="189">
        <f>V146+W146</f>
        <v/>
      </c>
      <c r="Y146" s="191">
        <f>IF(AND(X146&gt;=$F$14,X145&lt;$F$14),D146,"")</f>
        <v/>
      </c>
      <c r="Z146" s="191">
        <f>IF(AND(X146&gt;=$F$15,X145&lt;$F$15),D146,"")</f>
        <v/>
      </c>
      <c r="AA146" s="191">
        <f>IF(AND(X146&gt;=$F$16,X145&lt;$F$16),D146,"")</f>
        <v/>
      </c>
      <c r="AB146" s="191">
        <f>IF(AND(X146&gt;=$F$17,X145&lt;$F$17),D146,"")</f>
        <v/>
      </c>
    </row>
    <row r="147" outlineLevel="1" ht="18" customHeight="1" s="326">
      <c r="A147" s="174">
        <f>$A$29</f>
        <v/>
      </c>
      <c r="B147" s="193">
        <f>$B$29</f>
        <v/>
      </c>
      <c r="C147" s="179">
        <f>$C$29</f>
        <v/>
      </c>
      <c r="D147" s="193" t="n">
        <v>7</v>
      </c>
      <c r="E147" s="193">
        <f>('Model Inputs'!$B$22-1)+D147</f>
        <v/>
      </c>
      <c r="F147" s="189">
        <f>IF(D147=1,'Model Inputs'!$B$25*(13-'Model Inputs'!$B$23)/12,'Model Inputs'!$B$25)</f>
        <v/>
      </c>
      <c r="G147" s="189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/>
      </c>
      <c r="H147" s="180">
        <f>IF(D147&lt;=2,0,'Model Inputs'!$B$32*SIN(2*PI()*(D147-3+'Model Inputs'!$B$34)/MAX(1,'Model Inputs'!$B$33)))</f>
        <v/>
      </c>
      <c r="I147" s="189">
        <f>G147*(1+H147)</f>
        <v/>
      </c>
      <c r="J147" s="189">
        <f>0.75*I146+0.25*I145</f>
        <v/>
      </c>
      <c r="K147" s="189">
        <f>F147+J147+IF(D147=1,'Model Inputs'!$B$26,0)</f>
        <v/>
      </c>
      <c r="L147" s="189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/>
      </c>
      <c r="M147" s="189">
        <f>MIN(L147,'Tax Assumptions'!$B$19)</f>
        <v/>
      </c>
      <c r="N147" s="189">
        <f>MAX(L147-M147-'Tax Assumptions'!$B$8,0)</f>
        <v/>
      </c>
      <c r="O147" s="189">
        <f>MAX(L147-M147-'Tax Assumptions'!$B$9,0)</f>
        <v/>
      </c>
      <c r="P147" s="189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/>
      </c>
      <c r="Q147" s="189">
        <f>L147-M147-P147</f>
        <v/>
      </c>
      <c r="R147" s="189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/>
      </c>
      <c r="S147" s="189">
        <f>Q147-R147</f>
        <v/>
      </c>
      <c r="T147" s="189">
        <f>MIN(MAX(S147,0),'Tax Assumptions'!$B$20)</f>
        <v/>
      </c>
      <c r="U147" s="189">
        <f>S147-T147</f>
        <v/>
      </c>
      <c r="V147" s="189">
        <f>MAX(V146*(1+'Model Inputs'!$B$13)+U147,0)</f>
        <v/>
      </c>
      <c r="W147" s="189">
        <f>MAX(W146*(1+'Model Inputs'!$B$13)+M147+T147,0)</f>
        <v/>
      </c>
      <c r="X147" s="189">
        <f>V147+W147</f>
        <v/>
      </c>
      <c r="Y147" s="191">
        <f>IF(AND(X147&gt;=$F$14,X146&lt;$F$14),D147,"")</f>
        <v/>
      </c>
      <c r="Z147" s="191">
        <f>IF(AND(X147&gt;=$F$15,X146&lt;$F$15),D147,"")</f>
        <v/>
      </c>
      <c r="AA147" s="191">
        <f>IF(AND(X147&gt;=$F$16,X146&lt;$F$16),D147,"")</f>
        <v/>
      </c>
      <c r="AB147" s="191">
        <f>IF(AND(X147&gt;=$F$17,X146&lt;$F$17),D147,"")</f>
        <v/>
      </c>
    </row>
    <row r="148" outlineLevel="1" ht="18" customHeight="1" s="326">
      <c r="A148" s="174">
        <f>$A$29</f>
        <v/>
      </c>
      <c r="B148" s="193">
        <f>$B$29</f>
        <v/>
      </c>
      <c r="C148" s="179">
        <f>$C$29</f>
        <v/>
      </c>
      <c r="D148" s="193" t="n">
        <v>8</v>
      </c>
      <c r="E148" s="193">
        <f>('Model Inputs'!$B$22-1)+D148</f>
        <v/>
      </c>
      <c r="F148" s="189">
        <f>IF(D148=1,'Model Inputs'!$B$25*(13-'Model Inputs'!$B$23)/12,'Model Inputs'!$B$25)</f>
        <v/>
      </c>
      <c r="G148" s="189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/>
      </c>
      <c r="H148" s="180">
        <f>IF(D148&lt;=2,0,'Model Inputs'!$B$32*SIN(2*PI()*(D148-3+'Model Inputs'!$B$34)/MAX(1,'Model Inputs'!$B$33)))</f>
        <v/>
      </c>
      <c r="I148" s="189">
        <f>G148*(1+H148)</f>
        <v/>
      </c>
      <c r="J148" s="189">
        <f>0.75*I147+0.25*I146</f>
        <v/>
      </c>
      <c r="K148" s="189">
        <f>F148+J148+IF(D148=1,'Model Inputs'!$B$26,0)</f>
        <v/>
      </c>
      <c r="L148" s="189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/>
      </c>
      <c r="M148" s="189">
        <f>MIN(L148,'Tax Assumptions'!$B$19)</f>
        <v/>
      </c>
      <c r="N148" s="189">
        <f>MAX(L148-M148-'Tax Assumptions'!$B$8,0)</f>
        <v/>
      </c>
      <c r="O148" s="189">
        <f>MAX(L148-M148-'Tax Assumptions'!$B$9,0)</f>
        <v/>
      </c>
      <c r="P148" s="189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/>
      </c>
      <c r="Q148" s="189">
        <f>L148-M148-P148</f>
        <v/>
      </c>
      <c r="R148" s="189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/>
      </c>
      <c r="S148" s="189">
        <f>Q148-R148</f>
        <v/>
      </c>
      <c r="T148" s="189">
        <f>MIN(MAX(S148,0),'Tax Assumptions'!$B$20)</f>
        <v/>
      </c>
      <c r="U148" s="189">
        <f>S148-T148</f>
        <v/>
      </c>
      <c r="V148" s="189">
        <f>MAX(V147*(1+'Model Inputs'!$B$13)+U148,0)</f>
        <v/>
      </c>
      <c r="W148" s="189">
        <f>MAX(W147*(1+'Model Inputs'!$B$13)+M148+T148,0)</f>
        <v/>
      </c>
      <c r="X148" s="189">
        <f>V148+W148</f>
        <v/>
      </c>
      <c r="Y148" s="191">
        <f>IF(AND(X148&gt;=$F$14,X147&lt;$F$14),D148,"")</f>
        <v/>
      </c>
      <c r="Z148" s="191">
        <f>IF(AND(X148&gt;=$F$15,X147&lt;$F$15),D148,"")</f>
        <v/>
      </c>
      <c r="AA148" s="191">
        <f>IF(AND(X148&gt;=$F$16,X147&lt;$F$16),D148,"")</f>
        <v/>
      </c>
      <c r="AB148" s="191">
        <f>IF(AND(X148&gt;=$F$17,X147&lt;$F$17),D148,"")</f>
        <v/>
      </c>
    </row>
    <row r="149" outlineLevel="1" ht="18" customHeight="1" s="326">
      <c r="A149" s="174">
        <f>$A$29</f>
        <v/>
      </c>
      <c r="B149" s="193">
        <f>$B$29</f>
        <v/>
      </c>
      <c r="C149" s="179">
        <f>$C$29</f>
        <v/>
      </c>
      <c r="D149" s="193" t="n">
        <v>9</v>
      </c>
      <c r="E149" s="193">
        <f>('Model Inputs'!$B$22-1)+D149</f>
        <v/>
      </c>
      <c r="F149" s="189">
        <f>IF(D149=1,'Model Inputs'!$B$25*(13-'Model Inputs'!$B$23)/12,'Model Inputs'!$B$25)</f>
        <v/>
      </c>
      <c r="G149" s="189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/>
      </c>
      <c r="H149" s="180">
        <f>IF(D149&lt;=2,0,'Model Inputs'!$B$32*SIN(2*PI()*(D149-3+'Model Inputs'!$B$34)/MAX(1,'Model Inputs'!$B$33)))</f>
        <v/>
      </c>
      <c r="I149" s="189">
        <f>G149*(1+H149)</f>
        <v/>
      </c>
      <c r="J149" s="189">
        <f>0.75*I148+0.25*I147</f>
        <v/>
      </c>
      <c r="K149" s="189">
        <f>F149+J149+IF(D149=1,'Model Inputs'!$B$26,0)</f>
        <v/>
      </c>
      <c r="L149" s="189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/>
      </c>
      <c r="M149" s="189">
        <f>MIN(L149,'Tax Assumptions'!$B$19)</f>
        <v/>
      </c>
      <c r="N149" s="189">
        <f>MAX(L149-M149-'Tax Assumptions'!$B$8,0)</f>
        <v/>
      </c>
      <c r="O149" s="189">
        <f>MAX(L149-M149-'Tax Assumptions'!$B$9,0)</f>
        <v/>
      </c>
      <c r="P149" s="189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/>
      </c>
      <c r="Q149" s="189">
        <f>L149-M149-P149</f>
        <v/>
      </c>
      <c r="R149" s="189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/>
      </c>
      <c r="S149" s="189">
        <f>Q149-R149</f>
        <v/>
      </c>
      <c r="T149" s="189">
        <f>MIN(MAX(S149,0),'Tax Assumptions'!$B$20)</f>
        <v/>
      </c>
      <c r="U149" s="189">
        <f>S149-T149</f>
        <v/>
      </c>
      <c r="V149" s="189">
        <f>MAX(V148*(1+'Model Inputs'!$B$13)+U149,0)</f>
        <v/>
      </c>
      <c r="W149" s="189">
        <f>MAX(W148*(1+'Model Inputs'!$B$13)+M149+T149,0)</f>
        <v/>
      </c>
      <c r="X149" s="189">
        <f>V149+W149</f>
        <v/>
      </c>
      <c r="Y149" s="191">
        <f>IF(AND(X149&gt;=$F$14,X148&lt;$F$14),D149,"")</f>
        <v/>
      </c>
      <c r="Z149" s="191">
        <f>IF(AND(X149&gt;=$F$15,X148&lt;$F$15),D149,"")</f>
        <v/>
      </c>
      <c r="AA149" s="191">
        <f>IF(AND(X149&gt;=$F$16,X148&lt;$F$16),D149,"")</f>
        <v/>
      </c>
      <c r="AB149" s="191">
        <f>IF(AND(X149&gt;=$F$17,X148&lt;$F$17),D149,"")</f>
        <v/>
      </c>
    </row>
    <row r="150" outlineLevel="1" ht="18" customHeight="1" s="326">
      <c r="A150" s="174">
        <f>$A$29</f>
        <v/>
      </c>
      <c r="B150" s="193">
        <f>$B$29</f>
        <v/>
      </c>
      <c r="C150" s="179">
        <f>$C$29</f>
        <v/>
      </c>
      <c r="D150" s="193" t="n">
        <v>10</v>
      </c>
      <c r="E150" s="193">
        <f>('Model Inputs'!$B$22-1)+D150</f>
        <v/>
      </c>
      <c r="F150" s="189">
        <f>IF(D150=1,'Model Inputs'!$B$25*(13-'Model Inputs'!$B$23)/12,'Model Inputs'!$B$25)</f>
        <v/>
      </c>
      <c r="G150" s="189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/>
      </c>
      <c r="H150" s="180">
        <f>IF(D150&lt;=2,0,'Model Inputs'!$B$32*SIN(2*PI()*(D150-3+'Model Inputs'!$B$34)/MAX(1,'Model Inputs'!$B$33)))</f>
        <v/>
      </c>
      <c r="I150" s="189">
        <f>G150*(1+H150)</f>
        <v/>
      </c>
      <c r="J150" s="189">
        <f>0.75*I149+0.25*I148</f>
        <v/>
      </c>
      <c r="K150" s="189">
        <f>F150+J150+IF(D150=1,'Model Inputs'!$B$26,0)</f>
        <v/>
      </c>
      <c r="L150" s="189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/>
      </c>
      <c r="M150" s="189">
        <f>MIN(L150,'Tax Assumptions'!$B$19)</f>
        <v/>
      </c>
      <c r="N150" s="189">
        <f>MAX(L150-M150-'Tax Assumptions'!$B$8,0)</f>
        <v/>
      </c>
      <c r="O150" s="189">
        <f>MAX(L150-M150-'Tax Assumptions'!$B$9,0)</f>
        <v/>
      </c>
      <c r="P150" s="189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/>
      </c>
      <c r="Q150" s="189">
        <f>L150-M150-P150</f>
        <v/>
      </c>
      <c r="R150" s="189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/>
      </c>
      <c r="S150" s="189">
        <f>Q150-R150</f>
        <v/>
      </c>
      <c r="T150" s="189">
        <f>MIN(MAX(S150,0),'Tax Assumptions'!$B$20)</f>
        <v/>
      </c>
      <c r="U150" s="189">
        <f>S150-T150</f>
        <v/>
      </c>
      <c r="V150" s="189">
        <f>MAX(V149*(1+'Model Inputs'!$B$13)+U150,0)</f>
        <v/>
      </c>
      <c r="W150" s="189">
        <f>MAX(W149*(1+'Model Inputs'!$B$13)+M150+T150,0)</f>
        <v/>
      </c>
      <c r="X150" s="189">
        <f>V150+W150</f>
        <v/>
      </c>
      <c r="Y150" s="191">
        <f>IF(AND(X150&gt;=$F$14,X149&lt;$F$14),D150,"")</f>
        <v/>
      </c>
      <c r="Z150" s="191">
        <f>IF(AND(X150&gt;=$F$15,X149&lt;$F$15),D150,"")</f>
        <v/>
      </c>
      <c r="AA150" s="191">
        <f>IF(AND(X150&gt;=$F$16,X149&lt;$F$16),D150,"")</f>
        <v/>
      </c>
      <c r="AB150" s="191">
        <f>IF(AND(X150&gt;=$F$17,X149&lt;$F$17),D150,"")</f>
        <v/>
      </c>
    </row>
    <row r="151" outlineLevel="1" ht="18" customHeight="1" s="326">
      <c r="A151" s="174">
        <f>$A$29</f>
        <v/>
      </c>
      <c r="B151" s="193">
        <f>$B$29</f>
        <v/>
      </c>
      <c r="C151" s="179">
        <f>$C$29</f>
        <v/>
      </c>
      <c r="D151" s="193" t="n">
        <v>11</v>
      </c>
      <c r="E151" s="193">
        <f>('Model Inputs'!$B$22-1)+D151</f>
        <v/>
      </c>
      <c r="F151" s="189">
        <f>IF(D151=1,'Model Inputs'!$B$25*(13-'Model Inputs'!$B$23)/12,'Model Inputs'!$B$25)</f>
        <v/>
      </c>
      <c r="G151" s="189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/>
      </c>
      <c r="H151" s="180">
        <f>IF(D151&lt;=2,0,'Model Inputs'!$B$32*SIN(2*PI()*(D151-3+'Model Inputs'!$B$34)/MAX(1,'Model Inputs'!$B$33)))</f>
        <v/>
      </c>
      <c r="I151" s="189">
        <f>G151*(1+H151)</f>
        <v/>
      </c>
      <c r="J151" s="189">
        <f>0.75*I150+0.25*I149</f>
        <v/>
      </c>
      <c r="K151" s="189">
        <f>F151+J151+IF(D151=1,'Model Inputs'!$B$26,0)</f>
        <v/>
      </c>
      <c r="L151" s="189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/>
      </c>
      <c r="M151" s="189">
        <f>MIN(L151,'Tax Assumptions'!$B$19)</f>
        <v/>
      </c>
      <c r="N151" s="189">
        <f>MAX(L151-M151-'Tax Assumptions'!$B$8,0)</f>
        <v/>
      </c>
      <c r="O151" s="189">
        <f>MAX(L151-M151-'Tax Assumptions'!$B$9,0)</f>
        <v/>
      </c>
      <c r="P151" s="189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/>
      </c>
      <c r="Q151" s="189">
        <f>L151-M151-P151</f>
        <v/>
      </c>
      <c r="R151" s="189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/>
      </c>
      <c r="S151" s="189">
        <f>Q151-R151</f>
        <v/>
      </c>
      <c r="T151" s="189">
        <f>MIN(MAX(S151,0),'Tax Assumptions'!$B$20)</f>
        <v/>
      </c>
      <c r="U151" s="189">
        <f>S151-T151</f>
        <v/>
      </c>
      <c r="V151" s="189">
        <f>MAX(V150*(1+'Model Inputs'!$B$13)+U151,0)</f>
        <v/>
      </c>
      <c r="W151" s="189">
        <f>MAX(W150*(1+'Model Inputs'!$B$13)+M151+T151,0)</f>
        <v/>
      </c>
      <c r="X151" s="189">
        <f>V151+W151</f>
        <v/>
      </c>
      <c r="Y151" s="191">
        <f>IF(AND(X151&gt;=$F$14,X150&lt;$F$14),D151,"")</f>
        <v/>
      </c>
      <c r="Z151" s="191">
        <f>IF(AND(X151&gt;=$F$15,X150&lt;$F$15),D151,"")</f>
        <v/>
      </c>
      <c r="AA151" s="191">
        <f>IF(AND(X151&gt;=$F$16,X150&lt;$F$16),D151,"")</f>
        <v/>
      </c>
      <c r="AB151" s="191">
        <f>IF(AND(X151&gt;=$F$17,X150&lt;$F$17),D151,"")</f>
        <v/>
      </c>
    </row>
    <row r="152" outlineLevel="1" ht="18" customHeight="1" s="326">
      <c r="A152" s="174">
        <f>$A$29</f>
        <v/>
      </c>
      <c r="B152" s="193">
        <f>$B$29</f>
        <v/>
      </c>
      <c r="C152" s="179">
        <f>$C$29</f>
        <v/>
      </c>
      <c r="D152" s="193" t="n">
        <v>12</v>
      </c>
      <c r="E152" s="193">
        <f>('Model Inputs'!$B$22-1)+D152</f>
        <v/>
      </c>
      <c r="F152" s="189">
        <f>IF(D152=1,'Model Inputs'!$B$25*(13-'Model Inputs'!$B$23)/12,'Model Inputs'!$B$25)</f>
        <v/>
      </c>
      <c r="G152" s="189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/>
      </c>
      <c r="H152" s="180">
        <f>IF(D152&lt;=2,0,'Model Inputs'!$B$32*SIN(2*PI()*(D152-3+'Model Inputs'!$B$34)/MAX(1,'Model Inputs'!$B$33)))</f>
        <v/>
      </c>
      <c r="I152" s="189">
        <f>G152*(1+H152)</f>
        <v/>
      </c>
      <c r="J152" s="189">
        <f>0.75*I151+0.25*I150</f>
        <v/>
      </c>
      <c r="K152" s="189">
        <f>F152+J152+IF(D152=1,'Model Inputs'!$B$26,0)</f>
        <v/>
      </c>
      <c r="L152" s="189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/>
      </c>
      <c r="M152" s="189">
        <f>MIN(L152,'Tax Assumptions'!$B$19)</f>
        <v/>
      </c>
      <c r="N152" s="189">
        <f>MAX(L152-M152-'Tax Assumptions'!$B$8,0)</f>
        <v/>
      </c>
      <c r="O152" s="189">
        <f>MAX(L152-M152-'Tax Assumptions'!$B$9,0)</f>
        <v/>
      </c>
      <c r="P152" s="189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/>
      </c>
      <c r="Q152" s="189">
        <f>L152-M152-P152</f>
        <v/>
      </c>
      <c r="R152" s="189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/>
      </c>
      <c r="S152" s="189">
        <f>Q152-R152</f>
        <v/>
      </c>
      <c r="T152" s="189">
        <f>MIN(MAX(S152,0),'Tax Assumptions'!$B$20)</f>
        <v/>
      </c>
      <c r="U152" s="189">
        <f>S152-T152</f>
        <v/>
      </c>
      <c r="V152" s="189">
        <f>MAX(V151*(1+'Model Inputs'!$B$13)+U152,0)</f>
        <v/>
      </c>
      <c r="W152" s="189">
        <f>MAX(W151*(1+'Model Inputs'!$B$13)+M152+T152,0)</f>
        <v/>
      </c>
      <c r="X152" s="189">
        <f>V152+W152</f>
        <v/>
      </c>
      <c r="Y152" s="191">
        <f>IF(AND(X152&gt;=$F$14,X151&lt;$F$14),D152,"")</f>
        <v/>
      </c>
      <c r="Z152" s="191">
        <f>IF(AND(X152&gt;=$F$15,X151&lt;$F$15),D152,"")</f>
        <v/>
      </c>
      <c r="AA152" s="191">
        <f>IF(AND(X152&gt;=$F$16,X151&lt;$F$16),D152,"")</f>
        <v/>
      </c>
      <c r="AB152" s="191">
        <f>IF(AND(X152&gt;=$F$17,X151&lt;$F$17),D152,"")</f>
        <v/>
      </c>
    </row>
    <row r="153" outlineLevel="1" ht="18" customHeight="1" s="326">
      <c r="A153" s="174">
        <f>$A$29</f>
        <v/>
      </c>
      <c r="B153" s="193">
        <f>$B$29</f>
        <v/>
      </c>
      <c r="C153" s="179">
        <f>$C$29</f>
        <v/>
      </c>
      <c r="D153" s="193" t="n">
        <v>13</v>
      </c>
      <c r="E153" s="193">
        <f>('Model Inputs'!$B$22-1)+D153</f>
        <v/>
      </c>
      <c r="F153" s="189">
        <f>IF(D153=1,'Model Inputs'!$B$25*(13-'Model Inputs'!$B$23)/12,'Model Inputs'!$B$25)</f>
        <v/>
      </c>
      <c r="G153" s="189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/>
      </c>
      <c r="H153" s="180">
        <f>IF(D153&lt;=2,0,'Model Inputs'!$B$32*SIN(2*PI()*(D153-3+'Model Inputs'!$B$34)/MAX(1,'Model Inputs'!$B$33)))</f>
        <v/>
      </c>
      <c r="I153" s="189">
        <f>G153*(1+H153)</f>
        <v/>
      </c>
      <c r="J153" s="189">
        <f>0.75*I152+0.25*I151</f>
        <v/>
      </c>
      <c r="K153" s="189">
        <f>F153+J153+IF(D153=1,'Model Inputs'!$B$26,0)</f>
        <v/>
      </c>
      <c r="L153" s="189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/>
      </c>
      <c r="M153" s="189">
        <f>MIN(L153,'Tax Assumptions'!$B$19)</f>
        <v/>
      </c>
      <c r="N153" s="189">
        <f>MAX(L153-M153-'Tax Assumptions'!$B$8,0)</f>
        <v/>
      </c>
      <c r="O153" s="189">
        <f>MAX(L153-M153-'Tax Assumptions'!$B$9,0)</f>
        <v/>
      </c>
      <c r="P153" s="189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/>
      </c>
      <c r="Q153" s="189">
        <f>L153-M153-P153</f>
        <v/>
      </c>
      <c r="R153" s="189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/>
      </c>
      <c r="S153" s="189">
        <f>Q153-R153</f>
        <v/>
      </c>
      <c r="T153" s="189">
        <f>MIN(MAX(S153,0),'Tax Assumptions'!$B$20)</f>
        <v/>
      </c>
      <c r="U153" s="189">
        <f>S153-T153</f>
        <v/>
      </c>
      <c r="V153" s="189">
        <f>MAX(V152*(1+'Model Inputs'!$B$13)+U153,0)</f>
        <v/>
      </c>
      <c r="W153" s="189">
        <f>MAX(W152*(1+'Model Inputs'!$B$13)+M153+T153,0)</f>
        <v/>
      </c>
      <c r="X153" s="189">
        <f>V153+W153</f>
        <v/>
      </c>
      <c r="Y153" s="191">
        <f>IF(AND(X153&gt;=$F$14,X152&lt;$F$14),D153,"")</f>
        <v/>
      </c>
      <c r="Z153" s="191">
        <f>IF(AND(X153&gt;=$F$15,X152&lt;$F$15),D153,"")</f>
        <v/>
      </c>
      <c r="AA153" s="191">
        <f>IF(AND(X153&gt;=$F$16,X152&lt;$F$16),D153,"")</f>
        <v/>
      </c>
      <c r="AB153" s="191">
        <f>IF(AND(X153&gt;=$F$17,X152&lt;$F$17),D153,"")</f>
        <v/>
      </c>
    </row>
    <row r="154" outlineLevel="1" ht="18" customHeight="1" s="326">
      <c r="A154" s="174">
        <f>$A$29</f>
        <v/>
      </c>
      <c r="B154" s="193">
        <f>$B$29</f>
        <v/>
      </c>
      <c r="C154" s="179">
        <f>$C$29</f>
        <v/>
      </c>
      <c r="D154" s="193" t="n">
        <v>14</v>
      </c>
      <c r="E154" s="193">
        <f>('Model Inputs'!$B$22-1)+D154</f>
        <v/>
      </c>
      <c r="F154" s="189">
        <f>IF(D154=1,'Model Inputs'!$B$25*(13-'Model Inputs'!$B$23)/12,'Model Inputs'!$B$25)</f>
        <v/>
      </c>
      <c r="G154" s="189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/>
      </c>
      <c r="H154" s="180">
        <f>IF(D154&lt;=2,0,'Model Inputs'!$B$32*SIN(2*PI()*(D154-3+'Model Inputs'!$B$34)/MAX(1,'Model Inputs'!$B$33)))</f>
        <v/>
      </c>
      <c r="I154" s="189">
        <f>G154*(1+H154)</f>
        <v/>
      </c>
      <c r="J154" s="189">
        <f>0.75*I153+0.25*I152</f>
        <v/>
      </c>
      <c r="K154" s="189">
        <f>F154+J154+IF(D154=1,'Model Inputs'!$B$26,0)</f>
        <v/>
      </c>
      <c r="L154" s="189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/>
      </c>
      <c r="M154" s="189">
        <f>MIN(L154,'Tax Assumptions'!$B$19)</f>
        <v/>
      </c>
      <c r="N154" s="189">
        <f>MAX(L154-M154-'Tax Assumptions'!$B$8,0)</f>
        <v/>
      </c>
      <c r="O154" s="189">
        <f>MAX(L154-M154-'Tax Assumptions'!$B$9,0)</f>
        <v/>
      </c>
      <c r="P154" s="189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/>
      </c>
      <c r="Q154" s="189">
        <f>L154-M154-P154</f>
        <v/>
      </c>
      <c r="R154" s="189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/>
      </c>
      <c r="S154" s="189">
        <f>Q154-R154</f>
        <v/>
      </c>
      <c r="T154" s="189">
        <f>MIN(MAX(S154,0),'Tax Assumptions'!$B$20)</f>
        <v/>
      </c>
      <c r="U154" s="189">
        <f>S154-T154</f>
        <v/>
      </c>
      <c r="V154" s="189">
        <f>MAX(V153*(1+'Model Inputs'!$B$13)+U154,0)</f>
        <v/>
      </c>
      <c r="W154" s="189">
        <f>MAX(W153*(1+'Model Inputs'!$B$13)+M154+T154,0)</f>
        <v/>
      </c>
      <c r="X154" s="189">
        <f>V154+W154</f>
        <v/>
      </c>
      <c r="Y154" s="191">
        <f>IF(AND(X154&gt;=$F$14,X153&lt;$F$14),D154,"")</f>
        <v/>
      </c>
      <c r="Z154" s="191">
        <f>IF(AND(X154&gt;=$F$15,X153&lt;$F$15),D154,"")</f>
        <v/>
      </c>
      <c r="AA154" s="191">
        <f>IF(AND(X154&gt;=$F$16,X153&lt;$F$16),D154,"")</f>
        <v/>
      </c>
      <c r="AB154" s="191">
        <f>IF(AND(X154&gt;=$F$17,X153&lt;$F$17),D154,"")</f>
        <v/>
      </c>
    </row>
    <row r="155" outlineLevel="1" ht="18" customHeight="1" s="326">
      <c r="A155" s="174">
        <f>$A$29</f>
        <v/>
      </c>
      <c r="B155" s="193">
        <f>$B$29</f>
        <v/>
      </c>
      <c r="C155" s="179">
        <f>$C$29</f>
        <v/>
      </c>
      <c r="D155" s="193" t="n">
        <v>15</v>
      </c>
      <c r="E155" s="193">
        <f>('Model Inputs'!$B$22-1)+D155</f>
        <v/>
      </c>
      <c r="F155" s="189">
        <f>IF(D155=1,'Model Inputs'!$B$25*(13-'Model Inputs'!$B$23)/12,'Model Inputs'!$B$25)</f>
        <v/>
      </c>
      <c r="G155" s="189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/>
      </c>
      <c r="H155" s="180">
        <f>IF(D155&lt;=2,0,'Model Inputs'!$B$32*SIN(2*PI()*(D155-3+'Model Inputs'!$B$34)/MAX(1,'Model Inputs'!$B$33)))</f>
        <v/>
      </c>
      <c r="I155" s="189">
        <f>G155*(1+H155)</f>
        <v/>
      </c>
      <c r="J155" s="189">
        <f>0.75*I154+0.25*I153</f>
        <v/>
      </c>
      <c r="K155" s="189">
        <f>F155+J155+IF(D155=1,'Model Inputs'!$B$26,0)</f>
        <v/>
      </c>
      <c r="L155" s="189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/>
      </c>
      <c r="M155" s="189">
        <f>MIN(L155,'Tax Assumptions'!$B$19)</f>
        <v/>
      </c>
      <c r="N155" s="189">
        <f>MAX(L155-M155-'Tax Assumptions'!$B$8,0)</f>
        <v/>
      </c>
      <c r="O155" s="189">
        <f>MAX(L155-M155-'Tax Assumptions'!$B$9,0)</f>
        <v/>
      </c>
      <c r="P155" s="189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/>
      </c>
      <c r="Q155" s="189">
        <f>L155-M155-P155</f>
        <v/>
      </c>
      <c r="R155" s="189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/>
      </c>
      <c r="S155" s="189">
        <f>Q155-R155</f>
        <v/>
      </c>
      <c r="T155" s="189">
        <f>MIN(MAX(S155,0),'Tax Assumptions'!$B$20)</f>
        <v/>
      </c>
      <c r="U155" s="189">
        <f>S155-T155</f>
        <v/>
      </c>
      <c r="V155" s="189">
        <f>MAX(V154*(1+'Model Inputs'!$B$13)+U155,0)</f>
        <v/>
      </c>
      <c r="W155" s="189">
        <f>MAX(W154*(1+'Model Inputs'!$B$13)+M155+T155,0)</f>
        <v/>
      </c>
      <c r="X155" s="189">
        <f>V155+W155</f>
        <v/>
      </c>
      <c r="Y155" s="191">
        <f>IF(AND(X155&gt;=$F$14,X154&lt;$F$14),D155,"")</f>
        <v/>
      </c>
      <c r="Z155" s="191">
        <f>IF(AND(X155&gt;=$F$15,X154&lt;$F$15),D155,"")</f>
        <v/>
      </c>
      <c r="AA155" s="191">
        <f>IF(AND(X155&gt;=$F$16,X154&lt;$F$16),D155,"")</f>
        <v/>
      </c>
      <c r="AB155" s="191">
        <f>IF(AND(X155&gt;=$F$17,X154&lt;$F$17),D155,"")</f>
        <v/>
      </c>
    </row>
    <row r="156" outlineLevel="1" ht="18" customHeight="1" s="326">
      <c r="A156" s="174">
        <f>$A$30</f>
        <v/>
      </c>
      <c r="B156" s="193">
        <f>$B$30</f>
        <v/>
      </c>
      <c r="C156" s="179">
        <f>$C$30</f>
        <v/>
      </c>
      <c r="D156" s="193" t="n">
        <v>1</v>
      </c>
      <c r="E156" s="193">
        <f>('Model Inputs'!$B$22-1)+D156</f>
        <v/>
      </c>
      <c r="F156" s="189">
        <f>IF(D156=1,'Model Inputs'!$B$25*(13-'Model Inputs'!$B$23)/12,'Model Inputs'!$B$25)</f>
        <v/>
      </c>
      <c r="G156" s="189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/>
      </c>
      <c r="H156" s="180">
        <f>IF(D156&lt;=2,0,'Model Inputs'!$B$32*SIN(2*PI()*(D156-3+'Model Inputs'!$B$34)/MAX(1,'Model Inputs'!$B$33)))</f>
        <v/>
      </c>
      <c r="I156" s="189">
        <f>G156*(1+H156)</f>
        <v/>
      </c>
      <c r="J156" s="189">
        <f>0</f>
        <v/>
      </c>
      <c r="K156" s="189">
        <f>F156+J156+IF(D156=1,'Model Inputs'!$B$26,0)</f>
        <v/>
      </c>
      <c r="L156" s="189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/>
      </c>
      <c r="M156" s="189">
        <f>MIN(L156,'Tax Assumptions'!$B$19)</f>
        <v/>
      </c>
      <c r="N156" s="189">
        <f>MAX(L156-M156-'Tax Assumptions'!$B$8,0)</f>
        <v/>
      </c>
      <c r="O156" s="189">
        <f>MAX(L156-M156-'Tax Assumptions'!$B$9,0)</f>
        <v/>
      </c>
      <c r="P156" s="189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/>
      </c>
      <c r="Q156" s="189">
        <f>L156-M156-P156</f>
        <v/>
      </c>
      <c r="R156" s="189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/>
      </c>
      <c r="S156" s="189">
        <f>Q156-R156</f>
        <v/>
      </c>
      <c r="T156" s="189">
        <f>MIN(MAX(S156,0),'Tax Assumptions'!$B$20)</f>
        <v/>
      </c>
      <c r="U156" s="189">
        <f>S156-T156</f>
        <v/>
      </c>
      <c r="V156" s="189">
        <f>MAX('Model Inputs'!$B$7*(1+'Model Inputs'!$B$13)+U156,0)</f>
        <v/>
      </c>
      <c r="W156" s="189">
        <f>MAX(('Model Inputs'!$B$8+'Model Inputs'!$B$9+'Model Inputs'!$B$10)*(1+'Model Inputs'!$B$13)+M156+T156,0)</f>
        <v/>
      </c>
      <c r="X156" s="189">
        <f>V156+W156</f>
        <v/>
      </c>
      <c r="Y156" s="191">
        <f>IF(AND(X156&gt;=$F$14,0&lt;$F$14),D156,"")</f>
        <v/>
      </c>
      <c r="Z156" s="191">
        <f>IF(AND(X156&gt;=$F$15,0&lt;$F$15),D156,"")</f>
        <v/>
      </c>
      <c r="AA156" s="191">
        <f>IF(AND(X156&gt;=$F$16,0&lt;$F$16),D156,"")</f>
        <v/>
      </c>
      <c r="AB156" s="191">
        <f>IF(AND(X156&gt;=$F$17,0&lt;$F$17),D156,"")</f>
        <v/>
      </c>
    </row>
    <row r="157" outlineLevel="1" ht="18" customHeight="1" s="326">
      <c r="A157" s="174">
        <f>$A$30</f>
        <v/>
      </c>
      <c r="B157" s="193">
        <f>$B$30</f>
        <v/>
      </c>
      <c r="C157" s="179">
        <f>$C$30</f>
        <v/>
      </c>
      <c r="D157" s="193" t="n">
        <v>2</v>
      </c>
      <c r="E157" s="193">
        <f>('Model Inputs'!$B$22-1)+D157</f>
        <v/>
      </c>
      <c r="F157" s="189">
        <f>IF(D157=1,'Model Inputs'!$B$25*(13-'Model Inputs'!$B$23)/12,'Model Inputs'!$B$25)</f>
        <v/>
      </c>
      <c r="G157" s="189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/>
      </c>
      <c r="H157" s="180">
        <f>IF(D157&lt;=2,0,'Model Inputs'!$B$32*SIN(2*PI()*(D157-3+'Model Inputs'!$B$34)/MAX(1,'Model Inputs'!$B$33)))</f>
        <v/>
      </c>
      <c r="I157" s="189">
        <f>G157*(1+H157)</f>
        <v/>
      </c>
      <c r="J157" s="189">
        <f>0.75*I156</f>
        <v/>
      </c>
      <c r="K157" s="189">
        <f>F157+J157+IF(D157=1,'Model Inputs'!$B$26,0)</f>
        <v/>
      </c>
      <c r="L157" s="189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/>
      </c>
      <c r="M157" s="189">
        <f>MIN(L157,'Tax Assumptions'!$B$19)</f>
        <v/>
      </c>
      <c r="N157" s="189">
        <f>MAX(L157-M157-'Tax Assumptions'!$B$8,0)</f>
        <v/>
      </c>
      <c r="O157" s="189">
        <f>MAX(L157-M157-'Tax Assumptions'!$B$9,0)</f>
        <v/>
      </c>
      <c r="P157" s="189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/>
      </c>
      <c r="Q157" s="189">
        <f>L157-M157-P157</f>
        <v/>
      </c>
      <c r="R157" s="189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/>
      </c>
      <c r="S157" s="189">
        <f>Q157-R157</f>
        <v/>
      </c>
      <c r="T157" s="189">
        <f>MIN(MAX(S157,0),'Tax Assumptions'!$B$20)</f>
        <v/>
      </c>
      <c r="U157" s="189">
        <f>S157-T157</f>
        <v/>
      </c>
      <c r="V157" s="189">
        <f>MAX(V156*(1+'Model Inputs'!$B$13)+U157,0)</f>
        <v/>
      </c>
      <c r="W157" s="189">
        <f>MAX(W156*(1+'Model Inputs'!$B$13)+M157+T157,0)</f>
        <v/>
      </c>
      <c r="X157" s="189">
        <f>V157+W157</f>
        <v/>
      </c>
      <c r="Y157" s="191">
        <f>IF(AND(X157&gt;=$F$14,X156&lt;$F$14),D157,"")</f>
        <v/>
      </c>
      <c r="Z157" s="191">
        <f>IF(AND(X157&gt;=$F$15,X156&lt;$F$15),D157,"")</f>
        <v/>
      </c>
      <c r="AA157" s="191">
        <f>IF(AND(X157&gt;=$F$16,X156&lt;$F$16),D157,"")</f>
        <v/>
      </c>
      <c r="AB157" s="191">
        <f>IF(AND(X157&gt;=$F$17,X156&lt;$F$17),D157,"")</f>
        <v/>
      </c>
    </row>
    <row r="158" outlineLevel="1" ht="18" customHeight="1" s="326">
      <c r="A158" s="174">
        <f>$A$30</f>
        <v/>
      </c>
      <c r="B158" s="193">
        <f>$B$30</f>
        <v/>
      </c>
      <c r="C158" s="179">
        <f>$C$30</f>
        <v/>
      </c>
      <c r="D158" s="193" t="n">
        <v>3</v>
      </c>
      <c r="E158" s="193">
        <f>('Model Inputs'!$B$22-1)+D158</f>
        <v/>
      </c>
      <c r="F158" s="189">
        <f>IF(D158=1,'Model Inputs'!$B$25*(13-'Model Inputs'!$B$23)/12,'Model Inputs'!$B$25)</f>
        <v/>
      </c>
      <c r="G158" s="189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/>
      </c>
      <c r="H158" s="180">
        <f>IF(D158&lt;=2,0,'Model Inputs'!$B$32*SIN(2*PI()*(D158-3+'Model Inputs'!$B$34)/MAX(1,'Model Inputs'!$B$33)))</f>
        <v/>
      </c>
      <c r="I158" s="189">
        <f>G158*(1+H158)</f>
        <v/>
      </c>
      <c r="J158" s="189">
        <f>0.75*I157+0.25*I156</f>
        <v/>
      </c>
      <c r="K158" s="189">
        <f>F158+J158+IF(D158=1,'Model Inputs'!$B$26,0)</f>
        <v/>
      </c>
      <c r="L158" s="189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/>
      </c>
      <c r="M158" s="189">
        <f>MIN(L158,'Tax Assumptions'!$B$19)</f>
        <v/>
      </c>
      <c r="N158" s="189">
        <f>MAX(L158-M158-'Tax Assumptions'!$B$8,0)</f>
        <v/>
      </c>
      <c r="O158" s="189">
        <f>MAX(L158-M158-'Tax Assumptions'!$B$9,0)</f>
        <v/>
      </c>
      <c r="P158" s="189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/>
      </c>
      <c r="Q158" s="189">
        <f>L158-M158-P158</f>
        <v/>
      </c>
      <c r="R158" s="189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/>
      </c>
      <c r="S158" s="189">
        <f>Q158-R158</f>
        <v/>
      </c>
      <c r="T158" s="189">
        <f>MIN(MAX(S158,0),'Tax Assumptions'!$B$20)</f>
        <v/>
      </c>
      <c r="U158" s="189">
        <f>S158-T158</f>
        <v/>
      </c>
      <c r="V158" s="189">
        <f>MAX(V157*(1+'Model Inputs'!$B$13)+U158,0)</f>
        <v/>
      </c>
      <c r="W158" s="189">
        <f>MAX(W157*(1+'Model Inputs'!$B$13)+M158+T158,0)</f>
        <v/>
      </c>
      <c r="X158" s="189">
        <f>V158+W158</f>
        <v/>
      </c>
      <c r="Y158" s="191">
        <f>IF(AND(X158&gt;=$F$14,X157&lt;$F$14),D158,"")</f>
        <v/>
      </c>
      <c r="Z158" s="191">
        <f>IF(AND(X158&gt;=$F$15,X157&lt;$F$15),D158,"")</f>
        <v/>
      </c>
      <c r="AA158" s="191">
        <f>IF(AND(X158&gt;=$F$16,X157&lt;$F$16),D158,"")</f>
        <v/>
      </c>
      <c r="AB158" s="191">
        <f>IF(AND(X158&gt;=$F$17,X157&lt;$F$17),D158,"")</f>
        <v/>
      </c>
    </row>
    <row r="159" outlineLevel="1" ht="18" customHeight="1" s="326">
      <c r="A159" s="174">
        <f>$A$30</f>
        <v/>
      </c>
      <c r="B159" s="193">
        <f>$B$30</f>
        <v/>
      </c>
      <c r="C159" s="179">
        <f>$C$30</f>
        <v/>
      </c>
      <c r="D159" s="193" t="n">
        <v>4</v>
      </c>
      <c r="E159" s="193">
        <f>('Model Inputs'!$B$22-1)+D159</f>
        <v/>
      </c>
      <c r="F159" s="189">
        <f>IF(D159=1,'Model Inputs'!$B$25*(13-'Model Inputs'!$B$23)/12,'Model Inputs'!$B$25)</f>
        <v/>
      </c>
      <c r="G159" s="189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/>
      </c>
      <c r="H159" s="180">
        <f>IF(D159&lt;=2,0,'Model Inputs'!$B$32*SIN(2*PI()*(D159-3+'Model Inputs'!$B$34)/MAX(1,'Model Inputs'!$B$33)))</f>
        <v/>
      </c>
      <c r="I159" s="189">
        <f>G159*(1+H159)</f>
        <v/>
      </c>
      <c r="J159" s="189">
        <f>0.75*I158+0.25*I157</f>
        <v/>
      </c>
      <c r="K159" s="189">
        <f>F159+J159+IF(D159=1,'Model Inputs'!$B$26,0)</f>
        <v/>
      </c>
      <c r="L159" s="189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/>
      </c>
      <c r="M159" s="189">
        <f>MIN(L159,'Tax Assumptions'!$B$19)</f>
        <v/>
      </c>
      <c r="N159" s="189">
        <f>MAX(L159-M159-'Tax Assumptions'!$B$8,0)</f>
        <v/>
      </c>
      <c r="O159" s="189">
        <f>MAX(L159-M159-'Tax Assumptions'!$B$9,0)</f>
        <v/>
      </c>
      <c r="P159" s="189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/>
      </c>
      <c r="Q159" s="189">
        <f>L159-M159-P159</f>
        <v/>
      </c>
      <c r="R159" s="189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/>
      </c>
      <c r="S159" s="189">
        <f>Q159-R159</f>
        <v/>
      </c>
      <c r="T159" s="189">
        <f>MIN(MAX(S159,0),'Tax Assumptions'!$B$20)</f>
        <v/>
      </c>
      <c r="U159" s="189">
        <f>S159-T159</f>
        <v/>
      </c>
      <c r="V159" s="189">
        <f>MAX(V158*(1+'Model Inputs'!$B$13)+U159,0)</f>
        <v/>
      </c>
      <c r="W159" s="189">
        <f>MAX(W158*(1+'Model Inputs'!$B$13)+M159+T159,0)</f>
        <v/>
      </c>
      <c r="X159" s="189">
        <f>V159+W159</f>
        <v/>
      </c>
      <c r="Y159" s="191">
        <f>IF(AND(X159&gt;=$F$14,X158&lt;$F$14),D159,"")</f>
        <v/>
      </c>
      <c r="Z159" s="191">
        <f>IF(AND(X159&gt;=$F$15,X158&lt;$F$15),D159,"")</f>
        <v/>
      </c>
      <c r="AA159" s="191">
        <f>IF(AND(X159&gt;=$F$16,X158&lt;$F$16),D159,"")</f>
        <v/>
      </c>
      <c r="AB159" s="191">
        <f>IF(AND(X159&gt;=$F$17,X158&lt;$F$17),D159,"")</f>
        <v/>
      </c>
    </row>
    <row r="160" outlineLevel="1" ht="18" customHeight="1" s="326">
      <c r="A160" s="174">
        <f>$A$30</f>
        <v/>
      </c>
      <c r="B160" s="193">
        <f>$B$30</f>
        <v/>
      </c>
      <c r="C160" s="179">
        <f>$C$30</f>
        <v/>
      </c>
      <c r="D160" s="193" t="n">
        <v>5</v>
      </c>
      <c r="E160" s="193">
        <f>('Model Inputs'!$B$22-1)+D160</f>
        <v/>
      </c>
      <c r="F160" s="189">
        <f>IF(D160=1,'Model Inputs'!$B$25*(13-'Model Inputs'!$B$23)/12,'Model Inputs'!$B$25)</f>
        <v/>
      </c>
      <c r="G160" s="189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/>
      </c>
      <c r="H160" s="180">
        <f>IF(D160&lt;=2,0,'Model Inputs'!$B$32*SIN(2*PI()*(D160-3+'Model Inputs'!$B$34)/MAX(1,'Model Inputs'!$B$33)))</f>
        <v/>
      </c>
      <c r="I160" s="189">
        <f>G160*(1+H160)</f>
        <v/>
      </c>
      <c r="J160" s="189">
        <f>0.75*I159+0.25*I158</f>
        <v/>
      </c>
      <c r="K160" s="189">
        <f>F160+J160+IF(D160=1,'Model Inputs'!$B$26,0)</f>
        <v/>
      </c>
      <c r="L160" s="189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/>
      </c>
      <c r="M160" s="189">
        <f>MIN(L160,'Tax Assumptions'!$B$19)</f>
        <v/>
      </c>
      <c r="N160" s="189">
        <f>MAX(L160-M160-'Tax Assumptions'!$B$8,0)</f>
        <v/>
      </c>
      <c r="O160" s="189">
        <f>MAX(L160-M160-'Tax Assumptions'!$B$9,0)</f>
        <v/>
      </c>
      <c r="P160" s="189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/>
      </c>
      <c r="Q160" s="189">
        <f>L160-M160-P160</f>
        <v/>
      </c>
      <c r="R160" s="189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/>
      </c>
      <c r="S160" s="189">
        <f>Q160-R160</f>
        <v/>
      </c>
      <c r="T160" s="189">
        <f>MIN(MAX(S160,0),'Tax Assumptions'!$B$20)</f>
        <v/>
      </c>
      <c r="U160" s="189">
        <f>S160-T160</f>
        <v/>
      </c>
      <c r="V160" s="189">
        <f>MAX(V159*(1+'Model Inputs'!$B$13)+U160,0)</f>
        <v/>
      </c>
      <c r="W160" s="189">
        <f>MAX(W159*(1+'Model Inputs'!$B$13)+M160+T160,0)</f>
        <v/>
      </c>
      <c r="X160" s="189">
        <f>V160+W160</f>
        <v/>
      </c>
      <c r="Y160" s="191">
        <f>IF(AND(X160&gt;=$F$14,X159&lt;$F$14),D160,"")</f>
        <v/>
      </c>
      <c r="Z160" s="191">
        <f>IF(AND(X160&gt;=$F$15,X159&lt;$F$15),D160,"")</f>
        <v/>
      </c>
      <c r="AA160" s="191">
        <f>IF(AND(X160&gt;=$F$16,X159&lt;$F$16),D160,"")</f>
        <v/>
      </c>
      <c r="AB160" s="191">
        <f>IF(AND(X160&gt;=$F$17,X159&lt;$F$17),D160,"")</f>
        <v/>
      </c>
    </row>
    <row r="161" outlineLevel="1" ht="18" customHeight="1" s="326">
      <c r="A161" s="174">
        <f>$A$30</f>
        <v/>
      </c>
      <c r="B161" s="193">
        <f>$B$30</f>
        <v/>
      </c>
      <c r="C161" s="179">
        <f>$C$30</f>
        <v/>
      </c>
      <c r="D161" s="193" t="n">
        <v>6</v>
      </c>
      <c r="E161" s="193">
        <f>('Model Inputs'!$B$22-1)+D161</f>
        <v/>
      </c>
      <c r="F161" s="189">
        <f>IF(D161=1,'Model Inputs'!$B$25*(13-'Model Inputs'!$B$23)/12,'Model Inputs'!$B$25)</f>
        <v/>
      </c>
      <c r="G161" s="189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/>
      </c>
      <c r="H161" s="180">
        <f>IF(D161&lt;=2,0,'Model Inputs'!$B$32*SIN(2*PI()*(D161-3+'Model Inputs'!$B$34)/MAX(1,'Model Inputs'!$B$33)))</f>
        <v/>
      </c>
      <c r="I161" s="189">
        <f>G161*(1+H161)</f>
        <v/>
      </c>
      <c r="J161" s="189">
        <f>0.75*I160+0.25*I159</f>
        <v/>
      </c>
      <c r="K161" s="189">
        <f>F161+J161+IF(D161=1,'Model Inputs'!$B$26,0)</f>
        <v/>
      </c>
      <c r="L161" s="189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/>
      </c>
      <c r="M161" s="189">
        <f>MIN(L161,'Tax Assumptions'!$B$19)</f>
        <v/>
      </c>
      <c r="N161" s="189">
        <f>MAX(L161-M161-'Tax Assumptions'!$B$8,0)</f>
        <v/>
      </c>
      <c r="O161" s="189">
        <f>MAX(L161-M161-'Tax Assumptions'!$B$9,0)</f>
        <v/>
      </c>
      <c r="P161" s="189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/>
      </c>
      <c r="Q161" s="189">
        <f>L161-M161-P161</f>
        <v/>
      </c>
      <c r="R161" s="189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/>
      </c>
      <c r="S161" s="189">
        <f>Q161-R161</f>
        <v/>
      </c>
      <c r="T161" s="189">
        <f>MIN(MAX(S161,0),'Tax Assumptions'!$B$20)</f>
        <v/>
      </c>
      <c r="U161" s="189">
        <f>S161-T161</f>
        <v/>
      </c>
      <c r="V161" s="189">
        <f>MAX(V160*(1+'Model Inputs'!$B$13)+U161,0)</f>
        <v/>
      </c>
      <c r="W161" s="189">
        <f>MAX(W160*(1+'Model Inputs'!$B$13)+M161+T161,0)</f>
        <v/>
      </c>
      <c r="X161" s="189">
        <f>V161+W161</f>
        <v/>
      </c>
      <c r="Y161" s="191">
        <f>IF(AND(X161&gt;=$F$14,X160&lt;$F$14),D161,"")</f>
        <v/>
      </c>
      <c r="Z161" s="191">
        <f>IF(AND(X161&gt;=$F$15,X160&lt;$F$15),D161,"")</f>
        <v/>
      </c>
      <c r="AA161" s="191">
        <f>IF(AND(X161&gt;=$F$16,X160&lt;$F$16),D161,"")</f>
        <v/>
      </c>
      <c r="AB161" s="191">
        <f>IF(AND(X161&gt;=$F$17,X160&lt;$F$17),D161,"")</f>
        <v/>
      </c>
    </row>
    <row r="162" outlineLevel="1" ht="18" customHeight="1" s="326">
      <c r="A162" s="174">
        <f>$A$30</f>
        <v/>
      </c>
      <c r="B162" s="193">
        <f>$B$30</f>
        <v/>
      </c>
      <c r="C162" s="179">
        <f>$C$30</f>
        <v/>
      </c>
      <c r="D162" s="193" t="n">
        <v>7</v>
      </c>
      <c r="E162" s="193">
        <f>('Model Inputs'!$B$22-1)+D162</f>
        <v/>
      </c>
      <c r="F162" s="189">
        <f>IF(D162=1,'Model Inputs'!$B$25*(13-'Model Inputs'!$B$23)/12,'Model Inputs'!$B$25)</f>
        <v/>
      </c>
      <c r="G162" s="189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/>
      </c>
      <c r="H162" s="180">
        <f>IF(D162&lt;=2,0,'Model Inputs'!$B$32*SIN(2*PI()*(D162-3+'Model Inputs'!$B$34)/MAX(1,'Model Inputs'!$B$33)))</f>
        <v/>
      </c>
      <c r="I162" s="189">
        <f>G162*(1+H162)</f>
        <v/>
      </c>
      <c r="J162" s="189">
        <f>0.75*I161+0.25*I160</f>
        <v/>
      </c>
      <c r="K162" s="189">
        <f>F162+J162+IF(D162=1,'Model Inputs'!$B$26,0)</f>
        <v/>
      </c>
      <c r="L162" s="189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/>
      </c>
      <c r="M162" s="189">
        <f>MIN(L162,'Tax Assumptions'!$B$19)</f>
        <v/>
      </c>
      <c r="N162" s="189">
        <f>MAX(L162-M162-'Tax Assumptions'!$B$8,0)</f>
        <v/>
      </c>
      <c r="O162" s="189">
        <f>MAX(L162-M162-'Tax Assumptions'!$B$9,0)</f>
        <v/>
      </c>
      <c r="P162" s="189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/>
      </c>
      <c r="Q162" s="189">
        <f>L162-M162-P162</f>
        <v/>
      </c>
      <c r="R162" s="189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/>
      </c>
      <c r="S162" s="189">
        <f>Q162-R162</f>
        <v/>
      </c>
      <c r="T162" s="189">
        <f>MIN(MAX(S162,0),'Tax Assumptions'!$B$20)</f>
        <v/>
      </c>
      <c r="U162" s="189">
        <f>S162-T162</f>
        <v/>
      </c>
      <c r="V162" s="189">
        <f>MAX(V161*(1+'Model Inputs'!$B$13)+U162,0)</f>
        <v/>
      </c>
      <c r="W162" s="189">
        <f>MAX(W161*(1+'Model Inputs'!$B$13)+M162+T162,0)</f>
        <v/>
      </c>
      <c r="X162" s="189">
        <f>V162+W162</f>
        <v/>
      </c>
      <c r="Y162" s="191">
        <f>IF(AND(X162&gt;=$F$14,X161&lt;$F$14),D162,"")</f>
        <v/>
      </c>
      <c r="Z162" s="191">
        <f>IF(AND(X162&gt;=$F$15,X161&lt;$F$15),D162,"")</f>
        <v/>
      </c>
      <c r="AA162" s="191">
        <f>IF(AND(X162&gt;=$F$16,X161&lt;$F$16),D162,"")</f>
        <v/>
      </c>
      <c r="AB162" s="191">
        <f>IF(AND(X162&gt;=$F$17,X161&lt;$F$17),D162,"")</f>
        <v/>
      </c>
    </row>
    <row r="163" outlineLevel="1" ht="18" customHeight="1" s="326">
      <c r="A163" s="174">
        <f>$A$30</f>
        <v/>
      </c>
      <c r="B163" s="193">
        <f>$B$30</f>
        <v/>
      </c>
      <c r="C163" s="179">
        <f>$C$30</f>
        <v/>
      </c>
      <c r="D163" s="193" t="n">
        <v>8</v>
      </c>
      <c r="E163" s="193">
        <f>('Model Inputs'!$B$22-1)+D163</f>
        <v/>
      </c>
      <c r="F163" s="189">
        <f>IF(D163=1,'Model Inputs'!$B$25*(13-'Model Inputs'!$B$23)/12,'Model Inputs'!$B$25)</f>
        <v/>
      </c>
      <c r="G163" s="189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/>
      </c>
      <c r="H163" s="180">
        <f>IF(D163&lt;=2,0,'Model Inputs'!$B$32*SIN(2*PI()*(D163-3+'Model Inputs'!$B$34)/MAX(1,'Model Inputs'!$B$33)))</f>
        <v/>
      </c>
      <c r="I163" s="189">
        <f>G163*(1+H163)</f>
        <v/>
      </c>
      <c r="J163" s="189">
        <f>0.75*I162+0.25*I161</f>
        <v/>
      </c>
      <c r="K163" s="189">
        <f>F163+J163+IF(D163=1,'Model Inputs'!$B$26,0)</f>
        <v/>
      </c>
      <c r="L163" s="189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/>
      </c>
      <c r="M163" s="189">
        <f>MIN(L163,'Tax Assumptions'!$B$19)</f>
        <v/>
      </c>
      <c r="N163" s="189">
        <f>MAX(L163-M163-'Tax Assumptions'!$B$8,0)</f>
        <v/>
      </c>
      <c r="O163" s="189">
        <f>MAX(L163-M163-'Tax Assumptions'!$B$9,0)</f>
        <v/>
      </c>
      <c r="P163" s="189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/>
      </c>
      <c r="Q163" s="189">
        <f>L163-M163-P163</f>
        <v/>
      </c>
      <c r="R163" s="189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/>
      </c>
      <c r="S163" s="189">
        <f>Q163-R163</f>
        <v/>
      </c>
      <c r="T163" s="189">
        <f>MIN(MAX(S163,0),'Tax Assumptions'!$B$20)</f>
        <v/>
      </c>
      <c r="U163" s="189">
        <f>S163-T163</f>
        <v/>
      </c>
      <c r="V163" s="189">
        <f>MAX(V162*(1+'Model Inputs'!$B$13)+U163,0)</f>
        <v/>
      </c>
      <c r="W163" s="189">
        <f>MAX(W162*(1+'Model Inputs'!$B$13)+M163+T163,0)</f>
        <v/>
      </c>
      <c r="X163" s="189">
        <f>V163+W163</f>
        <v/>
      </c>
      <c r="Y163" s="191">
        <f>IF(AND(X163&gt;=$F$14,X162&lt;$F$14),D163,"")</f>
        <v/>
      </c>
      <c r="Z163" s="191">
        <f>IF(AND(X163&gt;=$F$15,X162&lt;$F$15),D163,"")</f>
        <v/>
      </c>
      <c r="AA163" s="191">
        <f>IF(AND(X163&gt;=$F$16,X162&lt;$F$16),D163,"")</f>
        <v/>
      </c>
      <c r="AB163" s="191">
        <f>IF(AND(X163&gt;=$F$17,X162&lt;$F$17),D163,"")</f>
        <v/>
      </c>
    </row>
    <row r="164" outlineLevel="1" ht="18" customHeight="1" s="326">
      <c r="A164" s="174">
        <f>$A$30</f>
        <v/>
      </c>
      <c r="B164" s="193">
        <f>$B$30</f>
        <v/>
      </c>
      <c r="C164" s="179">
        <f>$C$30</f>
        <v/>
      </c>
      <c r="D164" s="193" t="n">
        <v>9</v>
      </c>
      <c r="E164" s="193">
        <f>('Model Inputs'!$B$22-1)+D164</f>
        <v/>
      </c>
      <c r="F164" s="189">
        <f>IF(D164=1,'Model Inputs'!$B$25*(13-'Model Inputs'!$B$23)/12,'Model Inputs'!$B$25)</f>
        <v/>
      </c>
      <c r="G164" s="189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/>
      </c>
      <c r="H164" s="180">
        <f>IF(D164&lt;=2,0,'Model Inputs'!$B$32*SIN(2*PI()*(D164-3+'Model Inputs'!$B$34)/MAX(1,'Model Inputs'!$B$33)))</f>
        <v/>
      </c>
      <c r="I164" s="189">
        <f>G164*(1+H164)</f>
        <v/>
      </c>
      <c r="J164" s="189">
        <f>0.75*I163+0.25*I162</f>
        <v/>
      </c>
      <c r="K164" s="189">
        <f>F164+J164+IF(D164=1,'Model Inputs'!$B$26,0)</f>
        <v/>
      </c>
      <c r="L164" s="189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/>
      </c>
      <c r="M164" s="189">
        <f>MIN(L164,'Tax Assumptions'!$B$19)</f>
        <v/>
      </c>
      <c r="N164" s="189">
        <f>MAX(L164-M164-'Tax Assumptions'!$B$8,0)</f>
        <v/>
      </c>
      <c r="O164" s="189">
        <f>MAX(L164-M164-'Tax Assumptions'!$B$9,0)</f>
        <v/>
      </c>
      <c r="P164" s="189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/>
      </c>
      <c r="Q164" s="189">
        <f>L164-M164-P164</f>
        <v/>
      </c>
      <c r="R164" s="189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/>
      </c>
      <c r="S164" s="189">
        <f>Q164-R164</f>
        <v/>
      </c>
      <c r="T164" s="189">
        <f>MIN(MAX(S164,0),'Tax Assumptions'!$B$20)</f>
        <v/>
      </c>
      <c r="U164" s="189">
        <f>S164-T164</f>
        <v/>
      </c>
      <c r="V164" s="189">
        <f>MAX(V163*(1+'Model Inputs'!$B$13)+U164,0)</f>
        <v/>
      </c>
      <c r="W164" s="189">
        <f>MAX(W163*(1+'Model Inputs'!$B$13)+M164+T164,0)</f>
        <v/>
      </c>
      <c r="X164" s="189">
        <f>V164+W164</f>
        <v/>
      </c>
      <c r="Y164" s="191">
        <f>IF(AND(X164&gt;=$F$14,X163&lt;$F$14),D164,"")</f>
        <v/>
      </c>
      <c r="Z164" s="191">
        <f>IF(AND(X164&gt;=$F$15,X163&lt;$F$15),D164,"")</f>
        <v/>
      </c>
      <c r="AA164" s="191">
        <f>IF(AND(X164&gt;=$F$16,X163&lt;$F$16),D164,"")</f>
        <v/>
      </c>
      <c r="AB164" s="191">
        <f>IF(AND(X164&gt;=$F$17,X163&lt;$F$17),D164,"")</f>
        <v/>
      </c>
    </row>
    <row r="165" outlineLevel="1" ht="18" customHeight="1" s="326">
      <c r="A165" s="174">
        <f>$A$30</f>
        <v/>
      </c>
      <c r="B165" s="193">
        <f>$B$30</f>
        <v/>
      </c>
      <c r="C165" s="179">
        <f>$C$30</f>
        <v/>
      </c>
      <c r="D165" s="193" t="n">
        <v>10</v>
      </c>
      <c r="E165" s="193">
        <f>('Model Inputs'!$B$22-1)+D165</f>
        <v/>
      </c>
      <c r="F165" s="189">
        <f>IF(D165=1,'Model Inputs'!$B$25*(13-'Model Inputs'!$B$23)/12,'Model Inputs'!$B$25)</f>
        <v/>
      </c>
      <c r="G165" s="189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/>
      </c>
      <c r="H165" s="180">
        <f>IF(D165&lt;=2,0,'Model Inputs'!$B$32*SIN(2*PI()*(D165-3+'Model Inputs'!$B$34)/MAX(1,'Model Inputs'!$B$33)))</f>
        <v/>
      </c>
      <c r="I165" s="189">
        <f>G165*(1+H165)</f>
        <v/>
      </c>
      <c r="J165" s="189">
        <f>0.75*I164+0.25*I163</f>
        <v/>
      </c>
      <c r="K165" s="189">
        <f>F165+J165+IF(D165=1,'Model Inputs'!$B$26,0)</f>
        <v/>
      </c>
      <c r="L165" s="189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/>
      </c>
      <c r="M165" s="189">
        <f>MIN(L165,'Tax Assumptions'!$B$19)</f>
        <v/>
      </c>
      <c r="N165" s="189">
        <f>MAX(L165-M165-'Tax Assumptions'!$B$8,0)</f>
        <v/>
      </c>
      <c r="O165" s="189">
        <f>MAX(L165-M165-'Tax Assumptions'!$B$9,0)</f>
        <v/>
      </c>
      <c r="P165" s="189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/>
      </c>
      <c r="Q165" s="189">
        <f>L165-M165-P165</f>
        <v/>
      </c>
      <c r="R165" s="189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/>
      </c>
      <c r="S165" s="189">
        <f>Q165-R165</f>
        <v/>
      </c>
      <c r="T165" s="189">
        <f>MIN(MAX(S165,0),'Tax Assumptions'!$B$20)</f>
        <v/>
      </c>
      <c r="U165" s="189">
        <f>S165-T165</f>
        <v/>
      </c>
      <c r="V165" s="189">
        <f>MAX(V164*(1+'Model Inputs'!$B$13)+U165,0)</f>
        <v/>
      </c>
      <c r="W165" s="189">
        <f>MAX(W164*(1+'Model Inputs'!$B$13)+M165+T165,0)</f>
        <v/>
      </c>
      <c r="X165" s="189">
        <f>V165+W165</f>
        <v/>
      </c>
      <c r="Y165" s="191">
        <f>IF(AND(X165&gt;=$F$14,X164&lt;$F$14),D165,"")</f>
        <v/>
      </c>
      <c r="Z165" s="191">
        <f>IF(AND(X165&gt;=$F$15,X164&lt;$F$15),D165,"")</f>
        <v/>
      </c>
      <c r="AA165" s="191">
        <f>IF(AND(X165&gt;=$F$16,X164&lt;$F$16),D165,"")</f>
        <v/>
      </c>
      <c r="AB165" s="191">
        <f>IF(AND(X165&gt;=$F$17,X164&lt;$F$17),D165,"")</f>
        <v/>
      </c>
    </row>
    <row r="166" outlineLevel="1" ht="18" customHeight="1" s="326">
      <c r="A166" s="174">
        <f>$A$30</f>
        <v/>
      </c>
      <c r="B166" s="193">
        <f>$B$30</f>
        <v/>
      </c>
      <c r="C166" s="179">
        <f>$C$30</f>
        <v/>
      </c>
      <c r="D166" s="193" t="n">
        <v>11</v>
      </c>
      <c r="E166" s="193">
        <f>('Model Inputs'!$B$22-1)+D166</f>
        <v/>
      </c>
      <c r="F166" s="189">
        <f>IF(D166=1,'Model Inputs'!$B$25*(13-'Model Inputs'!$B$23)/12,'Model Inputs'!$B$25)</f>
        <v/>
      </c>
      <c r="G166" s="189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/>
      </c>
      <c r="H166" s="180">
        <f>IF(D166&lt;=2,0,'Model Inputs'!$B$32*SIN(2*PI()*(D166-3+'Model Inputs'!$B$34)/MAX(1,'Model Inputs'!$B$33)))</f>
        <v/>
      </c>
      <c r="I166" s="189">
        <f>G166*(1+H166)</f>
        <v/>
      </c>
      <c r="J166" s="189">
        <f>0.75*I165+0.25*I164</f>
        <v/>
      </c>
      <c r="K166" s="189">
        <f>F166+J166+IF(D166=1,'Model Inputs'!$B$26,0)</f>
        <v/>
      </c>
      <c r="L166" s="189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/>
      </c>
      <c r="M166" s="189">
        <f>MIN(L166,'Tax Assumptions'!$B$19)</f>
        <v/>
      </c>
      <c r="N166" s="189">
        <f>MAX(L166-M166-'Tax Assumptions'!$B$8,0)</f>
        <v/>
      </c>
      <c r="O166" s="189">
        <f>MAX(L166-M166-'Tax Assumptions'!$B$9,0)</f>
        <v/>
      </c>
      <c r="P166" s="189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/>
      </c>
      <c r="Q166" s="189">
        <f>L166-M166-P166</f>
        <v/>
      </c>
      <c r="R166" s="189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/>
      </c>
      <c r="S166" s="189">
        <f>Q166-R166</f>
        <v/>
      </c>
      <c r="T166" s="189">
        <f>MIN(MAX(S166,0),'Tax Assumptions'!$B$20)</f>
        <v/>
      </c>
      <c r="U166" s="189">
        <f>S166-T166</f>
        <v/>
      </c>
      <c r="V166" s="189">
        <f>MAX(V165*(1+'Model Inputs'!$B$13)+U166,0)</f>
        <v/>
      </c>
      <c r="W166" s="189">
        <f>MAX(W165*(1+'Model Inputs'!$B$13)+M166+T166,0)</f>
        <v/>
      </c>
      <c r="X166" s="189">
        <f>V166+W166</f>
        <v/>
      </c>
      <c r="Y166" s="191">
        <f>IF(AND(X166&gt;=$F$14,X165&lt;$F$14),D166,"")</f>
        <v/>
      </c>
      <c r="Z166" s="191">
        <f>IF(AND(X166&gt;=$F$15,X165&lt;$F$15),D166,"")</f>
        <v/>
      </c>
      <c r="AA166" s="191">
        <f>IF(AND(X166&gt;=$F$16,X165&lt;$F$16),D166,"")</f>
        <v/>
      </c>
      <c r="AB166" s="191">
        <f>IF(AND(X166&gt;=$F$17,X165&lt;$F$17),D166,"")</f>
        <v/>
      </c>
    </row>
    <row r="167" outlineLevel="1" ht="18" customHeight="1" s="326">
      <c r="A167" s="174">
        <f>$A$30</f>
        <v/>
      </c>
      <c r="B167" s="193">
        <f>$B$30</f>
        <v/>
      </c>
      <c r="C167" s="179">
        <f>$C$30</f>
        <v/>
      </c>
      <c r="D167" s="193" t="n">
        <v>12</v>
      </c>
      <c r="E167" s="193">
        <f>('Model Inputs'!$B$22-1)+D167</f>
        <v/>
      </c>
      <c r="F167" s="189">
        <f>IF(D167=1,'Model Inputs'!$B$25*(13-'Model Inputs'!$B$23)/12,'Model Inputs'!$B$25)</f>
        <v/>
      </c>
      <c r="G167" s="189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/>
      </c>
      <c r="H167" s="180">
        <f>IF(D167&lt;=2,0,'Model Inputs'!$B$32*SIN(2*PI()*(D167-3+'Model Inputs'!$B$34)/MAX(1,'Model Inputs'!$B$33)))</f>
        <v/>
      </c>
      <c r="I167" s="189">
        <f>G167*(1+H167)</f>
        <v/>
      </c>
      <c r="J167" s="189">
        <f>0.75*I166+0.25*I165</f>
        <v/>
      </c>
      <c r="K167" s="189">
        <f>F167+J167+IF(D167=1,'Model Inputs'!$B$26,0)</f>
        <v/>
      </c>
      <c r="L167" s="189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/>
      </c>
      <c r="M167" s="189">
        <f>MIN(L167,'Tax Assumptions'!$B$19)</f>
        <v/>
      </c>
      <c r="N167" s="189">
        <f>MAX(L167-M167-'Tax Assumptions'!$B$8,0)</f>
        <v/>
      </c>
      <c r="O167" s="189">
        <f>MAX(L167-M167-'Tax Assumptions'!$B$9,0)</f>
        <v/>
      </c>
      <c r="P167" s="189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/>
      </c>
      <c r="Q167" s="189">
        <f>L167-M167-P167</f>
        <v/>
      </c>
      <c r="R167" s="189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/>
      </c>
      <c r="S167" s="189">
        <f>Q167-R167</f>
        <v/>
      </c>
      <c r="T167" s="189">
        <f>MIN(MAX(S167,0),'Tax Assumptions'!$B$20)</f>
        <v/>
      </c>
      <c r="U167" s="189">
        <f>S167-T167</f>
        <v/>
      </c>
      <c r="V167" s="189">
        <f>MAX(V166*(1+'Model Inputs'!$B$13)+U167,0)</f>
        <v/>
      </c>
      <c r="W167" s="189">
        <f>MAX(W166*(1+'Model Inputs'!$B$13)+M167+T167,0)</f>
        <v/>
      </c>
      <c r="X167" s="189">
        <f>V167+W167</f>
        <v/>
      </c>
      <c r="Y167" s="191">
        <f>IF(AND(X167&gt;=$F$14,X166&lt;$F$14),D167,"")</f>
        <v/>
      </c>
      <c r="Z167" s="191">
        <f>IF(AND(X167&gt;=$F$15,X166&lt;$F$15),D167,"")</f>
        <v/>
      </c>
      <c r="AA167" s="191">
        <f>IF(AND(X167&gt;=$F$16,X166&lt;$F$16),D167,"")</f>
        <v/>
      </c>
      <c r="AB167" s="191">
        <f>IF(AND(X167&gt;=$F$17,X166&lt;$F$17),D167,"")</f>
        <v/>
      </c>
    </row>
    <row r="168" outlineLevel="1" ht="18" customHeight="1" s="326">
      <c r="A168" s="174">
        <f>$A$30</f>
        <v/>
      </c>
      <c r="B168" s="193">
        <f>$B$30</f>
        <v/>
      </c>
      <c r="C168" s="179">
        <f>$C$30</f>
        <v/>
      </c>
      <c r="D168" s="193" t="n">
        <v>13</v>
      </c>
      <c r="E168" s="193">
        <f>('Model Inputs'!$B$22-1)+D168</f>
        <v/>
      </c>
      <c r="F168" s="189">
        <f>IF(D168=1,'Model Inputs'!$B$25*(13-'Model Inputs'!$B$23)/12,'Model Inputs'!$B$25)</f>
        <v/>
      </c>
      <c r="G168" s="189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/>
      </c>
      <c r="H168" s="180">
        <f>IF(D168&lt;=2,0,'Model Inputs'!$B$32*SIN(2*PI()*(D168-3+'Model Inputs'!$B$34)/MAX(1,'Model Inputs'!$B$33)))</f>
        <v/>
      </c>
      <c r="I168" s="189">
        <f>G168*(1+H168)</f>
        <v/>
      </c>
      <c r="J168" s="189">
        <f>0.75*I167+0.25*I166</f>
        <v/>
      </c>
      <c r="K168" s="189">
        <f>F168+J168+IF(D168=1,'Model Inputs'!$B$26,0)</f>
        <v/>
      </c>
      <c r="L168" s="189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/>
      </c>
      <c r="M168" s="189">
        <f>MIN(L168,'Tax Assumptions'!$B$19)</f>
        <v/>
      </c>
      <c r="N168" s="189">
        <f>MAX(L168-M168-'Tax Assumptions'!$B$8,0)</f>
        <v/>
      </c>
      <c r="O168" s="189">
        <f>MAX(L168-M168-'Tax Assumptions'!$B$9,0)</f>
        <v/>
      </c>
      <c r="P168" s="189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/>
      </c>
      <c r="Q168" s="189">
        <f>L168-M168-P168</f>
        <v/>
      </c>
      <c r="R168" s="189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/>
      </c>
      <c r="S168" s="189">
        <f>Q168-R168</f>
        <v/>
      </c>
      <c r="T168" s="189">
        <f>MIN(MAX(S168,0),'Tax Assumptions'!$B$20)</f>
        <v/>
      </c>
      <c r="U168" s="189">
        <f>S168-T168</f>
        <v/>
      </c>
      <c r="V168" s="189">
        <f>MAX(V167*(1+'Model Inputs'!$B$13)+U168,0)</f>
        <v/>
      </c>
      <c r="W168" s="189">
        <f>MAX(W167*(1+'Model Inputs'!$B$13)+M168+T168,0)</f>
        <v/>
      </c>
      <c r="X168" s="189">
        <f>V168+W168</f>
        <v/>
      </c>
      <c r="Y168" s="191">
        <f>IF(AND(X168&gt;=$F$14,X167&lt;$F$14),D168,"")</f>
        <v/>
      </c>
      <c r="Z168" s="191">
        <f>IF(AND(X168&gt;=$F$15,X167&lt;$F$15),D168,"")</f>
        <v/>
      </c>
      <c r="AA168" s="191">
        <f>IF(AND(X168&gt;=$F$16,X167&lt;$F$16),D168,"")</f>
        <v/>
      </c>
      <c r="AB168" s="191">
        <f>IF(AND(X168&gt;=$F$17,X167&lt;$F$17),D168,"")</f>
        <v/>
      </c>
    </row>
    <row r="169" outlineLevel="1" ht="18" customHeight="1" s="326">
      <c r="A169" s="174">
        <f>$A$30</f>
        <v/>
      </c>
      <c r="B169" s="193">
        <f>$B$30</f>
        <v/>
      </c>
      <c r="C169" s="179">
        <f>$C$30</f>
        <v/>
      </c>
      <c r="D169" s="193" t="n">
        <v>14</v>
      </c>
      <c r="E169" s="193">
        <f>('Model Inputs'!$B$22-1)+D169</f>
        <v/>
      </c>
      <c r="F169" s="189">
        <f>IF(D169=1,'Model Inputs'!$B$25*(13-'Model Inputs'!$B$23)/12,'Model Inputs'!$B$25)</f>
        <v/>
      </c>
      <c r="G169" s="189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/>
      </c>
      <c r="H169" s="180">
        <f>IF(D169&lt;=2,0,'Model Inputs'!$B$32*SIN(2*PI()*(D169-3+'Model Inputs'!$B$34)/MAX(1,'Model Inputs'!$B$33)))</f>
        <v/>
      </c>
      <c r="I169" s="189">
        <f>G169*(1+H169)</f>
        <v/>
      </c>
      <c r="J169" s="189">
        <f>0.75*I168+0.25*I167</f>
        <v/>
      </c>
      <c r="K169" s="189">
        <f>F169+J169+IF(D169=1,'Model Inputs'!$B$26,0)</f>
        <v/>
      </c>
      <c r="L169" s="189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/>
      </c>
      <c r="M169" s="189">
        <f>MIN(L169,'Tax Assumptions'!$B$19)</f>
        <v/>
      </c>
      <c r="N169" s="189">
        <f>MAX(L169-M169-'Tax Assumptions'!$B$8,0)</f>
        <v/>
      </c>
      <c r="O169" s="189">
        <f>MAX(L169-M169-'Tax Assumptions'!$B$9,0)</f>
        <v/>
      </c>
      <c r="P169" s="189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/>
      </c>
      <c r="Q169" s="189">
        <f>L169-M169-P169</f>
        <v/>
      </c>
      <c r="R169" s="189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/>
      </c>
      <c r="S169" s="189">
        <f>Q169-R169</f>
        <v/>
      </c>
      <c r="T169" s="189">
        <f>MIN(MAX(S169,0),'Tax Assumptions'!$B$20)</f>
        <v/>
      </c>
      <c r="U169" s="189">
        <f>S169-T169</f>
        <v/>
      </c>
      <c r="V169" s="189">
        <f>MAX(V168*(1+'Model Inputs'!$B$13)+U169,0)</f>
        <v/>
      </c>
      <c r="W169" s="189">
        <f>MAX(W168*(1+'Model Inputs'!$B$13)+M169+T169,0)</f>
        <v/>
      </c>
      <c r="X169" s="189">
        <f>V169+W169</f>
        <v/>
      </c>
      <c r="Y169" s="191">
        <f>IF(AND(X169&gt;=$F$14,X168&lt;$F$14),D169,"")</f>
        <v/>
      </c>
      <c r="Z169" s="191">
        <f>IF(AND(X169&gt;=$F$15,X168&lt;$F$15),D169,"")</f>
        <v/>
      </c>
      <c r="AA169" s="191">
        <f>IF(AND(X169&gt;=$F$16,X168&lt;$F$16),D169,"")</f>
        <v/>
      </c>
      <c r="AB169" s="191">
        <f>IF(AND(X169&gt;=$F$17,X168&lt;$F$17),D169,"")</f>
        <v/>
      </c>
    </row>
    <row r="170" outlineLevel="1" ht="18" customHeight="1" s="326">
      <c r="A170" s="174">
        <f>$A$30</f>
        <v/>
      </c>
      <c r="B170" s="193">
        <f>$B$30</f>
        <v/>
      </c>
      <c r="C170" s="179">
        <f>$C$30</f>
        <v/>
      </c>
      <c r="D170" s="193" t="n">
        <v>15</v>
      </c>
      <c r="E170" s="193">
        <f>('Model Inputs'!$B$22-1)+D170</f>
        <v/>
      </c>
      <c r="F170" s="189">
        <f>IF(D170=1,'Model Inputs'!$B$25*(13-'Model Inputs'!$B$23)/12,'Model Inputs'!$B$25)</f>
        <v/>
      </c>
      <c r="G170" s="189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/>
      </c>
      <c r="H170" s="180">
        <f>IF(D170&lt;=2,0,'Model Inputs'!$B$32*SIN(2*PI()*(D170-3+'Model Inputs'!$B$34)/MAX(1,'Model Inputs'!$B$33)))</f>
        <v/>
      </c>
      <c r="I170" s="189">
        <f>G170*(1+H170)</f>
        <v/>
      </c>
      <c r="J170" s="189">
        <f>0.75*I169+0.25*I168</f>
        <v/>
      </c>
      <c r="K170" s="189">
        <f>F170+J170+IF(D170=1,'Model Inputs'!$B$26,0)</f>
        <v/>
      </c>
      <c r="L170" s="189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/>
      </c>
      <c r="M170" s="189">
        <f>MIN(L170,'Tax Assumptions'!$B$19)</f>
        <v/>
      </c>
      <c r="N170" s="189">
        <f>MAX(L170-M170-'Tax Assumptions'!$B$8,0)</f>
        <v/>
      </c>
      <c r="O170" s="189">
        <f>MAX(L170-M170-'Tax Assumptions'!$B$9,0)</f>
        <v/>
      </c>
      <c r="P170" s="189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/>
      </c>
      <c r="Q170" s="189">
        <f>L170-M170-P170</f>
        <v/>
      </c>
      <c r="R170" s="189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/>
      </c>
      <c r="S170" s="189">
        <f>Q170-R170</f>
        <v/>
      </c>
      <c r="T170" s="189">
        <f>MIN(MAX(S170,0),'Tax Assumptions'!$B$20)</f>
        <v/>
      </c>
      <c r="U170" s="189">
        <f>S170-T170</f>
        <v/>
      </c>
      <c r="V170" s="189">
        <f>MAX(V169*(1+'Model Inputs'!$B$13)+U170,0)</f>
        <v/>
      </c>
      <c r="W170" s="189">
        <f>MAX(W169*(1+'Model Inputs'!$B$13)+M170+T170,0)</f>
        <v/>
      </c>
      <c r="X170" s="189">
        <f>V170+W170</f>
        <v/>
      </c>
      <c r="Y170" s="191">
        <f>IF(AND(X170&gt;=$F$14,X169&lt;$F$14),D170,"")</f>
        <v/>
      </c>
      <c r="Z170" s="191">
        <f>IF(AND(X170&gt;=$F$15,X169&lt;$F$15),D170,"")</f>
        <v/>
      </c>
      <c r="AA170" s="191">
        <f>IF(AND(X170&gt;=$F$16,X169&lt;$F$16),D170,"")</f>
        <v/>
      </c>
      <c r="AB170" s="191">
        <f>IF(AND(X170&gt;=$F$17,X169&lt;$F$17),D170,"")</f>
        <v/>
      </c>
    </row>
  </sheetData>
  <mergeCells count="12">
    <mergeCell ref="A34:X34"/>
    <mergeCell ref="B9:Q9"/>
    <mergeCell ref="A4:Q4"/>
    <mergeCell ref="B8:Q8"/>
    <mergeCell ref="A12:G12"/>
    <mergeCell ref="A20:Q20"/>
    <mergeCell ref="A2:Q2"/>
    <mergeCell ref="A33:X33"/>
    <mergeCell ref="B6:Q6"/>
    <mergeCell ref="B7:Q7"/>
    <mergeCell ref="A1:Q1"/>
    <mergeCell ref="B5:Q5"/>
  </mergeCells>
  <conditionalFormatting sqref="I22:L30">
    <cfRule type="cellIs" priority="1" operator="greaterThanOrEqual" dxfId="1">
      <formula>0</formula>
    </cfRule>
    <cfRule type="cellIs" priority="2" operator="lessThan" dxfId="0">
      <formula>0</formula>
    </cfRule>
    <cfRule type="cellIs" priority="14" operator="greaterThanOrEqual" dxfId="36">
      <formula>0</formula>
    </cfRule>
    <cfRule type="cellIs" priority="15" operator="lessThan" dxfId="37">
      <formula>0</formula>
    </cfRule>
  </conditionalFormatting>
  <conditionalFormatting sqref="M22:M30">
    <cfRule type="expression" priority="5" dxfId="0">
      <formula>ISNUMBER(SEARCH("Short",M22))</formula>
    </cfRule>
    <cfRule type="expression" priority="6" dxfId="1">
      <formula>ISNUMBER(SEARCH("Clears",M22))</formula>
    </cfRule>
    <cfRule type="expression" priority="14" dxfId="0">
      <formula>ISNUMBER(SEARCH("Short",M22))</formula>
    </cfRule>
    <cfRule type="expression" priority="15" dxfId="1">
      <formula>ISNUMBER(SEARCH("Clears",M22))</formula>
    </cfRule>
    <cfRule type="expression" priority="18" dxfId="37">
      <formula>ISNUMBER(SEARCH("Short",M22))</formula>
    </cfRule>
    <cfRule type="expression" priority="19" dxfId="36">
      <formula>ISNUMBER(SEARCH("Clears",M22))</formula>
    </cfRule>
  </conditionalFormatting>
  <conditionalFormatting sqref="R22:U30">
    <cfRule type="cellIs" priority="3" operator="greaterThanOrEqual" dxfId="1">
      <formula>0</formula>
    </cfRule>
    <cfRule type="cellIs" priority="4" operator="lessThan" dxfId="0">
      <formula>0</formula>
    </cfRule>
    <cfRule type="cellIs" priority="16" operator="greaterThanOrEqual" dxfId="36">
      <formula>0</formula>
    </cfRule>
    <cfRule type="cellIs" priority="17" operator="lessThan" dxfId="37">
      <formula>0</formula>
    </cfRule>
  </conditionalFormatting>
  <conditionalFormatting sqref="V22:V30">
    <cfRule type="expression" priority="7" dxfId="0">
      <formula>ISNUMBER(SEARCH("Short",V22))</formula>
    </cfRule>
    <cfRule type="expression" priority="8" dxfId="1">
      <formula>ISNUMBER(SEARCH("Clears",V22))</formula>
    </cfRule>
    <cfRule type="expression" priority="16" dxfId="0">
      <formula>ISNUMBER(SEARCH("Short",V22))</formula>
    </cfRule>
    <cfRule type="expression" priority="17" dxfId="1">
      <formula>ISNUMBER(SEARCH("Clears",V22))</formula>
    </cfRule>
    <cfRule type="expression" priority="20" dxfId="37">
      <formula>ISNUMBER(SEARCH("Short",V22))</formula>
    </cfRule>
    <cfRule type="expression" priority="21" dxfId="36">
      <formula>ISNUMBER(SEARCH("Clears",V22))</formula>
    </cfRule>
  </conditionalFormatting>
  <conditionalFormatting sqref="W22:Z30">
    <cfRule type="expression" priority="9" dxfId="0">
      <formula>W22="Not by Y15"</formula>
    </cfRule>
    <cfRule type="expression" priority="22" dxfId="37">
      <formula>W22="Not by Y15"</formula>
    </cfRule>
  </conditionalFormatting>
  <dataValidations count="5">
    <dataValidation sqref="J15" showDropDown="0" showInputMessage="1" showErrorMessage="1" allowBlank="1" errorTitle="Invalid input" error="This value is outside the supported range for this workbook." promptTitle="Input guidance" prompt="Choose the last boosted YOE before plateau begins." type="list">
      <formula1>"8,9,10,11,12,13,14,15"</formula1>
    </dataValidation>
    <dataValidation sqref="J16:J17" showDropDown="0" showInputMessage="1" showErrorMessage="1" allowBlank="1" errorTitle="Invalid input" error="This value is outside the supported range for this workbook." promptTitle="Input guidance" prompt="Use a nonnegative annual comp amount." type="decimal">
      <formula1>0</formula1>
      <formula2>25000000</formula2>
    </dataValidation>
    <dataValidation sqref="J18" showDropDown="0" showInputMessage="1" showErrorMessage="1" allowBlank="1" errorTitle="Invalid input" error="This value is outside the supported range for this workbook." promptTitle="Input guidance" prompt="Choose base-salary-only noncompete years." type="list">
      <formula1>"0,1,2,3,4,5"</formula1>
    </dataValidation>
    <dataValidation sqref="B22:B30" showDropDown="0" showInputMessage="1" showErrorMessage="1" allowBlank="1" errorTitle="Invalid input" error="This value is outside the supported range for this workbook." promptTitle="Input guidance" prompt="Choose switch timing after completed YOE." type="list">
      <formula1>"3,4,5"</formula1>
    </dataValidation>
    <dataValidation sqref="C22:C30" showDropDown="0" showInputMessage="1" showErrorMessage="1" allowBlank="1" errorTitle="Invalid input" error="This value is outside the supported range for this workbook." promptTitle="Input guidance" prompt="Choose the IC switch comp bump multiple." type="list">
      <formula1>"2,3,4"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FFC000"/>
    <outlinePr summaryBelow="0"/>
    <pageSetUpPr/>
  </sheetPr>
  <dimension ref="A1:AJ350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outlineLevelRow="1"/>
  <cols>
    <col width="24" customWidth="1" style="326" min="1" max="1"/>
    <col width="18" customWidth="1" style="326" min="2" max="2"/>
    <col width="10" customWidth="1" style="326" min="3" max="3"/>
    <col width="12" customWidth="1" style="326" min="4" max="5"/>
    <col width="14" customWidth="1" style="326" min="6" max="6"/>
    <col width="12" customWidth="1" style="326" min="7" max="8"/>
    <col width="14" customWidth="1" style="326" min="9" max="11"/>
    <col width="16" customWidth="1" style="326" min="12" max="12"/>
    <col width="14" customWidth="1" style="326" min="13" max="14"/>
    <col width="16" customWidth="1" style="326" min="15" max="18"/>
    <col width="28" customWidth="1" style="326" min="19" max="19"/>
    <col width="14" customWidth="1" style="326" min="20" max="20"/>
    <col width="16" customWidth="1" style="326" min="21" max="21"/>
    <col width="14" customWidth="1" style="326" min="22" max="23"/>
    <col width="16" customWidth="1" style="326" min="24" max="27"/>
    <col width="28" customWidth="1" style="326" min="28" max="28"/>
    <col width="16" customWidth="1" style="326" min="29" max="32"/>
    <col width="14" customWidth="1" style="326" min="33" max="36"/>
  </cols>
  <sheetData>
    <row r="1" ht="26" customHeight="1" s="326">
      <c r="A1" s="492" t="inlineStr">
        <is>
          <t>PM After First Switch Scenarios</t>
        </is>
      </c>
      <c r="B1" s="399" t="n"/>
      <c r="C1" s="399" t="n"/>
      <c r="D1" s="399" t="n"/>
      <c r="E1" s="399" t="n"/>
      <c r="F1" s="399" t="n"/>
      <c r="G1" s="399" t="n"/>
      <c r="H1" s="399" t="n"/>
      <c r="I1" s="399" t="n"/>
      <c r="J1" s="399" t="n"/>
      <c r="K1" s="399" t="n"/>
      <c r="L1" s="399" t="n"/>
      <c r="M1" s="399" t="n"/>
      <c r="N1" s="399" t="n"/>
      <c r="O1" s="399" t="n"/>
      <c r="P1" s="399" t="n"/>
      <c r="Q1" s="399" t="n"/>
      <c r="R1" s="399" t="n"/>
      <c r="S1" s="399" t="n"/>
      <c r="T1" s="399" t="n"/>
      <c r="U1" s="399" t="n"/>
      <c r="V1" s="399" t="n"/>
      <c r="W1" s="399" t="n"/>
      <c r="X1" s="453" t="n"/>
      <c r="Y1" s="453" t="n"/>
      <c r="Z1" s="453" t="n"/>
      <c r="AA1" s="453" t="n"/>
      <c r="AB1" s="453" t="n"/>
      <c r="AC1" s="453" t="n"/>
      <c r="AD1" s="453" t="n"/>
      <c r="AE1" s="453" t="n"/>
      <c r="AF1" s="453" t="n"/>
      <c r="AG1" s="453" t="n"/>
      <c r="AH1" s="453" t="n"/>
      <c r="AI1" s="453" t="n"/>
      <c r="AJ1" s="453" t="n"/>
    </row>
    <row r="2" ht="42" customHeight="1" s="326">
      <c r="A2" s="493" t="inlineStr">
        <is>
      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delayed. Duplicate 5Y -&gt; PM Y7 rows are omitted because a 5Y first switch makes the earliest effective PM start Y8.</t>
        </is>
      </c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399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454" t="n"/>
      <c r="Y2" s="454" t="n"/>
      <c r="Z2" s="454" t="n"/>
      <c r="AA2" s="454" t="n"/>
      <c r="AB2" s="454" t="n"/>
      <c r="AC2" s="454" t="n"/>
      <c r="AD2" s="454" t="n"/>
      <c r="AE2" s="454" t="n"/>
      <c r="AF2" s="454" t="n"/>
      <c r="AG2" s="454" t="n"/>
      <c r="AH2" s="454" t="n"/>
      <c r="AI2" s="454" t="n"/>
      <c r="AJ2" s="454" t="n"/>
    </row>
    <row r="3" ht="18" customHeight="1" s="326">
      <c r="A3" s="455" t="inlineStr">
        <is>
          <t>Back to Financial Dashboard</t>
        </is>
      </c>
    </row>
    <row r="4" ht="20" customHeight="1" s="326">
      <c r="A4" s="494" t="inlineStr">
        <is>
          <t>Assumptions</t>
        </is>
      </c>
      <c r="B4" s="399" t="n"/>
      <c r="C4" s="399" t="n"/>
      <c r="D4" s="399" t="n"/>
      <c r="E4" s="399" t="n"/>
      <c r="F4" s="399" t="n"/>
      <c r="G4" s="399" t="n"/>
      <c r="H4" s="399" t="n"/>
      <c r="I4" s="399" t="n"/>
      <c r="J4" s="399" t="n"/>
      <c r="K4" s="399" t="n"/>
      <c r="L4" s="399" t="n"/>
      <c r="M4" s="399" t="n"/>
      <c r="N4" s="399" t="n"/>
      <c r="O4" s="399" t="n"/>
      <c r="P4" s="399" t="n"/>
      <c r="Q4" s="399" t="n"/>
      <c r="R4" s="399" t="n"/>
      <c r="S4" s="399" t="n"/>
      <c r="T4" s="399" t="n"/>
      <c r="U4" s="399" t="n"/>
      <c r="V4" s="399" t="n"/>
      <c r="W4" s="399" t="n"/>
    </row>
    <row r="5" ht="20" customHeight="1" s="326">
      <c r="A5" s="497" t="inlineStr">
        <is>
          <t>First switch timing</t>
        </is>
      </c>
      <c r="B5" s="496" t="inlineStr">
        <is>
          <t>First switch after completing 3 / 4 / 5 projection years at Jump; the next two projection years are base-only noncompete years before the new-firm IC / PM path can start.</t>
        </is>
      </c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  <c r="L5" s="399" t="n"/>
      <c r="M5" s="399" t="n"/>
      <c r="N5" s="399" t="n"/>
      <c r="O5" s="399" t="n"/>
      <c r="P5" s="399" t="n"/>
      <c r="Q5" s="399" t="n"/>
      <c r="R5" s="399" t="n"/>
      <c r="S5" s="399" t="n"/>
      <c r="T5" s="399" t="n"/>
      <c r="U5" s="399" t="n"/>
      <c r="V5" s="399" t="n"/>
      <c r="W5" s="399" t="n"/>
    </row>
    <row r="6" ht="20" customHeight="1" s="326">
      <c r="A6" s="497" t="inlineStr">
        <is>
          <t>IC bump before PM</t>
        </is>
      </c>
      <c r="B6" s="496" t="inlineStr">
        <is>
          <t>Default pre-PM IC switch bump is 3x, the midpoint of the 2x-4x switch-bump range. The bump anchors to switch-year base + FY bonus accrued after noncompete.</t>
        </is>
      </c>
      <c r="C6" s="399" t="n"/>
      <c r="D6" s="399" t="n"/>
      <c r="E6" s="399" t="n"/>
      <c r="F6" s="399" t="n"/>
      <c r="G6" s="399" t="n"/>
      <c r="H6" s="399" t="n"/>
      <c r="I6" s="399" t="n"/>
      <c r="J6" s="399" t="n"/>
      <c r="K6" s="399" t="n"/>
      <c r="L6" s="399" t="n"/>
      <c r="M6" s="399" t="n"/>
      <c r="N6" s="399" t="n"/>
      <c r="O6" s="399" t="n"/>
      <c r="P6" s="399" t="n"/>
      <c r="Q6" s="399" t="n"/>
      <c r="R6" s="399" t="n"/>
      <c r="S6" s="399" t="n"/>
      <c r="T6" s="399" t="n"/>
      <c r="U6" s="399" t="n"/>
      <c r="V6" s="399" t="n"/>
      <c r="W6" s="399" t="n"/>
    </row>
    <row r="7" ht="20" customHeight="1" s="326">
      <c r="A7" s="497" t="inlineStr">
        <is>
          <t>PM start</t>
        </is>
      </c>
      <c r="B7" s="496" t="inlineStr">
        <is>
          <t>PM role can be requested for Y7 or Y8, but formulas use the later of requested PM start and first post-noncompete new-firm year. For a 5Y first switch, requested PM Y7 would duplicate effective PM Y8, so the duplicate Y7 rows are removed from the summary.</t>
        </is>
      </c>
      <c r="C7" s="399" t="n"/>
      <c r="D7" s="399" t="n"/>
      <c r="E7" s="399" t="n"/>
      <c r="F7" s="399" t="n"/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399" t="n"/>
      <c r="R7" s="399" t="n"/>
      <c r="S7" s="399" t="n"/>
      <c r="T7" s="399" t="n"/>
      <c r="U7" s="399" t="n"/>
      <c r="V7" s="399" t="n"/>
      <c r="W7" s="399" t="n"/>
    </row>
    <row r="8" ht="20" customHeight="1" s="326">
      <c r="A8" s="497" t="inlineStr">
        <is>
          <t>PM comp</t>
        </is>
      </c>
      <c r="B8" s="496" t="inlineStr">
        <is>
          <t>PM gross comp = PM base salary + payout share x net PnL. Modeled as same-year cash gross comp; PM deferral, clawback, cost allocation, drawdown, and cut risk are not modeled.</t>
        </is>
      </c>
      <c r="C8" s="399" t="n"/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</row>
    <row r="9" ht="20" customHeight="1" s="326">
      <c r="A9" s="497" t="inlineStr">
        <is>
          <t>Tax / spending basis</t>
        </is>
      </c>
      <c r="B9" s="496" t="inlineStr">
        <is>
          <t>Uses current workbook NYC tax tables, rent/living inflation, retirement contributions, and 6% base-return assumption.</t>
        </is>
      </c>
      <c r="C9" s="399" t="n"/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</row>
    <row r="10" ht="20" customHeight="1" s="326">
      <c r="A10" s="497" t="inlineStr">
        <is>
          <t>Threshold basis</t>
        </is>
      </c>
      <c r="B10" s="496" t="inlineStr">
        <is>
          <t>House + retirement thresholds use base home assumptions from Model Inputs and the workbook draw-rate target.</t>
        </is>
      </c>
      <c r="C10" s="399" t="n"/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</row>
    <row r="11" ht="20" customHeight="1" s="326"/>
    <row r="12" ht="20" customHeight="1" s="326">
      <c r="A12" s="494" t="inlineStr">
        <is>
          <t>House + Immediate Retirement Thresholds</t>
        </is>
      </c>
      <c r="B12" s="399" t="n"/>
      <c r="C12" s="399" t="n"/>
      <c r="D12" s="399" t="n"/>
      <c r="E12" s="399" t="n"/>
      <c r="F12" s="399" t="n"/>
      <c r="G12" s="399" t="n"/>
    </row>
    <row r="13" ht="20" customHeight="1" s="326">
      <c r="A13" s="183" t="inlineStr">
        <is>
          <t>Threshold</t>
        </is>
      </c>
      <c r="B13" s="183" t="inlineStr">
        <is>
          <t>Home Price</t>
        </is>
      </c>
      <c r="C13" s="183" t="inlineStr">
        <is>
          <t>Down Payment %</t>
        </is>
      </c>
      <c r="D13" s="183" t="inlineStr">
        <is>
          <t>Cash To Close</t>
        </is>
      </c>
      <c r="E13" s="183" t="inlineStr">
        <is>
          <t>Annual Housing Carry</t>
        </is>
      </c>
      <c r="F13" s="183" t="inlineStr">
        <is>
          <t>Wealth Needed Before Close</t>
        </is>
      </c>
      <c r="G13" s="183" t="inlineStr">
        <is>
          <t>Notes</t>
        </is>
      </c>
    </row>
    <row r="14" ht="20" customHeight="1" s="326">
      <c r="A14" s="181" t="inlineStr">
        <is>
          <t>$5M all-cash</t>
        </is>
      </c>
      <c r="B14" s="184" t="n">
        <v>5000000</v>
      </c>
      <c r="C14" s="185" t="n">
        <v>1</v>
      </c>
      <c r="D14" s="184">
        <f>B14*C14+B14*'Model Inputs'!$G$18</f>
        <v/>
      </c>
      <c r="E14" s="184">
        <f>IF(C14&gt;=1,0,-PMT('Model Inputs'!$G$16/12,'Model Inputs'!$G$17*12,B14*(1-C14))*12)+B14*SUM('Model Inputs'!$G$19:$G$21)+'Model Inputs'!$G$22+'Model Inputs'!$G$23</f>
        <v/>
      </c>
      <c r="F14" s="184">
        <f>D14+('Model Inputs'!$B$11+E14)/'Model Inputs'!$B$16</f>
        <v/>
      </c>
      <c r="G14" s="182" t="inlineStr">
        <is>
          <t>Uses Model Inputs base home column G</t>
        </is>
      </c>
      <c r="I14" s="497" t="inlineStr">
        <is>
          <t>Control</t>
        </is>
      </c>
      <c r="J14" s="497" t="inlineStr">
        <is>
          <t>Value</t>
        </is>
      </c>
      <c r="K14" s="461" t="n"/>
      <c r="L14" s="497" t="inlineStr">
        <is>
          <t>PM Case</t>
        </is>
      </c>
      <c r="M14" s="183" t="inlineStr">
        <is>
          <t>Net PnL</t>
        </is>
      </c>
      <c r="N14" s="183" t="inlineStr">
        <is>
          <t>Payout %</t>
        </is>
      </c>
      <c r="O14" s="183" t="inlineStr">
        <is>
          <t>PM Gross at Start</t>
        </is>
      </c>
      <c r="P14" s="183" t="inlineStr">
        <is>
          <t>Interpretation</t>
        </is>
      </c>
    </row>
    <row r="15" ht="20" customHeight="1" s="326">
      <c r="A15" s="181" t="inlineStr">
        <is>
          <t>$5M 50% down</t>
        </is>
      </c>
      <c r="B15" s="184" t="n">
        <v>5000000</v>
      </c>
      <c r="C15" s="185" t="n">
        <v>0.5</v>
      </c>
      <c r="D15" s="184">
        <f>B15*C15+B15*'Model Inputs'!$G$18</f>
        <v/>
      </c>
      <c r="E15" s="184">
        <f>IF(C15&gt;=1,0,-PMT('Model Inputs'!$G$16/12,'Model Inputs'!$G$17*12,B15*(1-C15))*12)+B15*SUM('Model Inputs'!$G$19:$G$21)+'Model Inputs'!$G$22+'Model Inputs'!$G$23</f>
        <v/>
      </c>
      <c r="F15" s="184">
        <f>D15+('Model Inputs'!$B$11+E15)/'Model Inputs'!$B$16</f>
        <v/>
      </c>
      <c r="G15" s="182" t="inlineStr">
        <is>
          <t>Uses Model Inputs base home column G</t>
        </is>
      </c>
      <c r="I15" s="497" t="inlineStr">
        <is>
          <t>Default IC bump before PM</t>
        </is>
      </c>
      <c r="J15" s="502" t="n">
        <v>3</v>
      </c>
      <c r="K15" s="461" t="n"/>
      <c r="L15" s="497" t="inlineStr">
        <is>
          <t>Starter</t>
        </is>
      </c>
      <c r="M15" s="204" t="n">
        <v>10000000</v>
      </c>
      <c r="N15" s="206" t="n">
        <v>0.15</v>
      </c>
      <c r="O15" s="184">
        <f>$J$16+M15*N15</f>
        <v/>
      </c>
      <c r="P15" s="186" t="inlineStr">
        <is>
          <t>starter PM seat / smaller capacity</t>
        </is>
      </c>
    </row>
    <row r="16" ht="20" customHeight="1" s="326">
      <c r="A16" s="181" t="inlineStr">
        <is>
          <t>$7M all-cash</t>
        </is>
      </c>
      <c r="B16" s="184" t="n">
        <v>7000000</v>
      </c>
      <c r="C16" s="185" t="n">
        <v>1</v>
      </c>
      <c r="D16" s="184">
        <f>B16*C16+B16*'Model Inputs'!$G$18</f>
        <v/>
      </c>
      <c r="E16" s="184">
        <f>IF(C16&gt;=1,0,-PMT('Model Inputs'!$G$16/12,'Model Inputs'!$G$17*12,B16*(1-C16))*12)+B16*SUM('Model Inputs'!$G$19:$G$21)+'Model Inputs'!$G$22+'Model Inputs'!$G$23</f>
        <v/>
      </c>
      <c r="F16" s="184">
        <f>D16+('Model Inputs'!$B$11+E16)/'Model Inputs'!$B$16</f>
        <v/>
      </c>
      <c r="G16" s="182" t="inlineStr">
        <is>
          <t>Uses Model Inputs base home column G</t>
        </is>
      </c>
      <c r="I16" s="497" t="inlineStr">
        <is>
          <t>PM base salary</t>
        </is>
      </c>
      <c r="J16" s="499" t="n">
        <v>300000</v>
      </c>
      <c r="K16" s="461" t="n"/>
      <c r="L16" s="497" t="inlineStr">
        <is>
          <t>Base</t>
        </is>
      </c>
      <c r="M16" s="204" t="n">
        <v>25000000</v>
      </c>
      <c r="N16" s="206" t="n">
        <v>0.15</v>
      </c>
      <c r="O16" s="184">
        <f>$J$16+M16*N16</f>
        <v/>
      </c>
      <c r="P16" s="186" t="inlineStr">
        <is>
          <t>solid standalone pod economics</t>
        </is>
      </c>
    </row>
    <row r="17" ht="20" customHeight="1" s="326">
      <c r="A17" s="181" t="inlineStr">
        <is>
          <t>$7M 50% down</t>
        </is>
      </c>
      <c r="B17" s="184" t="n">
        <v>7000000</v>
      </c>
      <c r="C17" s="185" t="n">
        <v>0.5</v>
      </c>
      <c r="D17" s="184">
        <f>B17*C17+B17*'Model Inputs'!$G$18</f>
        <v/>
      </c>
      <c r="E17" s="184">
        <f>IF(C17&gt;=1,0,-PMT('Model Inputs'!$G$16/12,'Model Inputs'!$G$17*12,B17*(1-C17))*12)+B17*SUM('Model Inputs'!$G$19:$G$21)+'Model Inputs'!$G$22+'Model Inputs'!$G$23</f>
        <v/>
      </c>
      <c r="F17" s="184">
        <f>D17+('Model Inputs'!$B$11+E17)/'Model Inputs'!$B$16</f>
        <v/>
      </c>
      <c r="G17" s="182" t="inlineStr">
        <is>
          <t>Uses Model Inputs base home column G</t>
        </is>
      </c>
      <c r="I17" s="497" t="inlineStr">
        <is>
          <t>PM net PnL growth</t>
        </is>
      </c>
      <c r="J17" s="503" t="n">
        <v>0</v>
      </c>
      <c r="K17" s="461" t="n"/>
      <c r="L17" s="497" t="inlineStr">
        <is>
          <t>Upside</t>
        </is>
      </c>
      <c r="M17" s="204" t="n">
        <v>50000000</v>
      </c>
      <c r="N17" s="206" t="n">
        <v>0.2</v>
      </c>
      <c r="O17" s="184">
        <f>$J$16+M17*N17</f>
        <v/>
      </c>
      <c r="P17" s="186" t="inlineStr">
        <is>
          <t>strong scalable PM outcome</t>
        </is>
      </c>
    </row>
    <row r="18" ht="20" customHeight="1" s="326">
      <c r="I18" s="497" t="inlineStr">
        <is>
          <t>Noncompete years</t>
        </is>
      </c>
      <c r="J18" s="498" t="n">
        <v>2</v>
      </c>
      <c r="K18" s="461" t="inlineStr">
        <is>
          <t>Base-salary-only years before new firm or PM comp starts.</t>
        </is>
      </c>
      <c r="L18" s="497" t="inlineStr">
        <is>
          <t>Tail</t>
        </is>
      </c>
      <c r="M18" s="204" t="n">
        <v>100000000</v>
      </c>
      <c r="N18" s="206" t="n">
        <v>0.15</v>
      </c>
      <c r="O18" s="184">
        <f>$J$16+M18*N18</f>
        <v/>
      </c>
      <c r="P18" s="186" t="inlineStr">
        <is>
          <t>large upside tail, high variance</t>
        </is>
      </c>
    </row>
    <row r="19" ht="18" customHeight="1" s="326"/>
    <row r="20" ht="20" customHeight="1" s="326">
      <c r="A20" s="494" t="inlineStr">
        <is>
          <t>Scenario Summary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  <c r="O20" s="399" t="n"/>
      <c r="P20" s="399" t="n"/>
      <c r="Q20" s="399" t="n"/>
      <c r="R20" s="399" t="n"/>
      <c r="S20" s="399" t="n"/>
      <c r="T20" s="399" t="n"/>
      <c r="U20" s="399" t="n"/>
      <c r="V20" s="399" t="n"/>
      <c r="W20" s="399" t="n"/>
      <c r="X20" s="451" t="n"/>
      <c r="Y20" s="451" t="n"/>
      <c r="Z20" s="451" t="n"/>
      <c r="AA20" s="451" t="n"/>
      <c r="AB20" s="451" t="n"/>
    </row>
    <row r="21" ht="20" customHeight="1" s="326">
      <c r="A21" s="494" t="inlineStr">
        <is>
          <t>Scenario</t>
        </is>
      </c>
      <c r="B21" s="494" t="inlineStr">
        <is>
          <t>First Switch After YOE</t>
        </is>
      </c>
      <c r="C21" s="494" t="inlineStr">
        <is>
          <t>IC Bump</t>
        </is>
      </c>
      <c r="D21" s="494" t="inlineStr">
        <is>
          <t>Requested PM Start YOE</t>
        </is>
      </c>
      <c r="E21" s="494" t="inlineStr">
        <is>
          <t>PM Case</t>
        </is>
      </c>
      <c r="F21" s="494" t="inlineStr">
        <is>
          <t>PM Net PnL</t>
        </is>
      </c>
      <c r="G21" s="494" t="inlineStr">
        <is>
          <t>PM Payout</t>
        </is>
      </c>
      <c r="H21" s="494" t="inlineStr">
        <is>
          <t>PM Base</t>
        </is>
      </c>
      <c r="I21" s="494" t="inlineStr">
        <is>
          <t>PM Gross at Start</t>
        </is>
      </c>
      <c r="J21" s="494" t="inlineStr">
        <is>
          <t>Walk-Away BK</t>
        </is>
      </c>
      <c r="K21" s="494" t="inlineStr">
        <is>
          <t>Y10 Gross Comp</t>
        </is>
      </c>
      <c r="L21" s="494" t="inlineStr">
        <is>
          <t>Y10 Taxable Liquid</t>
        </is>
      </c>
      <c r="M21" s="494" t="inlineStr">
        <is>
          <t>Y10 Retirement</t>
        </is>
      </c>
      <c r="N21" s="494" t="inlineStr">
        <is>
          <t>Y10 Liquid NW</t>
        </is>
      </c>
      <c r="O21" s="494" t="inlineStr">
        <is>
          <t>Y10 vs $5M Cash</t>
        </is>
      </c>
      <c r="P21" s="494" t="inlineStr">
        <is>
          <t>Y10 vs $5M 50%</t>
        </is>
      </c>
      <c r="Q21" s="494" t="inlineStr">
        <is>
          <t>Y10 vs $7M Cash</t>
        </is>
      </c>
      <c r="R21" s="494" t="inlineStr">
        <is>
          <t>Y10 vs $7M 50%</t>
        </is>
      </c>
      <c r="S21" s="494" t="inlineStr">
        <is>
          <t>Y10 Read</t>
        </is>
      </c>
      <c r="T21" s="494" t="inlineStr">
        <is>
          <t>Y15 Gross Comp</t>
        </is>
      </c>
      <c r="U21" s="494" t="inlineStr">
        <is>
          <t>Y15 Taxable Liquid</t>
        </is>
      </c>
      <c r="V21" s="494" t="inlineStr">
        <is>
          <t>Y15 Retirement</t>
        </is>
      </c>
      <c r="W21" s="494" t="inlineStr">
        <is>
          <t>Y15 Liquid NW</t>
        </is>
      </c>
      <c r="X21" s="494" t="inlineStr">
        <is>
          <t>Y15 vs $5M Cash</t>
        </is>
      </c>
      <c r="Y21" s="494" t="inlineStr">
        <is>
          <t>Y15 vs $5M 50%</t>
        </is>
      </c>
      <c r="Z21" s="494" t="inlineStr">
        <is>
          <t>Y15 vs $7M Cash</t>
        </is>
      </c>
      <c r="AA21" s="494" t="inlineStr">
        <is>
          <t>Y15 vs $7M 50%</t>
        </is>
      </c>
      <c r="AB21" s="494" t="inlineStr">
        <is>
          <t>Y15 Read</t>
        </is>
      </c>
      <c r="AC21" s="494" t="inlineStr">
        <is>
          <t>First $5M Cash</t>
        </is>
      </c>
      <c r="AD21" s="494" t="inlineStr">
        <is>
          <t>First $5M 50%</t>
        </is>
      </c>
      <c r="AE21" s="494" t="inlineStr">
        <is>
          <t>First $7M Cash</t>
        </is>
      </c>
      <c r="AF21" s="494" t="inlineStr">
        <is>
          <t>First $7M 50%</t>
        </is>
      </c>
    </row>
    <row r="22" ht="20" customHeight="1" s="326">
      <c r="A22" s="181" t="inlineStr">
        <is>
          <t>3Y -&gt; PM Y7 Starter</t>
        </is>
      </c>
      <c r="B22" s="203" t="n">
        <v>3</v>
      </c>
      <c r="C22" s="205">
        <f>$J$15</f>
        <v/>
      </c>
      <c r="D22" s="203" t="n">
        <v>7</v>
      </c>
      <c r="E22" s="181">
        <f>$L$15</f>
        <v/>
      </c>
      <c r="F22" s="184">
        <f>$M$15</f>
        <v/>
      </c>
      <c r="G22" s="188">
        <f>$N$15</f>
        <v/>
      </c>
      <c r="H22" s="184">
        <f>$J$16</f>
        <v/>
      </c>
      <c r="I22" s="184">
        <f>$O$15</f>
        <v/>
      </c>
      <c r="J22" s="184">
        <f>INDEX('Savings Projection'!$BK$19:$BK$58,B22)</f>
        <v/>
      </c>
      <c r="K22" s="184">
        <f>SUMIFS($T$51:$T$350,$A$51:$A$350,$A22,$J$51:$J$350,10)</f>
        <v/>
      </c>
      <c r="L22" s="184">
        <f>SUMIFS($AD$51:$AD$350,$A$51:$A$350,$A22,$J$51:$J$350,10)</f>
        <v/>
      </c>
      <c r="M22" s="184">
        <f>SUMIFS($AE$51:$AE$350,$A$51:$A$350,$A22,$J$51:$J$350,10)</f>
        <v/>
      </c>
      <c r="N22" s="184">
        <f>SUMIFS($AF$51:$AF$350,$A$51:$A$350,$A22,$J$51:$J$350,10)</f>
        <v/>
      </c>
      <c r="O22" s="184">
        <f>N22-$F$14</f>
        <v/>
      </c>
      <c r="P22" s="184">
        <f>N22-$F$15</f>
        <v/>
      </c>
      <c r="Q22" s="184">
        <f>N22-$F$16</f>
        <v/>
      </c>
      <c r="R22" s="184">
        <f>N22-$F$17</f>
        <v/>
      </c>
      <c r="S22" s="181">
        <f>IF(N22&gt;=$F$17,"Clears $7M 50% by Y10",IF(N22&gt;=$F$16,"Clears $7M cash by Y10",IF(N22&gt;=$F$15,"Clears $5M 50% by Y10",IF(N22&gt;=$F$14,"Clears $5M cash by Y10","Short of $5M retire+house by Y10"))))</f>
        <v/>
      </c>
      <c r="T22" s="184">
        <f>SUMIFS($T$51:$T$350,$A$51:$A$350,$A22,$J$51:$J$350,15)</f>
        <v/>
      </c>
      <c r="U22" s="184">
        <f>SUMIFS($AD$51:$AD$350,$A$51:$A$350,$A22,$J$51:$J$350,15)</f>
        <v/>
      </c>
      <c r="V22" s="184">
        <f>SUMIFS($AE$51:$AE$350,$A$51:$A$350,$A22,$J$51:$J$350,15)</f>
        <v/>
      </c>
      <c r="W22" s="184">
        <f>SUMIFS($AF$51:$AF$350,$A$51:$A$350,$A22,$J$51:$J$350,15)</f>
        <v/>
      </c>
      <c r="X22" s="184">
        <f>W22-$F$14</f>
        <v/>
      </c>
      <c r="Y22" s="184">
        <f>W22-$F$15</f>
        <v/>
      </c>
      <c r="Z22" s="184">
        <f>W22-$F$16</f>
        <v/>
      </c>
      <c r="AA22" s="184">
        <f>W22-$F$17</f>
        <v/>
      </c>
      <c r="AB22" s="181">
        <f>IF(W22&gt;=$F$17,"Clears $7M 50% by Y15",IF(W22&gt;=$F$16,"Clears $7M cash by Y15",IF(W22&gt;=$F$15,"Clears $5M 50% by Y15",IF(W22&gt;=$F$14,"Clears $5M cash by Y15","Short of $5M retire+house by Y15"))))</f>
        <v/>
      </c>
      <c r="AC22" s="181">
        <f>IF(SUMIFS($AG$51:$AG$350,$A$51:$A$350,$A22)=0,"Not by Y15","Y"&amp;SUMIFS($AG$51:$AG$350,$A$51:$A$350,$A22)&amp;" / "&amp;(('Model Inputs'!$B$22-1)+SUMIFS($AG$51:$AG$350,$A$51:$A$350,$A22)))</f>
        <v/>
      </c>
      <c r="AD22" s="181">
        <f>IF(SUMIFS($AH$51:$AH$350,$A$51:$A$350,$A22)=0,"Not by Y15","Y"&amp;SUMIFS($AH$51:$AH$350,$A$51:$A$350,$A22)&amp;" / "&amp;(('Model Inputs'!$B$22-1)+SUMIFS($AH$51:$AH$350,$A$51:$A$350,$A22)))</f>
        <v/>
      </c>
      <c r="AE22" s="181">
        <f>IF(SUMIFS($AI$51:$AI$350,$A$51:$A$350,$A22)=0,"Not by Y15","Y"&amp;SUMIFS($AI$51:$AI$350,$A$51:$A$350,$A22)&amp;" / "&amp;(('Model Inputs'!$B$22-1)+SUMIFS($AI$51:$AI$350,$A$51:$A$350,$A22)))</f>
        <v/>
      </c>
      <c r="AF22" s="181">
        <f>IF(SUMIFS($AJ$51:$AJ$350,$A$51:$A$350,$A22)=0,"Not by Y15","Y"&amp;SUMIFS($AJ$51:$AJ$350,$A$51:$A$350,$A22)&amp;" / "&amp;(('Model Inputs'!$B$22-1)+SUMIFS($AJ$51:$AJ$350,$A$51:$A$350,$A22)))</f>
        <v/>
      </c>
    </row>
    <row r="23" ht="20" customHeight="1" s="326">
      <c r="A23" s="181" t="inlineStr">
        <is>
          <t>3Y -&gt; PM Y7 Base</t>
        </is>
      </c>
      <c r="B23" s="203" t="n">
        <v>3</v>
      </c>
      <c r="C23" s="205">
        <f>$J$15</f>
        <v/>
      </c>
      <c r="D23" s="203" t="n">
        <v>7</v>
      </c>
      <c r="E23" s="181">
        <f>$L$16</f>
        <v/>
      </c>
      <c r="F23" s="184">
        <f>$M$16</f>
        <v/>
      </c>
      <c r="G23" s="188">
        <f>$N$16</f>
        <v/>
      </c>
      <c r="H23" s="184">
        <f>$J$16</f>
        <v/>
      </c>
      <c r="I23" s="184">
        <f>$O$16</f>
        <v/>
      </c>
      <c r="J23" s="184">
        <f>INDEX('Savings Projection'!$BK$19:$BK$58,B23)</f>
        <v/>
      </c>
      <c r="K23" s="184">
        <f>SUMIFS($T$51:$T$350,$A$51:$A$350,$A23,$J$51:$J$350,10)</f>
        <v/>
      </c>
      <c r="L23" s="184">
        <f>SUMIFS($AD$51:$AD$350,$A$51:$A$350,$A23,$J$51:$J$350,10)</f>
        <v/>
      </c>
      <c r="M23" s="184">
        <f>SUMIFS($AE$51:$AE$350,$A$51:$A$350,$A23,$J$51:$J$350,10)</f>
        <v/>
      </c>
      <c r="N23" s="184">
        <f>SUMIFS($AF$51:$AF$350,$A$51:$A$350,$A23,$J$51:$J$350,10)</f>
        <v/>
      </c>
      <c r="O23" s="184">
        <f>N23-$F$14</f>
        <v/>
      </c>
      <c r="P23" s="184">
        <f>N23-$F$15</f>
        <v/>
      </c>
      <c r="Q23" s="184">
        <f>N23-$F$16</f>
        <v/>
      </c>
      <c r="R23" s="184">
        <f>N23-$F$17</f>
        <v/>
      </c>
      <c r="S23" s="181">
        <f>IF(N23&gt;=$F$17,"Clears $7M 50% by Y10",IF(N23&gt;=$F$16,"Clears $7M cash by Y10",IF(N23&gt;=$F$15,"Clears $5M 50% by Y10",IF(N23&gt;=$F$14,"Clears $5M cash by Y10","Short of $5M retire+house by Y10"))))</f>
        <v/>
      </c>
      <c r="T23" s="184">
        <f>SUMIFS($T$51:$T$350,$A$51:$A$350,$A23,$J$51:$J$350,15)</f>
        <v/>
      </c>
      <c r="U23" s="184">
        <f>SUMIFS($AD$51:$AD$350,$A$51:$A$350,$A23,$J$51:$J$350,15)</f>
        <v/>
      </c>
      <c r="V23" s="184">
        <f>SUMIFS($AE$51:$AE$350,$A$51:$A$350,$A23,$J$51:$J$350,15)</f>
        <v/>
      </c>
      <c r="W23" s="184">
        <f>SUMIFS($AF$51:$AF$350,$A$51:$A$350,$A23,$J$51:$J$350,15)</f>
        <v/>
      </c>
      <c r="X23" s="184">
        <f>W23-$F$14</f>
        <v/>
      </c>
      <c r="Y23" s="184">
        <f>W23-$F$15</f>
        <v/>
      </c>
      <c r="Z23" s="184">
        <f>W23-$F$16</f>
        <v/>
      </c>
      <c r="AA23" s="184">
        <f>W23-$F$17</f>
        <v/>
      </c>
      <c r="AB23" s="181">
        <f>IF(W23&gt;=$F$17,"Clears $7M 50% by Y15",IF(W23&gt;=$F$16,"Clears $7M cash by Y15",IF(W23&gt;=$F$15,"Clears $5M 50% by Y15",IF(W23&gt;=$F$14,"Clears $5M cash by Y15","Short of $5M retire+house by Y15"))))</f>
        <v/>
      </c>
      <c r="AC23" s="181">
        <f>IF(SUMIFS($AG$51:$AG$350,$A$51:$A$350,$A23)=0,"Not by Y15","Y"&amp;SUMIFS($AG$51:$AG$350,$A$51:$A$350,$A23)&amp;" / "&amp;(('Model Inputs'!$B$22-1)+SUMIFS($AG$51:$AG$350,$A$51:$A$350,$A23)))</f>
        <v/>
      </c>
      <c r="AD23" s="181">
        <f>IF(SUMIFS($AH$51:$AH$350,$A$51:$A$350,$A23)=0,"Not by Y15","Y"&amp;SUMIFS($AH$51:$AH$350,$A$51:$A$350,$A23)&amp;" / "&amp;(('Model Inputs'!$B$22-1)+SUMIFS($AH$51:$AH$350,$A$51:$A$350,$A23)))</f>
        <v/>
      </c>
      <c r="AE23" s="181">
        <f>IF(SUMIFS($AI$51:$AI$350,$A$51:$A$350,$A23)=0,"Not by Y15","Y"&amp;SUMIFS($AI$51:$AI$350,$A$51:$A$350,$A23)&amp;" / "&amp;(('Model Inputs'!$B$22-1)+SUMIFS($AI$51:$AI$350,$A$51:$A$350,$A23)))</f>
        <v/>
      </c>
      <c r="AF23" s="181">
        <f>IF(SUMIFS($AJ$51:$AJ$350,$A$51:$A$350,$A23)=0,"Not by Y15","Y"&amp;SUMIFS($AJ$51:$AJ$350,$A$51:$A$350,$A23)&amp;" / "&amp;(('Model Inputs'!$B$22-1)+SUMIFS($AJ$51:$AJ$350,$A$51:$A$350,$A23)))</f>
        <v/>
      </c>
    </row>
    <row r="24" ht="20" customHeight="1" s="326">
      <c r="A24" s="181" t="inlineStr">
        <is>
          <t>3Y -&gt; PM Y7 Upside</t>
        </is>
      </c>
      <c r="B24" s="203" t="n">
        <v>3</v>
      </c>
      <c r="C24" s="205">
        <f>$J$15</f>
        <v/>
      </c>
      <c r="D24" s="203" t="n">
        <v>7</v>
      </c>
      <c r="E24" s="181">
        <f>$L$17</f>
        <v/>
      </c>
      <c r="F24" s="184">
        <f>$M$17</f>
        <v/>
      </c>
      <c r="G24" s="188">
        <f>$N$17</f>
        <v/>
      </c>
      <c r="H24" s="184">
        <f>$J$16</f>
        <v/>
      </c>
      <c r="I24" s="184">
        <f>$O$17</f>
        <v/>
      </c>
      <c r="J24" s="184">
        <f>INDEX('Savings Projection'!$BK$19:$BK$58,B24)</f>
        <v/>
      </c>
      <c r="K24" s="184">
        <f>SUMIFS($T$51:$T$350,$A$51:$A$350,$A24,$J$51:$J$350,10)</f>
        <v/>
      </c>
      <c r="L24" s="184">
        <f>SUMIFS($AD$51:$AD$350,$A$51:$A$350,$A24,$J$51:$J$350,10)</f>
        <v/>
      </c>
      <c r="M24" s="184">
        <f>SUMIFS($AE$51:$AE$350,$A$51:$A$350,$A24,$J$51:$J$350,10)</f>
        <v/>
      </c>
      <c r="N24" s="184">
        <f>SUMIFS($AF$51:$AF$350,$A$51:$A$350,$A24,$J$51:$J$350,10)</f>
        <v/>
      </c>
      <c r="O24" s="184">
        <f>N24-$F$14</f>
        <v/>
      </c>
      <c r="P24" s="184">
        <f>N24-$F$15</f>
        <v/>
      </c>
      <c r="Q24" s="184">
        <f>N24-$F$16</f>
        <v/>
      </c>
      <c r="R24" s="184">
        <f>N24-$F$17</f>
        <v/>
      </c>
      <c r="S24" s="181">
        <f>IF(N24&gt;=$F$17,"Clears $7M 50% by Y10",IF(N24&gt;=$F$16,"Clears $7M cash by Y10",IF(N24&gt;=$F$15,"Clears $5M 50% by Y10",IF(N24&gt;=$F$14,"Clears $5M cash by Y10","Short of $5M retire+house by Y10"))))</f>
        <v/>
      </c>
      <c r="T24" s="184">
        <f>SUMIFS($T$51:$T$350,$A$51:$A$350,$A24,$J$51:$J$350,15)</f>
        <v/>
      </c>
      <c r="U24" s="184">
        <f>SUMIFS($AD$51:$AD$350,$A$51:$A$350,$A24,$J$51:$J$350,15)</f>
        <v/>
      </c>
      <c r="V24" s="184">
        <f>SUMIFS($AE$51:$AE$350,$A$51:$A$350,$A24,$J$51:$J$350,15)</f>
        <v/>
      </c>
      <c r="W24" s="184">
        <f>SUMIFS($AF$51:$AF$350,$A$51:$A$350,$A24,$J$51:$J$350,15)</f>
        <v/>
      </c>
      <c r="X24" s="184">
        <f>W24-$F$14</f>
        <v/>
      </c>
      <c r="Y24" s="184">
        <f>W24-$F$15</f>
        <v/>
      </c>
      <c r="Z24" s="184">
        <f>W24-$F$16</f>
        <v/>
      </c>
      <c r="AA24" s="184">
        <f>W24-$F$17</f>
        <v/>
      </c>
      <c r="AB24" s="181">
        <f>IF(W24&gt;=$F$17,"Clears $7M 50% by Y15",IF(W24&gt;=$F$16,"Clears $7M cash by Y15",IF(W24&gt;=$F$15,"Clears $5M 50% by Y15",IF(W24&gt;=$F$14,"Clears $5M cash by Y15","Short of $5M retire+house by Y15"))))</f>
        <v/>
      </c>
      <c r="AC24" s="181">
        <f>IF(SUMIFS($AG$51:$AG$350,$A$51:$A$350,$A24)=0,"Not by Y15","Y"&amp;SUMIFS($AG$51:$AG$350,$A$51:$A$350,$A24)&amp;" / "&amp;(('Model Inputs'!$B$22-1)+SUMIFS($AG$51:$AG$350,$A$51:$A$350,$A24)))</f>
        <v/>
      </c>
      <c r="AD24" s="181">
        <f>IF(SUMIFS($AH$51:$AH$350,$A$51:$A$350,$A24)=0,"Not by Y15","Y"&amp;SUMIFS($AH$51:$AH$350,$A$51:$A$350,$A24)&amp;" / "&amp;(('Model Inputs'!$B$22-1)+SUMIFS($AH$51:$AH$350,$A$51:$A$350,$A24)))</f>
        <v/>
      </c>
      <c r="AE24" s="181">
        <f>IF(SUMIFS($AI$51:$AI$350,$A$51:$A$350,$A24)=0,"Not by Y15","Y"&amp;SUMIFS($AI$51:$AI$350,$A$51:$A$350,$A24)&amp;" / "&amp;(('Model Inputs'!$B$22-1)+SUMIFS($AI$51:$AI$350,$A$51:$A$350,$A24)))</f>
        <v/>
      </c>
      <c r="AF24" s="181">
        <f>IF(SUMIFS($AJ$51:$AJ$350,$A$51:$A$350,$A24)=0,"Not by Y15","Y"&amp;SUMIFS($AJ$51:$AJ$350,$A$51:$A$350,$A24)&amp;" / "&amp;(('Model Inputs'!$B$22-1)+SUMIFS($AJ$51:$AJ$350,$A$51:$A$350,$A24)))</f>
        <v/>
      </c>
    </row>
    <row r="25" ht="20" customHeight="1" s="326">
      <c r="A25" s="181" t="inlineStr">
        <is>
          <t>3Y -&gt; PM Y7 Tail</t>
        </is>
      </c>
      <c r="B25" s="203" t="n">
        <v>3</v>
      </c>
      <c r="C25" s="205">
        <f>$J$15</f>
        <v/>
      </c>
      <c r="D25" s="203" t="n">
        <v>7</v>
      </c>
      <c r="E25" s="181">
        <f>$L$18</f>
        <v/>
      </c>
      <c r="F25" s="184">
        <f>$M$18</f>
        <v/>
      </c>
      <c r="G25" s="188">
        <f>$N$18</f>
        <v/>
      </c>
      <c r="H25" s="184">
        <f>$J$16</f>
        <v/>
      </c>
      <c r="I25" s="184">
        <f>$O$18</f>
        <v/>
      </c>
      <c r="J25" s="184">
        <f>INDEX('Savings Projection'!$BK$19:$BK$58,B25)</f>
        <v/>
      </c>
      <c r="K25" s="184">
        <f>SUMIFS($T$51:$T$350,$A$51:$A$350,$A25,$J$51:$J$350,10)</f>
        <v/>
      </c>
      <c r="L25" s="184">
        <f>SUMIFS($AD$51:$AD$350,$A$51:$A$350,$A25,$J$51:$J$350,10)</f>
        <v/>
      </c>
      <c r="M25" s="184">
        <f>SUMIFS($AE$51:$AE$350,$A$51:$A$350,$A25,$J$51:$J$350,10)</f>
        <v/>
      </c>
      <c r="N25" s="184">
        <f>SUMIFS($AF$51:$AF$350,$A$51:$A$350,$A25,$J$51:$J$350,10)</f>
        <v/>
      </c>
      <c r="O25" s="184">
        <f>N25-$F$14</f>
        <v/>
      </c>
      <c r="P25" s="184">
        <f>N25-$F$15</f>
        <v/>
      </c>
      <c r="Q25" s="184">
        <f>N25-$F$16</f>
        <v/>
      </c>
      <c r="R25" s="184">
        <f>N25-$F$17</f>
        <v/>
      </c>
      <c r="S25" s="181">
        <f>IF(N25&gt;=$F$17,"Clears $7M 50% by Y10",IF(N25&gt;=$F$16,"Clears $7M cash by Y10",IF(N25&gt;=$F$15,"Clears $5M 50% by Y10",IF(N25&gt;=$F$14,"Clears $5M cash by Y10","Short of $5M retire+house by Y10"))))</f>
        <v/>
      </c>
      <c r="T25" s="184">
        <f>SUMIFS($T$51:$T$350,$A$51:$A$350,$A25,$J$51:$J$350,15)</f>
        <v/>
      </c>
      <c r="U25" s="184">
        <f>SUMIFS($AD$51:$AD$350,$A$51:$A$350,$A25,$J$51:$J$350,15)</f>
        <v/>
      </c>
      <c r="V25" s="184">
        <f>SUMIFS($AE$51:$AE$350,$A$51:$A$350,$A25,$J$51:$J$350,15)</f>
        <v/>
      </c>
      <c r="W25" s="184">
        <f>SUMIFS($AF$51:$AF$350,$A$51:$A$350,$A25,$J$51:$J$350,15)</f>
        <v/>
      </c>
      <c r="X25" s="184">
        <f>W25-$F$14</f>
        <v/>
      </c>
      <c r="Y25" s="184">
        <f>W25-$F$15</f>
        <v/>
      </c>
      <c r="Z25" s="184">
        <f>W25-$F$16</f>
        <v/>
      </c>
      <c r="AA25" s="184">
        <f>W25-$F$17</f>
        <v/>
      </c>
      <c r="AB25" s="181">
        <f>IF(W25&gt;=$F$17,"Clears $7M 50% by Y15",IF(W25&gt;=$F$16,"Clears $7M cash by Y15",IF(W25&gt;=$F$15,"Clears $5M 50% by Y15",IF(W25&gt;=$F$14,"Clears $5M cash by Y15","Short of $5M retire+house by Y15"))))</f>
        <v/>
      </c>
      <c r="AC25" s="181">
        <f>IF(SUMIFS($AG$51:$AG$350,$A$51:$A$350,$A25)=0,"Not by Y15","Y"&amp;SUMIFS($AG$51:$AG$350,$A$51:$A$350,$A25)&amp;" / "&amp;(('Model Inputs'!$B$22-1)+SUMIFS($AG$51:$AG$350,$A$51:$A$350,$A25)))</f>
        <v/>
      </c>
      <c r="AD25" s="181">
        <f>IF(SUMIFS($AH$51:$AH$350,$A$51:$A$350,$A25)=0,"Not by Y15","Y"&amp;SUMIFS($AH$51:$AH$350,$A$51:$A$350,$A25)&amp;" / "&amp;(('Model Inputs'!$B$22-1)+SUMIFS($AH$51:$AH$350,$A$51:$A$350,$A25)))</f>
        <v/>
      </c>
      <c r="AE25" s="181">
        <f>IF(SUMIFS($AI$51:$AI$350,$A$51:$A$350,$A25)=0,"Not by Y15","Y"&amp;SUMIFS($AI$51:$AI$350,$A$51:$A$350,$A25)&amp;" / "&amp;(('Model Inputs'!$B$22-1)+SUMIFS($AI$51:$AI$350,$A$51:$A$350,$A25)))</f>
        <v/>
      </c>
      <c r="AF25" s="181">
        <f>IF(SUMIFS($AJ$51:$AJ$350,$A$51:$A$350,$A25)=0,"Not by Y15","Y"&amp;SUMIFS($AJ$51:$AJ$350,$A$51:$A$350,$A25)&amp;" / "&amp;(('Model Inputs'!$B$22-1)+SUMIFS($AJ$51:$AJ$350,$A$51:$A$350,$A25)))</f>
        <v/>
      </c>
    </row>
    <row r="26" ht="20" customHeight="1" s="326">
      <c r="A26" s="181" t="inlineStr">
        <is>
          <t>3Y -&gt; PM Y8 Starter</t>
        </is>
      </c>
      <c r="B26" s="203" t="n">
        <v>3</v>
      </c>
      <c r="C26" s="205">
        <f>$J$15</f>
        <v/>
      </c>
      <c r="D26" s="203" t="n">
        <v>8</v>
      </c>
      <c r="E26" s="181">
        <f>$L$15</f>
        <v/>
      </c>
      <c r="F26" s="184">
        <f>$M$15</f>
        <v/>
      </c>
      <c r="G26" s="188">
        <f>$N$15</f>
        <v/>
      </c>
      <c r="H26" s="184">
        <f>$J$16</f>
        <v/>
      </c>
      <c r="I26" s="184">
        <f>$O$15</f>
        <v/>
      </c>
      <c r="J26" s="184">
        <f>INDEX('Savings Projection'!$BK$19:$BK$58,B26)</f>
        <v/>
      </c>
      <c r="K26" s="184">
        <f>SUMIFS($T$51:$T$350,$A$51:$A$350,$A26,$J$51:$J$350,10)</f>
        <v/>
      </c>
      <c r="L26" s="184">
        <f>SUMIFS($AD$51:$AD$350,$A$51:$A$350,$A26,$J$51:$J$350,10)</f>
        <v/>
      </c>
      <c r="M26" s="184">
        <f>SUMIFS($AE$51:$AE$350,$A$51:$A$350,$A26,$J$51:$J$350,10)</f>
        <v/>
      </c>
      <c r="N26" s="184">
        <f>SUMIFS($AF$51:$AF$350,$A$51:$A$350,$A26,$J$51:$J$350,10)</f>
        <v/>
      </c>
      <c r="O26" s="184">
        <f>N26-$F$14</f>
        <v/>
      </c>
      <c r="P26" s="184">
        <f>N26-$F$15</f>
        <v/>
      </c>
      <c r="Q26" s="184">
        <f>N26-$F$16</f>
        <v/>
      </c>
      <c r="R26" s="184">
        <f>N26-$F$17</f>
        <v/>
      </c>
      <c r="S26" s="181">
        <f>IF(N26&gt;=$F$17,"Clears $7M 50% by Y10",IF(N26&gt;=$F$16,"Clears $7M cash by Y10",IF(N26&gt;=$F$15,"Clears $5M 50% by Y10",IF(N26&gt;=$F$14,"Clears $5M cash by Y10","Short of $5M retire+house by Y10"))))</f>
        <v/>
      </c>
      <c r="T26" s="184">
        <f>SUMIFS($T$51:$T$350,$A$51:$A$350,$A26,$J$51:$J$350,15)</f>
        <v/>
      </c>
      <c r="U26" s="184">
        <f>SUMIFS($AD$51:$AD$350,$A$51:$A$350,$A26,$J$51:$J$350,15)</f>
        <v/>
      </c>
      <c r="V26" s="184">
        <f>SUMIFS($AE$51:$AE$350,$A$51:$A$350,$A26,$J$51:$J$350,15)</f>
        <v/>
      </c>
      <c r="W26" s="184">
        <f>SUMIFS($AF$51:$AF$350,$A$51:$A$350,$A26,$J$51:$J$350,15)</f>
        <v/>
      </c>
      <c r="X26" s="184">
        <f>W26-$F$14</f>
        <v/>
      </c>
      <c r="Y26" s="184">
        <f>W26-$F$15</f>
        <v/>
      </c>
      <c r="Z26" s="184">
        <f>W26-$F$16</f>
        <v/>
      </c>
      <c r="AA26" s="184">
        <f>W26-$F$17</f>
        <v/>
      </c>
      <c r="AB26" s="181">
        <f>IF(W26&gt;=$F$17,"Clears $7M 50% by Y15",IF(W26&gt;=$F$16,"Clears $7M cash by Y15",IF(W26&gt;=$F$15,"Clears $5M 50% by Y15",IF(W26&gt;=$F$14,"Clears $5M cash by Y15","Short of $5M retire+house by Y15"))))</f>
        <v/>
      </c>
      <c r="AC26" s="181">
        <f>IF(SUMIFS($AG$51:$AG$350,$A$51:$A$350,$A26)=0,"Not by Y15","Y"&amp;SUMIFS($AG$51:$AG$350,$A$51:$A$350,$A26)&amp;" / "&amp;(('Model Inputs'!$B$22-1)+SUMIFS($AG$51:$AG$350,$A$51:$A$350,$A26)))</f>
        <v/>
      </c>
      <c r="AD26" s="181">
        <f>IF(SUMIFS($AH$51:$AH$350,$A$51:$A$350,$A26)=0,"Not by Y15","Y"&amp;SUMIFS($AH$51:$AH$350,$A$51:$A$350,$A26)&amp;" / "&amp;(('Model Inputs'!$B$22-1)+SUMIFS($AH$51:$AH$350,$A$51:$A$350,$A26)))</f>
        <v/>
      </c>
      <c r="AE26" s="181">
        <f>IF(SUMIFS($AI$51:$AI$350,$A$51:$A$350,$A26)=0,"Not by Y15","Y"&amp;SUMIFS($AI$51:$AI$350,$A$51:$A$350,$A26)&amp;" / "&amp;(('Model Inputs'!$B$22-1)+SUMIFS($AI$51:$AI$350,$A$51:$A$350,$A26)))</f>
        <v/>
      </c>
      <c r="AF26" s="181">
        <f>IF(SUMIFS($AJ$51:$AJ$350,$A$51:$A$350,$A26)=0,"Not by Y15","Y"&amp;SUMIFS($AJ$51:$AJ$350,$A$51:$A$350,$A26)&amp;" / "&amp;(('Model Inputs'!$B$22-1)+SUMIFS($AJ$51:$AJ$350,$A$51:$A$350,$A26)))</f>
        <v/>
      </c>
    </row>
    <row r="27" ht="20" customHeight="1" s="326">
      <c r="A27" s="181" t="inlineStr">
        <is>
          <t>3Y -&gt; PM Y8 Base</t>
        </is>
      </c>
      <c r="B27" s="203" t="n">
        <v>3</v>
      </c>
      <c r="C27" s="205">
        <f>$J$15</f>
        <v/>
      </c>
      <c r="D27" s="203" t="n">
        <v>8</v>
      </c>
      <c r="E27" s="181">
        <f>$L$16</f>
        <v/>
      </c>
      <c r="F27" s="184">
        <f>$M$16</f>
        <v/>
      </c>
      <c r="G27" s="188">
        <f>$N$16</f>
        <v/>
      </c>
      <c r="H27" s="184">
        <f>$J$16</f>
        <v/>
      </c>
      <c r="I27" s="184">
        <f>$O$16</f>
        <v/>
      </c>
      <c r="J27" s="184">
        <f>INDEX('Savings Projection'!$BK$19:$BK$58,B27)</f>
        <v/>
      </c>
      <c r="K27" s="184">
        <f>SUMIFS($T$51:$T$350,$A$51:$A$350,$A27,$J$51:$J$350,10)</f>
        <v/>
      </c>
      <c r="L27" s="184">
        <f>SUMIFS($AD$51:$AD$350,$A$51:$A$350,$A27,$J$51:$J$350,10)</f>
        <v/>
      </c>
      <c r="M27" s="184">
        <f>SUMIFS($AE$51:$AE$350,$A$51:$A$350,$A27,$J$51:$J$350,10)</f>
        <v/>
      </c>
      <c r="N27" s="184">
        <f>SUMIFS($AF$51:$AF$350,$A$51:$A$350,$A27,$J$51:$J$350,10)</f>
        <v/>
      </c>
      <c r="O27" s="184">
        <f>N27-$F$14</f>
        <v/>
      </c>
      <c r="P27" s="184">
        <f>N27-$F$15</f>
        <v/>
      </c>
      <c r="Q27" s="184">
        <f>N27-$F$16</f>
        <v/>
      </c>
      <c r="R27" s="184">
        <f>N27-$F$17</f>
        <v/>
      </c>
      <c r="S27" s="181">
        <f>IF(N27&gt;=$F$17,"Clears $7M 50% by Y10",IF(N27&gt;=$F$16,"Clears $7M cash by Y10",IF(N27&gt;=$F$15,"Clears $5M 50% by Y10",IF(N27&gt;=$F$14,"Clears $5M cash by Y10","Short of $5M retire+house by Y10"))))</f>
        <v/>
      </c>
      <c r="T27" s="184">
        <f>SUMIFS($T$51:$T$350,$A$51:$A$350,$A27,$J$51:$J$350,15)</f>
        <v/>
      </c>
      <c r="U27" s="184">
        <f>SUMIFS($AD$51:$AD$350,$A$51:$A$350,$A27,$J$51:$J$350,15)</f>
        <v/>
      </c>
      <c r="V27" s="184">
        <f>SUMIFS($AE$51:$AE$350,$A$51:$A$350,$A27,$J$51:$J$350,15)</f>
        <v/>
      </c>
      <c r="W27" s="184">
        <f>SUMIFS($AF$51:$AF$350,$A$51:$A$350,$A27,$J$51:$J$350,15)</f>
        <v/>
      </c>
      <c r="X27" s="184">
        <f>W27-$F$14</f>
        <v/>
      </c>
      <c r="Y27" s="184">
        <f>W27-$F$15</f>
        <v/>
      </c>
      <c r="Z27" s="184">
        <f>W27-$F$16</f>
        <v/>
      </c>
      <c r="AA27" s="184">
        <f>W27-$F$17</f>
        <v/>
      </c>
      <c r="AB27" s="181">
        <f>IF(W27&gt;=$F$17,"Clears $7M 50% by Y15",IF(W27&gt;=$F$16,"Clears $7M cash by Y15",IF(W27&gt;=$F$15,"Clears $5M 50% by Y15",IF(W27&gt;=$F$14,"Clears $5M cash by Y15","Short of $5M retire+house by Y15"))))</f>
        <v/>
      </c>
      <c r="AC27" s="181">
        <f>IF(SUMIFS($AG$51:$AG$350,$A$51:$A$350,$A27)=0,"Not by Y15","Y"&amp;SUMIFS($AG$51:$AG$350,$A$51:$A$350,$A27)&amp;" / "&amp;(('Model Inputs'!$B$22-1)+SUMIFS($AG$51:$AG$350,$A$51:$A$350,$A27)))</f>
        <v/>
      </c>
      <c r="AD27" s="181">
        <f>IF(SUMIFS($AH$51:$AH$350,$A$51:$A$350,$A27)=0,"Not by Y15","Y"&amp;SUMIFS($AH$51:$AH$350,$A$51:$A$350,$A27)&amp;" / "&amp;(('Model Inputs'!$B$22-1)+SUMIFS($AH$51:$AH$350,$A$51:$A$350,$A27)))</f>
        <v/>
      </c>
      <c r="AE27" s="181">
        <f>IF(SUMIFS($AI$51:$AI$350,$A$51:$A$350,$A27)=0,"Not by Y15","Y"&amp;SUMIFS($AI$51:$AI$350,$A$51:$A$350,$A27)&amp;" / "&amp;(('Model Inputs'!$B$22-1)+SUMIFS($AI$51:$AI$350,$A$51:$A$350,$A27)))</f>
        <v/>
      </c>
      <c r="AF27" s="181">
        <f>IF(SUMIFS($AJ$51:$AJ$350,$A$51:$A$350,$A27)=0,"Not by Y15","Y"&amp;SUMIFS($AJ$51:$AJ$350,$A$51:$A$350,$A27)&amp;" / "&amp;(('Model Inputs'!$B$22-1)+SUMIFS($AJ$51:$AJ$350,$A$51:$A$350,$A27)))</f>
        <v/>
      </c>
    </row>
    <row r="28" ht="20" customHeight="1" s="326">
      <c r="A28" s="181" t="inlineStr">
        <is>
          <t>3Y -&gt; PM Y8 Upside</t>
        </is>
      </c>
      <c r="B28" s="203" t="n">
        <v>3</v>
      </c>
      <c r="C28" s="205">
        <f>$J$15</f>
        <v/>
      </c>
      <c r="D28" s="203" t="n">
        <v>8</v>
      </c>
      <c r="E28" s="181">
        <f>$L$17</f>
        <v/>
      </c>
      <c r="F28" s="184">
        <f>$M$17</f>
        <v/>
      </c>
      <c r="G28" s="188">
        <f>$N$17</f>
        <v/>
      </c>
      <c r="H28" s="184">
        <f>$J$16</f>
        <v/>
      </c>
      <c r="I28" s="184">
        <f>$O$17</f>
        <v/>
      </c>
      <c r="J28" s="184">
        <f>INDEX('Savings Projection'!$BK$19:$BK$58,B28)</f>
        <v/>
      </c>
      <c r="K28" s="184">
        <f>SUMIFS($T$51:$T$350,$A$51:$A$350,$A28,$J$51:$J$350,10)</f>
        <v/>
      </c>
      <c r="L28" s="184">
        <f>SUMIFS($AD$51:$AD$350,$A$51:$A$350,$A28,$J$51:$J$350,10)</f>
        <v/>
      </c>
      <c r="M28" s="184">
        <f>SUMIFS($AE$51:$AE$350,$A$51:$A$350,$A28,$J$51:$J$350,10)</f>
        <v/>
      </c>
      <c r="N28" s="184">
        <f>SUMIFS($AF$51:$AF$350,$A$51:$A$350,$A28,$J$51:$J$350,10)</f>
        <v/>
      </c>
      <c r="O28" s="184">
        <f>N28-$F$14</f>
        <v/>
      </c>
      <c r="P28" s="184">
        <f>N28-$F$15</f>
        <v/>
      </c>
      <c r="Q28" s="184">
        <f>N28-$F$16</f>
        <v/>
      </c>
      <c r="R28" s="184">
        <f>N28-$F$17</f>
        <v/>
      </c>
      <c r="S28" s="181">
        <f>IF(N28&gt;=$F$17,"Clears $7M 50% by Y10",IF(N28&gt;=$F$16,"Clears $7M cash by Y10",IF(N28&gt;=$F$15,"Clears $5M 50% by Y10",IF(N28&gt;=$F$14,"Clears $5M cash by Y10","Short of $5M retire+house by Y10"))))</f>
        <v/>
      </c>
      <c r="T28" s="184">
        <f>SUMIFS($T$51:$T$350,$A$51:$A$350,$A28,$J$51:$J$350,15)</f>
        <v/>
      </c>
      <c r="U28" s="184">
        <f>SUMIFS($AD$51:$AD$350,$A$51:$A$350,$A28,$J$51:$J$350,15)</f>
        <v/>
      </c>
      <c r="V28" s="184">
        <f>SUMIFS($AE$51:$AE$350,$A$51:$A$350,$A28,$J$51:$J$350,15)</f>
        <v/>
      </c>
      <c r="W28" s="184">
        <f>SUMIFS($AF$51:$AF$350,$A$51:$A$350,$A28,$J$51:$J$350,15)</f>
        <v/>
      </c>
      <c r="X28" s="184">
        <f>W28-$F$14</f>
        <v/>
      </c>
      <c r="Y28" s="184">
        <f>W28-$F$15</f>
        <v/>
      </c>
      <c r="Z28" s="184">
        <f>W28-$F$16</f>
        <v/>
      </c>
      <c r="AA28" s="184">
        <f>W28-$F$17</f>
        <v/>
      </c>
      <c r="AB28" s="181">
        <f>IF(W28&gt;=$F$17,"Clears $7M 50% by Y15",IF(W28&gt;=$F$16,"Clears $7M cash by Y15",IF(W28&gt;=$F$15,"Clears $5M 50% by Y15",IF(W28&gt;=$F$14,"Clears $5M cash by Y15","Short of $5M retire+house by Y15"))))</f>
        <v/>
      </c>
      <c r="AC28" s="181">
        <f>IF(SUMIFS($AG$51:$AG$350,$A$51:$A$350,$A28)=0,"Not by Y15","Y"&amp;SUMIFS($AG$51:$AG$350,$A$51:$A$350,$A28)&amp;" / "&amp;(('Model Inputs'!$B$22-1)+SUMIFS($AG$51:$AG$350,$A$51:$A$350,$A28)))</f>
        <v/>
      </c>
      <c r="AD28" s="181">
        <f>IF(SUMIFS($AH$51:$AH$350,$A$51:$A$350,$A28)=0,"Not by Y15","Y"&amp;SUMIFS($AH$51:$AH$350,$A$51:$A$350,$A28)&amp;" / "&amp;(('Model Inputs'!$B$22-1)+SUMIFS($AH$51:$AH$350,$A$51:$A$350,$A28)))</f>
        <v/>
      </c>
      <c r="AE28" s="181">
        <f>IF(SUMIFS($AI$51:$AI$350,$A$51:$A$350,$A28)=0,"Not by Y15","Y"&amp;SUMIFS($AI$51:$AI$350,$A$51:$A$350,$A28)&amp;" / "&amp;(('Model Inputs'!$B$22-1)+SUMIFS($AI$51:$AI$350,$A$51:$A$350,$A28)))</f>
        <v/>
      </c>
      <c r="AF28" s="181">
        <f>IF(SUMIFS($AJ$51:$AJ$350,$A$51:$A$350,$A28)=0,"Not by Y15","Y"&amp;SUMIFS($AJ$51:$AJ$350,$A$51:$A$350,$A28)&amp;" / "&amp;(('Model Inputs'!$B$22-1)+SUMIFS($AJ$51:$AJ$350,$A$51:$A$350,$A28)))</f>
        <v/>
      </c>
    </row>
    <row r="29" ht="20" customHeight="1" s="326">
      <c r="A29" s="181" t="inlineStr">
        <is>
          <t>3Y -&gt; PM Y8 Tail</t>
        </is>
      </c>
      <c r="B29" s="203" t="n">
        <v>3</v>
      </c>
      <c r="C29" s="205">
        <f>$J$15</f>
        <v/>
      </c>
      <c r="D29" s="203" t="n">
        <v>8</v>
      </c>
      <c r="E29" s="181">
        <f>$L$18</f>
        <v/>
      </c>
      <c r="F29" s="184">
        <f>$M$18</f>
        <v/>
      </c>
      <c r="G29" s="188">
        <f>$N$18</f>
        <v/>
      </c>
      <c r="H29" s="184">
        <f>$J$16</f>
        <v/>
      </c>
      <c r="I29" s="184">
        <f>$O$18</f>
        <v/>
      </c>
      <c r="J29" s="184">
        <f>INDEX('Savings Projection'!$BK$19:$BK$58,B29)</f>
        <v/>
      </c>
      <c r="K29" s="184">
        <f>SUMIFS($T$51:$T$350,$A$51:$A$350,$A29,$J$51:$J$350,10)</f>
        <v/>
      </c>
      <c r="L29" s="184">
        <f>SUMIFS($AD$51:$AD$350,$A$51:$A$350,$A29,$J$51:$J$350,10)</f>
        <v/>
      </c>
      <c r="M29" s="184">
        <f>SUMIFS($AE$51:$AE$350,$A$51:$A$350,$A29,$J$51:$J$350,10)</f>
        <v/>
      </c>
      <c r="N29" s="184">
        <f>SUMIFS($AF$51:$AF$350,$A$51:$A$350,$A29,$J$51:$J$350,10)</f>
        <v/>
      </c>
      <c r="O29" s="184">
        <f>N29-$F$14</f>
        <v/>
      </c>
      <c r="P29" s="184">
        <f>N29-$F$15</f>
        <v/>
      </c>
      <c r="Q29" s="184">
        <f>N29-$F$16</f>
        <v/>
      </c>
      <c r="R29" s="184">
        <f>N29-$F$17</f>
        <v/>
      </c>
      <c r="S29" s="181">
        <f>IF(N29&gt;=$F$17,"Clears $7M 50% by Y10",IF(N29&gt;=$F$16,"Clears $7M cash by Y10",IF(N29&gt;=$F$15,"Clears $5M 50% by Y10",IF(N29&gt;=$F$14,"Clears $5M cash by Y10","Short of $5M retire+house by Y10"))))</f>
        <v/>
      </c>
      <c r="T29" s="184">
        <f>SUMIFS($T$51:$T$350,$A$51:$A$350,$A29,$J$51:$J$350,15)</f>
        <v/>
      </c>
      <c r="U29" s="184">
        <f>SUMIFS($AD$51:$AD$350,$A$51:$A$350,$A29,$J$51:$J$350,15)</f>
        <v/>
      </c>
      <c r="V29" s="184">
        <f>SUMIFS($AE$51:$AE$350,$A$51:$A$350,$A29,$J$51:$J$350,15)</f>
        <v/>
      </c>
      <c r="W29" s="184">
        <f>SUMIFS($AF$51:$AF$350,$A$51:$A$350,$A29,$J$51:$J$350,15)</f>
        <v/>
      </c>
      <c r="X29" s="184">
        <f>W29-$F$14</f>
        <v/>
      </c>
      <c r="Y29" s="184">
        <f>W29-$F$15</f>
        <v/>
      </c>
      <c r="Z29" s="184">
        <f>W29-$F$16</f>
        <v/>
      </c>
      <c r="AA29" s="184">
        <f>W29-$F$17</f>
        <v/>
      </c>
      <c r="AB29" s="181">
        <f>IF(W29&gt;=$F$17,"Clears $7M 50% by Y15",IF(W29&gt;=$F$16,"Clears $7M cash by Y15",IF(W29&gt;=$F$15,"Clears $5M 50% by Y15",IF(W29&gt;=$F$14,"Clears $5M cash by Y15","Short of $5M retire+house by Y15"))))</f>
        <v/>
      </c>
      <c r="AC29" s="181">
        <f>IF(SUMIFS($AG$51:$AG$350,$A$51:$A$350,$A29)=0,"Not by Y15","Y"&amp;SUMIFS($AG$51:$AG$350,$A$51:$A$350,$A29)&amp;" / "&amp;(('Model Inputs'!$B$22-1)+SUMIFS($AG$51:$AG$350,$A$51:$A$350,$A29)))</f>
        <v/>
      </c>
      <c r="AD29" s="181">
        <f>IF(SUMIFS($AH$51:$AH$350,$A$51:$A$350,$A29)=0,"Not by Y15","Y"&amp;SUMIFS($AH$51:$AH$350,$A$51:$A$350,$A29)&amp;" / "&amp;(('Model Inputs'!$B$22-1)+SUMIFS($AH$51:$AH$350,$A$51:$A$350,$A29)))</f>
        <v/>
      </c>
      <c r="AE29" s="181">
        <f>IF(SUMIFS($AI$51:$AI$350,$A$51:$A$350,$A29)=0,"Not by Y15","Y"&amp;SUMIFS($AI$51:$AI$350,$A$51:$A$350,$A29)&amp;" / "&amp;(('Model Inputs'!$B$22-1)+SUMIFS($AI$51:$AI$350,$A$51:$A$350,$A29)))</f>
        <v/>
      </c>
      <c r="AF29" s="181">
        <f>IF(SUMIFS($AJ$51:$AJ$350,$A$51:$A$350,$A29)=0,"Not by Y15","Y"&amp;SUMIFS($AJ$51:$AJ$350,$A$51:$A$350,$A29)&amp;" / "&amp;(('Model Inputs'!$B$22-1)+SUMIFS($AJ$51:$AJ$350,$A$51:$A$350,$A29)))</f>
        <v/>
      </c>
    </row>
    <row r="30" ht="20" customHeight="1" s="326">
      <c r="A30" s="181" t="inlineStr">
        <is>
          <t>4Y -&gt; PM Y7 Starter</t>
        </is>
      </c>
      <c r="B30" s="203" t="n">
        <v>4</v>
      </c>
      <c r="C30" s="205">
        <f>$J$15</f>
        <v/>
      </c>
      <c r="D30" s="203" t="n">
        <v>7</v>
      </c>
      <c r="E30" s="181">
        <f>$L$15</f>
        <v/>
      </c>
      <c r="F30" s="184">
        <f>$M$15</f>
        <v/>
      </c>
      <c r="G30" s="188">
        <f>$N$15</f>
        <v/>
      </c>
      <c r="H30" s="184">
        <f>$J$16</f>
        <v/>
      </c>
      <c r="I30" s="184">
        <f>$O$15</f>
        <v/>
      </c>
      <c r="J30" s="184">
        <f>INDEX('Savings Projection'!$BK$19:$BK$58,B30)</f>
        <v/>
      </c>
      <c r="K30" s="184">
        <f>SUMIFS($T$51:$T$350,$A$51:$A$350,$A30,$J$51:$J$350,10)</f>
        <v/>
      </c>
      <c r="L30" s="184">
        <f>SUMIFS($AD$51:$AD$350,$A$51:$A$350,$A30,$J$51:$J$350,10)</f>
        <v/>
      </c>
      <c r="M30" s="184">
        <f>SUMIFS($AE$51:$AE$350,$A$51:$A$350,$A30,$J$51:$J$350,10)</f>
        <v/>
      </c>
      <c r="N30" s="184">
        <f>SUMIFS($AF$51:$AF$350,$A$51:$A$350,$A30,$J$51:$J$350,10)</f>
        <v/>
      </c>
      <c r="O30" s="184">
        <f>N30-$F$14</f>
        <v/>
      </c>
      <c r="P30" s="184">
        <f>N30-$F$15</f>
        <v/>
      </c>
      <c r="Q30" s="184">
        <f>N30-$F$16</f>
        <v/>
      </c>
      <c r="R30" s="184">
        <f>N30-$F$17</f>
        <v/>
      </c>
      <c r="S30" s="181">
        <f>IF(N30&gt;=$F$17,"Clears $7M 50% by Y10",IF(N30&gt;=$F$16,"Clears $7M cash by Y10",IF(N30&gt;=$F$15,"Clears $5M 50% by Y10",IF(N30&gt;=$F$14,"Clears $5M cash by Y10","Short of $5M retire+house by Y10"))))</f>
        <v/>
      </c>
      <c r="T30" s="184">
        <f>SUMIFS($T$51:$T$350,$A$51:$A$350,$A30,$J$51:$J$350,15)</f>
        <v/>
      </c>
      <c r="U30" s="184">
        <f>SUMIFS($AD$51:$AD$350,$A$51:$A$350,$A30,$J$51:$J$350,15)</f>
        <v/>
      </c>
      <c r="V30" s="184">
        <f>SUMIFS($AE$51:$AE$350,$A$51:$A$350,$A30,$J$51:$J$350,15)</f>
        <v/>
      </c>
      <c r="W30" s="184">
        <f>SUMIFS($AF$51:$AF$350,$A$51:$A$350,$A30,$J$51:$J$350,15)</f>
        <v/>
      </c>
      <c r="X30" s="184">
        <f>W30-$F$14</f>
        <v/>
      </c>
      <c r="Y30" s="184">
        <f>W30-$F$15</f>
        <v/>
      </c>
      <c r="Z30" s="184">
        <f>W30-$F$16</f>
        <v/>
      </c>
      <c r="AA30" s="184">
        <f>W30-$F$17</f>
        <v/>
      </c>
      <c r="AB30" s="181">
        <f>IF(W30&gt;=$F$17,"Clears $7M 50% by Y15",IF(W30&gt;=$F$16,"Clears $7M cash by Y15",IF(W30&gt;=$F$15,"Clears $5M 50% by Y15",IF(W30&gt;=$F$14,"Clears $5M cash by Y15","Short of $5M retire+house by Y15"))))</f>
        <v/>
      </c>
      <c r="AC30" s="181">
        <f>IF(SUMIFS($AG$51:$AG$350,$A$51:$A$350,$A30)=0,"Not by Y15","Y"&amp;SUMIFS($AG$51:$AG$350,$A$51:$A$350,$A30)&amp;" / "&amp;(('Model Inputs'!$B$22-1)+SUMIFS($AG$51:$AG$350,$A$51:$A$350,$A30)))</f>
        <v/>
      </c>
      <c r="AD30" s="181">
        <f>IF(SUMIFS($AH$51:$AH$350,$A$51:$A$350,$A30)=0,"Not by Y15","Y"&amp;SUMIFS($AH$51:$AH$350,$A$51:$A$350,$A30)&amp;" / "&amp;(('Model Inputs'!$B$22-1)+SUMIFS($AH$51:$AH$350,$A$51:$A$350,$A30)))</f>
        <v/>
      </c>
      <c r="AE30" s="181">
        <f>IF(SUMIFS($AI$51:$AI$350,$A$51:$A$350,$A30)=0,"Not by Y15","Y"&amp;SUMIFS($AI$51:$AI$350,$A$51:$A$350,$A30)&amp;" / "&amp;(('Model Inputs'!$B$22-1)+SUMIFS($AI$51:$AI$350,$A$51:$A$350,$A30)))</f>
        <v/>
      </c>
      <c r="AF30" s="181">
        <f>IF(SUMIFS($AJ$51:$AJ$350,$A$51:$A$350,$A30)=0,"Not by Y15","Y"&amp;SUMIFS($AJ$51:$AJ$350,$A$51:$A$350,$A30)&amp;" / "&amp;(('Model Inputs'!$B$22-1)+SUMIFS($AJ$51:$AJ$350,$A$51:$A$350,$A30)))</f>
        <v/>
      </c>
    </row>
    <row r="31" ht="20" customHeight="1" s="326">
      <c r="A31" s="181" t="inlineStr">
        <is>
          <t>4Y -&gt; PM Y7 Base</t>
        </is>
      </c>
      <c r="B31" s="203" t="n">
        <v>4</v>
      </c>
      <c r="C31" s="205">
        <f>$J$15</f>
        <v/>
      </c>
      <c r="D31" s="203" t="n">
        <v>7</v>
      </c>
      <c r="E31" s="181">
        <f>$L$16</f>
        <v/>
      </c>
      <c r="F31" s="184">
        <f>$M$16</f>
        <v/>
      </c>
      <c r="G31" s="188">
        <f>$N$16</f>
        <v/>
      </c>
      <c r="H31" s="184">
        <f>$J$16</f>
        <v/>
      </c>
      <c r="I31" s="184">
        <f>$O$16</f>
        <v/>
      </c>
      <c r="J31" s="184">
        <f>INDEX('Savings Projection'!$BK$19:$BK$58,B31)</f>
        <v/>
      </c>
      <c r="K31" s="184">
        <f>SUMIFS($T$51:$T$350,$A$51:$A$350,$A31,$J$51:$J$350,10)</f>
        <v/>
      </c>
      <c r="L31" s="184">
        <f>SUMIFS($AD$51:$AD$350,$A$51:$A$350,$A31,$J$51:$J$350,10)</f>
        <v/>
      </c>
      <c r="M31" s="184">
        <f>SUMIFS($AE$51:$AE$350,$A$51:$A$350,$A31,$J$51:$J$350,10)</f>
        <v/>
      </c>
      <c r="N31" s="184">
        <f>SUMIFS($AF$51:$AF$350,$A$51:$A$350,$A31,$J$51:$J$350,10)</f>
        <v/>
      </c>
      <c r="O31" s="184">
        <f>N31-$F$14</f>
        <v/>
      </c>
      <c r="P31" s="184">
        <f>N31-$F$15</f>
        <v/>
      </c>
      <c r="Q31" s="184">
        <f>N31-$F$16</f>
        <v/>
      </c>
      <c r="R31" s="184">
        <f>N31-$F$17</f>
        <v/>
      </c>
      <c r="S31" s="181">
        <f>IF(N31&gt;=$F$17,"Clears $7M 50% by Y10",IF(N31&gt;=$F$16,"Clears $7M cash by Y10",IF(N31&gt;=$F$15,"Clears $5M 50% by Y10",IF(N31&gt;=$F$14,"Clears $5M cash by Y10","Short of $5M retire+house by Y10"))))</f>
        <v/>
      </c>
      <c r="T31" s="184">
        <f>SUMIFS($T$51:$T$350,$A$51:$A$350,$A31,$J$51:$J$350,15)</f>
        <v/>
      </c>
      <c r="U31" s="184">
        <f>SUMIFS($AD$51:$AD$350,$A$51:$A$350,$A31,$J$51:$J$350,15)</f>
        <v/>
      </c>
      <c r="V31" s="184">
        <f>SUMIFS($AE$51:$AE$350,$A$51:$A$350,$A31,$J$51:$J$350,15)</f>
        <v/>
      </c>
      <c r="W31" s="184">
        <f>SUMIFS($AF$51:$AF$350,$A$51:$A$350,$A31,$J$51:$J$350,15)</f>
        <v/>
      </c>
      <c r="X31" s="184">
        <f>W31-$F$14</f>
        <v/>
      </c>
      <c r="Y31" s="184">
        <f>W31-$F$15</f>
        <v/>
      </c>
      <c r="Z31" s="184">
        <f>W31-$F$16</f>
        <v/>
      </c>
      <c r="AA31" s="184">
        <f>W31-$F$17</f>
        <v/>
      </c>
      <c r="AB31" s="181">
        <f>IF(W31&gt;=$F$17,"Clears $7M 50% by Y15",IF(W31&gt;=$F$16,"Clears $7M cash by Y15",IF(W31&gt;=$F$15,"Clears $5M 50% by Y15",IF(W31&gt;=$F$14,"Clears $5M cash by Y15","Short of $5M retire+house by Y15"))))</f>
        <v/>
      </c>
      <c r="AC31" s="181">
        <f>IF(SUMIFS($AG$51:$AG$350,$A$51:$A$350,$A31)=0,"Not by Y15","Y"&amp;SUMIFS($AG$51:$AG$350,$A$51:$A$350,$A31)&amp;" / "&amp;(('Model Inputs'!$B$22-1)+SUMIFS($AG$51:$AG$350,$A$51:$A$350,$A31)))</f>
        <v/>
      </c>
      <c r="AD31" s="181">
        <f>IF(SUMIFS($AH$51:$AH$350,$A$51:$A$350,$A31)=0,"Not by Y15","Y"&amp;SUMIFS($AH$51:$AH$350,$A$51:$A$350,$A31)&amp;" / "&amp;(('Model Inputs'!$B$22-1)+SUMIFS($AH$51:$AH$350,$A$51:$A$350,$A31)))</f>
        <v/>
      </c>
      <c r="AE31" s="181">
        <f>IF(SUMIFS($AI$51:$AI$350,$A$51:$A$350,$A31)=0,"Not by Y15","Y"&amp;SUMIFS($AI$51:$AI$350,$A$51:$A$350,$A31)&amp;" / "&amp;(('Model Inputs'!$B$22-1)+SUMIFS($AI$51:$AI$350,$A$51:$A$350,$A31)))</f>
        <v/>
      </c>
      <c r="AF31" s="181">
        <f>IF(SUMIFS($AJ$51:$AJ$350,$A$51:$A$350,$A31)=0,"Not by Y15","Y"&amp;SUMIFS($AJ$51:$AJ$350,$A$51:$A$350,$A31)&amp;" / "&amp;(('Model Inputs'!$B$22-1)+SUMIFS($AJ$51:$AJ$350,$A$51:$A$350,$A31)))</f>
        <v/>
      </c>
    </row>
    <row r="32" ht="20" customHeight="1" s="326">
      <c r="A32" s="181" t="inlineStr">
        <is>
          <t>4Y -&gt; PM Y7 Upside</t>
        </is>
      </c>
      <c r="B32" s="203" t="n">
        <v>4</v>
      </c>
      <c r="C32" s="205">
        <f>$J$15</f>
        <v/>
      </c>
      <c r="D32" s="203" t="n">
        <v>7</v>
      </c>
      <c r="E32" s="181">
        <f>$L$17</f>
        <v/>
      </c>
      <c r="F32" s="184">
        <f>$M$17</f>
        <v/>
      </c>
      <c r="G32" s="188">
        <f>$N$17</f>
        <v/>
      </c>
      <c r="H32" s="184">
        <f>$J$16</f>
        <v/>
      </c>
      <c r="I32" s="184">
        <f>$O$17</f>
        <v/>
      </c>
      <c r="J32" s="184">
        <f>INDEX('Savings Projection'!$BK$19:$BK$58,B32)</f>
        <v/>
      </c>
      <c r="K32" s="184">
        <f>SUMIFS($T$51:$T$350,$A$51:$A$350,$A32,$J$51:$J$350,10)</f>
        <v/>
      </c>
      <c r="L32" s="184">
        <f>SUMIFS($AD$51:$AD$350,$A$51:$A$350,$A32,$J$51:$J$350,10)</f>
        <v/>
      </c>
      <c r="M32" s="184">
        <f>SUMIFS($AE$51:$AE$350,$A$51:$A$350,$A32,$J$51:$J$350,10)</f>
        <v/>
      </c>
      <c r="N32" s="184">
        <f>SUMIFS($AF$51:$AF$350,$A$51:$A$350,$A32,$J$51:$J$350,10)</f>
        <v/>
      </c>
      <c r="O32" s="184">
        <f>N32-$F$14</f>
        <v/>
      </c>
      <c r="P32" s="184">
        <f>N32-$F$15</f>
        <v/>
      </c>
      <c r="Q32" s="184">
        <f>N32-$F$16</f>
        <v/>
      </c>
      <c r="R32" s="184">
        <f>N32-$F$17</f>
        <v/>
      </c>
      <c r="S32" s="181">
        <f>IF(N32&gt;=$F$17,"Clears $7M 50% by Y10",IF(N32&gt;=$F$16,"Clears $7M cash by Y10",IF(N32&gt;=$F$15,"Clears $5M 50% by Y10",IF(N32&gt;=$F$14,"Clears $5M cash by Y10","Short of $5M retire+house by Y10"))))</f>
        <v/>
      </c>
      <c r="T32" s="184">
        <f>SUMIFS($T$51:$T$350,$A$51:$A$350,$A32,$J$51:$J$350,15)</f>
        <v/>
      </c>
      <c r="U32" s="184">
        <f>SUMIFS($AD$51:$AD$350,$A$51:$A$350,$A32,$J$51:$J$350,15)</f>
        <v/>
      </c>
      <c r="V32" s="184">
        <f>SUMIFS($AE$51:$AE$350,$A$51:$A$350,$A32,$J$51:$J$350,15)</f>
        <v/>
      </c>
      <c r="W32" s="184">
        <f>SUMIFS($AF$51:$AF$350,$A$51:$A$350,$A32,$J$51:$J$350,15)</f>
        <v/>
      </c>
      <c r="X32" s="184">
        <f>W32-$F$14</f>
        <v/>
      </c>
      <c r="Y32" s="184">
        <f>W32-$F$15</f>
        <v/>
      </c>
      <c r="Z32" s="184">
        <f>W32-$F$16</f>
        <v/>
      </c>
      <c r="AA32" s="184">
        <f>W32-$F$17</f>
        <v/>
      </c>
      <c r="AB32" s="181">
        <f>IF(W32&gt;=$F$17,"Clears $7M 50% by Y15",IF(W32&gt;=$F$16,"Clears $7M cash by Y15",IF(W32&gt;=$F$15,"Clears $5M 50% by Y15",IF(W32&gt;=$F$14,"Clears $5M cash by Y15","Short of $5M retire+house by Y15"))))</f>
        <v/>
      </c>
      <c r="AC32" s="181">
        <f>IF(SUMIFS($AG$51:$AG$350,$A$51:$A$350,$A32)=0,"Not by Y15","Y"&amp;SUMIFS($AG$51:$AG$350,$A$51:$A$350,$A32)&amp;" / "&amp;(('Model Inputs'!$B$22-1)+SUMIFS($AG$51:$AG$350,$A$51:$A$350,$A32)))</f>
        <v/>
      </c>
      <c r="AD32" s="181">
        <f>IF(SUMIFS($AH$51:$AH$350,$A$51:$A$350,$A32)=0,"Not by Y15","Y"&amp;SUMIFS($AH$51:$AH$350,$A$51:$A$350,$A32)&amp;" / "&amp;(('Model Inputs'!$B$22-1)+SUMIFS($AH$51:$AH$350,$A$51:$A$350,$A32)))</f>
        <v/>
      </c>
      <c r="AE32" s="181">
        <f>IF(SUMIFS($AI$51:$AI$350,$A$51:$A$350,$A32)=0,"Not by Y15","Y"&amp;SUMIFS($AI$51:$AI$350,$A$51:$A$350,$A32)&amp;" / "&amp;(('Model Inputs'!$B$22-1)+SUMIFS($AI$51:$AI$350,$A$51:$A$350,$A32)))</f>
        <v/>
      </c>
      <c r="AF32" s="181">
        <f>IF(SUMIFS($AJ$51:$AJ$350,$A$51:$A$350,$A32)=0,"Not by Y15","Y"&amp;SUMIFS($AJ$51:$AJ$350,$A$51:$A$350,$A32)&amp;" / "&amp;(('Model Inputs'!$B$22-1)+SUMIFS($AJ$51:$AJ$350,$A$51:$A$350,$A32)))</f>
        <v/>
      </c>
    </row>
    <row r="33" ht="20" customHeight="1" s="326">
      <c r="A33" s="181" t="inlineStr">
        <is>
          <t>4Y -&gt; PM Y7 Tail</t>
        </is>
      </c>
      <c r="B33" s="203" t="n">
        <v>4</v>
      </c>
      <c r="C33" s="205">
        <f>$J$15</f>
        <v/>
      </c>
      <c r="D33" s="203" t="n">
        <v>7</v>
      </c>
      <c r="E33" s="181">
        <f>$L$18</f>
        <v/>
      </c>
      <c r="F33" s="184">
        <f>$M$18</f>
        <v/>
      </c>
      <c r="G33" s="188">
        <f>$N$18</f>
        <v/>
      </c>
      <c r="H33" s="184">
        <f>$J$16</f>
        <v/>
      </c>
      <c r="I33" s="184">
        <f>$O$18</f>
        <v/>
      </c>
      <c r="J33" s="184">
        <f>INDEX('Savings Projection'!$BK$19:$BK$58,B33)</f>
        <v/>
      </c>
      <c r="K33" s="184">
        <f>SUMIFS($T$51:$T$350,$A$51:$A$350,$A33,$J$51:$J$350,10)</f>
        <v/>
      </c>
      <c r="L33" s="184">
        <f>SUMIFS($AD$51:$AD$350,$A$51:$A$350,$A33,$J$51:$J$350,10)</f>
        <v/>
      </c>
      <c r="M33" s="184">
        <f>SUMIFS($AE$51:$AE$350,$A$51:$A$350,$A33,$J$51:$J$350,10)</f>
        <v/>
      </c>
      <c r="N33" s="184">
        <f>SUMIFS($AF$51:$AF$350,$A$51:$A$350,$A33,$J$51:$J$350,10)</f>
        <v/>
      </c>
      <c r="O33" s="184">
        <f>N33-$F$14</f>
        <v/>
      </c>
      <c r="P33" s="184">
        <f>N33-$F$15</f>
        <v/>
      </c>
      <c r="Q33" s="184">
        <f>N33-$F$16</f>
        <v/>
      </c>
      <c r="R33" s="184">
        <f>N33-$F$17</f>
        <v/>
      </c>
      <c r="S33" s="181">
        <f>IF(N33&gt;=$F$17,"Clears $7M 50% by Y10",IF(N33&gt;=$F$16,"Clears $7M cash by Y10",IF(N33&gt;=$F$15,"Clears $5M 50% by Y10",IF(N33&gt;=$F$14,"Clears $5M cash by Y10","Short of $5M retire+house by Y10"))))</f>
        <v/>
      </c>
      <c r="T33" s="184">
        <f>SUMIFS($T$51:$T$350,$A$51:$A$350,$A33,$J$51:$J$350,15)</f>
        <v/>
      </c>
      <c r="U33" s="184">
        <f>SUMIFS($AD$51:$AD$350,$A$51:$A$350,$A33,$J$51:$J$350,15)</f>
        <v/>
      </c>
      <c r="V33" s="184">
        <f>SUMIFS($AE$51:$AE$350,$A$51:$A$350,$A33,$J$51:$J$350,15)</f>
        <v/>
      </c>
      <c r="W33" s="184">
        <f>SUMIFS($AF$51:$AF$350,$A$51:$A$350,$A33,$J$51:$J$350,15)</f>
        <v/>
      </c>
      <c r="X33" s="184">
        <f>W33-$F$14</f>
        <v/>
      </c>
      <c r="Y33" s="184">
        <f>W33-$F$15</f>
        <v/>
      </c>
      <c r="Z33" s="184">
        <f>W33-$F$16</f>
        <v/>
      </c>
      <c r="AA33" s="184">
        <f>W33-$F$17</f>
        <v/>
      </c>
      <c r="AB33" s="181">
        <f>IF(W33&gt;=$F$17,"Clears $7M 50% by Y15",IF(W33&gt;=$F$16,"Clears $7M cash by Y15",IF(W33&gt;=$F$15,"Clears $5M 50% by Y15",IF(W33&gt;=$F$14,"Clears $5M cash by Y15","Short of $5M retire+house by Y15"))))</f>
        <v/>
      </c>
      <c r="AC33" s="181">
        <f>IF(SUMIFS($AG$51:$AG$350,$A$51:$A$350,$A33)=0,"Not by Y15","Y"&amp;SUMIFS($AG$51:$AG$350,$A$51:$A$350,$A33)&amp;" / "&amp;(('Model Inputs'!$B$22-1)+SUMIFS($AG$51:$AG$350,$A$51:$A$350,$A33)))</f>
        <v/>
      </c>
      <c r="AD33" s="181">
        <f>IF(SUMIFS($AH$51:$AH$350,$A$51:$A$350,$A33)=0,"Not by Y15","Y"&amp;SUMIFS($AH$51:$AH$350,$A$51:$A$350,$A33)&amp;" / "&amp;(('Model Inputs'!$B$22-1)+SUMIFS($AH$51:$AH$350,$A$51:$A$350,$A33)))</f>
        <v/>
      </c>
      <c r="AE33" s="181">
        <f>IF(SUMIFS($AI$51:$AI$350,$A$51:$A$350,$A33)=0,"Not by Y15","Y"&amp;SUMIFS($AI$51:$AI$350,$A$51:$A$350,$A33)&amp;" / "&amp;(('Model Inputs'!$B$22-1)+SUMIFS($AI$51:$AI$350,$A$51:$A$350,$A33)))</f>
        <v/>
      </c>
      <c r="AF33" s="181">
        <f>IF(SUMIFS($AJ$51:$AJ$350,$A$51:$A$350,$A33)=0,"Not by Y15","Y"&amp;SUMIFS($AJ$51:$AJ$350,$A$51:$A$350,$A33)&amp;" / "&amp;(('Model Inputs'!$B$22-1)+SUMIFS($AJ$51:$AJ$350,$A$51:$A$350,$A33)))</f>
        <v/>
      </c>
    </row>
    <row r="34" ht="20" customHeight="1" s="326">
      <c r="A34" s="181" t="inlineStr">
        <is>
          <t>4Y -&gt; PM Y8 Starter</t>
        </is>
      </c>
      <c r="B34" s="203" t="n">
        <v>4</v>
      </c>
      <c r="C34" s="205">
        <f>$J$15</f>
        <v/>
      </c>
      <c r="D34" s="203" t="n">
        <v>8</v>
      </c>
      <c r="E34" s="181">
        <f>$L$15</f>
        <v/>
      </c>
      <c r="F34" s="184">
        <f>$M$15</f>
        <v/>
      </c>
      <c r="G34" s="188">
        <f>$N$15</f>
        <v/>
      </c>
      <c r="H34" s="184">
        <f>$J$16</f>
        <v/>
      </c>
      <c r="I34" s="184">
        <f>$O$15</f>
        <v/>
      </c>
      <c r="J34" s="184">
        <f>INDEX('Savings Projection'!$BK$19:$BK$58,B34)</f>
        <v/>
      </c>
      <c r="K34" s="184">
        <f>SUMIFS($T$51:$T$350,$A$51:$A$350,$A34,$J$51:$J$350,10)</f>
        <v/>
      </c>
      <c r="L34" s="184">
        <f>SUMIFS($AD$51:$AD$350,$A$51:$A$350,$A34,$J$51:$J$350,10)</f>
        <v/>
      </c>
      <c r="M34" s="184">
        <f>SUMIFS($AE$51:$AE$350,$A$51:$A$350,$A34,$J$51:$J$350,10)</f>
        <v/>
      </c>
      <c r="N34" s="184">
        <f>SUMIFS($AF$51:$AF$350,$A$51:$A$350,$A34,$J$51:$J$350,10)</f>
        <v/>
      </c>
      <c r="O34" s="184">
        <f>N34-$F$14</f>
        <v/>
      </c>
      <c r="P34" s="184">
        <f>N34-$F$15</f>
        <v/>
      </c>
      <c r="Q34" s="184">
        <f>N34-$F$16</f>
        <v/>
      </c>
      <c r="R34" s="184">
        <f>N34-$F$17</f>
        <v/>
      </c>
      <c r="S34" s="181">
        <f>IF(N34&gt;=$F$17,"Clears $7M 50% by Y10",IF(N34&gt;=$F$16,"Clears $7M cash by Y10",IF(N34&gt;=$F$15,"Clears $5M 50% by Y10",IF(N34&gt;=$F$14,"Clears $5M cash by Y10","Short of $5M retire+house by Y10"))))</f>
        <v/>
      </c>
      <c r="T34" s="184">
        <f>SUMIFS($T$51:$T$350,$A$51:$A$350,$A34,$J$51:$J$350,15)</f>
        <v/>
      </c>
      <c r="U34" s="184">
        <f>SUMIFS($AD$51:$AD$350,$A$51:$A$350,$A34,$J$51:$J$350,15)</f>
        <v/>
      </c>
      <c r="V34" s="184">
        <f>SUMIFS($AE$51:$AE$350,$A$51:$A$350,$A34,$J$51:$J$350,15)</f>
        <v/>
      </c>
      <c r="W34" s="184">
        <f>SUMIFS($AF$51:$AF$350,$A$51:$A$350,$A34,$J$51:$J$350,15)</f>
        <v/>
      </c>
      <c r="X34" s="184">
        <f>W34-$F$14</f>
        <v/>
      </c>
      <c r="Y34" s="184">
        <f>W34-$F$15</f>
        <v/>
      </c>
      <c r="Z34" s="184">
        <f>W34-$F$16</f>
        <v/>
      </c>
      <c r="AA34" s="184">
        <f>W34-$F$17</f>
        <v/>
      </c>
      <c r="AB34" s="181">
        <f>IF(W34&gt;=$F$17,"Clears $7M 50% by Y15",IF(W34&gt;=$F$16,"Clears $7M cash by Y15",IF(W34&gt;=$F$15,"Clears $5M 50% by Y15",IF(W34&gt;=$F$14,"Clears $5M cash by Y15","Short of $5M retire+house by Y15"))))</f>
        <v/>
      </c>
      <c r="AC34" s="181">
        <f>IF(SUMIFS($AG$51:$AG$350,$A$51:$A$350,$A34)=0,"Not by Y15","Y"&amp;SUMIFS($AG$51:$AG$350,$A$51:$A$350,$A34)&amp;" / "&amp;(('Model Inputs'!$B$22-1)+SUMIFS($AG$51:$AG$350,$A$51:$A$350,$A34)))</f>
        <v/>
      </c>
      <c r="AD34" s="181">
        <f>IF(SUMIFS($AH$51:$AH$350,$A$51:$A$350,$A34)=0,"Not by Y15","Y"&amp;SUMIFS($AH$51:$AH$350,$A$51:$A$350,$A34)&amp;" / "&amp;(('Model Inputs'!$B$22-1)+SUMIFS($AH$51:$AH$350,$A$51:$A$350,$A34)))</f>
        <v/>
      </c>
      <c r="AE34" s="181">
        <f>IF(SUMIFS($AI$51:$AI$350,$A$51:$A$350,$A34)=0,"Not by Y15","Y"&amp;SUMIFS($AI$51:$AI$350,$A$51:$A$350,$A34)&amp;" / "&amp;(('Model Inputs'!$B$22-1)+SUMIFS($AI$51:$AI$350,$A$51:$A$350,$A34)))</f>
        <v/>
      </c>
      <c r="AF34" s="181">
        <f>IF(SUMIFS($AJ$51:$AJ$350,$A$51:$A$350,$A34)=0,"Not by Y15","Y"&amp;SUMIFS($AJ$51:$AJ$350,$A$51:$A$350,$A34)&amp;" / "&amp;(('Model Inputs'!$B$22-1)+SUMIFS($AJ$51:$AJ$350,$A$51:$A$350,$A34)))</f>
        <v/>
      </c>
    </row>
    <row r="35" ht="20" customHeight="1" s="326">
      <c r="A35" s="181" t="inlineStr">
        <is>
          <t>4Y -&gt; PM Y8 Base</t>
        </is>
      </c>
      <c r="B35" s="203" t="n">
        <v>4</v>
      </c>
      <c r="C35" s="205">
        <f>$J$15</f>
        <v/>
      </c>
      <c r="D35" s="203" t="n">
        <v>8</v>
      </c>
      <c r="E35" s="181">
        <f>$L$16</f>
        <v/>
      </c>
      <c r="F35" s="184">
        <f>$M$16</f>
        <v/>
      </c>
      <c r="G35" s="188">
        <f>$N$16</f>
        <v/>
      </c>
      <c r="H35" s="184">
        <f>$J$16</f>
        <v/>
      </c>
      <c r="I35" s="184">
        <f>$O$16</f>
        <v/>
      </c>
      <c r="J35" s="184">
        <f>INDEX('Savings Projection'!$BK$19:$BK$58,B35)</f>
        <v/>
      </c>
      <c r="K35" s="184">
        <f>SUMIFS($T$51:$T$350,$A$51:$A$350,$A35,$J$51:$J$350,10)</f>
        <v/>
      </c>
      <c r="L35" s="184">
        <f>SUMIFS($AD$51:$AD$350,$A$51:$A$350,$A35,$J$51:$J$350,10)</f>
        <v/>
      </c>
      <c r="M35" s="184">
        <f>SUMIFS($AE$51:$AE$350,$A$51:$A$350,$A35,$J$51:$J$350,10)</f>
        <v/>
      </c>
      <c r="N35" s="184">
        <f>SUMIFS($AF$51:$AF$350,$A$51:$A$350,$A35,$J$51:$J$350,10)</f>
        <v/>
      </c>
      <c r="O35" s="184">
        <f>N35-$F$14</f>
        <v/>
      </c>
      <c r="P35" s="184">
        <f>N35-$F$15</f>
        <v/>
      </c>
      <c r="Q35" s="184">
        <f>N35-$F$16</f>
        <v/>
      </c>
      <c r="R35" s="184">
        <f>N35-$F$17</f>
        <v/>
      </c>
      <c r="S35" s="181">
        <f>IF(N35&gt;=$F$17,"Clears $7M 50% by Y10",IF(N35&gt;=$F$16,"Clears $7M cash by Y10",IF(N35&gt;=$F$15,"Clears $5M 50% by Y10",IF(N35&gt;=$F$14,"Clears $5M cash by Y10","Short of $5M retire+house by Y10"))))</f>
        <v/>
      </c>
      <c r="T35" s="184">
        <f>SUMIFS($T$51:$T$350,$A$51:$A$350,$A35,$J$51:$J$350,15)</f>
        <v/>
      </c>
      <c r="U35" s="184">
        <f>SUMIFS($AD$51:$AD$350,$A$51:$A$350,$A35,$J$51:$J$350,15)</f>
        <v/>
      </c>
      <c r="V35" s="184">
        <f>SUMIFS($AE$51:$AE$350,$A$51:$A$350,$A35,$J$51:$J$350,15)</f>
        <v/>
      </c>
      <c r="W35" s="184">
        <f>SUMIFS($AF$51:$AF$350,$A$51:$A$350,$A35,$J$51:$J$350,15)</f>
        <v/>
      </c>
      <c r="X35" s="184">
        <f>W35-$F$14</f>
        <v/>
      </c>
      <c r="Y35" s="184">
        <f>W35-$F$15</f>
        <v/>
      </c>
      <c r="Z35" s="184">
        <f>W35-$F$16</f>
        <v/>
      </c>
      <c r="AA35" s="184">
        <f>W35-$F$17</f>
        <v/>
      </c>
      <c r="AB35" s="181">
        <f>IF(W35&gt;=$F$17,"Clears $7M 50% by Y15",IF(W35&gt;=$F$16,"Clears $7M cash by Y15",IF(W35&gt;=$F$15,"Clears $5M 50% by Y15",IF(W35&gt;=$F$14,"Clears $5M cash by Y15","Short of $5M retire+house by Y15"))))</f>
        <v/>
      </c>
      <c r="AC35" s="181">
        <f>IF(SUMIFS($AG$51:$AG$350,$A$51:$A$350,$A35)=0,"Not by Y15","Y"&amp;SUMIFS($AG$51:$AG$350,$A$51:$A$350,$A35)&amp;" / "&amp;(('Model Inputs'!$B$22-1)+SUMIFS($AG$51:$AG$350,$A$51:$A$350,$A35)))</f>
        <v/>
      </c>
      <c r="AD35" s="181">
        <f>IF(SUMIFS($AH$51:$AH$350,$A$51:$A$350,$A35)=0,"Not by Y15","Y"&amp;SUMIFS($AH$51:$AH$350,$A$51:$A$350,$A35)&amp;" / "&amp;(('Model Inputs'!$B$22-1)+SUMIFS($AH$51:$AH$350,$A$51:$A$350,$A35)))</f>
        <v/>
      </c>
      <c r="AE35" s="181">
        <f>IF(SUMIFS($AI$51:$AI$350,$A$51:$A$350,$A35)=0,"Not by Y15","Y"&amp;SUMIFS($AI$51:$AI$350,$A$51:$A$350,$A35)&amp;" / "&amp;(('Model Inputs'!$B$22-1)+SUMIFS($AI$51:$AI$350,$A$51:$A$350,$A35)))</f>
        <v/>
      </c>
      <c r="AF35" s="181">
        <f>IF(SUMIFS($AJ$51:$AJ$350,$A$51:$A$350,$A35)=0,"Not by Y15","Y"&amp;SUMIFS($AJ$51:$AJ$350,$A$51:$A$350,$A35)&amp;" / "&amp;(('Model Inputs'!$B$22-1)+SUMIFS($AJ$51:$AJ$350,$A$51:$A$350,$A35)))</f>
        <v/>
      </c>
    </row>
    <row r="36" ht="20" customHeight="1" s="326">
      <c r="A36" s="181" t="inlineStr">
        <is>
          <t>4Y -&gt; PM Y8 Upside</t>
        </is>
      </c>
      <c r="B36" s="203" t="n">
        <v>4</v>
      </c>
      <c r="C36" s="205">
        <f>$J$15</f>
        <v/>
      </c>
      <c r="D36" s="203" t="n">
        <v>8</v>
      </c>
      <c r="E36" s="181">
        <f>$L$17</f>
        <v/>
      </c>
      <c r="F36" s="184">
        <f>$M$17</f>
        <v/>
      </c>
      <c r="G36" s="188">
        <f>$N$17</f>
        <v/>
      </c>
      <c r="H36" s="184">
        <f>$J$16</f>
        <v/>
      </c>
      <c r="I36" s="184">
        <f>$O$17</f>
        <v/>
      </c>
      <c r="J36" s="184">
        <f>INDEX('Savings Projection'!$BK$19:$BK$58,B36)</f>
        <v/>
      </c>
      <c r="K36" s="184">
        <f>SUMIFS($T$51:$T$350,$A$51:$A$350,$A36,$J$51:$J$350,10)</f>
        <v/>
      </c>
      <c r="L36" s="184">
        <f>SUMIFS($AD$51:$AD$350,$A$51:$A$350,$A36,$J$51:$J$350,10)</f>
        <v/>
      </c>
      <c r="M36" s="184">
        <f>SUMIFS($AE$51:$AE$350,$A$51:$A$350,$A36,$J$51:$J$350,10)</f>
        <v/>
      </c>
      <c r="N36" s="184">
        <f>SUMIFS($AF$51:$AF$350,$A$51:$A$350,$A36,$J$51:$J$350,10)</f>
        <v/>
      </c>
      <c r="O36" s="184">
        <f>N36-$F$14</f>
        <v/>
      </c>
      <c r="P36" s="184">
        <f>N36-$F$15</f>
        <v/>
      </c>
      <c r="Q36" s="184">
        <f>N36-$F$16</f>
        <v/>
      </c>
      <c r="R36" s="184">
        <f>N36-$F$17</f>
        <v/>
      </c>
      <c r="S36" s="181">
        <f>IF(N36&gt;=$F$17,"Clears $7M 50% by Y10",IF(N36&gt;=$F$16,"Clears $7M cash by Y10",IF(N36&gt;=$F$15,"Clears $5M 50% by Y10",IF(N36&gt;=$F$14,"Clears $5M cash by Y10","Short of $5M retire+house by Y10"))))</f>
        <v/>
      </c>
      <c r="T36" s="184">
        <f>SUMIFS($T$51:$T$350,$A$51:$A$350,$A36,$J$51:$J$350,15)</f>
        <v/>
      </c>
      <c r="U36" s="184">
        <f>SUMIFS($AD$51:$AD$350,$A$51:$A$350,$A36,$J$51:$J$350,15)</f>
        <v/>
      </c>
      <c r="V36" s="184">
        <f>SUMIFS($AE$51:$AE$350,$A$51:$A$350,$A36,$J$51:$J$350,15)</f>
        <v/>
      </c>
      <c r="W36" s="184">
        <f>SUMIFS($AF$51:$AF$350,$A$51:$A$350,$A36,$J$51:$J$350,15)</f>
        <v/>
      </c>
      <c r="X36" s="184">
        <f>W36-$F$14</f>
        <v/>
      </c>
      <c r="Y36" s="184">
        <f>W36-$F$15</f>
        <v/>
      </c>
      <c r="Z36" s="184">
        <f>W36-$F$16</f>
        <v/>
      </c>
      <c r="AA36" s="184">
        <f>W36-$F$17</f>
        <v/>
      </c>
      <c r="AB36" s="181">
        <f>IF(W36&gt;=$F$17,"Clears $7M 50% by Y15",IF(W36&gt;=$F$16,"Clears $7M cash by Y15",IF(W36&gt;=$F$15,"Clears $5M 50% by Y15",IF(W36&gt;=$F$14,"Clears $5M cash by Y15","Short of $5M retire+house by Y15"))))</f>
        <v/>
      </c>
      <c r="AC36" s="181">
        <f>IF(SUMIFS($AG$51:$AG$350,$A$51:$A$350,$A36)=0,"Not by Y15","Y"&amp;SUMIFS($AG$51:$AG$350,$A$51:$A$350,$A36)&amp;" / "&amp;(('Model Inputs'!$B$22-1)+SUMIFS($AG$51:$AG$350,$A$51:$A$350,$A36)))</f>
        <v/>
      </c>
      <c r="AD36" s="181">
        <f>IF(SUMIFS($AH$51:$AH$350,$A$51:$A$350,$A36)=0,"Not by Y15","Y"&amp;SUMIFS($AH$51:$AH$350,$A$51:$A$350,$A36)&amp;" / "&amp;(('Model Inputs'!$B$22-1)+SUMIFS($AH$51:$AH$350,$A$51:$A$350,$A36)))</f>
        <v/>
      </c>
      <c r="AE36" s="181">
        <f>IF(SUMIFS($AI$51:$AI$350,$A$51:$A$350,$A36)=0,"Not by Y15","Y"&amp;SUMIFS($AI$51:$AI$350,$A$51:$A$350,$A36)&amp;" / "&amp;(('Model Inputs'!$B$22-1)+SUMIFS($AI$51:$AI$350,$A$51:$A$350,$A36)))</f>
        <v/>
      </c>
      <c r="AF36" s="181">
        <f>IF(SUMIFS($AJ$51:$AJ$350,$A$51:$A$350,$A36)=0,"Not by Y15","Y"&amp;SUMIFS($AJ$51:$AJ$350,$A$51:$A$350,$A36)&amp;" / "&amp;(('Model Inputs'!$B$22-1)+SUMIFS($AJ$51:$AJ$350,$A$51:$A$350,$A36)))</f>
        <v/>
      </c>
    </row>
    <row r="37" ht="20" customHeight="1" s="326">
      <c r="A37" s="181" t="inlineStr">
        <is>
          <t>4Y -&gt; PM Y8 Tail</t>
        </is>
      </c>
      <c r="B37" s="203" t="n">
        <v>4</v>
      </c>
      <c r="C37" s="205">
        <f>$J$15</f>
        <v/>
      </c>
      <c r="D37" s="203" t="n">
        <v>8</v>
      </c>
      <c r="E37" s="181">
        <f>$L$18</f>
        <v/>
      </c>
      <c r="F37" s="184">
        <f>$M$18</f>
        <v/>
      </c>
      <c r="G37" s="188">
        <f>$N$18</f>
        <v/>
      </c>
      <c r="H37" s="184">
        <f>$J$16</f>
        <v/>
      </c>
      <c r="I37" s="184">
        <f>$O$18</f>
        <v/>
      </c>
      <c r="J37" s="184">
        <f>INDEX('Savings Projection'!$BK$19:$BK$58,B37)</f>
        <v/>
      </c>
      <c r="K37" s="184">
        <f>SUMIFS($T$51:$T$350,$A$51:$A$350,$A37,$J$51:$J$350,10)</f>
        <v/>
      </c>
      <c r="L37" s="184">
        <f>SUMIFS($AD$51:$AD$350,$A$51:$A$350,$A37,$J$51:$J$350,10)</f>
        <v/>
      </c>
      <c r="M37" s="184">
        <f>SUMIFS($AE$51:$AE$350,$A$51:$A$350,$A37,$J$51:$J$350,10)</f>
        <v/>
      </c>
      <c r="N37" s="184">
        <f>SUMIFS($AF$51:$AF$350,$A$51:$A$350,$A37,$J$51:$J$350,10)</f>
        <v/>
      </c>
      <c r="O37" s="184">
        <f>N37-$F$14</f>
        <v/>
      </c>
      <c r="P37" s="184">
        <f>N37-$F$15</f>
        <v/>
      </c>
      <c r="Q37" s="184">
        <f>N37-$F$16</f>
        <v/>
      </c>
      <c r="R37" s="184">
        <f>N37-$F$17</f>
        <v/>
      </c>
      <c r="S37" s="181">
        <f>IF(N37&gt;=$F$17,"Clears $7M 50% by Y10",IF(N37&gt;=$F$16,"Clears $7M cash by Y10",IF(N37&gt;=$F$15,"Clears $5M 50% by Y10",IF(N37&gt;=$F$14,"Clears $5M cash by Y10","Short of $5M retire+house by Y10"))))</f>
        <v/>
      </c>
      <c r="T37" s="184">
        <f>SUMIFS($T$51:$T$350,$A$51:$A$350,$A37,$J$51:$J$350,15)</f>
        <v/>
      </c>
      <c r="U37" s="184">
        <f>SUMIFS($AD$51:$AD$350,$A$51:$A$350,$A37,$J$51:$J$350,15)</f>
        <v/>
      </c>
      <c r="V37" s="184">
        <f>SUMIFS($AE$51:$AE$350,$A$51:$A$350,$A37,$J$51:$J$350,15)</f>
        <v/>
      </c>
      <c r="W37" s="184">
        <f>SUMIFS($AF$51:$AF$350,$A$51:$A$350,$A37,$J$51:$J$350,15)</f>
        <v/>
      </c>
      <c r="X37" s="184">
        <f>W37-$F$14</f>
        <v/>
      </c>
      <c r="Y37" s="184">
        <f>W37-$F$15</f>
        <v/>
      </c>
      <c r="Z37" s="184">
        <f>W37-$F$16</f>
        <v/>
      </c>
      <c r="AA37" s="184">
        <f>W37-$F$17</f>
        <v/>
      </c>
      <c r="AB37" s="181">
        <f>IF(W37&gt;=$F$17,"Clears $7M 50% by Y15",IF(W37&gt;=$F$16,"Clears $7M cash by Y15",IF(W37&gt;=$F$15,"Clears $5M 50% by Y15",IF(W37&gt;=$F$14,"Clears $5M cash by Y15","Short of $5M retire+house by Y15"))))</f>
        <v/>
      </c>
      <c r="AC37" s="181">
        <f>IF(SUMIFS($AG$51:$AG$350,$A$51:$A$350,$A37)=0,"Not by Y15","Y"&amp;SUMIFS($AG$51:$AG$350,$A$51:$A$350,$A37)&amp;" / "&amp;(('Model Inputs'!$B$22-1)+SUMIFS($AG$51:$AG$350,$A$51:$A$350,$A37)))</f>
        <v/>
      </c>
      <c r="AD37" s="181">
        <f>IF(SUMIFS($AH$51:$AH$350,$A$51:$A$350,$A37)=0,"Not by Y15","Y"&amp;SUMIFS($AH$51:$AH$350,$A$51:$A$350,$A37)&amp;" / "&amp;(('Model Inputs'!$B$22-1)+SUMIFS($AH$51:$AH$350,$A$51:$A$350,$A37)))</f>
        <v/>
      </c>
      <c r="AE37" s="181">
        <f>IF(SUMIFS($AI$51:$AI$350,$A$51:$A$350,$A37)=0,"Not by Y15","Y"&amp;SUMIFS($AI$51:$AI$350,$A$51:$A$350,$A37)&amp;" / "&amp;(('Model Inputs'!$B$22-1)+SUMIFS($AI$51:$AI$350,$A$51:$A$350,$A37)))</f>
        <v/>
      </c>
      <c r="AF37" s="181">
        <f>IF(SUMIFS($AJ$51:$AJ$350,$A$51:$A$350,$A37)=0,"Not by Y15","Y"&amp;SUMIFS($AJ$51:$AJ$350,$A$51:$A$350,$A37)&amp;" / "&amp;(('Model Inputs'!$B$22-1)+SUMIFS($AJ$51:$AJ$350,$A$51:$A$350,$A37)))</f>
        <v/>
      </c>
    </row>
    <row r="38" ht="20" customHeight="1" s="326">
      <c r="A38" s="181" t="inlineStr">
        <is>
          <t>5Y -&gt; PM Y8 Starter</t>
        </is>
      </c>
      <c r="B38" s="203" t="n">
        <v>5</v>
      </c>
      <c r="C38" s="205">
        <f>$J$15</f>
        <v/>
      </c>
      <c r="D38" s="203" t="n">
        <v>8</v>
      </c>
      <c r="E38" s="181">
        <f>$L$15</f>
        <v/>
      </c>
      <c r="F38" s="184">
        <f>$M$15</f>
        <v/>
      </c>
      <c r="G38" s="188">
        <f>$N$15</f>
        <v/>
      </c>
      <c r="H38" s="184">
        <f>$J$16</f>
        <v/>
      </c>
      <c r="I38" s="184">
        <f>$O$15</f>
        <v/>
      </c>
      <c r="J38" s="184">
        <f>INDEX('Savings Projection'!$BK$19:$BK$58,B38)</f>
        <v/>
      </c>
      <c r="K38" s="184">
        <f>SUMIFS($T$51:$T$350,$A$51:$A$350,$A38,$J$51:$J$350,10)</f>
        <v/>
      </c>
      <c r="L38" s="184">
        <f>SUMIFS($AD$51:$AD$350,$A$51:$A$350,$A38,$J$51:$J$350,10)</f>
        <v/>
      </c>
      <c r="M38" s="184">
        <f>SUMIFS($AE$51:$AE$350,$A$51:$A$350,$A38,$J$51:$J$350,10)</f>
        <v/>
      </c>
      <c r="N38" s="184">
        <f>SUMIFS($AF$51:$AF$350,$A$51:$A$350,$A38,$J$51:$J$350,10)</f>
        <v/>
      </c>
      <c r="O38" s="184">
        <f>N38-$F$14</f>
        <v/>
      </c>
      <c r="P38" s="184">
        <f>N38-$F$15</f>
        <v/>
      </c>
      <c r="Q38" s="184">
        <f>N38-$F$16</f>
        <v/>
      </c>
      <c r="R38" s="184">
        <f>N38-$F$17</f>
        <v/>
      </c>
      <c r="S38" s="181">
        <f>IF(N38&gt;=$F$17,"Clears $7M 50% by Y10",IF(N38&gt;=$F$16,"Clears $7M cash by Y10",IF(N38&gt;=$F$15,"Clears $5M 50% by Y10",IF(N38&gt;=$F$14,"Clears $5M cash by Y10","Short of $5M retire+house by Y10"))))</f>
        <v/>
      </c>
      <c r="T38" s="184">
        <f>SUMIFS($T$51:$T$350,$A$51:$A$350,$A38,$J$51:$J$350,15)</f>
        <v/>
      </c>
      <c r="U38" s="184">
        <f>SUMIFS($AD$51:$AD$350,$A$51:$A$350,$A38,$J$51:$J$350,15)</f>
        <v/>
      </c>
      <c r="V38" s="184">
        <f>SUMIFS($AE$51:$AE$350,$A$51:$A$350,$A38,$J$51:$J$350,15)</f>
        <v/>
      </c>
      <c r="W38" s="184">
        <f>SUMIFS($AF$51:$AF$350,$A$51:$A$350,$A38,$J$51:$J$350,15)</f>
        <v/>
      </c>
      <c r="X38" s="184">
        <f>W38-$F$14</f>
        <v/>
      </c>
      <c r="Y38" s="184">
        <f>W38-$F$15</f>
        <v/>
      </c>
      <c r="Z38" s="184">
        <f>W38-$F$16</f>
        <v/>
      </c>
      <c r="AA38" s="184">
        <f>W38-$F$17</f>
        <v/>
      </c>
      <c r="AB38" s="181">
        <f>IF(W38&gt;=$F$17,"Clears $7M 50% by Y15",IF(W38&gt;=$F$16,"Clears $7M cash by Y15",IF(W38&gt;=$F$15,"Clears $5M 50% by Y15",IF(W38&gt;=$F$14,"Clears $5M cash by Y15","Short of $5M retire+house by Y15"))))</f>
        <v/>
      </c>
      <c r="AC38" s="181">
        <f>IF(SUMIFS($AG$51:$AG$350,$A$51:$A$350,$A38)=0,"Not by Y15","Y"&amp;SUMIFS($AG$51:$AG$350,$A$51:$A$350,$A38)&amp;" / "&amp;(('Model Inputs'!$B$22-1)+SUMIFS($AG$51:$AG$350,$A$51:$A$350,$A38)))</f>
        <v/>
      </c>
      <c r="AD38" s="181">
        <f>IF(SUMIFS($AH$51:$AH$350,$A$51:$A$350,$A38)=0,"Not by Y15","Y"&amp;SUMIFS($AH$51:$AH$350,$A$51:$A$350,$A38)&amp;" / "&amp;(('Model Inputs'!$B$22-1)+SUMIFS($AH$51:$AH$350,$A$51:$A$350,$A38)))</f>
        <v/>
      </c>
      <c r="AE38" s="181">
        <f>IF(SUMIFS($AI$51:$AI$350,$A$51:$A$350,$A38)=0,"Not by Y15","Y"&amp;SUMIFS($AI$51:$AI$350,$A$51:$A$350,$A38)&amp;" / "&amp;(('Model Inputs'!$B$22-1)+SUMIFS($AI$51:$AI$350,$A$51:$A$350,$A38)))</f>
        <v/>
      </c>
      <c r="AF38" s="181">
        <f>IF(SUMIFS($AJ$51:$AJ$350,$A$51:$A$350,$A38)=0,"Not by Y15","Y"&amp;SUMIFS($AJ$51:$AJ$350,$A$51:$A$350,$A38)&amp;" / "&amp;(('Model Inputs'!$B$22-1)+SUMIFS($AJ$51:$AJ$350,$A$51:$A$350,$A38)))</f>
        <v/>
      </c>
    </row>
    <row r="39" ht="20" customHeight="1" s="326">
      <c r="A39" s="181" t="inlineStr">
        <is>
          <t>5Y -&gt; PM Y8 Base</t>
        </is>
      </c>
      <c r="B39" s="203" t="n">
        <v>5</v>
      </c>
      <c r="C39" s="205">
        <f>$J$15</f>
        <v/>
      </c>
      <c r="D39" s="203" t="n">
        <v>8</v>
      </c>
      <c r="E39" s="181">
        <f>$L$16</f>
        <v/>
      </c>
      <c r="F39" s="184">
        <f>$M$16</f>
        <v/>
      </c>
      <c r="G39" s="188">
        <f>$N$16</f>
        <v/>
      </c>
      <c r="H39" s="184">
        <f>$J$16</f>
        <v/>
      </c>
      <c r="I39" s="184">
        <f>$O$16</f>
        <v/>
      </c>
      <c r="J39" s="184">
        <f>INDEX('Savings Projection'!$BK$19:$BK$58,B39)</f>
        <v/>
      </c>
      <c r="K39" s="184">
        <f>SUMIFS($T$51:$T$350,$A$51:$A$350,$A39,$J$51:$J$350,10)</f>
        <v/>
      </c>
      <c r="L39" s="184">
        <f>SUMIFS($AD$51:$AD$350,$A$51:$A$350,$A39,$J$51:$J$350,10)</f>
        <v/>
      </c>
      <c r="M39" s="184">
        <f>SUMIFS($AE$51:$AE$350,$A$51:$A$350,$A39,$J$51:$J$350,10)</f>
        <v/>
      </c>
      <c r="N39" s="184">
        <f>SUMIFS($AF$51:$AF$350,$A$51:$A$350,$A39,$J$51:$J$350,10)</f>
        <v/>
      </c>
      <c r="O39" s="184">
        <f>N39-$F$14</f>
        <v/>
      </c>
      <c r="P39" s="184">
        <f>N39-$F$15</f>
        <v/>
      </c>
      <c r="Q39" s="184">
        <f>N39-$F$16</f>
        <v/>
      </c>
      <c r="R39" s="184">
        <f>N39-$F$17</f>
        <v/>
      </c>
      <c r="S39" s="181">
        <f>IF(N39&gt;=$F$17,"Clears $7M 50% by Y10",IF(N39&gt;=$F$16,"Clears $7M cash by Y10",IF(N39&gt;=$F$15,"Clears $5M 50% by Y10",IF(N39&gt;=$F$14,"Clears $5M cash by Y10","Short of $5M retire+house by Y10"))))</f>
        <v/>
      </c>
      <c r="T39" s="184">
        <f>SUMIFS($T$51:$T$350,$A$51:$A$350,$A39,$J$51:$J$350,15)</f>
        <v/>
      </c>
      <c r="U39" s="184">
        <f>SUMIFS($AD$51:$AD$350,$A$51:$A$350,$A39,$J$51:$J$350,15)</f>
        <v/>
      </c>
      <c r="V39" s="184">
        <f>SUMIFS($AE$51:$AE$350,$A$51:$A$350,$A39,$J$51:$J$350,15)</f>
        <v/>
      </c>
      <c r="W39" s="184">
        <f>SUMIFS($AF$51:$AF$350,$A$51:$A$350,$A39,$J$51:$J$350,15)</f>
        <v/>
      </c>
      <c r="X39" s="184">
        <f>W39-$F$14</f>
        <v/>
      </c>
      <c r="Y39" s="184">
        <f>W39-$F$15</f>
        <v/>
      </c>
      <c r="Z39" s="184">
        <f>W39-$F$16</f>
        <v/>
      </c>
      <c r="AA39" s="184">
        <f>W39-$F$17</f>
        <v/>
      </c>
      <c r="AB39" s="181">
        <f>IF(W39&gt;=$F$17,"Clears $7M 50% by Y15",IF(W39&gt;=$F$16,"Clears $7M cash by Y15",IF(W39&gt;=$F$15,"Clears $5M 50% by Y15",IF(W39&gt;=$F$14,"Clears $5M cash by Y15","Short of $5M retire+house by Y15"))))</f>
        <v/>
      </c>
      <c r="AC39" s="181">
        <f>IF(SUMIFS($AG$51:$AG$350,$A$51:$A$350,$A39)=0,"Not by Y15","Y"&amp;SUMIFS($AG$51:$AG$350,$A$51:$A$350,$A39)&amp;" / "&amp;(('Model Inputs'!$B$22-1)+SUMIFS($AG$51:$AG$350,$A$51:$A$350,$A39)))</f>
        <v/>
      </c>
      <c r="AD39" s="181">
        <f>IF(SUMIFS($AH$51:$AH$350,$A$51:$A$350,$A39)=0,"Not by Y15","Y"&amp;SUMIFS($AH$51:$AH$350,$A$51:$A$350,$A39)&amp;" / "&amp;(('Model Inputs'!$B$22-1)+SUMIFS($AH$51:$AH$350,$A$51:$A$350,$A39)))</f>
        <v/>
      </c>
      <c r="AE39" s="181">
        <f>IF(SUMIFS($AI$51:$AI$350,$A$51:$A$350,$A39)=0,"Not by Y15","Y"&amp;SUMIFS($AI$51:$AI$350,$A$51:$A$350,$A39)&amp;" / "&amp;(('Model Inputs'!$B$22-1)+SUMIFS($AI$51:$AI$350,$A$51:$A$350,$A39)))</f>
        <v/>
      </c>
      <c r="AF39" s="181">
        <f>IF(SUMIFS($AJ$51:$AJ$350,$A$51:$A$350,$A39)=0,"Not by Y15","Y"&amp;SUMIFS($AJ$51:$AJ$350,$A$51:$A$350,$A39)&amp;" / "&amp;(('Model Inputs'!$B$22-1)+SUMIFS($AJ$51:$AJ$350,$A$51:$A$350,$A39)))</f>
        <v/>
      </c>
    </row>
    <row r="40" ht="20" customHeight="1" s="326">
      <c r="A40" s="181" t="inlineStr">
        <is>
          <t>5Y -&gt; PM Y8 Upside</t>
        </is>
      </c>
      <c r="B40" s="203" t="n">
        <v>5</v>
      </c>
      <c r="C40" s="205">
        <f>$J$15</f>
        <v/>
      </c>
      <c r="D40" s="203" t="n">
        <v>8</v>
      </c>
      <c r="E40" s="181">
        <f>$L$17</f>
        <v/>
      </c>
      <c r="F40" s="184">
        <f>$M$17</f>
        <v/>
      </c>
      <c r="G40" s="188">
        <f>$N$17</f>
        <v/>
      </c>
      <c r="H40" s="184">
        <f>$J$16</f>
        <v/>
      </c>
      <c r="I40" s="184">
        <f>$O$17</f>
        <v/>
      </c>
      <c r="J40" s="184">
        <f>INDEX('Savings Projection'!$BK$19:$BK$58,B40)</f>
        <v/>
      </c>
      <c r="K40" s="184">
        <f>SUMIFS($T$51:$T$350,$A$51:$A$350,$A40,$J$51:$J$350,10)</f>
        <v/>
      </c>
      <c r="L40" s="184">
        <f>SUMIFS($AD$51:$AD$350,$A$51:$A$350,$A40,$J$51:$J$350,10)</f>
        <v/>
      </c>
      <c r="M40" s="184">
        <f>SUMIFS($AE$51:$AE$350,$A$51:$A$350,$A40,$J$51:$J$350,10)</f>
        <v/>
      </c>
      <c r="N40" s="184">
        <f>SUMIFS($AF$51:$AF$350,$A$51:$A$350,$A40,$J$51:$J$350,10)</f>
        <v/>
      </c>
      <c r="O40" s="184">
        <f>N40-$F$14</f>
        <v/>
      </c>
      <c r="P40" s="184">
        <f>N40-$F$15</f>
        <v/>
      </c>
      <c r="Q40" s="184">
        <f>N40-$F$16</f>
        <v/>
      </c>
      <c r="R40" s="184">
        <f>N40-$F$17</f>
        <v/>
      </c>
      <c r="S40" s="181">
        <f>IF(N40&gt;=$F$17,"Clears $7M 50% by Y10",IF(N40&gt;=$F$16,"Clears $7M cash by Y10",IF(N40&gt;=$F$15,"Clears $5M 50% by Y10",IF(N40&gt;=$F$14,"Clears $5M cash by Y10","Short of $5M retire+house by Y10"))))</f>
        <v/>
      </c>
      <c r="T40" s="184">
        <f>SUMIFS($T$51:$T$350,$A$51:$A$350,$A40,$J$51:$J$350,15)</f>
        <v/>
      </c>
      <c r="U40" s="184">
        <f>SUMIFS($AD$51:$AD$350,$A$51:$A$350,$A40,$J$51:$J$350,15)</f>
        <v/>
      </c>
      <c r="V40" s="184">
        <f>SUMIFS($AE$51:$AE$350,$A$51:$A$350,$A40,$J$51:$J$350,15)</f>
        <v/>
      </c>
      <c r="W40" s="184">
        <f>SUMIFS($AF$51:$AF$350,$A$51:$A$350,$A40,$J$51:$J$350,15)</f>
        <v/>
      </c>
      <c r="X40" s="184">
        <f>W40-$F$14</f>
        <v/>
      </c>
      <c r="Y40" s="184">
        <f>W40-$F$15</f>
        <v/>
      </c>
      <c r="Z40" s="184">
        <f>W40-$F$16</f>
        <v/>
      </c>
      <c r="AA40" s="184">
        <f>W40-$F$17</f>
        <v/>
      </c>
      <c r="AB40" s="181">
        <f>IF(W40&gt;=$F$17,"Clears $7M 50% by Y15",IF(W40&gt;=$F$16,"Clears $7M cash by Y15",IF(W40&gt;=$F$15,"Clears $5M 50% by Y15",IF(W40&gt;=$F$14,"Clears $5M cash by Y15","Short of $5M retire+house by Y15"))))</f>
        <v/>
      </c>
      <c r="AC40" s="181">
        <f>IF(SUMIFS($AG$51:$AG$350,$A$51:$A$350,$A40)=0,"Not by Y15","Y"&amp;SUMIFS($AG$51:$AG$350,$A$51:$A$350,$A40)&amp;" / "&amp;(('Model Inputs'!$B$22-1)+SUMIFS($AG$51:$AG$350,$A$51:$A$350,$A40)))</f>
        <v/>
      </c>
      <c r="AD40" s="181">
        <f>IF(SUMIFS($AH$51:$AH$350,$A$51:$A$350,$A40)=0,"Not by Y15","Y"&amp;SUMIFS($AH$51:$AH$350,$A$51:$A$350,$A40)&amp;" / "&amp;(('Model Inputs'!$B$22-1)+SUMIFS($AH$51:$AH$350,$A$51:$A$350,$A40)))</f>
        <v/>
      </c>
      <c r="AE40" s="181">
        <f>IF(SUMIFS($AI$51:$AI$350,$A$51:$A$350,$A40)=0,"Not by Y15","Y"&amp;SUMIFS($AI$51:$AI$350,$A$51:$A$350,$A40)&amp;" / "&amp;(('Model Inputs'!$B$22-1)+SUMIFS($AI$51:$AI$350,$A$51:$A$350,$A40)))</f>
        <v/>
      </c>
      <c r="AF40" s="181">
        <f>IF(SUMIFS($AJ$51:$AJ$350,$A$51:$A$350,$A40)=0,"Not by Y15","Y"&amp;SUMIFS($AJ$51:$AJ$350,$A$51:$A$350,$A40)&amp;" / "&amp;(('Model Inputs'!$B$22-1)+SUMIFS($AJ$51:$AJ$350,$A$51:$A$350,$A40)))</f>
        <v/>
      </c>
    </row>
    <row r="41" ht="20" customHeight="1" s="326">
      <c r="A41" s="181" t="inlineStr">
        <is>
          <t>5Y -&gt; PM Y8 Tail</t>
        </is>
      </c>
      <c r="B41" s="203" t="n">
        <v>5</v>
      </c>
      <c r="C41" s="205">
        <f>$J$15</f>
        <v/>
      </c>
      <c r="D41" s="203" t="n">
        <v>8</v>
      </c>
      <c r="E41" s="181">
        <f>$L$18</f>
        <v/>
      </c>
      <c r="F41" s="184">
        <f>$M$18</f>
        <v/>
      </c>
      <c r="G41" s="188">
        <f>$N$18</f>
        <v/>
      </c>
      <c r="H41" s="184">
        <f>$J$16</f>
        <v/>
      </c>
      <c r="I41" s="184">
        <f>$O$18</f>
        <v/>
      </c>
      <c r="J41" s="184">
        <f>INDEX('Savings Projection'!$BK$19:$BK$58,B41)</f>
        <v/>
      </c>
      <c r="K41" s="184">
        <f>SUMIFS($T$51:$T$350,$A$51:$A$350,$A41,$J$51:$J$350,10)</f>
        <v/>
      </c>
      <c r="L41" s="184">
        <f>SUMIFS($AD$51:$AD$350,$A$51:$A$350,$A41,$J$51:$J$350,10)</f>
        <v/>
      </c>
      <c r="M41" s="184">
        <f>SUMIFS($AE$51:$AE$350,$A$51:$A$350,$A41,$J$51:$J$350,10)</f>
        <v/>
      </c>
      <c r="N41" s="184">
        <f>SUMIFS($AF$51:$AF$350,$A$51:$A$350,$A41,$J$51:$J$350,10)</f>
        <v/>
      </c>
      <c r="O41" s="184">
        <f>N41-$F$14</f>
        <v/>
      </c>
      <c r="P41" s="184">
        <f>N41-$F$15</f>
        <v/>
      </c>
      <c r="Q41" s="184">
        <f>N41-$F$16</f>
        <v/>
      </c>
      <c r="R41" s="184">
        <f>N41-$F$17</f>
        <v/>
      </c>
      <c r="S41" s="181">
        <f>IF(N41&gt;=$F$17,"Clears $7M 50% by Y10",IF(N41&gt;=$F$16,"Clears $7M cash by Y10",IF(N41&gt;=$F$15,"Clears $5M 50% by Y10",IF(N41&gt;=$F$14,"Clears $5M cash by Y10","Short of $5M retire+house by Y10"))))</f>
        <v/>
      </c>
      <c r="T41" s="184">
        <f>SUMIFS($T$51:$T$350,$A$51:$A$350,$A41,$J$51:$J$350,15)</f>
        <v/>
      </c>
      <c r="U41" s="184">
        <f>SUMIFS($AD$51:$AD$350,$A$51:$A$350,$A41,$J$51:$J$350,15)</f>
        <v/>
      </c>
      <c r="V41" s="184">
        <f>SUMIFS($AE$51:$AE$350,$A$51:$A$350,$A41,$J$51:$J$350,15)</f>
        <v/>
      </c>
      <c r="W41" s="184">
        <f>SUMIFS($AF$51:$AF$350,$A$51:$A$350,$A41,$J$51:$J$350,15)</f>
        <v/>
      </c>
      <c r="X41" s="184">
        <f>W41-$F$14</f>
        <v/>
      </c>
      <c r="Y41" s="184">
        <f>W41-$F$15</f>
        <v/>
      </c>
      <c r="Z41" s="184">
        <f>W41-$F$16</f>
        <v/>
      </c>
      <c r="AA41" s="184">
        <f>W41-$F$17</f>
        <v/>
      </c>
      <c r="AB41" s="181">
        <f>IF(W41&gt;=$F$17,"Clears $7M 50% by Y15",IF(W41&gt;=$F$16,"Clears $7M cash by Y15",IF(W41&gt;=$F$15,"Clears $5M 50% by Y15",IF(W41&gt;=$F$14,"Clears $5M cash by Y15","Short of $5M retire+house by Y15"))))</f>
        <v/>
      </c>
      <c r="AC41" s="181">
        <f>IF(SUMIFS($AG$51:$AG$350,$A$51:$A$350,$A41)=0,"Not by Y15","Y"&amp;SUMIFS($AG$51:$AG$350,$A$51:$A$350,$A41)&amp;" / "&amp;(('Model Inputs'!$B$22-1)+SUMIFS($AG$51:$AG$350,$A$51:$A$350,$A41)))</f>
        <v/>
      </c>
      <c r="AD41" s="181">
        <f>IF(SUMIFS($AH$51:$AH$350,$A$51:$A$350,$A41)=0,"Not by Y15","Y"&amp;SUMIFS($AH$51:$AH$350,$A$51:$A$350,$A41)&amp;" / "&amp;(('Model Inputs'!$B$22-1)+SUMIFS($AH$51:$AH$350,$A$51:$A$350,$A41)))</f>
        <v/>
      </c>
      <c r="AE41" s="181">
        <f>IF(SUMIFS($AI$51:$AI$350,$A$51:$A$350,$A41)=0,"Not by Y15","Y"&amp;SUMIFS($AI$51:$AI$350,$A$51:$A$350,$A41)&amp;" / "&amp;(('Model Inputs'!$B$22-1)+SUMIFS($AI$51:$AI$350,$A$51:$A$350,$A41)))</f>
        <v/>
      </c>
      <c r="AF41" s="181">
        <f>IF(SUMIFS($AJ$51:$AJ$350,$A$51:$A$350,$A41)=0,"Not by Y15","Y"&amp;SUMIFS($AJ$51:$AJ$350,$A$51:$A$350,$A41)&amp;" / "&amp;(('Model Inputs'!$B$22-1)+SUMIFS($AJ$51:$AJ$350,$A$51:$A$350,$A41)))</f>
        <v/>
      </c>
    </row>
    <row r="42" ht="8" customHeight="1" s="326">
      <c r="A42" s="181" t="n"/>
      <c r="B42" s="191" t="n"/>
      <c r="C42" s="187" t="n"/>
      <c r="D42" s="191" t="n"/>
      <c r="E42" s="181" t="n"/>
      <c r="F42" s="184" t="n"/>
      <c r="G42" s="188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1" t="n"/>
      <c r="T42" s="184" t="n"/>
      <c r="U42" s="184" t="n"/>
      <c r="V42" s="184" t="n"/>
      <c r="W42" s="184" t="n"/>
      <c r="X42" s="184" t="n"/>
      <c r="Y42" s="184" t="n"/>
      <c r="Z42" s="184" t="n"/>
      <c r="AA42" s="184" t="n"/>
      <c r="AB42" s="181" t="n"/>
      <c r="AC42" s="181" t="n"/>
      <c r="AD42" s="181" t="n"/>
      <c r="AE42" s="181" t="n"/>
      <c r="AF42" s="181" t="n"/>
    </row>
    <row r="43" ht="8" customHeight="1" s="326">
      <c r="A43" s="181" t="n"/>
      <c r="B43" s="191" t="n"/>
      <c r="C43" s="187" t="n"/>
      <c r="D43" s="191" t="n"/>
      <c r="E43" s="181" t="n"/>
      <c r="F43" s="184" t="n"/>
      <c r="G43" s="188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1" t="n"/>
      <c r="T43" s="184" t="n"/>
      <c r="U43" s="184" t="n"/>
      <c r="V43" s="184" t="n"/>
      <c r="W43" s="184" t="n"/>
      <c r="X43" s="184" t="n"/>
      <c r="Y43" s="184" t="n"/>
      <c r="Z43" s="184" t="n"/>
      <c r="AA43" s="184" t="n"/>
      <c r="AB43" s="181" t="n"/>
      <c r="AC43" s="181" t="n"/>
      <c r="AD43" s="181" t="n"/>
      <c r="AE43" s="181" t="n"/>
      <c r="AF43" s="181" t="n"/>
    </row>
    <row r="44" ht="8" customHeight="1" s="326">
      <c r="A44" s="181" t="n"/>
      <c r="B44" s="191" t="n"/>
      <c r="C44" s="187" t="n"/>
      <c r="D44" s="191" t="n"/>
      <c r="E44" s="181" t="n"/>
      <c r="F44" s="184" t="n"/>
      <c r="G44" s="188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1" t="n"/>
      <c r="T44" s="184" t="n"/>
      <c r="U44" s="184" t="n"/>
      <c r="V44" s="184" t="n"/>
      <c r="W44" s="184" t="n"/>
      <c r="X44" s="184" t="n"/>
      <c r="Y44" s="184" t="n"/>
      <c r="Z44" s="184" t="n"/>
      <c r="AA44" s="184" t="n"/>
      <c r="AB44" s="181" t="n"/>
      <c r="AC44" s="181" t="n"/>
      <c r="AD44" s="181" t="n"/>
      <c r="AE44" s="181" t="n"/>
      <c r="AF44" s="181" t="n"/>
    </row>
    <row r="45" ht="8" customHeight="1" s="326">
      <c r="A45" s="181" t="n"/>
      <c r="B45" s="191" t="n"/>
      <c r="C45" s="187" t="n"/>
      <c r="D45" s="191" t="n"/>
      <c r="E45" s="181" t="n"/>
      <c r="F45" s="184" t="n"/>
      <c r="G45" s="188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1" t="n"/>
      <c r="T45" s="184" t="n"/>
      <c r="U45" s="184" t="n"/>
      <c r="V45" s="184" t="n"/>
      <c r="W45" s="184" t="n"/>
      <c r="X45" s="184" t="n"/>
      <c r="Y45" s="184" t="n"/>
      <c r="Z45" s="184" t="n"/>
      <c r="AA45" s="184" t="n"/>
      <c r="AB45" s="181" t="n"/>
      <c r="AC45" s="181" t="n"/>
      <c r="AD45" s="181" t="n"/>
      <c r="AE45" s="181" t="n"/>
      <c r="AF45" s="181" t="n"/>
    </row>
    <row r="46" ht="18" customHeight="1" s="326"/>
    <row r="47" ht="18" customHeight="1" s="326"/>
    <row r="48" ht="22" customHeight="1" s="326">
      <c r="A48" s="403" t="inlineStr">
        <is>
          <t>Year-By-Year Scenario Helper</t>
        </is>
      </c>
      <c r="B48" s="399" t="n"/>
      <c r="C48" s="399" t="n"/>
      <c r="D48" s="399" t="n"/>
      <c r="E48" s="399" t="n"/>
      <c r="F48" s="399" t="n"/>
      <c r="G48" s="399" t="n"/>
      <c r="H48" s="399" t="n"/>
      <c r="I48" s="399" t="n"/>
      <c r="J48" s="399" t="n"/>
      <c r="K48" s="399" t="n"/>
      <c r="L48" s="399" t="n"/>
      <c r="M48" s="399" t="n"/>
      <c r="N48" s="399" t="n"/>
      <c r="O48" s="399" t="n"/>
      <c r="P48" s="399" t="n"/>
      <c r="Q48" s="399" t="n"/>
      <c r="R48" s="399" t="n"/>
      <c r="S48" s="399" t="n"/>
      <c r="T48" s="399" t="n"/>
      <c r="U48" s="399" t="n"/>
      <c r="V48" s="399" t="n"/>
      <c r="W48" s="399" t="n"/>
      <c r="X48" s="399" t="n"/>
      <c r="Y48" s="399" t="n"/>
      <c r="Z48" s="399" t="n"/>
      <c r="AA48" s="399" t="n"/>
      <c r="AB48" s="399" t="n"/>
      <c r="AC48" s="399" t="n"/>
      <c r="AD48" s="399" t="n"/>
      <c r="AE48" s="399" t="n"/>
      <c r="AF48" s="399" t="n"/>
    </row>
    <row r="49" ht="42" customHeight="1" s="326">
      <c r="A49" s="398" t="inlineStr">
        <is>
          <t>Visible helper model: rows intentionally start at Y1/CY2026 so pre-switch wealth accumulation is included. For first-switch YOE N, Jump years are 1..N, noncompete years N+1 and N+2 are base-only, and PM comp starts no earlier than N+3. Duplicate 5Y requested-PM-Y7 helper blocks are omitted because they are identical to effective Y8.</t>
        </is>
      </c>
      <c r="B49" s="399" t="n"/>
      <c r="C49" s="399" t="n"/>
      <c r="D49" s="399" t="n"/>
      <c r="E49" s="399" t="n"/>
      <c r="F49" s="399" t="n"/>
      <c r="G49" s="399" t="n"/>
      <c r="H49" s="399" t="n"/>
      <c r="I49" s="399" t="n"/>
      <c r="J49" s="399" t="n"/>
      <c r="K49" s="399" t="n"/>
      <c r="L49" s="399" t="n"/>
      <c r="M49" s="399" t="n"/>
      <c r="N49" s="399" t="n"/>
      <c r="O49" s="399" t="n"/>
      <c r="P49" s="399" t="n"/>
      <c r="Q49" s="399" t="n"/>
      <c r="R49" s="399" t="n"/>
      <c r="S49" s="399" t="n"/>
      <c r="T49" s="399" t="n"/>
      <c r="U49" s="399" t="n"/>
      <c r="V49" s="399" t="n"/>
      <c r="W49" s="399" t="n"/>
      <c r="X49" s="399" t="n"/>
      <c r="Y49" s="399" t="n"/>
      <c r="Z49" s="399" t="n"/>
      <c r="AA49" s="399" t="n"/>
      <c r="AB49" s="399" t="n"/>
      <c r="AC49" s="399" t="n"/>
      <c r="AD49" s="399" t="n"/>
      <c r="AE49" s="399" t="n"/>
      <c r="AF49" s="399" t="n"/>
    </row>
    <row r="50" ht="18" customHeight="1" s="326">
      <c r="A50" s="494" t="inlineStr">
        <is>
          <t>Scenario</t>
        </is>
      </c>
      <c r="B50" s="494" t="inlineStr">
        <is>
          <t>First Switch After YOE</t>
        </is>
      </c>
      <c r="C50" s="494" t="inlineStr">
        <is>
          <t>IC Bump</t>
        </is>
      </c>
      <c r="D50" s="494" t="inlineStr">
        <is>
          <t>Requested PM Start YOE</t>
        </is>
      </c>
      <c r="E50" s="494" t="inlineStr">
        <is>
          <t>PM Case</t>
        </is>
      </c>
      <c r="F50" s="494" t="inlineStr">
        <is>
          <t>PM Net PnL</t>
        </is>
      </c>
      <c r="G50" s="494" t="inlineStr">
        <is>
          <t>PM Payout</t>
        </is>
      </c>
      <c r="H50" s="494" t="inlineStr">
        <is>
          <t>PM Base</t>
        </is>
      </c>
      <c r="I50" s="494" t="inlineStr">
        <is>
          <t>PM PnL Growth</t>
        </is>
      </c>
      <c r="J50" s="494" t="inlineStr">
        <is>
          <t>Projection Year</t>
        </is>
      </c>
      <c r="K50" s="494" t="inlineStr">
        <is>
          <t>Calendar Year</t>
        </is>
      </c>
      <c r="L50" s="494" t="inlineStr">
        <is>
          <t>Base Earned</t>
        </is>
      </c>
      <c r="M50" s="494" t="inlineStr">
        <is>
          <t>Trend Bonus</t>
        </is>
      </c>
      <c r="N50" s="494" t="inlineStr">
        <is>
          <t>Swing %</t>
        </is>
      </c>
      <c r="O50" s="494" t="inlineStr">
        <is>
          <t>FY Bonus Accrued</t>
        </is>
      </c>
      <c r="P50" s="494" t="inlineStr">
        <is>
          <t>Bonus Cash Received</t>
        </is>
      </c>
      <c r="Q50" s="494" t="inlineStr">
        <is>
          <t>Baseline Cash Gross</t>
        </is>
      </c>
      <c r="R50" s="494" t="inlineStr">
        <is>
          <t>IC Switch Cash Gross</t>
        </is>
      </c>
      <c r="S50" s="494" t="inlineStr">
        <is>
          <t>PM Cash Gross</t>
        </is>
      </c>
      <c r="T50" s="494" t="inlineStr">
        <is>
          <t>Scenario Cash Gross</t>
        </is>
      </c>
      <c r="U50" s="494" t="inlineStr">
        <is>
          <t>401(k)</t>
        </is>
      </c>
      <c r="V50" s="494" t="inlineStr">
        <is>
          <t>Fed Taxable</t>
        </is>
      </c>
      <c r="W50" s="494" t="inlineStr">
        <is>
          <t>NY Taxable</t>
        </is>
      </c>
      <c r="X50" s="494" t="inlineStr">
        <is>
          <t>Total Tax / Deductions</t>
        </is>
      </c>
      <c r="Y50" s="494" t="inlineStr">
        <is>
          <t>Post-Tax Cash</t>
        </is>
      </c>
      <c r="Z50" s="494" t="inlineStr">
        <is>
          <t>Rent + Living</t>
        </is>
      </c>
      <c r="AA50" s="494" t="inlineStr">
        <is>
          <t>Cash After Living</t>
        </is>
      </c>
      <c r="AB50" s="494" t="inlineStr">
        <is>
          <t>Roth</t>
        </is>
      </c>
      <c r="AC50" s="494" t="inlineStr">
        <is>
          <t>Taxable Savings</t>
        </is>
      </c>
      <c r="AD50" s="494" t="inlineStr">
        <is>
          <t>Taxable Balance</t>
        </is>
      </c>
      <c r="AE50" s="494" t="inlineStr">
        <is>
          <t>Retirement Balance</t>
        </is>
      </c>
      <c r="AF50" s="494" t="inlineStr">
        <is>
          <t>Liquid Net Worth</t>
        </is>
      </c>
      <c r="AG50" s="494" t="inlineStr">
        <is>
          <t>First $5M Cash Yr</t>
        </is>
      </c>
      <c r="AH50" s="494" t="inlineStr">
        <is>
          <t>First $5M 50% Yr</t>
        </is>
      </c>
      <c r="AI50" s="494" t="inlineStr">
        <is>
          <t>First $7M Cash Yr</t>
        </is>
      </c>
      <c r="AJ50" s="494" t="inlineStr">
        <is>
          <t>First $7M 50% Yr</t>
        </is>
      </c>
    </row>
    <row r="51" outlineLevel="1" ht="18" customHeight="1" s="326">
      <c r="A51" s="181">
        <f>$A$22</f>
        <v/>
      </c>
      <c r="B51" s="191">
        <f>$B$22</f>
        <v/>
      </c>
      <c r="C51" s="187">
        <f>$C$22</f>
        <v/>
      </c>
      <c r="D51" s="191">
        <f>$D$22</f>
        <v/>
      </c>
      <c r="E51" s="181">
        <f>$E$22</f>
        <v/>
      </c>
      <c r="F51" s="184">
        <f>$F$22</f>
        <v/>
      </c>
      <c r="G51" s="188">
        <f>$G$22</f>
        <v/>
      </c>
      <c r="H51" s="184">
        <f>$H$22</f>
        <v/>
      </c>
      <c r="I51" s="188">
        <f>$J$17</f>
        <v/>
      </c>
      <c r="J51" s="191" t="n">
        <v>1</v>
      </c>
      <c r="K51" s="191">
        <f>('Model Inputs'!$B$22-1)+J51</f>
        <v/>
      </c>
      <c r="L51" s="184">
        <f>IF(J51=1,'Model Inputs'!$B$25*(13-'Model Inputs'!$B$23)/12,'Model Inputs'!$B$25)</f>
        <v/>
      </c>
      <c r="M51" s="184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/>
      </c>
      <c r="N51" s="188">
        <f>IF(J51&lt;=2,0,'Model Inputs'!$B$32*SIN(2*PI()*(J51-3+'Model Inputs'!$B$34)/MAX(1,'Model Inputs'!$B$33)))</f>
        <v/>
      </c>
      <c r="O51" s="184">
        <f>M51*(1+N51)</f>
        <v/>
      </c>
      <c r="P51" s="184">
        <f>0</f>
        <v/>
      </c>
      <c r="Q51" s="184">
        <f>L51+P51+IF(J51=1,'Model Inputs'!$B$26,0)</f>
        <v/>
      </c>
      <c r="R51" s="184">
        <f>IF(J51&lt;=B51,Q51,IF(J51&lt;=B51+$J$18,L51,(SUMIFS($L$51:$L$350,$A$51:$A$350,$A51,$J$51:$J$350,$B51)+SUMIFS($O$51:$O$350,$A$51:$A$350,$A51,$J$51:$J$350,$B51))*C51))</f>
        <v/>
      </c>
      <c r="S51" s="184">
        <f>H51+F51*G51*(1+I51)^MAX(0,J51-MAX(D51,B51+$J$18+1))</f>
        <v/>
      </c>
      <c r="T51" s="184">
        <f>IF(J51&gt;=MAX(D51,B51+$J$18+1),S51,R51)</f>
        <v/>
      </c>
      <c r="U51" s="184">
        <f>MIN(T51,'Tax Assumptions'!$B$19)</f>
        <v/>
      </c>
      <c r="V51" s="184">
        <f>MAX(T51-U51-'Tax Assumptions'!$B$8,0)</f>
        <v/>
      </c>
      <c r="W51" s="184">
        <f>MAX(T51-U51-'Tax Assumptions'!$B$9,0)</f>
        <v/>
      </c>
      <c r="X51" s="184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/>
      </c>
      <c r="Y51" s="184">
        <f>T51-U51-X51</f>
        <v/>
      </c>
      <c r="Z51" s="184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/>
      </c>
      <c r="AA51" s="184">
        <f>Y51-Z51</f>
        <v/>
      </c>
      <c r="AB51" s="184">
        <f>MIN(MAX(AA51,0),'Tax Assumptions'!$B$20)</f>
        <v/>
      </c>
      <c r="AC51" s="184">
        <f>AA51-AB51</f>
        <v/>
      </c>
      <c r="AD51" s="184">
        <f>MAX('Model Inputs'!$B$7*(1+'Model Inputs'!$B$13)+AC51,0)</f>
        <v/>
      </c>
      <c r="AE51" s="184">
        <f>MAX(('Model Inputs'!$B$8+'Model Inputs'!$B$9+'Model Inputs'!$B$10)*(1+'Model Inputs'!$B$13)+U51+AB51,0)</f>
        <v/>
      </c>
      <c r="AF51" s="184">
        <f>AD51+AE51</f>
        <v/>
      </c>
      <c r="AG51" s="191">
        <f>IF(AND(AF51&gt;=$F$14,0&lt;$F$14),J51,"")</f>
        <v/>
      </c>
      <c r="AH51" s="191">
        <f>IF(AND(AF51&gt;=$F$15,0&lt;$F$15),J51,"")</f>
        <v/>
      </c>
      <c r="AI51" s="191">
        <f>IF(AND(AF51&gt;=$F$16,0&lt;$F$16),J51,"")</f>
        <v/>
      </c>
      <c r="AJ51" s="191">
        <f>IF(AND(AF51&gt;=$F$17,0&lt;$F$17),J51,"")</f>
        <v/>
      </c>
    </row>
    <row r="52" outlineLevel="1" ht="18" customHeight="1" s="326">
      <c r="A52" s="181">
        <f>$A$22</f>
        <v/>
      </c>
      <c r="B52" s="191">
        <f>$B$22</f>
        <v/>
      </c>
      <c r="C52" s="187">
        <f>$C$22</f>
        <v/>
      </c>
      <c r="D52" s="191">
        <f>$D$22</f>
        <v/>
      </c>
      <c r="E52" s="181">
        <f>$E$22</f>
        <v/>
      </c>
      <c r="F52" s="184">
        <f>$F$22</f>
        <v/>
      </c>
      <c r="G52" s="188">
        <f>$G$22</f>
        <v/>
      </c>
      <c r="H52" s="184">
        <f>$H$22</f>
        <v/>
      </c>
      <c r="I52" s="188">
        <f>$J$17</f>
        <v/>
      </c>
      <c r="J52" s="191" t="n">
        <v>2</v>
      </c>
      <c r="K52" s="191">
        <f>('Model Inputs'!$B$22-1)+J52</f>
        <v/>
      </c>
      <c r="L52" s="184">
        <f>IF(J52=1,'Model Inputs'!$B$25*(13-'Model Inputs'!$B$23)/12,'Model Inputs'!$B$25)</f>
        <v/>
      </c>
      <c r="M52" s="184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/>
      </c>
      <c r="N52" s="188">
        <f>IF(J52&lt;=2,0,'Model Inputs'!$B$32*SIN(2*PI()*(J52-3+'Model Inputs'!$B$34)/MAX(1,'Model Inputs'!$B$33)))</f>
        <v/>
      </c>
      <c r="O52" s="184">
        <f>M52*(1+N52)</f>
        <v/>
      </c>
      <c r="P52" s="184">
        <f>0.75*O51</f>
        <v/>
      </c>
      <c r="Q52" s="184">
        <f>L52+P52+IF(J52=1,'Model Inputs'!$B$26,0)</f>
        <v/>
      </c>
      <c r="R52" s="184">
        <f>IF(J52&lt;=B52,Q52,IF(J52&lt;=B52+$J$18,L52,(SUMIFS($L$51:$L$350,$A$51:$A$350,$A52,$J$51:$J$350,$B52)+SUMIFS($O$51:$O$350,$A$51:$A$350,$A52,$J$51:$J$350,$B52))*C52))</f>
        <v/>
      </c>
      <c r="S52" s="184">
        <f>H52+F52*G52*(1+I52)^MAX(0,J52-MAX(D52,B52+$J$18+1))</f>
        <v/>
      </c>
      <c r="T52" s="184">
        <f>IF(J52&gt;=MAX(D52,B52+$J$18+1),S52,R52)</f>
        <v/>
      </c>
      <c r="U52" s="184">
        <f>MIN(T52,'Tax Assumptions'!$B$19)</f>
        <v/>
      </c>
      <c r="V52" s="184">
        <f>MAX(T52-U52-'Tax Assumptions'!$B$8,0)</f>
        <v/>
      </c>
      <c r="W52" s="184">
        <f>MAX(T52-U52-'Tax Assumptions'!$B$9,0)</f>
        <v/>
      </c>
      <c r="X52" s="184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/>
      </c>
      <c r="Y52" s="184">
        <f>T52-U52-X52</f>
        <v/>
      </c>
      <c r="Z52" s="184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/>
      </c>
      <c r="AA52" s="184">
        <f>Y52-Z52</f>
        <v/>
      </c>
      <c r="AB52" s="184">
        <f>MIN(MAX(AA52,0),'Tax Assumptions'!$B$20)</f>
        <v/>
      </c>
      <c r="AC52" s="184">
        <f>AA52-AB52</f>
        <v/>
      </c>
      <c r="AD52" s="184">
        <f>MAX(AD51*(1+'Model Inputs'!$B$13)+AC52,0)</f>
        <v/>
      </c>
      <c r="AE52" s="184">
        <f>MAX(AE51*(1+'Model Inputs'!$B$13)+U52+AB52,0)</f>
        <v/>
      </c>
      <c r="AF52" s="184">
        <f>AD52+AE52</f>
        <v/>
      </c>
      <c r="AG52" s="191">
        <f>IF(AND(AF52&gt;=$F$14,AF51&lt;$F$14),J52,"")</f>
        <v/>
      </c>
      <c r="AH52" s="191">
        <f>IF(AND(AF52&gt;=$F$15,AF51&lt;$F$15),J52,"")</f>
        <v/>
      </c>
      <c r="AI52" s="191">
        <f>IF(AND(AF52&gt;=$F$16,AF51&lt;$F$16),J52,"")</f>
        <v/>
      </c>
      <c r="AJ52" s="191">
        <f>IF(AND(AF52&gt;=$F$17,AF51&lt;$F$17),J52,"")</f>
        <v/>
      </c>
    </row>
    <row r="53" outlineLevel="1" ht="18" customHeight="1" s="326">
      <c r="A53" s="181">
        <f>$A$22</f>
        <v/>
      </c>
      <c r="B53" s="191">
        <f>$B$22</f>
        <v/>
      </c>
      <c r="C53" s="187">
        <f>$C$22</f>
        <v/>
      </c>
      <c r="D53" s="191">
        <f>$D$22</f>
        <v/>
      </c>
      <c r="E53" s="181">
        <f>$E$22</f>
        <v/>
      </c>
      <c r="F53" s="184">
        <f>$F$22</f>
        <v/>
      </c>
      <c r="G53" s="188">
        <f>$G$22</f>
        <v/>
      </c>
      <c r="H53" s="184">
        <f>$H$22</f>
        <v/>
      </c>
      <c r="I53" s="188">
        <f>$J$17</f>
        <v/>
      </c>
      <c r="J53" s="191" t="n">
        <v>3</v>
      </c>
      <c r="K53" s="191">
        <f>('Model Inputs'!$B$22-1)+J53</f>
        <v/>
      </c>
      <c r="L53" s="184">
        <f>IF(J53=1,'Model Inputs'!$B$25*(13-'Model Inputs'!$B$23)/12,'Model Inputs'!$B$25)</f>
        <v/>
      </c>
      <c r="M53" s="184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/>
      </c>
      <c r="N53" s="188">
        <f>IF(J53&lt;=2,0,'Model Inputs'!$B$32*SIN(2*PI()*(J53-3+'Model Inputs'!$B$34)/MAX(1,'Model Inputs'!$B$33)))</f>
        <v/>
      </c>
      <c r="O53" s="184">
        <f>M53*(1+N53)</f>
        <v/>
      </c>
      <c r="P53" s="184">
        <f>0.75*O52+0.25*O51</f>
        <v/>
      </c>
      <c r="Q53" s="184">
        <f>L53+P53+IF(J53=1,'Model Inputs'!$B$26,0)</f>
        <v/>
      </c>
      <c r="R53" s="184">
        <f>IF(J53&lt;=B53,Q53,IF(J53&lt;=B53+$J$18,L53,(SUMIFS($L$51:$L$350,$A$51:$A$350,$A53,$J$51:$J$350,$B53)+SUMIFS($O$51:$O$350,$A$51:$A$350,$A53,$J$51:$J$350,$B53))*C53))</f>
        <v/>
      </c>
      <c r="S53" s="184">
        <f>H53+F53*G53*(1+I53)^MAX(0,J53-MAX(D53,B53+$J$18+1))</f>
        <v/>
      </c>
      <c r="T53" s="184">
        <f>IF(J53&gt;=MAX(D53,B53+$J$18+1),S53,R53)</f>
        <v/>
      </c>
      <c r="U53" s="184">
        <f>MIN(T53,'Tax Assumptions'!$B$19)</f>
        <v/>
      </c>
      <c r="V53" s="184">
        <f>MAX(T53-U53-'Tax Assumptions'!$B$8,0)</f>
        <v/>
      </c>
      <c r="W53" s="184">
        <f>MAX(T53-U53-'Tax Assumptions'!$B$9,0)</f>
        <v/>
      </c>
      <c r="X53" s="184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/>
      </c>
      <c r="Y53" s="184">
        <f>T53-U53-X53</f>
        <v/>
      </c>
      <c r="Z53" s="184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/>
      </c>
      <c r="AA53" s="184">
        <f>Y53-Z53</f>
        <v/>
      </c>
      <c r="AB53" s="184">
        <f>MIN(MAX(AA53,0),'Tax Assumptions'!$B$20)</f>
        <v/>
      </c>
      <c r="AC53" s="184">
        <f>AA53-AB53</f>
        <v/>
      </c>
      <c r="AD53" s="184">
        <f>MAX(AD52*(1+'Model Inputs'!$B$13)+AC53,0)</f>
        <v/>
      </c>
      <c r="AE53" s="184">
        <f>MAX(AE52*(1+'Model Inputs'!$B$13)+U53+AB53,0)</f>
        <v/>
      </c>
      <c r="AF53" s="184">
        <f>AD53+AE53</f>
        <v/>
      </c>
      <c r="AG53" s="191">
        <f>IF(AND(AF53&gt;=$F$14,AF52&lt;$F$14),J53,"")</f>
        <v/>
      </c>
      <c r="AH53" s="191">
        <f>IF(AND(AF53&gt;=$F$15,AF52&lt;$F$15),J53,"")</f>
        <v/>
      </c>
      <c r="AI53" s="191">
        <f>IF(AND(AF53&gt;=$F$16,AF52&lt;$F$16),J53,"")</f>
        <v/>
      </c>
      <c r="AJ53" s="191">
        <f>IF(AND(AF53&gt;=$F$17,AF52&lt;$F$17),J53,"")</f>
        <v/>
      </c>
    </row>
    <row r="54" outlineLevel="1" ht="18" customHeight="1" s="326">
      <c r="A54" s="181">
        <f>$A$22</f>
        <v/>
      </c>
      <c r="B54" s="191">
        <f>$B$22</f>
        <v/>
      </c>
      <c r="C54" s="187">
        <f>$C$22</f>
        <v/>
      </c>
      <c r="D54" s="191">
        <f>$D$22</f>
        <v/>
      </c>
      <c r="E54" s="181">
        <f>$E$22</f>
        <v/>
      </c>
      <c r="F54" s="184">
        <f>$F$22</f>
        <v/>
      </c>
      <c r="G54" s="188">
        <f>$G$22</f>
        <v/>
      </c>
      <c r="H54" s="184">
        <f>$H$22</f>
        <v/>
      </c>
      <c r="I54" s="188">
        <f>$J$17</f>
        <v/>
      </c>
      <c r="J54" s="191" t="n">
        <v>4</v>
      </c>
      <c r="K54" s="191">
        <f>('Model Inputs'!$B$22-1)+J54</f>
        <v/>
      </c>
      <c r="L54" s="184">
        <f>IF(J54=1,'Model Inputs'!$B$25*(13-'Model Inputs'!$B$23)/12,'Model Inputs'!$B$25)</f>
        <v/>
      </c>
      <c r="M54" s="184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/>
      </c>
      <c r="N54" s="188">
        <f>IF(J54&lt;=2,0,'Model Inputs'!$B$32*SIN(2*PI()*(J54-3+'Model Inputs'!$B$34)/MAX(1,'Model Inputs'!$B$33)))</f>
        <v/>
      </c>
      <c r="O54" s="184">
        <f>M54*(1+N54)</f>
        <v/>
      </c>
      <c r="P54" s="184">
        <f>0.75*O53+0.25*O52</f>
        <v/>
      </c>
      <c r="Q54" s="184">
        <f>L54+P54+IF(J54=1,'Model Inputs'!$B$26,0)</f>
        <v/>
      </c>
      <c r="R54" s="184">
        <f>IF(J54&lt;=B54,Q54,IF(J54&lt;=B54+$J$18,L54,(SUMIFS($L$51:$L$350,$A$51:$A$350,$A54,$J$51:$J$350,$B54)+SUMIFS($O$51:$O$350,$A$51:$A$350,$A54,$J$51:$J$350,$B54))*C54))</f>
        <v/>
      </c>
      <c r="S54" s="184">
        <f>H54+F54*G54*(1+I54)^MAX(0,J54-MAX(D54,B54+$J$18+1))</f>
        <v/>
      </c>
      <c r="T54" s="184">
        <f>IF(J54&gt;=MAX(D54,B54+$J$18+1),S54,R54)</f>
        <v/>
      </c>
      <c r="U54" s="184">
        <f>MIN(T54,'Tax Assumptions'!$B$19)</f>
        <v/>
      </c>
      <c r="V54" s="184">
        <f>MAX(T54-U54-'Tax Assumptions'!$B$8,0)</f>
        <v/>
      </c>
      <c r="W54" s="184">
        <f>MAX(T54-U54-'Tax Assumptions'!$B$9,0)</f>
        <v/>
      </c>
      <c r="X54" s="184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/>
      </c>
      <c r="Y54" s="184">
        <f>T54-U54-X54</f>
        <v/>
      </c>
      <c r="Z54" s="184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/>
      </c>
      <c r="AA54" s="184">
        <f>Y54-Z54</f>
        <v/>
      </c>
      <c r="AB54" s="184">
        <f>MIN(MAX(AA54,0),'Tax Assumptions'!$B$20)</f>
        <v/>
      </c>
      <c r="AC54" s="184">
        <f>AA54-AB54</f>
        <v/>
      </c>
      <c r="AD54" s="184">
        <f>MAX(AD53*(1+'Model Inputs'!$B$13)+AC54,0)</f>
        <v/>
      </c>
      <c r="AE54" s="184">
        <f>MAX(AE53*(1+'Model Inputs'!$B$13)+U54+AB54,0)</f>
        <v/>
      </c>
      <c r="AF54" s="184">
        <f>AD54+AE54</f>
        <v/>
      </c>
      <c r="AG54" s="191">
        <f>IF(AND(AF54&gt;=$F$14,AF53&lt;$F$14),J54,"")</f>
        <v/>
      </c>
      <c r="AH54" s="191">
        <f>IF(AND(AF54&gt;=$F$15,AF53&lt;$F$15),J54,"")</f>
        <v/>
      </c>
      <c r="AI54" s="191">
        <f>IF(AND(AF54&gt;=$F$16,AF53&lt;$F$16),J54,"")</f>
        <v/>
      </c>
      <c r="AJ54" s="191">
        <f>IF(AND(AF54&gt;=$F$17,AF53&lt;$F$17),J54,"")</f>
        <v/>
      </c>
    </row>
    <row r="55" outlineLevel="1" ht="18" customHeight="1" s="326">
      <c r="A55" s="181">
        <f>$A$22</f>
        <v/>
      </c>
      <c r="B55" s="191">
        <f>$B$22</f>
        <v/>
      </c>
      <c r="C55" s="187">
        <f>$C$22</f>
        <v/>
      </c>
      <c r="D55" s="191">
        <f>$D$22</f>
        <v/>
      </c>
      <c r="E55" s="181">
        <f>$E$22</f>
        <v/>
      </c>
      <c r="F55" s="184">
        <f>$F$22</f>
        <v/>
      </c>
      <c r="G55" s="188">
        <f>$G$22</f>
        <v/>
      </c>
      <c r="H55" s="184">
        <f>$H$22</f>
        <v/>
      </c>
      <c r="I55" s="188">
        <f>$J$17</f>
        <v/>
      </c>
      <c r="J55" s="191" t="n">
        <v>5</v>
      </c>
      <c r="K55" s="191">
        <f>('Model Inputs'!$B$22-1)+J55</f>
        <v/>
      </c>
      <c r="L55" s="184">
        <f>IF(J55=1,'Model Inputs'!$B$25*(13-'Model Inputs'!$B$23)/12,'Model Inputs'!$B$25)</f>
        <v/>
      </c>
      <c r="M55" s="184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/>
      </c>
      <c r="N55" s="188">
        <f>IF(J55&lt;=2,0,'Model Inputs'!$B$32*SIN(2*PI()*(J55-3+'Model Inputs'!$B$34)/MAX(1,'Model Inputs'!$B$33)))</f>
        <v/>
      </c>
      <c r="O55" s="184">
        <f>M55*(1+N55)</f>
        <v/>
      </c>
      <c r="P55" s="184">
        <f>0.75*O54+0.25*O53</f>
        <v/>
      </c>
      <c r="Q55" s="184">
        <f>L55+P55+IF(J55=1,'Model Inputs'!$B$26,0)</f>
        <v/>
      </c>
      <c r="R55" s="184">
        <f>IF(J55&lt;=B55,Q55,IF(J55&lt;=B55+$J$18,L55,(SUMIFS($L$51:$L$350,$A$51:$A$350,$A55,$J$51:$J$350,$B55)+SUMIFS($O$51:$O$350,$A$51:$A$350,$A55,$J$51:$J$350,$B55))*C55))</f>
        <v/>
      </c>
      <c r="S55" s="184">
        <f>H55+F55*G55*(1+I55)^MAX(0,J55-MAX(D55,B55+$J$18+1))</f>
        <v/>
      </c>
      <c r="T55" s="184">
        <f>IF(J55&gt;=MAX(D55,B55+$J$18+1),S55,R55)</f>
        <v/>
      </c>
      <c r="U55" s="184">
        <f>MIN(T55,'Tax Assumptions'!$B$19)</f>
        <v/>
      </c>
      <c r="V55" s="184">
        <f>MAX(T55-U55-'Tax Assumptions'!$B$8,0)</f>
        <v/>
      </c>
      <c r="W55" s="184">
        <f>MAX(T55-U55-'Tax Assumptions'!$B$9,0)</f>
        <v/>
      </c>
      <c r="X55" s="184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/>
      </c>
      <c r="Y55" s="184">
        <f>T55-U55-X55</f>
        <v/>
      </c>
      <c r="Z55" s="184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/>
      </c>
      <c r="AA55" s="184">
        <f>Y55-Z55</f>
        <v/>
      </c>
      <c r="AB55" s="184">
        <f>MIN(MAX(AA55,0),'Tax Assumptions'!$B$20)</f>
        <v/>
      </c>
      <c r="AC55" s="184">
        <f>AA55-AB55</f>
        <v/>
      </c>
      <c r="AD55" s="184">
        <f>MAX(AD54*(1+'Model Inputs'!$B$13)+AC55,0)</f>
        <v/>
      </c>
      <c r="AE55" s="184">
        <f>MAX(AE54*(1+'Model Inputs'!$B$13)+U55+AB55,0)</f>
        <v/>
      </c>
      <c r="AF55" s="184">
        <f>AD55+AE55</f>
        <v/>
      </c>
      <c r="AG55" s="191">
        <f>IF(AND(AF55&gt;=$F$14,AF54&lt;$F$14),J55,"")</f>
        <v/>
      </c>
      <c r="AH55" s="191">
        <f>IF(AND(AF55&gt;=$F$15,AF54&lt;$F$15),J55,"")</f>
        <v/>
      </c>
      <c r="AI55" s="191">
        <f>IF(AND(AF55&gt;=$F$16,AF54&lt;$F$16),J55,"")</f>
        <v/>
      </c>
      <c r="AJ55" s="191">
        <f>IF(AND(AF55&gt;=$F$17,AF54&lt;$F$17),J55,"")</f>
        <v/>
      </c>
    </row>
    <row r="56" outlineLevel="1" ht="18" customHeight="1" s="326">
      <c r="A56" s="181">
        <f>$A$22</f>
        <v/>
      </c>
      <c r="B56" s="191">
        <f>$B$22</f>
        <v/>
      </c>
      <c r="C56" s="187">
        <f>$C$22</f>
        <v/>
      </c>
      <c r="D56" s="191">
        <f>$D$22</f>
        <v/>
      </c>
      <c r="E56" s="181">
        <f>$E$22</f>
        <v/>
      </c>
      <c r="F56" s="184">
        <f>$F$22</f>
        <v/>
      </c>
      <c r="G56" s="188">
        <f>$G$22</f>
        <v/>
      </c>
      <c r="H56" s="184">
        <f>$H$22</f>
        <v/>
      </c>
      <c r="I56" s="188">
        <f>$J$17</f>
        <v/>
      </c>
      <c r="J56" s="191" t="n">
        <v>6</v>
      </c>
      <c r="K56" s="191">
        <f>('Model Inputs'!$B$22-1)+J56</f>
        <v/>
      </c>
      <c r="L56" s="184">
        <f>IF(J56=1,'Model Inputs'!$B$25*(13-'Model Inputs'!$B$23)/12,'Model Inputs'!$B$25)</f>
        <v/>
      </c>
      <c r="M56" s="184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/>
      </c>
      <c r="N56" s="188">
        <f>IF(J56&lt;=2,0,'Model Inputs'!$B$32*SIN(2*PI()*(J56-3+'Model Inputs'!$B$34)/MAX(1,'Model Inputs'!$B$33)))</f>
        <v/>
      </c>
      <c r="O56" s="184">
        <f>M56*(1+N56)</f>
        <v/>
      </c>
      <c r="P56" s="184">
        <f>0.75*O55+0.25*O54</f>
        <v/>
      </c>
      <c r="Q56" s="184">
        <f>L56+P56+IF(J56=1,'Model Inputs'!$B$26,0)</f>
        <v/>
      </c>
      <c r="R56" s="184">
        <f>IF(J56&lt;=B56,Q56,IF(J56&lt;=B56+$J$18,L56,(SUMIFS($L$51:$L$350,$A$51:$A$350,$A56,$J$51:$J$350,$B56)+SUMIFS($O$51:$O$350,$A$51:$A$350,$A56,$J$51:$J$350,$B56))*C56))</f>
        <v/>
      </c>
      <c r="S56" s="184">
        <f>H56+F56*G56*(1+I56)^MAX(0,J56-MAX(D56,B56+$J$18+1))</f>
        <v/>
      </c>
      <c r="T56" s="184">
        <f>IF(J56&gt;=MAX(D56,B56+$J$18+1),S56,R56)</f>
        <v/>
      </c>
      <c r="U56" s="184">
        <f>MIN(T56,'Tax Assumptions'!$B$19)</f>
        <v/>
      </c>
      <c r="V56" s="184">
        <f>MAX(T56-U56-'Tax Assumptions'!$B$8,0)</f>
        <v/>
      </c>
      <c r="W56" s="184">
        <f>MAX(T56-U56-'Tax Assumptions'!$B$9,0)</f>
        <v/>
      </c>
      <c r="X56" s="184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/>
      </c>
      <c r="Y56" s="184">
        <f>T56-U56-X56</f>
        <v/>
      </c>
      <c r="Z56" s="184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/>
      </c>
      <c r="AA56" s="184">
        <f>Y56-Z56</f>
        <v/>
      </c>
      <c r="AB56" s="184">
        <f>MIN(MAX(AA56,0),'Tax Assumptions'!$B$20)</f>
        <v/>
      </c>
      <c r="AC56" s="184">
        <f>AA56-AB56</f>
        <v/>
      </c>
      <c r="AD56" s="184">
        <f>MAX(AD55*(1+'Model Inputs'!$B$13)+AC56,0)</f>
        <v/>
      </c>
      <c r="AE56" s="184">
        <f>MAX(AE55*(1+'Model Inputs'!$B$13)+U56+AB56,0)</f>
        <v/>
      </c>
      <c r="AF56" s="184">
        <f>AD56+AE56</f>
        <v/>
      </c>
      <c r="AG56" s="191">
        <f>IF(AND(AF56&gt;=$F$14,AF55&lt;$F$14),J56,"")</f>
        <v/>
      </c>
      <c r="AH56" s="191">
        <f>IF(AND(AF56&gt;=$F$15,AF55&lt;$F$15),J56,"")</f>
        <v/>
      </c>
      <c r="AI56" s="191">
        <f>IF(AND(AF56&gt;=$F$16,AF55&lt;$F$16),J56,"")</f>
        <v/>
      </c>
      <c r="AJ56" s="191">
        <f>IF(AND(AF56&gt;=$F$17,AF55&lt;$F$17),J56,"")</f>
        <v/>
      </c>
    </row>
    <row r="57" outlineLevel="1" ht="18" customHeight="1" s="326">
      <c r="A57" s="181">
        <f>$A$22</f>
        <v/>
      </c>
      <c r="B57" s="191">
        <f>$B$22</f>
        <v/>
      </c>
      <c r="C57" s="187">
        <f>$C$22</f>
        <v/>
      </c>
      <c r="D57" s="191">
        <f>$D$22</f>
        <v/>
      </c>
      <c r="E57" s="181">
        <f>$E$22</f>
        <v/>
      </c>
      <c r="F57" s="184">
        <f>$F$22</f>
        <v/>
      </c>
      <c r="G57" s="188">
        <f>$G$22</f>
        <v/>
      </c>
      <c r="H57" s="184">
        <f>$H$22</f>
        <v/>
      </c>
      <c r="I57" s="188">
        <f>$J$17</f>
        <v/>
      </c>
      <c r="J57" s="191" t="n">
        <v>7</v>
      </c>
      <c r="K57" s="191">
        <f>('Model Inputs'!$B$22-1)+J57</f>
        <v/>
      </c>
      <c r="L57" s="184">
        <f>IF(J57=1,'Model Inputs'!$B$25*(13-'Model Inputs'!$B$23)/12,'Model Inputs'!$B$25)</f>
        <v/>
      </c>
      <c r="M57" s="184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/>
      </c>
      <c r="N57" s="188">
        <f>IF(J57&lt;=2,0,'Model Inputs'!$B$32*SIN(2*PI()*(J57-3+'Model Inputs'!$B$34)/MAX(1,'Model Inputs'!$B$33)))</f>
        <v/>
      </c>
      <c r="O57" s="184">
        <f>M57*(1+N57)</f>
        <v/>
      </c>
      <c r="P57" s="184">
        <f>0.75*O56+0.25*O55</f>
        <v/>
      </c>
      <c r="Q57" s="184">
        <f>L57+P57+IF(J57=1,'Model Inputs'!$B$26,0)</f>
        <v/>
      </c>
      <c r="R57" s="184">
        <f>IF(J57&lt;=B57,Q57,IF(J57&lt;=B57+$J$18,L57,(SUMIFS($L$51:$L$350,$A$51:$A$350,$A57,$J$51:$J$350,$B57)+SUMIFS($O$51:$O$350,$A$51:$A$350,$A57,$J$51:$J$350,$B57))*C57))</f>
        <v/>
      </c>
      <c r="S57" s="184">
        <f>H57+F57*G57*(1+I57)^MAX(0,J57-MAX(D57,B57+$J$18+1))</f>
        <v/>
      </c>
      <c r="T57" s="184">
        <f>IF(J57&gt;=MAX(D57,B57+$J$18+1),S57,R57)</f>
        <v/>
      </c>
      <c r="U57" s="184">
        <f>MIN(T57,'Tax Assumptions'!$B$19)</f>
        <v/>
      </c>
      <c r="V57" s="184">
        <f>MAX(T57-U57-'Tax Assumptions'!$B$8,0)</f>
        <v/>
      </c>
      <c r="W57" s="184">
        <f>MAX(T57-U57-'Tax Assumptions'!$B$9,0)</f>
        <v/>
      </c>
      <c r="X57" s="184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/>
      </c>
      <c r="Y57" s="184">
        <f>T57-U57-X57</f>
        <v/>
      </c>
      <c r="Z57" s="184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/>
      </c>
      <c r="AA57" s="184">
        <f>Y57-Z57</f>
        <v/>
      </c>
      <c r="AB57" s="184">
        <f>MIN(MAX(AA57,0),'Tax Assumptions'!$B$20)</f>
        <v/>
      </c>
      <c r="AC57" s="184">
        <f>AA57-AB57</f>
        <v/>
      </c>
      <c r="AD57" s="184">
        <f>MAX(AD56*(1+'Model Inputs'!$B$13)+AC57,0)</f>
        <v/>
      </c>
      <c r="AE57" s="184">
        <f>MAX(AE56*(1+'Model Inputs'!$B$13)+U57+AB57,0)</f>
        <v/>
      </c>
      <c r="AF57" s="184">
        <f>AD57+AE57</f>
        <v/>
      </c>
      <c r="AG57" s="191">
        <f>IF(AND(AF57&gt;=$F$14,AF56&lt;$F$14),J57,"")</f>
        <v/>
      </c>
      <c r="AH57" s="191">
        <f>IF(AND(AF57&gt;=$F$15,AF56&lt;$F$15),J57,"")</f>
        <v/>
      </c>
      <c r="AI57" s="191">
        <f>IF(AND(AF57&gt;=$F$16,AF56&lt;$F$16),J57,"")</f>
        <v/>
      </c>
      <c r="AJ57" s="191">
        <f>IF(AND(AF57&gt;=$F$17,AF56&lt;$F$17),J57,"")</f>
        <v/>
      </c>
    </row>
    <row r="58" outlineLevel="1" ht="18" customHeight="1" s="326">
      <c r="A58" s="181">
        <f>$A$22</f>
        <v/>
      </c>
      <c r="B58" s="191">
        <f>$B$22</f>
        <v/>
      </c>
      <c r="C58" s="187">
        <f>$C$22</f>
        <v/>
      </c>
      <c r="D58" s="191">
        <f>$D$22</f>
        <v/>
      </c>
      <c r="E58" s="181">
        <f>$E$22</f>
        <v/>
      </c>
      <c r="F58" s="184">
        <f>$F$22</f>
        <v/>
      </c>
      <c r="G58" s="188">
        <f>$G$22</f>
        <v/>
      </c>
      <c r="H58" s="184">
        <f>$H$22</f>
        <v/>
      </c>
      <c r="I58" s="188">
        <f>$J$17</f>
        <v/>
      </c>
      <c r="J58" s="191" t="n">
        <v>8</v>
      </c>
      <c r="K58" s="191">
        <f>('Model Inputs'!$B$22-1)+J58</f>
        <v/>
      </c>
      <c r="L58" s="184">
        <f>IF(J58=1,'Model Inputs'!$B$25*(13-'Model Inputs'!$B$23)/12,'Model Inputs'!$B$25)</f>
        <v/>
      </c>
      <c r="M58" s="184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/>
      </c>
      <c r="N58" s="188">
        <f>IF(J58&lt;=2,0,'Model Inputs'!$B$32*SIN(2*PI()*(J58-3+'Model Inputs'!$B$34)/MAX(1,'Model Inputs'!$B$33)))</f>
        <v/>
      </c>
      <c r="O58" s="184">
        <f>M58*(1+N58)</f>
        <v/>
      </c>
      <c r="P58" s="184">
        <f>0.75*O57+0.25*O56</f>
        <v/>
      </c>
      <c r="Q58" s="184">
        <f>L58+P58+IF(J58=1,'Model Inputs'!$B$26,0)</f>
        <v/>
      </c>
      <c r="R58" s="184">
        <f>IF(J58&lt;=B58,Q58,IF(J58&lt;=B58+$J$18,L58,(SUMIFS($L$51:$L$350,$A$51:$A$350,$A58,$J$51:$J$350,$B58)+SUMIFS($O$51:$O$350,$A$51:$A$350,$A58,$J$51:$J$350,$B58))*C58))</f>
        <v/>
      </c>
      <c r="S58" s="184">
        <f>H58+F58*G58*(1+I58)^MAX(0,J58-MAX(D58,B58+$J$18+1))</f>
        <v/>
      </c>
      <c r="T58" s="184">
        <f>IF(J58&gt;=MAX(D58,B58+$J$18+1),S58,R58)</f>
        <v/>
      </c>
      <c r="U58" s="184">
        <f>MIN(T58,'Tax Assumptions'!$B$19)</f>
        <v/>
      </c>
      <c r="V58" s="184">
        <f>MAX(T58-U58-'Tax Assumptions'!$B$8,0)</f>
        <v/>
      </c>
      <c r="W58" s="184">
        <f>MAX(T58-U58-'Tax Assumptions'!$B$9,0)</f>
        <v/>
      </c>
      <c r="X58" s="184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/>
      </c>
      <c r="Y58" s="184">
        <f>T58-U58-X58</f>
        <v/>
      </c>
      <c r="Z58" s="184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/>
      </c>
      <c r="AA58" s="184">
        <f>Y58-Z58</f>
        <v/>
      </c>
      <c r="AB58" s="184">
        <f>MIN(MAX(AA58,0),'Tax Assumptions'!$B$20)</f>
        <v/>
      </c>
      <c r="AC58" s="184">
        <f>AA58-AB58</f>
        <v/>
      </c>
      <c r="AD58" s="184">
        <f>MAX(AD57*(1+'Model Inputs'!$B$13)+AC58,0)</f>
        <v/>
      </c>
      <c r="AE58" s="184">
        <f>MAX(AE57*(1+'Model Inputs'!$B$13)+U58+AB58,0)</f>
        <v/>
      </c>
      <c r="AF58" s="184">
        <f>AD58+AE58</f>
        <v/>
      </c>
      <c r="AG58" s="191">
        <f>IF(AND(AF58&gt;=$F$14,AF57&lt;$F$14),J58,"")</f>
        <v/>
      </c>
      <c r="AH58" s="191">
        <f>IF(AND(AF58&gt;=$F$15,AF57&lt;$F$15),J58,"")</f>
        <v/>
      </c>
      <c r="AI58" s="191">
        <f>IF(AND(AF58&gt;=$F$16,AF57&lt;$F$16),J58,"")</f>
        <v/>
      </c>
      <c r="AJ58" s="191">
        <f>IF(AND(AF58&gt;=$F$17,AF57&lt;$F$17),J58,"")</f>
        <v/>
      </c>
    </row>
    <row r="59" outlineLevel="1" ht="18" customHeight="1" s="326">
      <c r="A59" s="181">
        <f>$A$22</f>
        <v/>
      </c>
      <c r="B59" s="191">
        <f>$B$22</f>
        <v/>
      </c>
      <c r="C59" s="187">
        <f>$C$22</f>
        <v/>
      </c>
      <c r="D59" s="191">
        <f>$D$22</f>
        <v/>
      </c>
      <c r="E59" s="181">
        <f>$E$22</f>
        <v/>
      </c>
      <c r="F59" s="184">
        <f>$F$22</f>
        <v/>
      </c>
      <c r="G59" s="188">
        <f>$G$22</f>
        <v/>
      </c>
      <c r="H59" s="184">
        <f>$H$22</f>
        <v/>
      </c>
      <c r="I59" s="188">
        <f>$J$17</f>
        <v/>
      </c>
      <c r="J59" s="191" t="n">
        <v>9</v>
      </c>
      <c r="K59" s="191">
        <f>('Model Inputs'!$B$22-1)+J59</f>
        <v/>
      </c>
      <c r="L59" s="184">
        <f>IF(J59=1,'Model Inputs'!$B$25*(13-'Model Inputs'!$B$23)/12,'Model Inputs'!$B$25)</f>
        <v/>
      </c>
      <c r="M59" s="184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/>
      </c>
      <c r="N59" s="188">
        <f>IF(J59&lt;=2,0,'Model Inputs'!$B$32*SIN(2*PI()*(J59-3+'Model Inputs'!$B$34)/MAX(1,'Model Inputs'!$B$33)))</f>
        <v/>
      </c>
      <c r="O59" s="184">
        <f>M59*(1+N59)</f>
        <v/>
      </c>
      <c r="P59" s="184">
        <f>0.75*O58+0.25*O57</f>
        <v/>
      </c>
      <c r="Q59" s="184">
        <f>L59+P59+IF(J59=1,'Model Inputs'!$B$26,0)</f>
        <v/>
      </c>
      <c r="R59" s="184">
        <f>IF(J59&lt;=B59,Q59,IF(J59&lt;=B59+$J$18,L59,(SUMIFS($L$51:$L$350,$A$51:$A$350,$A59,$J$51:$J$350,$B59)+SUMIFS($O$51:$O$350,$A$51:$A$350,$A59,$J$51:$J$350,$B59))*C59))</f>
        <v/>
      </c>
      <c r="S59" s="184">
        <f>H59+F59*G59*(1+I59)^MAX(0,J59-MAX(D59,B59+$J$18+1))</f>
        <v/>
      </c>
      <c r="T59" s="184">
        <f>IF(J59&gt;=MAX(D59,B59+$J$18+1),S59,R59)</f>
        <v/>
      </c>
      <c r="U59" s="184">
        <f>MIN(T59,'Tax Assumptions'!$B$19)</f>
        <v/>
      </c>
      <c r="V59" s="184">
        <f>MAX(T59-U59-'Tax Assumptions'!$B$8,0)</f>
        <v/>
      </c>
      <c r="W59" s="184">
        <f>MAX(T59-U59-'Tax Assumptions'!$B$9,0)</f>
        <v/>
      </c>
      <c r="X59" s="184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/>
      </c>
      <c r="Y59" s="184">
        <f>T59-U59-X59</f>
        <v/>
      </c>
      <c r="Z59" s="184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/>
      </c>
      <c r="AA59" s="184">
        <f>Y59-Z59</f>
        <v/>
      </c>
      <c r="AB59" s="184">
        <f>MIN(MAX(AA59,0),'Tax Assumptions'!$B$20)</f>
        <v/>
      </c>
      <c r="AC59" s="184">
        <f>AA59-AB59</f>
        <v/>
      </c>
      <c r="AD59" s="184">
        <f>MAX(AD58*(1+'Model Inputs'!$B$13)+AC59,0)</f>
        <v/>
      </c>
      <c r="AE59" s="184">
        <f>MAX(AE58*(1+'Model Inputs'!$B$13)+U59+AB59,0)</f>
        <v/>
      </c>
      <c r="AF59" s="184">
        <f>AD59+AE59</f>
        <v/>
      </c>
      <c r="AG59" s="191">
        <f>IF(AND(AF59&gt;=$F$14,AF58&lt;$F$14),J59,"")</f>
        <v/>
      </c>
      <c r="AH59" s="191">
        <f>IF(AND(AF59&gt;=$F$15,AF58&lt;$F$15),J59,"")</f>
        <v/>
      </c>
      <c r="AI59" s="191">
        <f>IF(AND(AF59&gt;=$F$16,AF58&lt;$F$16),J59,"")</f>
        <v/>
      </c>
      <c r="AJ59" s="191">
        <f>IF(AND(AF59&gt;=$F$17,AF58&lt;$F$17),J59,"")</f>
        <v/>
      </c>
    </row>
    <row r="60" outlineLevel="1" ht="18" customHeight="1" s="326">
      <c r="A60" s="181">
        <f>$A$22</f>
        <v/>
      </c>
      <c r="B60" s="191">
        <f>$B$22</f>
        <v/>
      </c>
      <c r="C60" s="187">
        <f>$C$22</f>
        <v/>
      </c>
      <c r="D60" s="191">
        <f>$D$22</f>
        <v/>
      </c>
      <c r="E60" s="181">
        <f>$E$22</f>
        <v/>
      </c>
      <c r="F60" s="184">
        <f>$F$22</f>
        <v/>
      </c>
      <c r="G60" s="188">
        <f>$G$22</f>
        <v/>
      </c>
      <c r="H60" s="184">
        <f>$H$22</f>
        <v/>
      </c>
      <c r="I60" s="188">
        <f>$J$17</f>
        <v/>
      </c>
      <c r="J60" s="191" t="n">
        <v>10</v>
      </c>
      <c r="K60" s="191">
        <f>('Model Inputs'!$B$22-1)+J60</f>
        <v/>
      </c>
      <c r="L60" s="184">
        <f>IF(J60=1,'Model Inputs'!$B$25*(13-'Model Inputs'!$B$23)/12,'Model Inputs'!$B$25)</f>
        <v/>
      </c>
      <c r="M60" s="184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/>
      </c>
      <c r="N60" s="188">
        <f>IF(J60&lt;=2,0,'Model Inputs'!$B$32*SIN(2*PI()*(J60-3+'Model Inputs'!$B$34)/MAX(1,'Model Inputs'!$B$33)))</f>
        <v/>
      </c>
      <c r="O60" s="184">
        <f>M60*(1+N60)</f>
        <v/>
      </c>
      <c r="P60" s="184">
        <f>0.75*O59+0.25*O58</f>
        <v/>
      </c>
      <c r="Q60" s="184">
        <f>L60+P60+IF(J60=1,'Model Inputs'!$B$26,0)</f>
        <v/>
      </c>
      <c r="R60" s="184">
        <f>IF(J60&lt;=B60,Q60,IF(J60&lt;=B60+$J$18,L60,(SUMIFS($L$51:$L$350,$A$51:$A$350,$A60,$J$51:$J$350,$B60)+SUMIFS($O$51:$O$350,$A$51:$A$350,$A60,$J$51:$J$350,$B60))*C60))</f>
        <v/>
      </c>
      <c r="S60" s="184">
        <f>H60+F60*G60*(1+I60)^MAX(0,J60-MAX(D60,B60+$J$18+1))</f>
        <v/>
      </c>
      <c r="T60" s="184">
        <f>IF(J60&gt;=MAX(D60,B60+$J$18+1),S60,R60)</f>
        <v/>
      </c>
      <c r="U60" s="184">
        <f>MIN(T60,'Tax Assumptions'!$B$19)</f>
        <v/>
      </c>
      <c r="V60" s="184">
        <f>MAX(T60-U60-'Tax Assumptions'!$B$8,0)</f>
        <v/>
      </c>
      <c r="W60" s="184">
        <f>MAX(T60-U60-'Tax Assumptions'!$B$9,0)</f>
        <v/>
      </c>
      <c r="X60" s="184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/>
      </c>
      <c r="Y60" s="184">
        <f>T60-U60-X60</f>
        <v/>
      </c>
      <c r="Z60" s="184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/>
      </c>
      <c r="AA60" s="184">
        <f>Y60-Z60</f>
        <v/>
      </c>
      <c r="AB60" s="184">
        <f>MIN(MAX(AA60,0),'Tax Assumptions'!$B$20)</f>
        <v/>
      </c>
      <c r="AC60" s="184">
        <f>AA60-AB60</f>
        <v/>
      </c>
      <c r="AD60" s="184">
        <f>MAX(AD59*(1+'Model Inputs'!$B$13)+AC60,0)</f>
        <v/>
      </c>
      <c r="AE60" s="184">
        <f>MAX(AE59*(1+'Model Inputs'!$B$13)+U60+AB60,0)</f>
        <v/>
      </c>
      <c r="AF60" s="184">
        <f>AD60+AE60</f>
        <v/>
      </c>
      <c r="AG60" s="191">
        <f>IF(AND(AF60&gt;=$F$14,AF59&lt;$F$14),J60,"")</f>
        <v/>
      </c>
      <c r="AH60" s="191">
        <f>IF(AND(AF60&gt;=$F$15,AF59&lt;$F$15),J60,"")</f>
        <v/>
      </c>
      <c r="AI60" s="191">
        <f>IF(AND(AF60&gt;=$F$16,AF59&lt;$F$16),J60,"")</f>
        <v/>
      </c>
      <c r="AJ60" s="191">
        <f>IF(AND(AF60&gt;=$F$17,AF59&lt;$F$17),J60,"")</f>
        <v/>
      </c>
    </row>
    <row r="61" outlineLevel="1" ht="18" customHeight="1" s="326">
      <c r="A61" s="181">
        <f>$A$22</f>
        <v/>
      </c>
      <c r="B61" s="191">
        <f>$B$22</f>
        <v/>
      </c>
      <c r="C61" s="187">
        <f>$C$22</f>
        <v/>
      </c>
      <c r="D61" s="191">
        <f>$D$22</f>
        <v/>
      </c>
      <c r="E61" s="181">
        <f>$E$22</f>
        <v/>
      </c>
      <c r="F61" s="184">
        <f>$F$22</f>
        <v/>
      </c>
      <c r="G61" s="188">
        <f>$G$22</f>
        <v/>
      </c>
      <c r="H61" s="184">
        <f>$H$22</f>
        <v/>
      </c>
      <c r="I61" s="188">
        <f>$J$17</f>
        <v/>
      </c>
      <c r="J61" s="191" t="n">
        <v>11</v>
      </c>
      <c r="K61" s="191">
        <f>('Model Inputs'!$B$22-1)+J61</f>
        <v/>
      </c>
      <c r="L61" s="184">
        <f>IF(J61=1,'Model Inputs'!$B$25*(13-'Model Inputs'!$B$23)/12,'Model Inputs'!$B$25)</f>
        <v/>
      </c>
      <c r="M61" s="184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/>
      </c>
      <c r="N61" s="188">
        <f>IF(J61&lt;=2,0,'Model Inputs'!$B$32*SIN(2*PI()*(J61-3+'Model Inputs'!$B$34)/MAX(1,'Model Inputs'!$B$33)))</f>
        <v/>
      </c>
      <c r="O61" s="184">
        <f>M61*(1+N61)</f>
        <v/>
      </c>
      <c r="P61" s="184">
        <f>0.75*O60+0.25*O59</f>
        <v/>
      </c>
      <c r="Q61" s="184">
        <f>L61+P61+IF(J61=1,'Model Inputs'!$B$26,0)</f>
        <v/>
      </c>
      <c r="R61" s="184">
        <f>IF(J61&lt;=B61,Q61,IF(J61&lt;=B61+$J$18,L61,(SUMIFS($L$51:$L$350,$A$51:$A$350,$A61,$J$51:$J$350,$B61)+SUMIFS($O$51:$O$350,$A$51:$A$350,$A61,$J$51:$J$350,$B61))*C61))</f>
        <v/>
      </c>
      <c r="S61" s="184">
        <f>H61+F61*G61*(1+I61)^MAX(0,J61-MAX(D61,B61+$J$18+1))</f>
        <v/>
      </c>
      <c r="T61" s="184">
        <f>IF(J61&gt;=MAX(D61,B61+$J$18+1),S61,R61)</f>
        <v/>
      </c>
      <c r="U61" s="184">
        <f>MIN(T61,'Tax Assumptions'!$B$19)</f>
        <v/>
      </c>
      <c r="V61" s="184">
        <f>MAX(T61-U61-'Tax Assumptions'!$B$8,0)</f>
        <v/>
      </c>
      <c r="W61" s="184">
        <f>MAX(T61-U61-'Tax Assumptions'!$B$9,0)</f>
        <v/>
      </c>
      <c r="X61" s="184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/>
      </c>
      <c r="Y61" s="184">
        <f>T61-U61-X61</f>
        <v/>
      </c>
      <c r="Z61" s="184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/>
      </c>
      <c r="AA61" s="184">
        <f>Y61-Z61</f>
        <v/>
      </c>
      <c r="AB61" s="184">
        <f>MIN(MAX(AA61,0),'Tax Assumptions'!$B$20)</f>
        <v/>
      </c>
      <c r="AC61" s="184">
        <f>AA61-AB61</f>
        <v/>
      </c>
      <c r="AD61" s="184">
        <f>MAX(AD60*(1+'Model Inputs'!$B$13)+AC61,0)</f>
        <v/>
      </c>
      <c r="AE61" s="184">
        <f>MAX(AE60*(1+'Model Inputs'!$B$13)+U61+AB61,0)</f>
        <v/>
      </c>
      <c r="AF61" s="184">
        <f>AD61+AE61</f>
        <v/>
      </c>
      <c r="AG61" s="191">
        <f>IF(AND(AF61&gt;=$F$14,AF60&lt;$F$14),J61,"")</f>
        <v/>
      </c>
      <c r="AH61" s="191">
        <f>IF(AND(AF61&gt;=$F$15,AF60&lt;$F$15),J61,"")</f>
        <v/>
      </c>
      <c r="AI61" s="191">
        <f>IF(AND(AF61&gt;=$F$16,AF60&lt;$F$16),J61,"")</f>
        <v/>
      </c>
      <c r="AJ61" s="191">
        <f>IF(AND(AF61&gt;=$F$17,AF60&lt;$F$17),J61,"")</f>
        <v/>
      </c>
    </row>
    <row r="62" outlineLevel="1" ht="18" customHeight="1" s="326">
      <c r="A62" s="181">
        <f>$A$22</f>
        <v/>
      </c>
      <c r="B62" s="191">
        <f>$B$22</f>
        <v/>
      </c>
      <c r="C62" s="187">
        <f>$C$22</f>
        <v/>
      </c>
      <c r="D62" s="191">
        <f>$D$22</f>
        <v/>
      </c>
      <c r="E62" s="181">
        <f>$E$22</f>
        <v/>
      </c>
      <c r="F62" s="184">
        <f>$F$22</f>
        <v/>
      </c>
      <c r="G62" s="188">
        <f>$G$22</f>
        <v/>
      </c>
      <c r="H62" s="184">
        <f>$H$22</f>
        <v/>
      </c>
      <c r="I62" s="188">
        <f>$J$17</f>
        <v/>
      </c>
      <c r="J62" s="191" t="n">
        <v>12</v>
      </c>
      <c r="K62" s="191">
        <f>('Model Inputs'!$B$22-1)+J62</f>
        <v/>
      </c>
      <c r="L62" s="184">
        <f>IF(J62=1,'Model Inputs'!$B$25*(13-'Model Inputs'!$B$23)/12,'Model Inputs'!$B$25)</f>
        <v/>
      </c>
      <c r="M62" s="184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/>
      </c>
      <c r="N62" s="188">
        <f>IF(J62&lt;=2,0,'Model Inputs'!$B$32*SIN(2*PI()*(J62-3+'Model Inputs'!$B$34)/MAX(1,'Model Inputs'!$B$33)))</f>
        <v/>
      </c>
      <c r="O62" s="184">
        <f>M62*(1+N62)</f>
        <v/>
      </c>
      <c r="P62" s="184">
        <f>0.75*O61+0.25*O60</f>
        <v/>
      </c>
      <c r="Q62" s="184">
        <f>L62+P62+IF(J62=1,'Model Inputs'!$B$26,0)</f>
        <v/>
      </c>
      <c r="R62" s="184">
        <f>IF(J62&lt;=B62,Q62,IF(J62&lt;=B62+$J$18,L62,(SUMIFS($L$51:$L$350,$A$51:$A$350,$A62,$J$51:$J$350,$B62)+SUMIFS($O$51:$O$350,$A$51:$A$350,$A62,$J$51:$J$350,$B62))*C62))</f>
        <v/>
      </c>
      <c r="S62" s="184">
        <f>H62+F62*G62*(1+I62)^MAX(0,J62-MAX(D62,B62+$J$18+1))</f>
        <v/>
      </c>
      <c r="T62" s="184">
        <f>IF(J62&gt;=MAX(D62,B62+$J$18+1),S62,R62)</f>
        <v/>
      </c>
      <c r="U62" s="184">
        <f>MIN(T62,'Tax Assumptions'!$B$19)</f>
        <v/>
      </c>
      <c r="V62" s="184">
        <f>MAX(T62-U62-'Tax Assumptions'!$B$8,0)</f>
        <v/>
      </c>
      <c r="W62" s="184">
        <f>MAX(T62-U62-'Tax Assumptions'!$B$9,0)</f>
        <v/>
      </c>
      <c r="X62" s="184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/>
      </c>
      <c r="Y62" s="184">
        <f>T62-U62-X62</f>
        <v/>
      </c>
      <c r="Z62" s="184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/>
      </c>
      <c r="AA62" s="184">
        <f>Y62-Z62</f>
        <v/>
      </c>
      <c r="AB62" s="184">
        <f>MIN(MAX(AA62,0),'Tax Assumptions'!$B$20)</f>
        <v/>
      </c>
      <c r="AC62" s="184">
        <f>AA62-AB62</f>
        <v/>
      </c>
      <c r="AD62" s="184">
        <f>MAX(AD61*(1+'Model Inputs'!$B$13)+AC62,0)</f>
        <v/>
      </c>
      <c r="AE62" s="184">
        <f>MAX(AE61*(1+'Model Inputs'!$B$13)+U62+AB62,0)</f>
        <v/>
      </c>
      <c r="AF62" s="184">
        <f>AD62+AE62</f>
        <v/>
      </c>
      <c r="AG62" s="191">
        <f>IF(AND(AF62&gt;=$F$14,AF61&lt;$F$14),J62,"")</f>
        <v/>
      </c>
      <c r="AH62" s="191">
        <f>IF(AND(AF62&gt;=$F$15,AF61&lt;$F$15),J62,"")</f>
        <v/>
      </c>
      <c r="AI62" s="191">
        <f>IF(AND(AF62&gt;=$F$16,AF61&lt;$F$16),J62,"")</f>
        <v/>
      </c>
      <c r="AJ62" s="191">
        <f>IF(AND(AF62&gt;=$F$17,AF61&lt;$F$17),J62,"")</f>
        <v/>
      </c>
    </row>
    <row r="63" outlineLevel="1" ht="18" customHeight="1" s="326">
      <c r="A63" s="181">
        <f>$A$22</f>
        <v/>
      </c>
      <c r="B63" s="191">
        <f>$B$22</f>
        <v/>
      </c>
      <c r="C63" s="187">
        <f>$C$22</f>
        <v/>
      </c>
      <c r="D63" s="191">
        <f>$D$22</f>
        <v/>
      </c>
      <c r="E63" s="181">
        <f>$E$22</f>
        <v/>
      </c>
      <c r="F63" s="184">
        <f>$F$22</f>
        <v/>
      </c>
      <c r="G63" s="188">
        <f>$G$22</f>
        <v/>
      </c>
      <c r="H63" s="184">
        <f>$H$22</f>
        <v/>
      </c>
      <c r="I63" s="188">
        <f>$J$17</f>
        <v/>
      </c>
      <c r="J63" s="191" t="n">
        <v>13</v>
      </c>
      <c r="K63" s="191">
        <f>('Model Inputs'!$B$22-1)+J63</f>
        <v/>
      </c>
      <c r="L63" s="184">
        <f>IF(J63=1,'Model Inputs'!$B$25*(13-'Model Inputs'!$B$23)/12,'Model Inputs'!$B$25)</f>
        <v/>
      </c>
      <c r="M63" s="184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/>
      </c>
      <c r="N63" s="188">
        <f>IF(J63&lt;=2,0,'Model Inputs'!$B$32*SIN(2*PI()*(J63-3+'Model Inputs'!$B$34)/MAX(1,'Model Inputs'!$B$33)))</f>
        <v/>
      </c>
      <c r="O63" s="184">
        <f>M63*(1+N63)</f>
        <v/>
      </c>
      <c r="P63" s="184">
        <f>0.75*O62+0.25*O61</f>
        <v/>
      </c>
      <c r="Q63" s="184">
        <f>L63+P63+IF(J63=1,'Model Inputs'!$B$26,0)</f>
        <v/>
      </c>
      <c r="R63" s="184">
        <f>IF(J63&lt;=B63,Q63,IF(J63&lt;=B63+$J$18,L63,(SUMIFS($L$51:$L$350,$A$51:$A$350,$A63,$J$51:$J$350,$B63)+SUMIFS($O$51:$O$350,$A$51:$A$350,$A63,$J$51:$J$350,$B63))*C63))</f>
        <v/>
      </c>
      <c r="S63" s="184">
        <f>H63+F63*G63*(1+I63)^MAX(0,J63-MAX(D63,B63+$J$18+1))</f>
        <v/>
      </c>
      <c r="T63" s="184">
        <f>IF(J63&gt;=MAX(D63,B63+$J$18+1),S63,R63)</f>
        <v/>
      </c>
      <c r="U63" s="184">
        <f>MIN(T63,'Tax Assumptions'!$B$19)</f>
        <v/>
      </c>
      <c r="V63" s="184">
        <f>MAX(T63-U63-'Tax Assumptions'!$B$8,0)</f>
        <v/>
      </c>
      <c r="W63" s="184">
        <f>MAX(T63-U63-'Tax Assumptions'!$B$9,0)</f>
        <v/>
      </c>
      <c r="X63" s="184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/>
      </c>
      <c r="Y63" s="184">
        <f>T63-U63-X63</f>
        <v/>
      </c>
      <c r="Z63" s="184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/>
      </c>
      <c r="AA63" s="184">
        <f>Y63-Z63</f>
        <v/>
      </c>
      <c r="AB63" s="184">
        <f>MIN(MAX(AA63,0),'Tax Assumptions'!$B$20)</f>
        <v/>
      </c>
      <c r="AC63" s="184">
        <f>AA63-AB63</f>
        <v/>
      </c>
      <c r="AD63" s="184">
        <f>MAX(AD62*(1+'Model Inputs'!$B$13)+AC63,0)</f>
        <v/>
      </c>
      <c r="AE63" s="184">
        <f>MAX(AE62*(1+'Model Inputs'!$B$13)+U63+AB63,0)</f>
        <v/>
      </c>
      <c r="AF63" s="184">
        <f>AD63+AE63</f>
        <v/>
      </c>
      <c r="AG63" s="191">
        <f>IF(AND(AF63&gt;=$F$14,AF62&lt;$F$14),J63,"")</f>
        <v/>
      </c>
      <c r="AH63" s="191">
        <f>IF(AND(AF63&gt;=$F$15,AF62&lt;$F$15),J63,"")</f>
        <v/>
      </c>
      <c r="AI63" s="191">
        <f>IF(AND(AF63&gt;=$F$16,AF62&lt;$F$16),J63,"")</f>
        <v/>
      </c>
      <c r="AJ63" s="191">
        <f>IF(AND(AF63&gt;=$F$17,AF62&lt;$F$17),J63,"")</f>
        <v/>
      </c>
    </row>
    <row r="64" outlineLevel="1" ht="18" customHeight="1" s="326">
      <c r="A64" s="181">
        <f>$A$22</f>
        <v/>
      </c>
      <c r="B64" s="191">
        <f>$B$22</f>
        <v/>
      </c>
      <c r="C64" s="187">
        <f>$C$22</f>
        <v/>
      </c>
      <c r="D64" s="191">
        <f>$D$22</f>
        <v/>
      </c>
      <c r="E64" s="181">
        <f>$E$22</f>
        <v/>
      </c>
      <c r="F64" s="184">
        <f>$F$22</f>
        <v/>
      </c>
      <c r="G64" s="188">
        <f>$G$22</f>
        <v/>
      </c>
      <c r="H64" s="184">
        <f>$H$22</f>
        <v/>
      </c>
      <c r="I64" s="188">
        <f>$J$17</f>
        <v/>
      </c>
      <c r="J64" s="191" t="n">
        <v>14</v>
      </c>
      <c r="K64" s="191">
        <f>('Model Inputs'!$B$22-1)+J64</f>
        <v/>
      </c>
      <c r="L64" s="184">
        <f>IF(J64=1,'Model Inputs'!$B$25*(13-'Model Inputs'!$B$23)/12,'Model Inputs'!$B$25)</f>
        <v/>
      </c>
      <c r="M64" s="184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/>
      </c>
      <c r="N64" s="188">
        <f>IF(J64&lt;=2,0,'Model Inputs'!$B$32*SIN(2*PI()*(J64-3+'Model Inputs'!$B$34)/MAX(1,'Model Inputs'!$B$33)))</f>
        <v/>
      </c>
      <c r="O64" s="184">
        <f>M64*(1+N64)</f>
        <v/>
      </c>
      <c r="P64" s="184">
        <f>0.75*O63+0.25*O62</f>
        <v/>
      </c>
      <c r="Q64" s="184">
        <f>L64+P64+IF(J64=1,'Model Inputs'!$B$26,0)</f>
        <v/>
      </c>
      <c r="R64" s="184">
        <f>IF(J64&lt;=B64,Q64,IF(J64&lt;=B64+$J$18,L64,(SUMIFS($L$51:$L$350,$A$51:$A$350,$A64,$J$51:$J$350,$B64)+SUMIFS($O$51:$O$350,$A$51:$A$350,$A64,$J$51:$J$350,$B64))*C64))</f>
        <v/>
      </c>
      <c r="S64" s="184">
        <f>H64+F64*G64*(1+I64)^MAX(0,J64-MAX(D64,B64+$J$18+1))</f>
        <v/>
      </c>
      <c r="T64" s="184">
        <f>IF(J64&gt;=MAX(D64,B64+$J$18+1),S64,R64)</f>
        <v/>
      </c>
      <c r="U64" s="184">
        <f>MIN(T64,'Tax Assumptions'!$B$19)</f>
        <v/>
      </c>
      <c r="V64" s="184">
        <f>MAX(T64-U64-'Tax Assumptions'!$B$8,0)</f>
        <v/>
      </c>
      <c r="W64" s="184">
        <f>MAX(T64-U64-'Tax Assumptions'!$B$9,0)</f>
        <v/>
      </c>
      <c r="X64" s="184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/>
      </c>
      <c r="Y64" s="184">
        <f>T64-U64-X64</f>
        <v/>
      </c>
      <c r="Z64" s="184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/>
      </c>
      <c r="AA64" s="184">
        <f>Y64-Z64</f>
        <v/>
      </c>
      <c r="AB64" s="184">
        <f>MIN(MAX(AA64,0),'Tax Assumptions'!$B$20)</f>
        <v/>
      </c>
      <c r="AC64" s="184">
        <f>AA64-AB64</f>
        <v/>
      </c>
      <c r="AD64" s="184">
        <f>MAX(AD63*(1+'Model Inputs'!$B$13)+AC64,0)</f>
        <v/>
      </c>
      <c r="AE64" s="184">
        <f>MAX(AE63*(1+'Model Inputs'!$B$13)+U64+AB64,0)</f>
        <v/>
      </c>
      <c r="AF64" s="184">
        <f>AD64+AE64</f>
        <v/>
      </c>
      <c r="AG64" s="191">
        <f>IF(AND(AF64&gt;=$F$14,AF63&lt;$F$14),J64,"")</f>
        <v/>
      </c>
      <c r="AH64" s="191">
        <f>IF(AND(AF64&gt;=$F$15,AF63&lt;$F$15),J64,"")</f>
        <v/>
      </c>
      <c r="AI64" s="191">
        <f>IF(AND(AF64&gt;=$F$16,AF63&lt;$F$16),J64,"")</f>
        <v/>
      </c>
      <c r="AJ64" s="191">
        <f>IF(AND(AF64&gt;=$F$17,AF63&lt;$F$17),J64,"")</f>
        <v/>
      </c>
    </row>
    <row r="65" outlineLevel="1" ht="18" customHeight="1" s="326">
      <c r="A65" s="181">
        <f>$A$22</f>
        <v/>
      </c>
      <c r="B65" s="191">
        <f>$B$22</f>
        <v/>
      </c>
      <c r="C65" s="187">
        <f>$C$22</f>
        <v/>
      </c>
      <c r="D65" s="191">
        <f>$D$22</f>
        <v/>
      </c>
      <c r="E65" s="181">
        <f>$E$22</f>
        <v/>
      </c>
      <c r="F65" s="184">
        <f>$F$22</f>
        <v/>
      </c>
      <c r="G65" s="188">
        <f>$G$22</f>
        <v/>
      </c>
      <c r="H65" s="184">
        <f>$H$22</f>
        <v/>
      </c>
      <c r="I65" s="188">
        <f>$J$17</f>
        <v/>
      </c>
      <c r="J65" s="191" t="n">
        <v>15</v>
      </c>
      <c r="K65" s="191">
        <f>('Model Inputs'!$B$22-1)+J65</f>
        <v/>
      </c>
      <c r="L65" s="184">
        <f>IF(J65=1,'Model Inputs'!$B$25*(13-'Model Inputs'!$B$23)/12,'Model Inputs'!$B$25)</f>
        <v/>
      </c>
      <c r="M65" s="184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/>
      </c>
      <c r="N65" s="188">
        <f>IF(J65&lt;=2,0,'Model Inputs'!$B$32*SIN(2*PI()*(J65-3+'Model Inputs'!$B$34)/MAX(1,'Model Inputs'!$B$33)))</f>
        <v/>
      </c>
      <c r="O65" s="184">
        <f>M65*(1+N65)</f>
        <v/>
      </c>
      <c r="P65" s="184">
        <f>0.75*O64+0.25*O63</f>
        <v/>
      </c>
      <c r="Q65" s="184">
        <f>L65+P65+IF(J65=1,'Model Inputs'!$B$26,0)</f>
        <v/>
      </c>
      <c r="R65" s="184">
        <f>IF(J65&lt;=B65,Q65,IF(J65&lt;=B65+$J$18,L65,(SUMIFS($L$51:$L$350,$A$51:$A$350,$A65,$J$51:$J$350,$B65)+SUMIFS($O$51:$O$350,$A$51:$A$350,$A65,$J$51:$J$350,$B65))*C65))</f>
        <v/>
      </c>
      <c r="S65" s="184">
        <f>H65+F65*G65*(1+I65)^MAX(0,J65-MAX(D65,B65+$J$18+1))</f>
        <v/>
      </c>
      <c r="T65" s="184">
        <f>IF(J65&gt;=MAX(D65,B65+$J$18+1),S65,R65)</f>
        <v/>
      </c>
      <c r="U65" s="184">
        <f>MIN(T65,'Tax Assumptions'!$B$19)</f>
        <v/>
      </c>
      <c r="V65" s="184">
        <f>MAX(T65-U65-'Tax Assumptions'!$B$8,0)</f>
        <v/>
      </c>
      <c r="W65" s="184">
        <f>MAX(T65-U65-'Tax Assumptions'!$B$9,0)</f>
        <v/>
      </c>
      <c r="X65" s="184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/>
      </c>
      <c r="Y65" s="184">
        <f>T65-U65-X65</f>
        <v/>
      </c>
      <c r="Z65" s="184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/>
      </c>
      <c r="AA65" s="184">
        <f>Y65-Z65</f>
        <v/>
      </c>
      <c r="AB65" s="184">
        <f>MIN(MAX(AA65,0),'Tax Assumptions'!$B$20)</f>
        <v/>
      </c>
      <c r="AC65" s="184">
        <f>AA65-AB65</f>
        <v/>
      </c>
      <c r="AD65" s="184">
        <f>MAX(AD64*(1+'Model Inputs'!$B$13)+AC65,0)</f>
        <v/>
      </c>
      <c r="AE65" s="184">
        <f>MAX(AE64*(1+'Model Inputs'!$B$13)+U65+AB65,0)</f>
        <v/>
      </c>
      <c r="AF65" s="184">
        <f>AD65+AE65</f>
        <v/>
      </c>
      <c r="AG65" s="191">
        <f>IF(AND(AF65&gt;=$F$14,AF64&lt;$F$14),J65,"")</f>
        <v/>
      </c>
      <c r="AH65" s="191">
        <f>IF(AND(AF65&gt;=$F$15,AF64&lt;$F$15),J65,"")</f>
        <v/>
      </c>
      <c r="AI65" s="191">
        <f>IF(AND(AF65&gt;=$F$16,AF64&lt;$F$16),J65,"")</f>
        <v/>
      </c>
      <c r="AJ65" s="191">
        <f>IF(AND(AF65&gt;=$F$17,AF64&lt;$F$17),J65,"")</f>
        <v/>
      </c>
    </row>
    <row r="66" outlineLevel="1" ht="18" customHeight="1" s="326">
      <c r="A66" s="181">
        <f>$A$23</f>
        <v/>
      </c>
      <c r="B66" s="191">
        <f>$B$23</f>
        <v/>
      </c>
      <c r="C66" s="187">
        <f>$C$23</f>
        <v/>
      </c>
      <c r="D66" s="191">
        <f>$D$23</f>
        <v/>
      </c>
      <c r="E66" s="181">
        <f>$E$23</f>
        <v/>
      </c>
      <c r="F66" s="184">
        <f>$F$23</f>
        <v/>
      </c>
      <c r="G66" s="188">
        <f>$G$23</f>
        <v/>
      </c>
      <c r="H66" s="184">
        <f>$H$23</f>
        <v/>
      </c>
      <c r="I66" s="188">
        <f>$J$17</f>
        <v/>
      </c>
      <c r="J66" s="191" t="n">
        <v>1</v>
      </c>
      <c r="K66" s="191">
        <f>('Model Inputs'!$B$22-1)+J66</f>
        <v/>
      </c>
      <c r="L66" s="184">
        <f>IF(J66=1,'Model Inputs'!$B$25*(13-'Model Inputs'!$B$23)/12,'Model Inputs'!$B$25)</f>
        <v/>
      </c>
      <c r="M66" s="184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/>
      </c>
      <c r="N66" s="188">
        <f>IF(J66&lt;=2,0,'Model Inputs'!$B$32*SIN(2*PI()*(J66-3+'Model Inputs'!$B$34)/MAX(1,'Model Inputs'!$B$33)))</f>
        <v/>
      </c>
      <c r="O66" s="184">
        <f>M66*(1+N66)</f>
        <v/>
      </c>
      <c r="P66" s="184">
        <f>0</f>
        <v/>
      </c>
      <c r="Q66" s="184">
        <f>L66+P66+IF(J66=1,'Model Inputs'!$B$26,0)</f>
        <v/>
      </c>
      <c r="R66" s="184">
        <f>IF(J66&lt;=B66,Q66,IF(J66&lt;=B66+$J$18,L66,(SUMIFS($L$51:$L$350,$A$51:$A$350,$A66,$J$51:$J$350,$B66)+SUMIFS($O$51:$O$350,$A$51:$A$350,$A66,$J$51:$J$350,$B66))*C66))</f>
        <v/>
      </c>
      <c r="S66" s="184">
        <f>H66+F66*G66*(1+I66)^MAX(0,J66-MAX(D66,B66+$J$18+1))</f>
        <v/>
      </c>
      <c r="T66" s="184">
        <f>IF(J66&gt;=MAX(D66,B66+$J$18+1),S66,R66)</f>
        <v/>
      </c>
      <c r="U66" s="184">
        <f>MIN(T66,'Tax Assumptions'!$B$19)</f>
        <v/>
      </c>
      <c r="V66" s="184">
        <f>MAX(T66-U66-'Tax Assumptions'!$B$8,0)</f>
        <v/>
      </c>
      <c r="W66" s="184">
        <f>MAX(T66-U66-'Tax Assumptions'!$B$9,0)</f>
        <v/>
      </c>
      <c r="X66" s="184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/>
      </c>
      <c r="Y66" s="184">
        <f>T66-U66-X66</f>
        <v/>
      </c>
      <c r="Z66" s="184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/>
      </c>
      <c r="AA66" s="184">
        <f>Y66-Z66</f>
        <v/>
      </c>
      <c r="AB66" s="184">
        <f>MIN(MAX(AA66,0),'Tax Assumptions'!$B$20)</f>
        <v/>
      </c>
      <c r="AC66" s="184">
        <f>AA66-AB66</f>
        <v/>
      </c>
      <c r="AD66" s="184">
        <f>MAX('Model Inputs'!$B$7*(1+'Model Inputs'!$B$13)+AC66,0)</f>
        <v/>
      </c>
      <c r="AE66" s="184">
        <f>MAX(('Model Inputs'!$B$8+'Model Inputs'!$B$9+'Model Inputs'!$B$10)*(1+'Model Inputs'!$B$13)+U66+AB66,0)</f>
        <v/>
      </c>
      <c r="AF66" s="184">
        <f>AD66+AE66</f>
        <v/>
      </c>
      <c r="AG66" s="191">
        <f>IF(AND(AF66&gt;=$F$14,0&lt;$F$14),J66,"")</f>
        <v/>
      </c>
      <c r="AH66" s="191">
        <f>IF(AND(AF66&gt;=$F$15,0&lt;$F$15),J66,"")</f>
        <v/>
      </c>
      <c r="AI66" s="191">
        <f>IF(AND(AF66&gt;=$F$16,0&lt;$F$16),J66,"")</f>
        <v/>
      </c>
      <c r="AJ66" s="191">
        <f>IF(AND(AF66&gt;=$F$17,0&lt;$F$17),J66,"")</f>
        <v/>
      </c>
    </row>
    <row r="67" outlineLevel="1" ht="18" customHeight="1" s="326">
      <c r="A67" s="181">
        <f>$A$23</f>
        <v/>
      </c>
      <c r="B67" s="191">
        <f>$B$23</f>
        <v/>
      </c>
      <c r="C67" s="187">
        <f>$C$23</f>
        <v/>
      </c>
      <c r="D67" s="191">
        <f>$D$23</f>
        <v/>
      </c>
      <c r="E67" s="181">
        <f>$E$23</f>
        <v/>
      </c>
      <c r="F67" s="184">
        <f>$F$23</f>
        <v/>
      </c>
      <c r="G67" s="188">
        <f>$G$23</f>
        <v/>
      </c>
      <c r="H67" s="184">
        <f>$H$23</f>
        <v/>
      </c>
      <c r="I67" s="188">
        <f>$J$17</f>
        <v/>
      </c>
      <c r="J67" s="191" t="n">
        <v>2</v>
      </c>
      <c r="K67" s="191">
        <f>('Model Inputs'!$B$22-1)+J67</f>
        <v/>
      </c>
      <c r="L67" s="184">
        <f>IF(J67=1,'Model Inputs'!$B$25*(13-'Model Inputs'!$B$23)/12,'Model Inputs'!$B$25)</f>
        <v/>
      </c>
      <c r="M67" s="184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/>
      </c>
      <c r="N67" s="188">
        <f>IF(J67&lt;=2,0,'Model Inputs'!$B$32*SIN(2*PI()*(J67-3+'Model Inputs'!$B$34)/MAX(1,'Model Inputs'!$B$33)))</f>
        <v/>
      </c>
      <c r="O67" s="184">
        <f>M67*(1+N67)</f>
        <v/>
      </c>
      <c r="P67" s="184">
        <f>0.75*O66</f>
        <v/>
      </c>
      <c r="Q67" s="184">
        <f>L67+P67+IF(J67=1,'Model Inputs'!$B$26,0)</f>
        <v/>
      </c>
      <c r="R67" s="184">
        <f>IF(J67&lt;=B67,Q67,IF(J67&lt;=B67+$J$18,L67,(SUMIFS($L$51:$L$350,$A$51:$A$350,$A67,$J$51:$J$350,$B67)+SUMIFS($O$51:$O$350,$A$51:$A$350,$A67,$J$51:$J$350,$B67))*C67))</f>
        <v/>
      </c>
      <c r="S67" s="184">
        <f>H67+F67*G67*(1+I67)^MAX(0,J67-MAX(D67,B67+$J$18+1))</f>
        <v/>
      </c>
      <c r="T67" s="184">
        <f>IF(J67&gt;=MAX(D67,B67+$J$18+1),S67,R67)</f>
        <v/>
      </c>
      <c r="U67" s="184">
        <f>MIN(T67,'Tax Assumptions'!$B$19)</f>
        <v/>
      </c>
      <c r="V67" s="184">
        <f>MAX(T67-U67-'Tax Assumptions'!$B$8,0)</f>
        <v/>
      </c>
      <c r="W67" s="184">
        <f>MAX(T67-U67-'Tax Assumptions'!$B$9,0)</f>
        <v/>
      </c>
      <c r="X67" s="184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/>
      </c>
      <c r="Y67" s="184">
        <f>T67-U67-X67</f>
        <v/>
      </c>
      <c r="Z67" s="184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/>
      </c>
      <c r="AA67" s="184">
        <f>Y67-Z67</f>
        <v/>
      </c>
      <c r="AB67" s="184">
        <f>MIN(MAX(AA67,0),'Tax Assumptions'!$B$20)</f>
        <v/>
      </c>
      <c r="AC67" s="184">
        <f>AA67-AB67</f>
        <v/>
      </c>
      <c r="AD67" s="184">
        <f>MAX(AD66*(1+'Model Inputs'!$B$13)+AC67,0)</f>
        <v/>
      </c>
      <c r="AE67" s="184">
        <f>MAX(AE66*(1+'Model Inputs'!$B$13)+U67+AB67,0)</f>
        <v/>
      </c>
      <c r="AF67" s="184">
        <f>AD67+AE67</f>
        <v/>
      </c>
      <c r="AG67" s="191">
        <f>IF(AND(AF67&gt;=$F$14,AF66&lt;$F$14),J67,"")</f>
        <v/>
      </c>
      <c r="AH67" s="191">
        <f>IF(AND(AF67&gt;=$F$15,AF66&lt;$F$15),J67,"")</f>
        <v/>
      </c>
      <c r="AI67" s="191">
        <f>IF(AND(AF67&gt;=$F$16,AF66&lt;$F$16),J67,"")</f>
        <v/>
      </c>
      <c r="AJ67" s="191">
        <f>IF(AND(AF67&gt;=$F$17,AF66&lt;$F$17),J67,"")</f>
        <v/>
      </c>
    </row>
    <row r="68" outlineLevel="1" ht="18" customHeight="1" s="326">
      <c r="A68" s="181">
        <f>$A$23</f>
        <v/>
      </c>
      <c r="B68" s="191">
        <f>$B$23</f>
        <v/>
      </c>
      <c r="C68" s="187">
        <f>$C$23</f>
        <v/>
      </c>
      <c r="D68" s="191">
        <f>$D$23</f>
        <v/>
      </c>
      <c r="E68" s="181">
        <f>$E$23</f>
        <v/>
      </c>
      <c r="F68" s="184">
        <f>$F$23</f>
        <v/>
      </c>
      <c r="G68" s="188">
        <f>$G$23</f>
        <v/>
      </c>
      <c r="H68" s="184">
        <f>$H$23</f>
        <v/>
      </c>
      <c r="I68" s="188">
        <f>$J$17</f>
        <v/>
      </c>
      <c r="J68" s="191" t="n">
        <v>3</v>
      </c>
      <c r="K68" s="191">
        <f>('Model Inputs'!$B$22-1)+J68</f>
        <v/>
      </c>
      <c r="L68" s="184">
        <f>IF(J68=1,'Model Inputs'!$B$25*(13-'Model Inputs'!$B$23)/12,'Model Inputs'!$B$25)</f>
        <v/>
      </c>
      <c r="M68" s="184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/>
      </c>
      <c r="N68" s="188">
        <f>IF(J68&lt;=2,0,'Model Inputs'!$B$32*SIN(2*PI()*(J68-3+'Model Inputs'!$B$34)/MAX(1,'Model Inputs'!$B$33)))</f>
        <v/>
      </c>
      <c r="O68" s="184">
        <f>M68*(1+N68)</f>
        <v/>
      </c>
      <c r="P68" s="184">
        <f>0.75*O67+0.25*O66</f>
        <v/>
      </c>
      <c r="Q68" s="184">
        <f>L68+P68+IF(J68=1,'Model Inputs'!$B$26,0)</f>
        <v/>
      </c>
      <c r="R68" s="184">
        <f>IF(J68&lt;=B68,Q68,IF(J68&lt;=B68+$J$18,L68,(SUMIFS($L$51:$L$350,$A$51:$A$350,$A68,$J$51:$J$350,$B68)+SUMIFS($O$51:$O$350,$A$51:$A$350,$A68,$J$51:$J$350,$B68))*C68))</f>
        <v/>
      </c>
      <c r="S68" s="184">
        <f>H68+F68*G68*(1+I68)^MAX(0,J68-MAX(D68,B68+$J$18+1))</f>
        <v/>
      </c>
      <c r="T68" s="184">
        <f>IF(J68&gt;=MAX(D68,B68+$J$18+1),S68,R68)</f>
        <v/>
      </c>
      <c r="U68" s="184">
        <f>MIN(T68,'Tax Assumptions'!$B$19)</f>
        <v/>
      </c>
      <c r="V68" s="184">
        <f>MAX(T68-U68-'Tax Assumptions'!$B$8,0)</f>
        <v/>
      </c>
      <c r="W68" s="184">
        <f>MAX(T68-U68-'Tax Assumptions'!$B$9,0)</f>
        <v/>
      </c>
      <c r="X68" s="184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/>
      </c>
      <c r="Y68" s="184">
        <f>T68-U68-X68</f>
        <v/>
      </c>
      <c r="Z68" s="184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/>
      </c>
      <c r="AA68" s="184">
        <f>Y68-Z68</f>
        <v/>
      </c>
      <c r="AB68" s="184">
        <f>MIN(MAX(AA68,0),'Tax Assumptions'!$B$20)</f>
        <v/>
      </c>
      <c r="AC68" s="184">
        <f>AA68-AB68</f>
        <v/>
      </c>
      <c r="AD68" s="184">
        <f>MAX(AD67*(1+'Model Inputs'!$B$13)+AC68,0)</f>
        <v/>
      </c>
      <c r="AE68" s="184">
        <f>MAX(AE67*(1+'Model Inputs'!$B$13)+U68+AB68,0)</f>
        <v/>
      </c>
      <c r="AF68" s="184">
        <f>AD68+AE68</f>
        <v/>
      </c>
      <c r="AG68" s="191">
        <f>IF(AND(AF68&gt;=$F$14,AF67&lt;$F$14),J68,"")</f>
        <v/>
      </c>
      <c r="AH68" s="191">
        <f>IF(AND(AF68&gt;=$F$15,AF67&lt;$F$15),J68,"")</f>
        <v/>
      </c>
      <c r="AI68" s="191">
        <f>IF(AND(AF68&gt;=$F$16,AF67&lt;$F$16),J68,"")</f>
        <v/>
      </c>
      <c r="AJ68" s="191">
        <f>IF(AND(AF68&gt;=$F$17,AF67&lt;$F$17),J68,"")</f>
        <v/>
      </c>
    </row>
    <row r="69" outlineLevel="1" ht="18" customHeight="1" s="326">
      <c r="A69" s="181">
        <f>$A$23</f>
        <v/>
      </c>
      <c r="B69" s="191">
        <f>$B$23</f>
        <v/>
      </c>
      <c r="C69" s="187">
        <f>$C$23</f>
        <v/>
      </c>
      <c r="D69" s="191">
        <f>$D$23</f>
        <v/>
      </c>
      <c r="E69" s="181">
        <f>$E$23</f>
        <v/>
      </c>
      <c r="F69" s="184">
        <f>$F$23</f>
        <v/>
      </c>
      <c r="G69" s="188">
        <f>$G$23</f>
        <v/>
      </c>
      <c r="H69" s="184">
        <f>$H$23</f>
        <v/>
      </c>
      <c r="I69" s="188">
        <f>$J$17</f>
        <v/>
      </c>
      <c r="J69" s="191" t="n">
        <v>4</v>
      </c>
      <c r="K69" s="191">
        <f>('Model Inputs'!$B$22-1)+J69</f>
        <v/>
      </c>
      <c r="L69" s="184">
        <f>IF(J69=1,'Model Inputs'!$B$25*(13-'Model Inputs'!$B$23)/12,'Model Inputs'!$B$25)</f>
        <v/>
      </c>
      <c r="M69" s="184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/>
      </c>
      <c r="N69" s="188">
        <f>IF(J69&lt;=2,0,'Model Inputs'!$B$32*SIN(2*PI()*(J69-3+'Model Inputs'!$B$34)/MAX(1,'Model Inputs'!$B$33)))</f>
        <v/>
      </c>
      <c r="O69" s="184">
        <f>M69*(1+N69)</f>
        <v/>
      </c>
      <c r="P69" s="184">
        <f>0.75*O68+0.25*O67</f>
        <v/>
      </c>
      <c r="Q69" s="184">
        <f>L69+P69+IF(J69=1,'Model Inputs'!$B$26,0)</f>
        <v/>
      </c>
      <c r="R69" s="184">
        <f>IF(J69&lt;=B69,Q69,IF(J69&lt;=B69+$J$18,L69,(SUMIFS($L$51:$L$350,$A$51:$A$350,$A69,$J$51:$J$350,$B69)+SUMIFS($O$51:$O$350,$A$51:$A$350,$A69,$J$51:$J$350,$B69))*C69))</f>
        <v/>
      </c>
      <c r="S69" s="184">
        <f>H69+F69*G69*(1+I69)^MAX(0,J69-MAX(D69,B69+$J$18+1))</f>
        <v/>
      </c>
      <c r="T69" s="184">
        <f>IF(J69&gt;=MAX(D69,B69+$J$18+1),S69,R69)</f>
        <v/>
      </c>
      <c r="U69" s="184">
        <f>MIN(T69,'Tax Assumptions'!$B$19)</f>
        <v/>
      </c>
      <c r="V69" s="184">
        <f>MAX(T69-U69-'Tax Assumptions'!$B$8,0)</f>
        <v/>
      </c>
      <c r="W69" s="184">
        <f>MAX(T69-U69-'Tax Assumptions'!$B$9,0)</f>
        <v/>
      </c>
      <c r="X69" s="184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/>
      </c>
      <c r="Y69" s="184">
        <f>T69-U69-X69</f>
        <v/>
      </c>
      <c r="Z69" s="184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/>
      </c>
      <c r="AA69" s="184">
        <f>Y69-Z69</f>
        <v/>
      </c>
      <c r="AB69" s="184">
        <f>MIN(MAX(AA69,0),'Tax Assumptions'!$B$20)</f>
        <v/>
      </c>
      <c r="AC69" s="184">
        <f>AA69-AB69</f>
        <v/>
      </c>
      <c r="AD69" s="184">
        <f>MAX(AD68*(1+'Model Inputs'!$B$13)+AC69,0)</f>
        <v/>
      </c>
      <c r="AE69" s="184">
        <f>MAX(AE68*(1+'Model Inputs'!$B$13)+U69+AB69,0)</f>
        <v/>
      </c>
      <c r="AF69" s="184">
        <f>AD69+AE69</f>
        <v/>
      </c>
      <c r="AG69" s="191">
        <f>IF(AND(AF69&gt;=$F$14,AF68&lt;$F$14),J69,"")</f>
        <v/>
      </c>
      <c r="AH69" s="191">
        <f>IF(AND(AF69&gt;=$F$15,AF68&lt;$F$15),J69,"")</f>
        <v/>
      </c>
      <c r="AI69" s="191">
        <f>IF(AND(AF69&gt;=$F$16,AF68&lt;$F$16),J69,"")</f>
        <v/>
      </c>
      <c r="AJ69" s="191">
        <f>IF(AND(AF69&gt;=$F$17,AF68&lt;$F$17),J69,"")</f>
        <v/>
      </c>
    </row>
    <row r="70" outlineLevel="1" ht="18" customHeight="1" s="326">
      <c r="A70" s="181">
        <f>$A$23</f>
        <v/>
      </c>
      <c r="B70" s="191">
        <f>$B$23</f>
        <v/>
      </c>
      <c r="C70" s="187">
        <f>$C$23</f>
        <v/>
      </c>
      <c r="D70" s="191">
        <f>$D$23</f>
        <v/>
      </c>
      <c r="E70" s="181">
        <f>$E$23</f>
        <v/>
      </c>
      <c r="F70" s="184">
        <f>$F$23</f>
        <v/>
      </c>
      <c r="G70" s="188">
        <f>$G$23</f>
        <v/>
      </c>
      <c r="H70" s="184">
        <f>$H$23</f>
        <v/>
      </c>
      <c r="I70" s="188">
        <f>$J$17</f>
        <v/>
      </c>
      <c r="J70" s="191" t="n">
        <v>5</v>
      </c>
      <c r="K70" s="191">
        <f>('Model Inputs'!$B$22-1)+J70</f>
        <v/>
      </c>
      <c r="L70" s="184">
        <f>IF(J70=1,'Model Inputs'!$B$25*(13-'Model Inputs'!$B$23)/12,'Model Inputs'!$B$25)</f>
        <v/>
      </c>
      <c r="M70" s="184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/>
      </c>
      <c r="N70" s="188">
        <f>IF(J70&lt;=2,0,'Model Inputs'!$B$32*SIN(2*PI()*(J70-3+'Model Inputs'!$B$34)/MAX(1,'Model Inputs'!$B$33)))</f>
        <v/>
      </c>
      <c r="O70" s="184">
        <f>M70*(1+N70)</f>
        <v/>
      </c>
      <c r="P70" s="184">
        <f>0.75*O69+0.25*O68</f>
        <v/>
      </c>
      <c r="Q70" s="184">
        <f>L70+P70+IF(J70=1,'Model Inputs'!$B$26,0)</f>
        <v/>
      </c>
      <c r="R70" s="184">
        <f>IF(J70&lt;=B70,Q70,IF(J70&lt;=B70+$J$18,L70,(SUMIFS($L$51:$L$350,$A$51:$A$350,$A70,$J$51:$J$350,$B70)+SUMIFS($O$51:$O$350,$A$51:$A$350,$A70,$J$51:$J$350,$B70))*C70))</f>
        <v/>
      </c>
      <c r="S70" s="184">
        <f>H70+F70*G70*(1+I70)^MAX(0,J70-MAX(D70,B70+$J$18+1))</f>
        <v/>
      </c>
      <c r="T70" s="184">
        <f>IF(J70&gt;=MAX(D70,B70+$J$18+1),S70,R70)</f>
        <v/>
      </c>
      <c r="U70" s="184">
        <f>MIN(T70,'Tax Assumptions'!$B$19)</f>
        <v/>
      </c>
      <c r="V70" s="184">
        <f>MAX(T70-U70-'Tax Assumptions'!$B$8,0)</f>
        <v/>
      </c>
      <c r="W70" s="184">
        <f>MAX(T70-U70-'Tax Assumptions'!$B$9,0)</f>
        <v/>
      </c>
      <c r="X70" s="184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/>
      </c>
      <c r="Y70" s="184">
        <f>T70-U70-X70</f>
        <v/>
      </c>
      <c r="Z70" s="184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/>
      </c>
      <c r="AA70" s="184">
        <f>Y70-Z70</f>
        <v/>
      </c>
      <c r="AB70" s="184">
        <f>MIN(MAX(AA70,0),'Tax Assumptions'!$B$20)</f>
        <v/>
      </c>
      <c r="AC70" s="184">
        <f>AA70-AB70</f>
        <v/>
      </c>
      <c r="AD70" s="184">
        <f>MAX(AD69*(1+'Model Inputs'!$B$13)+AC70,0)</f>
        <v/>
      </c>
      <c r="AE70" s="184">
        <f>MAX(AE69*(1+'Model Inputs'!$B$13)+U70+AB70,0)</f>
        <v/>
      </c>
      <c r="AF70" s="184">
        <f>AD70+AE70</f>
        <v/>
      </c>
      <c r="AG70" s="191">
        <f>IF(AND(AF70&gt;=$F$14,AF69&lt;$F$14),J70,"")</f>
        <v/>
      </c>
      <c r="AH70" s="191">
        <f>IF(AND(AF70&gt;=$F$15,AF69&lt;$F$15),J70,"")</f>
        <v/>
      </c>
      <c r="AI70" s="191">
        <f>IF(AND(AF70&gt;=$F$16,AF69&lt;$F$16),J70,"")</f>
        <v/>
      </c>
      <c r="AJ70" s="191">
        <f>IF(AND(AF70&gt;=$F$17,AF69&lt;$F$17),J70,"")</f>
        <v/>
      </c>
    </row>
    <row r="71" outlineLevel="1" ht="18" customHeight="1" s="326">
      <c r="A71" s="181">
        <f>$A$23</f>
        <v/>
      </c>
      <c r="B71" s="191">
        <f>$B$23</f>
        <v/>
      </c>
      <c r="C71" s="187">
        <f>$C$23</f>
        <v/>
      </c>
      <c r="D71" s="191">
        <f>$D$23</f>
        <v/>
      </c>
      <c r="E71" s="181">
        <f>$E$23</f>
        <v/>
      </c>
      <c r="F71" s="184">
        <f>$F$23</f>
        <v/>
      </c>
      <c r="G71" s="188">
        <f>$G$23</f>
        <v/>
      </c>
      <c r="H71" s="184">
        <f>$H$23</f>
        <v/>
      </c>
      <c r="I71" s="188">
        <f>$J$17</f>
        <v/>
      </c>
      <c r="J71" s="191" t="n">
        <v>6</v>
      </c>
      <c r="K71" s="191">
        <f>('Model Inputs'!$B$22-1)+J71</f>
        <v/>
      </c>
      <c r="L71" s="184">
        <f>IF(J71=1,'Model Inputs'!$B$25*(13-'Model Inputs'!$B$23)/12,'Model Inputs'!$B$25)</f>
        <v/>
      </c>
      <c r="M71" s="184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/>
      </c>
      <c r="N71" s="188">
        <f>IF(J71&lt;=2,0,'Model Inputs'!$B$32*SIN(2*PI()*(J71-3+'Model Inputs'!$B$34)/MAX(1,'Model Inputs'!$B$33)))</f>
        <v/>
      </c>
      <c r="O71" s="184">
        <f>M71*(1+N71)</f>
        <v/>
      </c>
      <c r="P71" s="184">
        <f>0.75*O70+0.25*O69</f>
        <v/>
      </c>
      <c r="Q71" s="184">
        <f>L71+P71+IF(J71=1,'Model Inputs'!$B$26,0)</f>
        <v/>
      </c>
      <c r="R71" s="184">
        <f>IF(J71&lt;=B71,Q71,IF(J71&lt;=B71+$J$18,L71,(SUMIFS($L$51:$L$350,$A$51:$A$350,$A71,$J$51:$J$350,$B71)+SUMIFS($O$51:$O$350,$A$51:$A$350,$A71,$J$51:$J$350,$B71))*C71))</f>
        <v/>
      </c>
      <c r="S71" s="184">
        <f>H71+F71*G71*(1+I71)^MAX(0,J71-MAX(D71,B71+$J$18+1))</f>
        <v/>
      </c>
      <c r="T71" s="184">
        <f>IF(J71&gt;=MAX(D71,B71+$J$18+1),S71,R71)</f>
        <v/>
      </c>
      <c r="U71" s="184">
        <f>MIN(T71,'Tax Assumptions'!$B$19)</f>
        <v/>
      </c>
      <c r="V71" s="184">
        <f>MAX(T71-U71-'Tax Assumptions'!$B$8,0)</f>
        <v/>
      </c>
      <c r="W71" s="184">
        <f>MAX(T71-U71-'Tax Assumptions'!$B$9,0)</f>
        <v/>
      </c>
      <c r="X71" s="184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/>
      </c>
      <c r="Y71" s="184">
        <f>T71-U71-X71</f>
        <v/>
      </c>
      <c r="Z71" s="184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/>
      </c>
      <c r="AA71" s="184">
        <f>Y71-Z71</f>
        <v/>
      </c>
      <c r="AB71" s="184">
        <f>MIN(MAX(AA71,0),'Tax Assumptions'!$B$20)</f>
        <v/>
      </c>
      <c r="AC71" s="184">
        <f>AA71-AB71</f>
        <v/>
      </c>
      <c r="AD71" s="184">
        <f>MAX(AD70*(1+'Model Inputs'!$B$13)+AC71,0)</f>
        <v/>
      </c>
      <c r="AE71" s="184">
        <f>MAX(AE70*(1+'Model Inputs'!$B$13)+U71+AB71,0)</f>
        <v/>
      </c>
      <c r="AF71" s="184">
        <f>AD71+AE71</f>
        <v/>
      </c>
      <c r="AG71" s="191">
        <f>IF(AND(AF71&gt;=$F$14,AF70&lt;$F$14),J71,"")</f>
        <v/>
      </c>
      <c r="AH71" s="191">
        <f>IF(AND(AF71&gt;=$F$15,AF70&lt;$F$15),J71,"")</f>
        <v/>
      </c>
      <c r="AI71" s="191">
        <f>IF(AND(AF71&gt;=$F$16,AF70&lt;$F$16),J71,"")</f>
        <v/>
      </c>
      <c r="AJ71" s="191">
        <f>IF(AND(AF71&gt;=$F$17,AF70&lt;$F$17),J71,"")</f>
        <v/>
      </c>
    </row>
    <row r="72" outlineLevel="1" ht="18" customHeight="1" s="326">
      <c r="A72" s="181">
        <f>$A$23</f>
        <v/>
      </c>
      <c r="B72" s="191">
        <f>$B$23</f>
        <v/>
      </c>
      <c r="C72" s="187">
        <f>$C$23</f>
        <v/>
      </c>
      <c r="D72" s="191">
        <f>$D$23</f>
        <v/>
      </c>
      <c r="E72" s="181">
        <f>$E$23</f>
        <v/>
      </c>
      <c r="F72" s="184">
        <f>$F$23</f>
        <v/>
      </c>
      <c r="G72" s="188">
        <f>$G$23</f>
        <v/>
      </c>
      <c r="H72" s="184">
        <f>$H$23</f>
        <v/>
      </c>
      <c r="I72" s="188">
        <f>$J$17</f>
        <v/>
      </c>
      <c r="J72" s="191" t="n">
        <v>7</v>
      </c>
      <c r="K72" s="191">
        <f>('Model Inputs'!$B$22-1)+J72</f>
        <v/>
      </c>
      <c r="L72" s="184">
        <f>IF(J72=1,'Model Inputs'!$B$25*(13-'Model Inputs'!$B$23)/12,'Model Inputs'!$B$25)</f>
        <v/>
      </c>
      <c r="M72" s="184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/>
      </c>
      <c r="N72" s="188">
        <f>IF(J72&lt;=2,0,'Model Inputs'!$B$32*SIN(2*PI()*(J72-3+'Model Inputs'!$B$34)/MAX(1,'Model Inputs'!$B$33)))</f>
        <v/>
      </c>
      <c r="O72" s="184">
        <f>M72*(1+N72)</f>
        <v/>
      </c>
      <c r="P72" s="184">
        <f>0.75*O71+0.25*O70</f>
        <v/>
      </c>
      <c r="Q72" s="184">
        <f>L72+P72+IF(J72=1,'Model Inputs'!$B$26,0)</f>
        <v/>
      </c>
      <c r="R72" s="184">
        <f>IF(J72&lt;=B72,Q72,IF(J72&lt;=B72+$J$18,L72,(SUMIFS($L$51:$L$350,$A$51:$A$350,$A72,$J$51:$J$350,$B72)+SUMIFS($O$51:$O$350,$A$51:$A$350,$A72,$J$51:$J$350,$B72))*C72))</f>
        <v/>
      </c>
      <c r="S72" s="184">
        <f>H72+F72*G72*(1+I72)^MAX(0,J72-MAX(D72,B72+$J$18+1))</f>
        <v/>
      </c>
      <c r="T72" s="184">
        <f>IF(J72&gt;=MAX(D72,B72+$J$18+1),S72,R72)</f>
        <v/>
      </c>
      <c r="U72" s="184">
        <f>MIN(T72,'Tax Assumptions'!$B$19)</f>
        <v/>
      </c>
      <c r="V72" s="184">
        <f>MAX(T72-U72-'Tax Assumptions'!$B$8,0)</f>
        <v/>
      </c>
      <c r="W72" s="184">
        <f>MAX(T72-U72-'Tax Assumptions'!$B$9,0)</f>
        <v/>
      </c>
      <c r="X72" s="184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/>
      </c>
      <c r="Y72" s="184">
        <f>T72-U72-X72</f>
        <v/>
      </c>
      <c r="Z72" s="184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/>
      </c>
      <c r="AA72" s="184">
        <f>Y72-Z72</f>
        <v/>
      </c>
      <c r="AB72" s="184">
        <f>MIN(MAX(AA72,0),'Tax Assumptions'!$B$20)</f>
        <v/>
      </c>
      <c r="AC72" s="184">
        <f>AA72-AB72</f>
        <v/>
      </c>
      <c r="AD72" s="184">
        <f>MAX(AD71*(1+'Model Inputs'!$B$13)+AC72,0)</f>
        <v/>
      </c>
      <c r="AE72" s="184">
        <f>MAX(AE71*(1+'Model Inputs'!$B$13)+U72+AB72,0)</f>
        <v/>
      </c>
      <c r="AF72" s="184">
        <f>AD72+AE72</f>
        <v/>
      </c>
      <c r="AG72" s="191">
        <f>IF(AND(AF72&gt;=$F$14,AF71&lt;$F$14),J72,"")</f>
        <v/>
      </c>
      <c r="AH72" s="191">
        <f>IF(AND(AF72&gt;=$F$15,AF71&lt;$F$15),J72,"")</f>
        <v/>
      </c>
      <c r="AI72" s="191">
        <f>IF(AND(AF72&gt;=$F$16,AF71&lt;$F$16),J72,"")</f>
        <v/>
      </c>
      <c r="AJ72" s="191">
        <f>IF(AND(AF72&gt;=$F$17,AF71&lt;$F$17),J72,"")</f>
        <v/>
      </c>
    </row>
    <row r="73" outlineLevel="1" ht="18" customHeight="1" s="326">
      <c r="A73" s="181">
        <f>$A$23</f>
        <v/>
      </c>
      <c r="B73" s="191">
        <f>$B$23</f>
        <v/>
      </c>
      <c r="C73" s="187">
        <f>$C$23</f>
        <v/>
      </c>
      <c r="D73" s="191">
        <f>$D$23</f>
        <v/>
      </c>
      <c r="E73" s="181">
        <f>$E$23</f>
        <v/>
      </c>
      <c r="F73" s="184">
        <f>$F$23</f>
        <v/>
      </c>
      <c r="G73" s="188">
        <f>$G$23</f>
        <v/>
      </c>
      <c r="H73" s="184">
        <f>$H$23</f>
        <v/>
      </c>
      <c r="I73" s="188">
        <f>$J$17</f>
        <v/>
      </c>
      <c r="J73" s="191" t="n">
        <v>8</v>
      </c>
      <c r="K73" s="191">
        <f>('Model Inputs'!$B$22-1)+J73</f>
        <v/>
      </c>
      <c r="L73" s="184">
        <f>IF(J73=1,'Model Inputs'!$B$25*(13-'Model Inputs'!$B$23)/12,'Model Inputs'!$B$25)</f>
        <v/>
      </c>
      <c r="M73" s="184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/>
      </c>
      <c r="N73" s="188">
        <f>IF(J73&lt;=2,0,'Model Inputs'!$B$32*SIN(2*PI()*(J73-3+'Model Inputs'!$B$34)/MAX(1,'Model Inputs'!$B$33)))</f>
        <v/>
      </c>
      <c r="O73" s="184">
        <f>M73*(1+N73)</f>
        <v/>
      </c>
      <c r="P73" s="184">
        <f>0.75*O72+0.25*O71</f>
        <v/>
      </c>
      <c r="Q73" s="184">
        <f>L73+P73+IF(J73=1,'Model Inputs'!$B$26,0)</f>
        <v/>
      </c>
      <c r="R73" s="184">
        <f>IF(J73&lt;=B73,Q73,IF(J73&lt;=B73+$J$18,L73,(SUMIFS($L$51:$L$350,$A$51:$A$350,$A73,$J$51:$J$350,$B73)+SUMIFS($O$51:$O$350,$A$51:$A$350,$A73,$J$51:$J$350,$B73))*C73))</f>
        <v/>
      </c>
      <c r="S73" s="184">
        <f>H73+F73*G73*(1+I73)^MAX(0,J73-MAX(D73,B73+$J$18+1))</f>
        <v/>
      </c>
      <c r="T73" s="184">
        <f>IF(J73&gt;=MAX(D73,B73+$J$18+1),S73,R73)</f>
        <v/>
      </c>
      <c r="U73" s="184">
        <f>MIN(T73,'Tax Assumptions'!$B$19)</f>
        <v/>
      </c>
      <c r="V73" s="184">
        <f>MAX(T73-U73-'Tax Assumptions'!$B$8,0)</f>
        <v/>
      </c>
      <c r="W73" s="184">
        <f>MAX(T73-U73-'Tax Assumptions'!$B$9,0)</f>
        <v/>
      </c>
      <c r="X73" s="184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/>
      </c>
      <c r="Y73" s="184">
        <f>T73-U73-X73</f>
        <v/>
      </c>
      <c r="Z73" s="184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/>
      </c>
      <c r="AA73" s="184">
        <f>Y73-Z73</f>
        <v/>
      </c>
      <c r="AB73" s="184">
        <f>MIN(MAX(AA73,0),'Tax Assumptions'!$B$20)</f>
        <v/>
      </c>
      <c r="AC73" s="184">
        <f>AA73-AB73</f>
        <v/>
      </c>
      <c r="AD73" s="184">
        <f>MAX(AD72*(1+'Model Inputs'!$B$13)+AC73,0)</f>
        <v/>
      </c>
      <c r="AE73" s="184">
        <f>MAX(AE72*(1+'Model Inputs'!$B$13)+U73+AB73,0)</f>
        <v/>
      </c>
      <c r="AF73" s="184">
        <f>AD73+AE73</f>
        <v/>
      </c>
      <c r="AG73" s="191">
        <f>IF(AND(AF73&gt;=$F$14,AF72&lt;$F$14),J73,"")</f>
        <v/>
      </c>
      <c r="AH73" s="191">
        <f>IF(AND(AF73&gt;=$F$15,AF72&lt;$F$15),J73,"")</f>
        <v/>
      </c>
      <c r="AI73" s="191">
        <f>IF(AND(AF73&gt;=$F$16,AF72&lt;$F$16),J73,"")</f>
        <v/>
      </c>
      <c r="AJ73" s="191">
        <f>IF(AND(AF73&gt;=$F$17,AF72&lt;$F$17),J73,"")</f>
        <v/>
      </c>
    </row>
    <row r="74" outlineLevel="1" ht="18" customHeight="1" s="326">
      <c r="A74" s="181">
        <f>$A$23</f>
        <v/>
      </c>
      <c r="B74" s="191">
        <f>$B$23</f>
        <v/>
      </c>
      <c r="C74" s="187">
        <f>$C$23</f>
        <v/>
      </c>
      <c r="D74" s="191">
        <f>$D$23</f>
        <v/>
      </c>
      <c r="E74" s="181">
        <f>$E$23</f>
        <v/>
      </c>
      <c r="F74" s="184">
        <f>$F$23</f>
        <v/>
      </c>
      <c r="G74" s="188">
        <f>$G$23</f>
        <v/>
      </c>
      <c r="H74" s="184">
        <f>$H$23</f>
        <v/>
      </c>
      <c r="I74" s="188">
        <f>$J$17</f>
        <v/>
      </c>
      <c r="J74" s="191" t="n">
        <v>9</v>
      </c>
      <c r="K74" s="191">
        <f>('Model Inputs'!$B$22-1)+J74</f>
        <v/>
      </c>
      <c r="L74" s="184">
        <f>IF(J74=1,'Model Inputs'!$B$25*(13-'Model Inputs'!$B$23)/12,'Model Inputs'!$B$25)</f>
        <v/>
      </c>
      <c r="M74" s="184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/>
      </c>
      <c r="N74" s="188">
        <f>IF(J74&lt;=2,0,'Model Inputs'!$B$32*SIN(2*PI()*(J74-3+'Model Inputs'!$B$34)/MAX(1,'Model Inputs'!$B$33)))</f>
        <v/>
      </c>
      <c r="O74" s="184">
        <f>M74*(1+N74)</f>
        <v/>
      </c>
      <c r="P74" s="184">
        <f>0.75*O73+0.25*O72</f>
        <v/>
      </c>
      <c r="Q74" s="184">
        <f>L74+P74+IF(J74=1,'Model Inputs'!$B$26,0)</f>
        <v/>
      </c>
      <c r="R74" s="184">
        <f>IF(J74&lt;=B74,Q74,IF(J74&lt;=B74+$J$18,L74,(SUMIFS($L$51:$L$350,$A$51:$A$350,$A74,$J$51:$J$350,$B74)+SUMIFS($O$51:$O$350,$A$51:$A$350,$A74,$J$51:$J$350,$B74))*C74))</f>
        <v/>
      </c>
      <c r="S74" s="184">
        <f>H74+F74*G74*(1+I74)^MAX(0,J74-MAX(D74,B74+$J$18+1))</f>
        <v/>
      </c>
      <c r="T74" s="184">
        <f>IF(J74&gt;=MAX(D74,B74+$J$18+1),S74,R74)</f>
        <v/>
      </c>
      <c r="U74" s="184">
        <f>MIN(T74,'Tax Assumptions'!$B$19)</f>
        <v/>
      </c>
      <c r="V74" s="184">
        <f>MAX(T74-U74-'Tax Assumptions'!$B$8,0)</f>
        <v/>
      </c>
      <c r="W74" s="184">
        <f>MAX(T74-U74-'Tax Assumptions'!$B$9,0)</f>
        <v/>
      </c>
      <c r="X74" s="184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/>
      </c>
      <c r="Y74" s="184">
        <f>T74-U74-X74</f>
        <v/>
      </c>
      <c r="Z74" s="184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/>
      </c>
      <c r="AA74" s="184">
        <f>Y74-Z74</f>
        <v/>
      </c>
      <c r="AB74" s="184">
        <f>MIN(MAX(AA74,0),'Tax Assumptions'!$B$20)</f>
        <v/>
      </c>
      <c r="AC74" s="184">
        <f>AA74-AB74</f>
        <v/>
      </c>
      <c r="AD74" s="184">
        <f>MAX(AD73*(1+'Model Inputs'!$B$13)+AC74,0)</f>
        <v/>
      </c>
      <c r="AE74" s="184">
        <f>MAX(AE73*(1+'Model Inputs'!$B$13)+U74+AB74,0)</f>
        <v/>
      </c>
      <c r="AF74" s="184">
        <f>AD74+AE74</f>
        <v/>
      </c>
      <c r="AG74" s="191">
        <f>IF(AND(AF74&gt;=$F$14,AF73&lt;$F$14),J74,"")</f>
        <v/>
      </c>
      <c r="AH74" s="191">
        <f>IF(AND(AF74&gt;=$F$15,AF73&lt;$F$15),J74,"")</f>
        <v/>
      </c>
      <c r="AI74" s="191">
        <f>IF(AND(AF74&gt;=$F$16,AF73&lt;$F$16),J74,"")</f>
        <v/>
      </c>
      <c r="AJ74" s="191">
        <f>IF(AND(AF74&gt;=$F$17,AF73&lt;$F$17),J74,"")</f>
        <v/>
      </c>
    </row>
    <row r="75" outlineLevel="1" ht="18" customHeight="1" s="326">
      <c r="A75" s="181">
        <f>$A$23</f>
        <v/>
      </c>
      <c r="B75" s="191">
        <f>$B$23</f>
        <v/>
      </c>
      <c r="C75" s="187">
        <f>$C$23</f>
        <v/>
      </c>
      <c r="D75" s="191">
        <f>$D$23</f>
        <v/>
      </c>
      <c r="E75" s="181">
        <f>$E$23</f>
        <v/>
      </c>
      <c r="F75" s="184">
        <f>$F$23</f>
        <v/>
      </c>
      <c r="G75" s="188">
        <f>$G$23</f>
        <v/>
      </c>
      <c r="H75" s="184">
        <f>$H$23</f>
        <v/>
      </c>
      <c r="I75" s="188">
        <f>$J$17</f>
        <v/>
      </c>
      <c r="J75" s="191" t="n">
        <v>10</v>
      </c>
      <c r="K75" s="191">
        <f>('Model Inputs'!$B$22-1)+J75</f>
        <v/>
      </c>
      <c r="L75" s="184">
        <f>IF(J75=1,'Model Inputs'!$B$25*(13-'Model Inputs'!$B$23)/12,'Model Inputs'!$B$25)</f>
        <v/>
      </c>
      <c r="M75" s="184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/>
      </c>
      <c r="N75" s="188">
        <f>IF(J75&lt;=2,0,'Model Inputs'!$B$32*SIN(2*PI()*(J75-3+'Model Inputs'!$B$34)/MAX(1,'Model Inputs'!$B$33)))</f>
        <v/>
      </c>
      <c r="O75" s="184">
        <f>M75*(1+N75)</f>
        <v/>
      </c>
      <c r="P75" s="184">
        <f>0.75*O74+0.25*O73</f>
        <v/>
      </c>
      <c r="Q75" s="184">
        <f>L75+P75+IF(J75=1,'Model Inputs'!$B$26,0)</f>
        <v/>
      </c>
      <c r="R75" s="184">
        <f>IF(J75&lt;=B75,Q75,IF(J75&lt;=B75+$J$18,L75,(SUMIFS($L$51:$L$350,$A$51:$A$350,$A75,$J$51:$J$350,$B75)+SUMIFS($O$51:$O$350,$A$51:$A$350,$A75,$J$51:$J$350,$B75))*C75))</f>
        <v/>
      </c>
      <c r="S75" s="184">
        <f>H75+F75*G75*(1+I75)^MAX(0,J75-MAX(D75,B75+$J$18+1))</f>
        <v/>
      </c>
      <c r="T75" s="184">
        <f>IF(J75&gt;=MAX(D75,B75+$J$18+1),S75,R75)</f>
        <v/>
      </c>
      <c r="U75" s="184">
        <f>MIN(T75,'Tax Assumptions'!$B$19)</f>
        <v/>
      </c>
      <c r="V75" s="184">
        <f>MAX(T75-U75-'Tax Assumptions'!$B$8,0)</f>
        <v/>
      </c>
      <c r="W75" s="184">
        <f>MAX(T75-U75-'Tax Assumptions'!$B$9,0)</f>
        <v/>
      </c>
      <c r="X75" s="184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/>
      </c>
      <c r="Y75" s="184">
        <f>T75-U75-X75</f>
        <v/>
      </c>
      <c r="Z75" s="184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/>
      </c>
      <c r="AA75" s="184">
        <f>Y75-Z75</f>
        <v/>
      </c>
      <c r="AB75" s="184">
        <f>MIN(MAX(AA75,0),'Tax Assumptions'!$B$20)</f>
        <v/>
      </c>
      <c r="AC75" s="184">
        <f>AA75-AB75</f>
        <v/>
      </c>
      <c r="AD75" s="184">
        <f>MAX(AD74*(1+'Model Inputs'!$B$13)+AC75,0)</f>
        <v/>
      </c>
      <c r="AE75" s="184">
        <f>MAX(AE74*(1+'Model Inputs'!$B$13)+U75+AB75,0)</f>
        <v/>
      </c>
      <c r="AF75" s="184">
        <f>AD75+AE75</f>
        <v/>
      </c>
      <c r="AG75" s="191">
        <f>IF(AND(AF75&gt;=$F$14,AF74&lt;$F$14),J75,"")</f>
        <v/>
      </c>
      <c r="AH75" s="191">
        <f>IF(AND(AF75&gt;=$F$15,AF74&lt;$F$15),J75,"")</f>
        <v/>
      </c>
      <c r="AI75" s="191">
        <f>IF(AND(AF75&gt;=$F$16,AF74&lt;$F$16),J75,"")</f>
        <v/>
      </c>
      <c r="AJ75" s="191">
        <f>IF(AND(AF75&gt;=$F$17,AF74&lt;$F$17),J75,"")</f>
        <v/>
      </c>
    </row>
    <row r="76" outlineLevel="1" ht="18" customHeight="1" s="326">
      <c r="A76" s="181">
        <f>$A$23</f>
        <v/>
      </c>
      <c r="B76" s="191">
        <f>$B$23</f>
        <v/>
      </c>
      <c r="C76" s="187">
        <f>$C$23</f>
        <v/>
      </c>
      <c r="D76" s="191">
        <f>$D$23</f>
        <v/>
      </c>
      <c r="E76" s="181">
        <f>$E$23</f>
        <v/>
      </c>
      <c r="F76" s="184">
        <f>$F$23</f>
        <v/>
      </c>
      <c r="G76" s="188">
        <f>$G$23</f>
        <v/>
      </c>
      <c r="H76" s="184">
        <f>$H$23</f>
        <v/>
      </c>
      <c r="I76" s="188">
        <f>$J$17</f>
        <v/>
      </c>
      <c r="J76" s="191" t="n">
        <v>11</v>
      </c>
      <c r="K76" s="191">
        <f>('Model Inputs'!$B$22-1)+J76</f>
        <v/>
      </c>
      <c r="L76" s="184">
        <f>IF(J76=1,'Model Inputs'!$B$25*(13-'Model Inputs'!$B$23)/12,'Model Inputs'!$B$25)</f>
        <v/>
      </c>
      <c r="M76" s="184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/>
      </c>
      <c r="N76" s="188">
        <f>IF(J76&lt;=2,0,'Model Inputs'!$B$32*SIN(2*PI()*(J76-3+'Model Inputs'!$B$34)/MAX(1,'Model Inputs'!$B$33)))</f>
        <v/>
      </c>
      <c r="O76" s="184">
        <f>M76*(1+N76)</f>
        <v/>
      </c>
      <c r="P76" s="184">
        <f>0.75*O75+0.25*O74</f>
        <v/>
      </c>
      <c r="Q76" s="184">
        <f>L76+P76+IF(J76=1,'Model Inputs'!$B$26,0)</f>
        <v/>
      </c>
      <c r="R76" s="184">
        <f>IF(J76&lt;=B76,Q76,IF(J76&lt;=B76+$J$18,L76,(SUMIFS($L$51:$L$350,$A$51:$A$350,$A76,$J$51:$J$350,$B76)+SUMIFS($O$51:$O$350,$A$51:$A$350,$A76,$J$51:$J$350,$B76))*C76))</f>
        <v/>
      </c>
      <c r="S76" s="184">
        <f>H76+F76*G76*(1+I76)^MAX(0,J76-MAX(D76,B76+$J$18+1))</f>
        <v/>
      </c>
      <c r="T76" s="184">
        <f>IF(J76&gt;=MAX(D76,B76+$J$18+1),S76,R76)</f>
        <v/>
      </c>
      <c r="U76" s="184">
        <f>MIN(T76,'Tax Assumptions'!$B$19)</f>
        <v/>
      </c>
      <c r="V76" s="184">
        <f>MAX(T76-U76-'Tax Assumptions'!$B$8,0)</f>
        <v/>
      </c>
      <c r="W76" s="184">
        <f>MAX(T76-U76-'Tax Assumptions'!$B$9,0)</f>
        <v/>
      </c>
      <c r="X76" s="184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/>
      </c>
      <c r="Y76" s="184">
        <f>T76-U76-X76</f>
        <v/>
      </c>
      <c r="Z76" s="184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/>
      </c>
      <c r="AA76" s="184">
        <f>Y76-Z76</f>
        <v/>
      </c>
      <c r="AB76" s="184">
        <f>MIN(MAX(AA76,0),'Tax Assumptions'!$B$20)</f>
        <v/>
      </c>
      <c r="AC76" s="184">
        <f>AA76-AB76</f>
        <v/>
      </c>
      <c r="AD76" s="184">
        <f>MAX(AD75*(1+'Model Inputs'!$B$13)+AC76,0)</f>
        <v/>
      </c>
      <c r="AE76" s="184">
        <f>MAX(AE75*(1+'Model Inputs'!$B$13)+U76+AB76,0)</f>
        <v/>
      </c>
      <c r="AF76" s="184">
        <f>AD76+AE76</f>
        <v/>
      </c>
      <c r="AG76" s="191">
        <f>IF(AND(AF76&gt;=$F$14,AF75&lt;$F$14),J76,"")</f>
        <v/>
      </c>
      <c r="AH76" s="191">
        <f>IF(AND(AF76&gt;=$F$15,AF75&lt;$F$15),J76,"")</f>
        <v/>
      </c>
      <c r="AI76" s="191">
        <f>IF(AND(AF76&gt;=$F$16,AF75&lt;$F$16),J76,"")</f>
        <v/>
      </c>
      <c r="AJ76" s="191">
        <f>IF(AND(AF76&gt;=$F$17,AF75&lt;$F$17),J76,"")</f>
        <v/>
      </c>
    </row>
    <row r="77" outlineLevel="1" ht="18" customHeight="1" s="326">
      <c r="A77" s="181">
        <f>$A$23</f>
        <v/>
      </c>
      <c r="B77" s="191">
        <f>$B$23</f>
        <v/>
      </c>
      <c r="C77" s="187">
        <f>$C$23</f>
        <v/>
      </c>
      <c r="D77" s="191">
        <f>$D$23</f>
        <v/>
      </c>
      <c r="E77" s="181">
        <f>$E$23</f>
        <v/>
      </c>
      <c r="F77" s="184">
        <f>$F$23</f>
        <v/>
      </c>
      <c r="G77" s="188">
        <f>$G$23</f>
        <v/>
      </c>
      <c r="H77" s="184">
        <f>$H$23</f>
        <v/>
      </c>
      <c r="I77" s="188">
        <f>$J$17</f>
        <v/>
      </c>
      <c r="J77" s="191" t="n">
        <v>12</v>
      </c>
      <c r="K77" s="191">
        <f>('Model Inputs'!$B$22-1)+J77</f>
        <v/>
      </c>
      <c r="L77" s="184">
        <f>IF(J77=1,'Model Inputs'!$B$25*(13-'Model Inputs'!$B$23)/12,'Model Inputs'!$B$25)</f>
        <v/>
      </c>
      <c r="M77" s="184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/>
      </c>
      <c r="N77" s="188">
        <f>IF(J77&lt;=2,0,'Model Inputs'!$B$32*SIN(2*PI()*(J77-3+'Model Inputs'!$B$34)/MAX(1,'Model Inputs'!$B$33)))</f>
        <v/>
      </c>
      <c r="O77" s="184">
        <f>M77*(1+N77)</f>
        <v/>
      </c>
      <c r="P77" s="184">
        <f>0.75*O76+0.25*O75</f>
        <v/>
      </c>
      <c r="Q77" s="184">
        <f>L77+P77+IF(J77=1,'Model Inputs'!$B$26,0)</f>
        <v/>
      </c>
      <c r="R77" s="184">
        <f>IF(J77&lt;=B77,Q77,IF(J77&lt;=B77+$J$18,L77,(SUMIFS($L$51:$L$350,$A$51:$A$350,$A77,$J$51:$J$350,$B77)+SUMIFS($O$51:$O$350,$A$51:$A$350,$A77,$J$51:$J$350,$B77))*C77))</f>
        <v/>
      </c>
      <c r="S77" s="184">
        <f>H77+F77*G77*(1+I77)^MAX(0,J77-MAX(D77,B77+$J$18+1))</f>
        <v/>
      </c>
      <c r="T77" s="184">
        <f>IF(J77&gt;=MAX(D77,B77+$J$18+1),S77,R77)</f>
        <v/>
      </c>
      <c r="U77" s="184">
        <f>MIN(T77,'Tax Assumptions'!$B$19)</f>
        <v/>
      </c>
      <c r="V77" s="184">
        <f>MAX(T77-U77-'Tax Assumptions'!$B$8,0)</f>
        <v/>
      </c>
      <c r="W77" s="184">
        <f>MAX(T77-U77-'Tax Assumptions'!$B$9,0)</f>
        <v/>
      </c>
      <c r="X77" s="184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/>
      </c>
      <c r="Y77" s="184">
        <f>T77-U77-X77</f>
        <v/>
      </c>
      <c r="Z77" s="184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/>
      </c>
      <c r="AA77" s="184">
        <f>Y77-Z77</f>
        <v/>
      </c>
      <c r="AB77" s="184">
        <f>MIN(MAX(AA77,0),'Tax Assumptions'!$B$20)</f>
        <v/>
      </c>
      <c r="AC77" s="184">
        <f>AA77-AB77</f>
        <v/>
      </c>
      <c r="AD77" s="184">
        <f>MAX(AD76*(1+'Model Inputs'!$B$13)+AC77,0)</f>
        <v/>
      </c>
      <c r="AE77" s="184">
        <f>MAX(AE76*(1+'Model Inputs'!$B$13)+U77+AB77,0)</f>
        <v/>
      </c>
      <c r="AF77" s="184">
        <f>AD77+AE77</f>
        <v/>
      </c>
      <c r="AG77" s="191">
        <f>IF(AND(AF77&gt;=$F$14,AF76&lt;$F$14),J77,"")</f>
        <v/>
      </c>
      <c r="AH77" s="191">
        <f>IF(AND(AF77&gt;=$F$15,AF76&lt;$F$15),J77,"")</f>
        <v/>
      </c>
      <c r="AI77" s="191">
        <f>IF(AND(AF77&gt;=$F$16,AF76&lt;$F$16),J77,"")</f>
        <v/>
      </c>
      <c r="AJ77" s="191">
        <f>IF(AND(AF77&gt;=$F$17,AF76&lt;$F$17),J77,"")</f>
        <v/>
      </c>
    </row>
    <row r="78" outlineLevel="1" ht="18" customHeight="1" s="326">
      <c r="A78" s="181">
        <f>$A$23</f>
        <v/>
      </c>
      <c r="B78" s="191">
        <f>$B$23</f>
        <v/>
      </c>
      <c r="C78" s="187">
        <f>$C$23</f>
        <v/>
      </c>
      <c r="D78" s="191">
        <f>$D$23</f>
        <v/>
      </c>
      <c r="E78" s="181">
        <f>$E$23</f>
        <v/>
      </c>
      <c r="F78" s="184">
        <f>$F$23</f>
        <v/>
      </c>
      <c r="G78" s="188">
        <f>$G$23</f>
        <v/>
      </c>
      <c r="H78" s="184">
        <f>$H$23</f>
        <v/>
      </c>
      <c r="I78" s="188">
        <f>$J$17</f>
        <v/>
      </c>
      <c r="J78" s="191" t="n">
        <v>13</v>
      </c>
      <c r="K78" s="191">
        <f>('Model Inputs'!$B$22-1)+J78</f>
        <v/>
      </c>
      <c r="L78" s="184">
        <f>IF(J78=1,'Model Inputs'!$B$25*(13-'Model Inputs'!$B$23)/12,'Model Inputs'!$B$25)</f>
        <v/>
      </c>
      <c r="M78" s="184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/>
      </c>
      <c r="N78" s="188">
        <f>IF(J78&lt;=2,0,'Model Inputs'!$B$32*SIN(2*PI()*(J78-3+'Model Inputs'!$B$34)/MAX(1,'Model Inputs'!$B$33)))</f>
        <v/>
      </c>
      <c r="O78" s="184">
        <f>M78*(1+N78)</f>
        <v/>
      </c>
      <c r="P78" s="184">
        <f>0.75*O77+0.25*O76</f>
        <v/>
      </c>
      <c r="Q78" s="184">
        <f>L78+P78+IF(J78=1,'Model Inputs'!$B$26,0)</f>
        <v/>
      </c>
      <c r="R78" s="184">
        <f>IF(J78&lt;=B78,Q78,IF(J78&lt;=B78+$J$18,L78,(SUMIFS($L$51:$L$350,$A$51:$A$350,$A78,$J$51:$J$350,$B78)+SUMIFS($O$51:$O$350,$A$51:$A$350,$A78,$J$51:$J$350,$B78))*C78))</f>
        <v/>
      </c>
      <c r="S78" s="184">
        <f>H78+F78*G78*(1+I78)^MAX(0,J78-MAX(D78,B78+$J$18+1))</f>
        <v/>
      </c>
      <c r="T78" s="184">
        <f>IF(J78&gt;=MAX(D78,B78+$J$18+1),S78,R78)</f>
        <v/>
      </c>
      <c r="U78" s="184">
        <f>MIN(T78,'Tax Assumptions'!$B$19)</f>
        <v/>
      </c>
      <c r="V78" s="184">
        <f>MAX(T78-U78-'Tax Assumptions'!$B$8,0)</f>
        <v/>
      </c>
      <c r="W78" s="184">
        <f>MAX(T78-U78-'Tax Assumptions'!$B$9,0)</f>
        <v/>
      </c>
      <c r="X78" s="184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/>
      </c>
      <c r="Y78" s="184">
        <f>T78-U78-X78</f>
        <v/>
      </c>
      <c r="Z78" s="184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/>
      </c>
      <c r="AA78" s="184">
        <f>Y78-Z78</f>
        <v/>
      </c>
      <c r="AB78" s="184">
        <f>MIN(MAX(AA78,0),'Tax Assumptions'!$B$20)</f>
        <v/>
      </c>
      <c r="AC78" s="184">
        <f>AA78-AB78</f>
        <v/>
      </c>
      <c r="AD78" s="184">
        <f>MAX(AD77*(1+'Model Inputs'!$B$13)+AC78,0)</f>
        <v/>
      </c>
      <c r="AE78" s="184">
        <f>MAX(AE77*(1+'Model Inputs'!$B$13)+U78+AB78,0)</f>
        <v/>
      </c>
      <c r="AF78" s="184">
        <f>AD78+AE78</f>
        <v/>
      </c>
      <c r="AG78" s="191">
        <f>IF(AND(AF78&gt;=$F$14,AF77&lt;$F$14),J78,"")</f>
        <v/>
      </c>
      <c r="AH78" s="191">
        <f>IF(AND(AF78&gt;=$F$15,AF77&lt;$F$15),J78,"")</f>
        <v/>
      </c>
      <c r="AI78" s="191">
        <f>IF(AND(AF78&gt;=$F$16,AF77&lt;$F$16),J78,"")</f>
        <v/>
      </c>
      <c r="AJ78" s="191">
        <f>IF(AND(AF78&gt;=$F$17,AF77&lt;$F$17),J78,"")</f>
        <v/>
      </c>
    </row>
    <row r="79" outlineLevel="1" ht="18" customHeight="1" s="326">
      <c r="A79" s="181">
        <f>$A$23</f>
        <v/>
      </c>
      <c r="B79" s="191">
        <f>$B$23</f>
        <v/>
      </c>
      <c r="C79" s="187">
        <f>$C$23</f>
        <v/>
      </c>
      <c r="D79" s="191">
        <f>$D$23</f>
        <v/>
      </c>
      <c r="E79" s="181">
        <f>$E$23</f>
        <v/>
      </c>
      <c r="F79" s="184">
        <f>$F$23</f>
        <v/>
      </c>
      <c r="G79" s="188">
        <f>$G$23</f>
        <v/>
      </c>
      <c r="H79" s="184">
        <f>$H$23</f>
        <v/>
      </c>
      <c r="I79" s="188">
        <f>$J$17</f>
        <v/>
      </c>
      <c r="J79" s="191" t="n">
        <v>14</v>
      </c>
      <c r="K79" s="191">
        <f>('Model Inputs'!$B$22-1)+J79</f>
        <v/>
      </c>
      <c r="L79" s="184">
        <f>IF(J79=1,'Model Inputs'!$B$25*(13-'Model Inputs'!$B$23)/12,'Model Inputs'!$B$25)</f>
        <v/>
      </c>
      <c r="M79" s="184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/>
      </c>
      <c r="N79" s="188">
        <f>IF(J79&lt;=2,0,'Model Inputs'!$B$32*SIN(2*PI()*(J79-3+'Model Inputs'!$B$34)/MAX(1,'Model Inputs'!$B$33)))</f>
        <v/>
      </c>
      <c r="O79" s="184">
        <f>M79*(1+N79)</f>
        <v/>
      </c>
      <c r="P79" s="184">
        <f>0.75*O78+0.25*O77</f>
        <v/>
      </c>
      <c r="Q79" s="184">
        <f>L79+P79+IF(J79=1,'Model Inputs'!$B$26,0)</f>
        <v/>
      </c>
      <c r="R79" s="184">
        <f>IF(J79&lt;=B79,Q79,IF(J79&lt;=B79+$J$18,L79,(SUMIFS($L$51:$L$350,$A$51:$A$350,$A79,$J$51:$J$350,$B79)+SUMIFS($O$51:$O$350,$A$51:$A$350,$A79,$J$51:$J$350,$B79))*C79))</f>
        <v/>
      </c>
      <c r="S79" s="184">
        <f>H79+F79*G79*(1+I79)^MAX(0,J79-MAX(D79,B79+$J$18+1))</f>
        <v/>
      </c>
      <c r="T79" s="184">
        <f>IF(J79&gt;=MAX(D79,B79+$J$18+1),S79,R79)</f>
        <v/>
      </c>
      <c r="U79" s="184">
        <f>MIN(T79,'Tax Assumptions'!$B$19)</f>
        <v/>
      </c>
      <c r="V79" s="184">
        <f>MAX(T79-U79-'Tax Assumptions'!$B$8,0)</f>
        <v/>
      </c>
      <c r="W79" s="184">
        <f>MAX(T79-U79-'Tax Assumptions'!$B$9,0)</f>
        <v/>
      </c>
      <c r="X79" s="184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/>
      </c>
      <c r="Y79" s="184">
        <f>T79-U79-X79</f>
        <v/>
      </c>
      <c r="Z79" s="184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/>
      </c>
      <c r="AA79" s="184">
        <f>Y79-Z79</f>
        <v/>
      </c>
      <c r="AB79" s="184">
        <f>MIN(MAX(AA79,0),'Tax Assumptions'!$B$20)</f>
        <v/>
      </c>
      <c r="AC79" s="184">
        <f>AA79-AB79</f>
        <v/>
      </c>
      <c r="AD79" s="184">
        <f>MAX(AD78*(1+'Model Inputs'!$B$13)+AC79,0)</f>
        <v/>
      </c>
      <c r="AE79" s="184">
        <f>MAX(AE78*(1+'Model Inputs'!$B$13)+U79+AB79,0)</f>
        <v/>
      </c>
      <c r="AF79" s="184">
        <f>AD79+AE79</f>
        <v/>
      </c>
      <c r="AG79" s="191">
        <f>IF(AND(AF79&gt;=$F$14,AF78&lt;$F$14),J79,"")</f>
        <v/>
      </c>
      <c r="AH79" s="191">
        <f>IF(AND(AF79&gt;=$F$15,AF78&lt;$F$15),J79,"")</f>
        <v/>
      </c>
      <c r="AI79" s="191">
        <f>IF(AND(AF79&gt;=$F$16,AF78&lt;$F$16),J79,"")</f>
        <v/>
      </c>
      <c r="AJ79" s="191">
        <f>IF(AND(AF79&gt;=$F$17,AF78&lt;$F$17),J79,"")</f>
        <v/>
      </c>
    </row>
    <row r="80" outlineLevel="1" ht="18" customHeight="1" s="326">
      <c r="A80" s="181">
        <f>$A$23</f>
        <v/>
      </c>
      <c r="B80" s="191">
        <f>$B$23</f>
        <v/>
      </c>
      <c r="C80" s="187">
        <f>$C$23</f>
        <v/>
      </c>
      <c r="D80" s="191">
        <f>$D$23</f>
        <v/>
      </c>
      <c r="E80" s="181">
        <f>$E$23</f>
        <v/>
      </c>
      <c r="F80" s="184">
        <f>$F$23</f>
        <v/>
      </c>
      <c r="G80" s="188">
        <f>$G$23</f>
        <v/>
      </c>
      <c r="H80" s="184">
        <f>$H$23</f>
        <v/>
      </c>
      <c r="I80" s="188">
        <f>$J$17</f>
        <v/>
      </c>
      <c r="J80" s="191" t="n">
        <v>15</v>
      </c>
      <c r="K80" s="191">
        <f>('Model Inputs'!$B$22-1)+J80</f>
        <v/>
      </c>
      <c r="L80" s="184">
        <f>IF(J80=1,'Model Inputs'!$B$25*(13-'Model Inputs'!$B$23)/12,'Model Inputs'!$B$25)</f>
        <v/>
      </c>
      <c r="M80" s="184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/>
      </c>
      <c r="N80" s="188">
        <f>IF(J80&lt;=2,0,'Model Inputs'!$B$32*SIN(2*PI()*(J80-3+'Model Inputs'!$B$34)/MAX(1,'Model Inputs'!$B$33)))</f>
        <v/>
      </c>
      <c r="O80" s="184">
        <f>M80*(1+N80)</f>
        <v/>
      </c>
      <c r="P80" s="184">
        <f>0.75*O79+0.25*O78</f>
        <v/>
      </c>
      <c r="Q80" s="184">
        <f>L80+P80+IF(J80=1,'Model Inputs'!$B$26,0)</f>
        <v/>
      </c>
      <c r="R80" s="184">
        <f>IF(J80&lt;=B80,Q80,IF(J80&lt;=B80+$J$18,L80,(SUMIFS($L$51:$L$350,$A$51:$A$350,$A80,$J$51:$J$350,$B80)+SUMIFS($O$51:$O$350,$A$51:$A$350,$A80,$J$51:$J$350,$B80))*C80))</f>
        <v/>
      </c>
      <c r="S80" s="184">
        <f>H80+F80*G80*(1+I80)^MAX(0,J80-MAX(D80,B80+$J$18+1))</f>
        <v/>
      </c>
      <c r="T80" s="184">
        <f>IF(J80&gt;=MAX(D80,B80+$J$18+1),S80,R80)</f>
        <v/>
      </c>
      <c r="U80" s="184">
        <f>MIN(T80,'Tax Assumptions'!$B$19)</f>
        <v/>
      </c>
      <c r="V80" s="184">
        <f>MAX(T80-U80-'Tax Assumptions'!$B$8,0)</f>
        <v/>
      </c>
      <c r="W80" s="184">
        <f>MAX(T80-U80-'Tax Assumptions'!$B$9,0)</f>
        <v/>
      </c>
      <c r="X80" s="184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/>
      </c>
      <c r="Y80" s="184">
        <f>T80-U80-X80</f>
        <v/>
      </c>
      <c r="Z80" s="184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/>
      </c>
      <c r="AA80" s="184">
        <f>Y80-Z80</f>
        <v/>
      </c>
      <c r="AB80" s="184">
        <f>MIN(MAX(AA80,0),'Tax Assumptions'!$B$20)</f>
        <v/>
      </c>
      <c r="AC80" s="184">
        <f>AA80-AB80</f>
        <v/>
      </c>
      <c r="AD80" s="184">
        <f>MAX(AD79*(1+'Model Inputs'!$B$13)+AC80,0)</f>
        <v/>
      </c>
      <c r="AE80" s="184">
        <f>MAX(AE79*(1+'Model Inputs'!$B$13)+U80+AB80,0)</f>
        <v/>
      </c>
      <c r="AF80" s="184">
        <f>AD80+AE80</f>
        <v/>
      </c>
      <c r="AG80" s="191">
        <f>IF(AND(AF80&gt;=$F$14,AF79&lt;$F$14),J80,"")</f>
        <v/>
      </c>
      <c r="AH80" s="191">
        <f>IF(AND(AF80&gt;=$F$15,AF79&lt;$F$15),J80,"")</f>
        <v/>
      </c>
      <c r="AI80" s="191">
        <f>IF(AND(AF80&gt;=$F$16,AF79&lt;$F$16),J80,"")</f>
        <v/>
      </c>
      <c r="AJ80" s="191">
        <f>IF(AND(AF80&gt;=$F$17,AF79&lt;$F$17),J80,"")</f>
        <v/>
      </c>
    </row>
    <row r="81" outlineLevel="1" ht="18" customHeight="1" s="326">
      <c r="A81" s="181">
        <f>$A$24</f>
        <v/>
      </c>
      <c r="B81" s="191">
        <f>$B$24</f>
        <v/>
      </c>
      <c r="C81" s="187">
        <f>$C$24</f>
        <v/>
      </c>
      <c r="D81" s="191">
        <f>$D$24</f>
        <v/>
      </c>
      <c r="E81" s="181">
        <f>$E$24</f>
        <v/>
      </c>
      <c r="F81" s="184">
        <f>$F$24</f>
        <v/>
      </c>
      <c r="G81" s="188">
        <f>$G$24</f>
        <v/>
      </c>
      <c r="H81" s="184">
        <f>$H$24</f>
        <v/>
      </c>
      <c r="I81" s="188">
        <f>$J$17</f>
        <v/>
      </c>
      <c r="J81" s="191" t="n">
        <v>1</v>
      </c>
      <c r="K81" s="191">
        <f>('Model Inputs'!$B$22-1)+J81</f>
        <v/>
      </c>
      <c r="L81" s="184">
        <f>IF(J81=1,'Model Inputs'!$B$25*(13-'Model Inputs'!$B$23)/12,'Model Inputs'!$B$25)</f>
        <v/>
      </c>
      <c r="M81" s="184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/>
      </c>
      <c r="N81" s="188">
        <f>IF(J81&lt;=2,0,'Model Inputs'!$B$32*SIN(2*PI()*(J81-3+'Model Inputs'!$B$34)/MAX(1,'Model Inputs'!$B$33)))</f>
        <v/>
      </c>
      <c r="O81" s="184">
        <f>M81*(1+N81)</f>
        <v/>
      </c>
      <c r="P81" s="184">
        <f>0</f>
        <v/>
      </c>
      <c r="Q81" s="184">
        <f>L81+P81+IF(J81=1,'Model Inputs'!$B$26,0)</f>
        <v/>
      </c>
      <c r="R81" s="184">
        <f>IF(J81&lt;=B81,Q81,IF(J81&lt;=B81+$J$18,L81,(SUMIFS($L$51:$L$350,$A$51:$A$350,$A81,$J$51:$J$350,$B81)+SUMIFS($O$51:$O$350,$A$51:$A$350,$A81,$J$51:$J$350,$B81))*C81))</f>
        <v/>
      </c>
      <c r="S81" s="184">
        <f>H81+F81*G81*(1+I81)^MAX(0,J81-MAX(D81,B81+$J$18+1))</f>
        <v/>
      </c>
      <c r="T81" s="184">
        <f>IF(J81&gt;=MAX(D81,B81+$J$18+1),S81,R81)</f>
        <v/>
      </c>
      <c r="U81" s="184">
        <f>MIN(T81,'Tax Assumptions'!$B$19)</f>
        <v/>
      </c>
      <c r="V81" s="184">
        <f>MAX(T81-U81-'Tax Assumptions'!$B$8,0)</f>
        <v/>
      </c>
      <c r="W81" s="184">
        <f>MAX(T81-U81-'Tax Assumptions'!$B$9,0)</f>
        <v/>
      </c>
      <c r="X81" s="184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/>
      </c>
      <c r="Y81" s="184">
        <f>T81-U81-X81</f>
        <v/>
      </c>
      <c r="Z81" s="184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/>
      </c>
      <c r="AA81" s="184">
        <f>Y81-Z81</f>
        <v/>
      </c>
      <c r="AB81" s="184">
        <f>MIN(MAX(AA81,0),'Tax Assumptions'!$B$20)</f>
        <v/>
      </c>
      <c r="AC81" s="184">
        <f>AA81-AB81</f>
        <v/>
      </c>
      <c r="AD81" s="184">
        <f>MAX('Model Inputs'!$B$7*(1+'Model Inputs'!$B$13)+AC81,0)</f>
        <v/>
      </c>
      <c r="AE81" s="184">
        <f>MAX(('Model Inputs'!$B$8+'Model Inputs'!$B$9+'Model Inputs'!$B$10)*(1+'Model Inputs'!$B$13)+U81+AB81,0)</f>
        <v/>
      </c>
      <c r="AF81" s="184">
        <f>AD81+AE81</f>
        <v/>
      </c>
      <c r="AG81" s="191">
        <f>IF(AND(AF81&gt;=$F$14,0&lt;$F$14),J81,"")</f>
        <v/>
      </c>
      <c r="AH81" s="191">
        <f>IF(AND(AF81&gt;=$F$15,0&lt;$F$15),J81,"")</f>
        <v/>
      </c>
      <c r="AI81" s="191">
        <f>IF(AND(AF81&gt;=$F$16,0&lt;$F$16),J81,"")</f>
        <v/>
      </c>
      <c r="AJ81" s="191">
        <f>IF(AND(AF81&gt;=$F$17,0&lt;$F$17),J81,"")</f>
        <v/>
      </c>
    </row>
    <row r="82" outlineLevel="1" ht="18" customHeight="1" s="326">
      <c r="A82" s="181">
        <f>$A$24</f>
        <v/>
      </c>
      <c r="B82" s="191">
        <f>$B$24</f>
        <v/>
      </c>
      <c r="C82" s="187">
        <f>$C$24</f>
        <v/>
      </c>
      <c r="D82" s="191">
        <f>$D$24</f>
        <v/>
      </c>
      <c r="E82" s="181">
        <f>$E$24</f>
        <v/>
      </c>
      <c r="F82" s="184">
        <f>$F$24</f>
        <v/>
      </c>
      <c r="G82" s="188">
        <f>$G$24</f>
        <v/>
      </c>
      <c r="H82" s="184">
        <f>$H$24</f>
        <v/>
      </c>
      <c r="I82" s="188">
        <f>$J$17</f>
        <v/>
      </c>
      <c r="J82" s="191" t="n">
        <v>2</v>
      </c>
      <c r="K82" s="191">
        <f>('Model Inputs'!$B$22-1)+J82</f>
        <v/>
      </c>
      <c r="L82" s="184">
        <f>IF(J82=1,'Model Inputs'!$B$25*(13-'Model Inputs'!$B$23)/12,'Model Inputs'!$B$25)</f>
        <v/>
      </c>
      <c r="M82" s="184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/>
      </c>
      <c r="N82" s="188">
        <f>IF(J82&lt;=2,0,'Model Inputs'!$B$32*SIN(2*PI()*(J82-3+'Model Inputs'!$B$34)/MAX(1,'Model Inputs'!$B$33)))</f>
        <v/>
      </c>
      <c r="O82" s="184">
        <f>M82*(1+N82)</f>
        <v/>
      </c>
      <c r="P82" s="184">
        <f>0.75*O81</f>
        <v/>
      </c>
      <c r="Q82" s="184">
        <f>L82+P82+IF(J82=1,'Model Inputs'!$B$26,0)</f>
        <v/>
      </c>
      <c r="R82" s="184">
        <f>IF(J82&lt;=B82,Q82,IF(J82&lt;=B82+$J$18,L82,(SUMIFS($L$51:$L$350,$A$51:$A$350,$A82,$J$51:$J$350,$B82)+SUMIFS($O$51:$O$350,$A$51:$A$350,$A82,$J$51:$J$350,$B82))*C82))</f>
        <v/>
      </c>
      <c r="S82" s="184">
        <f>H82+F82*G82*(1+I82)^MAX(0,J82-MAX(D82,B82+$J$18+1))</f>
        <v/>
      </c>
      <c r="T82" s="184">
        <f>IF(J82&gt;=MAX(D82,B82+$J$18+1),S82,R82)</f>
        <v/>
      </c>
      <c r="U82" s="184">
        <f>MIN(T82,'Tax Assumptions'!$B$19)</f>
        <v/>
      </c>
      <c r="V82" s="184">
        <f>MAX(T82-U82-'Tax Assumptions'!$B$8,0)</f>
        <v/>
      </c>
      <c r="W82" s="184">
        <f>MAX(T82-U82-'Tax Assumptions'!$B$9,0)</f>
        <v/>
      </c>
      <c r="X82" s="184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/>
      </c>
      <c r="Y82" s="184">
        <f>T82-U82-X82</f>
        <v/>
      </c>
      <c r="Z82" s="184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/>
      </c>
      <c r="AA82" s="184">
        <f>Y82-Z82</f>
        <v/>
      </c>
      <c r="AB82" s="184">
        <f>MIN(MAX(AA82,0),'Tax Assumptions'!$B$20)</f>
        <v/>
      </c>
      <c r="AC82" s="184">
        <f>AA82-AB82</f>
        <v/>
      </c>
      <c r="AD82" s="184">
        <f>MAX(AD81*(1+'Model Inputs'!$B$13)+AC82,0)</f>
        <v/>
      </c>
      <c r="AE82" s="184">
        <f>MAX(AE81*(1+'Model Inputs'!$B$13)+U82+AB82,0)</f>
        <v/>
      </c>
      <c r="AF82" s="184">
        <f>AD82+AE82</f>
        <v/>
      </c>
      <c r="AG82" s="191">
        <f>IF(AND(AF82&gt;=$F$14,AF81&lt;$F$14),J82,"")</f>
        <v/>
      </c>
      <c r="AH82" s="191">
        <f>IF(AND(AF82&gt;=$F$15,AF81&lt;$F$15),J82,"")</f>
        <v/>
      </c>
      <c r="AI82" s="191">
        <f>IF(AND(AF82&gt;=$F$16,AF81&lt;$F$16),J82,"")</f>
        <v/>
      </c>
      <c r="AJ82" s="191">
        <f>IF(AND(AF82&gt;=$F$17,AF81&lt;$F$17),J82,"")</f>
        <v/>
      </c>
    </row>
    <row r="83" outlineLevel="1" ht="18" customHeight="1" s="326">
      <c r="A83" s="181">
        <f>$A$24</f>
        <v/>
      </c>
      <c r="B83" s="191">
        <f>$B$24</f>
        <v/>
      </c>
      <c r="C83" s="187">
        <f>$C$24</f>
        <v/>
      </c>
      <c r="D83" s="191">
        <f>$D$24</f>
        <v/>
      </c>
      <c r="E83" s="181">
        <f>$E$24</f>
        <v/>
      </c>
      <c r="F83" s="184">
        <f>$F$24</f>
        <v/>
      </c>
      <c r="G83" s="188">
        <f>$G$24</f>
        <v/>
      </c>
      <c r="H83" s="184">
        <f>$H$24</f>
        <v/>
      </c>
      <c r="I83" s="188">
        <f>$J$17</f>
        <v/>
      </c>
      <c r="J83" s="191" t="n">
        <v>3</v>
      </c>
      <c r="K83" s="191">
        <f>('Model Inputs'!$B$22-1)+J83</f>
        <v/>
      </c>
      <c r="L83" s="184">
        <f>IF(J83=1,'Model Inputs'!$B$25*(13-'Model Inputs'!$B$23)/12,'Model Inputs'!$B$25)</f>
        <v/>
      </c>
      <c r="M83" s="184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/>
      </c>
      <c r="N83" s="188">
        <f>IF(J83&lt;=2,0,'Model Inputs'!$B$32*SIN(2*PI()*(J83-3+'Model Inputs'!$B$34)/MAX(1,'Model Inputs'!$B$33)))</f>
        <v/>
      </c>
      <c r="O83" s="184">
        <f>M83*(1+N83)</f>
        <v/>
      </c>
      <c r="P83" s="184">
        <f>0.75*O82+0.25*O81</f>
        <v/>
      </c>
      <c r="Q83" s="184">
        <f>L83+P83+IF(J83=1,'Model Inputs'!$B$26,0)</f>
        <v/>
      </c>
      <c r="R83" s="184">
        <f>IF(J83&lt;=B83,Q83,IF(J83&lt;=B83+$J$18,L83,(SUMIFS($L$51:$L$350,$A$51:$A$350,$A83,$J$51:$J$350,$B83)+SUMIFS($O$51:$O$350,$A$51:$A$350,$A83,$J$51:$J$350,$B83))*C83))</f>
        <v/>
      </c>
      <c r="S83" s="184">
        <f>H83+F83*G83*(1+I83)^MAX(0,J83-MAX(D83,B83+$J$18+1))</f>
        <v/>
      </c>
      <c r="T83" s="184">
        <f>IF(J83&gt;=MAX(D83,B83+$J$18+1),S83,R83)</f>
        <v/>
      </c>
      <c r="U83" s="184">
        <f>MIN(T83,'Tax Assumptions'!$B$19)</f>
        <v/>
      </c>
      <c r="V83" s="184">
        <f>MAX(T83-U83-'Tax Assumptions'!$B$8,0)</f>
        <v/>
      </c>
      <c r="W83" s="184">
        <f>MAX(T83-U83-'Tax Assumptions'!$B$9,0)</f>
        <v/>
      </c>
      <c r="X83" s="184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/>
      </c>
      <c r="Y83" s="184">
        <f>T83-U83-X83</f>
        <v/>
      </c>
      <c r="Z83" s="184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/>
      </c>
      <c r="AA83" s="184">
        <f>Y83-Z83</f>
        <v/>
      </c>
      <c r="AB83" s="184">
        <f>MIN(MAX(AA83,0),'Tax Assumptions'!$B$20)</f>
        <v/>
      </c>
      <c r="AC83" s="184">
        <f>AA83-AB83</f>
        <v/>
      </c>
      <c r="AD83" s="184">
        <f>MAX(AD82*(1+'Model Inputs'!$B$13)+AC83,0)</f>
        <v/>
      </c>
      <c r="AE83" s="184">
        <f>MAX(AE82*(1+'Model Inputs'!$B$13)+U83+AB83,0)</f>
        <v/>
      </c>
      <c r="AF83" s="184">
        <f>AD83+AE83</f>
        <v/>
      </c>
      <c r="AG83" s="191">
        <f>IF(AND(AF83&gt;=$F$14,AF82&lt;$F$14),J83,"")</f>
        <v/>
      </c>
      <c r="AH83" s="191">
        <f>IF(AND(AF83&gt;=$F$15,AF82&lt;$F$15),J83,"")</f>
        <v/>
      </c>
      <c r="AI83" s="191">
        <f>IF(AND(AF83&gt;=$F$16,AF82&lt;$F$16),J83,"")</f>
        <v/>
      </c>
      <c r="AJ83" s="191">
        <f>IF(AND(AF83&gt;=$F$17,AF82&lt;$F$17),J83,"")</f>
        <v/>
      </c>
    </row>
    <row r="84" outlineLevel="1" ht="18" customHeight="1" s="326">
      <c r="A84" s="181">
        <f>$A$24</f>
        <v/>
      </c>
      <c r="B84" s="191">
        <f>$B$24</f>
        <v/>
      </c>
      <c r="C84" s="187">
        <f>$C$24</f>
        <v/>
      </c>
      <c r="D84" s="191">
        <f>$D$24</f>
        <v/>
      </c>
      <c r="E84" s="181">
        <f>$E$24</f>
        <v/>
      </c>
      <c r="F84" s="184">
        <f>$F$24</f>
        <v/>
      </c>
      <c r="G84" s="188">
        <f>$G$24</f>
        <v/>
      </c>
      <c r="H84" s="184">
        <f>$H$24</f>
        <v/>
      </c>
      <c r="I84" s="188">
        <f>$J$17</f>
        <v/>
      </c>
      <c r="J84" s="191" t="n">
        <v>4</v>
      </c>
      <c r="K84" s="191">
        <f>('Model Inputs'!$B$22-1)+J84</f>
        <v/>
      </c>
      <c r="L84" s="184">
        <f>IF(J84=1,'Model Inputs'!$B$25*(13-'Model Inputs'!$B$23)/12,'Model Inputs'!$B$25)</f>
        <v/>
      </c>
      <c r="M84" s="184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/>
      </c>
      <c r="N84" s="188">
        <f>IF(J84&lt;=2,0,'Model Inputs'!$B$32*SIN(2*PI()*(J84-3+'Model Inputs'!$B$34)/MAX(1,'Model Inputs'!$B$33)))</f>
        <v/>
      </c>
      <c r="O84" s="184">
        <f>M84*(1+N84)</f>
        <v/>
      </c>
      <c r="P84" s="184">
        <f>0.75*O83+0.25*O82</f>
        <v/>
      </c>
      <c r="Q84" s="184">
        <f>L84+P84+IF(J84=1,'Model Inputs'!$B$26,0)</f>
        <v/>
      </c>
      <c r="R84" s="184">
        <f>IF(J84&lt;=B84,Q84,IF(J84&lt;=B84+$J$18,L84,(SUMIFS($L$51:$L$350,$A$51:$A$350,$A84,$J$51:$J$350,$B84)+SUMIFS($O$51:$O$350,$A$51:$A$350,$A84,$J$51:$J$350,$B84))*C84))</f>
        <v/>
      </c>
      <c r="S84" s="184">
        <f>H84+F84*G84*(1+I84)^MAX(0,J84-MAX(D84,B84+$J$18+1))</f>
        <v/>
      </c>
      <c r="T84" s="184">
        <f>IF(J84&gt;=MAX(D84,B84+$J$18+1),S84,R84)</f>
        <v/>
      </c>
      <c r="U84" s="184">
        <f>MIN(T84,'Tax Assumptions'!$B$19)</f>
        <v/>
      </c>
      <c r="V84" s="184">
        <f>MAX(T84-U84-'Tax Assumptions'!$B$8,0)</f>
        <v/>
      </c>
      <c r="W84" s="184">
        <f>MAX(T84-U84-'Tax Assumptions'!$B$9,0)</f>
        <v/>
      </c>
      <c r="X84" s="184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/>
      </c>
      <c r="Y84" s="184">
        <f>T84-U84-X84</f>
        <v/>
      </c>
      <c r="Z84" s="184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/>
      </c>
      <c r="AA84" s="184">
        <f>Y84-Z84</f>
        <v/>
      </c>
      <c r="AB84" s="184">
        <f>MIN(MAX(AA84,0),'Tax Assumptions'!$B$20)</f>
        <v/>
      </c>
      <c r="AC84" s="184">
        <f>AA84-AB84</f>
        <v/>
      </c>
      <c r="AD84" s="184">
        <f>MAX(AD83*(1+'Model Inputs'!$B$13)+AC84,0)</f>
        <v/>
      </c>
      <c r="AE84" s="184">
        <f>MAX(AE83*(1+'Model Inputs'!$B$13)+U84+AB84,0)</f>
        <v/>
      </c>
      <c r="AF84" s="184">
        <f>AD84+AE84</f>
        <v/>
      </c>
      <c r="AG84" s="191">
        <f>IF(AND(AF84&gt;=$F$14,AF83&lt;$F$14),J84,"")</f>
        <v/>
      </c>
      <c r="AH84" s="191">
        <f>IF(AND(AF84&gt;=$F$15,AF83&lt;$F$15),J84,"")</f>
        <v/>
      </c>
      <c r="AI84" s="191">
        <f>IF(AND(AF84&gt;=$F$16,AF83&lt;$F$16),J84,"")</f>
        <v/>
      </c>
      <c r="AJ84" s="191">
        <f>IF(AND(AF84&gt;=$F$17,AF83&lt;$F$17),J84,"")</f>
        <v/>
      </c>
    </row>
    <row r="85" outlineLevel="1" ht="18" customHeight="1" s="326">
      <c r="A85" s="181">
        <f>$A$24</f>
        <v/>
      </c>
      <c r="B85" s="191">
        <f>$B$24</f>
        <v/>
      </c>
      <c r="C85" s="187">
        <f>$C$24</f>
        <v/>
      </c>
      <c r="D85" s="191">
        <f>$D$24</f>
        <v/>
      </c>
      <c r="E85" s="181">
        <f>$E$24</f>
        <v/>
      </c>
      <c r="F85" s="184">
        <f>$F$24</f>
        <v/>
      </c>
      <c r="G85" s="188">
        <f>$G$24</f>
        <v/>
      </c>
      <c r="H85" s="184">
        <f>$H$24</f>
        <v/>
      </c>
      <c r="I85" s="188">
        <f>$J$17</f>
        <v/>
      </c>
      <c r="J85" s="191" t="n">
        <v>5</v>
      </c>
      <c r="K85" s="191">
        <f>('Model Inputs'!$B$22-1)+J85</f>
        <v/>
      </c>
      <c r="L85" s="184">
        <f>IF(J85=1,'Model Inputs'!$B$25*(13-'Model Inputs'!$B$23)/12,'Model Inputs'!$B$25)</f>
        <v/>
      </c>
      <c r="M85" s="184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/>
      </c>
      <c r="N85" s="188">
        <f>IF(J85&lt;=2,0,'Model Inputs'!$B$32*SIN(2*PI()*(J85-3+'Model Inputs'!$B$34)/MAX(1,'Model Inputs'!$B$33)))</f>
        <v/>
      </c>
      <c r="O85" s="184">
        <f>M85*(1+N85)</f>
        <v/>
      </c>
      <c r="P85" s="184">
        <f>0.75*O84+0.25*O83</f>
        <v/>
      </c>
      <c r="Q85" s="184">
        <f>L85+P85+IF(J85=1,'Model Inputs'!$B$26,0)</f>
        <v/>
      </c>
      <c r="R85" s="184">
        <f>IF(J85&lt;=B85,Q85,IF(J85&lt;=B85+$J$18,L85,(SUMIFS($L$51:$L$350,$A$51:$A$350,$A85,$J$51:$J$350,$B85)+SUMIFS($O$51:$O$350,$A$51:$A$350,$A85,$J$51:$J$350,$B85))*C85))</f>
        <v/>
      </c>
      <c r="S85" s="184">
        <f>H85+F85*G85*(1+I85)^MAX(0,J85-MAX(D85,B85+$J$18+1))</f>
        <v/>
      </c>
      <c r="T85" s="184">
        <f>IF(J85&gt;=MAX(D85,B85+$J$18+1),S85,R85)</f>
        <v/>
      </c>
      <c r="U85" s="184">
        <f>MIN(T85,'Tax Assumptions'!$B$19)</f>
        <v/>
      </c>
      <c r="V85" s="184">
        <f>MAX(T85-U85-'Tax Assumptions'!$B$8,0)</f>
        <v/>
      </c>
      <c r="W85" s="184">
        <f>MAX(T85-U85-'Tax Assumptions'!$B$9,0)</f>
        <v/>
      </c>
      <c r="X85" s="184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/>
      </c>
      <c r="Y85" s="184">
        <f>T85-U85-X85</f>
        <v/>
      </c>
      <c r="Z85" s="184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/>
      </c>
      <c r="AA85" s="184">
        <f>Y85-Z85</f>
        <v/>
      </c>
      <c r="AB85" s="184">
        <f>MIN(MAX(AA85,0),'Tax Assumptions'!$B$20)</f>
        <v/>
      </c>
      <c r="AC85" s="184">
        <f>AA85-AB85</f>
        <v/>
      </c>
      <c r="AD85" s="184">
        <f>MAX(AD84*(1+'Model Inputs'!$B$13)+AC85,0)</f>
        <v/>
      </c>
      <c r="AE85" s="184">
        <f>MAX(AE84*(1+'Model Inputs'!$B$13)+U85+AB85,0)</f>
        <v/>
      </c>
      <c r="AF85" s="184">
        <f>AD85+AE85</f>
        <v/>
      </c>
      <c r="AG85" s="191">
        <f>IF(AND(AF85&gt;=$F$14,AF84&lt;$F$14),J85,"")</f>
        <v/>
      </c>
      <c r="AH85" s="191">
        <f>IF(AND(AF85&gt;=$F$15,AF84&lt;$F$15),J85,"")</f>
        <v/>
      </c>
      <c r="AI85" s="191">
        <f>IF(AND(AF85&gt;=$F$16,AF84&lt;$F$16),J85,"")</f>
        <v/>
      </c>
      <c r="AJ85" s="191">
        <f>IF(AND(AF85&gt;=$F$17,AF84&lt;$F$17),J85,"")</f>
        <v/>
      </c>
    </row>
    <row r="86" outlineLevel="1" ht="18" customHeight="1" s="326">
      <c r="A86" s="181">
        <f>$A$24</f>
        <v/>
      </c>
      <c r="B86" s="191">
        <f>$B$24</f>
        <v/>
      </c>
      <c r="C86" s="187">
        <f>$C$24</f>
        <v/>
      </c>
      <c r="D86" s="191">
        <f>$D$24</f>
        <v/>
      </c>
      <c r="E86" s="181">
        <f>$E$24</f>
        <v/>
      </c>
      <c r="F86" s="184">
        <f>$F$24</f>
        <v/>
      </c>
      <c r="G86" s="188">
        <f>$G$24</f>
        <v/>
      </c>
      <c r="H86" s="184">
        <f>$H$24</f>
        <v/>
      </c>
      <c r="I86" s="188">
        <f>$J$17</f>
        <v/>
      </c>
      <c r="J86" s="191" t="n">
        <v>6</v>
      </c>
      <c r="K86" s="191">
        <f>('Model Inputs'!$B$22-1)+J86</f>
        <v/>
      </c>
      <c r="L86" s="184">
        <f>IF(J86=1,'Model Inputs'!$B$25*(13-'Model Inputs'!$B$23)/12,'Model Inputs'!$B$25)</f>
        <v/>
      </c>
      <c r="M86" s="184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/>
      </c>
      <c r="N86" s="188">
        <f>IF(J86&lt;=2,0,'Model Inputs'!$B$32*SIN(2*PI()*(J86-3+'Model Inputs'!$B$34)/MAX(1,'Model Inputs'!$B$33)))</f>
        <v/>
      </c>
      <c r="O86" s="184">
        <f>M86*(1+N86)</f>
        <v/>
      </c>
      <c r="P86" s="184">
        <f>0.75*O85+0.25*O84</f>
        <v/>
      </c>
      <c r="Q86" s="184">
        <f>L86+P86+IF(J86=1,'Model Inputs'!$B$26,0)</f>
        <v/>
      </c>
      <c r="R86" s="184">
        <f>IF(J86&lt;=B86,Q86,IF(J86&lt;=B86+$J$18,L86,(SUMIFS($L$51:$L$350,$A$51:$A$350,$A86,$J$51:$J$350,$B86)+SUMIFS($O$51:$O$350,$A$51:$A$350,$A86,$J$51:$J$350,$B86))*C86))</f>
        <v/>
      </c>
      <c r="S86" s="184">
        <f>H86+F86*G86*(1+I86)^MAX(0,J86-MAX(D86,B86+$J$18+1))</f>
        <v/>
      </c>
      <c r="T86" s="184">
        <f>IF(J86&gt;=MAX(D86,B86+$J$18+1),S86,R86)</f>
        <v/>
      </c>
      <c r="U86" s="184">
        <f>MIN(T86,'Tax Assumptions'!$B$19)</f>
        <v/>
      </c>
      <c r="V86" s="184">
        <f>MAX(T86-U86-'Tax Assumptions'!$B$8,0)</f>
        <v/>
      </c>
      <c r="W86" s="184">
        <f>MAX(T86-U86-'Tax Assumptions'!$B$9,0)</f>
        <v/>
      </c>
      <c r="X86" s="184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/>
      </c>
      <c r="Y86" s="184">
        <f>T86-U86-X86</f>
        <v/>
      </c>
      <c r="Z86" s="184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/>
      </c>
      <c r="AA86" s="184">
        <f>Y86-Z86</f>
        <v/>
      </c>
      <c r="AB86" s="184">
        <f>MIN(MAX(AA86,0),'Tax Assumptions'!$B$20)</f>
        <v/>
      </c>
      <c r="AC86" s="184">
        <f>AA86-AB86</f>
        <v/>
      </c>
      <c r="AD86" s="184">
        <f>MAX(AD85*(1+'Model Inputs'!$B$13)+AC86,0)</f>
        <v/>
      </c>
      <c r="AE86" s="184">
        <f>MAX(AE85*(1+'Model Inputs'!$B$13)+U86+AB86,0)</f>
        <v/>
      </c>
      <c r="AF86" s="184">
        <f>AD86+AE86</f>
        <v/>
      </c>
      <c r="AG86" s="191">
        <f>IF(AND(AF86&gt;=$F$14,AF85&lt;$F$14),J86,"")</f>
        <v/>
      </c>
      <c r="AH86" s="191">
        <f>IF(AND(AF86&gt;=$F$15,AF85&lt;$F$15),J86,"")</f>
        <v/>
      </c>
      <c r="AI86" s="191">
        <f>IF(AND(AF86&gt;=$F$16,AF85&lt;$F$16),J86,"")</f>
        <v/>
      </c>
      <c r="AJ86" s="191">
        <f>IF(AND(AF86&gt;=$F$17,AF85&lt;$F$17),J86,"")</f>
        <v/>
      </c>
    </row>
    <row r="87" outlineLevel="1" ht="18" customHeight="1" s="326">
      <c r="A87" s="181">
        <f>$A$24</f>
        <v/>
      </c>
      <c r="B87" s="191">
        <f>$B$24</f>
        <v/>
      </c>
      <c r="C87" s="187">
        <f>$C$24</f>
        <v/>
      </c>
      <c r="D87" s="191">
        <f>$D$24</f>
        <v/>
      </c>
      <c r="E87" s="181">
        <f>$E$24</f>
        <v/>
      </c>
      <c r="F87" s="184">
        <f>$F$24</f>
        <v/>
      </c>
      <c r="G87" s="188">
        <f>$G$24</f>
        <v/>
      </c>
      <c r="H87" s="184">
        <f>$H$24</f>
        <v/>
      </c>
      <c r="I87" s="188">
        <f>$J$17</f>
        <v/>
      </c>
      <c r="J87" s="191" t="n">
        <v>7</v>
      </c>
      <c r="K87" s="191">
        <f>('Model Inputs'!$B$22-1)+J87</f>
        <v/>
      </c>
      <c r="L87" s="184">
        <f>IF(J87=1,'Model Inputs'!$B$25*(13-'Model Inputs'!$B$23)/12,'Model Inputs'!$B$25)</f>
        <v/>
      </c>
      <c r="M87" s="184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/>
      </c>
      <c r="N87" s="188">
        <f>IF(J87&lt;=2,0,'Model Inputs'!$B$32*SIN(2*PI()*(J87-3+'Model Inputs'!$B$34)/MAX(1,'Model Inputs'!$B$33)))</f>
        <v/>
      </c>
      <c r="O87" s="184">
        <f>M87*(1+N87)</f>
        <v/>
      </c>
      <c r="P87" s="184">
        <f>0.75*O86+0.25*O85</f>
        <v/>
      </c>
      <c r="Q87" s="184">
        <f>L87+P87+IF(J87=1,'Model Inputs'!$B$26,0)</f>
        <v/>
      </c>
      <c r="R87" s="184">
        <f>IF(J87&lt;=B87,Q87,IF(J87&lt;=B87+$J$18,L87,(SUMIFS($L$51:$L$350,$A$51:$A$350,$A87,$J$51:$J$350,$B87)+SUMIFS($O$51:$O$350,$A$51:$A$350,$A87,$J$51:$J$350,$B87))*C87))</f>
        <v/>
      </c>
      <c r="S87" s="184">
        <f>H87+F87*G87*(1+I87)^MAX(0,J87-MAX(D87,B87+$J$18+1))</f>
        <v/>
      </c>
      <c r="T87" s="184">
        <f>IF(J87&gt;=MAX(D87,B87+$J$18+1),S87,R87)</f>
        <v/>
      </c>
      <c r="U87" s="184">
        <f>MIN(T87,'Tax Assumptions'!$B$19)</f>
        <v/>
      </c>
      <c r="V87" s="184">
        <f>MAX(T87-U87-'Tax Assumptions'!$B$8,0)</f>
        <v/>
      </c>
      <c r="W87" s="184">
        <f>MAX(T87-U87-'Tax Assumptions'!$B$9,0)</f>
        <v/>
      </c>
      <c r="X87" s="184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/>
      </c>
      <c r="Y87" s="184">
        <f>T87-U87-X87</f>
        <v/>
      </c>
      <c r="Z87" s="184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/>
      </c>
      <c r="AA87" s="184">
        <f>Y87-Z87</f>
        <v/>
      </c>
      <c r="AB87" s="184">
        <f>MIN(MAX(AA87,0),'Tax Assumptions'!$B$20)</f>
        <v/>
      </c>
      <c r="AC87" s="184">
        <f>AA87-AB87</f>
        <v/>
      </c>
      <c r="AD87" s="184">
        <f>MAX(AD86*(1+'Model Inputs'!$B$13)+AC87,0)</f>
        <v/>
      </c>
      <c r="AE87" s="184">
        <f>MAX(AE86*(1+'Model Inputs'!$B$13)+U87+AB87,0)</f>
        <v/>
      </c>
      <c r="AF87" s="184">
        <f>AD87+AE87</f>
        <v/>
      </c>
      <c r="AG87" s="191">
        <f>IF(AND(AF87&gt;=$F$14,AF86&lt;$F$14),J87,"")</f>
        <v/>
      </c>
      <c r="AH87" s="191">
        <f>IF(AND(AF87&gt;=$F$15,AF86&lt;$F$15),J87,"")</f>
        <v/>
      </c>
      <c r="AI87" s="191">
        <f>IF(AND(AF87&gt;=$F$16,AF86&lt;$F$16),J87,"")</f>
        <v/>
      </c>
      <c r="AJ87" s="191">
        <f>IF(AND(AF87&gt;=$F$17,AF86&lt;$F$17),J87,"")</f>
        <v/>
      </c>
    </row>
    <row r="88" outlineLevel="1" ht="18" customHeight="1" s="326">
      <c r="A88" s="181">
        <f>$A$24</f>
        <v/>
      </c>
      <c r="B88" s="191">
        <f>$B$24</f>
        <v/>
      </c>
      <c r="C88" s="187">
        <f>$C$24</f>
        <v/>
      </c>
      <c r="D88" s="191">
        <f>$D$24</f>
        <v/>
      </c>
      <c r="E88" s="181">
        <f>$E$24</f>
        <v/>
      </c>
      <c r="F88" s="184">
        <f>$F$24</f>
        <v/>
      </c>
      <c r="G88" s="188">
        <f>$G$24</f>
        <v/>
      </c>
      <c r="H88" s="184">
        <f>$H$24</f>
        <v/>
      </c>
      <c r="I88" s="188">
        <f>$J$17</f>
        <v/>
      </c>
      <c r="J88" s="191" t="n">
        <v>8</v>
      </c>
      <c r="K88" s="191">
        <f>('Model Inputs'!$B$22-1)+J88</f>
        <v/>
      </c>
      <c r="L88" s="184">
        <f>IF(J88=1,'Model Inputs'!$B$25*(13-'Model Inputs'!$B$23)/12,'Model Inputs'!$B$25)</f>
        <v/>
      </c>
      <c r="M88" s="184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/>
      </c>
      <c r="N88" s="188">
        <f>IF(J88&lt;=2,0,'Model Inputs'!$B$32*SIN(2*PI()*(J88-3+'Model Inputs'!$B$34)/MAX(1,'Model Inputs'!$B$33)))</f>
        <v/>
      </c>
      <c r="O88" s="184">
        <f>M88*(1+N88)</f>
        <v/>
      </c>
      <c r="P88" s="184">
        <f>0.75*O87+0.25*O86</f>
        <v/>
      </c>
      <c r="Q88" s="184">
        <f>L88+P88+IF(J88=1,'Model Inputs'!$B$26,0)</f>
        <v/>
      </c>
      <c r="R88" s="184">
        <f>IF(J88&lt;=B88,Q88,IF(J88&lt;=B88+$J$18,L88,(SUMIFS($L$51:$L$350,$A$51:$A$350,$A88,$J$51:$J$350,$B88)+SUMIFS($O$51:$O$350,$A$51:$A$350,$A88,$J$51:$J$350,$B88))*C88))</f>
        <v/>
      </c>
      <c r="S88" s="184">
        <f>H88+F88*G88*(1+I88)^MAX(0,J88-MAX(D88,B88+$J$18+1))</f>
        <v/>
      </c>
      <c r="T88" s="184">
        <f>IF(J88&gt;=MAX(D88,B88+$J$18+1),S88,R88)</f>
        <v/>
      </c>
      <c r="U88" s="184">
        <f>MIN(T88,'Tax Assumptions'!$B$19)</f>
        <v/>
      </c>
      <c r="V88" s="184">
        <f>MAX(T88-U88-'Tax Assumptions'!$B$8,0)</f>
        <v/>
      </c>
      <c r="W88" s="184">
        <f>MAX(T88-U88-'Tax Assumptions'!$B$9,0)</f>
        <v/>
      </c>
      <c r="X88" s="184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/>
      </c>
      <c r="Y88" s="184">
        <f>T88-U88-X88</f>
        <v/>
      </c>
      <c r="Z88" s="184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/>
      </c>
      <c r="AA88" s="184">
        <f>Y88-Z88</f>
        <v/>
      </c>
      <c r="AB88" s="184">
        <f>MIN(MAX(AA88,0),'Tax Assumptions'!$B$20)</f>
        <v/>
      </c>
      <c r="AC88" s="184">
        <f>AA88-AB88</f>
        <v/>
      </c>
      <c r="AD88" s="184">
        <f>MAX(AD87*(1+'Model Inputs'!$B$13)+AC88,0)</f>
        <v/>
      </c>
      <c r="AE88" s="184">
        <f>MAX(AE87*(1+'Model Inputs'!$B$13)+U88+AB88,0)</f>
        <v/>
      </c>
      <c r="AF88" s="184">
        <f>AD88+AE88</f>
        <v/>
      </c>
      <c r="AG88" s="191">
        <f>IF(AND(AF88&gt;=$F$14,AF87&lt;$F$14),J88,"")</f>
        <v/>
      </c>
      <c r="AH88" s="191">
        <f>IF(AND(AF88&gt;=$F$15,AF87&lt;$F$15),J88,"")</f>
        <v/>
      </c>
      <c r="AI88" s="191">
        <f>IF(AND(AF88&gt;=$F$16,AF87&lt;$F$16),J88,"")</f>
        <v/>
      </c>
      <c r="AJ88" s="191">
        <f>IF(AND(AF88&gt;=$F$17,AF87&lt;$F$17),J88,"")</f>
        <v/>
      </c>
    </row>
    <row r="89" outlineLevel="1" ht="18" customHeight="1" s="326">
      <c r="A89" s="181">
        <f>$A$24</f>
        <v/>
      </c>
      <c r="B89" s="191">
        <f>$B$24</f>
        <v/>
      </c>
      <c r="C89" s="187">
        <f>$C$24</f>
        <v/>
      </c>
      <c r="D89" s="191">
        <f>$D$24</f>
        <v/>
      </c>
      <c r="E89" s="181">
        <f>$E$24</f>
        <v/>
      </c>
      <c r="F89" s="184">
        <f>$F$24</f>
        <v/>
      </c>
      <c r="G89" s="188">
        <f>$G$24</f>
        <v/>
      </c>
      <c r="H89" s="184">
        <f>$H$24</f>
        <v/>
      </c>
      <c r="I89" s="188">
        <f>$J$17</f>
        <v/>
      </c>
      <c r="J89" s="191" t="n">
        <v>9</v>
      </c>
      <c r="K89" s="191">
        <f>('Model Inputs'!$B$22-1)+J89</f>
        <v/>
      </c>
      <c r="L89" s="184">
        <f>IF(J89=1,'Model Inputs'!$B$25*(13-'Model Inputs'!$B$23)/12,'Model Inputs'!$B$25)</f>
        <v/>
      </c>
      <c r="M89" s="184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/>
      </c>
      <c r="N89" s="188">
        <f>IF(J89&lt;=2,0,'Model Inputs'!$B$32*SIN(2*PI()*(J89-3+'Model Inputs'!$B$34)/MAX(1,'Model Inputs'!$B$33)))</f>
        <v/>
      </c>
      <c r="O89" s="184">
        <f>M89*(1+N89)</f>
        <v/>
      </c>
      <c r="P89" s="184">
        <f>0.75*O88+0.25*O87</f>
        <v/>
      </c>
      <c r="Q89" s="184">
        <f>L89+P89+IF(J89=1,'Model Inputs'!$B$26,0)</f>
        <v/>
      </c>
      <c r="R89" s="184">
        <f>IF(J89&lt;=B89,Q89,IF(J89&lt;=B89+$J$18,L89,(SUMIFS($L$51:$L$350,$A$51:$A$350,$A89,$J$51:$J$350,$B89)+SUMIFS($O$51:$O$350,$A$51:$A$350,$A89,$J$51:$J$350,$B89))*C89))</f>
        <v/>
      </c>
      <c r="S89" s="184">
        <f>H89+F89*G89*(1+I89)^MAX(0,J89-MAX(D89,B89+$J$18+1))</f>
        <v/>
      </c>
      <c r="T89" s="184">
        <f>IF(J89&gt;=MAX(D89,B89+$J$18+1),S89,R89)</f>
        <v/>
      </c>
      <c r="U89" s="184">
        <f>MIN(T89,'Tax Assumptions'!$B$19)</f>
        <v/>
      </c>
      <c r="V89" s="184">
        <f>MAX(T89-U89-'Tax Assumptions'!$B$8,0)</f>
        <v/>
      </c>
      <c r="W89" s="184">
        <f>MAX(T89-U89-'Tax Assumptions'!$B$9,0)</f>
        <v/>
      </c>
      <c r="X89" s="184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/>
      </c>
      <c r="Y89" s="184">
        <f>T89-U89-X89</f>
        <v/>
      </c>
      <c r="Z89" s="184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/>
      </c>
      <c r="AA89" s="184">
        <f>Y89-Z89</f>
        <v/>
      </c>
      <c r="AB89" s="184">
        <f>MIN(MAX(AA89,0),'Tax Assumptions'!$B$20)</f>
        <v/>
      </c>
      <c r="AC89" s="184">
        <f>AA89-AB89</f>
        <v/>
      </c>
      <c r="AD89" s="184">
        <f>MAX(AD88*(1+'Model Inputs'!$B$13)+AC89,0)</f>
        <v/>
      </c>
      <c r="AE89" s="184">
        <f>MAX(AE88*(1+'Model Inputs'!$B$13)+U89+AB89,0)</f>
        <v/>
      </c>
      <c r="AF89" s="184">
        <f>AD89+AE89</f>
        <v/>
      </c>
      <c r="AG89" s="191">
        <f>IF(AND(AF89&gt;=$F$14,AF88&lt;$F$14),J89,"")</f>
        <v/>
      </c>
      <c r="AH89" s="191">
        <f>IF(AND(AF89&gt;=$F$15,AF88&lt;$F$15),J89,"")</f>
        <v/>
      </c>
      <c r="AI89" s="191">
        <f>IF(AND(AF89&gt;=$F$16,AF88&lt;$F$16),J89,"")</f>
        <v/>
      </c>
      <c r="AJ89" s="191">
        <f>IF(AND(AF89&gt;=$F$17,AF88&lt;$F$17),J89,"")</f>
        <v/>
      </c>
    </row>
    <row r="90" outlineLevel="1" ht="18" customHeight="1" s="326">
      <c r="A90" s="181">
        <f>$A$24</f>
        <v/>
      </c>
      <c r="B90" s="191">
        <f>$B$24</f>
        <v/>
      </c>
      <c r="C90" s="187">
        <f>$C$24</f>
        <v/>
      </c>
      <c r="D90" s="191">
        <f>$D$24</f>
        <v/>
      </c>
      <c r="E90" s="181">
        <f>$E$24</f>
        <v/>
      </c>
      <c r="F90" s="184">
        <f>$F$24</f>
        <v/>
      </c>
      <c r="G90" s="188">
        <f>$G$24</f>
        <v/>
      </c>
      <c r="H90" s="184">
        <f>$H$24</f>
        <v/>
      </c>
      <c r="I90" s="188">
        <f>$J$17</f>
        <v/>
      </c>
      <c r="J90" s="191" t="n">
        <v>10</v>
      </c>
      <c r="K90" s="191">
        <f>('Model Inputs'!$B$22-1)+J90</f>
        <v/>
      </c>
      <c r="L90" s="184">
        <f>IF(J90=1,'Model Inputs'!$B$25*(13-'Model Inputs'!$B$23)/12,'Model Inputs'!$B$25)</f>
        <v/>
      </c>
      <c r="M90" s="184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/>
      </c>
      <c r="N90" s="188">
        <f>IF(J90&lt;=2,0,'Model Inputs'!$B$32*SIN(2*PI()*(J90-3+'Model Inputs'!$B$34)/MAX(1,'Model Inputs'!$B$33)))</f>
        <v/>
      </c>
      <c r="O90" s="184">
        <f>M90*(1+N90)</f>
        <v/>
      </c>
      <c r="P90" s="184">
        <f>0.75*O89+0.25*O88</f>
        <v/>
      </c>
      <c r="Q90" s="184">
        <f>L90+P90+IF(J90=1,'Model Inputs'!$B$26,0)</f>
        <v/>
      </c>
      <c r="R90" s="184">
        <f>IF(J90&lt;=B90,Q90,IF(J90&lt;=B90+$J$18,L90,(SUMIFS($L$51:$L$350,$A$51:$A$350,$A90,$J$51:$J$350,$B90)+SUMIFS($O$51:$O$350,$A$51:$A$350,$A90,$J$51:$J$350,$B90))*C90))</f>
        <v/>
      </c>
      <c r="S90" s="184">
        <f>H90+F90*G90*(1+I90)^MAX(0,J90-MAX(D90,B90+$J$18+1))</f>
        <v/>
      </c>
      <c r="T90" s="184">
        <f>IF(J90&gt;=MAX(D90,B90+$J$18+1),S90,R90)</f>
        <v/>
      </c>
      <c r="U90" s="184">
        <f>MIN(T90,'Tax Assumptions'!$B$19)</f>
        <v/>
      </c>
      <c r="V90" s="184">
        <f>MAX(T90-U90-'Tax Assumptions'!$B$8,0)</f>
        <v/>
      </c>
      <c r="W90" s="184">
        <f>MAX(T90-U90-'Tax Assumptions'!$B$9,0)</f>
        <v/>
      </c>
      <c r="X90" s="184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/>
      </c>
      <c r="Y90" s="184">
        <f>T90-U90-X90</f>
        <v/>
      </c>
      <c r="Z90" s="184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/>
      </c>
      <c r="AA90" s="184">
        <f>Y90-Z90</f>
        <v/>
      </c>
      <c r="AB90" s="184">
        <f>MIN(MAX(AA90,0),'Tax Assumptions'!$B$20)</f>
        <v/>
      </c>
      <c r="AC90" s="184">
        <f>AA90-AB90</f>
        <v/>
      </c>
      <c r="AD90" s="184">
        <f>MAX(AD89*(1+'Model Inputs'!$B$13)+AC90,0)</f>
        <v/>
      </c>
      <c r="AE90" s="184">
        <f>MAX(AE89*(1+'Model Inputs'!$B$13)+U90+AB90,0)</f>
        <v/>
      </c>
      <c r="AF90" s="184">
        <f>AD90+AE90</f>
        <v/>
      </c>
      <c r="AG90" s="191">
        <f>IF(AND(AF90&gt;=$F$14,AF89&lt;$F$14),J90,"")</f>
        <v/>
      </c>
      <c r="AH90" s="191">
        <f>IF(AND(AF90&gt;=$F$15,AF89&lt;$F$15),J90,"")</f>
        <v/>
      </c>
      <c r="AI90" s="191">
        <f>IF(AND(AF90&gt;=$F$16,AF89&lt;$F$16),J90,"")</f>
        <v/>
      </c>
      <c r="AJ90" s="191">
        <f>IF(AND(AF90&gt;=$F$17,AF89&lt;$F$17),J90,"")</f>
        <v/>
      </c>
    </row>
    <row r="91" outlineLevel="1" ht="18" customHeight="1" s="326">
      <c r="A91" s="181">
        <f>$A$24</f>
        <v/>
      </c>
      <c r="B91" s="191">
        <f>$B$24</f>
        <v/>
      </c>
      <c r="C91" s="187">
        <f>$C$24</f>
        <v/>
      </c>
      <c r="D91" s="191">
        <f>$D$24</f>
        <v/>
      </c>
      <c r="E91" s="181">
        <f>$E$24</f>
        <v/>
      </c>
      <c r="F91" s="184">
        <f>$F$24</f>
        <v/>
      </c>
      <c r="G91" s="188">
        <f>$G$24</f>
        <v/>
      </c>
      <c r="H91" s="184">
        <f>$H$24</f>
        <v/>
      </c>
      <c r="I91" s="188">
        <f>$J$17</f>
        <v/>
      </c>
      <c r="J91" s="191" t="n">
        <v>11</v>
      </c>
      <c r="K91" s="191">
        <f>('Model Inputs'!$B$22-1)+J91</f>
        <v/>
      </c>
      <c r="L91" s="184">
        <f>IF(J91=1,'Model Inputs'!$B$25*(13-'Model Inputs'!$B$23)/12,'Model Inputs'!$B$25)</f>
        <v/>
      </c>
      <c r="M91" s="184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/>
      </c>
      <c r="N91" s="188">
        <f>IF(J91&lt;=2,0,'Model Inputs'!$B$32*SIN(2*PI()*(J91-3+'Model Inputs'!$B$34)/MAX(1,'Model Inputs'!$B$33)))</f>
        <v/>
      </c>
      <c r="O91" s="184">
        <f>M91*(1+N91)</f>
        <v/>
      </c>
      <c r="P91" s="184">
        <f>0.75*O90+0.25*O89</f>
        <v/>
      </c>
      <c r="Q91" s="184">
        <f>L91+P91+IF(J91=1,'Model Inputs'!$B$26,0)</f>
        <v/>
      </c>
      <c r="R91" s="184">
        <f>IF(J91&lt;=B91,Q91,IF(J91&lt;=B91+$J$18,L91,(SUMIFS($L$51:$L$350,$A$51:$A$350,$A91,$J$51:$J$350,$B91)+SUMIFS($O$51:$O$350,$A$51:$A$350,$A91,$J$51:$J$350,$B91))*C91))</f>
        <v/>
      </c>
      <c r="S91" s="184">
        <f>H91+F91*G91*(1+I91)^MAX(0,J91-MAX(D91,B91+$J$18+1))</f>
        <v/>
      </c>
      <c r="T91" s="184">
        <f>IF(J91&gt;=MAX(D91,B91+$J$18+1),S91,R91)</f>
        <v/>
      </c>
      <c r="U91" s="184">
        <f>MIN(T91,'Tax Assumptions'!$B$19)</f>
        <v/>
      </c>
      <c r="V91" s="184">
        <f>MAX(T91-U91-'Tax Assumptions'!$B$8,0)</f>
        <v/>
      </c>
      <c r="W91" s="184">
        <f>MAX(T91-U91-'Tax Assumptions'!$B$9,0)</f>
        <v/>
      </c>
      <c r="X91" s="184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/>
      </c>
      <c r="Y91" s="184">
        <f>T91-U91-X91</f>
        <v/>
      </c>
      <c r="Z91" s="184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/>
      </c>
      <c r="AA91" s="184">
        <f>Y91-Z91</f>
        <v/>
      </c>
      <c r="AB91" s="184">
        <f>MIN(MAX(AA91,0),'Tax Assumptions'!$B$20)</f>
        <v/>
      </c>
      <c r="AC91" s="184">
        <f>AA91-AB91</f>
        <v/>
      </c>
      <c r="AD91" s="184">
        <f>MAX(AD90*(1+'Model Inputs'!$B$13)+AC91,0)</f>
        <v/>
      </c>
      <c r="AE91" s="184">
        <f>MAX(AE90*(1+'Model Inputs'!$B$13)+U91+AB91,0)</f>
        <v/>
      </c>
      <c r="AF91" s="184">
        <f>AD91+AE91</f>
        <v/>
      </c>
      <c r="AG91" s="191">
        <f>IF(AND(AF91&gt;=$F$14,AF90&lt;$F$14),J91,"")</f>
        <v/>
      </c>
      <c r="AH91" s="191">
        <f>IF(AND(AF91&gt;=$F$15,AF90&lt;$F$15),J91,"")</f>
        <v/>
      </c>
      <c r="AI91" s="191">
        <f>IF(AND(AF91&gt;=$F$16,AF90&lt;$F$16),J91,"")</f>
        <v/>
      </c>
      <c r="AJ91" s="191">
        <f>IF(AND(AF91&gt;=$F$17,AF90&lt;$F$17),J91,"")</f>
        <v/>
      </c>
    </row>
    <row r="92" outlineLevel="1" ht="18" customHeight="1" s="326">
      <c r="A92" s="181">
        <f>$A$24</f>
        <v/>
      </c>
      <c r="B92" s="191">
        <f>$B$24</f>
        <v/>
      </c>
      <c r="C92" s="187">
        <f>$C$24</f>
        <v/>
      </c>
      <c r="D92" s="191">
        <f>$D$24</f>
        <v/>
      </c>
      <c r="E92" s="181">
        <f>$E$24</f>
        <v/>
      </c>
      <c r="F92" s="184">
        <f>$F$24</f>
        <v/>
      </c>
      <c r="G92" s="188">
        <f>$G$24</f>
        <v/>
      </c>
      <c r="H92" s="184">
        <f>$H$24</f>
        <v/>
      </c>
      <c r="I92" s="188">
        <f>$J$17</f>
        <v/>
      </c>
      <c r="J92" s="191" t="n">
        <v>12</v>
      </c>
      <c r="K92" s="191">
        <f>('Model Inputs'!$B$22-1)+J92</f>
        <v/>
      </c>
      <c r="L92" s="184">
        <f>IF(J92=1,'Model Inputs'!$B$25*(13-'Model Inputs'!$B$23)/12,'Model Inputs'!$B$25)</f>
        <v/>
      </c>
      <c r="M92" s="184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/>
      </c>
      <c r="N92" s="188">
        <f>IF(J92&lt;=2,0,'Model Inputs'!$B$32*SIN(2*PI()*(J92-3+'Model Inputs'!$B$34)/MAX(1,'Model Inputs'!$B$33)))</f>
        <v/>
      </c>
      <c r="O92" s="184">
        <f>M92*(1+N92)</f>
        <v/>
      </c>
      <c r="P92" s="184">
        <f>0.75*O91+0.25*O90</f>
        <v/>
      </c>
      <c r="Q92" s="184">
        <f>L92+P92+IF(J92=1,'Model Inputs'!$B$26,0)</f>
        <v/>
      </c>
      <c r="R92" s="184">
        <f>IF(J92&lt;=B92,Q92,IF(J92&lt;=B92+$J$18,L92,(SUMIFS($L$51:$L$350,$A$51:$A$350,$A92,$J$51:$J$350,$B92)+SUMIFS($O$51:$O$350,$A$51:$A$350,$A92,$J$51:$J$350,$B92))*C92))</f>
        <v/>
      </c>
      <c r="S92" s="184">
        <f>H92+F92*G92*(1+I92)^MAX(0,J92-MAX(D92,B92+$J$18+1))</f>
        <v/>
      </c>
      <c r="T92" s="184">
        <f>IF(J92&gt;=MAX(D92,B92+$J$18+1),S92,R92)</f>
        <v/>
      </c>
      <c r="U92" s="184">
        <f>MIN(T92,'Tax Assumptions'!$B$19)</f>
        <v/>
      </c>
      <c r="V92" s="184">
        <f>MAX(T92-U92-'Tax Assumptions'!$B$8,0)</f>
        <v/>
      </c>
      <c r="W92" s="184">
        <f>MAX(T92-U92-'Tax Assumptions'!$B$9,0)</f>
        <v/>
      </c>
      <c r="X92" s="184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/>
      </c>
      <c r="Y92" s="184">
        <f>T92-U92-X92</f>
        <v/>
      </c>
      <c r="Z92" s="184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/>
      </c>
      <c r="AA92" s="184">
        <f>Y92-Z92</f>
        <v/>
      </c>
      <c r="AB92" s="184">
        <f>MIN(MAX(AA92,0),'Tax Assumptions'!$B$20)</f>
        <v/>
      </c>
      <c r="AC92" s="184">
        <f>AA92-AB92</f>
        <v/>
      </c>
      <c r="AD92" s="184">
        <f>MAX(AD91*(1+'Model Inputs'!$B$13)+AC92,0)</f>
        <v/>
      </c>
      <c r="AE92" s="184">
        <f>MAX(AE91*(1+'Model Inputs'!$B$13)+U92+AB92,0)</f>
        <v/>
      </c>
      <c r="AF92" s="184">
        <f>AD92+AE92</f>
        <v/>
      </c>
      <c r="AG92" s="191">
        <f>IF(AND(AF92&gt;=$F$14,AF91&lt;$F$14),J92,"")</f>
        <v/>
      </c>
      <c r="AH92" s="191">
        <f>IF(AND(AF92&gt;=$F$15,AF91&lt;$F$15),J92,"")</f>
        <v/>
      </c>
      <c r="AI92" s="191">
        <f>IF(AND(AF92&gt;=$F$16,AF91&lt;$F$16),J92,"")</f>
        <v/>
      </c>
      <c r="AJ92" s="191">
        <f>IF(AND(AF92&gt;=$F$17,AF91&lt;$F$17),J92,"")</f>
        <v/>
      </c>
    </row>
    <row r="93" outlineLevel="1" ht="18" customHeight="1" s="326">
      <c r="A93" s="181">
        <f>$A$24</f>
        <v/>
      </c>
      <c r="B93" s="191">
        <f>$B$24</f>
        <v/>
      </c>
      <c r="C93" s="187">
        <f>$C$24</f>
        <v/>
      </c>
      <c r="D93" s="191">
        <f>$D$24</f>
        <v/>
      </c>
      <c r="E93" s="181">
        <f>$E$24</f>
        <v/>
      </c>
      <c r="F93" s="184">
        <f>$F$24</f>
        <v/>
      </c>
      <c r="G93" s="188">
        <f>$G$24</f>
        <v/>
      </c>
      <c r="H93" s="184">
        <f>$H$24</f>
        <v/>
      </c>
      <c r="I93" s="188">
        <f>$J$17</f>
        <v/>
      </c>
      <c r="J93" s="191" t="n">
        <v>13</v>
      </c>
      <c r="K93" s="191">
        <f>('Model Inputs'!$B$22-1)+J93</f>
        <v/>
      </c>
      <c r="L93" s="184">
        <f>IF(J93=1,'Model Inputs'!$B$25*(13-'Model Inputs'!$B$23)/12,'Model Inputs'!$B$25)</f>
        <v/>
      </c>
      <c r="M93" s="184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/>
      </c>
      <c r="N93" s="188">
        <f>IF(J93&lt;=2,0,'Model Inputs'!$B$32*SIN(2*PI()*(J93-3+'Model Inputs'!$B$34)/MAX(1,'Model Inputs'!$B$33)))</f>
        <v/>
      </c>
      <c r="O93" s="184">
        <f>M93*(1+N93)</f>
        <v/>
      </c>
      <c r="P93" s="184">
        <f>0.75*O92+0.25*O91</f>
        <v/>
      </c>
      <c r="Q93" s="184">
        <f>L93+P93+IF(J93=1,'Model Inputs'!$B$26,0)</f>
        <v/>
      </c>
      <c r="R93" s="184">
        <f>IF(J93&lt;=B93,Q93,IF(J93&lt;=B93+$J$18,L93,(SUMIFS($L$51:$L$350,$A$51:$A$350,$A93,$J$51:$J$350,$B93)+SUMIFS($O$51:$O$350,$A$51:$A$350,$A93,$J$51:$J$350,$B93))*C93))</f>
        <v/>
      </c>
      <c r="S93" s="184">
        <f>H93+F93*G93*(1+I93)^MAX(0,J93-MAX(D93,B93+$J$18+1))</f>
        <v/>
      </c>
      <c r="T93" s="184">
        <f>IF(J93&gt;=MAX(D93,B93+$J$18+1),S93,R93)</f>
        <v/>
      </c>
      <c r="U93" s="184">
        <f>MIN(T93,'Tax Assumptions'!$B$19)</f>
        <v/>
      </c>
      <c r="V93" s="184">
        <f>MAX(T93-U93-'Tax Assumptions'!$B$8,0)</f>
        <v/>
      </c>
      <c r="W93" s="184">
        <f>MAX(T93-U93-'Tax Assumptions'!$B$9,0)</f>
        <v/>
      </c>
      <c r="X93" s="184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/>
      </c>
      <c r="Y93" s="184">
        <f>T93-U93-X93</f>
        <v/>
      </c>
      <c r="Z93" s="184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/>
      </c>
      <c r="AA93" s="184">
        <f>Y93-Z93</f>
        <v/>
      </c>
      <c r="AB93" s="184">
        <f>MIN(MAX(AA93,0),'Tax Assumptions'!$B$20)</f>
        <v/>
      </c>
      <c r="AC93" s="184">
        <f>AA93-AB93</f>
        <v/>
      </c>
      <c r="AD93" s="184">
        <f>MAX(AD92*(1+'Model Inputs'!$B$13)+AC93,0)</f>
        <v/>
      </c>
      <c r="AE93" s="184">
        <f>MAX(AE92*(1+'Model Inputs'!$B$13)+U93+AB93,0)</f>
        <v/>
      </c>
      <c r="AF93" s="184">
        <f>AD93+AE93</f>
        <v/>
      </c>
      <c r="AG93" s="191">
        <f>IF(AND(AF93&gt;=$F$14,AF92&lt;$F$14),J93,"")</f>
        <v/>
      </c>
      <c r="AH93" s="191">
        <f>IF(AND(AF93&gt;=$F$15,AF92&lt;$F$15),J93,"")</f>
        <v/>
      </c>
      <c r="AI93" s="191">
        <f>IF(AND(AF93&gt;=$F$16,AF92&lt;$F$16),J93,"")</f>
        <v/>
      </c>
      <c r="AJ93" s="191">
        <f>IF(AND(AF93&gt;=$F$17,AF92&lt;$F$17),J93,"")</f>
        <v/>
      </c>
    </row>
    <row r="94" outlineLevel="1" ht="18" customHeight="1" s="326">
      <c r="A94" s="181">
        <f>$A$24</f>
        <v/>
      </c>
      <c r="B94" s="191">
        <f>$B$24</f>
        <v/>
      </c>
      <c r="C94" s="187">
        <f>$C$24</f>
        <v/>
      </c>
      <c r="D94" s="191">
        <f>$D$24</f>
        <v/>
      </c>
      <c r="E94" s="181">
        <f>$E$24</f>
        <v/>
      </c>
      <c r="F94" s="184">
        <f>$F$24</f>
        <v/>
      </c>
      <c r="G94" s="188">
        <f>$G$24</f>
        <v/>
      </c>
      <c r="H94" s="184">
        <f>$H$24</f>
        <v/>
      </c>
      <c r="I94" s="188">
        <f>$J$17</f>
        <v/>
      </c>
      <c r="J94" s="191" t="n">
        <v>14</v>
      </c>
      <c r="K94" s="191">
        <f>('Model Inputs'!$B$22-1)+J94</f>
        <v/>
      </c>
      <c r="L94" s="184">
        <f>IF(J94=1,'Model Inputs'!$B$25*(13-'Model Inputs'!$B$23)/12,'Model Inputs'!$B$25)</f>
        <v/>
      </c>
      <c r="M94" s="184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/>
      </c>
      <c r="N94" s="188">
        <f>IF(J94&lt;=2,0,'Model Inputs'!$B$32*SIN(2*PI()*(J94-3+'Model Inputs'!$B$34)/MAX(1,'Model Inputs'!$B$33)))</f>
        <v/>
      </c>
      <c r="O94" s="184">
        <f>M94*(1+N94)</f>
        <v/>
      </c>
      <c r="P94" s="184">
        <f>0.75*O93+0.25*O92</f>
        <v/>
      </c>
      <c r="Q94" s="184">
        <f>L94+P94+IF(J94=1,'Model Inputs'!$B$26,0)</f>
        <v/>
      </c>
      <c r="R94" s="184">
        <f>IF(J94&lt;=B94,Q94,IF(J94&lt;=B94+$J$18,L94,(SUMIFS($L$51:$L$350,$A$51:$A$350,$A94,$J$51:$J$350,$B94)+SUMIFS($O$51:$O$350,$A$51:$A$350,$A94,$J$51:$J$350,$B94))*C94))</f>
        <v/>
      </c>
      <c r="S94" s="184">
        <f>H94+F94*G94*(1+I94)^MAX(0,J94-MAX(D94,B94+$J$18+1))</f>
        <v/>
      </c>
      <c r="T94" s="184">
        <f>IF(J94&gt;=MAX(D94,B94+$J$18+1),S94,R94)</f>
        <v/>
      </c>
      <c r="U94" s="184">
        <f>MIN(T94,'Tax Assumptions'!$B$19)</f>
        <v/>
      </c>
      <c r="V94" s="184">
        <f>MAX(T94-U94-'Tax Assumptions'!$B$8,0)</f>
        <v/>
      </c>
      <c r="W94" s="184">
        <f>MAX(T94-U94-'Tax Assumptions'!$B$9,0)</f>
        <v/>
      </c>
      <c r="X94" s="184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/>
      </c>
      <c r="Y94" s="184">
        <f>T94-U94-X94</f>
        <v/>
      </c>
      <c r="Z94" s="184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/>
      </c>
      <c r="AA94" s="184">
        <f>Y94-Z94</f>
        <v/>
      </c>
      <c r="AB94" s="184">
        <f>MIN(MAX(AA94,0),'Tax Assumptions'!$B$20)</f>
        <v/>
      </c>
      <c r="AC94" s="184">
        <f>AA94-AB94</f>
        <v/>
      </c>
      <c r="AD94" s="184">
        <f>MAX(AD93*(1+'Model Inputs'!$B$13)+AC94,0)</f>
        <v/>
      </c>
      <c r="AE94" s="184">
        <f>MAX(AE93*(1+'Model Inputs'!$B$13)+U94+AB94,0)</f>
        <v/>
      </c>
      <c r="AF94" s="184">
        <f>AD94+AE94</f>
        <v/>
      </c>
      <c r="AG94" s="191">
        <f>IF(AND(AF94&gt;=$F$14,AF93&lt;$F$14),J94,"")</f>
        <v/>
      </c>
      <c r="AH94" s="191">
        <f>IF(AND(AF94&gt;=$F$15,AF93&lt;$F$15),J94,"")</f>
        <v/>
      </c>
      <c r="AI94" s="191">
        <f>IF(AND(AF94&gt;=$F$16,AF93&lt;$F$16),J94,"")</f>
        <v/>
      </c>
      <c r="AJ94" s="191">
        <f>IF(AND(AF94&gt;=$F$17,AF93&lt;$F$17),J94,"")</f>
        <v/>
      </c>
    </row>
    <row r="95" outlineLevel="1" ht="18" customHeight="1" s="326">
      <c r="A95" s="181">
        <f>$A$24</f>
        <v/>
      </c>
      <c r="B95" s="191">
        <f>$B$24</f>
        <v/>
      </c>
      <c r="C95" s="187">
        <f>$C$24</f>
        <v/>
      </c>
      <c r="D95" s="191">
        <f>$D$24</f>
        <v/>
      </c>
      <c r="E95" s="181">
        <f>$E$24</f>
        <v/>
      </c>
      <c r="F95" s="184">
        <f>$F$24</f>
        <v/>
      </c>
      <c r="G95" s="188">
        <f>$G$24</f>
        <v/>
      </c>
      <c r="H95" s="184">
        <f>$H$24</f>
        <v/>
      </c>
      <c r="I95" s="188">
        <f>$J$17</f>
        <v/>
      </c>
      <c r="J95" s="191" t="n">
        <v>15</v>
      </c>
      <c r="K95" s="191">
        <f>('Model Inputs'!$B$22-1)+J95</f>
        <v/>
      </c>
      <c r="L95" s="184">
        <f>IF(J95=1,'Model Inputs'!$B$25*(13-'Model Inputs'!$B$23)/12,'Model Inputs'!$B$25)</f>
        <v/>
      </c>
      <c r="M95" s="184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/>
      </c>
      <c r="N95" s="188">
        <f>IF(J95&lt;=2,0,'Model Inputs'!$B$32*SIN(2*PI()*(J95-3+'Model Inputs'!$B$34)/MAX(1,'Model Inputs'!$B$33)))</f>
        <v/>
      </c>
      <c r="O95" s="184">
        <f>M95*(1+N95)</f>
        <v/>
      </c>
      <c r="P95" s="184">
        <f>0.75*O94+0.25*O93</f>
        <v/>
      </c>
      <c r="Q95" s="184">
        <f>L95+P95+IF(J95=1,'Model Inputs'!$B$26,0)</f>
        <v/>
      </c>
      <c r="R95" s="184">
        <f>IF(J95&lt;=B95,Q95,IF(J95&lt;=B95+$J$18,L95,(SUMIFS($L$51:$L$350,$A$51:$A$350,$A95,$J$51:$J$350,$B95)+SUMIFS($O$51:$O$350,$A$51:$A$350,$A95,$J$51:$J$350,$B95))*C95))</f>
        <v/>
      </c>
      <c r="S95" s="184">
        <f>H95+F95*G95*(1+I95)^MAX(0,J95-MAX(D95,B95+$J$18+1))</f>
        <v/>
      </c>
      <c r="T95" s="184">
        <f>IF(J95&gt;=MAX(D95,B95+$J$18+1),S95,R95)</f>
        <v/>
      </c>
      <c r="U95" s="184">
        <f>MIN(T95,'Tax Assumptions'!$B$19)</f>
        <v/>
      </c>
      <c r="V95" s="184">
        <f>MAX(T95-U95-'Tax Assumptions'!$B$8,0)</f>
        <v/>
      </c>
      <c r="W95" s="184">
        <f>MAX(T95-U95-'Tax Assumptions'!$B$9,0)</f>
        <v/>
      </c>
      <c r="X95" s="184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/>
      </c>
      <c r="Y95" s="184">
        <f>T95-U95-X95</f>
        <v/>
      </c>
      <c r="Z95" s="184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/>
      </c>
      <c r="AA95" s="184">
        <f>Y95-Z95</f>
        <v/>
      </c>
      <c r="AB95" s="184">
        <f>MIN(MAX(AA95,0),'Tax Assumptions'!$B$20)</f>
        <v/>
      </c>
      <c r="AC95" s="184">
        <f>AA95-AB95</f>
        <v/>
      </c>
      <c r="AD95" s="184">
        <f>MAX(AD94*(1+'Model Inputs'!$B$13)+AC95,0)</f>
        <v/>
      </c>
      <c r="AE95" s="184">
        <f>MAX(AE94*(1+'Model Inputs'!$B$13)+U95+AB95,0)</f>
        <v/>
      </c>
      <c r="AF95" s="184">
        <f>AD95+AE95</f>
        <v/>
      </c>
      <c r="AG95" s="191">
        <f>IF(AND(AF95&gt;=$F$14,AF94&lt;$F$14),J95,"")</f>
        <v/>
      </c>
      <c r="AH95" s="191">
        <f>IF(AND(AF95&gt;=$F$15,AF94&lt;$F$15),J95,"")</f>
        <v/>
      </c>
      <c r="AI95" s="191">
        <f>IF(AND(AF95&gt;=$F$16,AF94&lt;$F$16),J95,"")</f>
        <v/>
      </c>
      <c r="AJ95" s="191">
        <f>IF(AND(AF95&gt;=$F$17,AF94&lt;$F$17),J95,"")</f>
        <v/>
      </c>
    </row>
    <row r="96" outlineLevel="1" ht="18" customHeight="1" s="326">
      <c r="A96" s="181">
        <f>$A$25</f>
        <v/>
      </c>
      <c r="B96" s="191">
        <f>$B$25</f>
        <v/>
      </c>
      <c r="C96" s="187">
        <f>$C$25</f>
        <v/>
      </c>
      <c r="D96" s="191">
        <f>$D$25</f>
        <v/>
      </c>
      <c r="E96" s="181">
        <f>$E$25</f>
        <v/>
      </c>
      <c r="F96" s="184">
        <f>$F$25</f>
        <v/>
      </c>
      <c r="G96" s="188">
        <f>$G$25</f>
        <v/>
      </c>
      <c r="H96" s="184">
        <f>$H$25</f>
        <v/>
      </c>
      <c r="I96" s="188">
        <f>$J$17</f>
        <v/>
      </c>
      <c r="J96" s="191" t="n">
        <v>1</v>
      </c>
      <c r="K96" s="191">
        <f>('Model Inputs'!$B$22-1)+J96</f>
        <v/>
      </c>
      <c r="L96" s="184">
        <f>IF(J96=1,'Model Inputs'!$B$25*(13-'Model Inputs'!$B$23)/12,'Model Inputs'!$B$25)</f>
        <v/>
      </c>
      <c r="M96" s="184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/>
      </c>
      <c r="N96" s="188">
        <f>IF(J96&lt;=2,0,'Model Inputs'!$B$32*SIN(2*PI()*(J96-3+'Model Inputs'!$B$34)/MAX(1,'Model Inputs'!$B$33)))</f>
        <v/>
      </c>
      <c r="O96" s="184">
        <f>M96*(1+N96)</f>
        <v/>
      </c>
      <c r="P96" s="184">
        <f>0</f>
        <v/>
      </c>
      <c r="Q96" s="184">
        <f>L96+P96+IF(J96=1,'Model Inputs'!$B$26,0)</f>
        <v/>
      </c>
      <c r="R96" s="184">
        <f>IF(J96&lt;=B96,Q96,IF(J96&lt;=B96+$J$18,L96,(SUMIFS($L$51:$L$350,$A$51:$A$350,$A96,$J$51:$J$350,$B96)+SUMIFS($O$51:$O$350,$A$51:$A$350,$A96,$J$51:$J$350,$B96))*C96))</f>
        <v/>
      </c>
      <c r="S96" s="184">
        <f>H96+F96*G96*(1+I96)^MAX(0,J96-MAX(D96,B96+$J$18+1))</f>
        <v/>
      </c>
      <c r="T96" s="184">
        <f>IF(J96&gt;=MAX(D96,B96+$J$18+1),S96,R96)</f>
        <v/>
      </c>
      <c r="U96" s="184">
        <f>MIN(T96,'Tax Assumptions'!$B$19)</f>
        <v/>
      </c>
      <c r="V96" s="184">
        <f>MAX(T96-U96-'Tax Assumptions'!$B$8,0)</f>
        <v/>
      </c>
      <c r="W96" s="184">
        <f>MAX(T96-U96-'Tax Assumptions'!$B$9,0)</f>
        <v/>
      </c>
      <c r="X96" s="184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/>
      </c>
      <c r="Y96" s="184">
        <f>T96-U96-X96</f>
        <v/>
      </c>
      <c r="Z96" s="184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/>
      </c>
      <c r="AA96" s="184">
        <f>Y96-Z96</f>
        <v/>
      </c>
      <c r="AB96" s="184">
        <f>MIN(MAX(AA96,0),'Tax Assumptions'!$B$20)</f>
        <v/>
      </c>
      <c r="AC96" s="184">
        <f>AA96-AB96</f>
        <v/>
      </c>
      <c r="AD96" s="184">
        <f>MAX('Model Inputs'!$B$7*(1+'Model Inputs'!$B$13)+AC96,0)</f>
        <v/>
      </c>
      <c r="AE96" s="184">
        <f>MAX(('Model Inputs'!$B$8+'Model Inputs'!$B$9+'Model Inputs'!$B$10)*(1+'Model Inputs'!$B$13)+U96+AB96,0)</f>
        <v/>
      </c>
      <c r="AF96" s="184">
        <f>AD96+AE96</f>
        <v/>
      </c>
      <c r="AG96" s="191">
        <f>IF(AND(AF96&gt;=$F$14,0&lt;$F$14),J96,"")</f>
        <v/>
      </c>
      <c r="AH96" s="191">
        <f>IF(AND(AF96&gt;=$F$15,0&lt;$F$15),J96,"")</f>
        <v/>
      </c>
      <c r="AI96" s="191">
        <f>IF(AND(AF96&gt;=$F$16,0&lt;$F$16),J96,"")</f>
        <v/>
      </c>
      <c r="AJ96" s="191">
        <f>IF(AND(AF96&gt;=$F$17,0&lt;$F$17),J96,"")</f>
        <v/>
      </c>
    </row>
    <row r="97" outlineLevel="1" ht="18" customHeight="1" s="326">
      <c r="A97" s="181">
        <f>$A$25</f>
        <v/>
      </c>
      <c r="B97" s="191">
        <f>$B$25</f>
        <v/>
      </c>
      <c r="C97" s="187">
        <f>$C$25</f>
        <v/>
      </c>
      <c r="D97" s="191">
        <f>$D$25</f>
        <v/>
      </c>
      <c r="E97" s="181">
        <f>$E$25</f>
        <v/>
      </c>
      <c r="F97" s="184">
        <f>$F$25</f>
        <v/>
      </c>
      <c r="G97" s="188">
        <f>$G$25</f>
        <v/>
      </c>
      <c r="H97" s="184">
        <f>$H$25</f>
        <v/>
      </c>
      <c r="I97" s="188">
        <f>$J$17</f>
        <v/>
      </c>
      <c r="J97" s="191" t="n">
        <v>2</v>
      </c>
      <c r="K97" s="191">
        <f>('Model Inputs'!$B$22-1)+J97</f>
        <v/>
      </c>
      <c r="L97" s="184">
        <f>IF(J97=1,'Model Inputs'!$B$25*(13-'Model Inputs'!$B$23)/12,'Model Inputs'!$B$25)</f>
        <v/>
      </c>
      <c r="M97" s="184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/>
      </c>
      <c r="N97" s="188">
        <f>IF(J97&lt;=2,0,'Model Inputs'!$B$32*SIN(2*PI()*(J97-3+'Model Inputs'!$B$34)/MAX(1,'Model Inputs'!$B$33)))</f>
        <v/>
      </c>
      <c r="O97" s="184">
        <f>M97*(1+N97)</f>
        <v/>
      </c>
      <c r="P97" s="184">
        <f>0.75*O96</f>
        <v/>
      </c>
      <c r="Q97" s="184">
        <f>L97+P97+IF(J97=1,'Model Inputs'!$B$26,0)</f>
        <v/>
      </c>
      <c r="R97" s="184">
        <f>IF(J97&lt;=B97,Q97,IF(J97&lt;=B97+$J$18,L97,(SUMIFS($L$51:$L$350,$A$51:$A$350,$A97,$J$51:$J$350,$B97)+SUMIFS($O$51:$O$350,$A$51:$A$350,$A97,$J$51:$J$350,$B97))*C97))</f>
        <v/>
      </c>
      <c r="S97" s="184">
        <f>H97+F97*G97*(1+I97)^MAX(0,J97-MAX(D97,B97+$J$18+1))</f>
        <v/>
      </c>
      <c r="T97" s="184">
        <f>IF(J97&gt;=MAX(D97,B97+$J$18+1),S97,R97)</f>
        <v/>
      </c>
      <c r="U97" s="184">
        <f>MIN(T97,'Tax Assumptions'!$B$19)</f>
        <v/>
      </c>
      <c r="V97" s="184">
        <f>MAX(T97-U97-'Tax Assumptions'!$B$8,0)</f>
        <v/>
      </c>
      <c r="W97" s="184">
        <f>MAX(T97-U97-'Tax Assumptions'!$B$9,0)</f>
        <v/>
      </c>
      <c r="X97" s="184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/>
      </c>
      <c r="Y97" s="184">
        <f>T97-U97-X97</f>
        <v/>
      </c>
      <c r="Z97" s="184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/>
      </c>
      <c r="AA97" s="184">
        <f>Y97-Z97</f>
        <v/>
      </c>
      <c r="AB97" s="184">
        <f>MIN(MAX(AA97,0),'Tax Assumptions'!$B$20)</f>
        <v/>
      </c>
      <c r="AC97" s="184">
        <f>AA97-AB97</f>
        <v/>
      </c>
      <c r="AD97" s="184">
        <f>MAX(AD96*(1+'Model Inputs'!$B$13)+AC97,0)</f>
        <v/>
      </c>
      <c r="AE97" s="184">
        <f>MAX(AE96*(1+'Model Inputs'!$B$13)+U97+AB97,0)</f>
        <v/>
      </c>
      <c r="AF97" s="184">
        <f>AD97+AE97</f>
        <v/>
      </c>
      <c r="AG97" s="191">
        <f>IF(AND(AF97&gt;=$F$14,AF96&lt;$F$14),J97,"")</f>
        <v/>
      </c>
      <c r="AH97" s="191">
        <f>IF(AND(AF97&gt;=$F$15,AF96&lt;$F$15),J97,"")</f>
        <v/>
      </c>
      <c r="AI97" s="191">
        <f>IF(AND(AF97&gt;=$F$16,AF96&lt;$F$16),J97,"")</f>
        <v/>
      </c>
      <c r="AJ97" s="191">
        <f>IF(AND(AF97&gt;=$F$17,AF96&lt;$F$17),J97,"")</f>
        <v/>
      </c>
    </row>
    <row r="98" outlineLevel="1" ht="18" customHeight="1" s="326">
      <c r="A98" s="181">
        <f>$A$25</f>
        <v/>
      </c>
      <c r="B98" s="191">
        <f>$B$25</f>
        <v/>
      </c>
      <c r="C98" s="187">
        <f>$C$25</f>
        <v/>
      </c>
      <c r="D98" s="191">
        <f>$D$25</f>
        <v/>
      </c>
      <c r="E98" s="181">
        <f>$E$25</f>
        <v/>
      </c>
      <c r="F98" s="184">
        <f>$F$25</f>
        <v/>
      </c>
      <c r="G98" s="188">
        <f>$G$25</f>
        <v/>
      </c>
      <c r="H98" s="184">
        <f>$H$25</f>
        <v/>
      </c>
      <c r="I98" s="188">
        <f>$J$17</f>
        <v/>
      </c>
      <c r="J98" s="191" t="n">
        <v>3</v>
      </c>
      <c r="K98" s="191">
        <f>('Model Inputs'!$B$22-1)+J98</f>
        <v/>
      </c>
      <c r="L98" s="184">
        <f>IF(J98=1,'Model Inputs'!$B$25*(13-'Model Inputs'!$B$23)/12,'Model Inputs'!$B$25)</f>
        <v/>
      </c>
      <c r="M98" s="184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/>
      </c>
      <c r="N98" s="188">
        <f>IF(J98&lt;=2,0,'Model Inputs'!$B$32*SIN(2*PI()*(J98-3+'Model Inputs'!$B$34)/MAX(1,'Model Inputs'!$B$33)))</f>
        <v/>
      </c>
      <c r="O98" s="184">
        <f>M98*(1+N98)</f>
        <v/>
      </c>
      <c r="P98" s="184">
        <f>0.75*O97+0.25*O96</f>
        <v/>
      </c>
      <c r="Q98" s="184">
        <f>L98+P98+IF(J98=1,'Model Inputs'!$B$26,0)</f>
        <v/>
      </c>
      <c r="R98" s="184">
        <f>IF(J98&lt;=B98,Q98,IF(J98&lt;=B98+$J$18,L98,(SUMIFS($L$51:$L$350,$A$51:$A$350,$A98,$J$51:$J$350,$B98)+SUMIFS($O$51:$O$350,$A$51:$A$350,$A98,$J$51:$J$350,$B98))*C98))</f>
        <v/>
      </c>
      <c r="S98" s="184">
        <f>H98+F98*G98*(1+I98)^MAX(0,J98-MAX(D98,B98+$J$18+1))</f>
        <v/>
      </c>
      <c r="T98" s="184">
        <f>IF(J98&gt;=MAX(D98,B98+$J$18+1),S98,R98)</f>
        <v/>
      </c>
      <c r="U98" s="184">
        <f>MIN(T98,'Tax Assumptions'!$B$19)</f>
        <v/>
      </c>
      <c r="V98" s="184">
        <f>MAX(T98-U98-'Tax Assumptions'!$B$8,0)</f>
        <v/>
      </c>
      <c r="W98" s="184">
        <f>MAX(T98-U98-'Tax Assumptions'!$B$9,0)</f>
        <v/>
      </c>
      <c r="X98" s="184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/>
      </c>
      <c r="Y98" s="184">
        <f>T98-U98-X98</f>
        <v/>
      </c>
      <c r="Z98" s="184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/>
      </c>
      <c r="AA98" s="184">
        <f>Y98-Z98</f>
        <v/>
      </c>
      <c r="AB98" s="184">
        <f>MIN(MAX(AA98,0),'Tax Assumptions'!$B$20)</f>
        <v/>
      </c>
      <c r="AC98" s="184">
        <f>AA98-AB98</f>
        <v/>
      </c>
      <c r="AD98" s="184">
        <f>MAX(AD97*(1+'Model Inputs'!$B$13)+AC98,0)</f>
        <v/>
      </c>
      <c r="AE98" s="184">
        <f>MAX(AE97*(1+'Model Inputs'!$B$13)+U98+AB98,0)</f>
        <v/>
      </c>
      <c r="AF98" s="184">
        <f>AD98+AE98</f>
        <v/>
      </c>
      <c r="AG98" s="191">
        <f>IF(AND(AF98&gt;=$F$14,AF97&lt;$F$14),J98,"")</f>
        <v/>
      </c>
      <c r="AH98" s="191">
        <f>IF(AND(AF98&gt;=$F$15,AF97&lt;$F$15),J98,"")</f>
        <v/>
      </c>
      <c r="AI98" s="191">
        <f>IF(AND(AF98&gt;=$F$16,AF97&lt;$F$16),J98,"")</f>
        <v/>
      </c>
      <c r="AJ98" s="191">
        <f>IF(AND(AF98&gt;=$F$17,AF97&lt;$F$17),J98,"")</f>
        <v/>
      </c>
    </row>
    <row r="99" outlineLevel="1" ht="18" customHeight="1" s="326">
      <c r="A99" s="181">
        <f>$A$25</f>
        <v/>
      </c>
      <c r="B99" s="191">
        <f>$B$25</f>
        <v/>
      </c>
      <c r="C99" s="187">
        <f>$C$25</f>
        <v/>
      </c>
      <c r="D99" s="191">
        <f>$D$25</f>
        <v/>
      </c>
      <c r="E99" s="181">
        <f>$E$25</f>
        <v/>
      </c>
      <c r="F99" s="184">
        <f>$F$25</f>
        <v/>
      </c>
      <c r="G99" s="188">
        <f>$G$25</f>
        <v/>
      </c>
      <c r="H99" s="184">
        <f>$H$25</f>
        <v/>
      </c>
      <c r="I99" s="188">
        <f>$J$17</f>
        <v/>
      </c>
      <c r="J99" s="191" t="n">
        <v>4</v>
      </c>
      <c r="K99" s="191">
        <f>('Model Inputs'!$B$22-1)+J99</f>
        <v/>
      </c>
      <c r="L99" s="184">
        <f>IF(J99=1,'Model Inputs'!$B$25*(13-'Model Inputs'!$B$23)/12,'Model Inputs'!$B$25)</f>
        <v/>
      </c>
      <c r="M99" s="184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/>
      </c>
      <c r="N99" s="188">
        <f>IF(J99&lt;=2,0,'Model Inputs'!$B$32*SIN(2*PI()*(J99-3+'Model Inputs'!$B$34)/MAX(1,'Model Inputs'!$B$33)))</f>
        <v/>
      </c>
      <c r="O99" s="184">
        <f>M99*(1+N99)</f>
        <v/>
      </c>
      <c r="P99" s="184">
        <f>0.75*O98+0.25*O97</f>
        <v/>
      </c>
      <c r="Q99" s="184">
        <f>L99+P99+IF(J99=1,'Model Inputs'!$B$26,0)</f>
        <v/>
      </c>
      <c r="R99" s="184">
        <f>IF(J99&lt;=B99,Q99,IF(J99&lt;=B99+$J$18,L99,(SUMIFS($L$51:$L$350,$A$51:$A$350,$A99,$J$51:$J$350,$B99)+SUMIFS($O$51:$O$350,$A$51:$A$350,$A99,$J$51:$J$350,$B99))*C99))</f>
        <v/>
      </c>
      <c r="S99" s="184">
        <f>H99+F99*G99*(1+I99)^MAX(0,J99-MAX(D99,B99+$J$18+1))</f>
        <v/>
      </c>
      <c r="T99" s="184">
        <f>IF(J99&gt;=MAX(D99,B99+$J$18+1),S99,R99)</f>
        <v/>
      </c>
      <c r="U99" s="184">
        <f>MIN(T99,'Tax Assumptions'!$B$19)</f>
        <v/>
      </c>
      <c r="V99" s="184">
        <f>MAX(T99-U99-'Tax Assumptions'!$B$8,0)</f>
        <v/>
      </c>
      <c r="W99" s="184">
        <f>MAX(T99-U99-'Tax Assumptions'!$B$9,0)</f>
        <v/>
      </c>
      <c r="X99" s="184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/>
      </c>
      <c r="Y99" s="184">
        <f>T99-U99-X99</f>
        <v/>
      </c>
      <c r="Z99" s="184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/>
      </c>
      <c r="AA99" s="184">
        <f>Y99-Z99</f>
        <v/>
      </c>
      <c r="AB99" s="184">
        <f>MIN(MAX(AA99,0),'Tax Assumptions'!$B$20)</f>
        <v/>
      </c>
      <c r="AC99" s="184">
        <f>AA99-AB99</f>
        <v/>
      </c>
      <c r="AD99" s="184">
        <f>MAX(AD98*(1+'Model Inputs'!$B$13)+AC99,0)</f>
        <v/>
      </c>
      <c r="AE99" s="184">
        <f>MAX(AE98*(1+'Model Inputs'!$B$13)+U99+AB99,0)</f>
        <v/>
      </c>
      <c r="AF99" s="184">
        <f>AD99+AE99</f>
        <v/>
      </c>
      <c r="AG99" s="191">
        <f>IF(AND(AF99&gt;=$F$14,AF98&lt;$F$14),J99,"")</f>
        <v/>
      </c>
      <c r="AH99" s="191">
        <f>IF(AND(AF99&gt;=$F$15,AF98&lt;$F$15),J99,"")</f>
        <v/>
      </c>
      <c r="AI99" s="191">
        <f>IF(AND(AF99&gt;=$F$16,AF98&lt;$F$16),J99,"")</f>
        <v/>
      </c>
      <c r="AJ99" s="191">
        <f>IF(AND(AF99&gt;=$F$17,AF98&lt;$F$17),J99,"")</f>
        <v/>
      </c>
    </row>
    <row r="100" outlineLevel="1" ht="18" customHeight="1" s="326">
      <c r="A100" s="181">
        <f>$A$25</f>
        <v/>
      </c>
      <c r="B100" s="191">
        <f>$B$25</f>
        <v/>
      </c>
      <c r="C100" s="187">
        <f>$C$25</f>
        <v/>
      </c>
      <c r="D100" s="191">
        <f>$D$25</f>
        <v/>
      </c>
      <c r="E100" s="181">
        <f>$E$25</f>
        <v/>
      </c>
      <c r="F100" s="184">
        <f>$F$25</f>
        <v/>
      </c>
      <c r="G100" s="188">
        <f>$G$25</f>
        <v/>
      </c>
      <c r="H100" s="184">
        <f>$H$25</f>
        <v/>
      </c>
      <c r="I100" s="188">
        <f>$J$17</f>
        <v/>
      </c>
      <c r="J100" s="191" t="n">
        <v>5</v>
      </c>
      <c r="K100" s="191">
        <f>('Model Inputs'!$B$22-1)+J100</f>
        <v/>
      </c>
      <c r="L100" s="184">
        <f>IF(J100=1,'Model Inputs'!$B$25*(13-'Model Inputs'!$B$23)/12,'Model Inputs'!$B$25)</f>
        <v/>
      </c>
      <c r="M100" s="184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/>
      </c>
      <c r="N100" s="188">
        <f>IF(J100&lt;=2,0,'Model Inputs'!$B$32*SIN(2*PI()*(J100-3+'Model Inputs'!$B$34)/MAX(1,'Model Inputs'!$B$33)))</f>
        <v/>
      </c>
      <c r="O100" s="184">
        <f>M100*(1+N100)</f>
        <v/>
      </c>
      <c r="P100" s="184">
        <f>0.75*O99+0.25*O98</f>
        <v/>
      </c>
      <c r="Q100" s="184">
        <f>L100+P100+IF(J100=1,'Model Inputs'!$B$26,0)</f>
        <v/>
      </c>
      <c r="R100" s="184">
        <f>IF(J100&lt;=B100,Q100,IF(J100&lt;=B100+$J$18,L100,(SUMIFS($L$51:$L$350,$A$51:$A$350,$A100,$J$51:$J$350,$B100)+SUMIFS($O$51:$O$350,$A$51:$A$350,$A100,$J$51:$J$350,$B100))*C100))</f>
        <v/>
      </c>
      <c r="S100" s="184">
        <f>H100+F100*G100*(1+I100)^MAX(0,J100-MAX(D100,B100+$J$18+1))</f>
        <v/>
      </c>
      <c r="T100" s="184">
        <f>IF(J100&gt;=MAX(D100,B100+$J$18+1),S100,R100)</f>
        <v/>
      </c>
      <c r="U100" s="184">
        <f>MIN(T100,'Tax Assumptions'!$B$19)</f>
        <v/>
      </c>
      <c r="V100" s="184">
        <f>MAX(T100-U100-'Tax Assumptions'!$B$8,0)</f>
        <v/>
      </c>
      <c r="W100" s="184">
        <f>MAX(T100-U100-'Tax Assumptions'!$B$9,0)</f>
        <v/>
      </c>
      <c r="X100" s="184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/>
      </c>
      <c r="Y100" s="184">
        <f>T100-U100-X100</f>
        <v/>
      </c>
      <c r="Z100" s="184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/>
      </c>
      <c r="AA100" s="184">
        <f>Y100-Z100</f>
        <v/>
      </c>
      <c r="AB100" s="184">
        <f>MIN(MAX(AA100,0),'Tax Assumptions'!$B$20)</f>
        <v/>
      </c>
      <c r="AC100" s="184">
        <f>AA100-AB100</f>
        <v/>
      </c>
      <c r="AD100" s="184">
        <f>MAX(AD99*(1+'Model Inputs'!$B$13)+AC100,0)</f>
        <v/>
      </c>
      <c r="AE100" s="184">
        <f>MAX(AE99*(1+'Model Inputs'!$B$13)+U100+AB100,0)</f>
        <v/>
      </c>
      <c r="AF100" s="184">
        <f>AD100+AE100</f>
        <v/>
      </c>
      <c r="AG100" s="191">
        <f>IF(AND(AF100&gt;=$F$14,AF99&lt;$F$14),J100,"")</f>
        <v/>
      </c>
      <c r="AH100" s="191">
        <f>IF(AND(AF100&gt;=$F$15,AF99&lt;$F$15),J100,"")</f>
        <v/>
      </c>
      <c r="AI100" s="191">
        <f>IF(AND(AF100&gt;=$F$16,AF99&lt;$F$16),J100,"")</f>
        <v/>
      </c>
      <c r="AJ100" s="191">
        <f>IF(AND(AF100&gt;=$F$17,AF99&lt;$F$17),J100,"")</f>
        <v/>
      </c>
    </row>
    <row r="101" outlineLevel="1" ht="18" customHeight="1" s="326">
      <c r="A101" s="181">
        <f>$A$25</f>
        <v/>
      </c>
      <c r="B101" s="191">
        <f>$B$25</f>
        <v/>
      </c>
      <c r="C101" s="187">
        <f>$C$25</f>
        <v/>
      </c>
      <c r="D101" s="191">
        <f>$D$25</f>
        <v/>
      </c>
      <c r="E101" s="181">
        <f>$E$25</f>
        <v/>
      </c>
      <c r="F101" s="184">
        <f>$F$25</f>
        <v/>
      </c>
      <c r="G101" s="188">
        <f>$G$25</f>
        <v/>
      </c>
      <c r="H101" s="184">
        <f>$H$25</f>
        <v/>
      </c>
      <c r="I101" s="188">
        <f>$J$17</f>
        <v/>
      </c>
      <c r="J101" s="191" t="n">
        <v>6</v>
      </c>
      <c r="K101" s="191">
        <f>('Model Inputs'!$B$22-1)+J101</f>
        <v/>
      </c>
      <c r="L101" s="184">
        <f>IF(J101=1,'Model Inputs'!$B$25*(13-'Model Inputs'!$B$23)/12,'Model Inputs'!$B$25)</f>
        <v/>
      </c>
      <c r="M101" s="184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/>
      </c>
      <c r="N101" s="188">
        <f>IF(J101&lt;=2,0,'Model Inputs'!$B$32*SIN(2*PI()*(J101-3+'Model Inputs'!$B$34)/MAX(1,'Model Inputs'!$B$33)))</f>
        <v/>
      </c>
      <c r="O101" s="184">
        <f>M101*(1+N101)</f>
        <v/>
      </c>
      <c r="P101" s="184">
        <f>0.75*O100+0.25*O99</f>
        <v/>
      </c>
      <c r="Q101" s="184">
        <f>L101+P101+IF(J101=1,'Model Inputs'!$B$26,0)</f>
        <v/>
      </c>
      <c r="R101" s="184">
        <f>IF(J101&lt;=B101,Q101,IF(J101&lt;=B101+$J$18,L101,(SUMIFS($L$51:$L$350,$A$51:$A$350,$A101,$J$51:$J$350,$B101)+SUMIFS($O$51:$O$350,$A$51:$A$350,$A101,$J$51:$J$350,$B101))*C101))</f>
        <v/>
      </c>
      <c r="S101" s="184">
        <f>H101+F101*G101*(1+I101)^MAX(0,J101-MAX(D101,B101+$J$18+1))</f>
        <v/>
      </c>
      <c r="T101" s="184">
        <f>IF(J101&gt;=MAX(D101,B101+$J$18+1),S101,R101)</f>
        <v/>
      </c>
      <c r="U101" s="184">
        <f>MIN(T101,'Tax Assumptions'!$B$19)</f>
        <v/>
      </c>
      <c r="V101" s="184">
        <f>MAX(T101-U101-'Tax Assumptions'!$B$8,0)</f>
        <v/>
      </c>
      <c r="W101" s="184">
        <f>MAX(T101-U101-'Tax Assumptions'!$B$9,0)</f>
        <v/>
      </c>
      <c r="X101" s="184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/>
      </c>
      <c r="Y101" s="184">
        <f>T101-U101-X101</f>
        <v/>
      </c>
      <c r="Z101" s="184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/>
      </c>
      <c r="AA101" s="184">
        <f>Y101-Z101</f>
        <v/>
      </c>
      <c r="AB101" s="184">
        <f>MIN(MAX(AA101,0),'Tax Assumptions'!$B$20)</f>
        <v/>
      </c>
      <c r="AC101" s="184">
        <f>AA101-AB101</f>
        <v/>
      </c>
      <c r="AD101" s="184">
        <f>MAX(AD100*(1+'Model Inputs'!$B$13)+AC101,0)</f>
        <v/>
      </c>
      <c r="AE101" s="184">
        <f>MAX(AE100*(1+'Model Inputs'!$B$13)+U101+AB101,0)</f>
        <v/>
      </c>
      <c r="AF101" s="184">
        <f>AD101+AE101</f>
        <v/>
      </c>
      <c r="AG101" s="191">
        <f>IF(AND(AF101&gt;=$F$14,AF100&lt;$F$14),J101,"")</f>
        <v/>
      </c>
      <c r="AH101" s="191">
        <f>IF(AND(AF101&gt;=$F$15,AF100&lt;$F$15),J101,"")</f>
        <v/>
      </c>
      <c r="AI101" s="191">
        <f>IF(AND(AF101&gt;=$F$16,AF100&lt;$F$16),J101,"")</f>
        <v/>
      </c>
      <c r="AJ101" s="191">
        <f>IF(AND(AF101&gt;=$F$17,AF100&lt;$F$17),J101,"")</f>
        <v/>
      </c>
    </row>
    <row r="102" outlineLevel="1" ht="18" customHeight="1" s="326">
      <c r="A102" s="181">
        <f>$A$25</f>
        <v/>
      </c>
      <c r="B102" s="191">
        <f>$B$25</f>
        <v/>
      </c>
      <c r="C102" s="187">
        <f>$C$25</f>
        <v/>
      </c>
      <c r="D102" s="191">
        <f>$D$25</f>
        <v/>
      </c>
      <c r="E102" s="181">
        <f>$E$25</f>
        <v/>
      </c>
      <c r="F102" s="184">
        <f>$F$25</f>
        <v/>
      </c>
      <c r="G102" s="188">
        <f>$G$25</f>
        <v/>
      </c>
      <c r="H102" s="184">
        <f>$H$25</f>
        <v/>
      </c>
      <c r="I102" s="188">
        <f>$J$17</f>
        <v/>
      </c>
      <c r="J102" s="191" t="n">
        <v>7</v>
      </c>
      <c r="K102" s="191">
        <f>('Model Inputs'!$B$22-1)+J102</f>
        <v/>
      </c>
      <c r="L102" s="184">
        <f>IF(J102=1,'Model Inputs'!$B$25*(13-'Model Inputs'!$B$23)/12,'Model Inputs'!$B$25)</f>
        <v/>
      </c>
      <c r="M102" s="184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/>
      </c>
      <c r="N102" s="188">
        <f>IF(J102&lt;=2,0,'Model Inputs'!$B$32*SIN(2*PI()*(J102-3+'Model Inputs'!$B$34)/MAX(1,'Model Inputs'!$B$33)))</f>
        <v/>
      </c>
      <c r="O102" s="184">
        <f>M102*(1+N102)</f>
        <v/>
      </c>
      <c r="P102" s="184">
        <f>0.75*O101+0.25*O100</f>
        <v/>
      </c>
      <c r="Q102" s="184">
        <f>L102+P102+IF(J102=1,'Model Inputs'!$B$26,0)</f>
        <v/>
      </c>
      <c r="R102" s="184">
        <f>IF(J102&lt;=B102,Q102,IF(J102&lt;=B102+$J$18,L102,(SUMIFS($L$51:$L$350,$A$51:$A$350,$A102,$J$51:$J$350,$B102)+SUMIFS($O$51:$O$350,$A$51:$A$350,$A102,$J$51:$J$350,$B102))*C102))</f>
        <v/>
      </c>
      <c r="S102" s="184">
        <f>H102+F102*G102*(1+I102)^MAX(0,J102-MAX(D102,B102+$J$18+1))</f>
        <v/>
      </c>
      <c r="T102" s="184">
        <f>IF(J102&gt;=MAX(D102,B102+$J$18+1),S102,R102)</f>
        <v/>
      </c>
      <c r="U102" s="184">
        <f>MIN(T102,'Tax Assumptions'!$B$19)</f>
        <v/>
      </c>
      <c r="V102" s="184">
        <f>MAX(T102-U102-'Tax Assumptions'!$B$8,0)</f>
        <v/>
      </c>
      <c r="W102" s="184">
        <f>MAX(T102-U102-'Tax Assumptions'!$B$9,0)</f>
        <v/>
      </c>
      <c r="X102" s="184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/>
      </c>
      <c r="Y102" s="184">
        <f>T102-U102-X102</f>
        <v/>
      </c>
      <c r="Z102" s="184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/>
      </c>
      <c r="AA102" s="184">
        <f>Y102-Z102</f>
        <v/>
      </c>
      <c r="AB102" s="184">
        <f>MIN(MAX(AA102,0),'Tax Assumptions'!$B$20)</f>
        <v/>
      </c>
      <c r="AC102" s="184">
        <f>AA102-AB102</f>
        <v/>
      </c>
      <c r="AD102" s="184">
        <f>MAX(AD101*(1+'Model Inputs'!$B$13)+AC102,0)</f>
        <v/>
      </c>
      <c r="AE102" s="184">
        <f>MAX(AE101*(1+'Model Inputs'!$B$13)+U102+AB102,0)</f>
        <v/>
      </c>
      <c r="AF102" s="184">
        <f>AD102+AE102</f>
        <v/>
      </c>
      <c r="AG102" s="191">
        <f>IF(AND(AF102&gt;=$F$14,AF101&lt;$F$14),J102,"")</f>
        <v/>
      </c>
      <c r="AH102" s="191">
        <f>IF(AND(AF102&gt;=$F$15,AF101&lt;$F$15),J102,"")</f>
        <v/>
      </c>
      <c r="AI102" s="191">
        <f>IF(AND(AF102&gt;=$F$16,AF101&lt;$F$16),J102,"")</f>
        <v/>
      </c>
      <c r="AJ102" s="191">
        <f>IF(AND(AF102&gt;=$F$17,AF101&lt;$F$17),J102,"")</f>
        <v/>
      </c>
    </row>
    <row r="103" outlineLevel="1" ht="18" customHeight="1" s="326">
      <c r="A103" s="181">
        <f>$A$25</f>
        <v/>
      </c>
      <c r="B103" s="191">
        <f>$B$25</f>
        <v/>
      </c>
      <c r="C103" s="187">
        <f>$C$25</f>
        <v/>
      </c>
      <c r="D103" s="191">
        <f>$D$25</f>
        <v/>
      </c>
      <c r="E103" s="181">
        <f>$E$25</f>
        <v/>
      </c>
      <c r="F103" s="184">
        <f>$F$25</f>
        <v/>
      </c>
      <c r="G103" s="188">
        <f>$G$25</f>
        <v/>
      </c>
      <c r="H103" s="184">
        <f>$H$25</f>
        <v/>
      </c>
      <c r="I103" s="188">
        <f>$J$17</f>
        <v/>
      </c>
      <c r="J103" s="191" t="n">
        <v>8</v>
      </c>
      <c r="K103" s="191">
        <f>('Model Inputs'!$B$22-1)+J103</f>
        <v/>
      </c>
      <c r="L103" s="184">
        <f>IF(J103=1,'Model Inputs'!$B$25*(13-'Model Inputs'!$B$23)/12,'Model Inputs'!$B$25)</f>
        <v/>
      </c>
      <c r="M103" s="184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/>
      </c>
      <c r="N103" s="188">
        <f>IF(J103&lt;=2,0,'Model Inputs'!$B$32*SIN(2*PI()*(J103-3+'Model Inputs'!$B$34)/MAX(1,'Model Inputs'!$B$33)))</f>
        <v/>
      </c>
      <c r="O103" s="184">
        <f>M103*(1+N103)</f>
        <v/>
      </c>
      <c r="P103" s="184">
        <f>0.75*O102+0.25*O101</f>
        <v/>
      </c>
      <c r="Q103" s="184">
        <f>L103+P103+IF(J103=1,'Model Inputs'!$B$26,0)</f>
        <v/>
      </c>
      <c r="R103" s="184">
        <f>IF(J103&lt;=B103,Q103,IF(J103&lt;=B103+$J$18,L103,(SUMIFS($L$51:$L$350,$A$51:$A$350,$A103,$J$51:$J$350,$B103)+SUMIFS($O$51:$O$350,$A$51:$A$350,$A103,$J$51:$J$350,$B103))*C103))</f>
        <v/>
      </c>
      <c r="S103" s="184">
        <f>H103+F103*G103*(1+I103)^MAX(0,J103-MAX(D103,B103+$J$18+1))</f>
        <v/>
      </c>
      <c r="T103" s="184">
        <f>IF(J103&gt;=MAX(D103,B103+$J$18+1),S103,R103)</f>
        <v/>
      </c>
      <c r="U103" s="184">
        <f>MIN(T103,'Tax Assumptions'!$B$19)</f>
        <v/>
      </c>
      <c r="V103" s="184">
        <f>MAX(T103-U103-'Tax Assumptions'!$B$8,0)</f>
        <v/>
      </c>
      <c r="W103" s="184">
        <f>MAX(T103-U103-'Tax Assumptions'!$B$9,0)</f>
        <v/>
      </c>
      <c r="X103" s="184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/>
      </c>
      <c r="Y103" s="184">
        <f>T103-U103-X103</f>
        <v/>
      </c>
      <c r="Z103" s="184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/>
      </c>
      <c r="AA103" s="184">
        <f>Y103-Z103</f>
        <v/>
      </c>
      <c r="AB103" s="184">
        <f>MIN(MAX(AA103,0),'Tax Assumptions'!$B$20)</f>
        <v/>
      </c>
      <c r="AC103" s="184">
        <f>AA103-AB103</f>
        <v/>
      </c>
      <c r="AD103" s="184">
        <f>MAX(AD102*(1+'Model Inputs'!$B$13)+AC103,0)</f>
        <v/>
      </c>
      <c r="AE103" s="184">
        <f>MAX(AE102*(1+'Model Inputs'!$B$13)+U103+AB103,0)</f>
        <v/>
      </c>
      <c r="AF103" s="184">
        <f>AD103+AE103</f>
        <v/>
      </c>
      <c r="AG103" s="191">
        <f>IF(AND(AF103&gt;=$F$14,AF102&lt;$F$14),J103,"")</f>
        <v/>
      </c>
      <c r="AH103" s="191">
        <f>IF(AND(AF103&gt;=$F$15,AF102&lt;$F$15),J103,"")</f>
        <v/>
      </c>
      <c r="AI103" s="191">
        <f>IF(AND(AF103&gt;=$F$16,AF102&lt;$F$16),J103,"")</f>
        <v/>
      </c>
      <c r="AJ103" s="191">
        <f>IF(AND(AF103&gt;=$F$17,AF102&lt;$F$17),J103,"")</f>
        <v/>
      </c>
    </row>
    <row r="104" outlineLevel="1" ht="18" customHeight="1" s="326">
      <c r="A104" s="181">
        <f>$A$25</f>
        <v/>
      </c>
      <c r="B104" s="191">
        <f>$B$25</f>
        <v/>
      </c>
      <c r="C104" s="187">
        <f>$C$25</f>
        <v/>
      </c>
      <c r="D104" s="191">
        <f>$D$25</f>
        <v/>
      </c>
      <c r="E104" s="181">
        <f>$E$25</f>
        <v/>
      </c>
      <c r="F104" s="184">
        <f>$F$25</f>
        <v/>
      </c>
      <c r="G104" s="188">
        <f>$G$25</f>
        <v/>
      </c>
      <c r="H104" s="184">
        <f>$H$25</f>
        <v/>
      </c>
      <c r="I104" s="188">
        <f>$J$17</f>
        <v/>
      </c>
      <c r="J104" s="191" t="n">
        <v>9</v>
      </c>
      <c r="K104" s="191">
        <f>('Model Inputs'!$B$22-1)+J104</f>
        <v/>
      </c>
      <c r="L104" s="184">
        <f>IF(J104=1,'Model Inputs'!$B$25*(13-'Model Inputs'!$B$23)/12,'Model Inputs'!$B$25)</f>
        <v/>
      </c>
      <c r="M104" s="184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/>
      </c>
      <c r="N104" s="188">
        <f>IF(J104&lt;=2,0,'Model Inputs'!$B$32*SIN(2*PI()*(J104-3+'Model Inputs'!$B$34)/MAX(1,'Model Inputs'!$B$33)))</f>
        <v/>
      </c>
      <c r="O104" s="184">
        <f>M104*(1+N104)</f>
        <v/>
      </c>
      <c r="P104" s="184">
        <f>0.75*O103+0.25*O102</f>
        <v/>
      </c>
      <c r="Q104" s="184">
        <f>L104+P104+IF(J104=1,'Model Inputs'!$B$26,0)</f>
        <v/>
      </c>
      <c r="R104" s="184">
        <f>IF(J104&lt;=B104,Q104,IF(J104&lt;=B104+$J$18,L104,(SUMIFS($L$51:$L$350,$A$51:$A$350,$A104,$J$51:$J$350,$B104)+SUMIFS($O$51:$O$350,$A$51:$A$350,$A104,$J$51:$J$350,$B104))*C104))</f>
        <v/>
      </c>
      <c r="S104" s="184">
        <f>H104+F104*G104*(1+I104)^MAX(0,J104-MAX(D104,B104+$J$18+1))</f>
        <v/>
      </c>
      <c r="T104" s="184">
        <f>IF(J104&gt;=MAX(D104,B104+$J$18+1),S104,R104)</f>
        <v/>
      </c>
      <c r="U104" s="184">
        <f>MIN(T104,'Tax Assumptions'!$B$19)</f>
        <v/>
      </c>
      <c r="V104" s="184">
        <f>MAX(T104-U104-'Tax Assumptions'!$B$8,0)</f>
        <v/>
      </c>
      <c r="W104" s="184">
        <f>MAX(T104-U104-'Tax Assumptions'!$B$9,0)</f>
        <v/>
      </c>
      <c r="X104" s="184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/>
      </c>
      <c r="Y104" s="184">
        <f>T104-U104-X104</f>
        <v/>
      </c>
      <c r="Z104" s="184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/>
      </c>
      <c r="AA104" s="184">
        <f>Y104-Z104</f>
        <v/>
      </c>
      <c r="AB104" s="184">
        <f>MIN(MAX(AA104,0),'Tax Assumptions'!$B$20)</f>
        <v/>
      </c>
      <c r="AC104" s="184">
        <f>AA104-AB104</f>
        <v/>
      </c>
      <c r="AD104" s="184">
        <f>MAX(AD103*(1+'Model Inputs'!$B$13)+AC104,0)</f>
        <v/>
      </c>
      <c r="AE104" s="184">
        <f>MAX(AE103*(1+'Model Inputs'!$B$13)+U104+AB104,0)</f>
        <v/>
      </c>
      <c r="AF104" s="184">
        <f>AD104+AE104</f>
        <v/>
      </c>
      <c r="AG104" s="191">
        <f>IF(AND(AF104&gt;=$F$14,AF103&lt;$F$14),J104,"")</f>
        <v/>
      </c>
      <c r="AH104" s="191">
        <f>IF(AND(AF104&gt;=$F$15,AF103&lt;$F$15),J104,"")</f>
        <v/>
      </c>
      <c r="AI104" s="191">
        <f>IF(AND(AF104&gt;=$F$16,AF103&lt;$F$16),J104,"")</f>
        <v/>
      </c>
      <c r="AJ104" s="191">
        <f>IF(AND(AF104&gt;=$F$17,AF103&lt;$F$17),J104,"")</f>
        <v/>
      </c>
    </row>
    <row r="105" outlineLevel="1" ht="18" customHeight="1" s="326">
      <c r="A105" s="181">
        <f>$A$25</f>
        <v/>
      </c>
      <c r="B105" s="191">
        <f>$B$25</f>
        <v/>
      </c>
      <c r="C105" s="187">
        <f>$C$25</f>
        <v/>
      </c>
      <c r="D105" s="191">
        <f>$D$25</f>
        <v/>
      </c>
      <c r="E105" s="181">
        <f>$E$25</f>
        <v/>
      </c>
      <c r="F105" s="184">
        <f>$F$25</f>
        <v/>
      </c>
      <c r="G105" s="188">
        <f>$G$25</f>
        <v/>
      </c>
      <c r="H105" s="184">
        <f>$H$25</f>
        <v/>
      </c>
      <c r="I105" s="188">
        <f>$J$17</f>
        <v/>
      </c>
      <c r="J105" s="191" t="n">
        <v>10</v>
      </c>
      <c r="K105" s="191">
        <f>('Model Inputs'!$B$22-1)+J105</f>
        <v/>
      </c>
      <c r="L105" s="184">
        <f>IF(J105=1,'Model Inputs'!$B$25*(13-'Model Inputs'!$B$23)/12,'Model Inputs'!$B$25)</f>
        <v/>
      </c>
      <c r="M105" s="184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/>
      </c>
      <c r="N105" s="188">
        <f>IF(J105&lt;=2,0,'Model Inputs'!$B$32*SIN(2*PI()*(J105-3+'Model Inputs'!$B$34)/MAX(1,'Model Inputs'!$B$33)))</f>
        <v/>
      </c>
      <c r="O105" s="184">
        <f>M105*(1+N105)</f>
        <v/>
      </c>
      <c r="P105" s="184">
        <f>0.75*O104+0.25*O103</f>
        <v/>
      </c>
      <c r="Q105" s="184">
        <f>L105+P105+IF(J105=1,'Model Inputs'!$B$26,0)</f>
        <v/>
      </c>
      <c r="R105" s="184">
        <f>IF(J105&lt;=B105,Q105,IF(J105&lt;=B105+$J$18,L105,(SUMIFS($L$51:$L$350,$A$51:$A$350,$A105,$J$51:$J$350,$B105)+SUMIFS($O$51:$O$350,$A$51:$A$350,$A105,$J$51:$J$350,$B105))*C105))</f>
        <v/>
      </c>
      <c r="S105" s="184">
        <f>H105+F105*G105*(1+I105)^MAX(0,J105-MAX(D105,B105+$J$18+1))</f>
        <v/>
      </c>
      <c r="T105" s="184">
        <f>IF(J105&gt;=MAX(D105,B105+$J$18+1),S105,R105)</f>
        <v/>
      </c>
      <c r="U105" s="184">
        <f>MIN(T105,'Tax Assumptions'!$B$19)</f>
        <v/>
      </c>
      <c r="V105" s="184">
        <f>MAX(T105-U105-'Tax Assumptions'!$B$8,0)</f>
        <v/>
      </c>
      <c r="W105" s="184">
        <f>MAX(T105-U105-'Tax Assumptions'!$B$9,0)</f>
        <v/>
      </c>
      <c r="X105" s="184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/>
      </c>
      <c r="Y105" s="184">
        <f>T105-U105-X105</f>
        <v/>
      </c>
      <c r="Z105" s="184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/>
      </c>
      <c r="AA105" s="184">
        <f>Y105-Z105</f>
        <v/>
      </c>
      <c r="AB105" s="184">
        <f>MIN(MAX(AA105,0),'Tax Assumptions'!$B$20)</f>
        <v/>
      </c>
      <c r="AC105" s="184">
        <f>AA105-AB105</f>
        <v/>
      </c>
      <c r="AD105" s="184">
        <f>MAX(AD104*(1+'Model Inputs'!$B$13)+AC105,0)</f>
        <v/>
      </c>
      <c r="AE105" s="184">
        <f>MAX(AE104*(1+'Model Inputs'!$B$13)+U105+AB105,0)</f>
        <v/>
      </c>
      <c r="AF105" s="184">
        <f>AD105+AE105</f>
        <v/>
      </c>
      <c r="AG105" s="191">
        <f>IF(AND(AF105&gt;=$F$14,AF104&lt;$F$14),J105,"")</f>
        <v/>
      </c>
      <c r="AH105" s="191">
        <f>IF(AND(AF105&gt;=$F$15,AF104&lt;$F$15),J105,"")</f>
        <v/>
      </c>
      <c r="AI105" s="191">
        <f>IF(AND(AF105&gt;=$F$16,AF104&lt;$F$16),J105,"")</f>
        <v/>
      </c>
      <c r="AJ105" s="191">
        <f>IF(AND(AF105&gt;=$F$17,AF104&lt;$F$17),J105,"")</f>
        <v/>
      </c>
    </row>
    <row r="106" outlineLevel="1" ht="18" customHeight="1" s="326">
      <c r="A106" s="181">
        <f>$A$25</f>
        <v/>
      </c>
      <c r="B106" s="191">
        <f>$B$25</f>
        <v/>
      </c>
      <c r="C106" s="187">
        <f>$C$25</f>
        <v/>
      </c>
      <c r="D106" s="191">
        <f>$D$25</f>
        <v/>
      </c>
      <c r="E106" s="181">
        <f>$E$25</f>
        <v/>
      </c>
      <c r="F106" s="184">
        <f>$F$25</f>
        <v/>
      </c>
      <c r="G106" s="188">
        <f>$G$25</f>
        <v/>
      </c>
      <c r="H106" s="184">
        <f>$H$25</f>
        <v/>
      </c>
      <c r="I106" s="188">
        <f>$J$17</f>
        <v/>
      </c>
      <c r="J106" s="191" t="n">
        <v>11</v>
      </c>
      <c r="K106" s="191">
        <f>('Model Inputs'!$B$22-1)+J106</f>
        <v/>
      </c>
      <c r="L106" s="184">
        <f>IF(J106=1,'Model Inputs'!$B$25*(13-'Model Inputs'!$B$23)/12,'Model Inputs'!$B$25)</f>
        <v/>
      </c>
      <c r="M106" s="184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/>
      </c>
      <c r="N106" s="188">
        <f>IF(J106&lt;=2,0,'Model Inputs'!$B$32*SIN(2*PI()*(J106-3+'Model Inputs'!$B$34)/MAX(1,'Model Inputs'!$B$33)))</f>
        <v/>
      </c>
      <c r="O106" s="184">
        <f>M106*(1+N106)</f>
        <v/>
      </c>
      <c r="P106" s="184">
        <f>0.75*O105+0.25*O104</f>
        <v/>
      </c>
      <c r="Q106" s="184">
        <f>L106+P106+IF(J106=1,'Model Inputs'!$B$26,0)</f>
        <v/>
      </c>
      <c r="R106" s="184">
        <f>IF(J106&lt;=B106,Q106,IF(J106&lt;=B106+$J$18,L106,(SUMIFS($L$51:$L$350,$A$51:$A$350,$A106,$J$51:$J$350,$B106)+SUMIFS($O$51:$O$350,$A$51:$A$350,$A106,$J$51:$J$350,$B106))*C106))</f>
        <v/>
      </c>
      <c r="S106" s="184">
        <f>H106+F106*G106*(1+I106)^MAX(0,J106-MAX(D106,B106+$J$18+1))</f>
        <v/>
      </c>
      <c r="T106" s="184">
        <f>IF(J106&gt;=MAX(D106,B106+$J$18+1),S106,R106)</f>
        <v/>
      </c>
      <c r="U106" s="184">
        <f>MIN(T106,'Tax Assumptions'!$B$19)</f>
        <v/>
      </c>
      <c r="V106" s="184">
        <f>MAX(T106-U106-'Tax Assumptions'!$B$8,0)</f>
        <v/>
      </c>
      <c r="W106" s="184">
        <f>MAX(T106-U106-'Tax Assumptions'!$B$9,0)</f>
        <v/>
      </c>
      <c r="X106" s="184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/>
      </c>
      <c r="Y106" s="184">
        <f>T106-U106-X106</f>
        <v/>
      </c>
      <c r="Z106" s="184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/>
      </c>
      <c r="AA106" s="184">
        <f>Y106-Z106</f>
        <v/>
      </c>
      <c r="AB106" s="184">
        <f>MIN(MAX(AA106,0),'Tax Assumptions'!$B$20)</f>
        <v/>
      </c>
      <c r="AC106" s="184">
        <f>AA106-AB106</f>
        <v/>
      </c>
      <c r="AD106" s="184">
        <f>MAX(AD105*(1+'Model Inputs'!$B$13)+AC106,0)</f>
        <v/>
      </c>
      <c r="AE106" s="184">
        <f>MAX(AE105*(1+'Model Inputs'!$B$13)+U106+AB106,0)</f>
        <v/>
      </c>
      <c r="AF106" s="184">
        <f>AD106+AE106</f>
        <v/>
      </c>
      <c r="AG106" s="191">
        <f>IF(AND(AF106&gt;=$F$14,AF105&lt;$F$14),J106,"")</f>
        <v/>
      </c>
      <c r="AH106" s="191">
        <f>IF(AND(AF106&gt;=$F$15,AF105&lt;$F$15),J106,"")</f>
        <v/>
      </c>
      <c r="AI106" s="191">
        <f>IF(AND(AF106&gt;=$F$16,AF105&lt;$F$16),J106,"")</f>
        <v/>
      </c>
      <c r="AJ106" s="191">
        <f>IF(AND(AF106&gt;=$F$17,AF105&lt;$F$17),J106,"")</f>
        <v/>
      </c>
    </row>
    <row r="107" outlineLevel="1" ht="18" customHeight="1" s="326">
      <c r="A107" s="181">
        <f>$A$25</f>
        <v/>
      </c>
      <c r="B107" s="191">
        <f>$B$25</f>
        <v/>
      </c>
      <c r="C107" s="187">
        <f>$C$25</f>
        <v/>
      </c>
      <c r="D107" s="191">
        <f>$D$25</f>
        <v/>
      </c>
      <c r="E107" s="181">
        <f>$E$25</f>
        <v/>
      </c>
      <c r="F107" s="184">
        <f>$F$25</f>
        <v/>
      </c>
      <c r="G107" s="188">
        <f>$G$25</f>
        <v/>
      </c>
      <c r="H107" s="184">
        <f>$H$25</f>
        <v/>
      </c>
      <c r="I107" s="188">
        <f>$J$17</f>
        <v/>
      </c>
      <c r="J107" s="191" t="n">
        <v>12</v>
      </c>
      <c r="K107" s="191">
        <f>('Model Inputs'!$B$22-1)+J107</f>
        <v/>
      </c>
      <c r="L107" s="184">
        <f>IF(J107=1,'Model Inputs'!$B$25*(13-'Model Inputs'!$B$23)/12,'Model Inputs'!$B$25)</f>
        <v/>
      </c>
      <c r="M107" s="184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/>
      </c>
      <c r="N107" s="188">
        <f>IF(J107&lt;=2,0,'Model Inputs'!$B$32*SIN(2*PI()*(J107-3+'Model Inputs'!$B$34)/MAX(1,'Model Inputs'!$B$33)))</f>
        <v/>
      </c>
      <c r="O107" s="184">
        <f>M107*(1+N107)</f>
        <v/>
      </c>
      <c r="P107" s="184">
        <f>0.75*O106+0.25*O105</f>
        <v/>
      </c>
      <c r="Q107" s="184">
        <f>L107+P107+IF(J107=1,'Model Inputs'!$B$26,0)</f>
        <v/>
      </c>
      <c r="R107" s="184">
        <f>IF(J107&lt;=B107,Q107,IF(J107&lt;=B107+$J$18,L107,(SUMIFS($L$51:$L$350,$A$51:$A$350,$A107,$J$51:$J$350,$B107)+SUMIFS($O$51:$O$350,$A$51:$A$350,$A107,$J$51:$J$350,$B107))*C107))</f>
        <v/>
      </c>
      <c r="S107" s="184">
        <f>H107+F107*G107*(1+I107)^MAX(0,J107-MAX(D107,B107+$J$18+1))</f>
        <v/>
      </c>
      <c r="T107" s="184">
        <f>IF(J107&gt;=MAX(D107,B107+$J$18+1),S107,R107)</f>
        <v/>
      </c>
      <c r="U107" s="184">
        <f>MIN(T107,'Tax Assumptions'!$B$19)</f>
        <v/>
      </c>
      <c r="V107" s="184">
        <f>MAX(T107-U107-'Tax Assumptions'!$B$8,0)</f>
        <v/>
      </c>
      <c r="W107" s="184">
        <f>MAX(T107-U107-'Tax Assumptions'!$B$9,0)</f>
        <v/>
      </c>
      <c r="X107" s="184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/>
      </c>
      <c r="Y107" s="184">
        <f>T107-U107-X107</f>
        <v/>
      </c>
      <c r="Z107" s="184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/>
      </c>
      <c r="AA107" s="184">
        <f>Y107-Z107</f>
        <v/>
      </c>
      <c r="AB107" s="184">
        <f>MIN(MAX(AA107,0),'Tax Assumptions'!$B$20)</f>
        <v/>
      </c>
      <c r="AC107" s="184">
        <f>AA107-AB107</f>
        <v/>
      </c>
      <c r="AD107" s="184">
        <f>MAX(AD106*(1+'Model Inputs'!$B$13)+AC107,0)</f>
        <v/>
      </c>
      <c r="AE107" s="184">
        <f>MAX(AE106*(1+'Model Inputs'!$B$13)+U107+AB107,0)</f>
        <v/>
      </c>
      <c r="AF107" s="184">
        <f>AD107+AE107</f>
        <v/>
      </c>
      <c r="AG107" s="191">
        <f>IF(AND(AF107&gt;=$F$14,AF106&lt;$F$14),J107,"")</f>
        <v/>
      </c>
      <c r="AH107" s="191">
        <f>IF(AND(AF107&gt;=$F$15,AF106&lt;$F$15),J107,"")</f>
        <v/>
      </c>
      <c r="AI107" s="191">
        <f>IF(AND(AF107&gt;=$F$16,AF106&lt;$F$16),J107,"")</f>
        <v/>
      </c>
      <c r="AJ107" s="191">
        <f>IF(AND(AF107&gt;=$F$17,AF106&lt;$F$17),J107,"")</f>
        <v/>
      </c>
    </row>
    <row r="108" outlineLevel="1" ht="18" customHeight="1" s="326">
      <c r="A108" s="181">
        <f>$A$25</f>
        <v/>
      </c>
      <c r="B108" s="191">
        <f>$B$25</f>
        <v/>
      </c>
      <c r="C108" s="187">
        <f>$C$25</f>
        <v/>
      </c>
      <c r="D108" s="191">
        <f>$D$25</f>
        <v/>
      </c>
      <c r="E108" s="181">
        <f>$E$25</f>
        <v/>
      </c>
      <c r="F108" s="184">
        <f>$F$25</f>
        <v/>
      </c>
      <c r="G108" s="188">
        <f>$G$25</f>
        <v/>
      </c>
      <c r="H108" s="184">
        <f>$H$25</f>
        <v/>
      </c>
      <c r="I108" s="188">
        <f>$J$17</f>
        <v/>
      </c>
      <c r="J108" s="191" t="n">
        <v>13</v>
      </c>
      <c r="K108" s="191">
        <f>('Model Inputs'!$B$22-1)+J108</f>
        <v/>
      </c>
      <c r="L108" s="184">
        <f>IF(J108=1,'Model Inputs'!$B$25*(13-'Model Inputs'!$B$23)/12,'Model Inputs'!$B$25)</f>
        <v/>
      </c>
      <c r="M108" s="184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/>
      </c>
      <c r="N108" s="188">
        <f>IF(J108&lt;=2,0,'Model Inputs'!$B$32*SIN(2*PI()*(J108-3+'Model Inputs'!$B$34)/MAX(1,'Model Inputs'!$B$33)))</f>
        <v/>
      </c>
      <c r="O108" s="184">
        <f>M108*(1+N108)</f>
        <v/>
      </c>
      <c r="P108" s="184">
        <f>0.75*O107+0.25*O106</f>
        <v/>
      </c>
      <c r="Q108" s="184">
        <f>L108+P108+IF(J108=1,'Model Inputs'!$B$26,0)</f>
        <v/>
      </c>
      <c r="R108" s="184">
        <f>IF(J108&lt;=B108,Q108,IF(J108&lt;=B108+$J$18,L108,(SUMIFS($L$51:$L$350,$A$51:$A$350,$A108,$J$51:$J$350,$B108)+SUMIFS($O$51:$O$350,$A$51:$A$350,$A108,$J$51:$J$350,$B108))*C108))</f>
        <v/>
      </c>
      <c r="S108" s="184">
        <f>H108+F108*G108*(1+I108)^MAX(0,J108-MAX(D108,B108+$J$18+1))</f>
        <v/>
      </c>
      <c r="T108" s="184">
        <f>IF(J108&gt;=MAX(D108,B108+$J$18+1),S108,R108)</f>
        <v/>
      </c>
      <c r="U108" s="184">
        <f>MIN(T108,'Tax Assumptions'!$B$19)</f>
        <v/>
      </c>
      <c r="V108" s="184">
        <f>MAX(T108-U108-'Tax Assumptions'!$B$8,0)</f>
        <v/>
      </c>
      <c r="W108" s="184">
        <f>MAX(T108-U108-'Tax Assumptions'!$B$9,0)</f>
        <v/>
      </c>
      <c r="X108" s="184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/>
      </c>
      <c r="Y108" s="184">
        <f>T108-U108-X108</f>
        <v/>
      </c>
      <c r="Z108" s="184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/>
      </c>
      <c r="AA108" s="184">
        <f>Y108-Z108</f>
        <v/>
      </c>
      <c r="AB108" s="184">
        <f>MIN(MAX(AA108,0),'Tax Assumptions'!$B$20)</f>
        <v/>
      </c>
      <c r="AC108" s="184">
        <f>AA108-AB108</f>
        <v/>
      </c>
      <c r="AD108" s="184">
        <f>MAX(AD107*(1+'Model Inputs'!$B$13)+AC108,0)</f>
        <v/>
      </c>
      <c r="AE108" s="184">
        <f>MAX(AE107*(1+'Model Inputs'!$B$13)+U108+AB108,0)</f>
        <v/>
      </c>
      <c r="AF108" s="184">
        <f>AD108+AE108</f>
        <v/>
      </c>
      <c r="AG108" s="191">
        <f>IF(AND(AF108&gt;=$F$14,AF107&lt;$F$14),J108,"")</f>
        <v/>
      </c>
      <c r="AH108" s="191">
        <f>IF(AND(AF108&gt;=$F$15,AF107&lt;$F$15),J108,"")</f>
        <v/>
      </c>
      <c r="AI108" s="191">
        <f>IF(AND(AF108&gt;=$F$16,AF107&lt;$F$16),J108,"")</f>
        <v/>
      </c>
      <c r="AJ108" s="191">
        <f>IF(AND(AF108&gt;=$F$17,AF107&lt;$F$17),J108,"")</f>
        <v/>
      </c>
    </row>
    <row r="109" outlineLevel="1" ht="18" customHeight="1" s="326">
      <c r="A109" s="181">
        <f>$A$25</f>
        <v/>
      </c>
      <c r="B109" s="191">
        <f>$B$25</f>
        <v/>
      </c>
      <c r="C109" s="187">
        <f>$C$25</f>
        <v/>
      </c>
      <c r="D109" s="191">
        <f>$D$25</f>
        <v/>
      </c>
      <c r="E109" s="181">
        <f>$E$25</f>
        <v/>
      </c>
      <c r="F109" s="184">
        <f>$F$25</f>
        <v/>
      </c>
      <c r="G109" s="188">
        <f>$G$25</f>
        <v/>
      </c>
      <c r="H109" s="184">
        <f>$H$25</f>
        <v/>
      </c>
      <c r="I109" s="188">
        <f>$J$17</f>
        <v/>
      </c>
      <c r="J109" s="191" t="n">
        <v>14</v>
      </c>
      <c r="K109" s="191">
        <f>('Model Inputs'!$B$22-1)+J109</f>
        <v/>
      </c>
      <c r="L109" s="184">
        <f>IF(J109=1,'Model Inputs'!$B$25*(13-'Model Inputs'!$B$23)/12,'Model Inputs'!$B$25)</f>
        <v/>
      </c>
      <c r="M109" s="184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/>
      </c>
      <c r="N109" s="188">
        <f>IF(J109&lt;=2,0,'Model Inputs'!$B$32*SIN(2*PI()*(J109-3+'Model Inputs'!$B$34)/MAX(1,'Model Inputs'!$B$33)))</f>
        <v/>
      </c>
      <c r="O109" s="184">
        <f>M109*(1+N109)</f>
        <v/>
      </c>
      <c r="P109" s="184">
        <f>0.75*O108+0.25*O107</f>
        <v/>
      </c>
      <c r="Q109" s="184">
        <f>L109+P109+IF(J109=1,'Model Inputs'!$B$26,0)</f>
        <v/>
      </c>
      <c r="R109" s="184">
        <f>IF(J109&lt;=B109,Q109,IF(J109&lt;=B109+$J$18,L109,(SUMIFS($L$51:$L$350,$A$51:$A$350,$A109,$J$51:$J$350,$B109)+SUMIFS($O$51:$O$350,$A$51:$A$350,$A109,$J$51:$J$350,$B109))*C109))</f>
        <v/>
      </c>
      <c r="S109" s="184">
        <f>H109+F109*G109*(1+I109)^MAX(0,J109-MAX(D109,B109+$J$18+1))</f>
        <v/>
      </c>
      <c r="T109" s="184">
        <f>IF(J109&gt;=MAX(D109,B109+$J$18+1),S109,R109)</f>
        <v/>
      </c>
      <c r="U109" s="184">
        <f>MIN(T109,'Tax Assumptions'!$B$19)</f>
        <v/>
      </c>
      <c r="V109" s="184">
        <f>MAX(T109-U109-'Tax Assumptions'!$B$8,0)</f>
        <v/>
      </c>
      <c r="W109" s="184">
        <f>MAX(T109-U109-'Tax Assumptions'!$B$9,0)</f>
        <v/>
      </c>
      <c r="X109" s="184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/>
      </c>
      <c r="Y109" s="184">
        <f>T109-U109-X109</f>
        <v/>
      </c>
      <c r="Z109" s="184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/>
      </c>
      <c r="AA109" s="184">
        <f>Y109-Z109</f>
        <v/>
      </c>
      <c r="AB109" s="184">
        <f>MIN(MAX(AA109,0),'Tax Assumptions'!$B$20)</f>
        <v/>
      </c>
      <c r="AC109" s="184">
        <f>AA109-AB109</f>
        <v/>
      </c>
      <c r="AD109" s="184">
        <f>MAX(AD108*(1+'Model Inputs'!$B$13)+AC109,0)</f>
        <v/>
      </c>
      <c r="AE109" s="184">
        <f>MAX(AE108*(1+'Model Inputs'!$B$13)+U109+AB109,0)</f>
        <v/>
      </c>
      <c r="AF109" s="184">
        <f>AD109+AE109</f>
        <v/>
      </c>
      <c r="AG109" s="191">
        <f>IF(AND(AF109&gt;=$F$14,AF108&lt;$F$14),J109,"")</f>
        <v/>
      </c>
      <c r="AH109" s="191">
        <f>IF(AND(AF109&gt;=$F$15,AF108&lt;$F$15),J109,"")</f>
        <v/>
      </c>
      <c r="AI109" s="191">
        <f>IF(AND(AF109&gt;=$F$16,AF108&lt;$F$16),J109,"")</f>
        <v/>
      </c>
      <c r="AJ109" s="191">
        <f>IF(AND(AF109&gt;=$F$17,AF108&lt;$F$17),J109,"")</f>
        <v/>
      </c>
    </row>
    <row r="110" outlineLevel="1" ht="18" customHeight="1" s="326">
      <c r="A110" s="181">
        <f>$A$25</f>
        <v/>
      </c>
      <c r="B110" s="191">
        <f>$B$25</f>
        <v/>
      </c>
      <c r="C110" s="187">
        <f>$C$25</f>
        <v/>
      </c>
      <c r="D110" s="191">
        <f>$D$25</f>
        <v/>
      </c>
      <c r="E110" s="181">
        <f>$E$25</f>
        <v/>
      </c>
      <c r="F110" s="184">
        <f>$F$25</f>
        <v/>
      </c>
      <c r="G110" s="188">
        <f>$G$25</f>
        <v/>
      </c>
      <c r="H110" s="184">
        <f>$H$25</f>
        <v/>
      </c>
      <c r="I110" s="188">
        <f>$J$17</f>
        <v/>
      </c>
      <c r="J110" s="191" t="n">
        <v>15</v>
      </c>
      <c r="K110" s="191">
        <f>('Model Inputs'!$B$22-1)+J110</f>
        <v/>
      </c>
      <c r="L110" s="184">
        <f>IF(J110=1,'Model Inputs'!$B$25*(13-'Model Inputs'!$B$23)/12,'Model Inputs'!$B$25)</f>
        <v/>
      </c>
      <c r="M110" s="184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/>
      </c>
      <c r="N110" s="188">
        <f>IF(J110&lt;=2,0,'Model Inputs'!$B$32*SIN(2*PI()*(J110-3+'Model Inputs'!$B$34)/MAX(1,'Model Inputs'!$B$33)))</f>
        <v/>
      </c>
      <c r="O110" s="184">
        <f>M110*(1+N110)</f>
        <v/>
      </c>
      <c r="P110" s="184">
        <f>0.75*O109+0.25*O108</f>
        <v/>
      </c>
      <c r="Q110" s="184">
        <f>L110+P110+IF(J110=1,'Model Inputs'!$B$26,0)</f>
        <v/>
      </c>
      <c r="R110" s="184">
        <f>IF(J110&lt;=B110,Q110,IF(J110&lt;=B110+$J$18,L110,(SUMIFS($L$51:$L$350,$A$51:$A$350,$A110,$J$51:$J$350,$B110)+SUMIFS($O$51:$O$350,$A$51:$A$350,$A110,$J$51:$J$350,$B110))*C110))</f>
        <v/>
      </c>
      <c r="S110" s="184">
        <f>H110+F110*G110*(1+I110)^MAX(0,J110-MAX(D110,B110+$J$18+1))</f>
        <v/>
      </c>
      <c r="T110" s="184">
        <f>IF(J110&gt;=MAX(D110,B110+$J$18+1),S110,R110)</f>
        <v/>
      </c>
      <c r="U110" s="184">
        <f>MIN(T110,'Tax Assumptions'!$B$19)</f>
        <v/>
      </c>
      <c r="V110" s="184">
        <f>MAX(T110-U110-'Tax Assumptions'!$B$8,0)</f>
        <v/>
      </c>
      <c r="W110" s="184">
        <f>MAX(T110-U110-'Tax Assumptions'!$B$9,0)</f>
        <v/>
      </c>
      <c r="X110" s="184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/>
      </c>
      <c r="Y110" s="184">
        <f>T110-U110-X110</f>
        <v/>
      </c>
      <c r="Z110" s="184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/>
      </c>
      <c r="AA110" s="184">
        <f>Y110-Z110</f>
        <v/>
      </c>
      <c r="AB110" s="184">
        <f>MIN(MAX(AA110,0),'Tax Assumptions'!$B$20)</f>
        <v/>
      </c>
      <c r="AC110" s="184">
        <f>AA110-AB110</f>
        <v/>
      </c>
      <c r="AD110" s="184">
        <f>MAX(AD109*(1+'Model Inputs'!$B$13)+AC110,0)</f>
        <v/>
      </c>
      <c r="AE110" s="184">
        <f>MAX(AE109*(1+'Model Inputs'!$B$13)+U110+AB110,0)</f>
        <v/>
      </c>
      <c r="AF110" s="184">
        <f>AD110+AE110</f>
        <v/>
      </c>
      <c r="AG110" s="191">
        <f>IF(AND(AF110&gt;=$F$14,AF109&lt;$F$14),J110,"")</f>
        <v/>
      </c>
      <c r="AH110" s="191">
        <f>IF(AND(AF110&gt;=$F$15,AF109&lt;$F$15),J110,"")</f>
        <v/>
      </c>
      <c r="AI110" s="191">
        <f>IF(AND(AF110&gt;=$F$16,AF109&lt;$F$16),J110,"")</f>
        <v/>
      </c>
      <c r="AJ110" s="191">
        <f>IF(AND(AF110&gt;=$F$17,AF109&lt;$F$17),J110,"")</f>
        <v/>
      </c>
    </row>
    <row r="111" outlineLevel="1" ht="18" customHeight="1" s="326">
      <c r="A111" s="181">
        <f>$A$26</f>
        <v/>
      </c>
      <c r="B111" s="191">
        <f>$B$26</f>
        <v/>
      </c>
      <c r="C111" s="187">
        <f>$C$26</f>
        <v/>
      </c>
      <c r="D111" s="191">
        <f>$D$26</f>
        <v/>
      </c>
      <c r="E111" s="181">
        <f>$E$26</f>
        <v/>
      </c>
      <c r="F111" s="184">
        <f>$F$26</f>
        <v/>
      </c>
      <c r="G111" s="188">
        <f>$G$26</f>
        <v/>
      </c>
      <c r="H111" s="184">
        <f>$H$26</f>
        <v/>
      </c>
      <c r="I111" s="188">
        <f>$J$17</f>
        <v/>
      </c>
      <c r="J111" s="191" t="n">
        <v>1</v>
      </c>
      <c r="K111" s="191">
        <f>('Model Inputs'!$B$22-1)+J111</f>
        <v/>
      </c>
      <c r="L111" s="184">
        <f>IF(J111=1,'Model Inputs'!$B$25*(13-'Model Inputs'!$B$23)/12,'Model Inputs'!$B$25)</f>
        <v/>
      </c>
      <c r="M111" s="184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/>
      </c>
      <c r="N111" s="188">
        <f>IF(J111&lt;=2,0,'Model Inputs'!$B$32*SIN(2*PI()*(J111-3+'Model Inputs'!$B$34)/MAX(1,'Model Inputs'!$B$33)))</f>
        <v/>
      </c>
      <c r="O111" s="184">
        <f>M111*(1+N111)</f>
        <v/>
      </c>
      <c r="P111" s="184">
        <f>0</f>
        <v/>
      </c>
      <c r="Q111" s="184">
        <f>L111+P111+IF(J111=1,'Model Inputs'!$B$26,0)</f>
        <v/>
      </c>
      <c r="R111" s="184">
        <f>IF(J111&lt;=B111,Q111,IF(J111&lt;=B111+$J$18,L111,(SUMIFS($L$51:$L$350,$A$51:$A$350,$A111,$J$51:$J$350,$B111)+SUMIFS($O$51:$O$350,$A$51:$A$350,$A111,$J$51:$J$350,$B111))*C111))</f>
        <v/>
      </c>
      <c r="S111" s="184">
        <f>H111+F111*G111*(1+I111)^MAX(0,J111-MAX(D111,B111+$J$18+1))</f>
        <v/>
      </c>
      <c r="T111" s="184">
        <f>IF(J111&gt;=MAX(D111,B111+$J$18+1),S111,R111)</f>
        <v/>
      </c>
      <c r="U111" s="184">
        <f>MIN(T111,'Tax Assumptions'!$B$19)</f>
        <v/>
      </c>
      <c r="V111" s="184">
        <f>MAX(T111-U111-'Tax Assumptions'!$B$8,0)</f>
        <v/>
      </c>
      <c r="W111" s="184">
        <f>MAX(T111-U111-'Tax Assumptions'!$B$9,0)</f>
        <v/>
      </c>
      <c r="X111" s="184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/>
      </c>
      <c r="Y111" s="184">
        <f>T111-U111-X111</f>
        <v/>
      </c>
      <c r="Z111" s="184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/>
      </c>
      <c r="AA111" s="184">
        <f>Y111-Z111</f>
        <v/>
      </c>
      <c r="AB111" s="184">
        <f>MIN(MAX(AA111,0),'Tax Assumptions'!$B$20)</f>
        <v/>
      </c>
      <c r="AC111" s="184">
        <f>AA111-AB111</f>
        <v/>
      </c>
      <c r="AD111" s="184">
        <f>MAX('Model Inputs'!$B$7*(1+'Model Inputs'!$B$13)+AC111,0)</f>
        <v/>
      </c>
      <c r="AE111" s="184">
        <f>MAX(('Model Inputs'!$B$8+'Model Inputs'!$B$9+'Model Inputs'!$B$10)*(1+'Model Inputs'!$B$13)+U111+AB111,0)</f>
        <v/>
      </c>
      <c r="AF111" s="184">
        <f>AD111+AE111</f>
        <v/>
      </c>
      <c r="AG111" s="191">
        <f>IF(AND(AF111&gt;=$F$14,0&lt;$F$14),J111,"")</f>
        <v/>
      </c>
      <c r="AH111" s="191">
        <f>IF(AND(AF111&gt;=$F$15,0&lt;$F$15),J111,"")</f>
        <v/>
      </c>
      <c r="AI111" s="191">
        <f>IF(AND(AF111&gt;=$F$16,0&lt;$F$16),J111,"")</f>
        <v/>
      </c>
      <c r="AJ111" s="191">
        <f>IF(AND(AF111&gt;=$F$17,0&lt;$F$17),J111,"")</f>
        <v/>
      </c>
    </row>
    <row r="112" outlineLevel="1" ht="18" customHeight="1" s="326">
      <c r="A112" s="181">
        <f>$A$26</f>
        <v/>
      </c>
      <c r="B112" s="191">
        <f>$B$26</f>
        <v/>
      </c>
      <c r="C112" s="187">
        <f>$C$26</f>
        <v/>
      </c>
      <c r="D112" s="191">
        <f>$D$26</f>
        <v/>
      </c>
      <c r="E112" s="181">
        <f>$E$26</f>
        <v/>
      </c>
      <c r="F112" s="184">
        <f>$F$26</f>
        <v/>
      </c>
      <c r="G112" s="188">
        <f>$G$26</f>
        <v/>
      </c>
      <c r="H112" s="184">
        <f>$H$26</f>
        <v/>
      </c>
      <c r="I112" s="188">
        <f>$J$17</f>
        <v/>
      </c>
      <c r="J112" s="191" t="n">
        <v>2</v>
      </c>
      <c r="K112" s="191">
        <f>('Model Inputs'!$B$22-1)+J112</f>
        <v/>
      </c>
      <c r="L112" s="184">
        <f>IF(J112=1,'Model Inputs'!$B$25*(13-'Model Inputs'!$B$23)/12,'Model Inputs'!$B$25)</f>
        <v/>
      </c>
      <c r="M112" s="184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/>
      </c>
      <c r="N112" s="188">
        <f>IF(J112&lt;=2,0,'Model Inputs'!$B$32*SIN(2*PI()*(J112-3+'Model Inputs'!$B$34)/MAX(1,'Model Inputs'!$B$33)))</f>
        <v/>
      </c>
      <c r="O112" s="184">
        <f>M112*(1+N112)</f>
        <v/>
      </c>
      <c r="P112" s="184">
        <f>0.75*O111</f>
        <v/>
      </c>
      <c r="Q112" s="184">
        <f>L112+P112+IF(J112=1,'Model Inputs'!$B$26,0)</f>
        <v/>
      </c>
      <c r="R112" s="184">
        <f>IF(J112&lt;=B112,Q112,IF(J112&lt;=B112+$J$18,L112,(SUMIFS($L$51:$L$350,$A$51:$A$350,$A112,$J$51:$J$350,$B112)+SUMIFS($O$51:$O$350,$A$51:$A$350,$A112,$J$51:$J$350,$B112))*C112))</f>
        <v/>
      </c>
      <c r="S112" s="184">
        <f>H112+F112*G112*(1+I112)^MAX(0,J112-MAX(D112,B112+$J$18+1))</f>
        <v/>
      </c>
      <c r="T112" s="184">
        <f>IF(J112&gt;=MAX(D112,B112+$J$18+1),S112,R112)</f>
        <v/>
      </c>
      <c r="U112" s="184">
        <f>MIN(T112,'Tax Assumptions'!$B$19)</f>
        <v/>
      </c>
      <c r="V112" s="184">
        <f>MAX(T112-U112-'Tax Assumptions'!$B$8,0)</f>
        <v/>
      </c>
      <c r="W112" s="184">
        <f>MAX(T112-U112-'Tax Assumptions'!$B$9,0)</f>
        <v/>
      </c>
      <c r="X112" s="184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/>
      </c>
      <c r="Y112" s="184">
        <f>T112-U112-X112</f>
        <v/>
      </c>
      <c r="Z112" s="184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/>
      </c>
      <c r="AA112" s="184">
        <f>Y112-Z112</f>
        <v/>
      </c>
      <c r="AB112" s="184">
        <f>MIN(MAX(AA112,0),'Tax Assumptions'!$B$20)</f>
        <v/>
      </c>
      <c r="AC112" s="184">
        <f>AA112-AB112</f>
        <v/>
      </c>
      <c r="AD112" s="184">
        <f>MAX(AD111*(1+'Model Inputs'!$B$13)+AC112,0)</f>
        <v/>
      </c>
      <c r="AE112" s="184">
        <f>MAX(AE111*(1+'Model Inputs'!$B$13)+U112+AB112,0)</f>
        <v/>
      </c>
      <c r="AF112" s="184">
        <f>AD112+AE112</f>
        <v/>
      </c>
      <c r="AG112" s="191">
        <f>IF(AND(AF112&gt;=$F$14,AF111&lt;$F$14),J112,"")</f>
        <v/>
      </c>
      <c r="AH112" s="191">
        <f>IF(AND(AF112&gt;=$F$15,AF111&lt;$F$15),J112,"")</f>
        <v/>
      </c>
      <c r="AI112" s="191">
        <f>IF(AND(AF112&gt;=$F$16,AF111&lt;$F$16),J112,"")</f>
        <v/>
      </c>
      <c r="AJ112" s="191">
        <f>IF(AND(AF112&gt;=$F$17,AF111&lt;$F$17),J112,"")</f>
        <v/>
      </c>
    </row>
    <row r="113" outlineLevel="1" ht="18" customHeight="1" s="326">
      <c r="A113" s="181">
        <f>$A$26</f>
        <v/>
      </c>
      <c r="B113" s="191">
        <f>$B$26</f>
        <v/>
      </c>
      <c r="C113" s="187">
        <f>$C$26</f>
        <v/>
      </c>
      <c r="D113" s="191">
        <f>$D$26</f>
        <v/>
      </c>
      <c r="E113" s="181">
        <f>$E$26</f>
        <v/>
      </c>
      <c r="F113" s="184">
        <f>$F$26</f>
        <v/>
      </c>
      <c r="G113" s="188">
        <f>$G$26</f>
        <v/>
      </c>
      <c r="H113" s="184">
        <f>$H$26</f>
        <v/>
      </c>
      <c r="I113" s="188">
        <f>$J$17</f>
        <v/>
      </c>
      <c r="J113" s="191" t="n">
        <v>3</v>
      </c>
      <c r="K113" s="191">
        <f>('Model Inputs'!$B$22-1)+J113</f>
        <v/>
      </c>
      <c r="L113" s="184">
        <f>IF(J113=1,'Model Inputs'!$B$25*(13-'Model Inputs'!$B$23)/12,'Model Inputs'!$B$25)</f>
        <v/>
      </c>
      <c r="M113" s="184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/>
      </c>
      <c r="N113" s="188">
        <f>IF(J113&lt;=2,0,'Model Inputs'!$B$32*SIN(2*PI()*(J113-3+'Model Inputs'!$B$34)/MAX(1,'Model Inputs'!$B$33)))</f>
        <v/>
      </c>
      <c r="O113" s="184">
        <f>M113*(1+N113)</f>
        <v/>
      </c>
      <c r="P113" s="184">
        <f>0.75*O112+0.25*O111</f>
        <v/>
      </c>
      <c r="Q113" s="184">
        <f>L113+P113+IF(J113=1,'Model Inputs'!$B$26,0)</f>
        <v/>
      </c>
      <c r="R113" s="184">
        <f>IF(J113&lt;=B113,Q113,IF(J113&lt;=B113+$J$18,L113,(SUMIFS($L$51:$L$350,$A$51:$A$350,$A113,$J$51:$J$350,$B113)+SUMIFS($O$51:$O$350,$A$51:$A$350,$A113,$J$51:$J$350,$B113))*C113))</f>
        <v/>
      </c>
      <c r="S113" s="184">
        <f>H113+F113*G113*(1+I113)^MAX(0,J113-MAX(D113,B113+$J$18+1))</f>
        <v/>
      </c>
      <c r="T113" s="184">
        <f>IF(J113&gt;=MAX(D113,B113+$J$18+1),S113,R113)</f>
        <v/>
      </c>
      <c r="U113" s="184">
        <f>MIN(T113,'Tax Assumptions'!$B$19)</f>
        <v/>
      </c>
      <c r="V113" s="184">
        <f>MAX(T113-U113-'Tax Assumptions'!$B$8,0)</f>
        <v/>
      </c>
      <c r="W113" s="184">
        <f>MAX(T113-U113-'Tax Assumptions'!$B$9,0)</f>
        <v/>
      </c>
      <c r="X113" s="184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/>
      </c>
      <c r="Y113" s="184">
        <f>T113-U113-X113</f>
        <v/>
      </c>
      <c r="Z113" s="184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/>
      </c>
      <c r="AA113" s="184">
        <f>Y113-Z113</f>
        <v/>
      </c>
      <c r="AB113" s="184">
        <f>MIN(MAX(AA113,0),'Tax Assumptions'!$B$20)</f>
        <v/>
      </c>
      <c r="AC113" s="184">
        <f>AA113-AB113</f>
        <v/>
      </c>
      <c r="AD113" s="184">
        <f>MAX(AD112*(1+'Model Inputs'!$B$13)+AC113,0)</f>
        <v/>
      </c>
      <c r="AE113" s="184">
        <f>MAX(AE112*(1+'Model Inputs'!$B$13)+U113+AB113,0)</f>
        <v/>
      </c>
      <c r="AF113" s="184">
        <f>AD113+AE113</f>
        <v/>
      </c>
      <c r="AG113" s="191">
        <f>IF(AND(AF113&gt;=$F$14,AF112&lt;$F$14),J113,"")</f>
        <v/>
      </c>
      <c r="AH113" s="191">
        <f>IF(AND(AF113&gt;=$F$15,AF112&lt;$F$15),J113,"")</f>
        <v/>
      </c>
      <c r="AI113" s="191">
        <f>IF(AND(AF113&gt;=$F$16,AF112&lt;$F$16),J113,"")</f>
        <v/>
      </c>
      <c r="AJ113" s="191">
        <f>IF(AND(AF113&gt;=$F$17,AF112&lt;$F$17),J113,"")</f>
        <v/>
      </c>
    </row>
    <row r="114" outlineLevel="1" ht="18" customHeight="1" s="326">
      <c r="A114" s="181">
        <f>$A$26</f>
        <v/>
      </c>
      <c r="B114" s="191">
        <f>$B$26</f>
        <v/>
      </c>
      <c r="C114" s="187">
        <f>$C$26</f>
        <v/>
      </c>
      <c r="D114" s="191">
        <f>$D$26</f>
        <v/>
      </c>
      <c r="E114" s="181">
        <f>$E$26</f>
        <v/>
      </c>
      <c r="F114" s="184">
        <f>$F$26</f>
        <v/>
      </c>
      <c r="G114" s="188">
        <f>$G$26</f>
        <v/>
      </c>
      <c r="H114" s="184">
        <f>$H$26</f>
        <v/>
      </c>
      <c r="I114" s="188">
        <f>$J$17</f>
        <v/>
      </c>
      <c r="J114" s="191" t="n">
        <v>4</v>
      </c>
      <c r="K114" s="191">
        <f>('Model Inputs'!$B$22-1)+J114</f>
        <v/>
      </c>
      <c r="L114" s="184">
        <f>IF(J114=1,'Model Inputs'!$B$25*(13-'Model Inputs'!$B$23)/12,'Model Inputs'!$B$25)</f>
        <v/>
      </c>
      <c r="M114" s="184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/>
      </c>
      <c r="N114" s="188">
        <f>IF(J114&lt;=2,0,'Model Inputs'!$B$32*SIN(2*PI()*(J114-3+'Model Inputs'!$B$34)/MAX(1,'Model Inputs'!$B$33)))</f>
        <v/>
      </c>
      <c r="O114" s="184">
        <f>M114*(1+N114)</f>
        <v/>
      </c>
      <c r="P114" s="184">
        <f>0.75*O113+0.25*O112</f>
        <v/>
      </c>
      <c r="Q114" s="184">
        <f>L114+P114+IF(J114=1,'Model Inputs'!$B$26,0)</f>
        <v/>
      </c>
      <c r="R114" s="184">
        <f>IF(J114&lt;=B114,Q114,IF(J114&lt;=B114+$J$18,L114,(SUMIFS($L$51:$L$350,$A$51:$A$350,$A114,$J$51:$J$350,$B114)+SUMIFS($O$51:$O$350,$A$51:$A$350,$A114,$J$51:$J$350,$B114))*C114))</f>
        <v/>
      </c>
      <c r="S114" s="184">
        <f>H114+F114*G114*(1+I114)^MAX(0,J114-MAX(D114,B114+$J$18+1))</f>
        <v/>
      </c>
      <c r="T114" s="184">
        <f>IF(J114&gt;=MAX(D114,B114+$J$18+1),S114,R114)</f>
        <v/>
      </c>
      <c r="U114" s="184">
        <f>MIN(T114,'Tax Assumptions'!$B$19)</f>
        <v/>
      </c>
      <c r="V114" s="184">
        <f>MAX(T114-U114-'Tax Assumptions'!$B$8,0)</f>
        <v/>
      </c>
      <c r="W114" s="184">
        <f>MAX(T114-U114-'Tax Assumptions'!$B$9,0)</f>
        <v/>
      </c>
      <c r="X114" s="184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/>
      </c>
      <c r="Y114" s="184">
        <f>T114-U114-X114</f>
        <v/>
      </c>
      <c r="Z114" s="184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/>
      </c>
      <c r="AA114" s="184">
        <f>Y114-Z114</f>
        <v/>
      </c>
      <c r="AB114" s="184">
        <f>MIN(MAX(AA114,0),'Tax Assumptions'!$B$20)</f>
        <v/>
      </c>
      <c r="AC114" s="184">
        <f>AA114-AB114</f>
        <v/>
      </c>
      <c r="AD114" s="184">
        <f>MAX(AD113*(1+'Model Inputs'!$B$13)+AC114,0)</f>
        <v/>
      </c>
      <c r="AE114" s="184">
        <f>MAX(AE113*(1+'Model Inputs'!$B$13)+U114+AB114,0)</f>
        <v/>
      </c>
      <c r="AF114" s="184">
        <f>AD114+AE114</f>
        <v/>
      </c>
      <c r="AG114" s="191">
        <f>IF(AND(AF114&gt;=$F$14,AF113&lt;$F$14),J114,"")</f>
        <v/>
      </c>
      <c r="AH114" s="191">
        <f>IF(AND(AF114&gt;=$F$15,AF113&lt;$F$15),J114,"")</f>
        <v/>
      </c>
      <c r="AI114" s="191">
        <f>IF(AND(AF114&gt;=$F$16,AF113&lt;$F$16),J114,"")</f>
        <v/>
      </c>
      <c r="AJ114" s="191">
        <f>IF(AND(AF114&gt;=$F$17,AF113&lt;$F$17),J114,"")</f>
        <v/>
      </c>
    </row>
    <row r="115" outlineLevel="1" ht="18" customHeight="1" s="326">
      <c r="A115" s="181">
        <f>$A$26</f>
        <v/>
      </c>
      <c r="B115" s="191">
        <f>$B$26</f>
        <v/>
      </c>
      <c r="C115" s="187">
        <f>$C$26</f>
        <v/>
      </c>
      <c r="D115" s="191">
        <f>$D$26</f>
        <v/>
      </c>
      <c r="E115" s="181">
        <f>$E$26</f>
        <v/>
      </c>
      <c r="F115" s="184">
        <f>$F$26</f>
        <v/>
      </c>
      <c r="G115" s="188">
        <f>$G$26</f>
        <v/>
      </c>
      <c r="H115" s="184">
        <f>$H$26</f>
        <v/>
      </c>
      <c r="I115" s="188">
        <f>$J$17</f>
        <v/>
      </c>
      <c r="J115" s="191" t="n">
        <v>5</v>
      </c>
      <c r="K115" s="191">
        <f>('Model Inputs'!$B$22-1)+J115</f>
        <v/>
      </c>
      <c r="L115" s="184">
        <f>IF(J115=1,'Model Inputs'!$B$25*(13-'Model Inputs'!$B$23)/12,'Model Inputs'!$B$25)</f>
        <v/>
      </c>
      <c r="M115" s="184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/>
      </c>
      <c r="N115" s="188">
        <f>IF(J115&lt;=2,0,'Model Inputs'!$B$32*SIN(2*PI()*(J115-3+'Model Inputs'!$B$34)/MAX(1,'Model Inputs'!$B$33)))</f>
        <v/>
      </c>
      <c r="O115" s="184">
        <f>M115*(1+N115)</f>
        <v/>
      </c>
      <c r="P115" s="184">
        <f>0.75*O114+0.25*O113</f>
        <v/>
      </c>
      <c r="Q115" s="184">
        <f>L115+P115+IF(J115=1,'Model Inputs'!$B$26,0)</f>
        <v/>
      </c>
      <c r="R115" s="184">
        <f>IF(J115&lt;=B115,Q115,IF(J115&lt;=B115+$J$18,L115,(SUMIFS($L$51:$L$350,$A$51:$A$350,$A115,$J$51:$J$350,$B115)+SUMIFS($O$51:$O$350,$A$51:$A$350,$A115,$J$51:$J$350,$B115))*C115))</f>
        <v/>
      </c>
      <c r="S115" s="184">
        <f>H115+F115*G115*(1+I115)^MAX(0,J115-MAX(D115,B115+$J$18+1))</f>
        <v/>
      </c>
      <c r="T115" s="184">
        <f>IF(J115&gt;=MAX(D115,B115+$J$18+1),S115,R115)</f>
        <v/>
      </c>
      <c r="U115" s="184">
        <f>MIN(T115,'Tax Assumptions'!$B$19)</f>
        <v/>
      </c>
      <c r="V115" s="184">
        <f>MAX(T115-U115-'Tax Assumptions'!$B$8,0)</f>
        <v/>
      </c>
      <c r="W115" s="184">
        <f>MAX(T115-U115-'Tax Assumptions'!$B$9,0)</f>
        <v/>
      </c>
      <c r="X115" s="184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/>
      </c>
      <c r="Y115" s="184">
        <f>T115-U115-X115</f>
        <v/>
      </c>
      <c r="Z115" s="184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/>
      </c>
      <c r="AA115" s="184">
        <f>Y115-Z115</f>
        <v/>
      </c>
      <c r="AB115" s="184">
        <f>MIN(MAX(AA115,0),'Tax Assumptions'!$B$20)</f>
        <v/>
      </c>
      <c r="AC115" s="184">
        <f>AA115-AB115</f>
        <v/>
      </c>
      <c r="AD115" s="184">
        <f>MAX(AD114*(1+'Model Inputs'!$B$13)+AC115,0)</f>
        <v/>
      </c>
      <c r="AE115" s="184">
        <f>MAX(AE114*(1+'Model Inputs'!$B$13)+U115+AB115,0)</f>
        <v/>
      </c>
      <c r="AF115" s="184">
        <f>AD115+AE115</f>
        <v/>
      </c>
      <c r="AG115" s="191">
        <f>IF(AND(AF115&gt;=$F$14,AF114&lt;$F$14),J115,"")</f>
        <v/>
      </c>
      <c r="AH115" s="191">
        <f>IF(AND(AF115&gt;=$F$15,AF114&lt;$F$15),J115,"")</f>
        <v/>
      </c>
      <c r="AI115" s="191">
        <f>IF(AND(AF115&gt;=$F$16,AF114&lt;$F$16),J115,"")</f>
        <v/>
      </c>
      <c r="AJ115" s="191">
        <f>IF(AND(AF115&gt;=$F$17,AF114&lt;$F$17),J115,"")</f>
        <v/>
      </c>
    </row>
    <row r="116" outlineLevel="1" ht="18" customHeight="1" s="326">
      <c r="A116" s="181">
        <f>$A$26</f>
        <v/>
      </c>
      <c r="B116" s="191">
        <f>$B$26</f>
        <v/>
      </c>
      <c r="C116" s="187">
        <f>$C$26</f>
        <v/>
      </c>
      <c r="D116" s="191">
        <f>$D$26</f>
        <v/>
      </c>
      <c r="E116" s="181">
        <f>$E$26</f>
        <v/>
      </c>
      <c r="F116" s="184">
        <f>$F$26</f>
        <v/>
      </c>
      <c r="G116" s="188">
        <f>$G$26</f>
        <v/>
      </c>
      <c r="H116" s="184">
        <f>$H$26</f>
        <v/>
      </c>
      <c r="I116" s="188">
        <f>$J$17</f>
        <v/>
      </c>
      <c r="J116" s="191" t="n">
        <v>6</v>
      </c>
      <c r="K116" s="191">
        <f>('Model Inputs'!$B$22-1)+J116</f>
        <v/>
      </c>
      <c r="L116" s="184">
        <f>IF(J116=1,'Model Inputs'!$B$25*(13-'Model Inputs'!$B$23)/12,'Model Inputs'!$B$25)</f>
        <v/>
      </c>
      <c r="M116" s="184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/>
      </c>
      <c r="N116" s="188">
        <f>IF(J116&lt;=2,0,'Model Inputs'!$B$32*SIN(2*PI()*(J116-3+'Model Inputs'!$B$34)/MAX(1,'Model Inputs'!$B$33)))</f>
        <v/>
      </c>
      <c r="O116" s="184">
        <f>M116*(1+N116)</f>
        <v/>
      </c>
      <c r="P116" s="184">
        <f>0.75*O115+0.25*O114</f>
        <v/>
      </c>
      <c r="Q116" s="184">
        <f>L116+P116+IF(J116=1,'Model Inputs'!$B$26,0)</f>
        <v/>
      </c>
      <c r="R116" s="184">
        <f>IF(J116&lt;=B116,Q116,IF(J116&lt;=B116+$J$18,L116,(SUMIFS($L$51:$L$350,$A$51:$A$350,$A116,$J$51:$J$350,$B116)+SUMIFS($O$51:$O$350,$A$51:$A$350,$A116,$J$51:$J$350,$B116))*C116))</f>
        <v/>
      </c>
      <c r="S116" s="184">
        <f>H116+F116*G116*(1+I116)^MAX(0,J116-MAX(D116,B116+$J$18+1))</f>
        <v/>
      </c>
      <c r="T116" s="184">
        <f>IF(J116&gt;=MAX(D116,B116+$J$18+1),S116,R116)</f>
        <v/>
      </c>
      <c r="U116" s="184">
        <f>MIN(T116,'Tax Assumptions'!$B$19)</f>
        <v/>
      </c>
      <c r="V116" s="184">
        <f>MAX(T116-U116-'Tax Assumptions'!$B$8,0)</f>
        <v/>
      </c>
      <c r="W116" s="184">
        <f>MAX(T116-U116-'Tax Assumptions'!$B$9,0)</f>
        <v/>
      </c>
      <c r="X116" s="184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/>
      </c>
      <c r="Y116" s="184">
        <f>T116-U116-X116</f>
        <v/>
      </c>
      <c r="Z116" s="184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/>
      </c>
      <c r="AA116" s="184">
        <f>Y116-Z116</f>
        <v/>
      </c>
      <c r="AB116" s="184">
        <f>MIN(MAX(AA116,0),'Tax Assumptions'!$B$20)</f>
        <v/>
      </c>
      <c r="AC116" s="184">
        <f>AA116-AB116</f>
        <v/>
      </c>
      <c r="AD116" s="184">
        <f>MAX(AD115*(1+'Model Inputs'!$B$13)+AC116,0)</f>
        <v/>
      </c>
      <c r="AE116" s="184">
        <f>MAX(AE115*(1+'Model Inputs'!$B$13)+U116+AB116,0)</f>
        <v/>
      </c>
      <c r="AF116" s="184">
        <f>AD116+AE116</f>
        <v/>
      </c>
      <c r="AG116" s="191">
        <f>IF(AND(AF116&gt;=$F$14,AF115&lt;$F$14),J116,"")</f>
        <v/>
      </c>
      <c r="AH116" s="191">
        <f>IF(AND(AF116&gt;=$F$15,AF115&lt;$F$15),J116,"")</f>
        <v/>
      </c>
      <c r="AI116" s="191">
        <f>IF(AND(AF116&gt;=$F$16,AF115&lt;$F$16),J116,"")</f>
        <v/>
      </c>
      <c r="AJ116" s="191">
        <f>IF(AND(AF116&gt;=$F$17,AF115&lt;$F$17),J116,"")</f>
        <v/>
      </c>
    </row>
    <row r="117" outlineLevel="1" ht="18" customHeight="1" s="326">
      <c r="A117" s="181">
        <f>$A$26</f>
        <v/>
      </c>
      <c r="B117" s="191">
        <f>$B$26</f>
        <v/>
      </c>
      <c r="C117" s="187">
        <f>$C$26</f>
        <v/>
      </c>
      <c r="D117" s="191">
        <f>$D$26</f>
        <v/>
      </c>
      <c r="E117" s="181">
        <f>$E$26</f>
        <v/>
      </c>
      <c r="F117" s="184">
        <f>$F$26</f>
        <v/>
      </c>
      <c r="G117" s="188">
        <f>$G$26</f>
        <v/>
      </c>
      <c r="H117" s="184">
        <f>$H$26</f>
        <v/>
      </c>
      <c r="I117" s="188">
        <f>$J$17</f>
        <v/>
      </c>
      <c r="J117" s="191" t="n">
        <v>7</v>
      </c>
      <c r="K117" s="191">
        <f>('Model Inputs'!$B$22-1)+J117</f>
        <v/>
      </c>
      <c r="L117" s="184">
        <f>IF(J117=1,'Model Inputs'!$B$25*(13-'Model Inputs'!$B$23)/12,'Model Inputs'!$B$25)</f>
        <v/>
      </c>
      <c r="M117" s="184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/>
      </c>
      <c r="N117" s="188">
        <f>IF(J117&lt;=2,0,'Model Inputs'!$B$32*SIN(2*PI()*(J117-3+'Model Inputs'!$B$34)/MAX(1,'Model Inputs'!$B$33)))</f>
        <v/>
      </c>
      <c r="O117" s="184">
        <f>M117*(1+N117)</f>
        <v/>
      </c>
      <c r="P117" s="184">
        <f>0.75*O116+0.25*O115</f>
        <v/>
      </c>
      <c r="Q117" s="184">
        <f>L117+P117+IF(J117=1,'Model Inputs'!$B$26,0)</f>
        <v/>
      </c>
      <c r="R117" s="184">
        <f>IF(J117&lt;=B117,Q117,IF(J117&lt;=B117+$J$18,L117,(SUMIFS($L$51:$L$350,$A$51:$A$350,$A117,$J$51:$J$350,$B117)+SUMIFS($O$51:$O$350,$A$51:$A$350,$A117,$J$51:$J$350,$B117))*C117))</f>
        <v/>
      </c>
      <c r="S117" s="184">
        <f>H117+F117*G117*(1+I117)^MAX(0,J117-MAX(D117,B117+$J$18+1))</f>
        <v/>
      </c>
      <c r="T117" s="184">
        <f>IF(J117&gt;=MAX(D117,B117+$J$18+1),S117,R117)</f>
        <v/>
      </c>
      <c r="U117" s="184">
        <f>MIN(T117,'Tax Assumptions'!$B$19)</f>
        <v/>
      </c>
      <c r="V117" s="184">
        <f>MAX(T117-U117-'Tax Assumptions'!$B$8,0)</f>
        <v/>
      </c>
      <c r="W117" s="184">
        <f>MAX(T117-U117-'Tax Assumptions'!$B$9,0)</f>
        <v/>
      </c>
      <c r="X117" s="184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/>
      </c>
      <c r="Y117" s="184">
        <f>T117-U117-X117</f>
        <v/>
      </c>
      <c r="Z117" s="184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/>
      </c>
      <c r="AA117" s="184">
        <f>Y117-Z117</f>
        <v/>
      </c>
      <c r="AB117" s="184">
        <f>MIN(MAX(AA117,0),'Tax Assumptions'!$B$20)</f>
        <v/>
      </c>
      <c r="AC117" s="184">
        <f>AA117-AB117</f>
        <v/>
      </c>
      <c r="AD117" s="184">
        <f>MAX(AD116*(1+'Model Inputs'!$B$13)+AC117,0)</f>
        <v/>
      </c>
      <c r="AE117" s="184">
        <f>MAX(AE116*(1+'Model Inputs'!$B$13)+U117+AB117,0)</f>
        <v/>
      </c>
      <c r="AF117" s="184">
        <f>AD117+AE117</f>
        <v/>
      </c>
      <c r="AG117" s="191">
        <f>IF(AND(AF117&gt;=$F$14,AF116&lt;$F$14),J117,"")</f>
        <v/>
      </c>
      <c r="AH117" s="191">
        <f>IF(AND(AF117&gt;=$F$15,AF116&lt;$F$15),J117,"")</f>
        <v/>
      </c>
      <c r="AI117" s="191">
        <f>IF(AND(AF117&gt;=$F$16,AF116&lt;$F$16),J117,"")</f>
        <v/>
      </c>
      <c r="AJ117" s="191">
        <f>IF(AND(AF117&gt;=$F$17,AF116&lt;$F$17),J117,"")</f>
        <v/>
      </c>
    </row>
    <row r="118" outlineLevel="1" ht="18" customHeight="1" s="326">
      <c r="A118" s="181">
        <f>$A$26</f>
        <v/>
      </c>
      <c r="B118" s="191">
        <f>$B$26</f>
        <v/>
      </c>
      <c r="C118" s="187">
        <f>$C$26</f>
        <v/>
      </c>
      <c r="D118" s="191">
        <f>$D$26</f>
        <v/>
      </c>
      <c r="E118" s="181">
        <f>$E$26</f>
        <v/>
      </c>
      <c r="F118" s="184">
        <f>$F$26</f>
        <v/>
      </c>
      <c r="G118" s="188">
        <f>$G$26</f>
        <v/>
      </c>
      <c r="H118" s="184">
        <f>$H$26</f>
        <v/>
      </c>
      <c r="I118" s="188">
        <f>$J$17</f>
        <v/>
      </c>
      <c r="J118" s="191" t="n">
        <v>8</v>
      </c>
      <c r="K118" s="191">
        <f>('Model Inputs'!$B$22-1)+J118</f>
        <v/>
      </c>
      <c r="L118" s="184">
        <f>IF(J118=1,'Model Inputs'!$B$25*(13-'Model Inputs'!$B$23)/12,'Model Inputs'!$B$25)</f>
        <v/>
      </c>
      <c r="M118" s="184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/>
      </c>
      <c r="N118" s="188">
        <f>IF(J118&lt;=2,0,'Model Inputs'!$B$32*SIN(2*PI()*(J118-3+'Model Inputs'!$B$34)/MAX(1,'Model Inputs'!$B$33)))</f>
        <v/>
      </c>
      <c r="O118" s="184">
        <f>M118*(1+N118)</f>
        <v/>
      </c>
      <c r="P118" s="184">
        <f>0.75*O117+0.25*O116</f>
        <v/>
      </c>
      <c r="Q118" s="184">
        <f>L118+P118+IF(J118=1,'Model Inputs'!$B$26,0)</f>
        <v/>
      </c>
      <c r="R118" s="184">
        <f>IF(J118&lt;=B118,Q118,IF(J118&lt;=B118+$J$18,L118,(SUMIFS($L$51:$L$350,$A$51:$A$350,$A118,$J$51:$J$350,$B118)+SUMIFS($O$51:$O$350,$A$51:$A$350,$A118,$J$51:$J$350,$B118))*C118))</f>
        <v/>
      </c>
      <c r="S118" s="184">
        <f>H118+F118*G118*(1+I118)^MAX(0,J118-MAX(D118,B118+$J$18+1))</f>
        <v/>
      </c>
      <c r="T118" s="184">
        <f>IF(J118&gt;=MAX(D118,B118+$J$18+1),S118,R118)</f>
        <v/>
      </c>
      <c r="U118" s="184">
        <f>MIN(T118,'Tax Assumptions'!$B$19)</f>
        <v/>
      </c>
      <c r="V118" s="184">
        <f>MAX(T118-U118-'Tax Assumptions'!$B$8,0)</f>
        <v/>
      </c>
      <c r="W118" s="184">
        <f>MAX(T118-U118-'Tax Assumptions'!$B$9,0)</f>
        <v/>
      </c>
      <c r="X118" s="184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/>
      </c>
      <c r="Y118" s="184">
        <f>T118-U118-X118</f>
        <v/>
      </c>
      <c r="Z118" s="184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/>
      </c>
      <c r="AA118" s="184">
        <f>Y118-Z118</f>
        <v/>
      </c>
      <c r="AB118" s="184">
        <f>MIN(MAX(AA118,0),'Tax Assumptions'!$B$20)</f>
        <v/>
      </c>
      <c r="AC118" s="184">
        <f>AA118-AB118</f>
        <v/>
      </c>
      <c r="AD118" s="184">
        <f>MAX(AD117*(1+'Model Inputs'!$B$13)+AC118,0)</f>
        <v/>
      </c>
      <c r="AE118" s="184">
        <f>MAX(AE117*(1+'Model Inputs'!$B$13)+U118+AB118,0)</f>
        <v/>
      </c>
      <c r="AF118" s="184">
        <f>AD118+AE118</f>
        <v/>
      </c>
      <c r="AG118" s="191">
        <f>IF(AND(AF118&gt;=$F$14,AF117&lt;$F$14),J118,"")</f>
        <v/>
      </c>
      <c r="AH118" s="191">
        <f>IF(AND(AF118&gt;=$F$15,AF117&lt;$F$15),J118,"")</f>
        <v/>
      </c>
      <c r="AI118" s="191">
        <f>IF(AND(AF118&gt;=$F$16,AF117&lt;$F$16),J118,"")</f>
        <v/>
      </c>
      <c r="AJ118" s="191">
        <f>IF(AND(AF118&gt;=$F$17,AF117&lt;$F$17),J118,"")</f>
        <v/>
      </c>
    </row>
    <row r="119" outlineLevel="1" ht="18" customHeight="1" s="326">
      <c r="A119" s="181">
        <f>$A$26</f>
        <v/>
      </c>
      <c r="B119" s="191">
        <f>$B$26</f>
        <v/>
      </c>
      <c r="C119" s="187">
        <f>$C$26</f>
        <v/>
      </c>
      <c r="D119" s="191">
        <f>$D$26</f>
        <v/>
      </c>
      <c r="E119" s="181">
        <f>$E$26</f>
        <v/>
      </c>
      <c r="F119" s="184">
        <f>$F$26</f>
        <v/>
      </c>
      <c r="G119" s="188">
        <f>$G$26</f>
        <v/>
      </c>
      <c r="H119" s="184">
        <f>$H$26</f>
        <v/>
      </c>
      <c r="I119" s="188">
        <f>$J$17</f>
        <v/>
      </c>
      <c r="J119" s="191" t="n">
        <v>9</v>
      </c>
      <c r="K119" s="191">
        <f>('Model Inputs'!$B$22-1)+J119</f>
        <v/>
      </c>
      <c r="L119" s="184">
        <f>IF(J119=1,'Model Inputs'!$B$25*(13-'Model Inputs'!$B$23)/12,'Model Inputs'!$B$25)</f>
        <v/>
      </c>
      <c r="M119" s="184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/>
      </c>
      <c r="N119" s="188">
        <f>IF(J119&lt;=2,0,'Model Inputs'!$B$32*SIN(2*PI()*(J119-3+'Model Inputs'!$B$34)/MAX(1,'Model Inputs'!$B$33)))</f>
        <v/>
      </c>
      <c r="O119" s="184">
        <f>M119*(1+N119)</f>
        <v/>
      </c>
      <c r="P119" s="184">
        <f>0.75*O118+0.25*O117</f>
        <v/>
      </c>
      <c r="Q119" s="184">
        <f>L119+P119+IF(J119=1,'Model Inputs'!$B$26,0)</f>
        <v/>
      </c>
      <c r="R119" s="184">
        <f>IF(J119&lt;=B119,Q119,IF(J119&lt;=B119+$J$18,L119,(SUMIFS($L$51:$L$350,$A$51:$A$350,$A119,$J$51:$J$350,$B119)+SUMIFS($O$51:$O$350,$A$51:$A$350,$A119,$J$51:$J$350,$B119))*C119))</f>
        <v/>
      </c>
      <c r="S119" s="184">
        <f>H119+F119*G119*(1+I119)^MAX(0,J119-MAX(D119,B119+$J$18+1))</f>
        <v/>
      </c>
      <c r="T119" s="184">
        <f>IF(J119&gt;=MAX(D119,B119+$J$18+1),S119,R119)</f>
        <v/>
      </c>
      <c r="U119" s="184">
        <f>MIN(T119,'Tax Assumptions'!$B$19)</f>
        <v/>
      </c>
      <c r="V119" s="184">
        <f>MAX(T119-U119-'Tax Assumptions'!$B$8,0)</f>
        <v/>
      </c>
      <c r="W119" s="184">
        <f>MAX(T119-U119-'Tax Assumptions'!$B$9,0)</f>
        <v/>
      </c>
      <c r="X119" s="184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/>
      </c>
      <c r="Y119" s="184">
        <f>T119-U119-X119</f>
        <v/>
      </c>
      <c r="Z119" s="184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/>
      </c>
      <c r="AA119" s="184">
        <f>Y119-Z119</f>
        <v/>
      </c>
      <c r="AB119" s="184">
        <f>MIN(MAX(AA119,0),'Tax Assumptions'!$B$20)</f>
        <v/>
      </c>
      <c r="AC119" s="184">
        <f>AA119-AB119</f>
        <v/>
      </c>
      <c r="AD119" s="184">
        <f>MAX(AD118*(1+'Model Inputs'!$B$13)+AC119,0)</f>
        <v/>
      </c>
      <c r="AE119" s="184">
        <f>MAX(AE118*(1+'Model Inputs'!$B$13)+U119+AB119,0)</f>
        <v/>
      </c>
      <c r="AF119" s="184">
        <f>AD119+AE119</f>
        <v/>
      </c>
      <c r="AG119" s="191">
        <f>IF(AND(AF119&gt;=$F$14,AF118&lt;$F$14),J119,"")</f>
        <v/>
      </c>
      <c r="AH119" s="191">
        <f>IF(AND(AF119&gt;=$F$15,AF118&lt;$F$15),J119,"")</f>
        <v/>
      </c>
      <c r="AI119" s="191">
        <f>IF(AND(AF119&gt;=$F$16,AF118&lt;$F$16),J119,"")</f>
        <v/>
      </c>
      <c r="AJ119" s="191">
        <f>IF(AND(AF119&gt;=$F$17,AF118&lt;$F$17),J119,"")</f>
        <v/>
      </c>
    </row>
    <row r="120" outlineLevel="1" ht="18" customHeight="1" s="326">
      <c r="A120" s="181">
        <f>$A$26</f>
        <v/>
      </c>
      <c r="B120" s="191">
        <f>$B$26</f>
        <v/>
      </c>
      <c r="C120" s="187">
        <f>$C$26</f>
        <v/>
      </c>
      <c r="D120" s="191">
        <f>$D$26</f>
        <v/>
      </c>
      <c r="E120" s="181">
        <f>$E$26</f>
        <v/>
      </c>
      <c r="F120" s="184">
        <f>$F$26</f>
        <v/>
      </c>
      <c r="G120" s="188">
        <f>$G$26</f>
        <v/>
      </c>
      <c r="H120" s="184">
        <f>$H$26</f>
        <v/>
      </c>
      <c r="I120" s="188">
        <f>$J$17</f>
        <v/>
      </c>
      <c r="J120" s="191" t="n">
        <v>10</v>
      </c>
      <c r="K120" s="191">
        <f>('Model Inputs'!$B$22-1)+J120</f>
        <v/>
      </c>
      <c r="L120" s="184">
        <f>IF(J120=1,'Model Inputs'!$B$25*(13-'Model Inputs'!$B$23)/12,'Model Inputs'!$B$25)</f>
        <v/>
      </c>
      <c r="M120" s="184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/>
      </c>
      <c r="N120" s="188">
        <f>IF(J120&lt;=2,0,'Model Inputs'!$B$32*SIN(2*PI()*(J120-3+'Model Inputs'!$B$34)/MAX(1,'Model Inputs'!$B$33)))</f>
        <v/>
      </c>
      <c r="O120" s="184">
        <f>M120*(1+N120)</f>
        <v/>
      </c>
      <c r="P120" s="184">
        <f>0.75*O119+0.25*O118</f>
        <v/>
      </c>
      <c r="Q120" s="184">
        <f>L120+P120+IF(J120=1,'Model Inputs'!$B$26,0)</f>
        <v/>
      </c>
      <c r="R120" s="184">
        <f>IF(J120&lt;=B120,Q120,IF(J120&lt;=B120+$J$18,L120,(SUMIFS($L$51:$L$350,$A$51:$A$350,$A120,$J$51:$J$350,$B120)+SUMIFS($O$51:$O$350,$A$51:$A$350,$A120,$J$51:$J$350,$B120))*C120))</f>
        <v/>
      </c>
      <c r="S120" s="184">
        <f>H120+F120*G120*(1+I120)^MAX(0,J120-MAX(D120,B120+$J$18+1))</f>
        <v/>
      </c>
      <c r="T120" s="184">
        <f>IF(J120&gt;=MAX(D120,B120+$J$18+1),S120,R120)</f>
        <v/>
      </c>
      <c r="U120" s="184">
        <f>MIN(T120,'Tax Assumptions'!$B$19)</f>
        <v/>
      </c>
      <c r="V120" s="184">
        <f>MAX(T120-U120-'Tax Assumptions'!$B$8,0)</f>
        <v/>
      </c>
      <c r="W120" s="184">
        <f>MAX(T120-U120-'Tax Assumptions'!$B$9,0)</f>
        <v/>
      </c>
      <c r="X120" s="184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/>
      </c>
      <c r="Y120" s="184">
        <f>T120-U120-X120</f>
        <v/>
      </c>
      <c r="Z120" s="184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/>
      </c>
      <c r="AA120" s="184">
        <f>Y120-Z120</f>
        <v/>
      </c>
      <c r="AB120" s="184">
        <f>MIN(MAX(AA120,0),'Tax Assumptions'!$B$20)</f>
        <v/>
      </c>
      <c r="AC120" s="184">
        <f>AA120-AB120</f>
        <v/>
      </c>
      <c r="AD120" s="184">
        <f>MAX(AD119*(1+'Model Inputs'!$B$13)+AC120,0)</f>
        <v/>
      </c>
      <c r="AE120" s="184">
        <f>MAX(AE119*(1+'Model Inputs'!$B$13)+U120+AB120,0)</f>
        <v/>
      </c>
      <c r="AF120" s="184">
        <f>AD120+AE120</f>
        <v/>
      </c>
      <c r="AG120" s="191">
        <f>IF(AND(AF120&gt;=$F$14,AF119&lt;$F$14),J120,"")</f>
        <v/>
      </c>
      <c r="AH120" s="191">
        <f>IF(AND(AF120&gt;=$F$15,AF119&lt;$F$15),J120,"")</f>
        <v/>
      </c>
      <c r="AI120" s="191">
        <f>IF(AND(AF120&gt;=$F$16,AF119&lt;$F$16),J120,"")</f>
        <v/>
      </c>
      <c r="AJ120" s="191">
        <f>IF(AND(AF120&gt;=$F$17,AF119&lt;$F$17),J120,"")</f>
        <v/>
      </c>
    </row>
    <row r="121" outlineLevel="1" ht="18" customHeight="1" s="326">
      <c r="A121" s="181">
        <f>$A$26</f>
        <v/>
      </c>
      <c r="B121" s="191">
        <f>$B$26</f>
        <v/>
      </c>
      <c r="C121" s="187">
        <f>$C$26</f>
        <v/>
      </c>
      <c r="D121" s="191">
        <f>$D$26</f>
        <v/>
      </c>
      <c r="E121" s="181">
        <f>$E$26</f>
        <v/>
      </c>
      <c r="F121" s="184">
        <f>$F$26</f>
        <v/>
      </c>
      <c r="G121" s="188">
        <f>$G$26</f>
        <v/>
      </c>
      <c r="H121" s="184">
        <f>$H$26</f>
        <v/>
      </c>
      <c r="I121" s="188">
        <f>$J$17</f>
        <v/>
      </c>
      <c r="J121" s="191" t="n">
        <v>11</v>
      </c>
      <c r="K121" s="191">
        <f>('Model Inputs'!$B$22-1)+J121</f>
        <v/>
      </c>
      <c r="L121" s="184">
        <f>IF(J121=1,'Model Inputs'!$B$25*(13-'Model Inputs'!$B$23)/12,'Model Inputs'!$B$25)</f>
        <v/>
      </c>
      <c r="M121" s="184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/>
      </c>
      <c r="N121" s="188">
        <f>IF(J121&lt;=2,0,'Model Inputs'!$B$32*SIN(2*PI()*(J121-3+'Model Inputs'!$B$34)/MAX(1,'Model Inputs'!$B$33)))</f>
        <v/>
      </c>
      <c r="O121" s="184">
        <f>M121*(1+N121)</f>
        <v/>
      </c>
      <c r="P121" s="184">
        <f>0.75*O120+0.25*O119</f>
        <v/>
      </c>
      <c r="Q121" s="184">
        <f>L121+P121+IF(J121=1,'Model Inputs'!$B$26,0)</f>
        <v/>
      </c>
      <c r="R121" s="184">
        <f>IF(J121&lt;=B121,Q121,IF(J121&lt;=B121+$J$18,L121,(SUMIFS($L$51:$L$350,$A$51:$A$350,$A121,$J$51:$J$350,$B121)+SUMIFS($O$51:$O$350,$A$51:$A$350,$A121,$J$51:$J$350,$B121))*C121))</f>
        <v/>
      </c>
      <c r="S121" s="184">
        <f>H121+F121*G121*(1+I121)^MAX(0,J121-MAX(D121,B121+$J$18+1))</f>
        <v/>
      </c>
      <c r="T121" s="184">
        <f>IF(J121&gt;=MAX(D121,B121+$J$18+1),S121,R121)</f>
        <v/>
      </c>
      <c r="U121" s="184">
        <f>MIN(T121,'Tax Assumptions'!$B$19)</f>
        <v/>
      </c>
      <c r="V121" s="184">
        <f>MAX(T121-U121-'Tax Assumptions'!$B$8,0)</f>
        <v/>
      </c>
      <c r="W121" s="184">
        <f>MAX(T121-U121-'Tax Assumptions'!$B$9,0)</f>
        <v/>
      </c>
      <c r="X121" s="184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/>
      </c>
      <c r="Y121" s="184">
        <f>T121-U121-X121</f>
        <v/>
      </c>
      <c r="Z121" s="184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/>
      </c>
      <c r="AA121" s="184">
        <f>Y121-Z121</f>
        <v/>
      </c>
      <c r="AB121" s="184">
        <f>MIN(MAX(AA121,0),'Tax Assumptions'!$B$20)</f>
        <v/>
      </c>
      <c r="AC121" s="184">
        <f>AA121-AB121</f>
        <v/>
      </c>
      <c r="AD121" s="184">
        <f>MAX(AD120*(1+'Model Inputs'!$B$13)+AC121,0)</f>
        <v/>
      </c>
      <c r="AE121" s="184">
        <f>MAX(AE120*(1+'Model Inputs'!$B$13)+U121+AB121,0)</f>
        <v/>
      </c>
      <c r="AF121" s="184">
        <f>AD121+AE121</f>
        <v/>
      </c>
      <c r="AG121" s="191">
        <f>IF(AND(AF121&gt;=$F$14,AF120&lt;$F$14),J121,"")</f>
        <v/>
      </c>
      <c r="AH121" s="191">
        <f>IF(AND(AF121&gt;=$F$15,AF120&lt;$F$15),J121,"")</f>
        <v/>
      </c>
      <c r="AI121" s="191">
        <f>IF(AND(AF121&gt;=$F$16,AF120&lt;$F$16),J121,"")</f>
        <v/>
      </c>
      <c r="AJ121" s="191">
        <f>IF(AND(AF121&gt;=$F$17,AF120&lt;$F$17),J121,"")</f>
        <v/>
      </c>
    </row>
    <row r="122" outlineLevel="1" ht="18" customHeight="1" s="326">
      <c r="A122" s="181">
        <f>$A$26</f>
        <v/>
      </c>
      <c r="B122" s="191">
        <f>$B$26</f>
        <v/>
      </c>
      <c r="C122" s="187">
        <f>$C$26</f>
        <v/>
      </c>
      <c r="D122" s="191">
        <f>$D$26</f>
        <v/>
      </c>
      <c r="E122" s="181">
        <f>$E$26</f>
        <v/>
      </c>
      <c r="F122" s="184">
        <f>$F$26</f>
        <v/>
      </c>
      <c r="G122" s="188">
        <f>$G$26</f>
        <v/>
      </c>
      <c r="H122" s="184">
        <f>$H$26</f>
        <v/>
      </c>
      <c r="I122" s="188">
        <f>$J$17</f>
        <v/>
      </c>
      <c r="J122" s="191" t="n">
        <v>12</v>
      </c>
      <c r="K122" s="191">
        <f>('Model Inputs'!$B$22-1)+J122</f>
        <v/>
      </c>
      <c r="L122" s="184">
        <f>IF(J122=1,'Model Inputs'!$B$25*(13-'Model Inputs'!$B$23)/12,'Model Inputs'!$B$25)</f>
        <v/>
      </c>
      <c r="M122" s="184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/>
      </c>
      <c r="N122" s="188">
        <f>IF(J122&lt;=2,0,'Model Inputs'!$B$32*SIN(2*PI()*(J122-3+'Model Inputs'!$B$34)/MAX(1,'Model Inputs'!$B$33)))</f>
        <v/>
      </c>
      <c r="O122" s="184">
        <f>M122*(1+N122)</f>
        <v/>
      </c>
      <c r="P122" s="184">
        <f>0.75*O121+0.25*O120</f>
        <v/>
      </c>
      <c r="Q122" s="184">
        <f>L122+P122+IF(J122=1,'Model Inputs'!$B$26,0)</f>
        <v/>
      </c>
      <c r="R122" s="184">
        <f>IF(J122&lt;=B122,Q122,IF(J122&lt;=B122+$J$18,L122,(SUMIFS($L$51:$L$350,$A$51:$A$350,$A122,$J$51:$J$350,$B122)+SUMIFS($O$51:$O$350,$A$51:$A$350,$A122,$J$51:$J$350,$B122))*C122))</f>
        <v/>
      </c>
      <c r="S122" s="184">
        <f>H122+F122*G122*(1+I122)^MAX(0,J122-MAX(D122,B122+$J$18+1))</f>
        <v/>
      </c>
      <c r="T122" s="184">
        <f>IF(J122&gt;=MAX(D122,B122+$J$18+1),S122,R122)</f>
        <v/>
      </c>
      <c r="U122" s="184">
        <f>MIN(T122,'Tax Assumptions'!$B$19)</f>
        <v/>
      </c>
      <c r="V122" s="184">
        <f>MAX(T122-U122-'Tax Assumptions'!$B$8,0)</f>
        <v/>
      </c>
      <c r="W122" s="184">
        <f>MAX(T122-U122-'Tax Assumptions'!$B$9,0)</f>
        <v/>
      </c>
      <c r="X122" s="184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/>
      </c>
      <c r="Y122" s="184">
        <f>T122-U122-X122</f>
        <v/>
      </c>
      <c r="Z122" s="184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/>
      </c>
      <c r="AA122" s="184">
        <f>Y122-Z122</f>
        <v/>
      </c>
      <c r="AB122" s="184">
        <f>MIN(MAX(AA122,0),'Tax Assumptions'!$B$20)</f>
        <v/>
      </c>
      <c r="AC122" s="184">
        <f>AA122-AB122</f>
        <v/>
      </c>
      <c r="AD122" s="184">
        <f>MAX(AD121*(1+'Model Inputs'!$B$13)+AC122,0)</f>
        <v/>
      </c>
      <c r="AE122" s="184">
        <f>MAX(AE121*(1+'Model Inputs'!$B$13)+U122+AB122,0)</f>
        <v/>
      </c>
      <c r="AF122" s="184">
        <f>AD122+AE122</f>
        <v/>
      </c>
      <c r="AG122" s="191">
        <f>IF(AND(AF122&gt;=$F$14,AF121&lt;$F$14),J122,"")</f>
        <v/>
      </c>
      <c r="AH122" s="191">
        <f>IF(AND(AF122&gt;=$F$15,AF121&lt;$F$15),J122,"")</f>
        <v/>
      </c>
      <c r="AI122" s="191">
        <f>IF(AND(AF122&gt;=$F$16,AF121&lt;$F$16),J122,"")</f>
        <v/>
      </c>
      <c r="AJ122" s="191">
        <f>IF(AND(AF122&gt;=$F$17,AF121&lt;$F$17),J122,"")</f>
        <v/>
      </c>
    </row>
    <row r="123" outlineLevel="1" ht="18" customHeight="1" s="326">
      <c r="A123" s="181">
        <f>$A$26</f>
        <v/>
      </c>
      <c r="B123" s="191">
        <f>$B$26</f>
        <v/>
      </c>
      <c r="C123" s="187">
        <f>$C$26</f>
        <v/>
      </c>
      <c r="D123" s="191">
        <f>$D$26</f>
        <v/>
      </c>
      <c r="E123" s="181">
        <f>$E$26</f>
        <v/>
      </c>
      <c r="F123" s="184">
        <f>$F$26</f>
        <v/>
      </c>
      <c r="G123" s="188">
        <f>$G$26</f>
        <v/>
      </c>
      <c r="H123" s="184">
        <f>$H$26</f>
        <v/>
      </c>
      <c r="I123" s="188">
        <f>$J$17</f>
        <v/>
      </c>
      <c r="J123" s="191" t="n">
        <v>13</v>
      </c>
      <c r="K123" s="191">
        <f>('Model Inputs'!$B$22-1)+J123</f>
        <v/>
      </c>
      <c r="L123" s="184">
        <f>IF(J123=1,'Model Inputs'!$B$25*(13-'Model Inputs'!$B$23)/12,'Model Inputs'!$B$25)</f>
        <v/>
      </c>
      <c r="M123" s="184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/>
      </c>
      <c r="N123" s="188">
        <f>IF(J123&lt;=2,0,'Model Inputs'!$B$32*SIN(2*PI()*(J123-3+'Model Inputs'!$B$34)/MAX(1,'Model Inputs'!$B$33)))</f>
        <v/>
      </c>
      <c r="O123" s="184">
        <f>M123*(1+N123)</f>
        <v/>
      </c>
      <c r="P123" s="184">
        <f>0.75*O122+0.25*O121</f>
        <v/>
      </c>
      <c r="Q123" s="184">
        <f>L123+P123+IF(J123=1,'Model Inputs'!$B$26,0)</f>
        <v/>
      </c>
      <c r="R123" s="184">
        <f>IF(J123&lt;=B123,Q123,IF(J123&lt;=B123+$J$18,L123,(SUMIFS($L$51:$L$350,$A$51:$A$350,$A123,$J$51:$J$350,$B123)+SUMIFS($O$51:$O$350,$A$51:$A$350,$A123,$J$51:$J$350,$B123))*C123))</f>
        <v/>
      </c>
      <c r="S123" s="184">
        <f>H123+F123*G123*(1+I123)^MAX(0,J123-MAX(D123,B123+$J$18+1))</f>
        <v/>
      </c>
      <c r="T123" s="184">
        <f>IF(J123&gt;=MAX(D123,B123+$J$18+1),S123,R123)</f>
        <v/>
      </c>
      <c r="U123" s="184">
        <f>MIN(T123,'Tax Assumptions'!$B$19)</f>
        <v/>
      </c>
      <c r="V123" s="184">
        <f>MAX(T123-U123-'Tax Assumptions'!$B$8,0)</f>
        <v/>
      </c>
      <c r="W123" s="184">
        <f>MAX(T123-U123-'Tax Assumptions'!$B$9,0)</f>
        <v/>
      </c>
      <c r="X123" s="184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/>
      </c>
      <c r="Y123" s="184">
        <f>T123-U123-X123</f>
        <v/>
      </c>
      <c r="Z123" s="184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/>
      </c>
      <c r="AA123" s="184">
        <f>Y123-Z123</f>
        <v/>
      </c>
      <c r="AB123" s="184">
        <f>MIN(MAX(AA123,0),'Tax Assumptions'!$B$20)</f>
        <v/>
      </c>
      <c r="AC123" s="184">
        <f>AA123-AB123</f>
        <v/>
      </c>
      <c r="AD123" s="184">
        <f>MAX(AD122*(1+'Model Inputs'!$B$13)+AC123,0)</f>
        <v/>
      </c>
      <c r="AE123" s="184">
        <f>MAX(AE122*(1+'Model Inputs'!$B$13)+U123+AB123,0)</f>
        <v/>
      </c>
      <c r="AF123" s="184">
        <f>AD123+AE123</f>
        <v/>
      </c>
      <c r="AG123" s="191">
        <f>IF(AND(AF123&gt;=$F$14,AF122&lt;$F$14),J123,"")</f>
        <v/>
      </c>
      <c r="AH123" s="191">
        <f>IF(AND(AF123&gt;=$F$15,AF122&lt;$F$15),J123,"")</f>
        <v/>
      </c>
      <c r="AI123" s="191">
        <f>IF(AND(AF123&gt;=$F$16,AF122&lt;$F$16),J123,"")</f>
        <v/>
      </c>
      <c r="AJ123" s="191">
        <f>IF(AND(AF123&gt;=$F$17,AF122&lt;$F$17),J123,"")</f>
        <v/>
      </c>
    </row>
    <row r="124" outlineLevel="1" ht="18" customHeight="1" s="326">
      <c r="A124" s="181">
        <f>$A$26</f>
        <v/>
      </c>
      <c r="B124" s="191">
        <f>$B$26</f>
        <v/>
      </c>
      <c r="C124" s="187">
        <f>$C$26</f>
        <v/>
      </c>
      <c r="D124" s="191">
        <f>$D$26</f>
        <v/>
      </c>
      <c r="E124" s="181">
        <f>$E$26</f>
        <v/>
      </c>
      <c r="F124" s="184">
        <f>$F$26</f>
        <v/>
      </c>
      <c r="G124" s="188">
        <f>$G$26</f>
        <v/>
      </c>
      <c r="H124" s="184">
        <f>$H$26</f>
        <v/>
      </c>
      <c r="I124" s="188">
        <f>$J$17</f>
        <v/>
      </c>
      <c r="J124" s="191" t="n">
        <v>14</v>
      </c>
      <c r="K124" s="191">
        <f>('Model Inputs'!$B$22-1)+J124</f>
        <v/>
      </c>
      <c r="L124" s="184">
        <f>IF(J124=1,'Model Inputs'!$B$25*(13-'Model Inputs'!$B$23)/12,'Model Inputs'!$B$25)</f>
        <v/>
      </c>
      <c r="M124" s="184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/>
      </c>
      <c r="N124" s="188">
        <f>IF(J124&lt;=2,0,'Model Inputs'!$B$32*SIN(2*PI()*(J124-3+'Model Inputs'!$B$34)/MAX(1,'Model Inputs'!$B$33)))</f>
        <v/>
      </c>
      <c r="O124" s="184">
        <f>M124*(1+N124)</f>
        <v/>
      </c>
      <c r="P124" s="184">
        <f>0.75*O123+0.25*O122</f>
        <v/>
      </c>
      <c r="Q124" s="184">
        <f>L124+P124+IF(J124=1,'Model Inputs'!$B$26,0)</f>
        <v/>
      </c>
      <c r="R124" s="184">
        <f>IF(J124&lt;=B124,Q124,IF(J124&lt;=B124+$J$18,L124,(SUMIFS($L$51:$L$350,$A$51:$A$350,$A124,$J$51:$J$350,$B124)+SUMIFS($O$51:$O$350,$A$51:$A$350,$A124,$J$51:$J$350,$B124))*C124))</f>
        <v/>
      </c>
      <c r="S124" s="184">
        <f>H124+F124*G124*(1+I124)^MAX(0,J124-MAX(D124,B124+$J$18+1))</f>
        <v/>
      </c>
      <c r="T124" s="184">
        <f>IF(J124&gt;=MAX(D124,B124+$J$18+1),S124,R124)</f>
        <v/>
      </c>
      <c r="U124" s="184">
        <f>MIN(T124,'Tax Assumptions'!$B$19)</f>
        <v/>
      </c>
      <c r="V124" s="184">
        <f>MAX(T124-U124-'Tax Assumptions'!$B$8,0)</f>
        <v/>
      </c>
      <c r="W124" s="184">
        <f>MAX(T124-U124-'Tax Assumptions'!$B$9,0)</f>
        <v/>
      </c>
      <c r="X124" s="184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/>
      </c>
      <c r="Y124" s="184">
        <f>T124-U124-X124</f>
        <v/>
      </c>
      <c r="Z124" s="184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/>
      </c>
      <c r="AA124" s="184">
        <f>Y124-Z124</f>
        <v/>
      </c>
      <c r="AB124" s="184">
        <f>MIN(MAX(AA124,0),'Tax Assumptions'!$B$20)</f>
        <v/>
      </c>
      <c r="AC124" s="184">
        <f>AA124-AB124</f>
        <v/>
      </c>
      <c r="AD124" s="184">
        <f>MAX(AD123*(1+'Model Inputs'!$B$13)+AC124,0)</f>
        <v/>
      </c>
      <c r="AE124" s="184">
        <f>MAX(AE123*(1+'Model Inputs'!$B$13)+U124+AB124,0)</f>
        <v/>
      </c>
      <c r="AF124" s="184">
        <f>AD124+AE124</f>
        <v/>
      </c>
      <c r="AG124" s="191">
        <f>IF(AND(AF124&gt;=$F$14,AF123&lt;$F$14),J124,"")</f>
        <v/>
      </c>
      <c r="AH124" s="191">
        <f>IF(AND(AF124&gt;=$F$15,AF123&lt;$F$15),J124,"")</f>
        <v/>
      </c>
      <c r="AI124" s="191">
        <f>IF(AND(AF124&gt;=$F$16,AF123&lt;$F$16),J124,"")</f>
        <v/>
      </c>
      <c r="AJ124" s="191">
        <f>IF(AND(AF124&gt;=$F$17,AF123&lt;$F$17),J124,"")</f>
        <v/>
      </c>
    </row>
    <row r="125" outlineLevel="1" ht="18" customHeight="1" s="326">
      <c r="A125" s="181">
        <f>$A$26</f>
        <v/>
      </c>
      <c r="B125" s="191">
        <f>$B$26</f>
        <v/>
      </c>
      <c r="C125" s="187">
        <f>$C$26</f>
        <v/>
      </c>
      <c r="D125" s="191">
        <f>$D$26</f>
        <v/>
      </c>
      <c r="E125" s="181">
        <f>$E$26</f>
        <v/>
      </c>
      <c r="F125" s="184">
        <f>$F$26</f>
        <v/>
      </c>
      <c r="G125" s="188">
        <f>$G$26</f>
        <v/>
      </c>
      <c r="H125" s="184">
        <f>$H$26</f>
        <v/>
      </c>
      <c r="I125" s="188">
        <f>$J$17</f>
        <v/>
      </c>
      <c r="J125" s="191" t="n">
        <v>15</v>
      </c>
      <c r="K125" s="191">
        <f>('Model Inputs'!$B$22-1)+J125</f>
        <v/>
      </c>
      <c r="L125" s="184">
        <f>IF(J125=1,'Model Inputs'!$B$25*(13-'Model Inputs'!$B$23)/12,'Model Inputs'!$B$25)</f>
        <v/>
      </c>
      <c r="M125" s="184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/>
      </c>
      <c r="N125" s="188">
        <f>IF(J125&lt;=2,0,'Model Inputs'!$B$32*SIN(2*PI()*(J125-3+'Model Inputs'!$B$34)/MAX(1,'Model Inputs'!$B$33)))</f>
        <v/>
      </c>
      <c r="O125" s="184">
        <f>M125*(1+N125)</f>
        <v/>
      </c>
      <c r="P125" s="184">
        <f>0.75*O124+0.25*O123</f>
        <v/>
      </c>
      <c r="Q125" s="184">
        <f>L125+P125+IF(J125=1,'Model Inputs'!$B$26,0)</f>
        <v/>
      </c>
      <c r="R125" s="184">
        <f>IF(J125&lt;=B125,Q125,IF(J125&lt;=B125+$J$18,L125,(SUMIFS($L$51:$L$350,$A$51:$A$350,$A125,$J$51:$J$350,$B125)+SUMIFS($O$51:$O$350,$A$51:$A$350,$A125,$J$51:$J$350,$B125))*C125))</f>
        <v/>
      </c>
      <c r="S125" s="184">
        <f>H125+F125*G125*(1+I125)^MAX(0,J125-MAX(D125,B125+$J$18+1))</f>
        <v/>
      </c>
      <c r="T125" s="184">
        <f>IF(J125&gt;=MAX(D125,B125+$J$18+1),S125,R125)</f>
        <v/>
      </c>
      <c r="U125" s="184">
        <f>MIN(T125,'Tax Assumptions'!$B$19)</f>
        <v/>
      </c>
      <c r="V125" s="184">
        <f>MAX(T125-U125-'Tax Assumptions'!$B$8,0)</f>
        <v/>
      </c>
      <c r="W125" s="184">
        <f>MAX(T125-U125-'Tax Assumptions'!$B$9,0)</f>
        <v/>
      </c>
      <c r="X125" s="184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/>
      </c>
      <c r="Y125" s="184">
        <f>T125-U125-X125</f>
        <v/>
      </c>
      <c r="Z125" s="184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/>
      </c>
      <c r="AA125" s="184">
        <f>Y125-Z125</f>
        <v/>
      </c>
      <c r="AB125" s="184">
        <f>MIN(MAX(AA125,0),'Tax Assumptions'!$B$20)</f>
        <v/>
      </c>
      <c r="AC125" s="184">
        <f>AA125-AB125</f>
        <v/>
      </c>
      <c r="AD125" s="184">
        <f>MAX(AD124*(1+'Model Inputs'!$B$13)+AC125,0)</f>
        <v/>
      </c>
      <c r="AE125" s="184">
        <f>MAX(AE124*(1+'Model Inputs'!$B$13)+U125+AB125,0)</f>
        <v/>
      </c>
      <c r="AF125" s="184">
        <f>AD125+AE125</f>
        <v/>
      </c>
      <c r="AG125" s="191">
        <f>IF(AND(AF125&gt;=$F$14,AF124&lt;$F$14),J125,"")</f>
        <v/>
      </c>
      <c r="AH125" s="191">
        <f>IF(AND(AF125&gt;=$F$15,AF124&lt;$F$15),J125,"")</f>
        <v/>
      </c>
      <c r="AI125" s="191">
        <f>IF(AND(AF125&gt;=$F$16,AF124&lt;$F$16),J125,"")</f>
        <v/>
      </c>
      <c r="AJ125" s="191">
        <f>IF(AND(AF125&gt;=$F$17,AF124&lt;$F$17),J125,"")</f>
        <v/>
      </c>
    </row>
    <row r="126" outlineLevel="1" ht="18" customHeight="1" s="326">
      <c r="A126" s="181">
        <f>$A$27</f>
        <v/>
      </c>
      <c r="B126" s="191">
        <f>$B$27</f>
        <v/>
      </c>
      <c r="C126" s="187">
        <f>$C$27</f>
        <v/>
      </c>
      <c r="D126" s="191">
        <f>$D$27</f>
        <v/>
      </c>
      <c r="E126" s="181">
        <f>$E$27</f>
        <v/>
      </c>
      <c r="F126" s="184">
        <f>$F$27</f>
        <v/>
      </c>
      <c r="G126" s="188">
        <f>$G$27</f>
        <v/>
      </c>
      <c r="H126" s="184">
        <f>$H$27</f>
        <v/>
      </c>
      <c r="I126" s="188">
        <f>$J$17</f>
        <v/>
      </c>
      <c r="J126" s="191" t="n">
        <v>1</v>
      </c>
      <c r="K126" s="191">
        <f>('Model Inputs'!$B$22-1)+J126</f>
        <v/>
      </c>
      <c r="L126" s="184">
        <f>IF(J126=1,'Model Inputs'!$B$25*(13-'Model Inputs'!$B$23)/12,'Model Inputs'!$B$25)</f>
        <v/>
      </c>
      <c r="M126" s="184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/>
      </c>
      <c r="N126" s="188">
        <f>IF(J126&lt;=2,0,'Model Inputs'!$B$32*SIN(2*PI()*(J126-3+'Model Inputs'!$B$34)/MAX(1,'Model Inputs'!$B$33)))</f>
        <v/>
      </c>
      <c r="O126" s="184">
        <f>M126*(1+N126)</f>
        <v/>
      </c>
      <c r="P126" s="184">
        <f>0</f>
        <v/>
      </c>
      <c r="Q126" s="184">
        <f>L126+P126+IF(J126=1,'Model Inputs'!$B$26,0)</f>
        <v/>
      </c>
      <c r="R126" s="184">
        <f>IF(J126&lt;=B126,Q126,IF(J126&lt;=B126+$J$18,L126,(SUMIFS($L$51:$L$350,$A$51:$A$350,$A126,$J$51:$J$350,$B126)+SUMIFS($O$51:$O$350,$A$51:$A$350,$A126,$J$51:$J$350,$B126))*C126))</f>
        <v/>
      </c>
      <c r="S126" s="184">
        <f>H126+F126*G126*(1+I126)^MAX(0,J126-MAX(D126,B126+$J$18+1))</f>
        <v/>
      </c>
      <c r="T126" s="184">
        <f>IF(J126&gt;=MAX(D126,B126+$J$18+1),S126,R126)</f>
        <v/>
      </c>
      <c r="U126" s="184">
        <f>MIN(T126,'Tax Assumptions'!$B$19)</f>
        <v/>
      </c>
      <c r="V126" s="184">
        <f>MAX(T126-U126-'Tax Assumptions'!$B$8,0)</f>
        <v/>
      </c>
      <c r="W126" s="184">
        <f>MAX(T126-U126-'Tax Assumptions'!$B$9,0)</f>
        <v/>
      </c>
      <c r="X126" s="184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/>
      </c>
      <c r="Y126" s="184">
        <f>T126-U126-X126</f>
        <v/>
      </c>
      <c r="Z126" s="184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/>
      </c>
      <c r="AA126" s="184">
        <f>Y126-Z126</f>
        <v/>
      </c>
      <c r="AB126" s="184">
        <f>MIN(MAX(AA126,0),'Tax Assumptions'!$B$20)</f>
        <v/>
      </c>
      <c r="AC126" s="184">
        <f>AA126-AB126</f>
        <v/>
      </c>
      <c r="AD126" s="184">
        <f>MAX('Model Inputs'!$B$7*(1+'Model Inputs'!$B$13)+AC126,0)</f>
        <v/>
      </c>
      <c r="AE126" s="184">
        <f>MAX(('Model Inputs'!$B$8+'Model Inputs'!$B$9+'Model Inputs'!$B$10)*(1+'Model Inputs'!$B$13)+U126+AB126,0)</f>
        <v/>
      </c>
      <c r="AF126" s="184">
        <f>AD126+AE126</f>
        <v/>
      </c>
      <c r="AG126" s="191">
        <f>IF(AND(AF126&gt;=$F$14,0&lt;$F$14),J126,"")</f>
        <v/>
      </c>
      <c r="AH126" s="191">
        <f>IF(AND(AF126&gt;=$F$15,0&lt;$F$15),J126,"")</f>
        <v/>
      </c>
      <c r="AI126" s="191">
        <f>IF(AND(AF126&gt;=$F$16,0&lt;$F$16),J126,"")</f>
        <v/>
      </c>
      <c r="AJ126" s="191">
        <f>IF(AND(AF126&gt;=$F$17,0&lt;$F$17),J126,"")</f>
        <v/>
      </c>
    </row>
    <row r="127" outlineLevel="1" ht="18" customHeight="1" s="326">
      <c r="A127" s="181">
        <f>$A$27</f>
        <v/>
      </c>
      <c r="B127" s="191">
        <f>$B$27</f>
        <v/>
      </c>
      <c r="C127" s="187">
        <f>$C$27</f>
        <v/>
      </c>
      <c r="D127" s="191">
        <f>$D$27</f>
        <v/>
      </c>
      <c r="E127" s="181">
        <f>$E$27</f>
        <v/>
      </c>
      <c r="F127" s="184">
        <f>$F$27</f>
        <v/>
      </c>
      <c r="G127" s="188">
        <f>$G$27</f>
        <v/>
      </c>
      <c r="H127" s="184">
        <f>$H$27</f>
        <v/>
      </c>
      <c r="I127" s="188">
        <f>$J$17</f>
        <v/>
      </c>
      <c r="J127" s="191" t="n">
        <v>2</v>
      </c>
      <c r="K127" s="191">
        <f>('Model Inputs'!$B$22-1)+J127</f>
        <v/>
      </c>
      <c r="L127" s="184">
        <f>IF(J127=1,'Model Inputs'!$B$25*(13-'Model Inputs'!$B$23)/12,'Model Inputs'!$B$25)</f>
        <v/>
      </c>
      <c r="M127" s="184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/>
      </c>
      <c r="N127" s="188">
        <f>IF(J127&lt;=2,0,'Model Inputs'!$B$32*SIN(2*PI()*(J127-3+'Model Inputs'!$B$34)/MAX(1,'Model Inputs'!$B$33)))</f>
        <v/>
      </c>
      <c r="O127" s="184">
        <f>M127*(1+N127)</f>
        <v/>
      </c>
      <c r="P127" s="184">
        <f>0.75*O126</f>
        <v/>
      </c>
      <c r="Q127" s="184">
        <f>L127+P127+IF(J127=1,'Model Inputs'!$B$26,0)</f>
        <v/>
      </c>
      <c r="R127" s="184">
        <f>IF(J127&lt;=B127,Q127,IF(J127&lt;=B127+$J$18,L127,(SUMIFS($L$51:$L$350,$A$51:$A$350,$A127,$J$51:$J$350,$B127)+SUMIFS($O$51:$O$350,$A$51:$A$350,$A127,$J$51:$J$350,$B127))*C127))</f>
        <v/>
      </c>
      <c r="S127" s="184">
        <f>H127+F127*G127*(1+I127)^MAX(0,J127-MAX(D127,B127+$J$18+1))</f>
        <v/>
      </c>
      <c r="T127" s="184">
        <f>IF(J127&gt;=MAX(D127,B127+$J$18+1),S127,R127)</f>
        <v/>
      </c>
      <c r="U127" s="184">
        <f>MIN(T127,'Tax Assumptions'!$B$19)</f>
        <v/>
      </c>
      <c r="V127" s="184">
        <f>MAX(T127-U127-'Tax Assumptions'!$B$8,0)</f>
        <v/>
      </c>
      <c r="W127" s="184">
        <f>MAX(T127-U127-'Tax Assumptions'!$B$9,0)</f>
        <v/>
      </c>
      <c r="X127" s="184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/>
      </c>
      <c r="Y127" s="184">
        <f>T127-U127-X127</f>
        <v/>
      </c>
      <c r="Z127" s="184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/>
      </c>
      <c r="AA127" s="184">
        <f>Y127-Z127</f>
        <v/>
      </c>
      <c r="AB127" s="184">
        <f>MIN(MAX(AA127,0),'Tax Assumptions'!$B$20)</f>
        <v/>
      </c>
      <c r="AC127" s="184">
        <f>AA127-AB127</f>
        <v/>
      </c>
      <c r="AD127" s="184">
        <f>MAX(AD126*(1+'Model Inputs'!$B$13)+AC127,0)</f>
        <v/>
      </c>
      <c r="AE127" s="184">
        <f>MAX(AE126*(1+'Model Inputs'!$B$13)+U127+AB127,0)</f>
        <v/>
      </c>
      <c r="AF127" s="184">
        <f>AD127+AE127</f>
        <v/>
      </c>
      <c r="AG127" s="191">
        <f>IF(AND(AF127&gt;=$F$14,AF126&lt;$F$14),J127,"")</f>
        <v/>
      </c>
      <c r="AH127" s="191">
        <f>IF(AND(AF127&gt;=$F$15,AF126&lt;$F$15),J127,"")</f>
        <v/>
      </c>
      <c r="AI127" s="191">
        <f>IF(AND(AF127&gt;=$F$16,AF126&lt;$F$16),J127,"")</f>
        <v/>
      </c>
      <c r="AJ127" s="191">
        <f>IF(AND(AF127&gt;=$F$17,AF126&lt;$F$17),J127,"")</f>
        <v/>
      </c>
    </row>
    <row r="128" outlineLevel="1" ht="18" customHeight="1" s="326">
      <c r="A128" s="181">
        <f>$A$27</f>
        <v/>
      </c>
      <c r="B128" s="191">
        <f>$B$27</f>
        <v/>
      </c>
      <c r="C128" s="187">
        <f>$C$27</f>
        <v/>
      </c>
      <c r="D128" s="191">
        <f>$D$27</f>
        <v/>
      </c>
      <c r="E128" s="181">
        <f>$E$27</f>
        <v/>
      </c>
      <c r="F128" s="184">
        <f>$F$27</f>
        <v/>
      </c>
      <c r="G128" s="188">
        <f>$G$27</f>
        <v/>
      </c>
      <c r="H128" s="184">
        <f>$H$27</f>
        <v/>
      </c>
      <c r="I128" s="188">
        <f>$J$17</f>
        <v/>
      </c>
      <c r="J128" s="191" t="n">
        <v>3</v>
      </c>
      <c r="K128" s="191">
        <f>('Model Inputs'!$B$22-1)+J128</f>
        <v/>
      </c>
      <c r="L128" s="184">
        <f>IF(J128=1,'Model Inputs'!$B$25*(13-'Model Inputs'!$B$23)/12,'Model Inputs'!$B$25)</f>
        <v/>
      </c>
      <c r="M128" s="184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/>
      </c>
      <c r="N128" s="188">
        <f>IF(J128&lt;=2,0,'Model Inputs'!$B$32*SIN(2*PI()*(J128-3+'Model Inputs'!$B$34)/MAX(1,'Model Inputs'!$B$33)))</f>
        <v/>
      </c>
      <c r="O128" s="184">
        <f>M128*(1+N128)</f>
        <v/>
      </c>
      <c r="P128" s="184">
        <f>0.75*O127+0.25*O126</f>
        <v/>
      </c>
      <c r="Q128" s="184">
        <f>L128+P128+IF(J128=1,'Model Inputs'!$B$26,0)</f>
        <v/>
      </c>
      <c r="R128" s="184">
        <f>IF(J128&lt;=B128,Q128,IF(J128&lt;=B128+$J$18,L128,(SUMIFS($L$51:$L$350,$A$51:$A$350,$A128,$J$51:$J$350,$B128)+SUMIFS($O$51:$O$350,$A$51:$A$350,$A128,$J$51:$J$350,$B128))*C128))</f>
        <v/>
      </c>
      <c r="S128" s="184">
        <f>H128+F128*G128*(1+I128)^MAX(0,J128-MAX(D128,B128+$J$18+1))</f>
        <v/>
      </c>
      <c r="T128" s="184">
        <f>IF(J128&gt;=MAX(D128,B128+$J$18+1),S128,R128)</f>
        <v/>
      </c>
      <c r="U128" s="184">
        <f>MIN(T128,'Tax Assumptions'!$B$19)</f>
        <v/>
      </c>
      <c r="V128" s="184">
        <f>MAX(T128-U128-'Tax Assumptions'!$B$8,0)</f>
        <v/>
      </c>
      <c r="W128" s="184">
        <f>MAX(T128-U128-'Tax Assumptions'!$B$9,0)</f>
        <v/>
      </c>
      <c r="X128" s="184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/>
      </c>
      <c r="Y128" s="184">
        <f>T128-U128-X128</f>
        <v/>
      </c>
      <c r="Z128" s="184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/>
      </c>
      <c r="AA128" s="184">
        <f>Y128-Z128</f>
        <v/>
      </c>
      <c r="AB128" s="184">
        <f>MIN(MAX(AA128,0),'Tax Assumptions'!$B$20)</f>
        <v/>
      </c>
      <c r="AC128" s="184">
        <f>AA128-AB128</f>
        <v/>
      </c>
      <c r="AD128" s="184">
        <f>MAX(AD127*(1+'Model Inputs'!$B$13)+AC128,0)</f>
        <v/>
      </c>
      <c r="AE128" s="184">
        <f>MAX(AE127*(1+'Model Inputs'!$B$13)+U128+AB128,0)</f>
        <v/>
      </c>
      <c r="AF128" s="184">
        <f>AD128+AE128</f>
        <v/>
      </c>
      <c r="AG128" s="191">
        <f>IF(AND(AF128&gt;=$F$14,AF127&lt;$F$14),J128,"")</f>
        <v/>
      </c>
      <c r="AH128" s="191">
        <f>IF(AND(AF128&gt;=$F$15,AF127&lt;$F$15),J128,"")</f>
        <v/>
      </c>
      <c r="AI128" s="191">
        <f>IF(AND(AF128&gt;=$F$16,AF127&lt;$F$16),J128,"")</f>
        <v/>
      </c>
      <c r="AJ128" s="191">
        <f>IF(AND(AF128&gt;=$F$17,AF127&lt;$F$17),J128,"")</f>
        <v/>
      </c>
    </row>
    <row r="129" outlineLevel="1" ht="18" customHeight="1" s="326">
      <c r="A129" s="181">
        <f>$A$27</f>
        <v/>
      </c>
      <c r="B129" s="191">
        <f>$B$27</f>
        <v/>
      </c>
      <c r="C129" s="187">
        <f>$C$27</f>
        <v/>
      </c>
      <c r="D129" s="191">
        <f>$D$27</f>
        <v/>
      </c>
      <c r="E129" s="181">
        <f>$E$27</f>
        <v/>
      </c>
      <c r="F129" s="184">
        <f>$F$27</f>
        <v/>
      </c>
      <c r="G129" s="188">
        <f>$G$27</f>
        <v/>
      </c>
      <c r="H129" s="184">
        <f>$H$27</f>
        <v/>
      </c>
      <c r="I129" s="188">
        <f>$J$17</f>
        <v/>
      </c>
      <c r="J129" s="191" t="n">
        <v>4</v>
      </c>
      <c r="K129" s="191">
        <f>('Model Inputs'!$B$22-1)+J129</f>
        <v/>
      </c>
      <c r="L129" s="184">
        <f>IF(J129=1,'Model Inputs'!$B$25*(13-'Model Inputs'!$B$23)/12,'Model Inputs'!$B$25)</f>
        <v/>
      </c>
      <c r="M129" s="184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/>
      </c>
      <c r="N129" s="188">
        <f>IF(J129&lt;=2,0,'Model Inputs'!$B$32*SIN(2*PI()*(J129-3+'Model Inputs'!$B$34)/MAX(1,'Model Inputs'!$B$33)))</f>
        <v/>
      </c>
      <c r="O129" s="184">
        <f>M129*(1+N129)</f>
        <v/>
      </c>
      <c r="P129" s="184">
        <f>0.75*O128+0.25*O127</f>
        <v/>
      </c>
      <c r="Q129" s="184">
        <f>L129+P129+IF(J129=1,'Model Inputs'!$B$26,0)</f>
        <v/>
      </c>
      <c r="R129" s="184">
        <f>IF(J129&lt;=B129,Q129,IF(J129&lt;=B129+$J$18,L129,(SUMIFS($L$51:$L$350,$A$51:$A$350,$A129,$J$51:$J$350,$B129)+SUMIFS($O$51:$O$350,$A$51:$A$350,$A129,$J$51:$J$350,$B129))*C129))</f>
        <v/>
      </c>
      <c r="S129" s="184">
        <f>H129+F129*G129*(1+I129)^MAX(0,J129-MAX(D129,B129+$J$18+1))</f>
        <v/>
      </c>
      <c r="T129" s="184">
        <f>IF(J129&gt;=MAX(D129,B129+$J$18+1),S129,R129)</f>
        <v/>
      </c>
      <c r="U129" s="184">
        <f>MIN(T129,'Tax Assumptions'!$B$19)</f>
        <v/>
      </c>
      <c r="V129" s="184">
        <f>MAX(T129-U129-'Tax Assumptions'!$B$8,0)</f>
        <v/>
      </c>
      <c r="W129" s="184">
        <f>MAX(T129-U129-'Tax Assumptions'!$B$9,0)</f>
        <v/>
      </c>
      <c r="X129" s="184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/>
      </c>
      <c r="Y129" s="184">
        <f>T129-U129-X129</f>
        <v/>
      </c>
      <c r="Z129" s="184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/>
      </c>
      <c r="AA129" s="184">
        <f>Y129-Z129</f>
        <v/>
      </c>
      <c r="AB129" s="184">
        <f>MIN(MAX(AA129,0),'Tax Assumptions'!$B$20)</f>
        <v/>
      </c>
      <c r="AC129" s="184">
        <f>AA129-AB129</f>
        <v/>
      </c>
      <c r="AD129" s="184">
        <f>MAX(AD128*(1+'Model Inputs'!$B$13)+AC129,0)</f>
        <v/>
      </c>
      <c r="AE129" s="184">
        <f>MAX(AE128*(1+'Model Inputs'!$B$13)+U129+AB129,0)</f>
        <v/>
      </c>
      <c r="AF129" s="184">
        <f>AD129+AE129</f>
        <v/>
      </c>
      <c r="AG129" s="191">
        <f>IF(AND(AF129&gt;=$F$14,AF128&lt;$F$14),J129,"")</f>
        <v/>
      </c>
      <c r="AH129" s="191">
        <f>IF(AND(AF129&gt;=$F$15,AF128&lt;$F$15),J129,"")</f>
        <v/>
      </c>
      <c r="AI129" s="191">
        <f>IF(AND(AF129&gt;=$F$16,AF128&lt;$F$16),J129,"")</f>
        <v/>
      </c>
      <c r="AJ129" s="191">
        <f>IF(AND(AF129&gt;=$F$17,AF128&lt;$F$17),J129,"")</f>
        <v/>
      </c>
    </row>
    <row r="130" outlineLevel="1" ht="18" customHeight="1" s="326">
      <c r="A130" s="181">
        <f>$A$27</f>
        <v/>
      </c>
      <c r="B130" s="191">
        <f>$B$27</f>
        <v/>
      </c>
      <c r="C130" s="187">
        <f>$C$27</f>
        <v/>
      </c>
      <c r="D130" s="191">
        <f>$D$27</f>
        <v/>
      </c>
      <c r="E130" s="181">
        <f>$E$27</f>
        <v/>
      </c>
      <c r="F130" s="184">
        <f>$F$27</f>
        <v/>
      </c>
      <c r="G130" s="188">
        <f>$G$27</f>
        <v/>
      </c>
      <c r="H130" s="184">
        <f>$H$27</f>
        <v/>
      </c>
      <c r="I130" s="188">
        <f>$J$17</f>
        <v/>
      </c>
      <c r="J130" s="191" t="n">
        <v>5</v>
      </c>
      <c r="K130" s="191">
        <f>('Model Inputs'!$B$22-1)+J130</f>
        <v/>
      </c>
      <c r="L130" s="184">
        <f>IF(J130=1,'Model Inputs'!$B$25*(13-'Model Inputs'!$B$23)/12,'Model Inputs'!$B$25)</f>
        <v/>
      </c>
      <c r="M130" s="184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/>
      </c>
      <c r="N130" s="188">
        <f>IF(J130&lt;=2,0,'Model Inputs'!$B$32*SIN(2*PI()*(J130-3+'Model Inputs'!$B$34)/MAX(1,'Model Inputs'!$B$33)))</f>
        <v/>
      </c>
      <c r="O130" s="184">
        <f>M130*(1+N130)</f>
        <v/>
      </c>
      <c r="P130" s="184">
        <f>0.75*O129+0.25*O128</f>
        <v/>
      </c>
      <c r="Q130" s="184">
        <f>L130+P130+IF(J130=1,'Model Inputs'!$B$26,0)</f>
        <v/>
      </c>
      <c r="R130" s="184">
        <f>IF(J130&lt;=B130,Q130,IF(J130&lt;=B130+$J$18,L130,(SUMIFS($L$51:$L$350,$A$51:$A$350,$A130,$J$51:$J$350,$B130)+SUMIFS($O$51:$O$350,$A$51:$A$350,$A130,$J$51:$J$350,$B130))*C130))</f>
        <v/>
      </c>
      <c r="S130" s="184">
        <f>H130+F130*G130*(1+I130)^MAX(0,J130-MAX(D130,B130+$J$18+1))</f>
        <v/>
      </c>
      <c r="T130" s="184">
        <f>IF(J130&gt;=MAX(D130,B130+$J$18+1),S130,R130)</f>
        <v/>
      </c>
      <c r="U130" s="184">
        <f>MIN(T130,'Tax Assumptions'!$B$19)</f>
        <v/>
      </c>
      <c r="V130" s="184">
        <f>MAX(T130-U130-'Tax Assumptions'!$B$8,0)</f>
        <v/>
      </c>
      <c r="W130" s="184">
        <f>MAX(T130-U130-'Tax Assumptions'!$B$9,0)</f>
        <v/>
      </c>
      <c r="X130" s="184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/>
      </c>
      <c r="Y130" s="184">
        <f>T130-U130-X130</f>
        <v/>
      </c>
      <c r="Z130" s="184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/>
      </c>
      <c r="AA130" s="184">
        <f>Y130-Z130</f>
        <v/>
      </c>
      <c r="AB130" s="184">
        <f>MIN(MAX(AA130,0),'Tax Assumptions'!$B$20)</f>
        <v/>
      </c>
      <c r="AC130" s="184">
        <f>AA130-AB130</f>
        <v/>
      </c>
      <c r="AD130" s="184">
        <f>MAX(AD129*(1+'Model Inputs'!$B$13)+AC130,0)</f>
        <v/>
      </c>
      <c r="AE130" s="184">
        <f>MAX(AE129*(1+'Model Inputs'!$B$13)+U130+AB130,0)</f>
        <v/>
      </c>
      <c r="AF130" s="184">
        <f>AD130+AE130</f>
        <v/>
      </c>
      <c r="AG130" s="191">
        <f>IF(AND(AF130&gt;=$F$14,AF129&lt;$F$14),J130,"")</f>
        <v/>
      </c>
      <c r="AH130" s="191">
        <f>IF(AND(AF130&gt;=$F$15,AF129&lt;$F$15),J130,"")</f>
        <v/>
      </c>
      <c r="AI130" s="191">
        <f>IF(AND(AF130&gt;=$F$16,AF129&lt;$F$16),J130,"")</f>
        <v/>
      </c>
      <c r="AJ130" s="191">
        <f>IF(AND(AF130&gt;=$F$17,AF129&lt;$F$17),J130,"")</f>
        <v/>
      </c>
    </row>
    <row r="131" outlineLevel="1" ht="18" customHeight="1" s="326">
      <c r="A131" s="181">
        <f>$A$27</f>
        <v/>
      </c>
      <c r="B131" s="191">
        <f>$B$27</f>
        <v/>
      </c>
      <c r="C131" s="187">
        <f>$C$27</f>
        <v/>
      </c>
      <c r="D131" s="191">
        <f>$D$27</f>
        <v/>
      </c>
      <c r="E131" s="181">
        <f>$E$27</f>
        <v/>
      </c>
      <c r="F131" s="184">
        <f>$F$27</f>
        <v/>
      </c>
      <c r="G131" s="188">
        <f>$G$27</f>
        <v/>
      </c>
      <c r="H131" s="184">
        <f>$H$27</f>
        <v/>
      </c>
      <c r="I131" s="188">
        <f>$J$17</f>
        <v/>
      </c>
      <c r="J131" s="191" t="n">
        <v>6</v>
      </c>
      <c r="K131" s="191">
        <f>('Model Inputs'!$B$22-1)+J131</f>
        <v/>
      </c>
      <c r="L131" s="184">
        <f>IF(J131=1,'Model Inputs'!$B$25*(13-'Model Inputs'!$B$23)/12,'Model Inputs'!$B$25)</f>
        <v/>
      </c>
      <c r="M131" s="184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/>
      </c>
      <c r="N131" s="188">
        <f>IF(J131&lt;=2,0,'Model Inputs'!$B$32*SIN(2*PI()*(J131-3+'Model Inputs'!$B$34)/MAX(1,'Model Inputs'!$B$33)))</f>
        <v/>
      </c>
      <c r="O131" s="184">
        <f>M131*(1+N131)</f>
        <v/>
      </c>
      <c r="P131" s="184">
        <f>0.75*O130+0.25*O129</f>
        <v/>
      </c>
      <c r="Q131" s="184">
        <f>L131+P131+IF(J131=1,'Model Inputs'!$B$26,0)</f>
        <v/>
      </c>
      <c r="R131" s="184">
        <f>IF(J131&lt;=B131,Q131,IF(J131&lt;=B131+$J$18,L131,(SUMIFS($L$51:$L$350,$A$51:$A$350,$A131,$J$51:$J$350,$B131)+SUMIFS($O$51:$O$350,$A$51:$A$350,$A131,$J$51:$J$350,$B131))*C131))</f>
        <v/>
      </c>
      <c r="S131" s="184">
        <f>H131+F131*G131*(1+I131)^MAX(0,J131-MAX(D131,B131+$J$18+1))</f>
        <v/>
      </c>
      <c r="T131" s="184">
        <f>IF(J131&gt;=MAX(D131,B131+$J$18+1),S131,R131)</f>
        <v/>
      </c>
      <c r="U131" s="184">
        <f>MIN(T131,'Tax Assumptions'!$B$19)</f>
        <v/>
      </c>
      <c r="V131" s="184">
        <f>MAX(T131-U131-'Tax Assumptions'!$B$8,0)</f>
        <v/>
      </c>
      <c r="W131" s="184">
        <f>MAX(T131-U131-'Tax Assumptions'!$B$9,0)</f>
        <v/>
      </c>
      <c r="X131" s="184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/>
      </c>
      <c r="Y131" s="184">
        <f>T131-U131-X131</f>
        <v/>
      </c>
      <c r="Z131" s="184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/>
      </c>
      <c r="AA131" s="184">
        <f>Y131-Z131</f>
        <v/>
      </c>
      <c r="AB131" s="184">
        <f>MIN(MAX(AA131,0),'Tax Assumptions'!$B$20)</f>
        <v/>
      </c>
      <c r="AC131" s="184">
        <f>AA131-AB131</f>
        <v/>
      </c>
      <c r="AD131" s="184">
        <f>MAX(AD130*(1+'Model Inputs'!$B$13)+AC131,0)</f>
        <v/>
      </c>
      <c r="AE131" s="184">
        <f>MAX(AE130*(1+'Model Inputs'!$B$13)+U131+AB131,0)</f>
        <v/>
      </c>
      <c r="AF131" s="184">
        <f>AD131+AE131</f>
        <v/>
      </c>
      <c r="AG131" s="191">
        <f>IF(AND(AF131&gt;=$F$14,AF130&lt;$F$14),J131,"")</f>
        <v/>
      </c>
      <c r="AH131" s="191">
        <f>IF(AND(AF131&gt;=$F$15,AF130&lt;$F$15),J131,"")</f>
        <v/>
      </c>
      <c r="AI131" s="191">
        <f>IF(AND(AF131&gt;=$F$16,AF130&lt;$F$16),J131,"")</f>
        <v/>
      </c>
      <c r="AJ131" s="191">
        <f>IF(AND(AF131&gt;=$F$17,AF130&lt;$F$17),J131,"")</f>
        <v/>
      </c>
    </row>
    <row r="132" outlineLevel="1" ht="18" customHeight="1" s="326">
      <c r="A132" s="181">
        <f>$A$27</f>
        <v/>
      </c>
      <c r="B132" s="191">
        <f>$B$27</f>
        <v/>
      </c>
      <c r="C132" s="187">
        <f>$C$27</f>
        <v/>
      </c>
      <c r="D132" s="191">
        <f>$D$27</f>
        <v/>
      </c>
      <c r="E132" s="181">
        <f>$E$27</f>
        <v/>
      </c>
      <c r="F132" s="184">
        <f>$F$27</f>
        <v/>
      </c>
      <c r="G132" s="188">
        <f>$G$27</f>
        <v/>
      </c>
      <c r="H132" s="184">
        <f>$H$27</f>
        <v/>
      </c>
      <c r="I132" s="188">
        <f>$J$17</f>
        <v/>
      </c>
      <c r="J132" s="191" t="n">
        <v>7</v>
      </c>
      <c r="K132" s="191">
        <f>('Model Inputs'!$B$22-1)+J132</f>
        <v/>
      </c>
      <c r="L132" s="184">
        <f>IF(J132=1,'Model Inputs'!$B$25*(13-'Model Inputs'!$B$23)/12,'Model Inputs'!$B$25)</f>
        <v/>
      </c>
      <c r="M132" s="184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/>
      </c>
      <c r="N132" s="188">
        <f>IF(J132&lt;=2,0,'Model Inputs'!$B$32*SIN(2*PI()*(J132-3+'Model Inputs'!$B$34)/MAX(1,'Model Inputs'!$B$33)))</f>
        <v/>
      </c>
      <c r="O132" s="184">
        <f>M132*(1+N132)</f>
        <v/>
      </c>
      <c r="P132" s="184">
        <f>0.75*O131+0.25*O130</f>
        <v/>
      </c>
      <c r="Q132" s="184">
        <f>L132+P132+IF(J132=1,'Model Inputs'!$B$26,0)</f>
        <v/>
      </c>
      <c r="R132" s="184">
        <f>IF(J132&lt;=B132,Q132,IF(J132&lt;=B132+$J$18,L132,(SUMIFS($L$51:$L$350,$A$51:$A$350,$A132,$J$51:$J$350,$B132)+SUMIFS($O$51:$O$350,$A$51:$A$350,$A132,$J$51:$J$350,$B132))*C132))</f>
        <v/>
      </c>
      <c r="S132" s="184">
        <f>H132+F132*G132*(1+I132)^MAX(0,J132-MAX(D132,B132+$J$18+1))</f>
        <v/>
      </c>
      <c r="T132" s="184">
        <f>IF(J132&gt;=MAX(D132,B132+$J$18+1),S132,R132)</f>
        <v/>
      </c>
      <c r="U132" s="184">
        <f>MIN(T132,'Tax Assumptions'!$B$19)</f>
        <v/>
      </c>
      <c r="V132" s="184">
        <f>MAX(T132-U132-'Tax Assumptions'!$B$8,0)</f>
        <v/>
      </c>
      <c r="W132" s="184">
        <f>MAX(T132-U132-'Tax Assumptions'!$B$9,0)</f>
        <v/>
      </c>
      <c r="X132" s="184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/>
      </c>
      <c r="Y132" s="184">
        <f>T132-U132-X132</f>
        <v/>
      </c>
      <c r="Z132" s="184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/>
      </c>
      <c r="AA132" s="184">
        <f>Y132-Z132</f>
        <v/>
      </c>
      <c r="AB132" s="184">
        <f>MIN(MAX(AA132,0),'Tax Assumptions'!$B$20)</f>
        <v/>
      </c>
      <c r="AC132" s="184">
        <f>AA132-AB132</f>
        <v/>
      </c>
      <c r="AD132" s="184">
        <f>MAX(AD131*(1+'Model Inputs'!$B$13)+AC132,0)</f>
        <v/>
      </c>
      <c r="AE132" s="184">
        <f>MAX(AE131*(1+'Model Inputs'!$B$13)+U132+AB132,0)</f>
        <v/>
      </c>
      <c r="AF132" s="184">
        <f>AD132+AE132</f>
        <v/>
      </c>
      <c r="AG132" s="191">
        <f>IF(AND(AF132&gt;=$F$14,AF131&lt;$F$14),J132,"")</f>
        <v/>
      </c>
      <c r="AH132" s="191">
        <f>IF(AND(AF132&gt;=$F$15,AF131&lt;$F$15),J132,"")</f>
        <v/>
      </c>
      <c r="AI132" s="191">
        <f>IF(AND(AF132&gt;=$F$16,AF131&lt;$F$16),J132,"")</f>
        <v/>
      </c>
      <c r="AJ132" s="191">
        <f>IF(AND(AF132&gt;=$F$17,AF131&lt;$F$17),J132,"")</f>
        <v/>
      </c>
    </row>
    <row r="133" outlineLevel="1" ht="18" customHeight="1" s="326">
      <c r="A133" s="181">
        <f>$A$27</f>
        <v/>
      </c>
      <c r="B133" s="191">
        <f>$B$27</f>
        <v/>
      </c>
      <c r="C133" s="187">
        <f>$C$27</f>
        <v/>
      </c>
      <c r="D133" s="191">
        <f>$D$27</f>
        <v/>
      </c>
      <c r="E133" s="181">
        <f>$E$27</f>
        <v/>
      </c>
      <c r="F133" s="184">
        <f>$F$27</f>
        <v/>
      </c>
      <c r="G133" s="188">
        <f>$G$27</f>
        <v/>
      </c>
      <c r="H133" s="184">
        <f>$H$27</f>
        <v/>
      </c>
      <c r="I133" s="188">
        <f>$J$17</f>
        <v/>
      </c>
      <c r="J133" s="191" t="n">
        <v>8</v>
      </c>
      <c r="K133" s="191">
        <f>('Model Inputs'!$B$22-1)+J133</f>
        <v/>
      </c>
      <c r="L133" s="184">
        <f>IF(J133=1,'Model Inputs'!$B$25*(13-'Model Inputs'!$B$23)/12,'Model Inputs'!$B$25)</f>
        <v/>
      </c>
      <c r="M133" s="184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/>
      </c>
      <c r="N133" s="188">
        <f>IF(J133&lt;=2,0,'Model Inputs'!$B$32*SIN(2*PI()*(J133-3+'Model Inputs'!$B$34)/MAX(1,'Model Inputs'!$B$33)))</f>
        <v/>
      </c>
      <c r="O133" s="184">
        <f>M133*(1+N133)</f>
        <v/>
      </c>
      <c r="P133" s="184">
        <f>0.75*O132+0.25*O131</f>
        <v/>
      </c>
      <c r="Q133" s="184">
        <f>L133+P133+IF(J133=1,'Model Inputs'!$B$26,0)</f>
        <v/>
      </c>
      <c r="R133" s="184">
        <f>IF(J133&lt;=B133,Q133,IF(J133&lt;=B133+$J$18,L133,(SUMIFS($L$51:$L$350,$A$51:$A$350,$A133,$J$51:$J$350,$B133)+SUMIFS($O$51:$O$350,$A$51:$A$350,$A133,$J$51:$J$350,$B133))*C133))</f>
        <v/>
      </c>
      <c r="S133" s="184">
        <f>H133+F133*G133*(1+I133)^MAX(0,J133-MAX(D133,B133+$J$18+1))</f>
        <v/>
      </c>
      <c r="T133" s="184">
        <f>IF(J133&gt;=MAX(D133,B133+$J$18+1),S133,R133)</f>
        <v/>
      </c>
      <c r="U133" s="184">
        <f>MIN(T133,'Tax Assumptions'!$B$19)</f>
        <v/>
      </c>
      <c r="V133" s="184">
        <f>MAX(T133-U133-'Tax Assumptions'!$B$8,0)</f>
        <v/>
      </c>
      <c r="W133" s="184">
        <f>MAX(T133-U133-'Tax Assumptions'!$B$9,0)</f>
        <v/>
      </c>
      <c r="X133" s="184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/>
      </c>
      <c r="Y133" s="184">
        <f>T133-U133-X133</f>
        <v/>
      </c>
      <c r="Z133" s="184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/>
      </c>
      <c r="AA133" s="184">
        <f>Y133-Z133</f>
        <v/>
      </c>
      <c r="AB133" s="184">
        <f>MIN(MAX(AA133,0),'Tax Assumptions'!$B$20)</f>
        <v/>
      </c>
      <c r="AC133" s="184">
        <f>AA133-AB133</f>
        <v/>
      </c>
      <c r="AD133" s="184">
        <f>MAX(AD132*(1+'Model Inputs'!$B$13)+AC133,0)</f>
        <v/>
      </c>
      <c r="AE133" s="184">
        <f>MAX(AE132*(1+'Model Inputs'!$B$13)+U133+AB133,0)</f>
        <v/>
      </c>
      <c r="AF133" s="184">
        <f>AD133+AE133</f>
        <v/>
      </c>
      <c r="AG133" s="191">
        <f>IF(AND(AF133&gt;=$F$14,AF132&lt;$F$14),J133,"")</f>
        <v/>
      </c>
      <c r="AH133" s="191">
        <f>IF(AND(AF133&gt;=$F$15,AF132&lt;$F$15),J133,"")</f>
        <v/>
      </c>
      <c r="AI133" s="191">
        <f>IF(AND(AF133&gt;=$F$16,AF132&lt;$F$16),J133,"")</f>
        <v/>
      </c>
      <c r="AJ133" s="191">
        <f>IF(AND(AF133&gt;=$F$17,AF132&lt;$F$17),J133,"")</f>
        <v/>
      </c>
    </row>
    <row r="134" outlineLevel="1" ht="18" customHeight="1" s="326">
      <c r="A134" s="181">
        <f>$A$27</f>
        <v/>
      </c>
      <c r="B134" s="191">
        <f>$B$27</f>
        <v/>
      </c>
      <c r="C134" s="187">
        <f>$C$27</f>
        <v/>
      </c>
      <c r="D134" s="191">
        <f>$D$27</f>
        <v/>
      </c>
      <c r="E134" s="181">
        <f>$E$27</f>
        <v/>
      </c>
      <c r="F134" s="184">
        <f>$F$27</f>
        <v/>
      </c>
      <c r="G134" s="188">
        <f>$G$27</f>
        <v/>
      </c>
      <c r="H134" s="184">
        <f>$H$27</f>
        <v/>
      </c>
      <c r="I134" s="188">
        <f>$J$17</f>
        <v/>
      </c>
      <c r="J134" s="191" t="n">
        <v>9</v>
      </c>
      <c r="K134" s="191">
        <f>('Model Inputs'!$B$22-1)+J134</f>
        <v/>
      </c>
      <c r="L134" s="184">
        <f>IF(J134=1,'Model Inputs'!$B$25*(13-'Model Inputs'!$B$23)/12,'Model Inputs'!$B$25)</f>
        <v/>
      </c>
      <c r="M134" s="184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/>
      </c>
      <c r="N134" s="188">
        <f>IF(J134&lt;=2,0,'Model Inputs'!$B$32*SIN(2*PI()*(J134-3+'Model Inputs'!$B$34)/MAX(1,'Model Inputs'!$B$33)))</f>
        <v/>
      </c>
      <c r="O134" s="184">
        <f>M134*(1+N134)</f>
        <v/>
      </c>
      <c r="P134" s="184">
        <f>0.75*O133+0.25*O132</f>
        <v/>
      </c>
      <c r="Q134" s="184">
        <f>L134+P134+IF(J134=1,'Model Inputs'!$B$26,0)</f>
        <v/>
      </c>
      <c r="R134" s="184">
        <f>IF(J134&lt;=B134,Q134,IF(J134&lt;=B134+$J$18,L134,(SUMIFS($L$51:$L$350,$A$51:$A$350,$A134,$J$51:$J$350,$B134)+SUMIFS($O$51:$O$350,$A$51:$A$350,$A134,$J$51:$J$350,$B134))*C134))</f>
        <v/>
      </c>
      <c r="S134" s="184">
        <f>H134+F134*G134*(1+I134)^MAX(0,J134-MAX(D134,B134+$J$18+1))</f>
        <v/>
      </c>
      <c r="T134" s="184">
        <f>IF(J134&gt;=MAX(D134,B134+$J$18+1),S134,R134)</f>
        <v/>
      </c>
      <c r="U134" s="184">
        <f>MIN(T134,'Tax Assumptions'!$B$19)</f>
        <v/>
      </c>
      <c r="V134" s="184">
        <f>MAX(T134-U134-'Tax Assumptions'!$B$8,0)</f>
        <v/>
      </c>
      <c r="W134" s="184">
        <f>MAX(T134-U134-'Tax Assumptions'!$B$9,0)</f>
        <v/>
      </c>
      <c r="X134" s="184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/>
      </c>
      <c r="Y134" s="184">
        <f>T134-U134-X134</f>
        <v/>
      </c>
      <c r="Z134" s="184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/>
      </c>
      <c r="AA134" s="184">
        <f>Y134-Z134</f>
        <v/>
      </c>
      <c r="AB134" s="184">
        <f>MIN(MAX(AA134,0),'Tax Assumptions'!$B$20)</f>
        <v/>
      </c>
      <c r="AC134" s="184">
        <f>AA134-AB134</f>
        <v/>
      </c>
      <c r="AD134" s="184">
        <f>MAX(AD133*(1+'Model Inputs'!$B$13)+AC134,0)</f>
        <v/>
      </c>
      <c r="AE134" s="184">
        <f>MAX(AE133*(1+'Model Inputs'!$B$13)+U134+AB134,0)</f>
        <v/>
      </c>
      <c r="AF134" s="184">
        <f>AD134+AE134</f>
        <v/>
      </c>
      <c r="AG134" s="191">
        <f>IF(AND(AF134&gt;=$F$14,AF133&lt;$F$14),J134,"")</f>
        <v/>
      </c>
      <c r="AH134" s="191">
        <f>IF(AND(AF134&gt;=$F$15,AF133&lt;$F$15),J134,"")</f>
        <v/>
      </c>
      <c r="AI134" s="191">
        <f>IF(AND(AF134&gt;=$F$16,AF133&lt;$F$16),J134,"")</f>
        <v/>
      </c>
      <c r="AJ134" s="191">
        <f>IF(AND(AF134&gt;=$F$17,AF133&lt;$F$17),J134,"")</f>
        <v/>
      </c>
    </row>
    <row r="135" outlineLevel="1" ht="18" customHeight="1" s="326">
      <c r="A135" s="181">
        <f>$A$27</f>
        <v/>
      </c>
      <c r="B135" s="191">
        <f>$B$27</f>
        <v/>
      </c>
      <c r="C135" s="187">
        <f>$C$27</f>
        <v/>
      </c>
      <c r="D135" s="191">
        <f>$D$27</f>
        <v/>
      </c>
      <c r="E135" s="181">
        <f>$E$27</f>
        <v/>
      </c>
      <c r="F135" s="184">
        <f>$F$27</f>
        <v/>
      </c>
      <c r="G135" s="188">
        <f>$G$27</f>
        <v/>
      </c>
      <c r="H135" s="184">
        <f>$H$27</f>
        <v/>
      </c>
      <c r="I135" s="188">
        <f>$J$17</f>
        <v/>
      </c>
      <c r="J135" s="191" t="n">
        <v>10</v>
      </c>
      <c r="K135" s="191">
        <f>('Model Inputs'!$B$22-1)+J135</f>
        <v/>
      </c>
      <c r="L135" s="184">
        <f>IF(J135=1,'Model Inputs'!$B$25*(13-'Model Inputs'!$B$23)/12,'Model Inputs'!$B$25)</f>
        <v/>
      </c>
      <c r="M135" s="184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/>
      </c>
      <c r="N135" s="188">
        <f>IF(J135&lt;=2,0,'Model Inputs'!$B$32*SIN(2*PI()*(J135-3+'Model Inputs'!$B$34)/MAX(1,'Model Inputs'!$B$33)))</f>
        <v/>
      </c>
      <c r="O135" s="184">
        <f>M135*(1+N135)</f>
        <v/>
      </c>
      <c r="P135" s="184">
        <f>0.75*O134+0.25*O133</f>
        <v/>
      </c>
      <c r="Q135" s="184">
        <f>L135+P135+IF(J135=1,'Model Inputs'!$B$26,0)</f>
        <v/>
      </c>
      <c r="R135" s="184">
        <f>IF(J135&lt;=B135,Q135,IF(J135&lt;=B135+$J$18,L135,(SUMIFS($L$51:$L$350,$A$51:$A$350,$A135,$J$51:$J$350,$B135)+SUMIFS($O$51:$O$350,$A$51:$A$350,$A135,$J$51:$J$350,$B135))*C135))</f>
        <v/>
      </c>
      <c r="S135" s="184">
        <f>H135+F135*G135*(1+I135)^MAX(0,J135-MAX(D135,B135+$J$18+1))</f>
        <v/>
      </c>
      <c r="T135" s="184">
        <f>IF(J135&gt;=MAX(D135,B135+$J$18+1),S135,R135)</f>
        <v/>
      </c>
      <c r="U135" s="184">
        <f>MIN(T135,'Tax Assumptions'!$B$19)</f>
        <v/>
      </c>
      <c r="V135" s="184">
        <f>MAX(T135-U135-'Tax Assumptions'!$B$8,0)</f>
        <v/>
      </c>
      <c r="W135" s="184">
        <f>MAX(T135-U135-'Tax Assumptions'!$B$9,0)</f>
        <v/>
      </c>
      <c r="X135" s="184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/>
      </c>
      <c r="Y135" s="184">
        <f>T135-U135-X135</f>
        <v/>
      </c>
      <c r="Z135" s="184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/>
      </c>
      <c r="AA135" s="184">
        <f>Y135-Z135</f>
        <v/>
      </c>
      <c r="AB135" s="184">
        <f>MIN(MAX(AA135,0),'Tax Assumptions'!$B$20)</f>
        <v/>
      </c>
      <c r="AC135" s="184">
        <f>AA135-AB135</f>
        <v/>
      </c>
      <c r="AD135" s="184">
        <f>MAX(AD134*(1+'Model Inputs'!$B$13)+AC135,0)</f>
        <v/>
      </c>
      <c r="AE135" s="184">
        <f>MAX(AE134*(1+'Model Inputs'!$B$13)+U135+AB135,0)</f>
        <v/>
      </c>
      <c r="AF135" s="184">
        <f>AD135+AE135</f>
        <v/>
      </c>
      <c r="AG135" s="191">
        <f>IF(AND(AF135&gt;=$F$14,AF134&lt;$F$14),J135,"")</f>
        <v/>
      </c>
      <c r="AH135" s="191">
        <f>IF(AND(AF135&gt;=$F$15,AF134&lt;$F$15),J135,"")</f>
        <v/>
      </c>
      <c r="AI135" s="191">
        <f>IF(AND(AF135&gt;=$F$16,AF134&lt;$F$16),J135,"")</f>
        <v/>
      </c>
      <c r="AJ135" s="191">
        <f>IF(AND(AF135&gt;=$F$17,AF134&lt;$F$17),J135,"")</f>
        <v/>
      </c>
    </row>
    <row r="136" outlineLevel="1" ht="18" customHeight="1" s="326">
      <c r="A136" s="181">
        <f>$A$27</f>
        <v/>
      </c>
      <c r="B136" s="191">
        <f>$B$27</f>
        <v/>
      </c>
      <c r="C136" s="187">
        <f>$C$27</f>
        <v/>
      </c>
      <c r="D136" s="191">
        <f>$D$27</f>
        <v/>
      </c>
      <c r="E136" s="181">
        <f>$E$27</f>
        <v/>
      </c>
      <c r="F136" s="184">
        <f>$F$27</f>
        <v/>
      </c>
      <c r="G136" s="188">
        <f>$G$27</f>
        <v/>
      </c>
      <c r="H136" s="184">
        <f>$H$27</f>
        <v/>
      </c>
      <c r="I136" s="188">
        <f>$J$17</f>
        <v/>
      </c>
      <c r="J136" s="191" t="n">
        <v>11</v>
      </c>
      <c r="K136" s="191">
        <f>('Model Inputs'!$B$22-1)+J136</f>
        <v/>
      </c>
      <c r="L136" s="184">
        <f>IF(J136=1,'Model Inputs'!$B$25*(13-'Model Inputs'!$B$23)/12,'Model Inputs'!$B$25)</f>
        <v/>
      </c>
      <c r="M136" s="184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/>
      </c>
      <c r="N136" s="188">
        <f>IF(J136&lt;=2,0,'Model Inputs'!$B$32*SIN(2*PI()*(J136-3+'Model Inputs'!$B$34)/MAX(1,'Model Inputs'!$B$33)))</f>
        <v/>
      </c>
      <c r="O136" s="184">
        <f>M136*(1+N136)</f>
        <v/>
      </c>
      <c r="P136" s="184">
        <f>0.75*O135+0.25*O134</f>
        <v/>
      </c>
      <c r="Q136" s="184">
        <f>L136+P136+IF(J136=1,'Model Inputs'!$B$26,0)</f>
        <v/>
      </c>
      <c r="R136" s="184">
        <f>IF(J136&lt;=B136,Q136,IF(J136&lt;=B136+$J$18,L136,(SUMIFS($L$51:$L$350,$A$51:$A$350,$A136,$J$51:$J$350,$B136)+SUMIFS($O$51:$O$350,$A$51:$A$350,$A136,$J$51:$J$350,$B136))*C136))</f>
        <v/>
      </c>
      <c r="S136" s="184">
        <f>H136+F136*G136*(1+I136)^MAX(0,J136-MAX(D136,B136+$J$18+1))</f>
        <v/>
      </c>
      <c r="T136" s="184">
        <f>IF(J136&gt;=MAX(D136,B136+$J$18+1),S136,R136)</f>
        <v/>
      </c>
      <c r="U136" s="184">
        <f>MIN(T136,'Tax Assumptions'!$B$19)</f>
        <v/>
      </c>
      <c r="V136" s="184">
        <f>MAX(T136-U136-'Tax Assumptions'!$B$8,0)</f>
        <v/>
      </c>
      <c r="W136" s="184">
        <f>MAX(T136-U136-'Tax Assumptions'!$B$9,0)</f>
        <v/>
      </c>
      <c r="X136" s="184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/>
      </c>
      <c r="Y136" s="184">
        <f>T136-U136-X136</f>
        <v/>
      </c>
      <c r="Z136" s="184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/>
      </c>
      <c r="AA136" s="184">
        <f>Y136-Z136</f>
        <v/>
      </c>
      <c r="AB136" s="184">
        <f>MIN(MAX(AA136,0),'Tax Assumptions'!$B$20)</f>
        <v/>
      </c>
      <c r="AC136" s="184">
        <f>AA136-AB136</f>
        <v/>
      </c>
      <c r="AD136" s="184">
        <f>MAX(AD135*(1+'Model Inputs'!$B$13)+AC136,0)</f>
        <v/>
      </c>
      <c r="AE136" s="184">
        <f>MAX(AE135*(1+'Model Inputs'!$B$13)+U136+AB136,0)</f>
        <v/>
      </c>
      <c r="AF136" s="184">
        <f>AD136+AE136</f>
        <v/>
      </c>
      <c r="AG136" s="191">
        <f>IF(AND(AF136&gt;=$F$14,AF135&lt;$F$14),J136,"")</f>
        <v/>
      </c>
      <c r="AH136" s="191">
        <f>IF(AND(AF136&gt;=$F$15,AF135&lt;$F$15),J136,"")</f>
        <v/>
      </c>
      <c r="AI136" s="191">
        <f>IF(AND(AF136&gt;=$F$16,AF135&lt;$F$16),J136,"")</f>
        <v/>
      </c>
      <c r="AJ136" s="191">
        <f>IF(AND(AF136&gt;=$F$17,AF135&lt;$F$17),J136,"")</f>
        <v/>
      </c>
    </row>
    <row r="137" outlineLevel="1" ht="18" customHeight="1" s="326">
      <c r="A137" s="181">
        <f>$A$27</f>
        <v/>
      </c>
      <c r="B137" s="191">
        <f>$B$27</f>
        <v/>
      </c>
      <c r="C137" s="187">
        <f>$C$27</f>
        <v/>
      </c>
      <c r="D137" s="191">
        <f>$D$27</f>
        <v/>
      </c>
      <c r="E137" s="181">
        <f>$E$27</f>
        <v/>
      </c>
      <c r="F137" s="184">
        <f>$F$27</f>
        <v/>
      </c>
      <c r="G137" s="188">
        <f>$G$27</f>
        <v/>
      </c>
      <c r="H137" s="184">
        <f>$H$27</f>
        <v/>
      </c>
      <c r="I137" s="188">
        <f>$J$17</f>
        <v/>
      </c>
      <c r="J137" s="191" t="n">
        <v>12</v>
      </c>
      <c r="K137" s="191">
        <f>('Model Inputs'!$B$22-1)+J137</f>
        <v/>
      </c>
      <c r="L137" s="184">
        <f>IF(J137=1,'Model Inputs'!$B$25*(13-'Model Inputs'!$B$23)/12,'Model Inputs'!$B$25)</f>
        <v/>
      </c>
      <c r="M137" s="184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/>
      </c>
      <c r="N137" s="188">
        <f>IF(J137&lt;=2,0,'Model Inputs'!$B$32*SIN(2*PI()*(J137-3+'Model Inputs'!$B$34)/MAX(1,'Model Inputs'!$B$33)))</f>
        <v/>
      </c>
      <c r="O137" s="184">
        <f>M137*(1+N137)</f>
        <v/>
      </c>
      <c r="P137" s="184">
        <f>0.75*O136+0.25*O135</f>
        <v/>
      </c>
      <c r="Q137" s="184">
        <f>L137+P137+IF(J137=1,'Model Inputs'!$B$26,0)</f>
        <v/>
      </c>
      <c r="R137" s="184">
        <f>IF(J137&lt;=B137,Q137,IF(J137&lt;=B137+$J$18,L137,(SUMIFS($L$51:$L$350,$A$51:$A$350,$A137,$J$51:$J$350,$B137)+SUMIFS($O$51:$O$350,$A$51:$A$350,$A137,$J$51:$J$350,$B137))*C137))</f>
        <v/>
      </c>
      <c r="S137" s="184">
        <f>H137+F137*G137*(1+I137)^MAX(0,J137-MAX(D137,B137+$J$18+1))</f>
        <v/>
      </c>
      <c r="T137" s="184">
        <f>IF(J137&gt;=MAX(D137,B137+$J$18+1),S137,R137)</f>
        <v/>
      </c>
      <c r="U137" s="184">
        <f>MIN(T137,'Tax Assumptions'!$B$19)</f>
        <v/>
      </c>
      <c r="V137" s="184">
        <f>MAX(T137-U137-'Tax Assumptions'!$B$8,0)</f>
        <v/>
      </c>
      <c r="W137" s="184">
        <f>MAX(T137-U137-'Tax Assumptions'!$B$9,0)</f>
        <v/>
      </c>
      <c r="X137" s="184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/>
      </c>
      <c r="Y137" s="184">
        <f>T137-U137-X137</f>
        <v/>
      </c>
      <c r="Z137" s="184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/>
      </c>
      <c r="AA137" s="184">
        <f>Y137-Z137</f>
        <v/>
      </c>
      <c r="AB137" s="184">
        <f>MIN(MAX(AA137,0),'Tax Assumptions'!$B$20)</f>
        <v/>
      </c>
      <c r="AC137" s="184">
        <f>AA137-AB137</f>
        <v/>
      </c>
      <c r="AD137" s="184">
        <f>MAX(AD136*(1+'Model Inputs'!$B$13)+AC137,0)</f>
        <v/>
      </c>
      <c r="AE137" s="184">
        <f>MAX(AE136*(1+'Model Inputs'!$B$13)+U137+AB137,0)</f>
        <v/>
      </c>
      <c r="AF137" s="184">
        <f>AD137+AE137</f>
        <v/>
      </c>
      <c r="AG137" s="191">
        <f>IF(AND(AF137&gt;=$F$14,AF136&lt;$F$14),J137,"")</f>
        <v/>
      </c>
      <c r="AH137" s="191">
        <f>IF(AND(AF137&gt;=$F$15,AF136&lt;$F$15),J137,"")</f>
        <v/>
      </c>
      <c r="AI137" s="191">
        <f>IF(AND(AF137&gt;=$F$16,AF136&lt;$F$16),J137,"")</f>
        <v/>
      </c>
      <c r="AJ137" s="191">
        <f>IF(AND(AF137&gt;=$F$17,AF136&lt;$F$17),J137,"")</f>
        <v/>
      </c>
    </row>
    <row r="138" outlineLevel="1" ht="18" customHeight="1" s="326">
      <c r="A138" s="181">
        <f>$A$27</f>
        <v/>
      </c>
      <c r="B138" s="191">
        <f>$B$27</f>
        <v/>
      </c>
      <c r="C138" s="187">
        <f>$C$27</f>
        <v/>
      </c>
      <c r="D138" s="191">
        <f>$D$27</f>
        <v/>
      </c>
      <c r="E138" s="181">
        <f>$E$27</f>
        <v/>
      </c>
      <c r="F138" s="184">
        <f>$F$27</f>
        <v/>
      </c>
      <c r="G138" s="188">
        <f>$G$27</f>
        <v/>
      </c>
      <c r="H138" s="184">
        <f>$H$27</f>
        <v/>
      </c>
      <c r="I138" s="188">
        <f>$J$17</f>
        <v/>
      </c>
      <c r="J138" s="191" t="n">
        <v>13</v>
      </c>
      <c r="K138" s="191">
        <f>('Model Inputs'!$B$22-1)+J138</f>
        <v/>
      </c>
      <c r="L138" s="184">
        <f>IF(J138=1,'Model Inputs'!$B$25*(13-'Model Inputs'!$B$23)/12,'Model Inputs'!$B$25)</f>
        <v/>
      </c>
      <c r="M138" s="184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/>
      </c>
      <c r="N138" s="188">
        <f>IF(J138&lt;=2,0,'Model Inputs'!$B$32*SIN(2*PI()*(J138-3+'Model Inputs'!$B$34)/MAX(1,'Model Inputs'!$B$33)))</f>
        <v/>
      </c>
      <c r="O138" s="184">
        <f>M138*(1+N138)</f>
        <v/>
      </c>
      <c r="P138" s="184">
        <f>0.75*O137+0.25*O136</f>
        <v/>
      </c>
      <c r="Q138" s="184">
        <f>L138+P138+IF(J138=1,'Model Inputs'!$B$26,0)</f>
        <v/>
      </c>
      <c r="R138" s="184">
        <f>IF(J138&lt;=B138,Q138,IF(J138&lt;=B138+$J$18,L138,(SUMIFS($L$51:$L$350,$A$51:$A$350,$A138,$J$51:$J$350,$B138)+SUMIFS($O$51:$O$350,$A$51:$A$350,$A138,$J$51:$J$350,$B138))*C138))</f>
        <v/>
      </c>
      <c r="S138" s="184">
        <f>H138+F138*G138*(1+I138)^MAX(0,J138-MAX(D138,B138+$J$18+1))</f>
        <v/>
      </c>
      <c r="T138" s="184">
        <f>IF(J138&gt;=MAX(D138,B138+$J$18+1),S138,R138)</f>
        <v/>
      </c>
      <c r="U138" s="184">
        <f>MIN(T138,'Tax Assumptions'!$B$19)</f>
        <v/>
      </c>
      <c r="V138" s="184">
        <f>MAX(T138-U138-'Tax Assumptions'!$B$8,0)</f>
        <v/>
      </c>
      <c r="W138" s="184">
        <f>MAX(T138-U138-'Tax Assumptions'!$B$9,0)</f>
        <v/>
      </c>
      <c r="X138" s="184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/>
      </c>
      <c r="Y138" s="184">
        <f>T138-U138-X138</f>
        <v/>
      </c>
      <c r="Z138" s="184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/>
      </c>
      <c r="AA138" s="184">
        <f>Y138-Z138</f>
        <v/>
      </c>
      <c r="AB138" s="184">
        <f>MIN(MAX(AA138,0),'Tax Assumptions'!$B$20)</f>
        <v/>
      </c>
      <c r="AC138" s="184">
        <f>AA138-AB138</f>
        <v/>
      </c>
      <c r="AD138" s="184">
        <f>MAX(AD137*(1+'Model Inputs'!$B$13)+AC138,0)</f>
        <v/>
      </c>
      <c r="AE138" s="184">
        <f>MAX(AE137*(1+'Model Inputs'!$B$13)+U138+AB138,0)</f>
        <v/>
      </c>
      <c r="AF138" s="184">
        <f>AD138+AE138</f>
        <v/>
      </c>
      <c r="AG138" s="191">
        <f>IF(AND(AF138&gt;=$F$14,AF137&lt;$F$14),J138,"")</f>
        <v/>
      </c>
      <c r="AH138" s="191">
        <f>IF(AND(AF138&gt;=$F$15,AF137&lt;$F$15),J138,"")</f>
        <v/>
      </c>
      <c r="AI138" s="191">
        <f>IF(AND(AF138&gt;=$F$16,AF137&lt;$F$16),J138,"")</f>
        <v/>
      </c>
      <c r="AJ138" s="191">
        <f>IF(AND(AF138&gt;=$F$17,AF137&lt;$F$17),J138,"")</f>
        <v/>
      </c>
    </row>
    <row r="139" outlineLevel="1" ht="18" customHeight="1" s="326">
      <c r="A139" s="181">
        <f>$A$27</f>
        <v/>
      </c>
      <c r="B139" s="191">
        <f>$B$27</f>
        <v/>
      </c>
      <c r="C139" s="187">
        <f>$C$27</f>
        <v/>
      </c>
      <c r="D139" s="191">
        <f>$D$27</f>
        <v/>
      </c>
      <c r="E139" s="181">
        <f>$E$27</f>
        <v/>
      </c>
      <c r="F139" s="184">
        <f>$F$27</f>
        <v/>
      </c>
      <c r="G139" s="188">
        <f>$G$27</f>
        <v/>
      </c>
      <c r="H139" s="184">
        <f>$H$27</f>
        <v/>
      </c>
      <c r="I139" s="188">
        <f>$J$17</f>
        <v/>
      </c>
      <c r="J139" s="191" t="n">
        <v>14</v>
      </c>
      <c r="K139" s="191">
        <f>('Model Inputs'!$B$22-1)+J139</f>
        <v/>
      </c>
      <c r="L139" s="184">
        <f>IF(J139=1,'Model Inputs'!$B$25*(13-'Model Inputs'!$B$23)/12,'Model Inputs'!$B$25)</f>
        <v/>
      </c>
      <c r="M139" s="184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/>
      </c>
      <c r="N139" s="188">
        <f>IF(J139&lt;=2,0,'Model Inputs'!$B$32*SIN(2*PI()*(J139-3+'Model Inputs'!$B$34)/MAX(1,'Model Inputs'!$B$33)))</f>
        <v/>
      </c>
      <c r="O139" s="184">
        <f>M139*(1+N139)</f>
        <v/>
      </c>
      <c r="P139" s="184">
        <f>0.75*O138+0.25*O137</f>
        <v/>
      </c>
      <c r="Q139" s="184">
        <f>L139+P139+IF(J139=1,'Model Inputs'!$B$26,0)</f>
        <v/>
      </c>
      <c r="R139" s="184">
        <f>IF(J139&lt;=B139,Q139,IF(J139&lt;=B139+$J$18,L139,(SUMIFS($L$51:$L$350,$A$51:$A$350,$A139,$J$51:$J$350,$B139)+SUMIFS($O$51:$O$350,$A$51:$A$350,$A139,$J$51:$J$350,$B139))*C139))</f>
        <v/>
      </c>
      <c r="S139" s="184">
        <f>H139+F139*G139*(1+I139)^MAX(0,J139-MAX(D139,B139+$J$18+1))</f>
        <v/>
      </c>
      <c r="T139" s="184">
        <f>IF(J139&gt;=MAX(D139,B139+$J$18+1),S139,R139)</f>
        <v/>
      </c>
      <c r="U139" s="184">
        <f>MIN(T139,'Tax Assumptions'!$B$19)</f>
        <v/>
      </c>
      <c r="V139" s="184">
        <f>MAX(T139-U139-'Tax Assumptions'!$B$8,0)</f>
        <v/>
      </c>
      <c r="W139" s="184">
        <f>MAX(T139-U139-'Tax Assumptions'!$B$9,0)</f>
        <v/>
      </c>
      <c r="X139" s="184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/>
      </c>
      <c r="Y139" s="184">
        <f>T139-U139-X139</f>
        <v/>
      </c>
      <c r="Z139" s="184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/>
      </c>
      <c r="AA139" s="184">
        <f>Y139-Z139</f>
        <v/>
      </c>
      <c r="AB139" s="184">
        <f>MIN(MAX(AA139,0),'Tax Assumptions'!$B$20)</f>
        <v/>
      </c>
      <c r="AC139" s="184">
        <f>AA139-AB139</f>
        <v/>
      </c>
      <c r="AD139" s="184">
        <f>MAX(AD138*(1+'Model Inputs'!$B$13)+AC139,0)</f>
        <v/>
      </c>
      <c r="AE139" s="184">
        <f>MAX(AE138*(1+'Model Inputs'!$B$13)+U139+AB139,0)</f>
        <v/>
      </c>
      <c r="AF139" s="184">
        <f>AD139+AE139</f>
        <v/>
      </c>
      <c r="AG139" s="191">
        <f>IF(AND(AF139&gt;=$F$14,AF138&lt;$F$14),J139,"")</f>
        <v/>
      </c>
      <c r="AH139" s="191">
        <f>IF(AND(AF139&gt;=$F$15,AF138&lt;$F$15),J139,"")</f>
        <v/>
      </c>
      <c r="AI139" s="191">
        <f>IF(AND(AF139&gt;=$F$16,AF138&lt;$F$16),J139,"")</f>
        <v/>
      </c>
      <c r="AJ139" s="191">
        <f>IF(AND(AF139&gt;=$F$17,AF138&lt;$F$17),J139,"")</f>
        <v/>
      </c>
    </row>
    <row r="140" outlineLevel="1" ht="18" customHeight="1" s="326">
      <c r="A140" s="181">
        <f>$A$27</f>
        <v/>
      </c>
      <c r="B140" s="191">
        <f>$B$27</f>
        <v/>
      </c>
      <c r="C140" s="187">
        <f>$C$27</f>
        <v/>
      </c>
      <c r="D140" s="191">
        <f>$D$27</f>
        <v/>
      </c>
      <c r="E140" s="181">
        <f>$E$27</f>
        <v/>
      </c>
      <c r="F140" s="184">
        <f>$F$27</f>
        <v/>
      </c>
      <c r="G140" s="188">
        <f>$G$27</f>
        <v/>
      </c>
      <c r="H140" s="184">
        <f>$H$27</f>
        <v/>
      </c>
      <c r="I140" s="188">
        <f>$J$17</f>
        <v/>
      </c>
      <c r="J140" s="191" t="n">
        <v>15</v>
      </c>
      <c r="K140" s="191">
        <f>('Model Inputs'!$B$22-1)+J140</f>
        <v/>
      </c>
      <c r="L140" s="184">
        <f>IF(J140=1,'Model Inputs'!$B$25*(13-'Model Inputs'!$B$23)/12,'Model Inputs'!$B$25)</f>
        <v/>
      </c>
      <c r="M140" s="184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/>
      </c>
      <c r="N140" s="188">
        <f>IF(J140&lt;=2,0,'Model Inputs'!$B$32*SIN(2*PI()*(J140-3+'Model Inputs'!$B$34)/MAX(1,'Model Inputs'!$B$33)))</f>
        <v/>
      </c>
      <c r="O140" s="184">
        <f>M140*(1+N140)</f>
        <v/>
      </c>
      <c r="P140" s="184">
        <f>0.75*O139+0.25*O138</f>
        <v/>
      </c>
      <c r="Q140" s="184">
        <f>L140+P140+IF(J140=1,'Model Inputs'!$B$26,0)</f>
        <v/>
      </c>
      <c r="R140" s="184">
        <f>IF(J140&lt;=B140,Q140,IF(J140&lt;=B140+$J$18,L140,(SUMIFS($L$51:$L$350,$A$51:$A$350,$A140,$J$51:$J$350,$B140)+SUMIFS($O$51:$O$350,$A$51:$A$350,$A140,$J$51:$J$350,$B140))*C140))</f>
        <v/>
      </c>
      <c r="S140" s="184">
        <f>H140+F140*G140*(1+I140)^MAX(0,J140-MAX(D140,B140+$J$18+1))</f>
        <v/>
      </c>
      <c r="T140" s="184">
        <f>IF(J140&gt;=MAX(D140,B140+$J$18+1),S140,R140)</f>
        <v/>
      </c>
      <c r="U140" s="184">
        <f>MIN(T140,'Tax Assumptions'!$B$19)</f>
        <v/>
      </c>
      <c r="V140" s="184">
        <f>MAX(T140-U140-'Tax Assumptions'!$B$8,0)</f>
        <v/>
      </c>
      <c r="W140" s="184">
        <f>MAX(T140-U140-'Tax Assumptions'!$B$9,0)</f>
        <v/>
      </c>
      <c r="X140" s="184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/>
      </c>
      <c r="Y140" s="184">
        <f>T140-U140-X140</f>
        <v/>
      </c>
      <c r="Z140" s="184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/>
      </c>
      <c r="AA140" s="184">
        <f>Y140-Z140</f>
        <v/>
      </c>
      <c r="AB140" s="184">
        <f>MIN(MAX(AA140,0),'Tax Assumptions'!$B$20)</f>
        <v/>
      </c>
      <c r="AC140" s="184">
        <f>AA140-AB140</f>
        <v/>
      </c>
      <c r="AD140" s="184">
        <f>MAX(AD139*(1+'Model Inputs'!$B$13)+AC140,0)</f>
        <v/>
      </c>
      <c r="AE140" s="184">
        <f>MAX(AE139*(1+'Model Inputs'!$B$13)+U140+AB140,0)</f>
        <v/>
      </c>
      <c r="AF140" s="184">
        <f>AD140+AE140</f>
        <v/>
      </c>
      <c r="AG140" s="191">
        <f>IF(AND(AF140&gt;=$F$14,AF139&lt;$F$14),J140,"")</f>
        <v/>
      </c>
      <c r="AH140" s="191">
        <f>IF(AND(AF140&gt;=$F$15,AF139&lt;$F$15),J140,"")</f>
        <v/>
      </c>
      <c r="AI140" s="191">
        <f>IF(AND(AF140&gt;=$F$16,AF139&lt;$F$16),J140,"")</f>
        <v/>
      </c>
      <c r="AJ140" s="191">
        <f>IF(AND(AF140&gt;=$F$17,AF139&lt;$F$17),J140,"")</f>
        <v/>
      </c>
    </row>
    <row r="141" outlineLevel="1" ht="18" customHeight="1" s="326">
      <c r="A141" s="181">
        <f>$A$28</f>
        <v/>
      </c>
      <c r="B141" s="191">
        <f>$B$28</f>
        <v/>
      </c>
      <c r="C141" s="187">
        <f>$C$28</f>
        <v/>
      </c>
      <c r="D141" s="191">
        <f>$D$28</f>
        <v/>
      </c>
      <c r="E141" s="181">
        <f>$E$28</f>
        <v/>
      </c>
      <c r="F141" s="184">
        <f>$F$28</f>
        <v/>
      </c>
      <c r="G141" s="188">
        <f>$G$28</f>
        <v/>
      </c>
      <c r="H141" s="184">
        <f>$H$28</f>
        <v/>
      </c>
      <c r="I141" s="188">
        <f>$J$17</f>
        <v/>
      </c>
      <c r="J141" s="191" t="n">
        <v>1</v>
      </c>
      <c r="K141" s="191">
        <f>('Model Inputs'!$B$22-1)+J141</f>
        <v/>
      </c>
      <c r="L141" s="184">
        <f>IF(J141=1,'Model Inputs'!$B$25*(13-'Model Inputs'!$B$23)/12,'Model Inputs'!$B$25)</f>
        <v/>
      </c>
      <c r="M141" s="184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/>
      </c>
      <c r="N141" s="188">
        <f>IF(J141&lt;=2,0,'Model Inputs'!$B$32*SIN(2*PI()*(J141-3+'Model Inputs'!$B$34)/MAX(1,'Model Inputs'!$B$33)))</f>
        <v/>
      </c>
      <c r="O141" s="184">
        <f>M141*(1+N141)</f>
        <v/>
      </c>
      <c r="P141" s="184">
        <f>0</f>
        <v/>
      </c>
      <c r="Q141" s="184">
        <f>L141+P141+IF(J141=1,'Model Inputs'!$B$26,0)</f>
        <v/>
      </c>
      <c r="R141" s="184">
        <f>IF(J141&lt;=B141,Q141,IF(J141&lt;=B141+$J$18,L141,(SUMIFS($L$51:$L$350,$A$51:$A$350,$A141,$J$51:$J$350,$B141)+SUMIFS($O$51:$O$350,$A$51:$A$350,$A141,$J$51:$J$350,$B141))*C141))</f>
        <v/>
      </c>
      <c r="S141" s="184">
        <f>H141+F141*G141*(1+I141)^MAX(0,J141-MAX(D141,B141+$J$18+1))</f>
        <v/>
      </c>
      <c r="T141" s="184">
        <f>IF(J141&gt;=MAX(D141,B141+$J$18+1),S141,R141)</f>
        <v/>
      </c>
      <c r="U141" s="184">
        <f>MIN(T141,'Tax Assumptions'!$B$19)</f>
        <v/>
      </c>
      <c r="V141" s="184">
        <f>MAX(T141-U141-'Tax Assumptions'!$B$8,0)</f>
        <v/>
      </c>
      <c r="W141" s="184">
        <f>MAX(T141-U141-'Tax Assumptions'!$B$9,0)</f>
        <v/>
      </c>
      <c r="X141" s="184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/>
      </c>
      <c r="Y141" s="184">
        <f>T141-U141-X141</f>
        <v/>
      </c>
      <c r="Z141" s="184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/>
      </c>
      <c r="AA141" s="184">
        <f>Y141-Z141</f>
        <v/>
      </c>
      <c r="AB141" s="184">
        <f>MIN(MAX(AA141,0),'Tax Assumptions'!$B$20)</f>
        <v/>
      </c>
      <c r="AC141" s="184">
        <f>AA141-AB141</f>
        <v/>
      </c>
      <c r="AD141" s="184">
        <f>MAX('Model Inputs'!$B$7*(1+'Model Inputs'!$B$13)+AC141,0)</f>
        <v/>
      </c>
      <c r="AE141" s="184">
        <f>MAX(('Model Inputs'!$B$8+'Model Inputs'!$B$9+'Model Inputs'!$B$10)*(1+'Model Inputs'!$B$13)+U141+AB141,0)</f>
        <v/>
      </c>
      <c r="AF141" s="184">
        <f>AD141+AE141</f>
        <v/>
      </c>
      <c r="AG141" s="191">
        <f>IF(AND(AF141&gt;=$F$14,0&lt;$F$14),J141,"")</f>
        <v/>
      </c>
      <c r="AH141" s="191">
        <f>IF(AND(AF141&gt;=$F$15,0&lt;$F$15),J141,"")</f>
        <v/>
      </c>
      <c r="AI141" s="191">
        <f>IF(AND(AF141&gt;=$F$16,0&lt;$F$16),J141,"")</f>
        <v/>
      </c>
      <c r="AJ141" s="191">
        <f>IF(AND(AF141&gt;=$F$17,0&lt;$F$17),J141,"")</f>
        <v/>
      </c>
    </row>
    <row r="142" outlineLevel="1" ht="18" customHeight="1" s="326">
      <c r="A142" s="181">
        <f>$A$28</f>
        <v/>
      </c>
      <c r="B142" s="191">
        <f>$B$28</f>
        <v/>
      </c>
      <c r="C142" s="187">
        <f>$C$28</f>
        <v/>
      </c>
      <c r="D142" s="191">
        <f>$D$28</f>
        <v/>
      </c>
      <c r="E142" s="181">
        <f>$E$28</f>
        <v/>
      </c>
      <c r="F142" s="184">
        <f>$F$28</f>
        <v/>
      </c>
      <c r="G142" s="188">
        <f>$G$28</f>
        <v/>
      </c>
      <c r="H142" s="184">
        <f>$H$28</f>
        <v/>
      </c>
      <c r="I142" s="188">
        <f>$J$17</f>
        <v/>
      </c>
      <c r="J142" s="191" t="n">
        <v>2</v>
      </c>
      <c r="K142" s="191">
        <f>('Model Inputs'!$B$22-1)+J142</f>
        <v/>
      </c>
      <c r="L142" s="184">
        <f>IF(J142=1,'Model Inputs'!$B$25*(13-'Model Inputs'!$B$23)/12,'Model Inputs'!$B$25)</f>
        <v/>
      </c>
      <c r="M142" s="184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/>
      </c>
      <c r="N142" s="188">
        <f>IF(J142&lt;=2,0,'Model Inputs'!$B$32*SIN(2*PI()*(J142-3+'Model Inputs'!$B$34)/MAX(1,'Model Inputs'!$B$33)))</f>
        <v/>
      </c>
      <c r="O142" s="184">
        <f>M142*(1+N142)</f>
        <v/>
      </c>
      <c r="P142" s="184">
        <f>0.75*O141</f>
        <v/>
      </c>
      <c r="Q142" s="184">
        <f>L142+P142+IF(J142=1,'Model Inputs'!$B$26,0)</f>
        <v/>
      </c>
      <c r="R142" s="184">
        <f>IF(J142&lt;=B142,Q142,IF(J142&lt;=B142+$J$18,L142,(SUMIFS($L$51:$L$350,$A$51:$A$350,$A142,$J$51:$J$350,$B142)+SUMIFS($O$51:$O$350,$A$51:$A$350,$A142,$J$51:$J$350,$B142))*C142))</f>
        <v/>
      </c>
      <c r="S142" s="184">
        <f>H142+F142*G142*(1+I142)^MAX(0,J142-MAX(D142,B142+$J$18+1))</f>
        <v/>
      </c>
      <c r="T142" s="184">
        <f>IF(J142&gt;=MAX(D142,B142+$J$18+1),S142,R142)</f>
        <v/>
      </c>
      <c r="U142" s="184">
        <f>MIN(T142,'Tax Assumptions'!$B$19)</f>
        <v/>
      </c>
      <c r="V142" s="184">
        <f>MAX(T142-U142-'Tax Assumptions'!$B$8,0)</f>
        <v/>
      </c>
      <c r="W142" s="184">
        <f>MAX(T142-U142-'Tax Assumptions'!$B$9,0)</f>
        <v/>
      </c>
      <c r="X142" s="184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/>
      </c>
      <c r="Y142" s="184">
        <f>T142-U142-X142</f>
        <v/>
      </c>
      <c r="Z142" s="184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/>
      </c>
      <c r="AA142" s="184">
        <f>Y142-Z142</f>
        <v/>
      </c>
      <c r="AB142" s="184">
        <f>MIN(MAX(AA142,0),'Tax Assumptions'!$B$20)</f>
        <v/>
      </c>
      <c r="AC142" s="184">
        <f>AA142-AB142</f>
        <v/>
      </c>
      <c r="AD142" s="184">
        <f>MAX(AD141*(1+'Model Inputs'!$B$13)+AC142,0)</f>
        <v/>
      </c>
      <c r="AE142" s="184">
        <f>MAX(AE141*(1+'Model Inputs'!$B$13)+U142+AB142,0)</f>
        <v/>
      </c>
      <c r="AF142" s="184">
        <f>AD142+AE142</f>
        <v/>
      </c>
      <c r="AG142" s="191">
        <f>IF(AND(AF142&gt;=$F$14,AF141&lt;$F$14),J142,"")</f>
        <v/>
      </c>
      <c r="AH142" s="191">
        <f>IF(AND(AF142&gt;=$F$15,AF141&lt;$F$15),J142,"")</f>
        <v/>
      </c>
      <c r="AI142" s="191">
        <f>IF(AND(AF142&gt;=$F$16,AF141&lt;$F$16),J142,"")</f>
        <v/>
      </c>
      <c r="AJ142" s="191">
        <f>IF(AND(AF142&gt;=$F$17,AF141&lt;$F$17),J142,"")</f>
        <v/>
      </c>
    </row>
    <row r="143" outlineLevel="1" ht="18" customHeight="1" s="326">
      <c r="A143" s="181">
        <f>$A$28</f>
        <v/>
      </c>
      <c r="B143" s="191">
        <f>$B$28</f>
        <v/>
      </c>
      <c r="C143" s="187">
        <f>$C$28</f>
        <v/>
      </c>
      <c r="D143" s="191">
        <f>$D$28</f>
        <v/>
      </c>
      <c r="E143" s="181">
        <f>$E$28</f>
        <v/>
      </c>
      <c r="F143" s="184">
        <f>$F$28</f>
        <v/>
      </c>
      <c r="G143" s="188">
        <f>$G$28</f>
        <v/>
      </c>
      <c r="H143" s="184">
        <f>$H$28</f>
        <v/>
      </c>
      <c r="I143" s="188">
        <f>$J$17</f>
        <v/>
      </c>
      <c r="J143" s="191" t="n">
        <v>3</v>
      </c>
      <c r="K143" s="191">
        <f>('Model Inputs'!$B$22-1)+J143</f>
        <v/>
      </c>
      <c r="L143" s="184">
        <f>IF(J143=1,'Model Inputs'!$B$25*(13-'Model Inputs'!$B$23)/12,'Model Inputs'!$B$25)</f>
        <v/>
      </c>
      <c r="M143" s="184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/>
      </c>
      <c r="N143" s="188">
        <f>IF(J143&lt;=2,0,'Model Inputs'!$B$32*SIN(2*PI()*(J143-3+'Model Inputs'!$B$34)/MAX(1,'Model Inputs'!$B$33)))</f>
        <v/>
      </c>
      <c r="O143" s="184">
        <f>M143*(1+N143)</f>
        <v/>
      </c>
      <c r="P143" s="184">
        <f>0.75*O142+0.25*O141</f>
        <v/>
      </c>
      <c r="Q143" s="184">
        <f>L143+P143+IF(J143=1,'Model Inputs'!$B$26,0)</f>
        <v/>
      </c>
      <c r="R143" s="184">
        <f>IF(J143&lt;=B143,Q143,IF(J143&lt;=B143+$J$18,L143,(SUMIFS($L$51:$L$350,$A$51:$A$350,$A143,$J$51:$J$350,$B143)+SUMIFS($O$51:$O$350,$A$51:$A$350,$A143,$J$51:$J$350,$B143))*C143))</f>
        <v/>
      </c>
      <c r="S143" s="184">
        <f>H143+F143*G143*(1+I143)^MAX(0,J143-MAX(D143,B143+$J$18+1))</f>
        <v/>
      </c>
      <c r="T143" s="184">
        <f>IF(J143&gt;=MAX(D143,B143+$J$18+1),S143,R143)</f>
        <v/>
      </c>
      <c r="U143" s="184">
        <f>MIN(T143,'Tax Assumptions'!$B$19)</f>
        <v/>
      </c>
      <c r="V143" s="184">
        <f>MAX(T143-U143-'Tax Assumptions'!$B$8,0)</f>
        <v/>
      </c>
      <c r="W143" s="184">
        <f>MAX(T143-U143-'Tax Assumptions'!$B$9,0)</f>
        <v/>
      </c>
      <c r="X143" s="184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/>
      </c>
      <c r="Y143" s="184">
        <f>T143-U143-X143</f>
        <v/>
      </c>
      <c r="Z143" s="184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/>
      </c>
      <c r="AA143" s="184">
        <f>Y143-Z143</f>
        <v/>
      </c>
      <c r="AB143" s="184">
        <f>MIN(MAX(AA143,0),'Tax Assumptions'!$B$20)</f>
        <v/>
      </c>
      <c r="AC143" s="184">
        <f>AA143-AB143</f>
        <v/>
      </c>
      <c r="AD143" s="184">
        <f>MAX(AD142*(1+'Model Inputs'!$B$13)+AC143,0)</f>
        <v/>
      </c>
      <c r="AE143" s="184">
        <f>MAX(AE142*(1+'Model Inputs'!$B$13)+U143+AB143,0)</f>
        <v/>
      </c>
      <c r="AF143" s="184">
        <f>AD143+AE143</f>
        <v/>
      </c>
      <c r="AG143" s="191">
        <f>IF(AND(AF143&gt;=$F$14,AF142&lt;$F$14),J143,"")</f>
        <v/>
      </c>
      <c r="AH143" s="191">
        <f>IF(AND(AF143&gt;=$F$15,AF142&lt;$F$15),J143,"")</f>
        <v/>
      </c>
      <c r="AI143" s="191">
        <f>IF(AND(AF143&gt;=$F$16,AF142&lt;$F$16),J143,"")</f>
        <v/>
      </c>
      <c r="AJ143" s="191">
        <f>IF(AND(AF143&gt;=$F$17,AF142&lt;$F$17),J143,"")</f>
        <v/>
      </c>
    </row>
    <row r="144" outlineLevel="1" ht="18" customHeight="1" s="326">
      <c r="A144" s="181">
        <f>$A$28</f>
        <v/>
      </c>
      <c r="B144" s="191">
        <f>$B$28</f>
        <v/>
      </c>
      <c r="C144" s="187">
        <f>$C$28</f>
        <v/>
      </c>
      <c r="D144" s="191">
        <f>$D$28</f>
        <v/>
      </c>
      <c r="E144" s="181">
        <f>$E$28</f>
        <v/>
      </c>
      <c r="F144" s="184">
        <f>$F$28</f>
        <v/>
      </c>
      <c r="G144" s="188">
        <f>$G$28</f>
        <v/>
      </c>
      <c r="H144" s="184">
        <f>$H$28</f>
        <v/>
      </c>
      <c r="I144" s="188">
        <f>$J$17</f>
        <v/>
      </c>
      <c r="J144" s="191" t="n">
        <v>4</v>
      </c>
      <c r="K144" s="191">
        <f>('Model Inputs'!$B$22-1)+J144</f>
        <v/>
      </c>
      <c r="L144" s="184">
        <f>IF(J144=1,'Model Inputs'!$B$25*(13-'Model Inputs'!$B$23)/12,'Model Inputs'!$B$25)</f>
        <v/>
      </c>
      <c r="M144" s="184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/>
      </c>
      <c r="N144" s="188">
        <f>IF(J144&lt;=2,0,'Model Inputs'!$B$32*SIN(2*PI()*(J144-3+'Model Inputs'!$B$34)/MAX(1,'Model Inputs'!$B$33)))</f>
        <v/>
      </c>
      <c r="O144" s="184">
        <f>M144*(1+N144)</f>
        <v/>
      </c>
      <c r="P144" s="184">
        <f>0.75*O143+0.25*O142</f>
        <v/>
      </c>
      <c r="Q144" s="184">
        <f>L144+P144+IF(J144=1,'Model Inputs'!$B$26,0)</f>
        <v/>
      </c>
      <c r="R144" s="184">
        <f>IF(J144&lt;=B144,Q144,IF(J144&lt;=B144+$J$18,L144,(SUMIFS($L$51:$L$350,$A$51:$A$350,$A144,$J$51:$J$350,$B144)+SUMIFS($O$51:$O$350,$A$51:$A$350,$A144,$J$51:$J$350,$B144))*C144))</f>
        <v/>
      </c>
      <c r="S144" s="184">
        <f>H144+F144*G144*(1+I144)^MAX(0,J144-MAX(D144,B144+$J$18+1))</f>
        <v/>
      </c>
      <c r="T144" s="184">
        <f>IF(J144&gt;=MAX(D144,B144+$J$18+1),S144,R144)</f>
        <v/>
      </c>
      <c r="U144" s="184">
        <f>MIN(T144,'Tax Assumptions'!$B$19)</f>
        <v/>
      </c>
      <c r="V144" s="184">
        <f>MAX(T144-U144-'Tax Assumptions'!$B$8,0)</f>
        <v/>
      </c>
      <c r="W144" s="184">
        <f>MAX(T144-U144-'Tax Assumptions'!$B$9,0)</f>
        <v/>
      </c>
      <c r="X144" s="184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/>
      </c>
      <c r="Y144" s="184">
        <f>T144-U144-X144</f>
        <v/>
      </c>
      <c r="Z144" s="184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/>
      </c>
      <c r="AA144" s="184">
        <f>Y144-Z144</f>
        <v/>
      </c>
      <c r="AB144" s="184">
        <f>MIN(MAX(AA144,0),'Tax Assumptions'!$B$20)</f>
        <v/>
      </c>
      <c r="AC144" s="184">
        <f>AA144-AB144</f>
        <v/>
      </c>
      <c r="AD144" s="184">
        <f>MAX(AD143*(1+'Model Inputs'!$B$13)+AC144,0)</f>
        <v/>
      </c>
      <c r="AE144" s="184">
        <f>MAX(AE143*(1+'Model Inputs'!$B$13)+U144+AB144,0)</f>
        <v/>
      </c>
      <c r="AF144" s="184">
        <f>AD144+AE144</f>
        <v/>
      </c>
      <c r="AG144" s="191">
        <f>IF(AND(AF144&gt;=$F$14,AF143&lt;$F$14),J144,"")</f>
        <v/>
      </c>
      <c r="AH144" s="191">
        <f>IF(AND(AF144&gt;=$F$15,AF143&lt;$F$15),J144,"")</f>
        <v/>
      </c>
      <c r="AI144" s="191">
        <f>IF(AND(AF144&gt;=$F$16,AF143&lt;$F$16),J144,"")</f>
        <v/>
      </c>
      <c r="AJ144" s="191">
        <f>IF(AND(AF144&gt;=$F$17,AF143&lt;$F$17),J144,"")</f>
        <v/>
      </c>
    </row>
    <row r="145" outlineLevel="1" ht="18" customHeight="1" s="326">
      <c r="A145" s="181">
        <f>$A$28</f>
        <v/>
      </c>
      <c r="B145" s="191">
        <f>$B$28</f>
        <v/>
      </c>
      <c r="C145" s="187">
        <f>$C$28</f>
        <v/>
      </c>
      <c r="D145" s="191">
        <f>$D$28</f>
        <v/>
      </c>
      <c r="E145" s="181">
        <f>$E$28</f>
        <v/>
      </c>
      <c r="F145" s="184">
        <f>$F$28</f>
        <v/>
      </c>
      <c r="G145" s="188">
        <f>$G$28</f>
        <v/>
      </c>
      <c r="H145" s="184">
        <f>$H$28</f>
        <v/>
      </c>
      <c r="I145" s="188">
        <f>$J$17</f>
        <v/>
      </c>
      <c r="J145" s="191" t="n">
        <v>5</v>
      </c>
      <c r="K145" s="191">
        <f>('Model Inputs'!$B$22-1)+J145</f>
        <v/>
      </c>
      <c r="L145" s="184">
        <f>IF(J145=1,'Model Inputs'!$B$25*(13-'Model Inputs'!$B$23)/12,'Model Inputs'!$B$25)</f>
        <v/>
      </c>
      <c r="M145" s="184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/>
      </c>
      <c r="N145" s="188">
        <f>IF(J145&lt;=2,0,'Model Inputs'!$B$32*SIN(2*PI()*(J145-3+'Model Inputs'!$B$34)/MAX(1,'Model Inputs'!$B$33)))</f>
        <v/>
      </c>
      <c r="O145" s="184">
        <f>M145*(1+N145)</f>
        <v/>
      </c>
      <c r="P145" s="184">
        <f>0.75*O144+0.25*O143</f>
        <v/>
      </c>
      <c r="Q145" s="184">
        <f>L145+P145+IF(J145=1,'Model Inputs'!$B$26,0)</f>
        <v/>
      </c>
      <c r="R145" s="184">
        <f>IF(J145&lt;=B145,Q145,IF(J145&lt;=B145+$J$18,L145,(SUMIFS($L$51:$L$350,$A$51:$A$350,$A145,$J$51:$J$350,$B145)+SUMIFS($O$51:$O$350,$A$51:$A$350,$A145,$J$51:$J$350,$B145))*C145))</f>
        <v/>
      </c>
      <c r="S145" s="184">
        <f>H145+F145*G145*(1+I145)^MAX(0,J145-MAX(D145,B145+$J$18+1))</f>
        <v/>
      </c>
      <c r="T145" s="184">
        <f>IF(J145&gt;=MAX(D145,B145+$J$18+1),S145,R145)</f>
        <v/>
      </c>
      <c r="U145" s="184">
        <f>MIN(T145,'Tax Assumptions'!$B$19)</f>
        <v/>
      </c>
      <c r="V145" s="184">
        <f>MAX(T145-U145-'Tax Assumptions'!$B$8,0)</f>
        <v/>
      </c>
      <c r="W145" s="184">
        <f>MAX(T145-U145-'Tax Assumptions'!$B$9,0)</f>
        <v/>
      </c>
      <c r="X145" s="184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/>
      </c>
      <c r="Y145" s="184">
        <f>T145-U145-X145</f>
        <v/>
      </c>
      <c r="Z145" s="184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/>
      </c>
      <c r="AA145" s="184">
        <f>Y145-Z145</f>
        <v/>
      </c>
      <c r="AB145" s="184">
        <f>MIN(MAX(AA145,0),'Tax Assumptions'!$B$20)</f>
        <v/>
      </c>
      <c r="AC145" s="184">
        <f>AA145-AB145</f>
        <v/>
      </c>
      <c r="AD145" s="184">
        <f>MAX(AD144*(1+'Model Inputs'!$B$13)+AC145,0)</f>
        <v/>
      </c>
      <c r="AE145" s="184">
        <f>MAX(AE144*(1+'Model Inputs'!$B$13)+U145+AB145,0)</f>
        <v/>
      </c>
      <c r="AF145" s="184">
        <f>AD145+AE145</f>
        <v/>
      </c>
      <c r="AG145" s="191">
        <f>IF(AND(AF145&gt;=$F$14,AF144&lt;$F$14),J145,"")</f>
        <v/>
      </c>
      <c r="AH145" s="191">
        <f>IF(AND(AF145&gt;=$F$15,AF144&lt;$F$15),J145,"")</f>
        <v/>
      </c>
      <c r="AI145" s="191">
        <f>IF(AND(AF145&gt;=$F$16,AF144&lt;$F$16),J145,"")</f>
        <v/>
      </c>
      <c r="AJ145" s="191">
        <f>IF(AND(AF145&gt;=$F$17,AF144&lt;$F$17),J145,"")</f>
        <v/>
      </c>
    </row>
    <row r="146" outlineLevel="1" ht="18" customHeight="1" s="326">
      <c r="A146" s="181">
        <f>$A$28</f>
        <v/>
      </c>
      <c r="B146" s="191">
        <f>$B$28</f>
        <v/>
      </c>
      <c r="C146" s="187">
        <f>$C$28</f>
        <v/>
      </c>
      <c r="D146" s="191">
        <f>$D$28</f>
        <v/>
      </c>
      <c r="E146" s="181">
        <f>$E$28</f>
        <v/>
      </c>
      <c r="F146" s="184">
        <f>$F$28</f>
        <v/>
      </c>
      <c r="G146" s="188">
        <f>$G$28</f>
        <v/>
      </c>
      <c r="H146" s="184">
        <f>$H$28</f>
        <v/>
      </c>
      <c r="I146" s="188">
        <f>$J$17</f>
        <v/>
      </c>
      <c r="J146" s="191" t="n">
        <v>6</v>
      </c>
      <c r="K146" s="191">
        <f>('Model Inputs'!$B$22-1)+J146</f>
        <v/>
      </c>
      <c r="L146" s="184">
        <f>IF(J146=1,'Model Inputs'!$B$25*(13-'Model Inputs'!$B$23)/12,'Model Inputs'!$B$25)</f>
        <v/>
      </c>
      <c r="M146" s="184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/>
      </c>
      <c r="N146" s="188">
        <f>IF(J146&lt;=2,0,'Model Inputs'!$B$32*SIN(2*PI()*(J146-3+'Model Inputs'!$B$34)/MAX(1,'Model Inputs'!$B$33)))</f>
        <v/>
      </c>
      <c r="O146" s="184">
        <f>M146*(1+N146)</f>
        <v/>
      </c>
      <c r="P146" s="184">
        <f>0.75*O145+0.25*O144</f>
        <v/>
      </c>
      <c r="Q146" s="184">
        <f>L146+P146+IF(J146=1,'Model Inputs'!$B$26,0)</f>
        <v/>
      </c>
      <c r="R146" s="184">
        <f>IF(J146&lt;=B146,Q146,IF(J146&lt;=B146+$J$18,L146,(SUMIFS($L$51:$L$350,$A$51:$A$350,$A146,$J$51:$J$350,$B146)+SUMIFS($O$51:$O$350,$A$51:$A$350,$A146,$J$51:$J$350,$B146))*C146))</f>
        <v/>
      </c>
      <c r="S146" s="184">
        <f>H146+F146*G146*(1+I146)^MAX(0,J146-MAX(D146,B146+$J$18+1))</f>
        <v/>
      </c>
      <c r="T146" s="184">
        <f>IF(J146&gt;=MAX(D146,B146+$J$18+1),S146,R146)</f>
        <v/>
      </c>
      <c r="U146" s="184">
        <f>MIN(T146,'Tax Assumptions'!$B$19)</f>
        <v/>
      </c>
      <c r="V146" s="184">
        <f>MAX(T146-U146-'Tax Assumptions'!$B$8,0)</f>
        <v/>
      </c>
      <c r="W146" s="184">
        <f>MAX(T146-U146-'Tax Assumptions'!$B$9,0)</f>
        <v/>
      </c>
      <c r="X146" s="184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/>
      </c>
      <c r="Y146" s="184">
        <f>T146-U146-X146</f>
        <v/>
      </c>
      <c r="Z146" s="184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/>
      </c>
      <c r="AA146" s="184">
        <f>Y146-Z146</f>
        <v/>
      </c>
      <c r="AB146" s="184">
        <f>MIN(MAX(AA146,0),'Tax Assumptions'!$B$20)</f>
        <v/>
      </c>
      <c r="AC146" s="184">
        <f>AA146-AB146</f>
        <v/>
      </c>
      <c r="AD146" s="184">
        <f>MAX(AD145*(1+'Model Inputs'!$B$13)+AC146,0)</f>
        <v/>
      </c>
      <c r="AE146" s="184">
        <f>MAX(AE145*(1+'Model Inputs'!$B$13)+U146+AB146,0)</f>
        <v/>
      </c>
      <c r="AF146" s="184">
        <f>AD146+AE146</f>
        <v/>
      </c>
      <c r="AG146" s="191">
        <f>IF(AND(AF146&gt;=$F$14,AF145&lt;$F$14),J146,"")</f>
        <v/>
      </c>
      <c r="AH146" s="191">
        <f>IF(AND(AF146&gt;=$F$15,AF145&lt;$F$15),J146,"")</f>
        <v/>
      </c>
      <c r="AI146" s="191">
        <f>IF(AND(AF146&gt;=$F$16,AF145&lt;$F$16),J146,"")</f>
        <v/>
      </c>
      <c r="AJ146" s="191">
        <f>IF(AND(AF146&gt;=$F$17,AF145&lt;$F$17),J146,"")</f>
        <v/>
      </c>
    </row>
    <row r="147" outlineLevel="1" ht="18" customHeight="1" s="326">
      <c r="A147" s="181">
        <f>$A$28</f>
        <v/>
      </c>
      <c r="B147" s="191">
        <f>$B$28</f>
        <v/>
      </c>
      <c r="C147" s="187">
        <f>$C$28</f>
        <v/>
      </c>
      <c r="D147" s="191">
        <f>$D$28</f>
        <v/>
      </c>
      <c r="E147" s="181">
        <f>$E$28</f>
        <v/>
      </c>
      <c r="F147" s="184">
        <f>$F$28</f>
        <v/>
      </c>
      <c r="G147" s="188">
        <f>$G$28</f>
        <v/>
      </c>
      <c r="H147" s="184">
        <f>$H$28</f>
        <v/>
      </c>
      <c r="I147" s="188">
        <f>$J$17</f>
        <v/>
      </c>
      <c r="J147" s="191" t="n">
        <v>7</v>
      </c>
      <c r="K147" s="191">
        <f>('Model Inputs'!$B$22-1)+J147</f>
        <v/>
      </c>
      <c r="L147" s="184">
        <f>IF(J147=1,'Model Inputs'!$B$25*(13-'Model Inputs'!$B$23)/12,'Model Inputs'!$B$25)</f>
        <v/>
      </c>
      <c r="M147" s="184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/>
      </c>
      <c r="N147" s="188">
        <f>IF(J147&lt;=2,0,'Model Inputs'!$B$32*SIN(2*PI()*(J147-3+'Model Inputs'!$B$34)/MAX(1,'Model Inputs'!$B$33)))</f>
        <v/>
      </c>
      <c r="O147" s="184">
        <f>M147*(1+N147)</f>
        <v/>
      </c>
      <c r="P147" s="184">
        <f>0.75*O146+0.25*O145</f>
        <v/>
      </c>
      <c r="Q147" s="184">
        <f>L147+P147+IF(J147=1,'Model Inputs'!$B$26,0)</f>
        <v/>
      </c>
      <c r="R147" s="184">
        <f>IF(J147&lt;=B147,Q147,IF(J147&lt;=B147+$J$18,L147,(SUMIFS($L$51:$L$350,$A$51:$A$350,$A147,$J$51:$J$350,$B147)+SUMIFS($O$51:$O$350,$A$51:$A$350,$A147,$J$51:$J$350,$B147))*C147))</f>
        <v/>
      </c>
      <c r="S147" s="184">
        <f>H147+F147*G147*(1+I147)^MAX(0,J147-MAX(D147,B147+$J$18+1))</f>
        <v/>
      </c>
      <c r="T147" s="184">
        <f>IF(J147&gt;=MAX(D147,B147+$J$18+1),S147,R147)</f>
        <v/>
      </c>
      <c r="U147" s="184">
        <f>MIN(T147,'Tax Assumptions'!$B$19)</f>
        <v/>
      </c>
      <c r="V147" s="184">
        <f>MAX(T147-U147-'Tax Assumptions'!$B$8,0)</f>
        <v/>
      </c>
      <c r="W147" s="184">
        <f>MAX(T147-U147-'Tax Assumptions'!$B$9,0)</f>
        <v/>
      </c>
      <c r="X147" s="184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/>
      </c>
      <c r="Y147" s="184">
        <f>T147-U147-X147</f>
        <v/>
      </c>
      <c r="Z147" s="184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/>
      </c>
      <c r="AA147" s="184">
        <f>Y147-Z147</f>
        <v/>
      </c>
      <c r="AB147" s="184">
        <f>MIN(MAX(AA147,0),'Tax Assumptions'!$B$20)</f>
        <v/>
      </c>
      <c r="AC147" s="184">
        <f>AA147-AB147</f>
        <v/>
      </c>
      <c r="AD147" s="184">
        <f>MAX(AD146*(1+'Model Inputs'!$B$13)+AC147,0)</f>
        <v/>
      </c>
      <c r="AE147" s="184">
        <f>MAX(AE146*(1+'Model Inputs'!$B$13)+U147+AB147,0)</f>
        <v/>
      </c>
      <c r="AF147" s="184">
        <f>AD147+AE147</f>
        <v/>
      </c>
      <c r="AG147" s="191">
        <f>IF(AND(AF147&gt;=$F$14,AF146&lt;$F$14),J147,"")</f>
        <v/>
      </c>
      <c r="AH147" s="191">
        <f>IF(AND(AF147&gt;=$F$15,AF146&lt;$F$15),J147,"")</f>
        <v/>
      </c>
      <c r="AI147" s="191">
        <f>IF(AND(AF147&gt;=$F$16,AF146&lt;$F$16),J147,"")</f>
        <v/>
      </c>
      <c r="AJ147" s="191">
        <f>IF(AND(AF147&gt;=$F$17,AF146&lt;$F$17),J147,"")</f>
        <v/>
      </c>
    </row>
    <row r="148" outlineLevel="1" ht="18" customHeight="1" s="326">
      <c r="A148" s="181">
        <f>$A$28</f>
        <v/>
      </c>
      <c r="B148" s="191">
        <f>$B$28</f>
        <v/>
      </c>
      <c r="C148" s="187">
        <f>$C$28</f>
        <v/>
      </c>
      <c r="D148" s="191">
        <f>$D$28</f>
        <v/>
      </c>
      <c r="E148" s="181">
        <f>$E$28</f>
        <v/>
      </c>
      <c r="F148" s="184">
        <f>$F$28</f>
        <v/>
      </c>
      <c r="G148" s="188">
        <f>$G$28</f>
        <v/>
      </c>
      <c r="H148" s="184">
        <f>$H$28</f>
        <v/>
      </c>
      <c r="I148" s="188">
        <f>$J$17</f>
        <v/>
      </c>
      <c r="J148" s="191" t="n">
        <v>8</v>
      </c>
      <c r="K148" s="191">
        <f>('Model Inputs'!$B$22-1)+J148</f>
        <v/>
      </c>
      <c r="L148" s="184">
        <f>IF(J148=1,'Model Inputs'!$B$25*(13-'Model Inputs'!$B$23)/12,'Model Inputs'!$B$25)</f>
        <v/>
      </c>
      <c r="M148" s="184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/>
      </c>
      <c r="N148" s="188">
        <f>IF(J148&lt;=2,0,'Model Inputs'!$B$32*SIN(2*PI()*(J148-3+'Model Inputs'!$B$34)/MAX(1,'Model Inputs'!$B$33)))</f>
        <v/>
      </c>
      <c r="O148" s="184">
        <f>M148*(1+N148)</f>
        <v/>
      </c>
      <c r="P148" s="184">
        <f>0.75*O147+0.25*O146</f>
        <v/>
      </c>
      <c r="Q148" s="184">
        <f>L148+P148+IF(J148=1,'Model Inputs'!$B$26,0)</f>
        <v/>
      </c>
      <c r="R148" s="184">
        <f>IF(J148&lt;=B148,Q148,IF(J148&lt;=B148+$J$18,L148,(SUMIFS($L$51:$L$350,$A$51:$A$350,$A148,$J$51:$J$350,$B148)+SUMIFS($O$51:$O$350,$A$51:$A$350,$A148,$J$51:$J$350,$B148))*C148))</f>
        <v/>
      </c>
      <c r="S148" s="184">
        <f>H148+F148*G148*(1+I148)^MAX(0,J148-MAX(D148,B148+$J$18+1))</f>
        <v/>
      </c>
      <c r="T148" s="184">
        <f>IF(J148&gt;=MAX(D148,B148+$J$18+1),S148,R148)</f>
        <v/>
      </c>
      <c r="U148" s="184">
        <f>MIN(T148,'Tax Assumptions'!$B$19)</f>
        <v/>
      </c>
      <c r="V148" s="184">
        <f>MAX(T148-U148-'Tax Assumptions'!$B$8,0)</f>
        <v/>
      </c>
      <c r="W148" s="184">
        <f>MAX(T148-U148-'Tax Assumptions'!$B$9,0)</f>
        <v/>
      </c>
      <c r="X148" s="184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/>
      </c>
      <c r="Y148" s="184">
        <f>T148-U148-X148</f>
        <v/>
      </c>
      <c r="Z148" s="184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/>
      </c>
      <c r="AA148" s="184">
        <f>Y148-Z148</f>
        <v/>
      </c>
      <c r="AB148" s="184">
        <f>MIN(MAX(AA148,0),'Tax Assumptions'!$B$20)</f>
        <v/>
      </c>
      <c r="AC148" s="184">
        <f>AA148-AB148</f>
        <v/>
      </c>
      <c r="AD148" s="184">
        <f>MAX(AD147*(1+'Model Inputs'!$B$13)+AC148,0)</f>
        <v/>
      </c>
      <c r="AE148" s="184">
        <f>MAX(AE147*(1+'Model Inputs'!$B$13)+U148+AB148,0)</f>
        <v/>
      </c>
      <c r="AF148" s="184">
        <f>AD148+AE148</f>
        <v/>
      </c>
      <c r="AG148" s="191">
        <f>IF(AND(AF148&gt;=$F$14,AF147&lt;$F$14),J148,"")</f>
        <v/>
      </c>
      <c r="AH148" s="191">
        <f>IF(AND(AF148&gt;=$F$15,AF147&lt;$F$15),J148,"")</f>
        <v/>
      </c>
      <c r="AI148" s="191">
        <f>IF(AND(AF148&gt;=$F$16,AF147&lt;$F$16),J148,"")</f>
        <v/>
      </c>
      <c r="AJ148" s="191">
        <f>IF(AND(AF148&gt;=$F$17,AF147&lt;$F$17),J148,"")</f>
        <v/>
      </c>
    </row>
    <row r="149" outlineLevel="1" ht="18" customHeight="1" s="326">
      <c r="A149" s="181">
        <f>$A$28</f>
        <v/>
      </c>
      <c r="B149" s="191">
        <f>$B$28</f>
        <v/>
      </c>
      <c r="C149" s="187">
        <f>$C$28</f>
        <v/>
      </c>
      <c r="D149" s="191">
        <f>$D$28</f>
        <v/>
      </c>
      <c r="E149" s="181">
        <f>$E$28</f>
        <v/>
      </c>
      <c r="F149" s="184">
        <f>$F$28</f>
        <v/>
      </c>
      <c r="G149" s="188">
        <f>$G$28</f>
        <v/>
      </c>
      <c r="H149" s="184">
        <f>$H$28</f>
        <v/>
      </c>
      <c r="I149" s="188">
        <f>$J$17</f>
        <v/>
      </c>
      <c r="J149" s="191" t="n">
        <v>9</v>
      </c>
      <c r="K149" s="191">
        <f>('Model Inputs'!$B$22-1)+J149</f>
        <v/>
      </c>
      <c r="L149" s="184">
        <f>IF(J149=1,'Model Inputs'!$B$25*(13-'Model Inputs'!$B$23)/12,'Model Inputs'!$B$25)</f>
        <v/>
      </c>
      <c r="M149" s="184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/>
      </c>
      <c r="N149" s="188">
        <f>IF(J149&lt;=2,0,'Model Inputs'!$B$32*SIN(2*PI()*(J149-3+'Model Inputs'!$B$34)/MAX(1,'Model Inputs'!$B$33)))</f>
        <v/>
      </c>
      <c r="O149" s="184">
        <f>M149*(1+N149)</f>
        <v/>
      </c>
      <c r="P149" s="184">
        <f>0.75*O148+0.25*O147</f>
        <v/>
      </c>
      <c r="Q149" s="184">
        <f>L149+P149+IF(J149=1,'Model Inputs'!$B$26,0)</f>
        <v/>
      </c>
      <c r="R149" s="184">
        <f>IF(J149&lt;=B149,Q149,IF(J149&lt;=B149+$J$18,L149,(SUMIFS($L$51:$L$350,$A$51:$A$350,$A149,$J$51:$J$350,$B149)+SUMIFS($O$51:$O$350,$A$51:$A$350,$A149,$J$51:$J$350,$B149))*C149))</f>
        <v/>
      </c>
      <c r="S149" s="184">
        <f>H149+F149*G149*(1+I149)^MAX(0,J149-MAX(D149,B149+$J$18+1))</f>
        <v/>
      </c>
      <c r="T149" s="184">
        <f>IF(J149&gt;=MAX(D149,B149+$J$18+1),S149,R149)</f>
        <v/>
      </c>
      <c r="U149" s="184">
        <f>MIN(T149,'Tax Assumptions'!$B$19)</f>
        <v/>
      </c>
      <c r="V149" s="184">
        <f>MAX(T149-U149-'Tax Assumptions'!$B$8,0)</f>
        <v/>
      </c>
      <c r="W149" s="184">
        <f>MAX(T149-U149-'Tax Assumptions'!$B$9,0)</f>
        <v/>
      </c>
      <c r="X149" s="184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/>
      </c>
      <c r="Y149" s="184">
        <f>T149-U149-X149</f>
        <v/>
      </c>
      <c r="Z149" s="184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/>
      </c>
      <c r="AA149" s="184">
        <f>Y149-Z149</f>
        <v/>
      </c>
      <c r="AB149" s="184">
        <f>MIN(MAX(AA149,0),'Tax Assumptions'!$B$20)</f>
        <v/>
      </c>
      <c r="AC149" s="184">
        <f>AA149-AB149</f>
        <v/>
      </c>
      <c r="AD149" s="184">
        <f>MAX(AD148*(1+'Model Inputs'!$B$13)+AC149,0)</f>
        <v/>
      </c>
      <c r="AE149" s="184">
        <f>MAX(AE148*(1+'Model Inputs'!$B$13)+U149+AB149,0)</f>
        <v/>
      </c>
      <c r="AF149" s="184">
        <f>AD149+AE149</f>
        <v/>
      </c>
      <c r="AG149" s="191">
        <f>IF(AND(AF149&gt;=$F$14,AF148&lt;$F$14),J149,"")</f>
        <v/>
      </c>
      <c r="AH149" s="191">
        <f>IF(AND(AF149&gt;=$F$15,AF148&lt;$F$15),J149,"")</f>
        <v/>
      </c>
      <c r="AI149" s="191">
        <f>IF(AND(AF149&gt;=$F$16,AF148&lt;$F$16),J149,"")</f>
        <v/>
      </c>
      <c r="AJ149" s="191">
        <f>IF(AND(AF149&gt;=$F$17,AF148&lt;$F$17),J149,"")</f>
        <v/>
      </c>
    </row>
    <row r="150" outlineLevel="1" ht="18" customHeight="1" s="326">
      <c r="A150" s="181">
        <f>$A$28</f>
        <v/>
      </c>
      <c r="B150" s="191">
        <f>$B$28</f>
        <v/>
      </c>
      <c r="C150" s="187">
        <f>$C$28</f>
        <v/>
      </c>
      <c r="D150" s="191">
        <f>$D$28</f>
        <v/>
      </c>
      <c r="E150" s="181">
        <f>$E$28</f>
        <v/>
      </c>
      <c r="F150" s="184">
        <f>$F$28</f>
        <v/>
      </c>
      <c r="G150" s="188">
        <f>$G$28</f>
        <v/>
      </c>
      <c r="H150" s="184">
        <f>$H$28</f>
        <v/>
      </c>
      <c r="I150" s="188">
        <f>$J$17</f>
        <v/>
      </c>
      <c r="J150" s="191" t="n">
        <v>10</v>
      </c>
      <c r="K150" s="191">
        <f>('Model Inputs'!$B$22-1)+J150</f>
        <v/>
      </c>
      <c r="L150" s="184">
        <f>IF(J150=1,'Model Inputs'!$B$25*(13-'Model Inputs'!$B$23)/12,'Model Inputs'!$B$25)</f>
        <v/>
      </c>
      <c r="M150" s="184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/>
      </c>
      <c r="N150" s="188">
        <f>IF(J150&lt;=2,0,'Model Inputs'!$B$32*SIN(2*PI()*(J150-3+'Model Inputs'!$B$34)/MAX(1,'Model Inputs'!$B$33)))</f>
        <v/>
      </c>
      <c r="O150" s="184">
        <f>M150*(1+N150)</f>
        <v/>
      </c>
      <c r="P150" s="184">
        <f>0.75*O149+0.25*O148</f>
        <v/>
      </c>
      <c r="Q150" s="184">
        <f>L150+P150+IF(J150=1,'Model Inputs'!$B$26,0)</f>
        <v/>
      </c>
      <c r="R150" s="184">
        <f>IF(J150&lt;=B150,Q150,IF(J150&lt;=B150+$J$18,L150,(SUMIFS($L$51:$L$350,$A$51:$A$350,$A150,$J$51:$J$350,$B150)+SUMIFS($O$51:$O$350,$A$51:$A$350,$A150,$J$51:$J$350,$B150))*C150))</f>
        <v/>
      </c>
      <c r="S150" s="184">
        <f>H150+F150*G150*(1+I150)^MAX(0,J150-MAX(D150,B150+$J$18+1))</f>
        <v/>
      </c>
      <c r="T150" s="184">
        <f>IF(J150&gt;=MAX(D150,B150+$J$18+1),S150,R150)</f>
        <v/>
      </c>
      <c r="U150" s="184">
        <f>MIN(T150,'Tax Assumptions'!$B$19)</f>
        <v/>
      </c>
      <c r="V150" s="184">
        <f>MAX(T150-U150-'Tax Assumptions'!$B$8,0)</f>
        <v/>
      </c>
      <c r="W150" s="184">
        <f>MAX(T150-U150-'Tax Assumptions'!$B$9,0)</f>
        <v/>
      </c>
      <c r="X150" s="184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/>
      </c>
      <c r="Y150" s="184">
        <f>T150-U150-X150</f>
        <v/>
      </c>
      <c r="Z150" s="184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/>
      </c>
      <c r="AA150" s="184">
        <f>Y150-Z150</f>
        <v/>
      </c>
      <c r="AB150" s="184">
        <f>MIN(MAX(AA150,0),'Tax Assumptions'!$B$20)</f>
        <v/>
      </c>
      <c r="AC150" s="184">
        <f>AA150-AB150</f>
        <v/>
      </c>
      <c r="AD150" s="184">
        <f>MAX(AD149*(1+'Model Inputs'!$B$13)+AC150,0)</f>
        <v/>
      </c>
      <c r="AE150" s="184">
        <f>MAX(AE149*(1+'Model Inputs'!$B$13)+U150+AB150,0)</f>
        <v/>
      </c>
      <c r="AF150" s="184">
        <f>AD150+AE150</f>
        <v/>
      </c>
      <c r="AG150" s="191">
        <f>IF(AND(AF150&gt;=$F$14,AF149&lt;$F$14),J150,"")</f>
        <v/>
      </c>
      <c r="AH150" s="191">
        <f>IF(AND(AF150&gt;=$F$15,AF149&lt;$F$15),J150,"")</f>
        <v/>
      </c>
      <c r="AI150" s="191">
        <f>IF(AND(AF150&gt;=$F$16,AF149&lt;$F$16),J150,"")</f>
        <v/>
      </c>
      <c r="AJ150" s="191">
        <f>IF(AND(AF150&gt;=$F$17,AF149&lt;$F$17),J150,"")</f>
        <v/>
      </c>
    </row>
    <row r="151" outlineLevel="1" ht="18" customHeight="1" s="326">
      <c r="A151" s="181">
        <f>$A$28</f>
        <v/>
      </c>
      <c r="B151" s="191">
        <f>$B$28</f>
        <v/>
      </c>
      <c r="C151" s="187">
        <f>$C$28</f>
        <v/>
      </c>
      <c r="D151" s="191">
        <f>$D$28</f>
        <v/>
      </c>
      <c r="E151" s="181">
        <f>$E$28</f>
        <v/>
      </c>
      <c r="F151" s="184">
        <f>$F$28</f>
        <v/>
      </c>
      <c r="G151" s="188">
        <f>$G$28</f>
        <v/>
      </c>
      <c r="H151" s="184">
        <f>$H$28</f>
        <v/>
      </c>
      <c r="I151" s="188">
        <f>$J$17</f>
        <v/>
      </c>
      <c r="J151" s="191" t="n">
        <v>11</v>
      </c>
      <c r="K151" s="191">
        <f>('Model Inputs'!$B$22-1)+J151</f>
        <v/>
      </c>
      <c r="L151" s="184">
        <f>IF(J151=1,'Model Inputs'!$B$25*(13-'Model Inputs'!$B$23)/12,'Model Inputs'!$B$25)</f>
        <v/>
      </c>
      <c r="M151" s="184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/>
      </c>
      <c r="N151" s="188">
        <f>IF(J151&lt;=2,0,'Model Inputs'!$B$32*SIN(2*PI()*(J151-3+'Model Inputs'!$B$34)/MAX(1,'Model Inputs'!$B$33)))</f>
        <v/>
      </c>
      <c r="O151" s="184">
        <f>M151*(1+N151)</f>
        <v/>
      </c>
      <c r="P151" s="184">
        <f>0.75*O150+0.25*O149</f>
        <v/>
      </c>
      <c r="Q151" s="184">
        <f>L151+P151+IF(J151=1,'Model Inputs'!$B$26,0)</f>
        <v/>
      </c>
      <c r="R151" s="184">
        <f>IF(J151&lt;=B151,Q151,IF(J151&lt;=B151+$J$18,L151,(SUMIFS($L$51:$L$350,$A$51:$A$350,$A151,$J$51:$J$350,$B151)+SUMIFS($O$51:$O$350,$A$51:$A$350,$A151,$J$51:$J$350,$B151))*C151))</f>
        <v/>
      </c>
      <c r="S151" s="184">
        <f>H151+F151*G151*(1+I151)^MAX(0,J151-MAX(D151,B151+$J$18+1))</f>
        <v/>
      </c>
      <c r="T151" s="184">
        <f>IF(J151&gt;=MAX(D151,B151+$J$18+1),S151,R151)</f>
        <v/>
      </c>
      <c r="U151" s="184">
        <f>MIN(T151,'Tax Assumptions'!$B$19)</f>
        <v/>
      </c>
      <c r="V151" s="184">
        <f>MAX(T151-U151-'Tax Assumptions'!$B$8,0)</f>
        <v/>
      </c>
      <c r="W151" s="184">
        <f>MAX(T151-U151-'Tax Assumptions'!$B$9,0)</f>
        <v/>
      </c>
      <c r="X151" s="184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/>
      </c>
      <c r="Y151" s="184">
        <f>T151-U151-X151</f>
        <v/>
      </c>
      <c r="Z151" s="184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/>
      </c>
      <c r="AA151" s="184">
        <f>Y151-Z151</f>
        <v/>
      </c>
      <c r="AB151" s="184">
        <f>MIN(MAX(AA151,0),'Tax Assumptions'!$B$20)</f>
        <v/>
      </c>
      <c r="AC151" s="184">
        <f>AA151-AB151</f>
        <v/>
      </c>
      <c r="AD151" s="184">
        <f>MAX(AD150*(1+'Model Inputs'!$B$13)+AC151,0)</f>
        <v/>
      </c>
      <c r="AE151" s="184">
        <f>MAX(AE150*(1+'Model Inputs'!$B$13)+U151+AB151,0)</f>
        <v/>
      </c>
      <c r="AF151" s="184">
        <f>AD151+AE151</f>
        <v/>
      </c>
      <c r="AG151" s="191">
        <f>IF(AND(AF151&gt;=$F$14,AF150&lt;$F$14),J151,"")</f>
        <v/>
      </c>
      <c r="AH151" s="191">
        <f>IF(AND(AF151&gt;=$F$15,AF150&lt;$F$15),J151,"")</f>
        <v/>
      </c>
      <c r="AI151" s="191">
        <f>IF(AND(AF151&gt;=$F$16,AF150&lt;$F$16),J151,"")</f>
        <v/>
      </c>
      <c r="AJ151" s="191">
        <f>IF(AND(AF151&gt;=$F$17,AF150&lt;$F$17),J151,"")</f>
        <v/>
      </c>
    </row>
    <row r="152" outlineLevel="1" ht="18" customHeight="1" s="326">
      <c r="A152" s="181">
        <f>$A$28</f>
        <v/>
      </c>
      <c r="B152" s="191">
        <f>$B$28</f>
        <v/>
      </c>
      <c r="C152" s="187">
        <f>$C$28</f>
        <v/>
      </c>
      <c r="D152" s="191">
        <f>$D$28</f>
        <v/>
      </c>
      <c r="E152" s="181">
        <f>$E$28</f>
        <v/>
      </c>
      <c r="F152" s="184">
        <f>$F$28</f>
        <v/>
      </c>
      <c r="G152" s="188">
        <f>$G$28</f>
        <v/>
      </c>
      <c r="H152" s="184">
        <f>$H$28</f>
        <v/>
      </c>
      <c r="I152" s="188">
        <f>$J$17</f>
        <v/>
      </c>
      <c r="J152" s="191" t="n">
        <v>12</v>
      </c>
      <c r="K152" s="191">
        <f>('Model Inputs'!$B$22-1)+J152</f>
        <v/>
      </c>
      <c r="L152" s="184">
        <f>IF(J152=1,'Model Inputs'!$B$25*(13-'Model Inputs'!$B$23)/12,'Model Inputs'!$B$25)</f>
        <v/>
      </c>
      <c r="M152" s="184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/>
      </c>
      <c r="N152" s="188">
        <f>IF(J152&lt;=2,0,'Model Inputs'!$B$32*SIN(2*PI()*(J152-3+'Model Inputs'!$B$34)/MAX(1,'Model Inputs'!$B$33)))</f>
        <v/>
      </c>
      <c r="O152" s="184">
        <f>M152*(1+N152)</f>
        <v/>
      </c>
      <c r="P152" s="184">
        <f>0.75*O151+0.25*O150</f>
        <v/>
      </c>
      <c r="Q152" s="184">
        <f>L152+P152+IF(J152=1,'Model Inputs'!$B$26,0)</f>
        <v/>
      </c>
      <c r="R152" s="184">
        <f>IF(J152&lt;=B152,Q152,IF(J152&lt;=B152+$J$18,L152,(SUMIFS($L$51:$L$350,$A$51:$A$350,$A152,$J$51:$J$350,$B152)+SUMIFS($O$51:$O$350,$A$51:$A$350,$A152,$J$51:$J$350,$B152))*C152))</f>
        <v/>
      </c>
      <c r="S152" s="184">
        <f>H152+F152*G152*(1+I152)^MAX(0,J152-MAX(D152,B152+$J$18+1))</f>
        <v/>
      </c>
      <c r="T152" s="184">
        <f>IF(J152&gt;=MAX(D152,B152+$J$18+1),S152,R152)</f>
        <v/>
      </c>
      <c r="U152" s="184">
        <f>MIN(T152,'Tax Assumptions'!$B$19)</f>
        <v/>
      </c>
      <c r="V152" s="184">
        <f>MAX(T152-U152-'Tax Assumptions'!$B$8,0)</f>
        <v/>
      </c>
      <c r="W152" s="184">
        <f>MAX(T152-U152-'Tax Assumptions'!$B$9,0)</f>
        <v/>
      </c>
      <c r="X152" s="184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/>
      </c>
      <c r="Y152" s="184">
        <f>T152-U152-X152</f>
        <v/>
      </c>
      <c r="Z152" s="184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/>
      </c>
      <c r="AA152" s="184">
        <f>Y152-Z152</f>
        <v/>
      </c>
      <c r="AB152" s="184">
        <f>MIN(MAX(AA152,0),'Tax Assumptions'!$B$20)</f>
        <v/>
      </c>
      <c r="AC152" s="184">
        <f>AA152-AB152</f>
        <v/>
      </c>
      <c r="AD152" s="184">
        <f>MAX(AD151*(1+'Model Inputs'!$B$13)+AC152,0)</f>
        <v/>
      </c>
      <c r="AE152" s="184">
        <f>MAX(AE151*(1+'Model Inputs'!$B$13)+U152+AB152,0)</f>
        <v/>
      </c>
      <c r="AF152" s="184">
        <f>AD152+AE152</f>
        <v/>
      </c>
      <c r="AG152" s="191">
        <f>IF(AND(AF152&gt;=$F$14,AF151&lt;$F$14),J152,"")</f>
        <v/>
      </c>
      <c r="AH152" s="191">
        <f>IF(AND(AF152&gt;=$F$15,AF151&lt;$F$15),J152,"")</f>
        <v/>
      </c>
      <c r="AI152" s="191">
        <f>IF(AND(AF152&gt;=$F$16,AF151&lt;$F$16),J152,"")</f>
        <v/>
      </c>
      <c r="AJ152" s="191">
        <f>IF(AND(AF152&gt;=$F$17,AF151&lt;$F$17),J152,"")</f>
        <v/>
      </c>
    </row>
    <row r="153" outlineLevel="1" ht="18" customHeight="1" s="326">
      <c r="A153" s="181">
        <f>$A$28</f>
        <v/>
      </c>
      <c r="B153" s="191">
        <f>$B$28</f>
        <v/>
      </c>
      <c r="C153" s="187">
        <f>$C$28</f>
        <v/>
      </c>
      <c r="D153" s="191">
        <f>$D$28</f>
        <v/>
      </c>
      <c r="E153" s="181">
        <f>$E$28</f>
        <v/>
      </c>
      <c r="F153" s="184">
        <f>$F$28</f>
        <v/>
      </c>
      <c r="G153" s="188">
        <f>$G$28</f>
        <v/>
      </c>
      <c r="H153" s="184">
        <f>$H$28</f>
        <v/>
      </c>
      <c r="I153" s="188">
        <f>$J$17</f>
        <v/>
      </c>
      <c r="J153" s="191" t="n">
        <v>13</v>
      </c>
      <c r="K153" s="191">
        <f>('Model Inputs'!$B$22-1)+J153</f>
        <v/>
      </c>
      <c r="L153" s="184">
        <f>IF(J153=1,'Model Inputs'!$B$25*(13-'Model Inputs'!$B$23)/12,'Model Inputs'!$B$25)</f>
        <v/>
      </c>
      <c r="M153" s="184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/>
      </c>
      <c r="N153" s="188">
        <f>IF(J153&lt;=2,0,'Model Inputs'!$B$32*SIN(2*PI()*(J153-3+'Model Inputs'!$B$34)/MAX(1,'Model Inputs'!$B$33)))</f>
        <v/>
      </c>
      <c r="O153" s="184">
        <f>M153*(1+N153)</f>
        <v/>
      </c>
      <c r="P153" s="184">
        <f>0.75*O152+0.25*O151</f>
        <v/>
      </c>
      <c r="Q153" s="184">
        <f>L153+P153+IF(J153=1,'Model Inputs'!$B$26,0)</f>
        <v/>
      </c>
      <c r="R153" s="184">
        <f>IF(J153&lt;=B153,Q153,IF(J153&lt;=B153+$J$18,L153,(SUMIFS($L$51:$L$350,$A$51:$A$350,$A153,$J$51:$J$350,$B153)+SUMIFS($O$51:$O$350,$A$51:$A$350,$A153,$J$51:$J$350,$B153))*C153))</f>
        <v/>
      </c>
      <c r="S153" s="184">
        <f>H153+F153*G153*(1+I153)^MAX(0,J153-MAX(D153,B153+$J$18+1))</f>
        <v/>
      </c>
      <c r="T153" s="184">
        <f>IF(J153&gt;=MAX(D153,B153+$J$18+1),S153,R153)</f>
        <v/>
      </c>
      <c r="U153" s="184">
        <f>MIN(T153,'Tax Assumptions'!$B$19)</f>
        <v/>
      </c>
      <c r="V153" s="184">
        <f>MAX(T153-U153-'Tax Assumptions'!$B$8,0)</f>
        <v/>
      </c>
      <c r="W153" s="184">
        <f>MAX(T153-U153-'Tax Assumptions'!$B$9,0)</f>
        <v/>
      </c>
      <c r="X153" s="184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/>
      </c>
      <c r="Y153" s="184">
        <f>T153-U153-X153</f>
        <v/>
      </c>
      <c r="Z153" s="184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/>
      </c>
      <c r="AA153" s="184">
        <f>Y153-Z153</f>
        <v/>
      </c>
      <c r="AB153" s="184">
        <f>MIN(MAX(AA153,0),'Tax Assumptions'!$B$20)</f>
        <v/>
      </c>
      <c r="AC153" s="184">
        <f>AA153-AB153</f>
        <v/>
      </c>
      <c r="AD153" s="184">
        <f>MAX(AD152*(1+'Model Inputs'!$B$13)+AC153,0)</f>
        <v/>
      </c>
      <c r="AE153" s="184">
        <f>MAX(AE152*(1+'Model Inputs'!$B$13)+U153+AB153,0)</f>
        <v/>
      </c>
      <c r="AF153" s="184">
        <f>AD153+AE153</f>
        <v/>
      </c>
      <c r="AG153" s="191">
        <f>IF(AND(AF153&gt;=$F$14,AF152&lt;$F$14),J153,"")</f>
        <v/>
      </c>
      <c r="AH153" s="191">
        <f>IF(AND(AF153&gt;=$F$15,AF152&lt;$F$15),J153,"")</f>
        <v/>
      </c>
      <c r="AI153" s="191">
        <f>IF(AND(AF153&gt;=$F$16,AF152&lt;$F$16),J153,"")</f>
        <v/>
      </c>
      <c r="AJ153" s="191">
        <f>IF(AND(AF153&gt;=$F$17,AF152&lt;$F$17),J153,"")</f>
        <v/>
      </c>
    </row>
    <row r="154" outlineLevel="1" ht="18" customHeight="1" s="326">
      <c r="A154" s="181">
        <f>$A$28</f>
        <v/>
      </c>
      <c r="B154" s="191">
        <f>$B$28</f>
        <v/>
      </c>
      <c r="C154" s="187">
        <f>$C$28</f>
        <v/>
      </c>
      <c r="D154" s="191">
        <f>$D$28</f>
        <v/>
      </c>
      <c r="E154" s="181">
        <f>$E$28</f>
        <v/>
      </c>
      <c r="F154" s="184">
        <f>$F$28</f>
        <v/>
      </c>
      <c r="G154" s="188">
        <f>$G$28</f>
        <v/>
      </c>
      <c r="H154" s="184">
        <f>$H$28</f>
        <v/>
      </c>
      <c r="I154" s="188">
        <f>$J$17</f>
        <v/>
      </c>
      <c r="J154" s="191" t="n">
        <v>14</v>
      </c>
      <c r="K154" s="191">
        <f>('Model Inputs'!$B$22-1)+J154</f>
        <v/>
      </c>
      <c r="L154" s="184">
        <f>IF(J154=1,'Model Inputs'!$B$25*(13-'Model Inputs'!$B$23)/12,'Model Inputs'!$B$25)</f>
        <v/>
      </c>
      <c r="M154" s="184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/>
      </c>
      <c r="N154" s="188">
        <f>IF(J154&lt;=2,0,'Model Inputs'!$B$32*SIN(2*PI()*(J154-3+'Model Inputs'!$B$34)/MAX(1,'Model Inputs'!$B$33)))</f>
        <v/>
      </c>
      <c r="O154" s="184">
        <f>M154*(1+N154)</f>
        <v/>
      </c>
      <c r="P154" s="184">
        <f>0.75*O153+0.25*O152</f>
        <v/>
      </c>
      <c r="Q154" s="184">
        <f>L154+P154+IF(J154=1,'Model Inputs'!$B$26,0)</f>
        <v/>
      </c>
      <c r="R154" s="184">
        <f>IF(J154&lt;=B154,Q154,IF(J154&lt;=B154+$J$18,L154,(SUMIFS($L$51:$L$350,$A$51:$A$350,$A154,$J$51:$J$350,$B154)+SUMIFS($O$51:$O$350,$A$51:$A$350,$A154,$J$51:$J$350,$B154))*C154))</f>
        <v/>
      </c>
      <c r="S154" s="184">
        <f>H154+F154*G154*(1+I154)^MAX(0,J154-MAX(D154,B154+$J$18+1))</f>
        <v/>
      </c>
      <c r="T154" s="184">
        <f>IF(J154&gt;=MAX(D154,B154+$J$18+1),S154,R154)</f>
        <v/>
      </c>
      <c r="U154" s="184">
        <f>MIN(T154,'Tax Assumptions'!$B$19)</f>
        <v/>
      </c>
      <c r="V154" s="184">
        <f>MAX(T154-U154-'Tax Assumptions'!$B$8,0)</f>
        <v/>
      </c>
      <c r="W154" s="184">
        <f>MAX(T154-U154-'Tax Assumptions'!$B$9,0)</f>
        <v/>
      </c>
      <c r="X154" s="184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/>
      </c>
      <c r="Y154" s="184">
        <f>T154-U154-X154</f>
        <v/>
      </c>
      <c r="Z154" s="184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/>
      </c>
      <c r="AA154" s="184">
        <f>Y154-Z154</f>
        <v/>
      </c>
      <c r="AB154" s="184">
        <f>MIN(MAX(AA154,0),'Tax Assumptions'!$B$20)</f>
        <v/>
      </c>
      <c r="AC154" s="184">
        <f>AA154-AB154</f>
        <v/>
      </c>
      <c r="AD154" s="184">
        <f>MAX(AD153*(1+'Model Inputs'!$B$13)+AC154,0)</f>
        <v/>
      </c>
      <c r="AE154" s="184">
        <f>MAX(AE153*(1+'Model Inputs'!$B$13)+U154+AB154,0)</f>
        <v/>
      </c>
      <c r="AF154" s="184">
        <f>AD154+AE154</f>
        <v/>
      </c>
      <c r="AG154" s="191">
        <f>IF(AND(AF154&gt;=$F$14,AF153&lt;$F$14),J154,"")</f>
        <v/>
      </c>
      <c r="AH154" s="191">
        <f>IF(AND(AF154&gt;=$F$15,AF153&lt;$F$15),J154,"")</f>
        <v/>
      </c>
      <c r="AI154" s="191">
        <f>IF(AND(AF154&gt;=$F$16,AF153&lt;$F$16),J154,"")</f>
        <v/>
      </c>
      <c r="AJ154" s="191">
        <f>IF(AND(AF154&gt;=$F$17,AF153&lt;$F$17),J154,"")</f>
        <v/>
      </c>
    </row>
    <row r="155" outlineLevel="1" ht="18" customHeight="1" s="326">
      <c r="A155" s="181">
        <f>$A$28</f>
        <v/>
      </c>
      <c r="B155" s="191">
        <f>$B$28</f>
        <v/>
      </c>
      <c r="C155" s="187">
        <f>$C$28</f>
        <v/>
      </c>
      <c r="D155" s="191">
        <f>$D$28</f>
        <v/>
      </c>
      <c r="E155" s="181">
        <f>$E$28</f>
        <v/>
      </c>
      <c r="F155" s="184">
        <f>$F$28</f>
        <v/>
      </c>
      <c r="G155" s="188">
        <f>$G$28</f>
        <v/>
      </c>
      <c r="H155" s="184">
        <f>$H$28</f>
        <v/>
      </c>
      <c r="I155" s="188">
        <f>$J$17</f>
        <v/>
      </c>
      <c r="J155" s="191" t="n">
        <v>15</v>
      </c>
      <c r="K155" s="191">
        <f>('Model Inputs'!$B$22-1)+J155</f>
        <v/>
      </c>
      <c r="L155" s="184">
        <f>IF(J155=1,'Model Inputs'!$B$25*(13-'Model Inputs'!$B$23)/12,'Model Inputs'!$B$25)</f>
        <v/>
      </c>
      <c r="M155" s="184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/>
      </c>
      <c r="N155" s="188">
        <f>IF(J155&lt;=2,0,'Model Inputs'!$B$32*SIN(2*PI()*(J155-3+'Model Inputs'!$B$34)/MAX(1,'Model Inputs'!$B$33)))</f>
        <v/>
      </c>
      <c r="O155" s="184">
        <f>M155*(1+N155)</f>
        <v/>
      </c>
      <c r="P155" s="184">
        <f>0.75*O154+0.25*O153</f>
        <v/>
      </c>
      <c r="Q155" s="184">
        <f>L155+P155+IF(J155=1,'Model Inputs'!$B$26,0)</f>
        <v/>
      </c>
      <c r="R155" s="184">
        <f>IF(J155&lt;=B155,Q155,IF(J155&lt;=B155+$J$18,L155,(SUMIFS($L$51:$L$350,$A$51:$A$350,$A155,$J$51:$J$350,$B155)+SUMIFS($O$51:$O$350,$A$51:$A$350,$A155,$J$51:$J$350,$B155))*C155))</f>
        <v/>
      </c>
      <c r="S155" s="184">
        <f>H155+F155*G155*(1+I155)^MAX(0,J155-MAX(D155,B155+$J$18+1))</f>
        <v/>
      </c>
      <c r="T155" s="184">
        <f>IF(J155&gt;=MAX(D155,B155+$J$18+1),S155,R155)</f>
        <v/>
      </c>
      <c r="U155" s="184">
        <f>MIN(T155,'Tax Assumptions'!$B$19)</f>
        <v/>
      </c>
      <c r="V155" s="184">
        <f>MAX(T155-U155-'Tax Assumptions'!$B$8,0)</f>
        <v/>
      </c>
      <c r="W155" s="184">
        <f>MAX(T155-U155-'Tax Assumptions'!$B$9,0)</f>
        <v/>
      </c>
      <c r="X155" s="184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/>
      </c>
      <c r="Y155" s="184">
        <f>T155-U155-X155</f>
        <v/>
      </c>
      <c r="Z155" s="184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/>
      </c>
      <c r="AA155" s="184">
        <f>Y155-Z155</f>
        <v/>
      </c>
      <c r="AB155" s="184">
        <f>MIN(MAX(AA155,0),'Tax Assumptions'!$B$20)</f>
        <v/>
      </c>
      <c r="AC155" s="184">
        <f>AA155-AB155</f>
        <v/>
      </c>
      <c r="AD155" s="184">
        <f>MAX(AD154*(1+'Model Inputs'!$B$13)+AC155,0)</f>
        <v/>
      </c>
      <c r="AE155" s="184">
        <f>MAX(AE154*(1+'Model Inputs'!$B$13)+U155+AB155,0)</f>
        <v/>
      </c>
      <c r="AF155" s="184">
        <f>AD155+AE155</f>
        <v/>
      </c>
      <c r="AG155" s="191">
        <f>IF(AND(AF155&gt;=$F$14,AF154&lt;$F$14),J155,"")</f>
        <v/>
      </c>
      <c r="AH155" s="191">
        <f>IF(AND(AF155&gt;=$F$15,AF154&lt;$F$15),J155,"")</f>
        <v/>
      </c>
      <c r="AI155" s="191">
        <f>IF(AND(AF155&gt;=$F$16,AF154&lt;$F$16),J155,"")</f>
        <v/>
      </c>
      <c r="AJ155" s="191">
        <f>IF(AND(AF155&gt;=$F$17,AF154&lt;$F$17),J155,"")</f>
        <v/>
      </c>
    </row>
    <row r="156" outlineLevel="1" ht="18" customHeight="1" s="326">
      <c r="A156" s="181">
        <f>$A$29</f>
        <v/>
      </c>
      <c r="B156" s="191">
        <f>$B$29</f>
        <v/>
      </c>
      <c r="C156" s="187">
        <f>$C$29</f>
        <v/>
      </c>
      <c r="D156" s="191">
        <f>$D$29</f>
        <v/>
      </c>
      <c r="E156" s="181">
        <f>$E$29</f>
        <v/>
      </c>
      <c r="F156" s="184">
        <f>$F$29</f>
        <v/>
      </c>
      <c r="G156" s="188">
        <f>$G$29</f>
        <v/>
      </c>
      <c r="H156" s="184">
        <f>$H$29</f>
        <v/>
      </c>
      <c r="I156" s="188">
        <f>$J$17</f>
        <v/>
      </c>
      <c r="J156" s="191" t="n">
        <v>1</v>
      </c>
      <c r="K156" s="191">
        <f>('Model Inputs'!$B$22-1)+J156</f>
        <v/>
      </c>
      <c r="L156" s="184">
        <f>IF(J156=1,'Model Inputs'!$B$25*(13-'Model Inputs'!$B$23)/12,'Model Inputs'!$B$25)</f>
        <v/>
      </c>
      <c r="M156" s="184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/>
      </c>
      <c r="N156" s="188">
        <f>IF(J156&lt;=2,0,'Model Inputs'!$B$32*SIN(2*PI()*(J156-3+'Model Inputs'!$B$34)/MAX(1,'Model Inputs'!$B$33)))</f>
        <v/>
      </c>
      <c r="O156" s="184">
        <f>M156*(1+N156)</f>
        <v/>
      </c>
      <c r="P156" s="184">
        <f>0</f>
        <v/>
      </c>
      <c r="Q156" s="184">
        <f>L156+P156+IF(J156=1,'Model Inputs'!$B$26,0)</f>
        <v/>
      </c>
      <c r="R156" s="184">
        <f>IF(J156&lt;=B156,Q156,IF(J156&lt;=B156+$J$18,L156,(SUMIFS($L$51:$L$350,$A$51:$A$350,$A156,$J$51:$J$350,$B156)+SUMIFS($O$51:$O$350,$A$51:$A$350,$A156,$J$51:$J$350,$B156))*C156))</f>
        <v/>
      </c>
      <c r="S156" s="184">
        <f>H156+F156*G156*(1+I156)^MAX(0,J156-MAX(D156,B156+$J$18+1))</f>
        <v/>
      </c>
      <c r="T156" s="184">
        <f>IF(J156&gt;=MAX(D156,B156+$J$18+1),S156,R156)</f>
        <v/>
      </c>
      <c r="U156" s="184">
        <f>MIN(T156,'Tax Assumptions'!$B$19)</f>
        <v/>
      </c>
      <c r="V156" s="184">
        <f>MAX(T156-U156-'Tax Assumptions'!$B$8,0)</f>
        <v/>
      </c>
      <c r="W156" s="184">
        <f>MAX(T156-U156-'Tax Assumptions'!$B$9,0)</f>
        <v/>
      </c>
      <c r="X156" s="184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/>
      </c>
      <c r="Y156" s="184">
        <f>T156-U156-X156</f>
        <v/>
      </c>
      <c r="Z156" s="184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/>
      </c>
      <c r="AA156" s="184">
        <f>Y156-Z156</f>
        <v/>
      </c>
      <c r="AB156" s="184">
        <f>MIN(MAX(AA156,0),'Tax Assumptions'!$B$20)</f>
        <v/>
      </c>
      <c r="AC156" s="184">
        <f>AA156-AB156</f>
        <v/>
      </c>
      <c r="AD156" s="184">
        <f>MAX('Model Inputs'!$B$7*(1+'Model Inputs'!$B$13)+AC156,0)</f>
        <v/>
      </c>
      <c r="AE156" s="184">
        <f>MAX(('Model Inputs'!$B$8+'Model Inputs'!$B$9+'Model Inputs'!$B$10)*(1+'Model Inputs'!$B$13)+U156+AB156,0)</f>
        <v/>
      </c>
      <c r="AF156" s="184">
        <f>AD156+AE156</f>
        <v/>
      </c>
      <c r="AG156" s="191">
        <f>IF(AND(AF156&gt;=$F$14,0&lt;$F$14),J156,"")</f>
        <v/>
      </c>
      <c r="AH156" s="191">
        <f>IF(AND(AF156&gt;=$F$15,0&lt;$F$15),J156,"")</f>
        <v/>
      </c>
      <c r="AI156" s="191">
        <f>IF(AND(AF156&gt;=$F$16,0&lt;$F$16),J156,"")</f>
        <v/>
      </c>
      <c r="AJ156" s="191">
        <f>IF(AND(AF156&gt;=$F$17,0&lt;$F$17),J156,"")</f>
        <v/>
      </c>
    </row>
    <row r="157" outlineLevel="1" ht="18" customHeight="1" s="326">
      <c r="A157" s="181">
        <f>$A$29</f>
        <v/>
      </c>
      <c r="B157" s="191">
        <f>$B$29</f>
        <v/>
      </c>
      <c r="C157" s="187">
        <f>$C$29</f>
        <v/>
      </c>
      <c r="D157" s="191">
        <f>$D$29</f>
        <v/>
      </c>
      <c r="E157" s="181">
        <f>$E$29</f>
        <v/>
      </c>
      <c r="F157" s="184">
        <f>$F$29</f>
        <v/>
      </c>
      <c r="G157" s="188">
        <f>$G$29</f>
        <v/>
      </c>
      <c r="H157" s="184">
        <f>$H$29</f>
        <v/>
      </c>
      <c r="I157" s="188">
        <f>$J$17</f>
        <v/>
      </c>
      <c r="J157" s="191" t="n">
        <v>2</v>
      </c>
      <c r="K157" s="191">
        <f>('Model Inputs'!$B$22-1)+J157</f>
        <v/>
      </c>
      <c r="L157" s="184">
        <f>IF(J157=1,'Model Inputs'!$B$25*(13-'Model Inputs'!$B$23)/12,'Model Inputs'!$B$25)</f>
        <v/>
      </c>
      <c r="M157" s="184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/>
      </c>
      <c r="N157" s="188">
        <f>IF(J157&lt;=2,0,'Model Inputs'!$B$32*SIN(2*PI()*(J157-3+'Model Inputs'!$B$34)/MAX(1,'Model Inputs'!$B$33)))</f>
        <v/>
      </c>
      <c r="O157" s="184">
        <f>M157*(1+N157)</f>
        <v/>
      </c>
      <c r="P157" s="184">
        <f>0.75*O156</f>
        <v/>
      </c>
      <c r="Q157" s="184">
        <f>L157+P157+IF(J157=1,'Model Inputs'!$B$26,0)</f>
        <v/>
      </c>
      <c r="R157" s="184">
        <f>IF(J157&lt;=B157,Q157,IF(J157&lt;=B157+$J$18,L157,(SUMIFS($L$51:$L$350,$A$51:$A$350,$A157,$J$51:$J$350,$B157)+SUMIFS($O$51:$O$350,$A$51:$A$350,$A157,$J$51:$J$350,$B157))*C157))</f>
        <v/>
      </c>
      <c r="S157" s="184">
        <f>H157+F157*G157*(1+I157)^MAX(0,J157-MAX(D157,B157+$J$18+1))</f>
        <v/>
      </c>
      <c r="T157" s="184">
        <f>IF(J157&gt;=MAX(D157,B157+$J$18+1),S157,R157)</f>
        <v/>
      </c>
      <c r="U157" s="184">
        <f>MIN(T157,'Tax Assumptions'!$B$19)</f>
        <v/>
      </c>
      <c r="V157" s="184">
        <f>MAX(T157-U157-'Tax Assumptions'!$B$8,0)</f>
        <v/>
      </c>
      <c r="W157" s="184">
        <f>MAX(T157-U157-'Tax Assumptions'!$B$9,0)</f>
        <v/>
      </c>
      <c r="X157" s="184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/>
      </c>
      <c r="Y157" s="184">
        <f>T157-U157-X157</f>
        <v/>
      </c>
      <c r="Z157" s="184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/>
      </c>
      <c r="AA157" s="184">
        <f>Y157-Z157</f>
        <v/>
      </c>
      <c r="AB157" s="184">
        <f>MIN(MAX(AA157,0),'Tax Assumptions'!$B$20)</f>
        <v/>
      </c>
      <c r="AC157" s="184">
        <f>AA157-AB157</f>
        <v/>
      </c>
      <c r="AD157" s="184">
        <f>MAX(AD156*(1+'Model Inputs'!$B$13)+AC157,0)</f>
        <v/>
      </c>
      <c r="AE157" s="184">
        <f>MAX(AE156*(1+'Model Inputs'!$B$13)+U157+AB157,0)</f>
        <v/>
      </c>
      <c r="AF157" s="184">
        <f>AD157+AE157</f>
        <v/>
      </c>
      <c r="AG157" s="191">
        <f>IF(AND(AF157&gt;=$F$14,AF156&lt;$F$14),J157,"")</f>
        <v/>
      </c>
      <c r="AH157" s="191">
        <f>IF(AND(AF157&gt;=$F$15,AF156&lt;$F$15),J157,"")</f>
        <v/>
      </c>
      <c r="AI157" s="191">
        <f>IF(AND(AF157&gt;=$F$16,AF156&lt;$F$16),J157,"")</f>
        <v/>
      </c>
      <c r="AJ157" s="191">
        <f>IF(AND(AF157&gt;=$F$17,AF156&lt;$F$17),J157,"")</f>
        <v/>
      </c>
    </row>
    <row r="158" outlineLevel="1" ht="18" customHeight="1" s="326">
      <c r="A158" s="181">
        <f>$A$29</f>
        <v/>
      </c>
      <c r="B158" s="191">
        <f>$B$29</f>
        <v/>
      </c>
      <c r="C158" s="187">
        <f>$C$29</f>
        <v/>
      </c>
      <c r="D158" s="191">
        <f>$D$29</f>
        <v/>
      </c>
      <c r="E158" s="181">
        <f>$E$29</f>
        <v/>
      </c>
      <c r="F158" s="184">
        <f>$F$29</f>
        <v/>
      </c>
      <c r="G158" s="188">
        <f>$G$29</f>
        <v/>
      </c>
      <c r="H158" s="184">
        <f>$H$29</f>
        <v/>
      </c>
      <c r="I158" s="188">
        <f>$J$17</f>
        <v/>
      </c>
      <c r="J158" s="191" t="n">
        <v>3</v>
      </c>
      <c r="K158" s="191">
        <f>('Model Inputs'!$B$22-1)+J158</f>
        <v/>
      </c>
      <c r="L158" s="184">
        <f>IF(J158=1,'Model Inputs'!$B$25*(13-'Model Inputs'!$B$23)/12,'Model Inputs'!$B$25)</f>
        <v/>
      </c>
      <c r="M158" s="184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/>
      </c>
      <c r="N158" s="188">
        <f>IF(J158&lt;=2,0,'Model Inputs'!$B$32*SIN(2*PI()*(J158-3+'Model Inputs'!$B$34)/MAX(1,'Model Inputs'!$B$33)))</f>
        <v/>
      </c>
      <c r="O158" s="184">
        <f>M158*(1+N158)</f>
        <v/>
      </c>
      <c r="P158" s="184">
        <f>0.75*O157+0.25*O156</f>
        <v/>
      </c>
      <c r="Q158" s="184">
        <f>L158+P158+IF(J158=1,'Model Inputs'!$B$26,0)</f>
        <v/>
      </c>
      <c r="R158" s="184">
        <f>IF(J158&lt;=B158,Q158,IF(J158&lt;=B158+$J$18,L158,(SUMIFS($L$51:$L$350,$A$51:$A$350,$A158,$J$51:$J$350,$B158)+SUMIFS($O$51:$O$350,$A$51:$A$350,$A158,$J$51:$J$350,$B158))*C158))</f>
        <v/>
      </c>
      <c r="S158" s="184">
        <f>H158+F158*G158*(1+I158)^MAX(0,J158-MAX(D158,B158+$J$18+1))</f>
        <v/>
      </c>
      <c r="T158" s="184">
        <f>IF(J158&gt;=MAX(D158,B158+$J$18+1),S158,R158)</f>
        <v/>
      </c>
      <c r="U158" s="184">
        <f>MIN(T158,'Tax Assumptions'!$B$19)</f>
        <v/>
      </c>
      <c r="V158" s="184">
        <f>MAX(T158-U158-'Tax Assumptions'!$B$8,0)</f>
        <v/>
      </c>
      <c r="W158" s="184">
        <f>MAX(T158-U158-'Tax Assumptions'!$B$9,0)</f>
        <v/>
      </c>
      <c r="X158" s="184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/>
      </c>
      <c r="Y158" s="184">
        <f>T158-U158-X158</f>
        <v/>
      </c>
      <c r="Z158" s="184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/>
      </c>
      <c r="AA158" s="184">
        <f>Y158-Z158</f>
        <v/>
      </c>
      <c r="AB158" s="184">
        <f>MIN(MAX(AA158,0),'Tax Assumptions'!$B$20)</f>
        <v/>
      </c>
      <c r="AC158" s="184">
        <f>AA158-AB158</f>
        <v/>
      </c>
      <c r="AD158" s="184">
        <f>MAX(AD157*(1+'Model Inputs'!$B$13)+AC158,0)</f>
        <v/>
      </c>
      <c r="AE158" s="184">
        <f>MAX(AE157*(1+'Model Inputs'!$B$13)+U158+AB158,0)</f>
        <v/>
      </c>
      <c r="AF158" s="184">
        <f>AD158+AE158</f>
        <v/>
      </c>
      <c r="AG158" s="191">
        <f>IF(AND(AF158&gt;=$F$14,AF157&lt;$F$14),J158,"")</f>
        <v/>
      </c>
      <c r="AH158" s="191">
        <f>IF(AND(AF158&gt;=$F$15,AF157&lt;$F$15),J158,"")</f>
        <v/>
      </c>
      <c r="AI158" s="191">
        <f>IF(AND(AF158&gt;=$F$16,AF157&lt;$F$16),J158,"")</f>
        <v/>
      </c>
      <c r="AJ158" s="191">
        <f>IF(AND(AF158&gt;=$F$17,AF157&lt;$F$17),J158,"")</f>
        <v/>
      </c>
    </row>
    <row r="159" outlineLevel="1" ht="18" customHeight="1" s="326">
      <c r="A159" s="181">
        <f>$A$29</f>
        <v/>
      </c>
      <c r="B159" s="191">
        <f>$B$29</f>
        <v/>
      </c>
      <c r="C159" s="187">
        <f>$C$29</f>
        <v/>
      </c>
      <c r="D159" s="191">
        <f>$D$29</f>
        <v/>
      </c>
      <c r="E159" s="181">
        <f>$E$29</f>
        <v/>
      </c>
      <c r="F159" s="184">
        <f>$F$29</f>
        <v/>
      </c>
      <c r="G159" s="188">
        <f>$G$29</f>
        <v/>
      </c>
      <c r="H159" s="184">
        <f>$H$29</f>
        <v/>
      </c>
      <c r="I159" s="188">
        <f>$J$17</f>
        <v/>
      </c>
      <c r="J159" s="191" t="n">
        <v>4</v>
      </c>
      <c r="K159" s="191">
        <f>('Model Inputs'!$B$22-1)+J159</f>
        <v/>
      </c>
      <c r="L159" s="184">
        <f>IF(J159=1,'Model Inputs'!$B$25*(13-'Model Inputs'!$B$23)/12,'Model Inputs'!$B$25)</f>
        <v/>
      </c>
      <c r="M159" s="184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/>
      </c>
      <c r="N159" s="188">
        <f>IF(J159&lt;=2,0,'Model Inputs'!$B$32*SIN(2*PI()*(J159-3+'Model Inputs'!$B$34)/MAX(1,'Model Inputs'!$B$33)))</f>
        <v/>
      </c>
      <c r="O159" s="184">
        <f>M159*(1+N159)</f>
        <v/>
      </c>
      <c r="P159" s="184">
        <f>0.75*O158+0.25*O157</f>
        <v/>
      </c>
      <c r="Q159" s="184">
        <f>L159+P159+IF(J159=1,'Model Inputs'!$B$26,0)</f>
        <v/>
      </c>
      <c r="R159" s="184">
        <f>IF(J159&lt;=B159,Q159,IF(J159&lt;=B159+$J$18,L159,(SUMIFS($L$51:$L$350,$A$51:$A$350,$A159,$J$51:$J$350,$B159)+SUMIFS($O$51:$O$350,$A$51:$A$350,$A159,$J$51:$J$350,$B159))*C159))</f>
        <v/>
      </c>
      <c r="S159" s="184">
        <f>H159+F159*G159*(1+I159)^MAX(0,J159-MAX(D159,B159+$J$18+1))</f>
        <v/>
      </c>
      <c r="T159" s="184">
        <f>IF(J159&gt;=MAX(D159,B159+$J$18+1),S159,R159)</f>
        <v/>
      </c>
      <c r="U159" s="184">
        <f>MIN(T159,'Tax Assumptions'!$B$19)</f>
        <v/>
      </c>
      <c r="V159" s="184">
        <f>MAX(T159-U159-'Tax Assumptions'!$B$8,0)</f>
        <v/>
      </c>
      <c r="W159" s="184">
        <f>MAX(T159-U159-'Tax Assumptions'!$B$9,0)</f>
        <v/>
      </c>
      <c r="X159" s="184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/>
      </c>
      <c r="Y159" s="184">
        <f>T159-U159-X159</f>
        <v/>
      </c>
      <c r="Z159" s="184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/>
      </c>
      <c r="AA159" s="184">
        <f>Y159-Z159</f>
        <v/>
      </c>
      <c r="AB159" s="184">
        <f>MIN(MAX(AA159,0),'Tax Assumptions'!$B$20)</f>
        <v/>
      </c>
      <c r="AC159" s="184">
        <f>AA159-AB159</f>
        <v/>
      </c>
      <c r="AD159" s="184">
        <f>MAX(AD158*(1+'Model Inputs'!$B$13)+AC159,0)</f>
        <v/>
      </c>
      <c r="AE159" s="184">
        <f>MAX(AE158*(1+'Model Inputs'!$B$13)+U159+AB159,0)</f>
        <v/>
      </c>
      <c r="AF159" s="184">
        <f>AD159+AE159</f>
        <v/>
      </c>
      <c r="AG159" s="191">
        <f>IF(AND(AF159&gt;=$F$14,AF158&lt;$F$14),J159,"")</f>
        <v/>
      </c>
      <c r="AH159" s="191">
        <f>IF(AND(AF159&gt;=$F$15,AF158&lt;$F$15),J159,"")</f>
        <v/>
      </c>
      <c r="AI159" s="191">
        <f>IF(AND(AF159&gt;=$F$16,AF158&lt;$F$16),J159,"")</f>
        <v/>
      </c>
      <c r="AJ159" s="191">
        <f>IF(AND(AF159&gt;=$F$17,AF158&lt;$F$17),J159,"")</f>
        <v/>
      </c>
    </row>
    <row r="160" outlineLevel="1" ht="18" customHeight="1" s="326">
      <c r="A160" s="181">
        <f>$A$29</f>
        <v/>
      </c>
      <c r="B160" s="191">
        <f>$B$29</f>
        <v/>
      </c>
      <c r="C160" s="187">
        <f>$C$29</f>
        <v/>
      </c>
      <c r="D160" s="191">
        <f>$D$29</f>
        <v/>
      </c>
      <c r="E160" s="181">
        <f>$E$29</f>
        <v/>
      </c>
      <c r="F160" s="184">
        <f>$F$29</f>
        <v/>
      </c>
      <c r="G160" s="188">
        <f>$G$29</f>
        <v/>
      </c>
      <c r="H160" s="184">
        <f>$H$29</f>
        <v/>
      </c>
      <c r="I160" s="188">
        <f>$J$17</f>
        <v/>
      </c>
      <c r="J160" s="191" t="n">
        <v>5</v>
      </c>
      <c r="K160" s="191">
        <f>('Model Inputs'!$B$22-1)+J160</f>
        <v/>
      </c>
      <c r="L160" s="184">
        <f>IF(J160=1,'Model Inputs'!$B$25*(13-'Model Inputs'!$B$23)/12,'Model Inputs'!$B$25)</f>
        <v/>
      </c>
      <c r="M160" s="184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/>
      </c>
      <c r="N160" s="188">
        <f>IF(J160&lt;=2,0,'Model Inputs'!$B$32*SIN(2*PI()*(J160-3+'Model Inputs'!$B$34)/MAX(1,'Model Inputs'!$B$33)))</f>
        <v/>
      </c>
      <c r="O160" s="184">
        <f>M160*(1+N160)</f>
        <v/>
      </c>
      <c r="P160" s="184">
        <f>0.75*O159+0.25*O158</f>
        <v/>
      </c>
      <c r="Q160" s="184">
        <f>L160+P160+IF(J160=1,'Model Inputs'!$B$26,0)</f>
        <v/>
      </c>
      <c r="R160" s="184">
        <f>IF(J160&lt;=B160,Q160,IF(J160&lt;=B160+$J$18,L160,(SUMIFS($L$51:$L$350,$A$51:$A$350,$A160,$J$51:$J$350,$B160)+SUMIFS($O$51:$O$350,$A$51:$A$350,$A160,$J$51:$J$350,$B160))*C160))</f>
        <v/>
      </c>
      <c r="S160" s="184">
        <f>H160+F160*G160*(1+I160)^MAX(0,J160-MAX(D160,B160+$J$18+1))</f>
        <v/>
      </c>
      <c r="T160" s="184">
        <f>IF(J160&gt;=MAX(D160,B160+$J$18+1),S160,R160)</f>
        <v/>
      </c>
      <c r="U160" s="184">
        <f>MIN(T160,'Tax Assumptions'!$B$19)</f>
        <v/>
      </c>
      <c r="V160" s="184">
        <f>MAX(T160-U160-'Tax Assumptions'!$B$8,0)</f>
        <v/>
      </c>
      <c r="W160" s="184">
        <f>MAX(T160-U160-'Tax Assumptions'!$B$9,0)</f>
        <v/>
      </c>
      <c r="X160" s="184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/>
      </c>
      <c r="Y160" s="184">
        <f>T160-U160-X160</f>
        <v/>
      </c>
      <c r="Z160" s="184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/>
      </c>
      <c r="AA160" s="184">
        <f>Y160-Z160</f>
        <v/>
      </c>
      <c r="AB160" s="184">
        <f>MIN(MAX(AA160,0),'Tax Assumptions'!$B$20)</f>
        <v/>
      </c>
      <c r="AC160" s="184">
        <f>AA160-AB160</f>
        <v/>
      </c>
      <c r="AD160" s="184">
        <f>MAX(AD159*(1+'Model Inputs'!$B$13)+AC160,0)</f>
        <v/>
      </c>
      <c r="AE160" s="184">
        <f>MAX(AE159*(1+'Model Inputs'!$B$13)+U160+AB160,0)</f>
        <v/>
      </c>
      <c r="AF160" s="184">
        <f>AD160+AE160</f>
        <v/>
      </c>
      <c r="AG160" s="191">
        <f>IF(AND(AF160&gt;=$F$14,AF159&lt;$F$14),J160,"")</f>
        <v/>
      </c>
      <c r="AH160" s="191">
        <f>IF(AND(AF160&gt;=$F$15,AF159&lt;$F$15),J160,"")</f>
        <v/>
      </c>
      <c r="AI160" s="191">
        <f>IF(AND(AF160&gt;=$F$16,AF159&lt;$F$16),J160,"")</f>
        <v/>
      </c>
      <c r="AJ160" s="191">
        <f>IF(AND(AF160&gt;=$F$17,AF159&lt;$F$17),J160,"")</f>
        <v/>
      </c>
    </row>
    <row r="161" outlineLevel="1" ht="18" customHeight="1" s="326">
      <c r="A161" s="181">
        <f>$A$29</f>
        <v/>
      </c>
      <c r="B161" s="191">
        <f>$B$29</f>
        <v/>
      </c>
      <c r="C161" s="187">
        <f>$C$29</f>
        <v/>
      </c>
      <c r="D161" s="191">
        <f>$D$29</f>
        <v/>
      </c>
      <c r="E161" s="181">
        <f>$E$29</f>
        <v/>
      </c>
      <c r="F161" s="184">
        <f>$F$29</f>
        <v/>
      </c>
      <c r="G161" s="188">
        <f>$G$29</f>
        <v/>
      </c>
      <c r="H161" s="184">
        <f>$H$29</f>
        <v/>
      </c>
      <c r="I161" s="188">
        <f>$J$17</f>
        <v/>
      </c>
      <c r="J161" s="191" t="n">
        <v>6</v>
      </c>
      <c r="K161" s="191">
        <f>('Model Inputs'!$B$22-1)+J161</f>
        <v/>
      </c>
      <c r="L161" s="184">
        <f>IF(J161=1,'Model Inputs'!$B$25*(13-'Model Inputs'!$B$23)/12,'Model Inputs'!$B$25)</f>
        <v/>
      </c>
      <c r="M161" s="184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/>
      </c>
      <c r="N161" s="188">
        <f>IF(J161&lt;=2,0,'Model Inputs'!$B$32*SIN(2*PI()*(J161-3+'Model Inputs'!$B$34)/MAX(1,'Model Inputs'!$B$33)))</f>
        <v/>
      </c>
      <c r="O161" s="184">
        <f>M161*(1+N161)</f>
        <v/>
      </c>
      <c r="P161" s="184">
        <f>0.75*O160+0.25*O159</f>
        <v/>
      </c>
      <c r="Q161" s="184">
        <f>L161+P161+IF(J161=1,'Model Inputs'!$B$26,0)</f>
        <v/>
      </c>
      <c r="R161" s="184">
        <f>IF(J161&lt;=B161,Q161,IF(J161&lt;=B161+$J$18,L161,(SUMIFS($L$51:$L$350,$A$51:$A$350,$A161,$J$51:$J$350,$B161)+SUMIFS($O$51:$O$350,$A$51:$A$350,$A161,$J$51:$J$350,$B161))*C161))</f>
        <v/>
      </c>
      <c r="S161" s="184">
        <f>H161+F161*G161*(1+I161)^MAX(0,J161-MAX(D161,B161+$J$18+1))</f>
        <v/>
      </c>
      <c r="T161" s="184">
        <f>IF(J161&gt;=MAX(D161,B161+$J$18+1),S161,R161)</f>
        <v/>
      </c>
      <c r="U161" s="184">
        <f>MIN(T161,'Tax Assumptions'!$B$19)</f>
        <v/>
      </c>
      <c r="V161" s="184">
        <f>MAX(T161-U161-'Tax Assumptions'!$B$8,0)</f>
        <v/>
      </c>
      <c r="W161" s="184">
        <f>MAX(T161-U161-'Tax Assumptions'!$B$9,0)</f>
        <v/>
      </c>
      <c r="X161" s="184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/>
      </c>
      <c r="Y161" s="184">
        <f>T161-U161-X161</f>
        <v/>
      </c>
      <c r="Z161" s="184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/>
      </c>
      <c r="AA161" s="184">
        <f>Y161-Z161</f>
        <v/>
      </c>
      <c r="AB161" s="184">
        <f>MIN(MAX(AA161,0),'Tax Assumptions'!$B$20)</f>
        <v/>
      </c>
      <c r="AC161" s="184">
        <f>AA161-AB161</f>
        <v/>
      </c>
      <c r="AD161" s="184">
        <f>MAX(AD160*(1+'Model Inputs'!$B$13)+AC161,0)</f>
        <v/>
      </c>
      <c r="AE161" s="184">
        <f>MAX(AE160*(1+'Model Inputs'!$B$13)+U161+AB161,0)</f>
        <v/>
      </c>
      <c r="AF161" s="184">
        <f>AD161+AE161</f>
        <v/>
      </c>
      <c r="AG161" s="191">
        <f>IF(AND(AF161&gt;=$F$14,AF160&lt;$F$14),J161,"")</f>
        <v/>
      </c>
      <c r="AH161" s="191">
        <f>IF(AND(AF161&gt;=$F$15,AF160&lt;$F$15),J161,"")</f>
        <v/>
      </c>
      <c r="AI161" s="191">
        <f>IF(AND(AF161&gt;=$F$16,AF160&lt;$F$16),J161,"")</f>
        <v/>
      </c>
      <c r="AJ161" s="191">
        <f>IF(AND(AF161&gt;=$F$17,AF160&lt;$F$17),J161,"")</f>
        <v/>
      </c>
    </row>
    <row r="162" outlineLevel="1" ht="18" customHeight="1" s="326">
      <c r="A162" s="181">
        <f>$A$29</f>
        <v/>
      </c>
      <c r="B162" s="191">
        <f>$B$29</f>
        <v/>
      </c>
      <c r="C162" s="187">
        <f>$C$29</f>
        <v/>
      </c>
      <c r="D162" s="191">
        <f>$D$29</f>
        <v/>
      </c>
      <c r="E162" s="181">
        <f>$E$29</f>
        <v/>
      </c>
      <c r="F162" s="184">
        <f>$F$29</f>
        <v/>
      </c>
      <c r="G162" s="188">
        <f>$G$29</f>
        <v/>
      </c>
      <c r="H162" s="184">
        <f>$H$29</f>
        <v/>
      </c>
      <c r="I162" s="188">
        <f>$J$17</f>
        <v/>
      </c>
      <c r="J162" s="191" t="n">
        <v>7</v>
      </c>
      <c r="K162" s="191">
        <f>('Model Inputs'!$B$22-1)+J162</f>
        <v/>
      </c>
      <c r="L162" s="184">
        <f>IF(J162=1,'Model Inputs'!$B$25*(13-'Model Inputs'!$B$23)/12,'Model Inputs'!$B$25)</f>
        <v/>
      </c>
      <c r="M162" s="184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/>
      </c>
      <c r="N162" s="188">
        <f>IF(J162&lt;=2,0,'Model Inputs'!$B$32*SIN(2*PI()*(J162-3+'Model Inputs'!$B$34)/MAX(1,'Model Inputs'!$B$33)))</f>
        <v/>
      </c>
      <c r="O162" s="184">
        <f>M162*(1+N162)</f>
        <v/>
      </c>
      <c r="P162" s="184">
        <f>0.75*O161+0.25*O160</f>
        <v/>
      </c>
      <c r="Q162" s="184">
        <f>L162+P162+IF(J162=1,'Model Inputs'!$B$26,0)</f>
        <v/>
      </c>
      <c r="R162" s="184">
        <f>IF(J162&lt;=B162,Q162,IF(J162&lt;=B162+$J$18,L162,(SUMIFS($L$51:$L$350,$A$51:$A$350,$A162,$J$51:$J$350,$B162)+SUMIFS($O$51:$O$350,$A$51:$A$350,$A162,$J$51:$J$350,$B162))*C162))</f>
        <v/>
      </c>
      <c r="S162" s="184">
        <f>H162+F162*G162*(1+I162)^MAX(0,J162-MAX(D162,B162+$J$18+1))</f>
        <v/>
      </c>
      <c r="T162" s="184">
        <f>IF(J162&gt;=MAX(D162,B162+$J$18+1),S162,R162)</f>
        <v/>
      </c>
      <c r="U162" s="184">
        <f>MIN(T162,'Tax Assumptions'!$B$19)</f>
        <v/>
      </c>
      <c r="V162" s="184">
        <f>MAX(T162-U162-'Tax Assumptions'!$B$8,0)</f>
        <v/>
      </c>
      <c r="W162" s="184">
        <f>MAX(T162-U162-'Tax Assumptions'!$B$9,0)</f>
        <v/>
      </c>
      <c r="X162" s="184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/>
      </c>
      <c r="Y162" s="184">
        <f>T162-U162-X162</f>
        <v/>
      </c>
      <c r="Z162" s="184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/>
      </c>
      <c r="AA162" s="184">
        <f>Y162-Z162</f>
        <v/>
      </c>
      <c r="AB162" s="184">
        <f>MIN(MAX(AA162,0),'Tax Assumptions'!$B$20)</f>
        <v/>
      </c>
      <c r="AC162" s="184">
        <f>AA162-AB162</f>
        <v/>
      </c>
      <c r="AD162" s="184">
        <f>MAX(AD161*(1+'Model Inputs'!$B$13)+AC162,0)</f>
        <v/>
      </c>
      <c r="AE162" s="184">
        <f>MAX(AE161*(1+'Model Inputs'!$B$13)+U162+AB162,0)</f>
        <v/>
      </c>
      <c r="AF162" s="184">
        <f>AD162+AE162</f>
        <v/>
      </c>
      <c r="AG162" s="191">
        <f>IF(AND(AF162&gt;=$F$14,AF161&lt;$F$14),J162,"")</f>
        <v/>
      </c>
      <c r="AH162" s="191">
        <f>IF(AND(AF162&gt;=$F$15,AF161&lt;$F$15),J162,"")</f>
        <v/>
      </c>
      <c r="AI162" s="191">
        <f>IF(AND(AF162&gt;=$F$16,AF161&lt;$F$16),J162,"")</f>
        <v/>
      </c>
      <c r="AJ162" s="191">
        <f>IF(AND(AF162&gt;=$F$17,AF161&lt;$F$17),J162,"")</f>
        <v/>
      </c>
    </row>
    <row r="163" outlineLevel="1" ht="18" customHeight="1" s="326">
      <c r="A163" s="181">
        <f>$A$29</f>
        <v/>
      </c>
      <c r="B163" s="191">
        <f>$B$29</f>
        <v/>
      </c>
      <c r="C163" s="187">
        <f>$C$29</f>
        <v/>
      </c>
      <c r="D163" s="191">
        <f>$D$29</f>
        <v/>
      </c>
      <c r="E163" s="181">
        <f>$E$29</f>
        <v/>
      </c>
      <c r="F163" s="184">
        <f>$F$29</f>
        <v/>
      </c>
      <c r="G163" s="188">
        <f>$G$29</f>
        <v/>
      </c>
      <c r="H163" s="184">
        <f>$H$29</f>
        <v/>
      </c>
      <c r="I163" s="188">
        <f>$J$17</f>
        <v/>
      </c>
      <c r="J163" s="191" t="n">
        <v>8</v>
      </c>
      <c r="K163" s="191">
        <f>('Model Inputs'!$B$22-1)+J163</f>
        <v/>
      </c>
      <c r="L163" s="184">
        <f>IF(J163=1,'Model Inputs'!$B$25*(13-'Model Inputs'!$B$23)/12,'Model Inputs'!$B$25)</f>
        <v/>
      </c>
      <c r="M163" s="184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/>
      </c>
      <c r="N163" s="188">
        <f>IF(J163&lt;=2,0,'Model Inputs'!$B$32*SIN(2*PI()*(J163-3+'Model Inputs'!$B$34)/MAX(1,'Model Inputs'!$B$33)))</f>
        <v/>
      </c>
      <c r="O163" s="184">
        <f>M163*(1+N163)</f>
        <v/>
      </c>
      <c r="P163" s="184">
        <f>0.75*O162+0.25*O161</f>
        <v/>
      </c>
      <c r="Q163" s="184">
        <f>L163+P163+IF(J163=1,'Model Inputs'!$B$26,0)</f>
        <v/>
      </c>
      <c r="R163" s="184">
        <f>IF(J163&lt;=B163,Q163,IF(J163&lt;=B163+$J$18,L163,(SUMIFS($L$51:$L$350,$A$51:$A$350,$A163,$J$51:$J$350,$B163)+SUMIFS($O$51:$O$350,$A$51:$A$350,$A163,$J$51:$J$350,$B163))*C163))</f>
        <v/>
      </c>
      <c r="S163" s="184">
        <f>H163+F163*G163*(1+I163)^MAX(0,J163-MAX(D163,B163+$J$18+1))</f>
        <v/>
      </c>
      <c r="T163" s="184">
        <f>IF(J163&gt;=MAX(D163,B163+$J$18+1),S163,R163)</f>
        <v/>
      </c>
      <c r="U163" s="184">
        <f>MIN(T163,'Tax Assumptions'!$B$19)</f>
        <v/>
      </c>
      <c r="V163" s="184">
        <f>MAX(T163-U163-'Tax Assumptions'!$B$8,0)</f>
        <v/>
      </c>
      <c r="W163" s="184">
        <f>MAX(T163-U163-'Tax Assumptions'!$B$9,0)</f>
        <v/>
      </c>
      <c r="X163" s="184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/>
      </c>
      <c r="Y163" s="184">
        <f>T163-U163-X163</f>
        <v/>
      </c>
      <c r="Z163" s="184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/>
      </c>
      <c r="AA163" s="184">
        <f>Y163-Z163</f>
        <v/>
      </c>
      <c r="AB163" s="184">
        <f>MIN(MAX(AA163,0),'Tax Assumptions'!$B$20)</f>
        <v/>
      </c>
      <c r="AC163" s="184">
        <f>AA163-AB163</f>
        <v/>
      </c>
      <c r="AD163" s="184">
        <f>MAX(AD162*(1+'Model Inputs'!$B$13)+AC163,0)</f>
        <v/>
      </c>
      <c r="AE163" s="184">
        <f>MAX(AE162*(1+'Model Inputs'!$B$13)+U163+AB163,0)</f>
        <v/>
      </c>
      <c r="AF163" s="184">
        <f>AD163+AE163</f>
        <v/>
      </c>
      <c r="AG163" s="191">
        <f>IF(AND(AF163&gt;=$F$14,AF162&lt;$F$14),J163,"")</f>
        <v/>
      </c>
      <c r="AH163" s="191">
        <f>IF(AND(AF163&gt;=$F$15,AF162&lt;$F$15),J163,"")</f>
        <v/>
      </c>
      <c r="AI163" s="191">
        <f>IF(AND(AF163&gt;=$F$16,AF162&lt;$F$16),J163,"")</f>
        <v/>
      </c>
      <c r="AJ163" s="191">
        <f>IF(AND(AF163&gt;=$F$17,AF162&lt;$F$17),J163,"")</f>
        <v/>
      </c>
    </row>
    <row r="164" outlineLevel="1" ht="18" customHeight="1" s="326">
      <c r="A164" s="181">
        <f>$A$29</f>
        <v/>
      </c>
      <c r="B164" s="191">
        <f>$B$29</f>
        <v/>
      </c>
      <c r="C164" s="187">
        <f>$C$29</f>
        <v/>
      </c>
      <c r="D164" s="191">
        <f>$D$29</f>
        <v/>
      </c>
      <c r="E164" s="181">
        <f>$E$29</f>
        <v/>
      </c>
      <c r="F164" s="184">
        <f>$F$29</f>
        <v/>
      </c>
      <c r="G164" s="188">
        <f>$G$29</f>
        <v/>
      </c>
      <c r="H164" s="184">
        <f>$H$29</f>
        <v/>
      </c>
      <c r="I164" s="188">
        <f>$J$17</f>
        <v/>
      </c>
      <c r="J164" s="191" t="n">
        <v>9</v>
      </c>
      <c r="K164" s="191">
        <f>('Model Inputs'!$B$22-1)+J164</f>
        <v/>
      </c>
      <c r="L164" s="184">
        <f>IF(J164=1,'Model Inputs'!$B$25*(13-'Model Inputs'!$B$23)/12,'Model Inputs'!$B$25)</f>
        <v/>
      </c>
      <c r="M164" s="184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/>
      </c>
      <c r="N164" s="188">
        <f>IF(J164&lt;=2,0,'Model Inputs'!$B$32*SIN(2*PI()*(J164-3+'Model Inputs'!$B$34)/MAX(1,'Model Inputs'!$B$33)))</f>
        <v/>
      </c>
      <c r="O164" s="184">
        <f>M164*(1+N164)</f>
        <v/>
      </c>
      <c r="P164" s="184">
        <f>0.75*O163+0.25*O162</f>
        <v/>
      </c>
      <c r="Q164" s="184">
        <f>L164+P164+IF(J164=1,'Model Inputs'!$B$26,0)</f>
        <v/>
      </c>
      <c r="R164" s="184">
        <f>IF(J164&lt;=B164,Q164,IF(J164&lt;=B164+$J$18,L164,(SUMIFS($L$51:$L$350,$A$51:$A$350,$A164,$J$51:$J$350,$B164)+SUMIFS($O$51:$O$350,$A$51:$A$350,$A164,$J$51:$J$350,$B164))*C164))</f>
        <v/>
      </c>
      <c r="S164" s="184">
        <f>H164+F164*G164*(1+I164)^MAX(0,J164-MAX(D164,B164+$J$18+1))</f>
        <v/>
      </c>
      <c r="T164" s="184">
        <f>IF(J164&gt;=MAX(D164,B164+$J$18+1),S164,R164)</f>
        <v/>
      </c>
      <c r="U164" s="184">
        <f>MIN(T164,'Tax Assumptions'!$B$19)</f>
        <v/>
      </c>
      <c r="V164" s="184">
        <f>MAX(T164-U164-'Tax Assumptions'!$B$8,0)</f>
        <v/>
      </c>
      <c r="W164" s="184">
        <f>MAX(T164-U164-'Tax Assumptions'!$B$9,0)</f>
        <v/>
      </c>
      <c r="X164" s="184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/>
      </c>
      <c r="Y164" s="184">
        <f>T164-U164-X164</f>
        <v/>
      </c>
      <c r="Z164" s="184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/>
      </c>
      <c r="AA164" s="184">
        <f>Y164-Z164</f>
        <v/>
      </c>
      <c r="AB164" s="184">
        <f>MIN(MAX(AA164,0),'Tax Assumptions'!$B$20)</f>
        <v/>
      </c>
      <c r="AC164" s="184">
        <f>AA164-AB164</f>
        <v/>
      </c>
      <c r="AD164" s="184">
        <f>MAX(AD163*(1+'Model Inputs'!$B$13)+AC164,0)</f>
        <v/>
      </c>
      <c r="AE164" s="184">
        <f>MAX(AE163*(1+'Model Inputs'!$B$13)+U164+AB164,0)</f>
        <v/>
      </c>
      <c r="AF164" s="184">
        <f>AD164+AE164</f>
        <v/>
      </c>
      <c r="AG164" s="191">
        <f>IF(AND(AF164&gt;=$F$14,AF163&lt;$F$14),J164,"")</f>
        <v/>
      </c>
      <c r="AH164" s="191">
        <f>IF(AND(AF164&gt;=$F$15,AF163&lt;$F$15),J164,"")</f>
        <v/>
      </c>
      <c r="AI164" s="191">
        <f>IF(AND(AF164&gt;=$F$16,AF163&lt;$F$16),J164,"")</f>
        <v/>
      </c>
      <c r="AJ164" s="191">
        <f>IF(AND(AF164&gt;=$F$17,AF163&lt;$F$17),J164,"")</f>
        <v/>
      </c>
    </row>
    <row r="165" outlineLevel="1" ht="18" customHeight="1" s="326">
      <c r="A165" s="181">
        <f>$A$29</f>
        <v/>
      </c>
      <c r="B165" s="191">
        <f>$B$29</f>
        <v/>
      </c>
      <c r="C165" s="187">
        <f>$C$29</f>
        <v/>
      </c>
      <c r="D165" s="191">
        <f>$D$29</f>
        <v/>
      </c>
      <c r="E165" s="181">
        <f>$E$29</f>
        <v/>
      </c>
      <c r="F165" s="184">
        <f>$F$29</f>
        <v/>
      </c>
      <c r="G165" s="188">
        <f>$G$29</f>
        <v/>
      </c>
      <c r="H165" s="184">
        <f>$H$29</f>
        <v/>
      </c>
      <c r="I165" s="188">
        <f>$J$17</f>
        <v/>
      </c>
      <c r="J165" s="191" t="n">
        <v>10</v>
      </c>
      <c r="K165" s="191">
        <f>('Model Inputs'!$B$22-1)+J165</f>
        <v/>
      </c>
      <c r="L165" s="184">
        <f>IF(J165=1,'Model Inputs'!$B$25*(13-'Model Inputs'!$B$23)/12,'Model Inputs'!$B$25)</f>
        <v/>
      </c>
      <c r="M165" s="184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/>
      </c>
      <c r="N165" s="188">
        <f>IF(J165&lt;=2,0,'Model Inputs'!$B$32*SIN(2*PI()*(J165-3+'Model Inputs'!$B$34)/MAX(1,'Model Inputs'!$B$33)))</f>
        <v/>
      </c>
      <c r="O165" s="184">
        <f>M165*(1+N165)</f>
        <v/>
      </c>
      <c r="P165" s="184">
        <f>0.75*O164+0.25*O163</f>
        <v/>
      </c>
      <c r="Q165" s="184">
        <f>L165+P165+IF(J165=1,'Model Inputs'!$B$26,0)</f>
        <v/>
      </c>
      <c r="R165" s="184">
        <f>IF(J165&lt;=B165,Q165,IF(J165&lt;=B165+$J$18,L165,(SUMIFS($L$51:$L$350,$A$51:$A$350,$A165,$J$51:$J$350,$B165)+SUMIFS($O$51:$O$350,$A$51:$A$350,$A165,$J$51:$J$350,$B165))*C165))</f>
        <v/>
      </c>
      <c r="S165" s="184">
        <f>H165+F165*G165*(1+I165)^MAX(0,J165-MAX(D165,B165+$J$18+1))</f>
        <v/>
      </c>
      <c r="T165" s="184">
        <f>IF(J165&gt;=MAX(D165,B165+$J$18+1),S165,R165)</f>
        <v/>
      </c>
      <c r="U165" s="184">
        <f>MIN(T165,'Tax Assumptions'!$B$19)</f>
        <v/>
      </c>
      <c r="V165" s="184">
        <f>MAX(T165-U165-'Tax Assumptions'!$B$8,0)</f>
        <v/>
      </c>
      <c r="W165" s="184">
        <f>MAX(T165-U165-'Tax Assumptions'!$B$9,0)</f>
        <v/>
      </c>
      <c r="X165" s="184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/>
      </c>
      <c r="Y165" s="184">
        <f>T165-U165-X165</f>
        <v/>
      </c>
      <c r="Z165" s="184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/>
      </c>
      <c r="AA165" s="184">
        <f>Y165-Z165</f>
        <v/>
      </c>
      <c r="AB165" s="184">
        <f>MIN(MAX(AA165,0),'Tax Assumptions'!$B$20)</f>
        <v/>
      </c>
      <c r="AC165" s="184">
        <f>AA165-AB165</f>
        <v/>
      </c>
      <c r="AD165" s="184">
        <f>MAX(AD164*(1+'Model Inputs'!$B$13)+AC165,0)</f>
        <v/>
      </c>
      <c r="AE165" s="184">
        <f>MAX(AE164*(1+'Model Inputs'!$B$13)+U165+AB165,0)</f>
        <v/>
      </c>
      <c r="AF165" s="184">
        <f>AD165+AE165</f>
        <v/>
      </c>
      <c r="AG165" s="191">
        <f>IF(AND(AF165&gt;=$F$14,AF164&lt;$F$14),J165,"")</f>
        <v/>
      </c>
      <c r="AH165" s="191">
        <f>IF(AND(AF165&gt;=$F$15,AF164&lt;$F$15),J165,"")</f>
        <v/>
      </c>
      <c r="AI165" s="191">
        <f>IF(AND(AF165&gt;=$F$16,AF164&lt;$F$16),J165,"")</f>
        <v/>
      </c>
      <c r="AJ165" s="191">
        <f>IF(AND(AF165&gt;=$F$17,AF164&lt;$F$17),J165,"")</f>
        <v/>
      </c>
    </row>
    <row r="166" outlineLevel="1" ht="18" customHeight="1" s="326">
      <c r="A166" s="181">
        <f>$A$29</f>
        <v/>
      </c>
      <c r="B166" s="191">
        <f>$B$29</f>
        <v/>
      </c>
      <c r="C166" s="187">
        <f>$C$29</f>
        <v/>
      </c>
      <c r="D166" s="191">
        <f>$D$29</f>
        <v/>
      </c>
      <c r="E166" s="181">
        <f>$E$29</f>
        <v/>
      </c>
      <c r="F166" s="184">
        <f>$F$29</f>
        <v/>
      </c>
      <c r="G166" s="188">
        <f>$G$29</f>
        <v/>
      </c>
      <c r="H166" s="184">
        <f>$H$29</f>
        <v/>
      </c>
      <c r="I166" s="188">
        <f>$J$17</f>
        <v/>
      </c>
      <c r="J166" s="191" t="n">
        <v>11</v>
      </c>
      <c r="K166" s="191">
        <f>('Model Inputs'!$B$22-1)+J166</f>
        <v/>
      </c>
      <c r="L166" s="184">
        <f>IF(J166=1,'Model Inputs'!$B$25*(13-'Model Inputs'!$B$23)/12,'Model Inputs'!$B$25)</f>
        <v/>
      </c>
      <c r="M166" s="184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/>
      </c>
      <c r="N166" s="188">
        <f>IF(J166&lt;=2,0,'Model Inputs'!$B$32*SIN(2*PI()*(J166-3+'Model Inputs'!$B$34)/MAX(1,'Model Inputs'!$B$33)))</f>
        <v/>
      </c>
      <c r="O166" s="184">
        <f>M166*(1+N166)</f>
        <v/>
      </c>
      <c r="P166" s="184">
        <f>0.75*O165+0.25*O164</f>
        <v/>
      </c>
      <c r="Q166" s="184">
        <f>L166+P166+IF(J166=1,'Model Inputs'!$B$26,0)</f>
        <v/>
      </c>
      <c r="R166" s="184">
        <f>IF(J166&lt;=B166,Q166,IF(J166&lt;=B166+$J$18,L166,(SUMIFS($L$51:$L$350,$A$51:$A$350,$A166,$J$51:$J$350,$B166)+SUMIFS($O$51:$O$350,$A$51:$A$350,$A166,$J$51:$J$350,$B166))*C166))</f>
        <v/>
      </c>
      <c r="S166" s="184">
        <f>H166+F166*G166*(1+I166)^MAX(0,J166-MAX(D166,B166+$J$18+1))</f>
        <v/>
      </c>
      <c r="T166" s="184">
        <f>IF(J166&gt;=MAX(D166,B166+$J$18+1),S166,R166)</f>
        <v/>
      </c>
      <c r="U166" s="184">
        <f>MIN(T166,'Tax Assumptions'!$B$19)</f>
        <v/>
      </c>
      <c r="V166" s="184">
        <f>MAX(T166-U166-'Tax Assumptions'!$B$8,0)</f>
        <v/>
      </c>
      <c r="W166" s="184">
        <f>MAX(T166-U166-'Tax Assumptions'!$B$9,0)</f>
        <v/>
      </c>
      <c r="X166" s="184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/>
      </c>
      <c r="Y166" s="184">
        <f>T166-U166-X166</f>
        <v/>
      </c>
      <c r="Z166" s="184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/>
      </c>
      <c r="AA166" s="184">
        <f>Y166-Z166</f>
        <v/>
      </c>
      <c r="AB166" s="184">
        <f>MIN(MAX(AA166,0),'Tax Assumptions'!$B$20)</f>
        <v/>
      </c>
      <c r="AC166" s="184">
        <f>AA166-AB166</f>
        <v/>
      </c>
      <c r="AD166" s="184">
        <f>MAX(AD165*(1+'Model Inputs'!$B$13)+AC166,0)</f>
        <v/>
      </c>
      <c r="AE166" s="184">
        <f>MAX(AE165*(1+'Model Inputs'!$B$13)+U166+AB166,0)</f>
        <v/>
      </c>
      <c r="AF166" s="184">
        <f>AD166+AE166</f>
        <v/>
      </c>
      <c r="AG166" s="191">
        <f>IF(AND(AF166&gt;=$F$14,AF165&lt;$F$14),J166,"")</f>
        <v/>
      </c>
      <c r="AH166" s="191">
        <f>IF(AND(AF166&gt;=$F$15,AF165&lt;$F$15),J166,"")</f>
        <v/>
      </c>
      <c r="AI166" s="191">
        <f>IF(AND(AF166&gt;=$F$16,AF165&lt;$F$16),J166,"")</f>
        <v/>
      </c>
      <c r="AJ166" s="191">
        <f>IF(AND(AF166&gt;=$F$17,AF165&lt;$F$17),J166,"")</f>
        <v/>
      </c>
    </row>
    <row r="167" outlineLevel="1" ht="18" customHeight="1" s="326">
      <c r="A167" s="181">
        <f>$A$29</f>
        <v/>
      </c>
      <c r="B167" s="191">
        <f>$B$29</f>
        <v/>
      </c>
      <c r="C167" s="187">
        <f>$C$29</f>
        <v/>
      </c>
      <c r="D167" s="191">
        <f>$D$29</f>
        <v/>
      </c>
      <c r="E167" s="181">
        <f>$E$29</f>
        <v/>
      </c>
      <c r="F167" s="184">
        <f>$F$29</f>
        <v/>
      </c>
      <c r="G167" s="188">
        <f>$G$29</f>
        <v/>
      </c>
      <c r="H167" s="184">
        <f>$H$29</f>
        <v/>
      </c>
      <c r="I167" s="188">
        <f>$J$17</f>
        <v/>
      </c>
      <c r="J167" s="191" t="n">
        <v>12</v>
      </c>
      <c r="K167" s="191">
        <f>('Model Inputs'!$B$22-1)+J167</f>
        <v/>
      </c>
      <c r="L167" s="184">
        <f>IF(J167=1,'Model Inputs'!$B$25*(13-'Model Inputs'!$B$23)/12,'Model Inputs'!$B$25)</f>
        <v/>
      </c>
      <c r="M167" s="184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/>
      </c>
      <c r="N167" s="188">
        <f>IF(J167&lt;=2,0,'Model Inputs'!$B$32*SIN(2*PI()*(J167-3+'Model Inputs'!$B$34)/MAX(1,'Model Inputs'!$B$33)))</f>
        <v/>
      </c>
      <c r="O167" s="184">
        <f>M167*(1+N167)</f>
        <v/>
      </c>
      <c r="P167" s="184">
        <f>0.75*O166+0.25*O165</f>
        <v/>
      </c>
      <c r="Q167" s="184">
        <f>L167+P167+IF(J167=1,'Model Inputs'!$B$26,0)</f>
        <v/>
      </c>
      <c r="R167" s="184">
        <f>IF(J167&lt;=B167,Q167,IF(J167&lt;=B167+$J$18,L167,(SUMIFS($L$51:$L$350,$A$51:$A$350,$A167,$J$51:$J$350,$B167)+SUMIFS($O$51:$O$350,$A$51:$A$350,$A167,$J$51:$J$350,$B167))*C167))</f>
        <v/>
      </c>
      <c r="S167" s="184">
        <f>H167+F167*G167*(1+I167)^MAX(0,J167-MAX(D167,B167+$J$18+1))</f>
        <v/>
      </c>
      <c r="T167" s="184">
        <f>IF(J167&gt;=MAX(D167,B167+$J$18+1),S167,R167)</f>
        <v/>
      </c>
      <c r="U167" s="184">
        <f>MIN(T167,'Tax Assumptions'!$B$19)</f>
        <v/>
      </c>
      <c r="V167" s="184">
        <f>MAX(T167-U167-'Tax Assumptions'!$B$8,0)</f>
        <v/>
      </c>
      <c r="W167" s="184">
        <f>MAX(T167-U167-'Tax Assumptions'!$B$9,0)</f>
        <v/>
      </c>
      <c r="X167" s="184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/>
      </c>
      <c r="Y167" s="184">
        <f>T167-U167-X167</f>
        <v/>
      </c>
      <c r="Z167" s="184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/>
      </c>
      <c r="AA167" s="184">
        <f>Y167-Z167</f>
        <v/>
      </c>
      <c r="AB167" s="184">
        <f>MIN(MAX(AA167,0),'Tax Assumptions'!$B$20)</f>
        <v/>
      </c>
      <c r="AC167" s="184">
        <f>AA167-AB167</f>
        <v/>
      </c>
      <c r="AD167" s="184">
        <f>MAX(AD166*(1+'Model Inputs'!$B$13)+AC167,0)</f>
        <v/>
      </c>
      <c r="AE167" s="184">
        <f>MAX(AE166*(1+'Model Inputs'!$B$13)+U167+AB167,0)</f>
        <v/>
      </c>
      <c r="AF167" s="184">
        <f>AD167+AE167</f>
        <v/>
      </c>
      <c r="AG167" s="191">
        <f>IF(AND(AF167&gt;=$F$14,AF166&lt;$F$14),J167,"")</f>
        <v/>
      </c>
      <c r="AH167" s="191">
        <f>IF(AND(AF167&gt;=$F$15,AF166&lt;$F$15),J167,"")</f>
        <v/>
      </c>
      <c r="AI167" s="191">
        <f>IF(AND(AF167&gt;=$F$16,AF166&lt;$F$16),J167,"")</f>
        <v/>
      </c>
      <c r="AJ167" s="191">
        <f>IF(AND(AF167&gt;=$F$17,AF166&lt;$F$17),J167,"")</f>
        <v/>
      </c>
    </row>
    <row r="168" outlineLevel="1" ht="18" customHeight="1" s="326">
      <c r="A168" s="181">
        <f>$A$29</f>
        <v/>
      </c>
      <c r="B168" s="191">
        <f>$B$29</f>
        <v/>
      </c>
      <c r="C168" s="187">
        <f>$C$29</f>
        <v/>
      </c>
      <c r="D168" s="191">
        <f>$D$29</f>
        <v/>
      </c>
      <c r="E168" s="181">
        <f>$E$29</f>
        <v/>
      </c>
      <c r="F168" s="184">
        <f>$F$29</f>
        <v/>
      </c>
      <c r="G168" s="188">
        <f>$G$29</f>
        <v/>
      </c>
      <c r="H168" s="184">
        <f>$H$29</f>
        <v/>
      </c>
      <c r="I168" s="188">
        <f>$J$17</f>
        <v/>
      </c>
      <c r="J168" s="191" t="n">
        <v>13</v>
      </c>
      <c r="K168" s="191">
        <f>('Model Inputs'!$B$22-1)+J168</f>
        <v/>
      </c>
      <c r="L168" s="184">
        <f>IF(J168=1,'Model Inputs'!$B$25*(13-'Model Inputs'!$B$23)/12,'Model Inputs'!$B$25)</f>
        <v/>
      </c>
      <c r="M168" s="184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/>
      </c>
      <c r="N168" s="188">
        <f>IF(J168&lt;=2,0,'Model Inputs'!$B$32*SIN(2*PI()*(J168-3+'Model Inputs'!$B$34)/MAX(1,'Model Inputs'!$B$33)))</f>
        <v/>
      </c>
      <c r="O168" s="184">
        <f>M168*(1+N168)</f>
        <v/>
      </c>
      <c r="P168" s="184">
        <f>0.75*O167+0.25*O166</f>
        <v/>
      </c>
      <c r="Q168" s="184">
        <f>L168+P168+IF(J168=1,'Model Inputs'!$B$26,0)</f>
        <v/>
      </c>
      <c r="R168" s="184">
        <f>IF(J168&lt;=B168,Q168,IF(J168&lt;=B168+$J$18,L168,(SUMIFS($L$51:$L$350,$A$51:$A$350,$A168,$J$51:$J$350,$B168)+SUMIFS($O$51:$O$350,$A$51:$A$350,$A168,$J$51:$J$350,$B168))*C168))</f>
        <v/>
      </c>
      <c r="S168" s="184">
        <f>H168+F168*G168*(1+I168)^MAX(0,J168-MAX(D168,B168+$J$18+1))</f>
        <v/>
      </c>
      <c r="T168" s="184">
        <f>IF(J168&gt;=MAX(D168,B168+$J$18+1),S168,R168)</f>
        <v/>
      </c>
      <c r="U168" s="184">
        <f>MIN(T168,'Tax Assumptions'!$B$19)</f>
        <v/>
      </c>
      <c r="V168" s="184">
        <f>MAX(T168-U168-'Tax Assumptions'!$B$8,0)</f>
        <v/>
      </c>
      <c r="W168" s="184">
        <f>MAX(T168-U168-'Tax Assumptions'!$B$9,0)</f>
        <v/>
      </c>
      <c r="X168" s="184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/>
      </c>
      <c r="Y168" s="184">
        <f>T168-U168-X168</f>
        <v/>
      </c>
      <c r="Z168" s="184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/>
      </c>
      <c r="AA168" s="184">
        <f>Y168-Z168</f>
        <v/>
      </c>
      <c r="AB168" s="184">
        <f>MIN(MAX(AA168,0),'Tax Assumptions'!$B$20)</f>
        <v/>
      </c>
      <c r="AC168" s="184">
        <f>AA168-AB168</f>
        <v/>
      </c>
      <c r="AD168" s="184">
        <f>MAX(AD167*(1+'Model Inputs'!$B$13)+AC168,0)</f>
        <v/>
      </c>
      <c r="AE168" s="184">
        <f>MAX(AE167*(1+'Model Inputs'!$B$13)+U168+AB168,0)</f>
        <v/>
      </c>
      <c r="AF168" s="184">
        <f>AD168+AE168</f>
        <v/>
      </c>
      <c r="AG168" s="191">
        <f>IF(AND(AF168&gt;=$F$14,AF167&lt;$F$14),J168,"")</f>
        <v/>
      </c>
      <c r="AH168" s="191">
        <f>IF(AND(AF168&gt;=$F$15,AF167&lt;$F$15),J168,"")</f>
        <v/>
      </c>
      <c r="AI168" s="191">
        <f>IF(AND(AF168&gt;=$F$16,AF167&lt;$F$16),J168,"")</f>
        <v/>
      </c>
      <c r="AJ168" s="191">
        <f>IF(AND(AF168&gt;=$F$17,AF167&lt;$F$17),J168,"")</f>
        <v/>
      </c>
    </row>
    <row r="169" outlineLevel="1" ht="18" customHeight="1" s="326">
      <c r="A169" s="181">
        <f>$A$29</f>
        <v/>
      </c>
      <c r="B169" s="191">
        <f>$B$29</f>
        <v/>
      </c>
      <c r="C169" s="187">
        <f>$C$29</f>
        <v/>
      </c>
      <c r="D169" s="191">
        <f>$D$29</f>
        <v/>
      </c>
      <c r="E169" s="181">
        <f>$E$29</f>
        <v/>
      </c>
      <c r="F169" s="184">
        <f>$F$29</f>
        <v/>
      </c>
      <c r="G169" s="188">
        <f>$G$29</f>
        <v/>
      </c>
      <c r="H169" s="184">
        <f>$H$29</f>
        <v/>
      </c>
      <c r="I169" s="188">
        <f>$J$17</f>
        <v/>
      </c>
      <c r="J169" s="191" t="n">
        <v>14</v>
      </c>
      <c r="K169" s="191">
        <f>('Model Inputs'!$B$22-1)+J169</f>
        <v/>
      </c>
      <c r="L169" s="184">
        <f>IF(J169=1,'Model Inputs'!$B$25*(13-'Model Inputs'!$B$23)/12,'Model Inputs'!$B$25)</f>
        <v/>
      </c>
      <c r="M169" s="184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/>
      </c>
      <c r="N169" s="188">
        <f>IF(J169&lt;=2,0,'Model Inputs'!$B$32*SIN(2*PI()*(J169-3+'Model Inputs'!$B$34)/MAX(1,'Model Inputs'!$B$33)))</f>
        <v/>
      </c>
      <c r="O169" s="184">
        <f>M169*(1+N169)</f>
        <v/>
      </c>
      <c r="P169" s="184">
        <f>0.75*O168+0.25*O167</f>
        <v/>
      </c>
      <c r="Q169" s="184">
        <f>L169+P169+IF(J169=1,'Model Inputs'!$B$26,0)</f>
        <v/>
      </c>
      <c r="R169" s="184">
        <f>IF(J169&lt;=B169,Q169,IF(J169&lt;=B169+$J$18,L169,(SUMIFS($L$51:$L$350,$A$51:$A$350,$A169,$J$51:$J$350,$B169)+SUMIFS($O$51:$O$350,$A$51:$A$350,$A169,$J$51:$J$350,$B169))*C169))</f>
        <v/>
      </c>
      <c r="S169" s="184">
        <f>H169+F169*G169*(1+I169)^MAX(0,J169-MAX(D169,B169+$J$18+1))</f>
        <v/>
      </c>
      <c r="T169" s="184">
        <f>IF(J169&gt;=MAX(D169,B169+$J$18+1),S169,R169)</f>
        <v/>
      </c>
      <c r="U169" s="184">
        <f>MIN(T169,'Tax Assumptions'!$B$19)</f>
        <v/>
      </c>
      <c r="V169" s="184">
        <f>MAX(T169-U169-'Tax Assumptions'!$B$8,0)</f>
        <v/>
      </c>
      <c r="W169" s="184">
        <f>MAX(T169-U169-'Tax Assumptions'!$B$9,0)</f>
        <v/>
      </c>
      <c r="X169" s="184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/>
      </c>
      <c r="Y169" s="184">
        <f>T169-U169-X169</f>
        <v/>
      </c>
      <c r="Z169" s="184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/>
      </c>
      <c r="AA169" s="184">
        <f>Y169-Z169</f>
        <v/>
      </c>
      <c r="AB169" s="184">
        <f>MIN(MAX(AA169,0),'Tax Assumptions'!$B$20)</f>
        <v/>
      </c>
      <c r="AC169" s="184">
        <f>AA169-AB169</f>
        <v/>
      </c>
      <c r="AD169" s="184">
        <f>MAX(AD168*(1+'Model Inputs'!$B$13)+AC169,0)</f>
        <v/>
      </c>
      <c r="AE169" s="184">
        <f>MAX(AE168*(1+'Model Inputs'!$B$13)+U169+AB169,0)</f>
        <v/>
      </c>
      <c r="AF169" s="184">
        <f>AD169+AE169</f>
        <v/>
      </c>
      <c r="AG169" s="191">
        <f>IF(AND(AF169&gt;=$F$14,AF168&lt;$F$14),J169,"")</f>
        <v/>
      </c>
      <c r="AH169" s="191">
        <f>IF(AND(AF169&gt;=$F$15,AF168&lt;$F$15),J169,"")</f>
        <v/>
      </c>
      <c r="AI169" s="191">
        <f>IF(AND(AF169&gt;=$F$16,AF168&lt;$F$16),J169,"")</f>
        <v/>
      </c>
      <c r="AJ169" s="191">
        <f>IF(AND(AF169&gt;=$F$17,AF168&lt;$F$17),J169,"")</f>
        <v/>
      </c>
    </row>
    <row r="170" outlineLevel="1" ht="18" customHeight="1" s="326">
      <c r="A170" s="181">
        <f>$A$29</f>
        <v/>
      </c>
      <c r="B170" s="191">
        <f>$B$29</f>
        <v/>
      </c>
      <c r="C170" s="187">
        <f>$C$29</f>
        <v/>
      </c>
      <c r="D170" s="191">
        <f>$D$29</f>
        <v/>
      </c>
      <c r="E170" s="181">
        <f>$E$29</f>
        <v/>
      </c>
      <c r="F170" s="184">
        <f>$F$29</f>
        <v/>
      </c>
      <c r="G170" s="188">
        <f>$G$29</f>
        <v/>
      </c>
      <c r="H170" s="184">
        <f>$H$29</f>
        <v/>
      </c>
      <c r="I170" s="188">
        <f>$J$17</f>
        <v/>
      </c>
      <c r="J170" s="191" t="n">
        <v>15</v>
      </c>
      <c r="K170" s="191">
        <f>('Model Inputs'!$B$22-1)+J170</f>
        <v/>
      </c>
      <c r="L170" s="184">
        <f>IF(J170=1,'Model Inputs'!$B$25*(13-'Model Inputs'!$B$23)/12,'Model Inputs'!$B$25)</f>
        <v/>
      </c>
      <c r="M170" s="184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/>
      </c>
      <c r="N170" s="188">
        <f>IF(J170&lt;=2,0,'Model Inputs'!$B$32*SIN(2*PI()*(J170-3+'Model Inputs'!$B$34)/MAX(1,'Model Inputs'!$B$33)))</f>
        <v/>
      </c>
      <c r="O170" s="184">
        <f>M170*(1+N170)</f>
        <v/>
      </c>
      <c r="P170" s="184">
        <f>0.75*O169+0.25*O168</f>
        <v/>
      </c>
      <c r="Q170" s="184">
        <f>L170+P170+IF(J170=1,'Model Inputs'!$B$26,0)</f>
        <v/>
      </c>
      <c r="R170" s="184">
        <f>IF(J170&lt;=B170,Q170,IF(J170&lt;=B170+$J$18,L170,(SUMIFS($L$51:$L$350,$A$51:$A$350,$A170,$J$51:$J$350,$B170)+SUMIFS($O$51:$O$350,$A$51:$A$350,$A170,$J$51:$J$350,$B170))*C170))</f>
        <v/>
      </c>
      <c r="S170" s="184">
        <f>H170+F170*G170*(1+I170)^MAX(0,J170-MAX(D170,B170+$J$18+1))</f>
        <v/>
      </c>
      <c r="T170" s="184">
        <f>IF(J170&gt;=MAX(D170,B170+$J$18+1),S170,R170)</f>
        <v/>
      </c>
      <c r="U170" s="184">
        <f>MIN(T170,'Tax Assumptions'!$B$19)</f>
        <v/>
      </c>
      <c r="V170" s="184">
        <f>MAX(T170-U170-'Tax Assumptions'!$B$8,0)</f>
        <v/>
      </c>
      <c r="W170" s="184">
        <f>MAX(T170-U170-'Tax Assumptions'!$B$9,0)</f>
        <v/>
      </c>
      <c r="X170" s="184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/>
      </c>
      <c r="Y170" s="184">
        <f>T170-U170-X170</f>
        <v/>
      </c>
      <c r="Z170" s="184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/>
      </c>
      <c r="AA170" s="184">
        <f>Y170-Z170</f>
        <v/>
      </c>
      <c r="AB170" s="184">
        <f>MIN(MAX(AA170,0),'Tax Assumptions'!$B$20)</f>
        <v/>
      </c>
      <c r="AC170" s="184">
        <f>AA170-AB170</f>
        <v/>
      </c>
      <c r="AD170" s="184">
        <f>MAX(AD169*(1+'Model Inputs'!$B$13)+AC170,0)</f>
        <v/>
      </c>
      <c r="AE170" s="184">
        <f>MAX(AE169*(1+'Model Inputs'!$B$13)+U170+AB170,0)</f>
        <v/>
      </c>
      <c r="AF170" s="184">
        <f>AD170+AE170</f>
        <v/>
      </c>
      <c r="AG170" s="191">
        <f>IF(AND(AF170&gt;=$F$14,AF169&lt;$F$14),J170,"")</f>
        <v/>
      </c>
      <c r="AH170" s="191">
        <f>IF(AND(AF170&gt;=$F$15,AF169&lt;$F$15),J170,"")</f>
        <v/>
      </c>
      <c r="AI170" s="191">
        <f>IF(AND(AF170&gt;=$F$16,AF169&lt;$F$16),J170,"")</f>
        <v/>
      </c>
      <c r="AJ170" s="191">
        <f>IF(AND(AF170&gt;=$F$17,AF169&lt;$F$17),J170,"")</f>
        <v/>
      </c>
    </row>
    <row r="171" outlineLevel="1" ht="18" customHeight="1" s="326">
      <c r="A171" s="181">
        <f>$A$30</f>
        <v/>
      </c>
      <c r="B171" s="191">
        <f>$B$30</f>
        <v/>
      </c>
      <c r="C171" s="187">
        <f>$C$30</f>
        <v/>
      </c>
      <c r="D171" s="191">
        <f>$D$30</f>
        <v/>
      </c>
      <c r="E171" s="181">
        <f>$E$30</f>
        <v/>
      </c>
      <c r="F171" s="184">
        <f>$F$30</f>
        <v/>
      </c>
      <c r="G171" s="188">
        <f>$G$30</f>
        <v/>
      </c>
      <c r="H171" s="184">
        <f>$H$30</f>
        <v/>
      </c>
      <c r="I171" s="188">
        <f>$J$17</f>
        <v/>
      </c>
      <c r="J171" s="191" t="n">
        <v>1</v>
      </c>
      <c r="K171" s="191">
        <f>('Model Inputs'!$B$22-1)+J171</f>
        <v/>
      </c>
      <c r="L171" s="184">
        <f>IF(J171=1,'Model Inputs'!$B$25*(13-'Model Inputs'!$B$23)/12,'Model Inputs'!$B$25)</f>
        <v/>
      </c>
      <c r="M171" s="184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/>
      </c>
      <c r="N171" s="188">
        <f>IF(J171&lt;=2,0,'Model Inputs'!$B$32*SIN(2*PI()*(J171-3+'Model Inputs'!$B$34)/MAX(1,'Model Inputs'!$B$33)))</f>
        <v/>
      </c>
      <c r="O171" s="184">
        <f>M171*(1+N171)</f>
        <v/>
      </c>
      <c r="P171" s="184">
        <f>0</f>
        <v/>
      </c>
      <c r="Q171" s="184">
        <f>L171+P171+IF(J171=1,'Model Inputs'!$B$26,0)</f>
        <v/>
      </c>
      <c r="R171" s="184">
        <f>IF(J171&lt;=B171,Q171,IF(J171&lt;=B171+$J$18,L171,(SUMIFS($L$51:$L$350,$A$51:$A$350,$A171,$J$51:$J$350,$B171)+SUMIFS($O$51:$O$350,$A$51:$A$350,$A171,$J$51:$J$350,$B171))*C171))</f>
        <v/>
      </c>
      <c r="S171" s="184">
        <f>H171+F171*G171*(1+I171)^MAX(0,J171-MAX(D171,B171+$J$18+1))</f>
        <v/>
      </c>
      <c r="T171" s="184">
        <f>IF(J171&gt;=MAX(D171,B171+$J$18+1),S171,R171)</f>
        <v/>
      </c>
      <c r="U171" s="184">
        <f>MIN(T171,'Tax Assumptions'!$B$19)</f>
        <v/>
      </c>
      <c r="V171" s="184">
        <f>MAX(T171-U171-'Tax Assumptions'!$B$8,0)</f>
        <v/>
      </c>
      <c r="W171" s="184">
        <f>MAX(T171-U171-'Tax Assumptions'!$B$9,0)</f>
        <v/>
      </c>
      <c r="X171" s="184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/>
      </c>
      <c r="Y171" s="184">
        <f>T171-U171-X171</f>
        <v/>
      </c>
      <c r="Z171" s="184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/>
      </c>
      <c r="AA171" s="184">
        <f>Y171-Z171</f>
        <v/>
      </c>
      <c r="AB171" s="184">
        <f>MIN(MAX(AA171,0),'Tax Assumptions'!$B$20)</f>
        <v/>
      </c>
      <c r="AC171" s="184">
        <f>AA171-AB171</f>
        <v/>
      </c>
      <c r="AD171" s="184">
        <f>MAX('Model Inputs'!$B$7*(1+'Model Inputs'!$B$13)+AC171,0)</f>
        <v/>
      </c>
      <c r="AE171" s="184">
        <f>MAX(('Model Inputs'!$B$8+'Model Inputs'!$B$9+'Model Inputs'!$B$10)*(1+'Model Inputs'!$B$13)+U171+AB171,0)</f>
        <v/>
      </c>
      <c r="AF171" s="184">
        <f>AD171+AE171</f>
        <v/>
      </c>
      <c r="AG171" s="191">
        <f>IF(AND(AF171&gt;=$F$14,0&lt;$F$14),J171,"")</f>
        <v/>
      </c>
      <c r="AH171" s="191">
        <f>IF(AND(AF171&gt;=$F$15,0&lt;$F$15),J171,"")</f>
        <v/>
      </c>
      <c r="AI171" s="191">
        <f>IF(AND(AF171&gt;=$F$16,0&lt;$F$16),J171,"")</f>
        <v/>
      </c>
      <c r="AJ171" s="191">
        <f>IF(AND(AF171&gt;=$F$17,0&lt;$F$17),J171,"")</f>
        <v/>
      </c>
    </row>
    <row r="172" outlineLevel="1" ht="18" customHeight="1" s="326">
      <c r="A172" s="181">
        <f>$A$30</f>
        <v/>
      </c>
      <c r="B172" s="191">
        <f>$B$30</f>
        <v/>
      </c>
      <c r="C172" s="187">
        <f>$C$30</f>
        <v/>
      </c>
      <c r="D172" s="191">
        <f>$D$30</f>
        <v/>
      </c>
      <c r="E172" s="181">
        <f>$E$30</f>
        <v/>
      </c>
      <c r="F172" s="184">
        <f>$F$30</f>
        <v/>
      </c>
      <c r="G172" s="188">
        <f>$G$30</f>
        <v/>
      </c>
      <c r="H172" s="184">
        <f>$H$30</f>
        <v/>
      </c>
      <c r="I172" s="188">
        <f>$J$17</f>
        <v/>
      </c>
      <c r="J172" s="191" t="n">
        <v>2</v>
      </c>
      <c r="K172" s="191">
        <f>('Model Inputs'!$B$22-1)+J172</f>
        <v/>
      </c>
      <c r="L172" s="184">
        <f>IF(J172=1,'Model Inputs'!$B$25*(13-'Model Inputs'!$B$23)/12,'Model Inputs'!$B$25)</f>
        <v/>
      </c>
      <c r="M172" s="184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/>
      </c>
      <c r="N172" s="188">
        <f>IF(J172&lt;=2,0,'Model Inputs'!$B$32*SIN(2*PI()*(J172-3+'Model Inputs'!$B$34)/MAX(1,'Model Inputs'!$B$33)))</f>
        <v/>
      </c>
      <c r="O172" s="184">
        <f>M172*(1+N172)</f>
        <v/>
      </c>
      <c r="P172" s="184">
        <f>0.75*O171</f>
        <v/>
      </c>
      <c r="Q172" s="184">
        <f>L172+P172+IF(J172=1,'Model Inputs'!$B$26,0)</f>
        <v/>
      </c>
      <c r="R172" s="184">
        <f>IF(J172&lt;=B172,Q172,IF(J172&lt;=B172+$J$18,L172,(SUMIFS($L$51:$L$350,$A$51:$A$350,$A172,$J$51:$J$350,$B172)+SUMIFS($O$51:$O$350,$A$51:$A$350,$A172,$J$51:$J$350,$B172))*C172))</f>
        <v/>
      </c>
      <c r="S172" s="184">
        <f>H172+F172*G172*(1+I172)^MAX(0,J172-MAX(D172,B172+$J$18+1))</f>
        <v/>
      </c>
      <c r="T172" s="184">
        <f>IF(J172&gt;=MAX(D172,B172+$J$18+1),S172,R172)</f>
        <v/>
      </c>
      <c r="U172" s="184">
        <f>MIN(T172,'Tax Assumptions'!$B$19)</f>
        <v/>
      </c>
      <c r="V172" s="184">
        <f>MAX(T172-U172-'Tax Assumptions'!$B$8,0)</f>
        <v/>
      </c>
      <c r="W172" s="184">
        <f>MAX(T172-U172-'Tax Assumptions'!$B$9,0)</f>
        <v/>
      </c>
      <c r="X172" s="184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/>
      </c>
      <c r="Y172" s="184">
        <f>T172-U172-X172</f>
        <v/>
      </c>
      <c r="Z172" s="184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/>
      </c>
      <c r="AA172" s="184">
        <f>Y172-Z172</f>
        <v/>
      </c>
      <c r="AB172" s="184">
        <f>MIN(MAX(AA172,0),'Tax Assumptions'!$B$20)</f>
        <v/>
      </c>
      <c r="AC172" s="184">
        <f>AA172-AB172</f>
        <v/>
      </c>
      <c r="AD172" s="184">
        <f>MAX(AD171*(1+'Model Inputs'!$B$13)+AC172,0)</f>
        <v/>
      </c>
      <c r="AE172" s="184">
        <f>MAX(AE171*(1+'Model Inputs'!$B$13)+U172+AB172,0)</f>
        <v/>
      </c>
      <c r="AF172" s="184">
        <f>AD172+AE172</f>
        <v/>
      </c>
      <c r="AG172" s="191">
        <f>IF(AND(AF172&gt;=$F$14,AF171&lt;$F$14),J172,"")</f>
        <v/>
      </c>
      <c r="AH172" s="191">
        <f>IF(AND(AF172&gt;=$F$15,AF171&lt;$F$15),J172,"")</f>
        <v/>
      </c>
      <c r="AI172" s="191">
        <f>IF(AND(AF172&gt;=$F$16,AF171&lt;$F$16),J172,"")</f>
        <v/>
      </c>
      <c r="AJ172" s="191">
        <f>IF(AND(AF172&gt;=$F$17,AF171&lt;$F$17),J172,"")</f>
        <v/>
      </c>
    </row>
    <row r="173" outlineLevel="1" ht="18" customHeight="1" s="326">
      <c r="A173" s="181">
        <f>$A$30</f>
        <v/>
      </c>
      <c r="B173" s="191">
        <f>$B$30</f>
        <v/>
      </c>
      <c r="C173" s="187">
        <f>$C$30</f>
        <v/>
      </c>
      <c r="D173" s="191">
        <f>$D$30</f>
        <v/>
      </c>
      <c r="E173" s="181">
        <f>$E$30</f>
        <v/>
      </c>
      <c r="F173" s="184">
        <f>$F$30</f>
        <v/>
      </c>
      <c r="G173" s="188">
        <f>$G$30</f>
        <v/>
      </c>
      <c r="H173" s="184">
        <f>$H$30</f>
        <v/>
      </c>
      <c r="I173" s="188">
        <f>$J$17</f>
        <v/>
      </c>
      <c r="J173" s="191" t="n">
        <v>3</v>
      </c>
      <c r="K173" s="191">
        <f>('Model Inputs'!$B$22-1)+J173</f>
        <v/>
      </c>
      <c r="L173" s="184">
        <f>IF(J173=1,'Model Inputs'!$B$25*(13-'Model Inputs'!$B$23)/12,'Model Inputs'!$B$25)</f>
        <v/>
      </c>
      <c r="M173" s="184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/>
      </c>
      <c r="N173" s="188">
        <f>IF(J173&lt;=2,0,'Model Inputs'!$B$32*SIN(2*PI()*(J173-3+'Model Inputs'!$B$34)/MAX(1,'Model Inputs'!$B$33)))</f>
        <v/>
      </c>
      <c r="O173" s="184">
        <f>M173*(1+N173)</f>
        <v/>
      </c>
      <c r="P173" s="184">
        <f>0.75*O172+0.25*O171</f>
        <v/>
      </c>
      <c r="Q173" s="184">
        <f>L173+P173+IF(J173=1,'Model Inputs'!$B$26,0)</f>
        <v/>
      </c>
      <c r="R173" s="184">
        <f>IF(J173&lt;=B173,Q173,IF(J173&lt;=B173+$J$18,L173,(SUMIFS($L$51:$L$350,$A$51:$A$350,$A173,$J$51:$J$350,$B173)+SUMIFS($O$51:$O$350,$A$51:$A$350,$A173,$J$51:$J$350,$B173))*C173))</f>
        <v/>
      </c>
      <c r="S173" s="184">
        <f>H173+F173*G173*(1+I173)^MAX(0,J173-MAX(D173,B173+$J$18+1))</f>
        <v/>
      </c>
      <c r="T173" s="184">
        <f>IF(J173&gt;=MAX(D173,B173+$J$18+1),S173,R173)</f>
        <v/>
      </c>
      <c r="U173" s="184">
        <f>MIN(T173,'Tax Assumptions'!$B$19)</f>
        <v/>
      </c>
      <c r="V173" s="184">
        <f>MAX(T173-U173-'Tax Assumptions'!$B$8,0)</f>
        <v/>
      </c>
      <c r="W173" s="184">
        <f>MAX(T173-U173-'Tax Assumptions'!$B$9,0)</f>
        <v/>
      </c>
      <c r="X173" s="184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/>
      </c>
      <c r="Y173" s="184">
        <f>T173-U173-X173</f>
        <v/>
      </c>
      <c r="Z173" s="184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/>
      </c>
      <c r="AA173" s="184">
        <f>Y173-Z173</f>
        <v/>
      </c>
      <c r="AB173" s="184">
        <f>MIN(MAX(AA173,0),'Tax Assumptions'!$B$20)</f>
        <v/>
      </c>
      <c r="AC173" s="184">
        <f>AA173-AB173</f>
        <v/>
      </c>
      <c r="AD173" s="184">
        <f>MAX(AD172*(1+'Model Inputs'!$B$13)+AC173,0)</f>
        <v/>
      </c>
      <c r="AE173" s="184">
        <f>MAX(AE172*(1+'Model Inputs'!$B$13)+U173+AB173,0)</f>
        <v/>
      </c>
      <c r="AF173" s="184">
        <f>AD173+AE173</f>
        <v/>
      </c>
      <c r="AG173" s="191">
        <f>IF(AND(AF173&gt;=$F$14,AF172&lt;$F$14),J173,"")</f>
        <v/>
      </c>
      <c r="AH173" s="191">
        <f>IF(AND(AF173&gt;=$F$15,AF172&lt;$F$15),J173,"")</f>
        <v/>
      </c>
      <c r="AI173" s="191">
        <f>IF(AND(AF173&gt;=$F$16,AF172&lt;$F$16),J173,"")</f>
        <v/>
      </c>
      <c r="AJ173" s="191">
        <f>IF(AND(AF173&gt;=$F$17,AF172&lt;$F$17),J173,"")</f>
        <v/>
      </c>
    </row>
    <row r="174" outlineLevel="1" ht="18" customHeight="1" s="326">
      <c r="A174" s="181">
        <f>$A$30</f>
        <v/>
      </c>
      <c r="B174" s="191">
        <f>$B$30</f>
        <v/>
      </c>
      <c r="C174" s="187">
        <f>$C$30</f>
        <v/>
      </c>
      <c r="D174" s="191">
        <f>$D$30</f>
        <v/>
      </c>
      <c r="E174" s="181">
        <f>$E$30</f>
        <v/>
      </c>
      <c r="F174" s="184">
        <f>$F$30</f>
        <v/>
      </c>
      <c r="G174" s="188">
        <f>$G$30</f>
        <v/>
      </c>
      <c r="H174" s="184">
        <f>$H$30</f>
        <v/>
      </c>
      <c r="I174" s="188">
        <f>$J$17</f>
        <v/>
      </c>
      <c r="J174" s="191" t="n">
        <v>4</v>
      </c>
      <c r="K174" s="191">
        <f>('Model Inputs'!$B$22-1)+J174</f>
        <v/>
      </c>
      <c r="L174" s="184">
        <f>IF(J174=1,'Model Inputs'!$B$25*(13-'Model Inputs'!$B$23)/12,'Model Inputs'!$B$25)</f>
        <v/>
      </c>
      <c r="M174" s="184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/>
      </c>
      <c r="N174" s="188">
        <f>IF(J174&lt;=2,0,'Model Inputs'!$B$32*SIN(2*PI()*(J174-3+'Model Inputs'!$B$34)/MAX(1,'Model Inputs'!$B$33)))</f>
        <v/>
      </c>
      <c r="O174" s="184">
        <f>M174*(1+N174)</f>
        <v/>
      </c>
      <c r="P174" s="184">
        <f>0.75*O173+0.25*O172</f>
        <v/>
      </c>
      <c r="Q174" s="184">
        <f>L174+P174+IF(J174=1,'Model Inputs'!$B$26,0)</f>
        <v/>
      </c>
      <c r="R174" s="184">
        <f>IF(J174&lt;=B174,Q174,IF(J174&lt;=B174+$J$18,L174,(SUMIFS($L$51:$L$350,$A$51:$A$350,$A174,$J$51:$J$350,$B174)+SUMIFS($O$51:$O$350,$A$51:$A$350,$A174,$J$51:$J$350,$B174))*C174))</f>
        <v/>
      </c>
      <c r="S174" s="184">
        <f>H174+F174*G174*(1+I174)^MAX(0,J174-MAX(D174,B174+$J$18+1))</f>
        <v/>
      </c>
      <c r="T174" s="184">
        <f>IF(J174&gt;=MAX(D174,B174+$J$18+1),S174,R174)</f>
        <v/>
      </c>
      <c r="U174" s="184">
        <f>MIN(T174,'Tax Assumptions'!$B$19)</f>
        <v/>
      </c>
      <c r="V174" s="184">
        <f>MAX(T174-U174-'Tax Assumptions'!$B$8,0)</f>
        <v/>
      </c>
      <c r="W174" s="184">
        <f>MAX(T174-U174-'Tax Assumptions'!$B$9,0)</f>
        <v/>
      </c>
      <c r="X174" s="184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/>
      </c>
      <c r="Y174" s="184">
        <f>T174-U174-X174</f>
        <v/>
      </c>
      <c r="Z174" s="184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/>
      </c>
      <c r="AA174" s="184">
        <f>Y174-Z174</f>
        <v/>
      </c>
      <c r="AB174" s="184">
        <f>MIN(MAX(AA174,0),'Tax Assumptions'!$B$20)</f>
        <v/>
      </c>
      <c r="AC174" s="184">
        <f>AA174-AB174</f>
        <v/>
      </c>
      <c r="AD174" s="184">
        <f>MAX(AD173*(1+'Model Inputs'!$B$13)+AC174,0)</f>
        <v/>
      </c>
      <c r="AE174" s="184">
        <f>MAX(AE173*(1+'Model Inputs'!$B$13)+U174+AB174,0)</f>
        <v/>
      </c>
      <c r="AF174" s="184">
        <f>AD174+AE174</f>
        <v/>
      </c>
      <c r="AG174" s="191">
        <f>IF(AND(AF174&gt;=$F$14,AF173&lt;$F$14),J174,"")</f>
        <v/>
      </c>
      <c r="AH174" s="191">
        <f>IF(AND(AF174&gt;=$F$15,AF173&lt;$F$15),J174,"")</f>
        <v/>
      </c>
      <c r="AI174" s="191">
        <f>IF(AND(AF174&gt;=$F$16,AF173&lt;$F$16),J174,"")</f>
        <v/>
      </c>
      <c r="AJ174" s="191">
        <f>IF(AND(AF174&gt;=$F$17,AF173&lt;$F$17),J174,"")</f>
        <v/>
      </c>
    </row>
    <row r="175" outlineLevel="1" ht="18" customHeight="1" s="326">
      <c r="A175" s="181">
        <f>$A$30</f>
        <v/>
      </c>
      <c r="B175" s="191">
        <f>$B$30</f>
        <v/>
      </c>
      <c r="C175" s="187">
        <f>$C$30</f>
        <v/>
      </c>
      <c r="D175" s="191">
        <f>$D$30</f>
        <v/>
      </c>
      <c r="E175" s="181">
        <f>$E$30</f>
        <v/>
      </c>
      <c r="F175" s="184">
        <f>$F$30</f>
        <v/>
      </c>
      <c r="G175" s="188">
        <f>$G$30</f>
        <v/>
      </c>
      <c r="H175" s="184">
        <f>$H$30</f>
        <v/>
      </c>
      <c r="I175" s="188">
        <f>$J$17</f>
        <v/>
      </c>
      <c r="J175" s="191" t="n">
        <v>5</v>
      </c>
      <c r="K175" s="191">
        <f>('Model Inputs'!$B$22-1)+J175</f>
        <v/>
      </c>
      <c r="L175" s="184">
        <f>IF(J175=1,'Model Inputs'!$B$25*(13-'Model Inputs'!$B$23)/12,'Model Inputs'!$B$25)</f>
        <v/>
      </c>
      <c r="M175" s="184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/>
      </c>
      <c r="N175" s="188">
        <f>IF(J175&lt;=2,0,'Model Inputs'!$B$32*SIN(2*PI()*(J175-3+'Model Inputs'!$B$34)/MAX(1,'Model Inputs'!$B$33)))</f>
        <v/>
      </c>
      <c r="O175" s="184">
        <f>M175*(1+N175)</f>
        <v/>
      </c>
      <c r="P175" s="184">
        <f>0.75*O174+0.25*O173</f>
        <v/>
      </c>
      <c r="Q175" s="184">
        <f>L175+P175+IF(J175=1,'Model Inputs'!$B$26,0)</f>
        <v/>
      </c>
      <c r="R175" s="184">
        <f>IF(J175&lt;=B175,Q175,IF(J175&lt;=B175+$J$18,L175,(SUMIFS($L$51:$L$350,$A$51:$A$350,$A175,$J$51:$J$350,$B175)+SUMIFS($O$51:$O$350,$A$51:$A$350,$A175,$J$51:$J$350,$B175))*C175))</f>
        <v/>
      </c>
      <c r="S175" s="184">
        <f>H175+F175*G175*(1+I175)^MAX(0,J175-MAX(D175,B175+$J$18+1))</f>
        <v/>
      </c>
      <c r="T175" s="184">
        <f>IF(J175&gt;=MAX(D175,B175+$J$18+1),S175,R175)</f>
        <v/>
      </c>
      <c r="U175" s="184">
        <f>MIN(T175,'Tax Assumptions'!$B$19)</f>
        <v/>
      </c>
      <c r="V175" s="184">
        <f>MAX(T175-U175-'Tax Assumptions'!$B$8,0)</f>
        <v/>
      </c>
      <c r="W175" s="184">
        <f>MAX(T175-U175-'Tax Assumptions'!$B$9,0)</f>
        <v/>
      </c>
      <c r="X175" s="184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/>
      </c>
      <c r="Y175" s="184">
        <f>T175-U175-X175</f>
        <v/>
      </c>
      <c r="Z175" s="184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/>
      </c>
      <c r="AA175" s="184">
        <f>Y175-Z175</f>
        <v/>
      </c>
      <c r="AB175" s="184">
        <f>MIN(MAX(AA175,0),'Tax Assumptions'!$B$20)</f>
        <v/>
      </c>
      <c r="AC175" s="184">
        <f>AA175-AB175</f>
        <v/>
      </c>
      <c r="AD175" s="184">
        <f>MAX(AD174*(1+'Model Inputs'!$B$13)+AC175,0)</f>
        <v/>
      </c>
      <c r="AE175" s="184">
        <f>MAX(AE174*(1+'Model Inputs'!$B$13)+U175+AB175,0)</f>
        <v/>
      </c>
      <c r="AF175" s="184">
        <f>AD175+AE175</f>
        <v/>
      </c>
      <c r="AG175" s="191">
        <f>IF(AND(AF175&gt;=$F$14,AF174&lt;$F$14),J175,"")</f>
        <v/>
      </c>
      <c r="AH175" s="191">
        <f>IF(AND(AF175&gt;=$F$15,AF174&lt;$F$15),J175,"")</f>
        <v/>
      </c>
      <c r="AI175" s="191">
        <f>IF(AND(AF175&gt;=$F$16,AF174&lt;$F$16),J175,"")</f>
        <v/>
      </c>
      <c r="AJ175" s="191">
        <f>IF(AND(AF175&gt;=$F$17,AF174&lt;$F$17),J175,"")</f>
        <v/>
      </c>
    </row>
    <row r="176" outlineLevel="1" ht="18" customHeight="1" s="326">
      <c r="A176" s="181">
        <f>$A$30</f>
        <v/>
      </c>
      <c r="B176" s="191">
        <f>$B$30</f>
        <v/>
      </c>
      <c r="C176" s="187">
        <f>$C$30</f>
        <v/>
      </c>
      <c r="D176" s="191">
        <f>$D$30</f>
        <v/>
      </c>
      <c r="E176" s="181">
        <f>$E$30</f>
        <v/>
      </c>
      <c r="F176" s="184">
        <f>$F$30</f>
        <v/>
      </c>
      <c r="G176" s="188">
        <f>$G$30</f>
        <v/>
      </c>
      <c r="H176" s="184">
        <f>$H$30</f>
        <v/>
      </c>
      <c r="I176" s="188">
        <f>$J$17</f>
        <v/>
      </c>
      <c r="J176" s="191" t="n">
        <v>6</v>
      </c>
      <c r="K176" s="191">
        <f>('Model Inputs'!$B$22-1)+J176</f>
        <v/>
      </c>
      <c r="L176" s="184">
        <f>IF(J176=1,'Model Inputs'!$B$25*(13-'Model Inputs'!$B$23)/12,'Model Inputs'!$B$25)</f>
        <v/>
      </c>
      <c r="M176" s="184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/>
      </c>
      <c r="N176" s="188">
        <f>IF(J176&lt;=2,0,'Model Inputs'!$B$32*SIN(2*PI()*(J176-3+'Model Inputs'!$B$34)/MAX(1,'Model Inputs'!$B$33)))</f>
        <v/>
      </c>
      <c r="O176" s="184">
        <f>M176*(1+N176)</f>
        <v/>
      </c>
      <c r="P176" s="184">
        <f>0.75*O175+0.25*O174</f>
        <v/>
      </c>
      <c r="Q176" s="184">
        <f>L176+P176+IF(J176=1,'Model Inputs'!$B$26,0)</f>
        <v/>
      </c>
      <c r="R176" s="184">
        <f>IF(J176&lt;=B176,Q176,IF(J176&lt;=B176+$J$18,L176,(SUMIFS($L$51:$L$350,$A$51:$A$350,$A176,$J$51:$J$350,$B176)+SUMIFS($O$51:$O$350,$A$51:$A$350,$A176,$J$51:$J$350,$B176))*C176))</f>
        <v/>
      </c>
      <c r="S176" s="184">
        <f>H176+F176*G176*(1+I176)^MAX(0,J176-MAX(D176,B176+$J$18+1))</f>
        <v/>
      </c>
      <c r="T176" s="184">
        <f>IF(J176&gt;=MAX(D176,B176+$J$18+1),S176,R176)</f>
        <v/>
      </c>
      <c r="U176" s="184">
        <f>MIN(T176,'Tax Assumptions'!$B$19)</f>
        <v/>
      </c>
      <c r="V176" s="184">
        <f>MAX(T176-U176-'Tax Assumptions'!$B$8,0)</f>
        <v/>
      </c>
      <c r="W176" s="184">
        <f>MAX(T176-U176-'Tax Assumptions'!$B$9,0)</f>
        <v/>
      </c>
      <c r="X176" s="184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/>
      </c>
      <c r="Y176" s="184">
        <f>T176-U176-X176</f>
        <v/>
      </c>
      <c r="Z176" s="184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/>
      </c>
      <c r="AA176" s="184">
        <f>Y176-Z176</f>
        <v/>
      </c>
      <c r="AB176" s="184">
        <f>MIN(MAX(AA176,0),'Tax Assumptions'!$B$20)</f>
        <v/>
      </c>
      <c r="AC176" s="184">
        <f>AA176-AB176</f>
        <v/>
      </c>
      <c r="AD176" s="184">
        <f>MAX(AD175*(1+'Model Inputs'!$B$13)+AC176,0)</f>
        <v/>
      </c>
      <c r="AE176" s="184">
        <f>MAX(AE175*(1+'Model Inputs'!$B$13)+U176+AB176,0)</f>
        <v/>
      </c>
      <c r="AF176" s="184">
        <f>AD176+AE176</f>
        <v/>
      </c>
      <c r="AG176" s="191">
        <f>IF(AND(AF176&gt;=$F$14,AF175&lt;$F$14),J176,"")</f>
        <v/>
      </c>
      <c r="AH176" s="191">
        <f>IF(AND(AF176&gt;=$F$15,AF175&lt;$F$15),J176,"")</f>
        <v/>
      </c>
      <c r="AI176" s="191">
        <f>IF(AND(AF176&gt;=$F$16,AF175&lt;$F$16),J176,"")</f>
        <v/>
      </c>
      <c r="AJ176" s="191">
        <f>IF(AND(AF176&gt;=$F$17,AF175&lt;$F$17),J176,"")</f>
        <v/>
      </c>
    </row>
    <row r="177" outlineLevel="1" ht="18" customHeight="1" s="326">
      <c r="A177" s="181">
        <f>$A$30</f>
        <v/>
      </c>
      <c r="B177" s="191">
        <f>$B$30</f>
        <v/>
      </c>
      <c r="C177" s="187">
        <f>$C$30</f>
        <v/>
      </c>
      <c r="D177" s="191">
        <f>$D$30</f>
        <v/>
      </c>
      <c r="E177" s="181">
        <f>$E$30</f>
        <v/>
      </c>
      <c r="F177" s="184">
        <f>$F$30</f>
        <v/>
      </c>
      <c r="G177" s="188">
        <f>$G$30</f>
        <v/>
      </c>
      <c r="H177" s="184">
        <f>$H$30</f>
        <v/>
      </c>
      <c r="I177" s="188">
        <f>$J$17</f>
        <v/>
      </c>
      <c r="J177" s="191" t="n">
        <v>7</v>
      </c>
      <c r="K177" s="191">
        <f>('Model Inputs'!$B$22-1)+J177</f>
        <v/>
      </c>
      <c r="L177" s="184">
        <f>IF(J177=1,'Model Inputs'!$B$25*(13-'Model Inputs'!$B$23)/12,'Model Inputs'!$B$25)</f>
        <v/>
      </c>
      <c r="M177" s="184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/>
      </c>
      <c r="N177" s="188">
        <f>IF(J177&lt;=2,0,'Model Inputs'!$B$32*SIN(2*PI()*(J177-3+'Model Inputs'!$B$34)/MAX(1,'Model Inputs'!$B$33)))</f>
        <v/>
      </c>
      <c r="O177" s="184">
        <f>M177*(1+N177)</f>
        <v/>
      </c>
      <c r="P177" s="184">
        <f>0.75*O176+0.25*O175</f>
        <v/>
      </c>
      <c r="Q177" s="184">
        <f>L177+P177+IF(J177=1,'Model Inputs'!$B$26,0)</f>
        <v/>
      </c>
      <c r="R177" s="184">
        <f>IF(J177&lt;=B177,Q177,IF(J177&lt;=B177+$J$18,L177,(SUMIFS($L$51:$L$350,$A$51:$A$350,$A177,$J$51:$J$350,$B177)+SUMIFS($O$51:$O$350,$A$51:$A$350,$A177,$J$51:$J$350,$B177))*C177))</f>
        <v/>
      </c>
      <c r="S177" s="184">
        <f>H177+F177*G177*(1+I177)^MAX(0,J177-MAX(D177,B177+$J$18+1))</f>
        <v/>
      </c>
      <c r="T177" s="184">
        <f>IF(J177&gt;=MAX(D177,B177+$J$18+1),S177,R177)</f>
        <v/>
      </c>
      <c r="U177" s="184">
        <f>MIN(T177,'Tax Assumptions'!$B$19)</f>
        <v/>
      </c>
      <c r="V177" s="184">
        <f>MAX(T177-U177-'Tax Assumptions'!$B$8,0)</f>
        <v/>
      </c>
      <c r="W177" s="184">
        <f>MAX(T177-U177-'Tax Assumptions'!$B$9,0)</f>
        <v/>
      </c>
      <c r="X177" s="184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/>
      </c>
      <c r="Y177" s="184">
        <f>T177-U177-X177</f>
        <v/>
      </c>
      <c r="Z177" s="184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/>
      </c>
      <c r="AA177" s="184">
        <f>Y177-Z177</f>
        <v/>
      </c>
      <c r="AB177" s="184">
        <f>MIN(MAX(AA177,0),'Tax Assumptions'!$B$20)</f>
        <v/>
      </c>
      <c r="AC177" s="184">
        <f>AA177-AB177</f>
        <v/>
      </c>
      <c r="AD177" s="184">
        <f>MAX(AD176*(1+'Model Inputs'!$B$13)+AC177,0)</f>
        <v/>
      </c>
      <c r="AE177" s="184">
        <f>MAX(AE176*(1+'Model Inputs'!$B$13)+U177+AB177,0)</f>
        <v/>
      </c>
      <c r="AF177" s="184">
        <f>AD177+AE177</f>
        <v/>
      </c>
      <c r="AG177" s="191">
        <f>IF(AND(AF177&gt;=$F$14,AF176&lt;$F$14),J177,"")</f>
        <v/>
      </c>
      <c r="AH177" s="191">
        <f>IF(AND(AF177&gt;=$F$15,AF176&lt;$F$15),J177,"")</f>
        <v/>
      </c>
      <c r="AI177" s="191">
        <f>IF(AND(AF177&gt;=$F$16,AF176&lt;$F$16),J177,"")</f>
        <v/>
      </c>
      <c r="AJ177" s="191">
        <f>IF(AND(AF177&gt;=$F$17,AF176&lt;$F$17),J177,"")</f>
        <v/>
      </c>
    </row>
    <row r="178" outlineLevel="1" ht="18" customHeight="1" s="326">
      <c r="A178" s="181">
        <f>$A$30</f>
        <v/>
      </c>
      <c r="B178" s="191">
        <f>$B$30</f>
        <v/>
      </c>
      <c r="C178" s="187">
        <f>$C$30</f>
        <v/>
      </c>
      <c r="D178" s="191">
        <f>$D$30</f>
        <v/>
      </c>
      <c r="E178" s="181">
        <f>$E$30</f>
        <v/>
      </c>
      <c r="F178" s="184">
        <f>$F$30</f>
        <v/>
      </c>
      <c r="G178" s="188">
        <f>$G$30</f>
        <v/>
      </c>
      <c r="H178" s="184">
        <f>$H$30</f>
        <v/>
      </c>
      <c r="I178" s="188">
        <f>$J$17</f>
        <v/>
      </c>
      <c r="J178" s="191" t="n">
        <v>8</v>
      </c>
      <c r="K178" s="191">
        <f>('Model Inputs'!$B$22-1)+J178</f>
        <v/>
      </c>
      <c r="L178" s="184">
        <f>IF(J178=1,'Model Inputs'!$B$25*(13-'Model Inputs'!$B$23)/12,'Model Inputs'!$B$25)</f>
        <v/>
      </c>
      <c r="M178" s="184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/>
      </c>
      <c r="N178" s="188">
        <f>IF(J178&lt;=2,0,'Model Inputs'!$B$32*SIN(2*PI()*(J178-3+'Model Inputs'!$B$34)/MAX(1,'Model Inputs'!$B$33)))</f>
        <v/>
      </c>
      <c r="O178" s="184">
        <f>M178*(1+N178)</f>
        <v/>
      </c>
      <c r="P178" s="184">
        <f>0.75*O177+0.25*O176</f>
        <v/>
      </c>
      <c r="Q178" s="184">
        <f>L178+P178+IF(J178=1,'Model Inputs'!$B$26,0)</f>
        <v/>
      </c>
      <c r="R178" s="184">
        <f>IF(J178&lt;=B178,Q178,IF(J178&lt;=B178+$J$18,L178,(SUMIFS($L$51:$L$350,$A$51:$A$350,$A178,$J$51:$J$350,$B178)+SUMIFS($O$51:$O$350,$A$51:$A$350,$A178,$J$51:$J$350,$B178))*C178))</f>
        <v/>
      </c>
      <c r="S178" s="184">
        <f>H178+F178*G178*(1+I178)^MAX(0,J178-MAX(D178,B178+$J$18+1))</f>
        <v/>
      </c>
      <c r="T178" s="184">
        <f>IF(J178&gt;=MAX(D178,B178+$J$18+1),S178,R178)</f>
        <v/>
      </c>
      <c r="U178" s="184">
        <f>MIN(T178,'Tax Assumptions'!$B$19)</f>
        <v/>
      </c>
      <c r="V178" s="184">
        <f>MAX(T178-U178-'Tax Assumptions'!$B$8,0)</f>
        <v/>
      </c>
      <c r="W178" s="184">
        <f>MAX(T178-U178-'Tax Assumptions'!$B$9,0)</f>
        <v/>
      </c>
      <c r="X178" s="184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/>
      </c>
      <c r="Y178" s="184">
        <f>T178-U178-X178</f>
        <v/>
      </c>
      <c r="Z178" s="184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/>
      </c>
      <c r="AA178" s="184">
        <f>Y178-Z178</f>
        <v/>
      </c>
      <c r="AB178" s="184">
        <f>MIN(MAX(AA178,0),'Tax Assumptions'!$B$20)</f>
        <v/>
      </c>
      <c r="AC178" s="184">
        <f>AA178-AB178</f>
        <v/>
      </c>
      <c r="AD178" s="184">
        <f>MAX(AD177*(1+'Model Inputs'!$B$13)+AC178,0)</f>
        <v/>
      </c>
      <c r="AE178" s="184">
        <f>MAX(AE177*(1+'Model Inputs'!$B$13)+U178+AB178,0)</f>
        <v/>
      </c>
      <c r="AF178" s="184">
        <f>AD178+AE178</f>
        <v/>
      </c>
      <c r="AG178" s="191">
        <f>IF(AND(AF178&gt;=$F$14,AF177&lt;$F$14),J178,"")</f>
        <v/>
      </c>
      <c r="AH178" s="191">
        <f>IF(AND(AF178&gt;=$F$15,AF177&lt;$F$15),J178,"")</f>
        <v/>
      </c>
      <c r="AI178" s="191">
        <f>IF(AND(AF178&gt;=$F$16,AF177&lt;$F$16),J178,"")</f>
        <v/>
      </c>
      <c r="AJ178" s="191">
        <f>IF(AND(AF178&gt;=$F$17,AF177&lt;$F$17),J178,"")</f>
        <v/>
      </c>
    </row>
    <row r="179" outlineLevel="1" ht="18" customHeight="1" s="326">
      <c r="A179" s="181">
        <f>$A$30</f>
        <v/>
      </c>
      <c r="B179" s="191">
        <f>$B$30</f>
        <v/>
      </c>
      <c r="C179" s="187">
        <f>$C$30</f>
        <v/>
      </c>
      <c r="D179" s="191">
        <f>$D$30</f>
        <v/>
      </c>
      <c r="E179" s="181">
        <f>$E$30</f>
        <v/>
      </c>
      <c r="F179" s="184">
        <f>$F$30</f>
        <v/>
      </c>
      <c r="G179" s="188">
        <f>$G$30</f>
        <v/>
      </c>
      <c r="H179" s="184">
        <f>$H$30</f>
        <v/>
      </c>
      <c r="I179" s="188">
        <f>$J$17</f>
        <v/>
      </c>
      <c r="J179" s="191" t="n">
        <v>9</v>
      </c>
      <c r="K179" s="191">
        <f>('Model Inputs'!$B$22-1)+J179</f>
        <v/>
      </c>
      <c r="L179" s="184">
        <f>IF(J179=1,'Model Inputs'!$B$25*(13-'Model Inputs'!$B$23)/12,'Model Inputs'!$B$25)</f>
        <v/>
      </c>
      <c r="M179" s="184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/>
      </c>
      <c r="N179" s="188">
        <f>IF(J179&lt;=2,0,'Model Inputs'!$B$32*SIN(2*PI()*(J179-3+'Model Inputs'!$B$34)/MAX(1,'Model Inputs'!$B$33)))</f>
        <v/>
      </c>
      <c r="O179" s="184">
        <f>M179*(1+N179)</f>
        <v/>
      </c>
      <c r="P179" s="184">
        <f>0.75*O178+0.25*O177</f>
        <v/>
      </c>
      <c r="Q179" s="184">
        <f>L179+P179+IF(J179=1,'Model Inputs'!$B$26,0)</f>
        <v/>
      </c>
      <c r="R179" s="184">
        <f>IF(J179&lt;=B179,Q179,IF(J179&lt;=B179+$J$18,L179,(SUMIFS($L$51:$L$350,$A$51:$A$350,$A179,$J$51:$J$350,$B179)+SUMIFS($O$51:$O$350,$A$51:$A$350,$A179,$J$51:$J$350,$B179))*C179))</f>
        <v/>
      </c>
      <c r="S179" s="184">
        <f>H179+F179*G179*(1+I179)^MAX(0,J179-MAX(D179,B179+$J$18+1))</f>
        <v/>
      </c>
      <c r="T179" s="184">
        <f>IF(J179&gt;=MAX(D179,B179+$J$18+1),S179,R179)</f>
        <v/>
      </c>
      <c r="U179" s="184">
        <f>MIN(T179,'Tax Assumptions'!$B$19)</f>
        <v/>
      </c>
      <c r="V179" s="184">
        <f>MAX(T179-U179-'Tax Assumptions'!$B$8,0)</f>
        <v/>
      </c>
      <c r="W179" s="184">
        <f>MAX(T179-U179-'Tax Assumptions'!$B$9,0)</f>
        <v/>
      </c>
      <c r="X179" s="184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/>
      </c>
      <c r="Y179" s="184">
        <f>T179-U179-X179</f>
        <v/>
      </c>
      <c r="Z179" s="184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/>
      </c>
      <c r="AA179" s="184">
        <f>Y179-Z179</f>
        <v/>
      </c>
      <c r="AB179" s="184">
        <f>MIN(MAX(AA179,0),'Tax Assumptions'!$B$20)</f>
        <v/>
      </c>
      <c r="AC179" s="184">
        <f>AA179-AB179</f>
        <v/>
      </c>
      <c r="AD179" s="184">
        <f>MAX(AD178*(1+'Model Inputs'!$B$13)+AC179,0)</f>
        <v/>
      </c>
      <c r="AE179" s="184">
        <f>MAX(AE178*(1+'Model Inputs'!$B$13)+U179+AB179,0)</f>
        <v/>
      </c>
      <c r="AF179" s="184">
        <f>AD179+AE179</f>
        <v/>
      </c>
      <c r="AG179" s="191">
        <f>IF(AND(AF179&gt;=$F$14,AF178&lt;$F$14),J179,"")</f>
        <v/>
      </c>
      <c r="AH179" s="191">
        <f>IF(AND(AF179&gt;=$F$15,AF178&lt;$F$15),J179,"")</f>
        <v/>
      </c>
      <c r="AI179" s="191">
        <f>IF(AND(AF179&gt;=$F$16,AF178&lt;$F$16),J179,"")</f>
        <v/>
      </c>
      <c r="AJ179" s="191">
        <f>IF(AND(AF179&gt;=$F$17,AF178&lt;$F$17),J179,"")</f>
        <v/>
      </c>
    </row>
    <row r="180" outlineLevel="1" ht="18" customHeight="1" s="326">
      <c r="A180" s="181">
        <f>$A$30</f>
        <v/>
      </c>
      <c r="B180" s="191">
        <f>$B$30</f>
        <v/>
      </c>
      <c r="C180" s="187">
        <f>$C$30</f>
        <v/>
      </c>
      <c r="D180" s="191">
        <f>$D$30</f>
        <v/>
      </c>
      <c r="E180" s="181">
        <f>$E$30</f>
        <v/>
      </c>
      <c r="F180" s="184">
        <f>$F$30</f>
        <v/>
      </c>
      <c r="G180" s="188">
        <f>$G$30</f>
        <v/>
      </c>
      <c r="H180" s="184">
        <f>$H$30</f>
        <v/>
      </c>
      <c r="I180" s="188">
        <f>$J$17</f>
        <v/>
      </c>
      <c r="J180" s="191" t="n">
        <v>10</v>
      </c>
      <c r="K180" s="191">
        <f>('Model Inputs'!$B$22-1)+J180</f>
        <v/>
      </c>
      <c r="L180" s="184">
        <f>IF(J180=1,'Model Inputs'!$B$25*(13-'Model Inputs'!$B$23)/12,'Model Inputs'!$B$25)</f>
        <v/>
      </c>
      <c r="M180" s="184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/>
      </c>
      <c r="N180" s="188">
        <f>IF(J180&lt;=2,0,'Model Inputs'!$B$32*SIN(2*PI()*(J180-3+'Model Inputs'!$B$34)/MAX(1,'Model Inputs'!$B$33)))</f>
        <v/>
      </c>
      <c r="O180" s="184">
        <f>M180*(1+N180)</f>
        <v/>
      </c>
      <c r="P180" s="184">
        <f>0.75*O179+0.25*O178</f>
        <v/>
      </c>
      <c r="Q180" s="184">
        <f>L180+P180+IF(J180=1,'Model Inputs'!$B$26,0)</f>
        <v/>
      </c>
      <c r="R180" s="184">
        <f>IF(J180&lt;=B180,Q180,IF(J180&lt;=B180+$J$18,L180,(SUMIFS($L$51:$L$350,$A$51:$A$350,$A180,$J$51:$J$350,$B180)+SUMIFS($O$51:$O$350,$A$51:$A$350,$A180,$J$51:$J$350,$B180))*C180))</f>
        <v/>
      </c>
      <c r="S180" s="184">
        <f>H180+F180*G180*(1+I180)^MAX(0,J180-MAX(D180,B180+$J$18+1))</f>
        <v/>
      </c>
      <c r="T180" s="184">
        <f>IF(J180&gt;=MAX(D180,B180+$J$18+1),S180,R180)</f>
        <v/>
      </c>
      <c r="U180" s="184">
        <f>MIN(T180,'Tax Assumptions'!$B$19)</f>
        <v/>
      </c>
      <c r="V180" s="184">
        <f>MAX(T180-U180-'Tax Assumptions'!$B$8,0)</f>
        <v/>
      </c>
      <c r="W180" s="184">
        <f>MAX(T180-U180-'Tax Assumptions'!$B$9,0)</f>
        <v/>
      </c>
      <c r="X180" s="184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/>
      </c>
      <c r="Y180" s="184">
        <f>T180-U180-X180</f>
        <v/>
      </c>
      <c r="Z180" s="184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/>
      </c>
      <c r="AA180" s="184">
        <f>Y180-Z180</f>
        <v/>
      </c>
      <c r="AB180" s="184">
        <f>MIN(MAX(AA180,0),'Tax Assumptions'!$B$20)</f>
        <v/>
      </c>
      <c r="AC180" s="184">
        <f>AA180-AB180</f>
        <v/>
      </c>
      <c r="AD180" s="184">
        <f>MAX(AD179*(1+'Model Inputs'!$B$13)+AC180,0)</f>
        <v/>
      </c>
      <c r="AE180" s="184">
        <f>MAX(AE179*(1+'Model Inputs'!$B$13)+U180+AB180,0)</f>
        <v/>
      </c>
      <c r="AF180" s="184">
        <f>AD180+AE180</f>
        <v/>
      </c>
      <c r="AG180" s="191">
        <f>IF(AND(AF180&gt;=$F$14,AF179&lt;$F$14),J180,"")</f>
        <v/>
      </c>
      <c r="AH180" s="191">
        <f>IF(AND(AF180&gt;=$F$15,AF179&lt;$F$15),J180,"")</f>
        <v/>
      </c>
      <c r="AI180" s="191">
        <f>IF(AND(AF180&gt;=$F$16,AF179&lt;$F$16),J180,"")</f>
        <v/>
      </c>
      <c r="AJ180" s="191">
        <f>IF(AND(AF180&gt;=$F$17,AF179&lt;$F$17),J180,"")</f>
        <v/>
      </c>
    </row>
    <row r="181" outlineLevel="1" ht="18" customHeight="1" s="326">
      <c r="A181" s="181">
        <f>$A$30</f>
        <v/>
      </c>
      <c r="B181" s="191">
        <f>$B$30</f>
        <v/>
      </c>
      <c r="C181" s="187">
        <f>$C$30</f>
        <v/>
      </c>
      <c r="D181" s="191">
        <f>$D$30</f>
        <v/>
      </c>
      <c r="E181" s="181">
        <f>$E$30</f>
        <v/>
      </c>
      <c r="F181" s="184">
        <f>$F$30</f>
        <v/>
      </c>
      <c r="G181" s="188">
        <f>$G$30</f>
        <v/>
      </c>
      <c r="H181" s="184">
        <f>$H$30</f>
        <v/>
      </c>
      <c r="I181" s="188">
        <f>$J$17</f>
        <v/>
      </c>
      <c r="J181" s="191" t="n">
        <v>11</v>
      </c>
      <c r="K181" s="191">
        <f>('Model Inputs'!$B$22-1)+J181</f>
        <v/>
      </c>
      <c r="L181" s="184">
        <f>IF(J181=1,'Model Inputs'!$B$25*(13-'Model Inputs'!$B$23)/12,'Model Inputs'!$B$25)</f>
        <v/>
      </c>
      <c r="M181" s="184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/>
      </c>
      <c r="N181" s="188">
        <f>IF(J181&lt;=2,0,'Model Inputs'!$B$32*SIN(2*PI()*(J181-3+'Model Inputs'!$B$34)/MAX(1,'Model Inputs'!$B$33)))</f>
        <v/>
      </c>
      <c r="O181" s="184">
        <f>M181*(1+N181)</f>
        <v/>
      </c>
      <c r="P181" s="184">
        <f>0.75*O180+0.25*O179</f>
        <v/>
      </c>
      <c r="Q181" s="184">
        <f>L181+P181+IF(J181=1,'Model Inputs'!$B$26,0)</f>
        <v/>
      </c>
      <c r="R181" s="184">
        <f>IF(J181&lt;=B181,Q181,IF(J181&lt;=B181+$J$18,L181,(SUMIFS($L$51:$L$350,$A$51:$A$350,$A181,$J$51:$J$350,$B181)+SUMIFS($O$51:$O$350,$A$51:$A$350,$A181,$J$51:$J$350,$B181))*C181))</f>
        <v/>
      </c>
      <c r="S181" s="184">
        <f>H181+F181*G181*(1+I181)^MAX(0,J181-MAX(D181,B181+$J$18+1))</f>
        <v/>
      </c>
      <c r="T181" s="184">
        <f>IF(J181&gt;=MAX(D181,B181+$J$18+1),S181,R181)</f>
        <v/>
      </c>
      <c r="U181" s="184">
        <f>MIN(T181,'Tax Assumptions'!$B$19)</f>
        <v/>
      </c>
      <c r="V181" s="184">
        <f>MAX(T181-U181-'Tax Assumptions'!$B$8,0)</f>
        <v/>
      </c>
      <c r="W181" s="184">
        <f>MAX(T181-U181-'Tax Assumptions'!$B$9,0)</f>
        <v/>
      </c>
      <c r="X181" s="184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/>
      </c>
      <c r="Y181" s="184">
        <f>T181-U181-X181</f>
        <v/>
      </c>
      <c r="Z181" s="184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/>
      </c>
      <c r="AA181" s="184">
        <f>Y181-Z181</f>
        <v/>
      </c>
      <c r="AB181" s="184">
        <f>MIN(MAX(AA181,0),'Tax Assumptions'!$B$20)</f>
        <v/>
      </c>
      <c r="AC181" s="184">
        <f>AA181-AB181</f>
        <v/>
      </c>
      <c r="AD181" s="184">
        <f>MAX(AD180*(1+'Model Inputs'!$B$13)+AC181,0)</f>
        <v/>
      </c>
      <c r="AE181" s="184">
        <f>MAX(AE180*(1+'Model Inputs'!$B$13)+U181+AB181,0)</f>
        <v/>
      </c>
      <c r="AF181" s="184">
        <f>AD181+AE181</f>
        <v/>
      </c>
      <c r="AG181" s="191">
        <f>IF(AND(AF181&gt;=$F$14,AF180&lt;$F$14),J181,"")</f>
        <v/>
      </c>
      <c r="AH181" s="191">
        <f>IF(AND(AF181&gt;=$F$15,AF180&lt;$F$15),J181,"")</f>
        <v/>
      </c>
      <c r="AI181" s="191">
        <f>IF(AND(AF181&gt;=$F$16,AF180&lt;$F$16),J181,"")</f>
        <v/>
      </c>
      <c r="AJ181" s="191">
        <f>IF(AND(AF181&gt;=$F$17,AF180&lt;$F$17),J181,"")</f>
        <v/>
      </c>
    </row>
    <row r="182" outlineLevel="1" ht="18" customHeight="1" s="326">
      <c r="A182" s="181">
        <f>$A$30</f>
        <v/>
      </c>
      <c r="B182" s="191">
        <f>$B$30</f>
        <v/>
      </c>
      <c r="C182" s="187">
        <f>$C$30</f>
        <v/>
      </c>
      <c r="D182" s="191">
        <f>$D$30</f>
        <v/>
      </c>
      <c r="E182" s="181">
        <f>$E$30</f>
        <v/>
      </c>
      <c r="F182" s="184">
        <f>$F$30</f>
        <v/>
      </c>
      <c r="G182" s="188">
        <f>$G$30</f>
        <v/>
      </c>
      <c r="H182" s="184">
        <f>$H$30</f>
        <v/>
      </c>
      <c r="I182" s="188">
        <f>$J$17</f>
        <v/>
      </c>
      <c r="J182" s="191" t="n">
        <v>12</v>
      </c>
      <c r="K182" s="191">
        <f>('Model Inputs'!$B$22-1)+J182</f>
        <v/>
      </c>
      <c r="L182" s="184">
        <f>IF(J182=1,'Model Inputs'!$B$25*(13-'Model Inputs'!$B$23)/12,'Model Inputs'!$B$25)</f>
        <v/>
      </c>
      <c r="M182" s="184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/>
      </c>
      <c r="N182" s="188">
        <f>IF(J182&lt;=2,0,'Model Inputs'!$B$32*SIN(2*PI()*(J182-3+'Model Inputs'!$B$34)/MAX(1,'Model Inputs'!$B$33)))</f>
        <v/>
      </c>
      <c r="O182" s="184">
        <f>M182*(1+N182)</f>
        <v/>
      </c>
      <c r="P182" s="184">
        <f>0.75*O181+0.25*O180</f>
        <v/>
      </c>
      <c r="Q182" s="184">
        <f>L182+P182+IF(J182=1,'Model Inputs'!$B$26,0)</f>
        <v/>
      </c>
      <c r="R182" s="184">
        <f>IF(J182&lt;=B182,Q182,IF(J182&lt;=B182+$J$18,L182,(SUMIFS($L$51:$L$350,$A$51:$A$350,$A182,$J$51:$J$350,$B182)+SUMIFS($O$51:$O$350,$A$51:$A$350,$A182,$J$51:$J$350,$B182))*C182))</f>
        <v/>
      </c>
      <c r="S182" s="184">
        <f>H182+F182*G182*(1+I182)^MAX(0,J182-MAX(D182,B182+$J$18+1))</f>
        <v/>
      </c>
      <c r="T182" s="184">
        <f>IF(J182&gt;=MAX(D182,B182+$J$18+1),S182,R182)</f>
        <v/>
      </c>
      <c r="U182" s="184">
        <f>MIN(T182,'Tax Assumptions'!$B$19)</f>
        <v/>
      </c>
      <c r="V182" s="184">
        <f>MAX(T182-U182-'Tax Assumptions'!$B$8,0)</f>
        <v/>
      </c>
      <c r="W182" s="184">
        <f>MAX(T182-U182-'Tax Assumptions'!$B$9,0)</f>
        <v/>
      </c>
      <c r="X182" s="184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/>
      </c>
      <c r="Y182" s="184">
        <f>T182-U182-X182</f>
        <v/>
      </c>
      <c r="Z182" s="184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/>
      </c>
      <c r="AA182" s="184">
        <f>Y182-Z182</f>
        <v/>
      </c>
      <c r="AB182" s="184">
        <f>MIN(MAX(AA182,0),'Tax Assumptions'!$B$20)</f>
        <v/>
      </c>
      <c r="AC182" s="184">
        <f>AA182-AB182</f>
        <v/>
      </c>
      <c r="AD182" s="184">
        <f>MAX(AD181*(1+'Model Inputs'!$B$13)+AC182,0)</f>
        <v/>
      </c>
      <c r="AE182" s="184">
        <f>MAX(AE181*(1+'Model Inputs'!$B$13)+U182+AB182,0)</f>
        <v/>
      </c>
      <c r="AF182" s="184">
        <f>AD182+AE182</f>
        <v/>
      </c>
      <c r="AG182" s="191">
        <f>IF(AND(AF182&gt;=$F$14,AF181&lt;$F$14),J182,"")</f>
        <v/>
      </c>
      <c r="AH182" s="191">
        <f>IF(AND(AF182&gt;=$F$15,AF181&lt;$F$15),J182,"")</f>
        <v/>
      </c>
      <c r="AI182" s="191">
        <f>IF(AND(AF182&gt;=$F$16,AF181&lt;$F$16),J182,"")</f>
        <v/>
      </c>
      <c r="AJ182" s="191">
        <f>IF(AND(AF182&gt;=$F$17,AF181&lt;$F$17),J182,"")</f>
        <v/>
      </c>
    </row>
    <row r="183" outlineLevel="1" ht="18" customHeight="1" s="326">
      <c r="A183" s="181">
        <f>$A$30</f>
        <v/>
      </c>
      <c r="B183" s="191">
        <f>$B$30</f>
        <v/>
      </c>
      <c r="C183" s="187">
        <f>$C$30</f>
        <v/>
      </c>
      <c r="D183" s="191">
        <f>$D$30</f>
        <v/>
      </c>
      <c r="E183" s="181">
        <f>$E$30</f>
        <v/>
      </c>
      <c r="F183" s="184">
        <f>$F$30</f>
        <v/>
      </c>
      <c r="G183" s="188">
        <f>$G$30</f>
        <v/>
      </c>
      <c r="H183" s="184">
        <f>$H$30</f>
        <v/>
      </c>
      <c r="I183" s="188">
        <f>$J$17</f>
        <v/>
      </c>
      <c r="J183" s="191" t="n">
        <v>13</v>
      </c>
      <c r="K183" s="191">
        <f>('Model Inputs'!$B$22-1)+J183</f>
        <v/>
      </c>
      <c r="L183" s="184">
        <f>IF(J183=1,'Model Inputs'!$B$25*(13-'Model Inputs'!$B$23)/12,'Model Inputs'!$B$25)</f>
        <v/>
      </c>
      <c r="M183" s="184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/>
      </c>
      <c r="N183" s="188">
        <f>IF(J183&lt;=2,0,'Model Inputs'!$B$32*SIN(2*PI()*(J183-3+'Model Inputs'!$B$34)/MAX(1,'Model Inputs'!$B$33)))</f>
        <v/>
      </c>
      <c r="O183" s="184">
        <f>M183*(1+N183)</f>
        <v/>
      </c>
      <c r="P183" s="184">
        <f>0.75*O182+0.25*O181</f>
        <v/>
      </c>
      <c r="Q183" s="184">
        <f>L183+P183+IF(J183=1,'Model Inputs'!$B$26,0)</f>
        <v/>
      </c>
      <c r="R183" s="184">
        <f>IF(J183&lt;=B183,Q183,IF(J183&lt;=B183+$J$18,L183,(SUMIFS($L$51:$L$350,$A$51:$A$350,$A183,$J$51:$J$350,$B183)+SUMIFS($O$51:$O$350,$A$51:$A$350,$A183,$J$51:$J$350,$B183))*C183))</f>
        <v/>
      </c>
      <c r="S183" s="184">
        <f>H183+F183*G183*(1+I183)^MAX(0,J183-MAX(D183,B183+$J$18+1))</f>
        <v/>
      </c>
      <c r="T183" s="184">
        <f>IF(J183&gt;=MAX(D183,B183+$J$18+1),S183,R183)</f>
        <v/>
      </c>
      <c r="U183" s="184">
        <f>MIN(T183,'Tax Assumptions'!$B$19)</f>
        <v/>
      </c>
      <c r="V183" s="184">
        <f>MAX(T183-U183-'Tax Assumptions'!$B$8,0)</f>
        <v/>
      </c>
      <c r="W183" s="184">
        <f>MAX(T183-U183-'Tax Assumptions'!$B$9,0)</f>
        <v/>
      </c>
      <c r="X183" s="184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/>
      </c>
      <c r="Y183" s="184">
        <f>T183-U183-X183</f>
        <v/>
      </c>
      <c r="Z183" s="184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/>
      </c>
      <c r="AA183" s="184">
        <f>Y183-Z183</f>
        <v/>
      </c>
      <c r="AB183" s="184">
        <f>MIN(MAX(AA183,0),'Tax Assumptions'!$B$20)</f>
        <v/>
      </c>
      <c r="AC183" s="184">
        <f>AA183-AB183</f>
        <v/>
      </c>
      <c r="AD183" s="184">
        <f>MAX(AD182*(1+'Model Inputs'!$B$13)+AC183,0)</f>
        <v/>
      </c>
      <c r="AE183" s="184">
        <f>MAX(AE182*(1+'Model Inputs'!$B$13)+U183+AB183,0)</f>
        <v/>
      </c>
      <c r="AF183" s="184">
        <f>AD183+AE183</f>
        <v/>
      </c>
      <c r="AG183" s="191">
        <f>IF(AND(AF183&gt;=$F$14,AF182&lt;$F$14),J183,"")</f>
        <v/>
      </c>
      <c r="AH183" s="191">
        <f>IF(AND(AF183&gt;=$F$15,AF182&lt;$F$15),J183,"")</f>
        <v/>
      </c>
      <c r="AI183" s="191">
        <f>IF(AND(AF183&gt;=$F$16,AF182&lt;$F$16),J183,"")</f>
        <v/>
      </c>
      <c r="AJ183" s="191">
        <f>IF(AND(AF183&gt;=$F$17,AF182&lt;$F$17),J183,"")</f>
        <v/>
      </c>
    </row>
    <row r="184" outlineLevel="1" ht="18" customHeight="1" s="326">
      <c r="A184" s="181">
        <f>$A$30</f>
        <v/>
      </c>
      <c r="B184" s="191">
        <f>$B$30</f>
        <v/>
      </c>
      <c r="C184" s="187">
        <f>$C$30</f>
        <v/>
      </c>
      <c r="D184" s="191">
        <f>$D$30</f>
        <v/>
      </c>
      <c r="E184" s="181">
        <f>$E$30</f>
        <v/>
      </c>
      <c r="F184" s="184">
        <f>$F$30</f>
        <v/>
      </c>
      <c r="G184" s="188">
        <f>$G$30</f>
        <v/>
      </c>
      <c r="H184" s="184">
        <f>$H$30</f>
        <v/>
      </c>
      <c r="I184" s="188">
        <f>$J$17</f>
        <v/>
      </c>
      <c r="J184" s="191" t="n">
        <v>14</v>
      </c>
      <c r="K184" s="191">
        <f>('Model Inputs'!$B$22-1)+J184</f>
        <v/>
      </c>
      <c r="L184" s="184">
        <f>IF(J184=1,'Model Inputs'!$B$25*(13-'Model Inputs'!$B$23)/12,'Model Inputs'!$B$25)</f>
        <v/>
      </c>
      <c r="M184" s="184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/>
      </c>
      <c r="N184" s="188">
        <f>IF(J184&lt;=2,0,'Model Inputs'!$B$32*SIN(2*PI()*(J184-3+'Model Inputs'!$B$34)/MAX(1,'Model Inputs'!$B$33)))</f>
        <v/>
      </c>
      <c r="O184" s="184">
        <f>M184*(1+N184)</f>
        <v/>
      </c>
      <c r="P184" s="184">
        <f>0.75*O183+0.25*O182</f>
        <v/>
      </c>
      <c r="Q184" s="184">
        <f>L184+P184+IF(J184=1,'Model Inputs'!$B$26,0)</f>
        <v/>
      </c>
      <c r="R184" s="184">
        <f>IF(J184&lt;=B184,Q184,IF(J184&lt;=B184+$J$18,L184,(SUMIFS($L$51:$L$350,$A$51:$A$350,$A184,$J$51:$J$350,$B184)+SUMIFS($O$51:$O$350,$A$51:$A$350,$A184,$J$51:$J$350,$B184))*C184))</f>
        <v/>
      </c>
      <c r="S184" s="184">
        <f>H184+F184*G184*(1+I184)^MAX(0,J184-MAX(D184,B184+$J$18+1))</f>
        <v/>
      </c>
      <c r="T184" s="184">
        <f>IF(J184&gt;=MAX(D184,B184+$J$18+1),S184,R184)</f>
        <v/>
      </c>
      <c r="U184" s="184">
        <f>MIN(T184,'Tax Assumptions'!$B$19)</f>
        <v/>
      </c>
      <c r="V184" s="184">
        <f>MAX(T184-U184-'Tax Assumptions'!$B$8,0)</f>
        <v/>
      </c>
      <c r="W184" s="184">
        <f>MAX(T184-U184-'Tax Assumptions'!$B$9,0)</f>
        <v/>
      </c>
      <c r="X184" s="184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/>
      </c>
      <c r="Y184" s="184">
        <f>T184-U184-X184</f>
        <v/>
      </c>
      <c r="Z184" s="184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/>
      </c>
      <c r="AA184" s="184">
        <f>Y184-Z184</f>
        <v/>
      </c>
      <c r="AB184" s="184">
        <f>MIN(MAX(AA184,0),'Tax Assumptions'!$B$20)</f>
        <v/>
      </c>
      <c r="AC184" s="184">
        <f>AA184-AB184</f>
        <v/>
      </c>
      <c r="AD184" s="184">
        <f>MAX(AD183*(1+'Model Inputs'!$B$13)+AC184,0)</f>
        <v/>
      </c>
      <c r="AE184" s="184">
        <f>MAX(AE183*(1+'Model Inputs'!$B$13)+U184+AB184,0)</f>
        <v/>
      </c>
      <c r="AF184" s="184">
        <f>AD184+AE184</f>
        <v/>
      </c>
      <c r="AG184" s="191">
        <f>IF(AND(AF184&gt;=$F$14,AF183&lt;$F$14),J184,"")</f>
        <v/>
      </c>
      <c r="AH184" s="191">
        <f>IF(AND(AF184&gt;=$F$15,AF183&lt;$F$15),J184,"")</f>
        <v/>
      </c>
      <c r="AI184" s="191">
        <f>IF(AND(AF184&gt;=$F$16,AF183&lt;$F$16),J184,"")</f>
        <v/>
      </c>
      <c r="AJ184" s="191">
        <f>IF(AND(AF184&gt;=$F$17,AF183&lt;$F$17),J184,"")</f>
        <v/>
      </c>
    </row>
    <row r="185" outlineLevel="1" ht="18" customHeight="1" s="326">
      <c r="A185" s="181">
        <f>$A$30</f>
        <v/>
      </c>
      <c r="B185" s="191">
        <f>$B$30</f>
        <v/>
      </c>
      <c r="C185" s="187">
        <f>$C$30</f>
        <v/>
      </c>
      <c r="D185" s="191">
        <f>$D$30</f>
        <v/>
      </c>
      <c r="E185" s="181">
        <f>$E$30</f>
        <v/>
      </c>
      <c r="F185" s="184">
        <f>$F$30</f>
        <v/>
      </c>
      <c r="G185" s="188">
        <f>$G$30</f>
        <v/>
      </c>
      <c r="H185" s="184">
        <f>$H$30</f>
        <v/>
      </c>
      <c r="I185" s="188">
        <f>$J$17</f>
        <v/>
      </c>
      <c r="J185" s="191" t="n">
        <v>15</v>
      </c>
      <c r="K185" s="191">
        <f>('Model Inputs'!$B$22-1)+J185</f>
        <v/>
      </c>
      <c r="L185" s="184">
        <f>IF(J185=1,'Model Inputs'!$B$25*(13-'Model Inputs'!$B$23)/12,'Model Inputs'!$B$25)</f>
        <v/>
      </c>
      <c r="M185" s="184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/>
      </c>
      <c r="N185" s="188">
        <f>IF(J185&lt;=2,0,'Model Inputs'!$B$32*SIN(2*PI()*(J185-3+'Model Inputs'!$B$34)/MAX(1,'Model Inputs'!$B$33)))</f>
        <v/>
      </c>
      <c r="O185" s="184">
        <f>M185*(1+N185)</f>
        <v/>
      </c>
      <c r="P185" s="184">
        <f>0.75*O184+0.25*O183</f>
        <v/>
      </c>
      <c r="Q185" s="184">
        <f>L185+P185+IF(J185=1,'Model Inputs'!$B$26,0)</f>
        <v/>
      </c>
      <c r="R185" s="184">
        <f>IF(J185&lt;=B185,Q185,IF(J185&lt;=B185+$J$18,L185,(SUMIFS($L$51:$L$350,$A$51:$A$350,$A185,$J$51:$J$350,$B185)+SUMIFS($O$51:$O$350,$A$51:$A$350,$A185,$J$51:$J$350,$B185))*C185))</f>
        <v/>
      </c>
      <c r="S185" s="184">
        <f>H185+F185*G185*(1+I185)^MAX(0,J185-MAX(D185,B185+$J$18+1))</f>
        <v/>
      </c>
      <c r="T185" s="184">
        <f>IF(J185&gt;=MAX(D185,B185+$J$18+1),S185,R185)</f>
        <v/>
      </c>
      <c r="U185" s="184">
        <f>MIN(T185,'Tax Assumptions'!$B$19)</f>
        <v/>
      </c>
      <c r="V185" s="184">
        <f>MAX(T185-U185-'Tax Assumptions'!$B$8,0)</f>
        <v/>
      </c>
      <c r="W185" s="184">
        <f>MAX(T185-U185-'Tax Assumptions'!$B$9,0)</f>
        <v/>
      </c>
      <c r="X185" s="184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/>
      </c>
      <c r="Y185" s="184">
        <f>T185-U185-X185</f>
        <v/>
      </c>
      <c r="Z185" s="184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/>
      </c>
      <c r="AA185" s="184">
        <f>Y185-Z185</f>
        <v/>
      </c>
      <c r="AB185" s="184">
        <f>MIN(MAX(AA185,0),'Tax Assumptions'!$B$20)</f>
        <v/>
      </c>
      <c r="AC185" s="184">
        <f>AA185-AB185</f>
        <v/>
      </c>
      <c r="AD185" s="184">
        <f>MAX(AD184*(1+'Model Inputs'!$B$13)+AC185,0)</f>
        <v/>
      </c>
      <c r="AE185" s="184">
        <f>MAX(AE184*(1+'Model Inputs'!$B$13)+U185+AB185,0)</f>
        <v/>
      </c>
      <c r="AF185" s="184">
        <f>AD185+AE185</f>
        <v/>
      </c>
      <c r="AG185" s="191">
        <f>IF(AND(AF185&gt;=$F$14,AF184&lt;$F$14),J185,"")</f>
        <v/>
      </c>
      <c r="AH185" s="191">
        <f>IF(AND(AF185&gt;=$F$15,AF184&lt;$F$15),J185,"")</f>
        <v/>
      </c>
      <c r="AI185" s="191">
        <f>IF(AND(AF185&gt;=$F$16,AF184&lt;$F$16),J185,"")</f>
        <v/>
      </c>
      <c r="AJ185" s="191">
        <f>IF(AND(AF185&gt;=$F$17,AF184&lt;$F$17),J185,"")</f>
        <v/>
      </c>
    </row>
    <row r="186" outlineLevel="1" ht="18" customHeight="1" s="326">
      <c r="A186" s="181">
        <f>$A$31</f>
        <v/>
      </c>
      <c r="B186" s="191">
        <f>$B$31</f>
        <v/>
      </c>
      <c r="C186" s="187">
        <f>$C$31</f>
        <v/>
      </c>
      <c r="D186" s="191">
        <f>$D$31</f>
        <v/>
      </c>
      <c r="E186" s="181">
        <f>$E$31</f>
        <v/>
      </c>
      <c r="F186" s="184">
        <f>$F$31</f>
        <v/>
      </c>
      <c r="G186" s="188">
        <f>$G$31</f>
        <v/>
      </c>
      <c r="H186" s="184">
        <f>$H$31</f>
        <v/>
      </c>
      <c r="I186" s="188">
        <f>$J$17</f>
        <v/>
      </c>
      <c r="J186" s="191" t="n">
        <v>1</v>
      </c>
      <c r="K186" s="191">
        <f>('Model Inputs'!$B$22-1)+J186</f>
        <v/>
      </c>
      <c r="L186" s="184">
        <f>IF(J186=1,'Model Inputs'!$B$25*(13-'Model Inputs'!$B$23)/12,'Model Inputs'!$B$25)</f>
        <v/>
      </c>
      <c r="M186" s="184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/>
      </c>
      <c r="N186" s="188">
        <f>IF(J186&lt;=2,0,'Model Inputs'!$B$32*SIN(2*PI()*(J186-3+'Model Inputs'!$B$34)/MAX(1,'Model Inputs'!$B$33)))</f>
        <v/>
      </c>
      <c r="O186" s="184">
        <f>M186*(1+N186)</f>
        <v/>
      </c>
      <c r="P186" s="184">
        <f>0</f>
        <v/>
      </c>
      <c r="Q186" s="184">
        <f>L186+P186+IF(J186=1,'Model Inputs'!$B$26,0)</f>
        <v/>
      </c>
      <c r="R186" s="184">
        <f>IF(J186&lt;=B186,Q186,IF(J186&lt;=B186+$J$18,L186,(SUMIFS($L$51:$L$350,$A$51:$A$350,$A186,$J$51:$J$350,$B186)+SUMIFS($O$51:$O$350,$A$51:$A$350,$A186,$J$51:$J$350,$B186))*C186))</f>
        <v/>
      </c>
      <c r="S186" s="184">
        <f>H186+F186*G186*(1+I186)^MAX(0,J186-MAX(D186,B186+$J$18+1))</f>
        <v/>
      </c>
      <c r="T186" s="184">
        <f>IF(J186&gt;=MAX(D186,B186+$J$18+1),S186,R186)</f>
        <v/>
      </c>
      <c r="U186" s="184">
        <f>MIN(T186,'Tax Assumptions'!$B$19)</f>
        <v/>
      </c>
      <c r="V186" s="184">
        <f>MAX(T186-U186-'Tax Assumptions'!$B$8,0)</f>
        <v/>
      </c>
      <c r="W186" s="184">
        <f>MAX(T186-U186-'Tax Assumptions'!$B$9,0)</f>
        <v/>
      </c>
      <c r="X186" s="184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/>
      </c>
      <c r="Y186" s="184">
        <f>T186-U186-X186</f>
        <v/>
      </c>
      <c r="Z186" s="184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/>
      </c>
      <c r="AA186" s="184">
        <f>Y186-Z186</f>
        <v/>
      </c>
      <c r="AB186" s="184">
        <f>MIN(MAX(AA186,0),'Tax Assumptions'!$B$20)</f>
        <v/>
      </c>
      <c r="AC186" s="184">
        <f>AA186-AB186</f>
        <v/>
      </c>
      <c r="AD186" s="184">
        <f>MAX('Model Inputs'!$B$7*(1+'Model Inputs'!$B$13)+AC186,0)</f>
        <v/>
      </c>
      <c r="AE186" s="184">
        <f>MAX(('Model Inputs'!$B$8+'Model Inputs'!$B$9+'Model Inputs'!$B$10)*(1+'Model Inputs'!$B$13)+U186+AB186,0)</f>
        <v/>
      </c>
      <c r="AF186" s="184">
        <f>AD186+AE186</f>
        <v/>
      </c>
      <c r="AG186" s="191">
        <f>IF(AND(AF186&gt;=$F$14,0&lt;$F$14),J186,"")</f>
        <v/>
      </c>
      <c r="AH186" s="191">
        <f>IF(AND(AF186&gt;=$F$15,0&lt;$F$15),J186,"")</f>
        <v/>
      </c>
      <c r="AI186" s="191">
        <f>IF(AND(AF186&gt;=$F$16,0&lt;$F$16),J186,"")</f>
        <v/>
      </c>
      <c r="AJ186" s="191">
        <f>IF(AND(AF186&gt;=$F$17,0&lt;$F$17),J186,"")</f>
        <v/>
      </c>
    </row>
    <row r="187" outlineLevel="1" ht="18" customHeight="1" s="326">
      <c r="A187" s="181">
        <f>$A$31</f>
        <v/>
      </c>
      <c r="B187" s="191">
        <f>$B$31</f>
        <v/>
      </c>
      <c r="C187" s="187">
        <f>$C$31</f>
        <v/>
      </c>
      <c r="D187" s="191">
        <f>$D$31</f>
        <v/>
      </c>
      <c r="E187" s="181">
        <f>$E$31</f>
        <v/>
      </c>
      <c r="F187" s="184">
        <f>$F$31</f>
        <v/>
      </c>
      <c r="G187" s="188">
        <f>$G$31</f>
        <v/>
      </c>
      <c r="H187" s="184">
        <f>$H$31</f>
        <v/>
      </c>
      <c r="I187" s="188">
        <f>$J$17</f>
        <v/>
      </c>
      <c r="J187" s="191" t="n">
        <v>2</v>
      </c>
      <c r="K187" s="191">
        <f>('Model Inputs'!$B$22-1)+J187</f>
        <v/>
      </c>
      <c r="L187" s="184">
        <f>IF(J187=1,'Model Inputs'!$B$25*(13-'Model Inputs'!$B$23)/12,'Model Inputs'!$B$25)</f>
        <v/>
      </c>
      <c r="M187" s="184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/>
      </c>
      <c r="N187" s="188">
        <f>IF(J187&lt;=2,0,'Model Inputs'!$B$32*SIN(2*PI()*(J187-3+'Model Inputs'!$B$34)/MAX(1,'Model Inputs'!$B$33)))</f>
        <v/>
      </c>
      <c r="O187" s="184">
        <f>M187*(1+N187)</f>
        <v/>
      </c>
      <c r="P187" s="184">
        <f>0.75*O186</f>
        <v/>
      </c>
      <c r="Q187" s="184">
        <f>L187+P187+IF(J187=1,'Model Inputs'!$B$26,0)</f>
        <v/>
      </c>
      <c r="R187" s="184">
        <f>IF(J187&lt;=B187,Q187,IF(J187&lt;=B187+$J$18,L187,(SUMIFS($L$51:$L$350,$A$51:$A$350,$A187,$J$51:$J$350,$B187)+SUMIFS($O$51:$O$350,$A$51:$A$350,$A187,$J$51:$J$350,$B187))*C187))</f>
        <v/>
      </c>
      <c r="S187" s="184">
        <f>H187+F187*G187*(1+I187)^MAX(0,J187-MAX(D187,B187+$J$18+1))</f>
        <v/>
      </c>
      <c r="T187" s="184">
        <f>IF(J187&gt;=MAX(D187,B187+$J$18+1),S187,R187)</f>
        <v/>
      </c>
      <c r="U187" s="184">
        <f>MIN(T187,'Tax Assumptions'!$B$19)</f>
        <v/>
      </c>
      <c r="V187" s="184">
        <f>MAX(T187-U187-'Tax Assumptions'!$B$8,0)</f>
        <v/>
      </c>
      <c r="W187" s="184">
        <f>MAX(T187-U187-'Tax Assumptions'!$B$9,0)</f>
        <v/>
      </c>
      <c r="X187" s="184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/>
      </c>
      <c r="Y187" s="184">
        <f>T187-U187-X187</f>
        <v/>
      </c>
      <c r="Z187" s="184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/>
      </c>
      <c r="AA187" s="184">
        <f>Y187-Z187</f>
        <v/>
      </c>
      <c r="AB187" s="184">
        <f>MIN(MAX(AA187,0),'Tax Assumptions'!$B$20)</f>
        <v/>
      </c>
      <c r="AC187" s="184">
        <f>AA187-AB187</f>
        <v/>
      </c>
      <c r="AD187" s="184">
        <f>MAX(AD186*(1+'Model Inputs'!$B$13)+AC187,0)</f>
        <v/>
      </c>
      <c r="AE187" s="184">
        <f>MAX(AE186*(1+'Model Inputs'!$B$13)+U187+AB187,0)</f>
        <v/>
      </c>
      <c r="AF187" s="184">
        <f>AD187+AE187</f>
        <v/>
      </c>
      <c r="AG187" s="191">
        <f>IF(AND(AF187&gt;=$F$14,AF186&lt;$F$14),J187,"")</f>
        <v/>
      </c>
      <c r="AH187" s="191">
        <f>IF(AND(AF187&gt;=$F$15,AF186&lt;$F$15),J187,"")</f>
        <v/>
      </c>
      <c r="AI187" s="191">
        <f>IF(AND(AF187&gt;=$F$16,AF186&lt;$F$16),J187,"")</f>
        <v/>
      </c>
      <c r="AJ187" s="191">
        <f>IF(AND(AF187&gt;=$F$17,AF186&lt;$F$17),J187,"")</f>
        <v/>
      </c>
    </row>
    <row r="188" outlineLevel="1" ht="18" customHeight="1" s="326">
      <c r="A188" s="181">
        <f>$A$31</f>
        <v/>
      </c>
      <c r="B188" s="191">
        <f>$B$31</f>
        <v/>
      </c>
      <c r="C188" s="187">
        <f>$C$31</f>
        <v/>
      </c>
      <c r="D188" s="191">
        <f>$D$31</f>
        <v/>
      </c>
      <c r="E188" s="181">
        <f>$E$31</f>
        <v/>
      </c>
      <c r="F188" s="184">
        <f>$F$31</f>
        <v/>
      </c>
      <c r="G188" s="188">
        <f>$G$31</f>
        <v/>
      </c>
      <c r="H188" s="184">
        <f>$H$31</f>
        <v/>
      </c>
      <c r="I188" s="188">
        <f>$J$17</f>
        <v/>
      </c>
      <c r="J188" s="191" t="n">
        <v>3</v>
      </c>
      <c r="K188" s="191">
        <f>('Model Inputs'!$B$22-1)+J188</f>
        <v/>
      </c>
      <c r="L188" s="184">
        <f>IF(J188=1,'Model Inputs'!$B$25*(13-'Model Inputs'!$B$23)/12,'Model Inputs'!$B$25)</f>
        <v/>
      </c>
      <c r="M188" s="184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/>
      </c>
      <c r="N188" s="188">
        <f>IF(J188&lt;=2,0,'Model Inputs'!$B$32*SIN(2*PI()*(J188-3+'Model Inputs'!$B$34)/MAX(1,'Model Inputs'!$B$33)))</f>
        <v/>
      </c>
      <c r="O188" s="184">
        <f>M188*(1+N188)</f>
        <v/>
      </c>
      <c r="P188" s="184">
        <f>0.75*O187+0.25*O186</f>
        <v/>
      </c>
      <c r="Q188" s="184">
        <f>L188+P188+IF(J188=1,'Model Inputs'!$B$26,0)</f>
        <v/>
      </c>
      <c r="R188" s="184">
        <f>IF(J188&lt;=B188,Q188,IF(J188&lt;=B188+$J$18,L188,(SUMIFS($L$51:$L$350,$A$51:$A$350,$A188,$J$51:$J$350,$B188)+SUMIFS($O$51:$O$350,$A$51:$A$350,$A188,$J$51:$J$350,$B188))*C188))</f>
        <v/>
      </c>
      <c r="S188" s="184">
        <f>H188+F188*G188*(1+I188)^MAX(0,J188-MAX(D188,B188+$J$18+1))</f>
        <v/>
      </c>
      <c r="T188" s="184">
        <f>IF(J188&gt;=MAX(D188,B188+$J$18+1),S188,R188)</f>
        <v/>
      </c>
      <c r="U188" s="184">
        <f>MIN(T188,'Tax Assumptions'!$B$19)</f>
        <v/>
      </c>
      <c r="V188" s="184">
        <f>MAX(T188-U188-'Tax Assumptions'!$B$8,0)</f>
        <v/>
      </c>
      <c r="W188" s="184">
        <f>MAX(T188-U188-'Tax Assumptions'!$B$9,0)</f>
        <v/>
      </c>
      <c r="X188" s="184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/>
      </c>
      <c r="Y188" s="184">
        <f>T188-U188-X188</f>
        <v/>
      </c>
      <c r="Z188" s="184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/>
      </c>
      <c r="AA188" s="184">
        <f>Y188-Z188</f>
        <v/>
      </c>
      <c r="AB188" s="184">
        <f>MIN(MAX(AA188,0),'Tax Assumptions'!$B$20)</f>
        <v/>
      </c>
      <c r="AC188" s="184">
        <f>AA188-AB188</f>
        <v/>
      </c>
      <c r="AD188" s="184">
        <f>MAX(AD187*(1+'Model Inputs'!$B$13)+AC188,0)</f>
        <v/>
      </c>
      <c r="AE188" s="184">
        <f>MAX(AE187*(1+'Model Inputs'!$B$13)+U188+AB188,0)</f>
        <v/>
      </c>
      <c r="AF188" s="184">
        <f>AD188+AE188</f>
        <v/>
      </c>
      <c r="AG188" s="191">
        <f>IF(AND(AF188&gt;=$F$14,AF187&lt;$F$14),J188,"")</f>
        <v/>
      </c>
      <c r="AH188" s="191">
        <f>IF(AND(AF188&gt;=$F$15,AF187&lt;$F$15),J188,"")</f>
        <v/>
      </c>
      <c r="AI188" s="191">
        <f>IF(AND(AF188&gt;=$F$16,AF187&lt;$F$16),J188,"")</f>
        <v/>
      </c>
      <c r="AJ188" s="191">
        <f>IF(AND(AF188&gt;=$F$17,AF187&lt;$F$17),J188,"")</f>
        <v/>
      </c>
    </row>
    <row r="189" outlineLevel="1" ht="18" customHeight="1" s="326">
      <c r="A189" s="181">
        <f>$A$31</f>
        <v/>
      </c>
      <c r="B189" s="191">
        <f>$B$31</f>
        <v/>
      </c>
      <c r="C189" s="187">
        <f>$C$31</f>
        <v/>
      </c>
      <c r="D189" s="191">
        <f>$D$31</f>
        <v/>
      </c>
      <c r="E189" s="181">
        <f>$E$31</f>
        <v/>
      </c>
      <c r="F189" s="184">
        <f>$F$31</f>
        <v/>
      </c>
      <c r="G189" s="188">
        <f>$G$31</f>
        <v/>
      </c>
      <c r="H189" s="184">
        <f>$H$31</f>
        <v/>
      </c>
      <c r="I189" s="188">
        <f>$J$17</f>
        <v/>
      </c>
      <c r="J189" s="191" t="n">
        <v>4</v>
      </c>
      <c r="K189" s="191">
        <f>('Model Inputs'!$B$22-1)+J189</f>
        <v/>
      </c>
      <c r="L189" s="184">
        <f>IF(J189=1,'Model Inputs'!$B$25*(13-'Model Inputs'!$B$23)/12,'Model Inputs'!$B$25)</f>
        <v/>
      </c>
      <c r="M189" s="184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/>
      </c>
      <c r="N189" s="188">
        <f>IF(J189&lt;=2,0,'Model Inputs'!$B$32*SIN(2*PI()*(J189-3+'Model Inputs'!$B$34)/MAX(1,'Model Inputs'!$B$33)))</f>
        <v/>
      </c>
      <c r="O189" s="184">
        <f>M189*(1+N189)</f>
        <v/>
      </c>
      <c r="P189" s="184">
        <f>0.75*O188+0.25*O187</f>
        <v/>
      </c>
      <c r="Q189" s="184">
        <f>L189+P189+IF(J189=1,'Model Inputs'!$B$26,0)</f>
        <v/>
      </c>
      <c r="R189" s="184">
        <f>IF(J189&lt;=B189,Q189,IF(J189&lt;=B189+$J$18,L189,(SUMIFS($L$51:$L$350,$A$51:$A$350,$A189,$J$51:$J$350,$B189)+SUMIFS($O$51:$O$350,$A$51:$A$350,$A189,$J$51:$J$350,$B189))*C189))</f>
        <v/>
      </c>
      <c r="S189" s="184">
        <f>H189+F189*G189*(1+I189)^MAX(0,J189-MAX(D189,B189+$J$18+1))</f>
        <v/>
      </c>
      <c r="T189" s="184">
        <f>IF(J189&gt;=MAX(D189,B189+$J$18+1),S189,R189)</f>
        <v/>
      </c>
      <c r="U189" s="184">
        <f>MIN(T189,'Tax Assumptions'!$B$19)</f>
        <v/>
      </c>
      <c r="V189" s="184">
        <f>MAX(T189-U189-'Tax Assumptions'!$B$8,0)</f>
        <v/>
      </c>
      <c r="W189" s="184">
        <f>MAX(T189-U189-'Tax Assumptions'!$B$9,0)</f>
        <v/>
      </c>
      <c r="X189" s="184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/>
      </c>
      <c r="Y189" s="184">
        <f>T189-U189-X189</f>
        <v/>
      </c>
      <c r="Z189" s="184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/>
      </c>
      <c r="AA189" s="184">
        <f>Y189-Z189</f>
        <v/>
      </c>
      <c r="AB189" s="184">
        <f>MIN(MAX(AA189,0),'Tax Assumptions'!$B$20)</f>
        <v/>
      </c>
      <c r="AC189" s="184">
        <f>AA189-AB189</f>
        <v/>
      </c>
      <c r="AD189" s="184">
        <f>MAX(AD188*(1+'Model Inputs'!$B$13)+AC189,0)</f>
        <v/>
      </c>
      <c r="AE189" s="184">
        <f>MAX(AE188*(1+'Model Inputs'!$B$13)+U189+AB189,0)</f>
        <v/>
      </c>
      <c r="AF189" s="184">
        <f>AD189+AE189</f>
        <v/>
      </c>
      <c r="AG189" s="191">
        <f>IF(AND(AF189&gt;=$F$14,AF188&lt;$F$14),J189,"")</f>
        <v/>
      </c>
      <c r="AH189" s="191">
        <f>IF(AND(AF189&gt;=$F$15,AF188&lt;$F$15),J189,"")</f>
        <v/>
      </c>
      <c r="AI189" s="191">
        <f>IF(AND(AF189&gt;=$F$16,AF188&lt;$F$16),J189,"")</f>
        <v/>
      </c>
      <c r="AJ189" s="191">
        <f>IF(AND(AF189&gt;=$F$17,AF188&lt;$F$17),J189,"")</f>
        <v/>
      </c>
    </row>
    <row r="190" outlineLevel="1" ht="18" customHeight="1" s="326">
      <c r="A190" s="181">
        <f>$A$31</f>
        <v/>
      </c>
      <c r="B190" s="191">
        <f>$B$31</f>
        <v/>
      </c>
      <c r="C190" s="187">
        <f>$C$31</f>
        <v/>
      </c>
      <c r="D190" s="191">
        <f>$D$31</f>
        <v/>
      </c>
      <c r="E190" s="181">
        <f>$E$31</f>
        <v/>
      </c>
      <c r="F190" s="184">
        <f>$F$31</f>
        <v/>
      </c>
      <c r="G190" s="188">
        <f>$G$31</f>
        <v/>
      </c>
      <c r="H190" s="184">
        <f>$H$31</f>
        <v/>
      </c>
      <c r="I190" s="188">
        <f>$J$17</f>
        <v/>
      </c>
      <c r="J190" s="191" t="n">
        <v>5</v>
      </c>
      <c r="K190" s="191">
        <f>('Model Inputs'!$B$22-1)+J190</f>
        <v/>
      </c>
      <c r="L190" s="184">
        <f>IF(J190=1,'Model Inputs'!$B$25*(13-'Model Inputs'!$B$23)/12,'Model Inputs'!$B$25)</f>
        <v/>
      </c>
      <c r="M190" s="184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/>
      </c>
      <c r="N190" s="188">
        <f>IF(J190&lt;=2,0,'Model Inputs'!$B$32*SIN(2*PI()*(J190-3+'Model Inputs'!$B$34)/MAX(1,'Model Inputs'!$B$33)))</f>
        <v/>
      </c>
      <c r="O190" s="184">
        <f>M190*(1+N190)</f>
        <v/>
      </c>
      <c r="P190" s="184">
        <f>0.75*O189+0.25*O188</f>
        <v/>
      </c>
      <c r="Q190" s="184">
        <f>L190+P190+IF(J190=1,'Model Inputs'!$B$26,0)</f>
        <v/>
      </c>
      <c r="R190" s="184">
        <f>IF(J190&lt;=B190,Q190,IF(J190&lt;=B190+$J$18,L190,(SUMIFS($L$51:$L$350,$A$51:$A$350,$A190,$J$51:$J$350,$B190)+SUMIFS($O$51:$O$350,$A$51:$A$350,$A190,$J$51:$J$350,$B190))*C190))</f>
        <v/>
      </c>
      <c r="S190" s="184">
        <f>H190+F190*G190*(1+I190)^MAX(0,J190-MAX(D190,B190+$J$18+1))</f>
        <v/>
      </c>
      <c r="T190" s="184">
        <f>IF(J190&gt;=MAX(D190,B190+$J$18+1),S190,R190)</f>
        <v/>
      </c>
      <c r="U190" s="184">
        <f>MIN(T190,'Tax Assumptions'!$B$19)</f>
        <v/>
      </c>
      <c r="V190" s="184">
        <f>MAX(T190-U190-'Tax Assumptions'!$B$8,0)</f>
        <v/>
      </c>
      <c r="W190" s="184">
        <f>MAX(T190-U190-'Tax Assumptions'!$B$9,0)</f>
        <v/>
      </c>
      <c r="X190" s="184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/>
      </c>
      <c r="Y190" s="184">
        <f>T190-U190-X190</f>
        <v/>
      </c>
      <c r="Z190" s="184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/>
      </c>
      <c r="AA190" s="184">
        <f>Y190-Z190</f>
        <v/>
      </c>
      <c r="AB190" s="184">
        <f>MIN(MAX(AA190,0),'Tax Assumptions'!$B$20)</f>
        <v/>
      </c>
      <c r="AC190" s="184">
        <f>AA190-AB190</f>
        <v/>
      </c>
      <c r="AD190" s="184">
        <f>MAX(AD189*(1+'Model Inputs'!$B$13)+AC190,0)</f>
        <v/>
      </c>
      <c r="AE190" s="184">
        <f>MAX(AE189*(1+'Model Inputs'!$B$13)+U190+AB190,0)</f>
        <v/>
      </c>
      <c r="AF190" s="184">
        <f>AD190+AE190</f>
        <v/>
      </c>
      <c r="AG190" s="191">
        <f>IF(AND(AF190&gt;=$F$14,AF189&lt;$F$14),J190,"")</f>
        <v/>
      </c>
      <c r="AH190" s="191">
        <f>IF(AND(AF190&gt;=$F$15,AF189&lt;$F$15),J190,"")</f>
        <v/>
      </c>
      <c r="AI190" s="191">
        <f>IF(AND(AF190&gt;=$F$16,AF189&lt;$F$16),J190,"")</f>
        <v/>
      </c>
      <c r="AJ190" s="191">
        <f>IF(AND(AF190&gt;=$F$17,AF189&lt;$F$17),J190,"")</f>
        <v/>
      </c>
    </row>
    <row r="191" outlineLevel="1" ht="18" customHeight="1" s="326">
      <c r="A191" s="181">
        <f>$A$31</f>
        <v/>
      </c>
      <c r="B191" s="191">
        <f>$B$31</f>
        <v/>
      </c>
      <c r="C191" s="187">
        <f>$C$31</f>
        <v/>
      </c>
      <c r="D191" s="191">
        <f>$D$31</f>
        <v/>
      </c>
      <c r="E191" s="181">
        <f>$E$31</f>
        <v/>
      </c>
      <c r="F191" s="184">
        <f>$F$31</f>
        <v/>
      </c>
      <c r="G191" s="188">
        <f>$G$31</f>
        <v/>
      </c>
      <c r="H191" s="184">
        <f>$H$31</f>
        <v/>
      </c>
      <c r="I191" s="188">
        <f>$J$17</f>
        <v/>
      </c>
      <c r="J191" s="191" t="n">
        <v>6</v>
      </c>
      <c r="K191" s="191">
        <f>('Model Inputs'!$B$22-1)+J191</f>
        <v/>
      </c>
      <c r="L191" s="184">
        <f>IF(J191=1,'Model Inputs'!$B$25*(13-'Model Inputs'!$B$23)/12,'Model Inputs'!$B$25)</f>
        <v/>
      </c>
      <c r="M191" s="184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/>
      </c>
      <c r="N191" s="188">
        <f>IF(J191&lt;=2,0,'Model Inputs'!$B$32*SIN(2*PI()*(J191-3+'Model Inputs'!$B$34)/MAX(1,'Model Inputs'!$B$33)))</f>
        <v/>
      </c>
      <c r="O191" s="184">
        <f>M191*(1+N191)</f>
        <v/>
      </c>
      <c r="P191" s="184">
        <f>0.75*O190+0.25*O189</f>
        <v/>
      </c>
      <c r="Q191" s="184">
        <f>L191+P191+IF(J191=1,'Model Inputs'!$B$26,0)</f>
        <v/>
      </c>
      <c r="R191" s="184">
        <f>IF(J191&lt;=B191,Q191,IF(J191&lt;=B191+$J$18,L191,(SUMIFS($L$51:$L$350,$A$51:$A$350,$A191,$J$51:$J$350,$B191)+SUMIFS($O$51:$O$350,$A$51:$A$350,$A191,$J$51:$J$350,$B191))*C191))</f>
        <v/>
      </c>
      <c r="S191" s="184">
        <f>H191+F191*G191*(1+I191)^MAX(0,J191-MAX(D191,B191+$J$18+1))</f>
        <v/>
      </c>
      <c r="T191" s="184">
        <f>IF(J191&gt;=MAX(D191,B191+$J$18+1),S191,R191)</f>
        <v/>
      </c>
      <c r="U191" s="184">
        <f>MIN(T191,'Tax Assumptions'!$B$19)</f>
        <v/>
      </c>
      <c r="V191" s="184">
        <f>MAX(T191-U191-'Tax Assumptions'!$B$8,0)</f>
        <v/>
      </c>
      <c r="W191" s="184">
        <f>MAX(T191-U191-'Tax Assumptions'!$B$9,0)</f>
        <v/>
      </c>
      <c r="X191" s="184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/>
      </c>
      <c r="Y191" s="184">
        <f>T191-U191-X191</f>
        <v/>
      </c>
      <c r="Z191" s="184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/>
      </c>
      <c r="AA191" s="184">
        <f>Y191-Z191</f>
        <v/>
      </c>
      <c r="AB191" s="184">
        <f>MIN(MAX(AA191,0),'Tax Assumptions'!$B$20)</f>
        <v/>
      </c>
      <c r="AC191" s="184">
        <f>AA191-AB191</f>
        <v/>
      </c>
      <c r="AD191" s="184">
        <f>MAX(AD190*(1+'Model Inputs'!$B$13)+AC191,0)</f>
        <v/>
      </c>
      <c r="AE191" s="184">
        <f>MAX(AE190*(1+'Model Inputs'!$B$13)+U191+AB191,0)</f>
        <v/>
      </c>
      <c r="AF191" s="184">
        <f>AD191+AE191</f>
        <v/>
      </c>
      <c r="AG191" s="191">
        <f>IF(AND(AF191&gt;=$F$14,AF190&lt;$F$14),J191,"")</f>
        <v/>
      </c>
      <c r="AH191" s="191">
        <f>IF(AND(AF191&gt;=$F$15,AF190&lt;$F$15),J191,"")</f>
        <v/>
      </c>
      <c r="AI191" s="191">
        <f>IF(AND(AF191&gt;=$F$16,AF190&lt;$F$16),J191,"")</f>
        <v/>
      </c>
      <c r="AJ191" s="191">
        <f>IF(AND(AF191&gt;=$F$17,AF190&lt;$F$17),J191,"")</f>
        <v/>
      </c>
    </row>
    <row r="192" outlineLevel="1" ht="18" customHeight="1" s="326">
      <c r="A192" s="181">
        <f>$A$31</f>
        <v/>
      </c>
      <c r="B192" s="191">
        <f>$B$31</f>
        <v/>
      </c>
      <c r="C192" s="187">
        <f>$C$31</f>
        <v/>
      </c>
      <c r="D192" s="191">
        <f>$D$31</f>
        <v/>
      </c>
      <c r="E192" s="181">
        <f>$E$31</f>
        <v/>
      </c>
      <c r="F192" s="184">
        <f>$F$31</f>
        <v/>
      </c>
      <c r="G192" s="188">
        <f>$G$31</f>
        <v/>
      </c>
      <c r="H192" s="184">
        <f>$H$31</f>
        <v/>
      </c>
      <c r="I192" s="188">
        <f>$J$17</f>
        <v/>
      </c>
      <c r="J192" s="191" t="n">
        <v>7</v>
      </c>
      <c r="K192" s="191">
        <f>('Model Inputs'!$B$22-1)+J192</f>
        <v/>
      </c>
      <c r="L192" s="184">
        <f>IF(J192=1,'Model Inputs'!$B$25*(13-'Model Inputs'!$B$23)/12,'Model Inputs'!$B$25)</f>
        <v/>
      </c>
      <c r="M192" s="184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/>
      </c>
      <c r="N192" s="188">
        <f>IF(J192&lt;=2,0,'Model Inputs'!$B$32*SIN(2*PI()*(J192-3+'Model Inputs'!$B$34)/MAX(1,'Model Inputs'!$B$33)))</f>
        <v/>
      </c>
      <c r="O192" s="184">
        <f>M192*(1+N192)</f>
        <v/>
      </c>
      <c r="P192" s="184">
        <f>0.75*O191+0.25*O190</f>
        <v/>
      </c>
      <c r="Q192" s="184">
        <f>L192+P192+IF(J192=1,'Model Inputs'!$B$26,0)</f>
        <v/>
      </c>
      <c r="R192" s="184">
        <f>IF(J192&lt;=B192,Q192,IF(J192&lt;=B192+$J$18,L192,(SUMIFS($L$51:$L$350,$A$51:$A$350,$A192,$J$51:$J$350,$B192)+SUMIFS($O$51:$O$350,$A$51:$A$350,$A192,$J$51:$J$350,$B192))*C192))</f>
        <v/>
      </c>
      <c r="S192" s="184">
        <f>H192+F192*G192*(1+I192)^MAX(0,J192-MAX(D192,B192+$J$18+1))</f>
        <v/>
      </c>
      <c r="T192" s="184">
        <f>IF(J192&gt;=MAX(D192,B192+$J$18+1),S192,R192)</f>
        <v/>
      </c>
      <c r="U192" s="184">
        <f>MIN(T192,'Tax Assumptions'!$B$19)</f>
        <v/>
      </c>
      <c r="V192" s="184">
        <f>MAX(T192-U192-'Tax Assumptions'!$B$8,0)</f>
        <v/>
      </c>
      <c r="W192" s="184">
        <f>MAX(T192-U192-'Tax Assumptions'!$B$9,0)</f>
        <v/>
      </c>
      <c r="X192" s="184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/>
      </c>
      <c r="Y192" s="184">
        <f>T192-U192-X192</f>
        <v/>
      </c>
      <c r="Z192" s="184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/>
      </c>
      <c r="AA192" s="184">
        <f>Y192-Z192</f>
        <v/>
      </c>
      <c r="AB192" s="184">
        <f>MIN(MAX(AA192,0),'Tax Assumptions'!$B$20)</f>
        <v/>
      </c>
      <c r="AC192" s="184">
        <f>AA192-AB192</f>
        <v/>
      </c>
      <c r="AD192" s="184">
        <f>MAX(AD191*(1+'Model Inputs'!$B$13)+AC192,0)</f>
        <v/>
      </c>
      <c r="AE192" s="184">
        <f>MAX(AE191*(1+'Model Inputs'!$B$13)+U192+AB192,0)</f>
        <v/>
      </c>
      <c r="AF192" s="184">
        <f>AD192+AE192</f>
        <v/>
      </c>
      <c r="AG192" s="191">
        <f>IF(AND(AF192&gt;=$F$14,AF191&lt;$F$14),J192,"")</f>
        <v/>
      </c>
      <c r="AH192" s="191">
        <f>IF(AND(AF192&gt;=$F$15,AF191&lt;$F$15),J192,"")</f>
        <v/>
      </c>
      <c r="AI192" s="191">
        <f>IF(AND(AF192&gt;=$F$16,AF191&lt;$F$16),J192,"")</f>
        <v/>
      </c>
      <c r="AJ192" s="191">
        <f>IF(AND(AF192&gt;=$F$17,AF191&lt;$F$17),J192,"")</f>
        <v/>
      </c>
    </row>
    <row r="193" outlineLevel="1" ht="18" customHeight="1" s="326">
      <c r="A193" s="181">
        <f>$A$31</f>
        <v/>
      </c>
      <c r="B193" s="191">
        <f>$B$31</f>
        <v/>
      </c>
      <c r="C193" s="187">
        <f>$C$31</f>
        <v/>
      </c>
      <c r="D193" s="191">
        <f>$D$31</f>
        <v/>
      </c>
      <c r="E193" s="181">
        <f>$E$31</f>
        <v/>
      </c>
      <c r="F193" s="184">
        <f>$F$31</f>
        <v/>
      </c>
      <c r="G193" s="188">
        <f>$G$31</f>
        <v/>
      </c>
      <c r="H193" s="184">
        <f>$H$31</f>
        <v/>
      </c>
      <c r="I193" s="188">
        <f>$J$17</f>
        <v/>
      </c>
      <c r="J193" s="191" t="n">
        <v>8</v>
      </c>
      <c r="K193" s="191">
        <f>('Model Inputs'!$B$22-1)+J193</f>
        <v/>
      </c>
      <c r="L193" s="184">
        <f>IF(J193=1,'Model Inputs'!$B$25*(13-'Model Inputs'!$B$23)/12,'Model Inputs'!$B$25)</f>
        <v/>
      </c>
      <c r="M193" s="184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/>
      </c>
      <c r="N193" s="188">
        <f>IF(J193&lt;=2,0,'Model Inputs'!$B$32*SIN(2*PI()*(J193-3+'Model Inputs'!$B$34)/MAX(1,'Model Inputs'!$B$33)))</f>
        <v/>
      </c>
      <c r="O193" s="184">
        <f>M193*(1+N193)</f>
        <v/>
      </c>
      <c r="P193" s="184">
        <f>0.75*O192+0.25*O191</f>
        <v/>
      </c>
      <c r="Q193" s="184">
        <f>L193+P193+IF(J193=1,'Model Inputs'!$B$26,0)</f>
        <v/>
      </c>
      <c r="R193" s="184">
        <f>IF(J193&lt;=B193,Q193,IF(J193&lt;=B193+$J$18,L193,(SUMIFS($L$51:$L$350,$A$51:$A$350,$A193,$J$51:$J$350,$B193)+SUMIFS($O$51:$O$350,$A$51:$A$350,$A193,$J$51:$J$350,$B193))*C193))</f>
        <v/>
      </c>
      <c r="S193" s="184">
        <f>H193+F193*G193*(1+I193)^MAX(0,J193-MAX(D193,B193+$J$18+1))</f>
        <v/>
      </c>
      <c r="T193" s="184">
        <f>IF(J193&gt;=MAX(D193,B193+$J$18+1),S193,R193)</f>
        <v/>
      </c>
      <c r="U193" s="184">
        <f>MIN(T193,'Tax Assumptions'!$B$19)</f>
        <v/>
      </c>
      <c r="V193" s="184">
        <f>MAX(T193-U193-'Tax Assumptions'!$B$8,0)</f>
        <v/>
      </c>
      <c r="W193" s="184">
        <f>MAX(T193-U193-'Tax Assumptions'!$B$9,0)</f>
        <v/>
      </c>
      <c r="X193" s="184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/>
      </c>
      <c r="Y193" s="184">
        <f>T193-U193-X193</f>
        <v/>
      </c>
      <c r="Z193" s="184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/>
      </c>
      <c r="AA193" s="184">
        <f>Y193-Z193</f>
        <v/>
      </c>
      <c r="AB193" s="184">
        <f>MIN(MAX(AA193,0),'Tax Assumptions'!$B$20)</f>
        <v/>
      </c>
      <c r="AC193" s="184">
        <f>AA193-AB193</f>
        <v/>
      </c>
      <c r="AD193" s="184">
        <f>MAX(AD192*(1+'Model Inputs'!$B$13)+AC193,0)</f>
        <v/>
      </c>
      <c r="AE193" s="184">
        <f>MAX(AE192*(1+'Model Inputs'!$B$13)+U193+AB193,0)</f>
        <v/>
      </c>
      <c r="AF193" s="184">
        <f>AD193+AE193</f>
        <v/>
      </c>
      <c r="AG193" s="191">
        <f>IF(AND(AF193&gt;=$F$14,AF192&lt;$F$14),J193,"")</f>
        <v/>
      </c>
      <c r="AH193" s="191">
        <f>IF(AND(AF193&gt;=$F$15,AF192&lt;$F$15),J193,"")</f>
        <v/>
      </c>
      <c r="AI193" s="191">
        <f>IF(AND(AF193&gt;=$F$16,AF192&lt;$F$16),J193,"")</f>
        <v/>
      </c>
      <c r="AJ193" s="191">
        <f>IF(AND(AF193&gt;=$F$17,AF192&lt;$F$17),J193,"")</f>
        <v/>
      </c>
    </row>
    <row r="194" outlineLevel="1" ht="18" customHeight="1" s="326">
      <c r="A194" s="181">
        <f>$A$31</f>
        <v/>
      </c>
      <c r="B194" s="191">
        <f>$B$31</f>
        <v/>
      </c>
      <c r="C194" s="187">
        <f>$C$31</f>
        <v/>
      </c>
      <c r="D194" s="191">
        <f>$D$31</f>
        <v/>
      </c>
      <c r="E194" s="181">
        <f>$E$31</f>
        <v/>
      </c>
      <c r="F194" s="184">
        <f>$F$31</f>
        <v/>
      </c>
      <c r="G194" s="188">
        <f>$G$31</f>
        <v/>
      </c>
      <c r="H194" s="184">
        <f>$H$31</f>
        <v/>
      </c>
      <c r="I194" s="188">
        <f>$J$17</f>
        <v/>
      </c>
      <c r="J194" s="191" t="n">
        <v>9</v>
      </c>
      <c r="K194" s="191">
        <f>('Model Inputs'!$B$22-1)+J194</f>
        <v/>
      </c>
      <c r="L194" s="184">
        <f>IF(J194=1,'Model Inputs'!$B$25*(13-'Model Inputs'!$B$23)/12,'Model Inputs'!$B$25)</f>
        <v/>
      </c>
      <c r="M194" s="184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/>
      </c>
      <c r="N194" s="188">
        <f>IF(J194&lt;=2,0,'Model Inputs'!$B$32*SIN(2*PI()*(J194-3+'Model Inputs'!$B$34)/MAX(1,'Model Inputs'!$B$33)))</f>
        <v/>
      </c>
      <c r="O194" s="184">
        <f>M194*(1+N194)</f>
        <v/>
      </c>
      <c r="P194" s="184">
        <f>0.75*O193+0.25*O192</f>
        <v/>
      </c>
      <c r="Q194" s="184">
        <f>L194+P194+IF(J194=1,'Model Inputs'!$B$26,0)</f>
        <v/>
      </c>
      <c r="R194" s="184">
        <f>IF(J194&lt;=B194,Q194,IF(J194&lt;=B194+$J$18,L194,(SUMIFS($L$51:$L$350,$A$51:$A$350,$A194,$J$51:$J$350,$B194)+SUMIFS($O$51:$O$350,$A$51:$A$350,$A194,$J$51:$J$350,$B194))*C194))</f>
        <v/>
      </c>
      <c r="S194" s="184">
        <f>H194+F194*G194*(1+I194)^MAX(0,J194-MAX(D194,B194+$J$18+1))</f>
        <v/>
      </c>
      <c r="T194" s="184">
        <f>IF(J194&gt;=MAX(D194,B194+$J$18+1),S194,R194)</f>
        <v/>
      </c>
      <c r="U194" s="184">
        <f>MIN(T194,'Tax Assumptions'!$B$19)</f>
        <v/>
      </c>
      <c r="V194" s="184">
        <f>MAX(T194-U194-'Tax Assumptions'!$B$8,0)</f>
        <v/>
      </c>
      <c r="W194" s="184">
        <f>MAX(T194-U194-'Tax Assumptions'!$B$9,0)</f>
        <v/>
      </c>
      <c r="X194" s="184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/>
      </c>
      <c r="Y194" s="184">
        <f>T194-U194-X194</f>
        <v/>
      </c>
      <c r="Z194" s="184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/>
      </c>
      <c r="AA194" s="184">
        <f>Y194-Z194</f>
        <v/>
      </c>
      <c r="AB194" s="184">
        <f>MIN(MAX(AA194,0),'Tax Assumptions'!$B$20)</f>
        <v/>
      </c>
      <c r="AC194" s="184">
        <f>AA194-AB194</f>
        <v/>
      </c>
      <c r="AD194" s="184">
        <f>MAX(AD193*(1+'Model Inputs'!$B$13)+AC194,0)</f>
        <v/>
      </c>
      <c r="AE194" s="184">
        <f>MAX(AE193*(1+'Model Inputs'!$B$13)+U194+AB194,0)</f>
        <v/>
      </c>
      <c r="AF194" s="184">
        <f>AD194+AE194</f>
        <v/>
      </c>
      <c r="AG194" s="191">
        <f>IF(AND(AF194&gt;=$F$14,AF193&lt;$F$14),J194,"")</f>
        <v/>
      </c>
      <c r="AH194" s="191">
        <f>IF(AND(AF194&gt;=$F$15,AF193&lt;$F$15),J194,"")</f>
        <v/>
      </c>
      <c r="AI194" s="191">
        <f>IF(AND(AF194&gt;=$F$16,AF193&lt;$F$16),J194,"")</f>
        <v/>
      </c>
      <c r="AJ194" s="191">
        <f>IF(AND(AF194&gt;=$F$17,AF193&lt;$F$17),J194,"")</f>
        <v/>
      </c>
    </row>
    <row r="195" outlineLevel="1" ht="18" customHeight="1" s="326">
      <c r="A195" s="181">
        <f>$A$31</f>
        <v/>
      </c>
      <c r="B195" s="191">
        <f>$B$31</f>
        <v/>
      </c>
      <c r="C195" s="187">
        <f>$C$31</f>
        <v/>
      </c>
      <c r="D195" s="191">
        <f>$D$31</f>
        <v/>
      </c>
      <c r="E195" s="181">
        <f>$E$31</f>
        <v/>
      </c>
      <c r="F195" s="184">
        <f>$F$31</f>
        <v/>
      </c>
      <c r="G195" s="188">
        <f>$G$31</f>
        <v/>
      </c>
      <c r="H195" s="184">
        <f>$H$31</f>
        <v/>
      </c>
      <c r="I195" s="188">
        <f>$J$17</f>
        <v/>
      </c>
      <c r="J195" s="191" t="n">
        <v>10</v>
      </c>
      <c r="K195" s="191">
        <f>('Model Inputs'!$B$22-1)+J195</f>
        <v/>
      </c>
      <c r="L195" s="184">
        <f>IF(J195=1,'Model Inputs'!$B$25*(13-'Model Inputs'!$B$23)/12,'Model Inputs'!$B$25)</f>
        <v/>
      </c>
      <c r="M195" s="184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/>
      </c>
      <c r="N195" s="188">
        <f>IF(J195&lt;=2,0,'Model Inputs'!$B$32*SIN(2*PI()*(J195-3+'Model Inputs'!$B$34)/MAX(1,'Model Inputs'!$B$33)))</f>
        <v/>
      </c>
      <c r="O195" s="184">
        <f>M195*(1+N195)</f>
        <v/>
      </c>
      <c r="P195" s="184">
        <f>0.75*O194+0.25*O193</f>
        <v/>
      </c>
      <c r="Q195" s="184">
        <f>L195+P195+IF(J195=1,'Model Inputs'!$B$26,0)</f>
        <v/>
      </c>
      <c r="R195" s="184">
        <f>IF(J195&lt;=B195,Q195,IF(J195&lt;=B195+$J$18,L195,(SUMIFS($L$51:$L$350,$A$51:$A$350,$A195,$J$51:$J$350,$B195)+SUMIFS($O$51:$O$350,$A$51:$A$350,$A195,$J$51:$J$350,$B195))*C195))</f>
        <v/>
      </c>
      <c r="S195" s="184">
        <f>H195+F195*G195*(1+I195)^MAX(0,J195-MAX(D195,B195+$J$18+1))</f>
        <v/>
      </c>
      <c r="T195" s="184">
        <f>IF(J195&gt;=MAX(D195,B195+$J$18+1),S195,R195)</f>
        <v/>
      </c>
      <c r="U195" s="184">
        <f>MIN(T195,'Tax Assumptions'!$B$19)</f>
        <v/>
      </c>
      <c r="V195" s="184">
        <f>MAX(T195-U195-'Tax Assumptions'!$B$8,0)</f>
        <v/>
      </c>
      <c r="W195" s="184">
        <f>MAX(T195-U195-'Tax Assumptions'!$B$9,0)</f>
        <v/>
      </c>
      <c r="X195" s="184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/>
      </c>
      <c r="Y195" s="184">
        <f>T195-U195-X195</f>
        <v/>
      </c>
      <c r="Z195" s="184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/>
      </c>
      <c r="AA195" s="184">
        <f>Y195-Z195</f>
        <v/>
      </c>
      <c r="AB195" s="184">
        <f>MIN(MAX(AA195,0),'Tax Assumptions'!$B$20)</f>
        <v/>
      </c>
      <c r="AC195" s="184">
        <f>AA195-AB195</f>
        <v/>
      </c>
      <c r="AD195" s="184">
        <f>MAX(AD194*(1+'Model Inputs'!$B$13)+AC195,0)</f>
        <v/>
      </c>
      <c r="AE195" s="184">
        <f>MAX(AE194*(1+'Model Inputs'!$B$13)+U195+AB195,0)</f>
        <v/>
      </c>
      <c r="AF195" s="184">
        <f>AD195+AE195</f>
        <v/>
      </c>
      <c r="AG195" s="191">
        <f>IF(AND(AF195&gt;=$F$14,AF194&lt;$F$14),J195,"")</f>
        <v/>
      </c>
      <c r="AH195" s="191">
        <f>IF(AND(AF195&gt;=$F$15,AF194&lt;$F$15),J195,"")</f>
        <v/>
      </c>
      <c r="AI195" s="191">
        <f>IF(AND(AF195&gt;=$F$16,AF194&lt;$F$16),J195,"")</f>
        <v/>
      </c>
      <c r="AJ195" s="191">
        <f>IF(AND(AF195&gt;=$F$17,AF194&lt;$F$17),J195,"")</f>
        <v/>
      </c>
    </row>
    <row r="196" outlineLevel="1" ht="18" customHeight="1" s="326">
      <c r="A196" s="181">
        <f>$A$31</f>
        <v/>
      </c>
      <c r="B196" s="191">
        <f>$B$31</f>
        <v/>
      </c>
      <c r="C196" s="187">
        <f>$C$31</f>
        <v/>
      </c>
      <c r="D196" s="191">
        <f>$D$31</f>
        <v/>
      </c>
      <c r="E196" s="181">
        <f>$E$31</f>
        <v/>
      </c>
      <c r="F196" s="184">
        <f>$F$31</f>
        <v/>
      </c>
      <c r="G196" s="188">
        <f>$G$31</f>
        <v/>
      </c>
      <c r="H196" s="184">
        <f>$H$31</f>
        <v/>
      </c>
      <c r="I196" s="188">
        <f>$J$17</f>
        <v/>
      </c>
      <c r="J196" s="191" t="n">
        <v>11</v>
      </c>
      <c r="K196" s="191">
        <f>('Model Inputs'!$B$22-1)+J196</f>
        <v/>
      </c>
      <c r="L196" s="184">
        <f>IF(J196=1,'Model Inputs'!$B$25*(13-'Model Inputs'!$B$23)/12,'Model Inputs'!$B$25)</f>
        <v/>
      </c>
      <c r="M196" s="184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/>
      </c>
      <c r="N196" s="188">
        <f>IF(J196&lt;=2,0,'Model Inputs'!$B$32*SIN(2*PI()*(J196-3+'Model Inputs'!$B$34)/MAX(1,'Model Inputs'!$B$33)))</f>
        <v/>
      </c>
      <c r="O196" s="184">
        <f>M196*(1+N196)</f>
        <v/>
      </c>
      <c r="P196" s="184">
        <f>0.75*O195+0.25*O194</f>
        <v/>
      </c>
      <c r="Q196" s="184">
        <f>L196+P196+IF(J196=1,'Model Inputs'!$B$26,0)</f>
        <v/>
      </c>
      <c r="R196" s="184">
        <f>IF(J196&lt;=B196,Q196,IF(J196&lt;=B196+$J$18,L196,(SUMIFS($L$51:$L$350,$A$51:$A$350,$A196,$J$51:$J$350,$B196)+SUMIFS($O$51:$O$350,$A$51:$A$350,$A196,$J$51:$J$350,$B196))*C196))</f>
        <v/>
      </c>
      <c r="S196" s="184">
        <f>H196+F196*G196*(1+I196)^MAX(0,J196-MAX(D196,B196+$J$18+1))</f>
        <v/>
      </c>
      <c r="T196" s="184">
        <f>IF(J196&gt;=MAX(D196,B196+$J$18+1),S196,R196)</f>
        <v/>
      </c>
      <c r="U196" s="184">
        <f>MIN(T196,'Tax Assumptions'!$B$19)</f>
        <v/>
      </c>
      <c r="V196" s="184">
        <f>MAX(T196-U196-'Tax Assumptions'!$B$8,0)</f>
        <v/>
      </c>
      <c r="W196" s="184">
        <f>MAX(T196-U196-'Tax Assumptions'!$B$9,0)</f>
        <v/>
      </c>
      <c r="X196" s="184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/>
      </c>
      <c r="Y196" s="184">
        <f>T196-U196-X196</f>
        <v/>
      </c>
      <c r="Z196" s="184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/>
      </c>
      <c r="AA196" s="184">
        <f>Y196-Z196</f>
        <v/>
      </c>
      <c r="AB196" s="184">
        <f>MIN(MAX(AA196,0),'Tax Assumptions'!$B$20)</f>
        <v/>
      </c>
      <c r="AC196" s="184">
        <f>AA196-AB196</f>
        <v/>
      </c>
      <c r="AD196" s="184">
        <f>MAX(AD195*(1+'Model Inputs'!$B$13)+AC196,0)</f>
        <v/>
      </c>
      <c r="AE196" s="184">
        <f>MAX(AE195*(1+'Model Inputs'!$B$13)+U196+AB196,0)</f>
        <v/>
      </c>
      <c r="AF196" s="184">
        <f>AD196+AE196</f>
        <v/>
      </c>
      <c r="AG196" s="191">
        <f>IF(AND(AF196&gt;=$F$14,AF195&lt;$F$14),J196,"")</f>
        <v/>
      </c>
      <c r="AH196" s="191">
        <f>IF(AND(AF196&gt;=$F$15,AF195&lt;$F$15),J196,"")</f>
        <v/>
      </c>
      <c r="AI196" s="191">
        <f>IF(AND(AF196&gt;=$F$16,AF195&lt;$F$16),J196,"")</f>
        <v/>
      </c>
      <c r="AJ196" s="191">
        <f>IF(AND(AF196&gt;=$F$17,AF195&lt;$F$17),J196,"")</f>
        <v/>
      </c>
    </row>
    <row r="197" outlineLevel="1" ht="18" customHeight="1" s="326">
      <c r="A197" s="181">
        <f>$A$31</f>
        <v/>
      </c>
      <c r="B197" s="191">
        <f>$B$31</f>
        <v/>
      </c>
      <c r="C197" s="187">
        <f>$C$31</f>
        <v/>
      </c>
      <c r="D197" s="191">
        <f>$D$31</f>
        <v/>
      </c>
      <c r="E197" s="181">
        <f>$E$31</f>
        <v/>
      </c>
      <c r="F197" s="184">
        <f>$F$31</f>
        <v/>
      </c>
      <c r="G197" s="188">
        <f>$G$31</f>
        <v/>
      </c>
      <c r="H197" s="184">
        <f>$H$31</f>
        <v/>
      </c>
      <c r="I197" s="188">
        <f>$J$17</f>
        <v/>
      </c>
      <c r="J197" s="191" t="n">
        <v>12</v>
      </c>
      <c r="K197" s="191">
        <f>('Model Inputs'!$B$22-1)+J197</f>
        <v/>
      </c>
      <c r="L197" s="184">
        <f>IF(J197=1,'Model Inputs'!$B$25*(13-'Model Inputs'!$B$23)/12,'Model Inputs'!$B$25)</f>
        <v/>
      </c>
      <c r="M197" s="184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/>
      </c>
      <c r="N197" s="188">
        <f>IF(J197&lt;=2,0,'Model Inputs'!$B$32*SIN(2*PI()*(J197-3+'Model Inputs'!$B$34)/MAX(1,'Model Inputs'!$B$33)))</f>
        <v/>
      </c>
      <c r="O197" s="184">
        <f>M197*(1+N197)</f>
        <v/>
      </c>
      <c r="P197" s="184">
        <f>0.75*O196+0.25*O195</f>
        <v/>
      </c>
      <c r="Q197" s="184">
        <f>L197+P197+IF(J197=1,'Model Inputs'!$B$26,0)</f>
        <v/>
      </c>
      <c r="R197" s="184">
        <f>IF(J197&lt;=B197,Q197,IF(J197&lt;=B197+$J$18,L197,(SUMIFS($L$51:$L$350,$A$51:$A$350,$A197,$J$51:$J$350,$B197)+SUMIFS($O$51:$O$350,$A$51:$A$350,$A197,$J$51:$J$350,$B197))*C197))</f>
        <v/>
      </c>
      <c r="S197" s="184">
        <f>H197+F197*G197*(1+I197)^MAX(0,J197-MAX(D197,B197+$J$18+1))</f>
        <v/>
      </c>
      <c r="T197" s="184">
        <f>IF(J197&gt;=MAX(D197,B197+$J$18+1),S197,R197)</f>
        <v/>
      </c>
      <c r="U197" s="184">
        <f>MIN(T197,'Tax Assumptions'!$B$19)</f>
        <v/>
      </c>
      <c r="V197" s="184">
        <f>MAX(T197-U197-'Tax Assumptions'!$B$8,0)</f>
        <v/>
      </c>
      <c r="W197" s="184">
        <f>MAX(T197-U197-'Tax Assumptions'!$B$9,0)</f>
        <v/>
      </c>
      <c r="X197" s="184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/>
      </c>
      <c r="Y197" s="184">
        <f>T197-U197-X197</f>
        <v/>
      </c>
      <c r="Z197" s="184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/>
      </c>
      <c r="AA197" s="184">
        <f>Y197-Z197</f>
        <v/>
      </c>
      <c r="AB197" s="184">
        <f>MIN(MAX(AA197,0),'Tax Assumptions'!$B$20)</f>
        <v/>
      </c>
      <c r="AC197" s="184">
        <f>AA197-AB197</f>
        <v/>
      </c>
      <c r="AD197" s="184">
        <f>MAX(AD196*(1+'Model Inputs'!$B$13)+AC197,0)</f>
        <v/>
      </c>
      <c r="AE197" s="184">
        <f>MAX(AE196*(1+'Model Inputs'!$B$13)+U197+AB197,0)</f>
        <v/>
      </c>
      <c r="AF197" s="184">
        <f>AD197+AE197</f>
        <v/>
      </c>
      <c r="AG197" s="191">
        <f>IF(AND(AF197&gt;=$F$14,AF196&lt;$F$14),J197,"")</f>
        <v/>
      </c>
      <c r="AH197" s="191">
        <f>IF(AND(AF197&gt;=$F$15,AF196&lt;$F$15),J197,"")</f>
        <v/>
      </c>
      <c r="AI197" s="191">
        <f>IF(AND(AF197&gt;=$F$16,AF196&lt;$F$16),J197,"")</f>
        <v/>
      </c>
      <c r="AJ197" s="191">
        <f>IF(AND(AF197&gt;=$F$17,AF196&lt;$F$17),J197,"")</f>
        <v/>
      </c>
    </row>
    <row r="198" outlineLevel="1" ht="18" customHeight="1" s="326">
      <c r="A198" s="181">
        <f>$A$31</f>
        <v/>
      </c>
      <c r="B198" s="191">
        <f>$B$31</f>
        <v/>
      </c>
      <c r="C198" s="187">
        <f>$C$31</f>
        <v/>
      </c>
      <c r="D198" s="191">
        <f>$D$31</f>
        <v/>
      </c>
      <c r="E198" s="181">
        <f>$E$31</f>
        <v/>
      </c>
      <c r="F198" s="184">
        <f>$F$31</f>
        <v/>
      </c>
      <c r="G198" s="188">
        <f>$G$31</f>
        <v/>
      </c>
      <c r="H198" s="184">
        <f>$H$31</f>
        <v/>
      </c>
      <c r="I198" s="188">
        <f>$J$17</f>
        <v/>
      </c>
      <c r="J198" s="191" t="n">
        <v>13</v>
      </c>
      <c r="K198" s="191">
        <f>('Model Inputs'!$B$22-1)+J198</f>
        <v/>
      </c>
      <c r="L198" s="184">
        <f>IF(J198=1,'Model Inputs'!$B$25*(13-'Model Inputs'!$B$23)/12,'Model Inputs'!$B$25)</f>
        <v/>
      </c>
      <c r="M198" s="184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/>
      </c>
      <c r="N198" s="188">
        <f>IF(J198&lt;=2,0,'Model Inputs'!$B$32*SIN(2*PI()*(J198-3+'Model Inputs'!$B$34)/MAX(1,'Model Inputs'!$B$33)))</f>
        <v/>
      </c>
      <c r="O198" s="184">
        <f>M198*(1+N198)</f>
        <v/>
      </c>
      <c r="P198" s="184">
        <f>0.75*O197+0.25*O196</f>
        <v/>
      </c>
      <c r="Q198" s="184">
        <f>L198+P198+IF(J198=1,'Model Inputs'!$B$26,0)</f>
        <v/>
      </c>
      <c r="R198" s="184">
        <f>IF(J198&lt;=B198,Q198,IF(J198&lt;=B198+$J$18,L198,(SUMIFS($L$51:$L$350,$A$51:$A$350,$A198,$J$51:$J$350,$B198)+SUMIFS($O$51:$O$350,$A$51:$A$350,$A198,$J$51:$J$350,$B198))*C198))</f>
        <v/>
      </c>
      <c r="S198" s="184">
        <f>H198+F198*G198*(1+I198)^MAX(0,J198-MAX(D198,B198+$J$18+1))</f>
        <v/>
      </c>
      <c r="T198" s="184">
        <f>IF(J198&gt;=MAX(D198,B198+$J$18+1),S198,R198)</f>
        <v/>
      </c>
      <c r="U198" s="184">
        <f>MIN(T198,'Tax Assumptions'!$B$19)</f>
        <v/>
      </c>
      <c r="V198" s="184">
        <f>MAX(T198-U198-'Tax Assumptions'!$B$8,0)</f>
        <v/>
      </c>
      <c r="W198" s="184">
        <f>MAX(T198-U198-'Tax Assumptions'!$B$9,0)</f>
        <v/>
      </c>
      <c r="X198" s="184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/>
      </c>
      <c r="Y198" s="184">
        <f>T198-U198-X198</f>
        <v/>
      </c>
      <c r="Z198" s="184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/>
      </c>
      <c r="AA198" s="184">
        <f>Y198-Z198</f>
        <v/>
      </c>
      <c r="AB198" s="184">
        <f>MIN(MAX(AA198,0),'Tax Assumptions'!$B$20)</f>
        <v/>
      </c>
      <c r="AC198" s="184">
        <f>AA198-AB198</f>
        <v/>
      </c>
      <c r="AD198" s="184">
        <f>MAX(AD197*(1+'Model Inputs'!$B$13)+AC198,0)</f>
        <v/>
      </c>
      <c r="AE198" s="184">
        <f>MAX(AE197*(1+'Model Inputs'!$B$13)+U198+AB198,0)</f>
        <v/>
      </c>
      <c r="AF198" s="184">
        <f>AD198+AE198</f>
        <v/>
      </c>
      <c r="AG198" s="191">
        <f>IF(AND(AF198&gt;=$F$14,AF197&lt;$F$14),J198,"")</f>
        <v/>
      </c>
      <c r="AH198" s="191">
        <f>IF(AND(AF198&gt;=$F$15,AF197&lt;$F$15),J198,"")</f>
        <v/>
      </c>
      <c r="AI198" s="191">
        <f>IF(AND(AF198&gt;=$F$16,AF197&lt;$F$16),J198,"")</f>
        <v/>
      </c>
      <c r="AJ198" s="191">
        <f>IF(AND(AF198&gt;=$F$17,AF197&lt;$F$17),J198,"")</f>
        <v/>
      </c>
    </row>
    <row r="199" outlineLevel="1" ht="18" customHeight="1" s="326">
      <c r="A199" s="181">
        <f>$A$31</f>
        <v/>
      </c>
      <c r="B199" s="191">
        <f>$B$31</f>
        <v/>
      </c>
      <c r="C199" s="187">
        <f>$C$31</f>
        <v/>
      </c>
      <c r="D199" s="191">
        <f>$D$31</f>
        <v/>
      </c>
      <c r="E199" s="181">
        <f>$E$31</f>
        <v/>
      </c>
      <c r="F199" s="184">
        <f>$F$31</f>
        <v/>
      </c>
      <c r="G199" s="188">
        <f>$G$31</f>
        <v/>
      </c>
      <c r="H199" s="184">
        <f>$H$31</f>
        <v/>
      </c>
      <c r="I199" s="188">
        <f>$J$17</f>
        <v/>
      </c>
      <c r="J199" s="191" t="n">
        <v>14</v>
      </c>
      <c r="K199" s="191">
        <f>('Model Inputs'!$B$22-1)+J199</f>
        <v/>
      </c>
      <c r="L199" s="184">
        <f>IF(J199=1,'Model Inputs'!$B$25*(13-'Model Inputs'!$B$23)/12,'Model Inputs'!$B$25)</f>
        <v/>
      </c>
      <c r="M199" s="184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/>
      </c>
      <c r="N199" s="188">
        <f>IF(J199&lt;=2,0,'Model Inputs'!$B$32*SIN(2*PI()*(J199-3+'Model Inputs'!$B$34)/MAX(1,'Model Inputs'!$B$33)))</f>
        <v/>
      </c>
      <c r="O199" s="184">
        <f>M199*(1+N199)</f>
        <v/>
      </c>
      <c r="P199" s="184">
        <f>0.75*O198+0.25*O197</f>
        <v/>
      </c>
      <c r="Q199" s="184">
        <f>L199+P199+IF(J199=1,'Model Inputs'!$B$26,0)</f>
        <v/>
      </c>
      <c r="R199" s="184">
        <f>IF(J199&lt;=B199,Q199,IF(J199&lt;=B199+$J$18,L199,(SUMIFS($L$51:$L$350,$A$51:$A$350,$A199,$J$51:$J$350,$B199)+SUMIFS($O$51:$O$350,$A$51:$A$350,$A199,$J$51:$J$350,$B199))*C199))</f>
        <v/>
      </c>
      <c r="S199" s="184">
        <f>H199+F199*G199*(1+I199)^MAX(0,J199-MAX(D199,B199+$J$18+1))</f>
        <v/>
      </c>
      <c r="T199" s="184">
        <f>IF(J199&gt;=MAX(D199,B199+$J$18+1),S199,R199)</f>
        <v/>
      </c>
      <c r="U199" s="184">
        <f>MIN(T199,'Tax Assumptions'!$B$19)</f>
        <v/>
      </c>
      <c r="V199" s="184">
        <f>MAX(T199-U199-'Tax Assumptions'!$B$8,0)</f>
        <v/>
      </c>
      <c r="W199" s="184">
        <f>MAX(T199-U199-'Tax Assumptions'!$B$9,0)</f>
        <v/>
      </c>
      <c r="X199" s="184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/>
      </c>
      <c r="Y199" s="184">
        <f>T199-U199-X199</f>
        <v/>
      </c>
      <c r="Z199" s="184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/>
      </c>
      <c r="AA199" s="184">
        <f>Y199-Z199</f>
        <v/>
      </c>
      <c r="AB199" s="184">
        <f>MIN(MAX(AA199,0),'Tax Assumptions'!$B$20)</f>
        <v/>
      </c>
      <c r="AC199" s="184">
        <f>AA199-AB199</f>
        <v/>
      </c>
      <c r="AD199" s="184">
        <f>MAX(AD198*(1+'Model Inputs'!$B$13)+AC199,0)</f>
        <v/>
      </c>
      <c r="AE199" s="184">
        <f>MAX(AE198*(1+'Model Inputs'!$B$13)+U199+AB199,0)</f>
        <v/>
      </c>
      <c r="AF199" s="184">
        <f>AD199+AE199</f>
        <v/>
      </c>
      <c r="AG199" s="191">
        <f>IF(AND(AF199&gt;=$F$14,AF198&lt;$F$14),J199,"")</f>
        <v/>
      </c>
      <c r="AH199" s="191">
        <f>IF(AND(AF199&gt;=$F$15,AF198&lt;$F$15),J199,"")</f>
        <v/>
      </c>
      <c r="AI199" s="191">
        <f>IF(AND(AF199&gt;=$F$16,AF198&lt;$F$16),J199,"")</f>
        <v/>
      </c>
      <c r="AJ199" s="191">
        <f>IF(AND(AF199&gt;=$F$17,AF198&lt;$F$17),J199,"")</f>
        <v/>
      </c>
    </row>
    <row r="200" outlineLevel="1" ht="18" customHeight="1" s="326">
      <c r="A200" s="181">
        <f>$A$31</f>
        <v/>
      </c>
      <c r="B200" s="191">
        <f>$B$31</f>
        <v/>
      </c>
      <c r="C200" s="187">
        <f>$C$31</f>
        <v/>
      </c>
      <c r="D200" s="191">
        <f>$D$31</f>
        <v/>
      </c>
      <c r="E200" s="181">
        <f>$E$31</f>
        <v/>
      </c>
      <c r="F200" s="184">
        <f>$F$31</f>
        <v/>
      </c>
      <c r="G200" s="188">
        <f>$G$31</f>
        <v/>
      </c>
      <c r="H200" s="184">
        <f>$H$31</f>
        <v/>
      </c>
      <c r="I200" s="188">
        <f>$J$17</f>
        <v/>
      </c>
      <c r="J200" s="191" t="n">
        <v>15</v>
      </c>
      <c r="K200" s="191">
        <f>('Model Inputs'!$B$22-1)+J200</f>
        <v/>
      </c>
      <c r="L200" s="184">
        <f>IF(J200=1,'Model Inputs'!$B$25*(13-'Model Inputs'!$B$23)/12,'Model Inputs'!$B$25)</f>
        <v/>
      </c>
      <c r="M200" s="184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/>
      </c>
      <c r="N200" s="188">
        <f>IF(J200&lt;=2,0,'Model Inputs'!$B$32*SIN(2*PI()*(J200-3+'Model Inputs'!$B$34)/MAX(1,'Model Inputs'!$B$33)))</f>
        <v/>
      </c>
      <c r="O200" s="184">
        <f>M200*(1+N200)</f>
        <v/>
      </c>
      <c r="P200" s="184">
        <f>0.75*O199+0.25*O198</f>
        <v/>
      </c>
      <c r="Q200" s="184">
        <f>L200+P200+IF(J200=1,'Model Inputs'!$B$26,0)</f>
        <v/>
      </c>
      <c r="R200" s="184">
        <f>IF(J200&lt;=B200,Q200,IF(J200&lt;=B200+$J$18,L200,(SUMIFS($L$51:$L$350,$A$51:$A$350,$A200,$J$51:$J$350,$B200)+SUMIFS($O$51:$O$350,$A$51:$A$350,$A200,$J$51:$J$350,$B200))*C200))</f>
        <v/>
      </c>
      <c r="S200" s="184">
        <f>H200+F200*G200*(1+I200)^MAX(0,J200-MAX(D200,B200+$J$18+1))</f>
        <v/>
      </c>
      <c r="T200" s="184">
        <f>IF(J200&gt;=MAX(D200,B200+$J$18+1),S200,R200)</f>
        <v/>
      </c>
      <c r="U200" s="184">
        <f>MIN(T200,'Tax Assumptions'!$B$19)</f>
        <v/>
      </c>
      <c r="V200" s="184">
        <f>MAX(T200-U200-'Tax Assumptions'!$B$8,0)</f>
        <v/>
      </c>
      <c r="W200" s="184">
        <f>MAX(T200-U200-'Tax Assumptions'!$B$9,0)</f>
        <v/>
      </c>
      <c r="X200" s="184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/>
      </c>
      <c r="Y200" s="184">
        <f>T200-U200-X200</f>
        <v/>
      </c>
      <c r="Z200" s="184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/>
      </c>
      <c r="AA200" s="184">
        <f>Y200-Z200</f>
        <v/>
      </c>
      <c r="AB200" s="184">
        <f>MIN(MAX(AA200,0),'Tax Assumptions'!$B$20)</f>
        <v/>
      </c>
      <c r="AC200" s="184">
        <f>AA200-AB200</f>
        <v/>
      </c>
      <c r="AD200" s="184">
        <f>MAX(AD199*(1+'Model Inputs'!$B$13)+AC200,0)</f>
        <v/>
      </c>
      <c r="AE200" s="184">
        <f>MAX(AE199*(1+'Model Inputs'!$B$13)+U200+AB200,0)</f>
        <v/>
      </c>
      <c r="AF200" s="184">
        <f>AD200+AE200</f>
        <v/>
      </c>
      <c r="AG200" s="191">
        <f>IF(AND(AF200&gt;=$F$14,AF199&lt;$F$14),J200,"")</f>
        <v/>
      </c>
      <c r="AH200" s="191">
        <f>IF(AND(AF200&gt;=$F$15,AF199&lt;$F$15),J200,"")</f>
        <v/>
      </c>
      <c r="AI200" s="191">
        <f>IF(AND(AF200&gt;=$F$16,AF199&lt;$F$16),J200,"")</f>
        <v/>
      </c>
      <c r="AJ200" s="191">
        <f>IF(AND(AF200&gt;=$F$17,AF199&lt;$F$17),J200,"")</f>
        <v/>
      </c>
    </row>
    <row r="201" outlineLevel="1" ht="18" customHeight="1" s="326">
      <c r="A201" s="181">
        <f>$A$32</f>
        <v/>
      </c>
      <c r="B201" s="191">
        <f>$B$32</f>
        <v/>
      </c>
      <c r="C201" s="187">
        <f>$C$32</f>
        <v/>
      </c>
      <c r="D201" s="191">
        <f>$D$32</f>
        <v/>
      </c>
      <c r="E201" s="181">
        <f>$E$32</f>
        <v/>
      </c>
      <c r="F201" s="184">
        <f>$F$32</f>
        <v/>
      </c>
      <c r="G201" s="188">
        <f>$G$32</f>
        <v/>
      </c>
      <c r="H201" s="184">
        <f>$H$32</f>
        <v/>
      </c>
      <c r="I201" s="188">
        <f>$J$17</f>
        <v/>
      </c>
      <c r="J201" s="191" t="n">
        <v>1</v>
      </c>
      <c r="K201" s="191">
        <f>('Model Inputs'!$B$22-1)+J201</f>
        <v/>
      </c>
      <c r="L201" s="184">
        <f>IF(J201=1,'Model Inputs'!$B$25*(13-'Model Inputs'!$B$23)/12,'Model Inputs'!$B$25)</f>
        <v/>
      </c>
      <c r="M201" s="184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/>
      </c>
      <c r="N201" s="188">
        <f>IF(J201&lt;=2,0,'Model Inputs'!$B$32*SIN(2*PI()*(J201-3+'Model Inputs'!$B$34)/MAX(1,'Model Inputs'!$B$33)))</f>
        <v/>
      </c>
      <c r="O201" s="184">
        <f>M201*(1+N201)</f>
        <v/>
      </c>
      <c r="P201" s="184">
        <f>0</f>
        <v/>
      </c>
      <c r="Q201" s="184">
        <f>L201+P201+IF(J201=1,'Model Inputs'!$B$26,0)</f>
        <v/>
      </c>
      <c r="R201" s="184">
        <f>IF(J201&lt;=B201,Q201,IF(J201&lt;=B201+$J$18,L201,(SUMIFS($L$51:$L$350,$A$51:$A$350,$A201,$J$51:$J$350,$B201)+SUMIFS($O$51:$O$350,$A$51:$A$350,$A201,$J$51:$J$350,$B201))*C201))</f>
        <v/>
      </c>
      <c r="S201" s="184">
        <f>H201+F201*G201*(1+I201)^MAX(0,J201-MAX(D201,B201+$J$18+1))</f>
        <v/>
      </c>
      <c r="T201" s="184">
        <f>IF(J201&gt;=MAX(D201,B201+$J$18+1),S201,R201)</f>
        <v/>
      </c>
      <c r="U201" s="184">
        <f>MIN(T201,'Tax Assumptions'!$B$19)</f>
        <v/>
      </c>
      <c r="V201" s="184">
        <f>MAX(T201-U201-'Tax Assumptions'!$B$8,0)</f>
        <v/>
      </c>
      <c r="W201" s="184">
        <f>MAX(T201-U201-'Tax Assumptions'!$B$9,0)</f>
        <v/>
      </c>
      <c r="X201" s="184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/>
      </c>
      <c r="Y201" s="184">
        <f>T201-U201-X201</f>
        <v/>
      </c>
      <c r="Z201" s="184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/>
      </c>
      <c r="AA201" s="184">
        <f>Y201-Z201</f>
        <v/>
      </c>
      <c r="AB201" s="184">
        <f>MIN(MAX(AA201,0),'Tax Assumptions'!$B$20)</f>
        <v/>
      </c>
      <c r="AC201" s="184">
        <f>AA201-AB201</f>
        <v/>
      </c>
      <c r="AD201" s="184">
        <f>MAX('Model Inputs'!$B$7*(1+'Model Inputs'!$B$13)+AC201,0)</f>
        <v/>
      </c>
      <c r="AE201" s="184">
        <f>MAX(('Model Inputs'!$B$8+'Model Inputs'!$B$9+'Model Inputs'!$B$10)*(1+'Model Inputs'!$B$13)+U201+AB201,0)</f>
        <v/>
      </c>
      <c r="AF201" s="184">
        <f>AD201+AE201</f>
        <v/>
      </c>
      <c r="AG201" s="191">
        <f>IF(AND(AF201&gt;=$F$14,0&lt;$F$14),J201,"")</f>
        <v/>
      </c>
      <c r="AH201" s="191">
        <f>IF(AND(AF201&gt;=$F$15,0&lt;$F$15),J201,"")</f>
        <v/>
      </c>
      <c r="AI201" s="191">
        <f>IF(AND(AF201&gt;=$F$16,0&lt;$F$16),J201,"")</f>
        <v/>
      </c>
      <c r="AJ201" s="191">
        <f>IF(AND(AF201&gt;=$F$17,0&lt;$F$17),J201,"")</f>
        <v/>
      </c>
    </row>
    <row r="202" outlineLevel="1" ht="18" customHeight="1" s="326">
      <c r="A202" s="181">
        <f>$A$32</f>
        <v/>
      </c>
      <c r="B202" s="191">
        <f>$B$32</f>
        <v/>
      </c>
      <c r="C202" s="187">
        <f>$C$32</f>
        <v/>
      </c>
      <c r="D202" s="191">
        <f>$D$32</f>
        <v/>
      </c>
      <c r="E202" s="181">
        <f>$E$32</f>
        <v/>
      </c>
      <c r="F202" s="184">
        <f>$F$32</f>
        <v/>
      </c>
      <c r="G202" s="188">
        <f>$G$32</f>
        <v/>
      </c>
      <c r="H202" s="184">
        <f>$H$32</f>
        <v/>
      </c>
      <c r="I202" s="188">
        <f>$J$17</f>
        <v/>
      </c>
      <c r="J202" s="191" t="n">
        <v>2</v>
      </c>
      <c r="K202" s="191">
        <f>('Model Inputs'!$B$22-1)+J202</f>
        <v/>
      </c>
      <c r="L202" s="184">
        <f>IF(J202=1,'Model Inputs'!$B$25*(13-'Model Inputs'!$B$23)/12,'Model Inputs'!$B$25)</f>
        <v/>
      </c>
      <c r="M202" s="184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/>
      </c>
      <c r="N202" s="188">
        <f>IF(J202&lt;=2,0,'Model Inputs'!$B$32*SIN(2*PI()*(J202-3+'Model Inputs'!$B$34)/MAX(1,'Model Inputs'!$B$33)))</f>
        <v/>
      </c>
      <c r="O202" s="184">
        <f>M202*(1+N202)</f>
        <v/>
      </c>
      <c r="P202" s="184">
        <f>0.75*O201</f>
        <v/>
      </c>
      <c r="Q202" s="184">
        <f>L202+P202+IF(J202=1,'Model Inputs'!$B$26,0)</f>
        <v/>
      </c>
      <c r="R202" s="184">
        <f>IF(J202&lt;=B202,Q202,IF(J202&lt;=B202+$J$18,L202,(SUMIFS($L$51:$L$350,$A$51:$A$350,$A202,$J$51:$J$350,$B202)+SUMIFS($O$51:$O$350,$A$51:$A$350,$A202,$J$51:$J$350,$B202))*C202))</f>
        <v/>
      </c>
      <c r="S202" s="184">
        <f>H202+F202*G202*(1+I202)^MAX(0,J202-MAX(D202,B202+$J$18+1))</f>
        <v/>
      </c>
      <c r="T202" s="184">
        <f>IF(J202&gt;=MAX(D202,B202+$J$18+1),S202,R202)</f>
        <v/>
      </c>
      <c r="U202" s="184">
        <f>MIN(T202,'Tax Assumptions'!$B$19)</f>
        <v/>
      </c>
      <c r="V202" s="184">
        <f>MAX(T202-U202-'Tax Assumptions'!$B$8,0)</f>
        <v/>
      </c>
      <c r="W202" s="184">
        <f>MAX(T202-U202-'Tax Assumptions'!$B$9,0)</f>
        <v/>
      </c>
      <c r="X202" s="184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/>
      </c>
      <c r="Y202" s="184">
        <f>T202-U202-X202</f>
        <v/>
      </c>
      <c r="Z202" s="184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/>
      </c>
      <c r="AA202" s="184">
        <f>Y202-Z202</f>
        <v/>
      </c>
      <c r="AB202" s="184">
        <f>MIN(MAX(AA202,0),'Tax Assumptions'!$B$20)</f>
        <v/>
      </c>
      <c r="AC202" s="184">
        <f>AA202-AB202</f>
        <v/>
      </c>
      <c r="AD202" s="184">
        <f>MAX(AD201*(1+'Model Inputs'!$B$13)+AC202,0)</f>
        <v/>
      </c>
      <c r="AE202" s="184">
        <f>MAX(AE201*(1+'Model Inputs'!$B$13)+U202+AB202,0)</f>
        <v/>
      </c>
      <c r="AF202" s="184">
        <f>AD202+AE202</f>
        <v/>
      </c>
      <c r="AG202" s="191">
        <f>IF(AND(AF202&gt;=$F$14,AF201&lt;$F$14),J202,"")</f>
        <v/>
      </c>
      <c r="AH202" s="191">
        <f>IF(AND(AF202&gt;=$F$15,AF201&lt;$F$15),J202,"")</f>
        <v/>
      </c>
      <c r="AI202" s="191">
        <f>IF(AND(AF202&gt;=$F$16,AF201&lt;$F$16),J202,"")</f>
        <v/>
      </c>
      <c r="AJ202" s="191">
        <f>IF(AND(AF202&gt;=$F$17,AF201&lt;$F$17),J202,"")</f>
        <v/>
      </c>
    </row>
    <row r="203" outlineLevel="1" ht="18" customHeight="1" s="326">
      <c r="A203" s="181">
        <f>$A$32</f>
        <v/>
      </c>
      <c r="B203" s="191">
        <f>$B$32</f>
        <v/>
      </c>
      <c r="C203" s="187">
        <f>$C$32</f>
        <v/>
      </c>
      <c r="D203" s="191">
        <f>$D$32</f>
        <v/>
      </c>
      <c r="E203" s="181">
        <f>$E$32</f>
        <v/>
      </c>
      <c r="F203" s="184">
        <f>$F$32</f>
        <v/>
      </c>
      <c r="G203" s="188">
        <f>$G$32</f>
        <v/>
      </c>
      <c r="H203" s="184">
        <f>$H$32</f>
        <v/>
      </c>
      <c r="I203" s="188">
        <f>$J$17</f>
        <v/>
      </c>
      <c r="J203" s="191" t="n">
        <v>3</v>
      </c>
      <c r="K203" s="191">
        <f>('Model Inputs'!$B$22-1)+J203</f>
        <v/>
      </c>
      <c r="L203" s="184">
        <f>IF(J203=1,'Model Inputs'!$B$25*(13-'Model Inputs'!$B$23)/12,'Model Inputs'!$B$25)</f>
        <v/>
      </c>
      <c r="M203" s="184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/>
      </c>
      <c r="N203" s="188">
        <f>IF(J203&lt;=2,0,'Model Inputs'!$B$32*SIN(2*PI()*(J203-3+'Model Inputs'!$B$34)/MAX(1,'Model Inputs'!$B$33)))</f>
        <v/>
      </c>
      <c r="O203" s="184">
        <f>M203*(1+N203)</f>
        <v/>
      </c>
      <c r="P203" s="184">
        <f>0.75*O202+0.25*O201</f>
        <v/>
      </c>
      <c r="Q203" s="184">
        <f>L203+P203+IF(J203=1,'Model Inputs'!$B$26,0)</f>
        <v/>
      </c>
      <c r="R203" s="184">
        <f>IF(J203&lt;=B203,Q203,IF(J203&lt;=B203+$J$18,L203,(SUMIFS($L$51:$L$350,$A$51:$A$350,$A203,$J$51:$J$350,$B203)+SUMIFS($O$51:$O$350,$A$51:$A$350,$A203,$J$51:$J$350,$B203))*C203))</f>
        <v/>
      </c>
      <c r="S203" s="184">
        <f>H203+F203*G203*(1+I203)^MAX(0,J203-MAX(D203,B203+$J$18+1))</f>
        <v/>
      </c>
      <c r="T203" s="184">
        <f>IF(J203&gt;=MAX(D203,B203+$J$18+1),S203,R203)</f>
        <v/>
      </c>
      <c r="U203" s="184">
        <f>MIN(T203,'Tax Assumptions'!$B$19)</f>
        <v/>
      </c>
      <c r="V203" s="184">
        <f>MAX(T203-U203-'Tax Assumptions'!$B$8,0)</f>
        <v/>
      </c>
      <c r="W203" s="184">
        <f>MAX(T203-U203-'Tax Assumptions'!$B$9,0)</f>
        <v/>
      </c>
      <c r="X203" s="184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/>
      </c>
      <c r="Y203" s="184">
        <f>T203-U203-X203</f>
        <v/>
      </c>
      <c r="Z203" s="184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/>
      </c>
      <c r="AA203" s="184">
        <f>Y203-Z203</f>
        <v/>
      </c>
      <c r="AB203" s="184">
        <f>MIN(MAX(AA203,0),'Tax Assumptions'!$B$20)</f>
        <v/>
      </c>
      <c r="AC203" s="184">
        <f>AA203-AB203</f>
        <v/>
      </c>
      <c r="AD203" s="184">
        <f>MAX(AD202*(1+'Model Inputs'!$B$13)+AC203,0)</f>
        <v/>
      </c>
      <c r="AE203" s="184">
        <f>MAX(AE202*(1+'Model Inputs'!$B$13)+U203+AB203,0)</f>
        <v/>
      </c>
      <c r="AF203" s="184">
        <f>AD203+AE203</f>
        <v/>
      </c>
      <c r="AG203" s="191">
        <f>IF(AND(AF203&gt;=$F$14,AF202&lt;$F$14),J203,"")</f>
        <v/>
      </c>
      <c r="AH203" s="191">
        <f>IF(AND(AF203&gt;=$F$15,AF202&lt;$F$15),J203,"")</f>
        <v/>
      </c>
      <c r="AI203" s="191">
        <f>IF(AND(AF203&gt;=$F$16,AF202&lt;$F$16),J203,"")</f>
        <v/>
      </c>
      <c r="AJ203" s="191">
        <f>IF(AND(AF203&gt;=$F$17,AF202&lt;$F$17),J203,"")</f>
        <v/>
      </c>
    </row>
    <row r="204" outlineLevel="1" ht="18" customHeight="1" s="326">
      <c r="A204" s="181">
        <f>$A$32</f>
        <v/>
      </c>
      <c r="B204" s="191">
        <f>$B$32</f>
        <v/>
      </c>
      <c r="C204" s="187">
        <f>$C$32</f>
        <v/>
      </c>
      <c r="D204" s="191">
        <f>$D$32</f>
        <v/>
      </c>
      <c r="E204" s="181">
        <f>$E$32</f>
        <v/>
      </c>
      <c r="F204" s="184">
        <f>$F$32</f>
        <v/>
      </c>
      <c r="G204" s="188">
        <f>$G$32</f>
        <v/>
      </c>
      <c r="H204" s="184">
        <f>$H$32</f>
        <v/>
      </c>
      <c r="I204" s="188">
        <f>$J$17</f>
        <v/>
      </c>
      <c r="J204" s="191" t="n">
        <v>4</v>
      </c>
      <c r="K204" s="191">
        <f>('Model Inputs'!$B$22-1)+J204</f>
        <v/>
      </c>
      <c r="L204" s="184">
        <f>IF(J204=1,'Model Inputs'!$B$25*(13-'Model Inputs'!$B$23)/12,'Model Inputs'!$B$25)</f>
        <v/>
      </c>
      <c r="M204" s="184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/>
      </c>
      <c r="N204" s="188">
        <f>IF(J204&lt;=2,0,'Model Inputs'!$B$32*SIN(2*PI()*(J204-3+'Model Inputs'!$B$34)/MAX(1,'Model Inputs'!$B$33)))</f>
        <v/>
      </c>
      <c r="O204" s="184">
        <f>M204*(1+N204)</f>
        <v/>
      </c>
      <c r="P204" s="184">
        <f>0.75*O203+0.25*O202</f>
        <v/>
      </c>
      <c r="Q204" s="184">
        <f>L204+P204+IF(J204=1,'Model Inputs'!$B$26,0)</f>
        <v/>
      </c>
      <c r="R204" s="184">
        <f>IF(J204&lt;=B204,Q204,IF(J204&lt;=B204+$J$18,L204,(SUMIFS($L$51:$L$350,$A$51:$A$350,$A204,$J$51:$J$350,$B204)+SUMIFS($O$51:$O$350,$A$51:$A$350,$A204,$J$51:$J$350,$B204))*C204))</f>
        <v/>
      </c>
      <c r="S204" s="184">
        <f>H204+F204*G204*(1+I204)^MAX(0,J204-MAX(D204,B204+$J$18+1))</f>
        <v/>
      </c>
      <c r="T204" s="184">
        <f>IF(J204&gt;=MAX(D204,B204+$J$18+1),S204,R204)</f>
        <v/>
      </c>
      <c r="U204" s="184">
        <f>MIN(T204,'Tax Assumptions'!$B$19)</f>
        <v/>
      </c>
      <c r="V204" s="184">
        <f>MAX(T204-U204-'Tax Assumptions'!$B$8,0)</f>
        <v/>
      </c>
      <c r="W204" s="184">
        <f>MAX(T204-U204-'Tax Assumptions'!$B$9,0)</f>
        <v/>
      </c>
      <c r="X204" s="184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/>
      </c>
      <c r="Y204" s="184">
        <f>T204-U204-X204</f>
        <v/>
      </c>
      <c r="Z204" s="184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/>
      </c>
      <c r="AA204" s="184">
        <f>Y204-Z204</f>
        <v/>
      </c>
      <c r="AB204" s="184">
        <f>MIN(MAX(AA204,0),'Tax Assumptions'!$B$20)</f>
        <v/>
      </c>
      <c r="AC204" s="184">
        <f>AA204-AB204</f>
        <v/>
      </c>
      <c r="AD204" s="184">
        <f>MAX(AD203*(1+'Model Inputs'!$B$13)+AC204,0)</f>
        <v/>
      </c>
      <c r="AE204" s="184">
        <f>MAX(AE203*(1+'Model Inputs'!$B$13)+U204+AB204,0)</f>
        <v/>
      </c>
      <c r="AF204" s="184">
        <f>AD204+AE204</f>
        <v/>
      </c>
      <c r="AG204" s="191">
        <f>IF(AND(AF204&gt;=$F$14,AF203&lt;$F$14),J204,"")</f>
        <v/>
      </c>
      <c r="AH204" s="191">
        <f>IF(AND(AF204&gt;=$F$15,AF203&lt;$F$15),J204,"")</f>
        <v/>
      </c>
      <c r="AI204" s="191">
        <f>IF(AND(AF204&gt;=$F$16,AF203&lt;$F$16),J204,"")</f>
        <v/>
      </c>
      <c r="AJ204" s="191">
        <f>IF(AND(AF204&gt;=$F$17,AF203&lt;$F$17),J204,"")</f>
        <v/>
      </c>
    </row>
    <row r="205" outlineLevel="1" ht="18" customHeight="1" s="326">
      <c r="A205" s="181">
        <f>$A$32</f>
        <v/>
      </c>
      <c r="B205" s="191">
        <f>$B$32</f>
        <v/>
      </c>
      <c r="C205" s="187">
        <f>$C$32</f>
        <v/>
      </c>
      <c r="D205" s="191">
        <f>$D$32</f>
        <v/>
      </c>
      <c r="E205" s="181">
        <f>$E$32</f>
        <v/>
      </c>
      <c r="F205" s="184">
        <f>$F$32</f>
        <v/>
      </c>
      <c r="G205" s="188">
        <f>$G$32</f>
        <v/>
      </c>
      <c r="H205" s="184">
        <f>$H$32</f>
        <v/>
      </c>
      <c r="I205" s="188">
        <f>$J$17</f>
        <v/>
      </c>
      <c r="J205" s="191" t="n">
        <v>5</v>
      </c>
      <c r="K205" s="191">
        <f>('Model Inputs'!$B$22-1)+J205</f>
        <v/>
      </c>
      <c r="L205" s="184">
        <f>IF(J205=1,'Model Inputs'!$B$25*(13-'Model Inputs'!$B$23)/12,'Model Inputs'!$B$25)</f>
        <v/>
      </c>
      <c r="M205" s="184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/>
      </c>
      <c r="N205" s="188">
        <f>IF(J205&lt;=2,0,'Model Inputs'!$B$32*SIN(2*PI()*(J205-3+'Model Inputs'!$B$34)/MAX(1,'Model Inputs'!$B$33)))</f>
        <v/>
      </c>
      <c r="O205" s="184">
        <f>M205*(1+N205)</f>
        <v/>
      </c>
      <c r="P205" s="184">
        <f>0.75*O204+0.25*O203</f>
        <v/>
      </c>
      <c r="Q205" s="184">
        <f>L205+P205+IF(J205=1,'Model Inputs'!$B$26,0)</f>
        <v/>
      </c>
      <c r="R205" s="184">
        <f>IF(J205&lt;=B205,Q205,IF(J205&lt;=B205+$J$18,L205,(SUMIFS($L$51:$L$350,$A$51:$A$350,$A205,$J$51:$J$350,$B205)+SUMIFS($O$51:$O$350,$A$51:$A$350,$A205,$J$51:$J$350,$B205))*C205))</f>
        <v/>
      </c>
      <c r="S205" s="184">
        <f>H205+F205*G205*(1+I205)^MAX(0,J205-MAX(D205,B205+$J$18+1))</f>
        <v/>
      </c>
      <c r="T205" s="184">
        <f>IF(J205&gt;=MAX(D205,B205+$J$18+1),S205,R205)</f>
        <v/>
      </c>
      <c r="U205" s="184">
        <f>MIN(T205,'Tax Assumptions'!$B$19)</f>
        <v/>
      </c>
      <c r="V205" s="184">
        <f>MAX(T205-U205-'Tax Assumptions'!$B$8,0)</f>
        <v/>
      </c>
      <c r="W205" s="184">
        <f>MAX(T205-U205-'Tax Assumptions'!$B$9,0)</f>
        <v/>
      </c>
      <c r="X205" s="184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/>
      </c>
      <c r="Y205" s="184">
        <f>T205-U205-X205</f>
        <v/>
      </c>
      <c r="Z205" s="184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/>
      </c>
      <c r="AA205" s="184">
        <f>Y205-Z205</f>
        <v/>
      </c>
      <c r="AB205" s="184">
        <f>MIN(MAX(AA205,0),'Tax Assumptions'!$B$20)</f>
        <v/>
      </c>
      <c r="AC205" s="184">
        <f>AA205-AB205</f>
        <v/>
      </c>
      <c r="AD205" s="184">
        <f>MAX(AD204*(1+'Model Inputs'!$B$13)+AC205,0)</f>
        <v/>
      </c>
      <c r="AE205" s="184">
        <f>MAX(AE204*(1+'Model Inputs'!$B$13)+U205+AB205,0)</f>
        <v/>
      </c>
      <c r="AF205" s="184">
        <f>AD205+AE205</f>
        <v/>
      </c>
      <c r="AG205" s="191">
        <f>IF(AND(AF205&gt;=$F$14,AF204&lt;$F$14),J205,"")</f>
        <v/>
      </c>
      <c r="AH205" s="191">
        <f>IF(AND(AF205&gt;=$F$15,AF204&lt;$F$15),J205,"")</f>
        <v/>
      </c>
      <c r="AI205" s="191">
        <f>IF(AND(AF205&gt;=$F$16,AF204&lt;$F$16),J205,"")</f>
        <v/>
      </c>
      <c r="AJ205" s="191">
        <f>IF(AND(AF205&gt;=$F$17,AF204&lt;$F$17),J205,"")</f>
        <v/>
      </c>
    </row>
    <row r="206" outlineLevel="1" ht="18" customHeight="1" s="326">
      <c r="A206" s="181">
        <f>$A$32</f>
        <v/>
      </c>
      <c r="B206" s="191">
        <f>$B$32</f>
        <v/>
      </c>
      <c r="C206" s="187">
        <f>$C$32</f>
        <v/>
      </c>
      <c r="D206" s="191">
        <f>$D$32</f>
        <v/>
      </c>
      <c r="E206" s="181">
        <f>$E$32</f>
        <v/>
      </c>
      <c r="F206" s="184">
        <f>$F$32</f>
        <v/>
      </c>
      <c r="G206" s="188">
        <f>$G$32</f>
        <v/>
      </c>
      <c r="H206" s="184">
        <f>$H$32</f>
        <v/>
      </c>
      <c r="I206" s="188">
        <f>$J$17</f>
        <v/>
      </c>
      <c r="J206" s="191" t="n">
        <v>6</v>
      </c>
      <c r="K206" s="191">
        <f>('Model Inputs'!$B$22-1)+J206</f>
        <v/>
      </c>
      <c r="L206" s="184">
        <f>IF(J206=1,'Model Inputs'!$B$25*(13-'Model Inputs'!$B$23)/12,'Model Inputs'!$B$25)</f>
        <v/>
      </c>
      <c r="M206" s="184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/>
      </c>
      <c r="N206" s="188">
        <f>IF(J206&lt;=2,0,'Model Inputs'!$B$32*SIN(2*PI()*(J206-3+'Model Inputs'!$B$34)/MAX(1,'Model Inputs'!$B$33)))</f>
        <v/>
      </c>
      <c r="O206" s="184">
        <f>M206*(1+N206)</f>
        <v/>
      </c>
      <c r="P206" s="184">
        <f>0.75*O205+0.25*O204</f>
        <v/>
      </c>
      <c r="Q206" s="184">
        <f>L206+P206+IF(J206=1,'Model Inputs'!$B$26,0)</f>
        <v/>
      </c>
      <c r="R206" s="184">
        <f>IF(J206&lt;=B206,Q206,IF(J206&lt;=B206+$J$18,L206,(SUMIFS($L$51:$L$350,$A$51:$A$350,$A206,$J$51:$J$350,$B206)+SUMIFS($O$51:$O$350,$A$51:$A$350,$A206,$J$51:$J$350,$B206))*C206))</f>
        <v/>
      </c>
      <c r="S206" s="184">
        <f>H206+F206*G206*(1+I206)^MAX(0,J206-MAX(D206,B206+$J$18+1))</f>
        <v/>
      </c>
      <c r="T206" s="184">
        <f>IF(J206&gt;=MAX(D206,B206+$J$18+1),S206,R206)</f>
        <v/>
      </c>
      <c r="U206" s="184">
        <f>MIN(T206,'Tax Assumptions'!$B$19)</f>
        <v/>
      </c>
      <c r="V206" s="184">
        <f>MAX(T206-U206-'Tax Assumptions'!$B$8,0)</f>
        <v/>
      </c>
      <c r="W206" s="184">
        <f>MAX(T206-U206-'Tax Assumptions'!$B$9,0)</f>
        <v/>
      </c>
      <c r="X206" s="184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/>
      </c>
      <c r="Y206" s="184">
        <f>T206-U206-X206</f>
        <v/>
      </c>
      <c r="Z206" s="184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/>
      </c>
      <c r="AA206" s="184">
        <f>Y206-Z206</f>
        <v/>
      </c>
      <c r="AB206" s="184">
        <f>MIN(MAX(AA206,0),'Tax Assumptions'!$B$20)</f>
        <v/>
      </c>
      <c r="AC206" s="184">
        <f>AA206-AB206</f>
        <v/>
      </c>
      <c r="AD206" s="184">
        <f>MAX(AD205*(1+'Model Inputs'!$B$13)+AC206,0)</f>
        <v/>
      </c>
      <c r="AE206" s="184">
        <f>MAX(AE205*(1+'Model Inputs'!$B$13)+U206+AB206,0)</f>
        <v/>
      </c>
      <c r="AF206" s="184">
        <f>AD206+AE206</f>
        <v/>
      </c>
      <c r="AG206" s="191">
        <f>IF(AND(AF206&gt;=$F$14,AF205&lt;$F$14),J206,"")</f>
        <v/>
      </c>
      <c r="AH206" s="191">
        <f>IF(AND(AF206&gt;=$F$15,AF205&lt;$F$15),J206,"")</f>
        <v/>
      </c>
      <c r="AI206" s="191">
        <f>IF(AND(AF206&gt;=$F$16,AF205&lt;$F$16),J206,"")</f>
        <v/>
      </c>
      <c r="AJ206" s="191">
        <f>IF(AND(AF206&gt;=$F$17,AF205&lt;$F$17),J206,"")</f>
        <v/>
      </c>
    </row>
    <row r="207" outlineLevel="1" ht="18" customHeight="1" s="326">
      <c r="A207" s="181">
        <f>$A$32</f>
        <v/>
      </c>
      <c r="B207" s="191">
        <f>$B$32</f>
        <v/>
      </c>
      <c r="C207" s="187">
        <f>$C$32</f>
        <v/>
      </c>
      <c r="D207" s="191">
        <f>$D$32</f>
        <v/>
      </c>
      <c r="E207" s="181">
        <f>$E$32</f>
        <v/>
      </c>
      <c r="F207" s="184">
        <f>$F$32</f>
        <v/>
      </c>
      <c r="G207" s="188">
        <f>$G$32</f>
        <v/>
      </c>
      <c r="H207" s="184">
        <f>$H$32</f>
        <v/>
      </c>
      <c r="I207" s="188">
        <f>$J$17</f>
        <v/>
      </c>
      <c r="J207" s="191" t="n">
        <v>7</v>
      </c>
      <c r="K207" s="191">
        <f>('Model Inputs'!$B$22-1)+J207</f>
        <v/>
      </c>
      <c r="L207" s="184">
        <f>IF(J207=1,'Model Inputs'!$B$25*(13-'Model Inputs'!$B$23)/12,'Model Inputs'!$B$25)</f>
        <v/>
      </c>
      <c r="M207" s="184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/>
      </c>
      <c r="N207" s="188">
        <f>IF(J207&lt;=2,0,'Model Inputs'!$B$32*SIN(2*PI()*(J207-3+'Model Inputs'!$B$34)/MAX(1,'Model Inputs'!$B$33)))</f>
        <v/>
      </c>
      <c r="O207" s="184">
        <f>M207*(1+N207)</f>
        <v/>
      </c>
      <c r="P207" s="184">
        <f>0.75*O206+0.25*O205</f>
        <v/>
      </c>
      <c r="Q207" s="184">
        <f>L207+P207+IF(J207=1,'Model Inputs'!$B$26,0)</f>
        <v/>
      </c>
      <c r="R207" s="184">
        <f>IF(J207&lt;=B207,Q207,IF(J207&lt;=B207+$J$18,L207,(SUMIFS($L$51:$L$350,$A$51:$A$350,$A207,$J$51:$J$350,$B207)+SUMIFS($O$51:$O$350,$A$51:$A$350,$A207,$J$51:$J$350,$B207))*C207))</f>
        <v/>
      </c>
      <c r="S207" s="184">
        <f>H207+F207*G207*(1+I207)^MAX(0,J207-MAX(D207,B207+$J$18+1))</f>
        <v/>
      </c>
      <c r="T207" s="184">
        <f>IF(J207&gt;=MAX(D207,B207+$J$18+1),S207,R207)</f>
        <v/>
      </c>
      <c r="U207" s="184">
        <f>MIN(T207,'Tax Assumptions'!$B$19)</f>
        <v/>
      </c>
      <c r="V207" s="184">
        <f>MAX(T207-U207-'Tax Assumptions'!$B$8,0)</f>
        <v/>
      </c>
      <c r="W207" s="184">
        <f>MAX(T207-U207-'Tax Assumptions'!$B$9,0)</f>
        <v/>
      </c>
      <c r="X207" s="184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/>
      </c>
      <c r="Y207" s="184">
        <f>T207-U207-X207</f>
        <v/>
      </c>
      <c r="Z207" s="184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/>
      </c>
      <c r="AA207" s="184">
        <f>Y207-Z207</f>
        <v/>
      </c>
      <c r="AB207" s="184">
        <f>MIN(MAX(AA207,0),'Tax Assumptions'!$B$20)</f>
        <v/>
      </c>
      <c r="AC207" s="184">
        <f>AA207-AB207</f>
        <v/>
      </c>
      <c r="AD207" s="184">
        <f>MAX(AD206*(1+'Model Inputs'!$B$13)+AC207,0)</f>
        <v/>
      </c>
      <c r="AE207" s="184">
        <f>MAX(AE206*(1+'Model Inputs'!$B$13)+U207+AB207,0)</f>
        <v/>
      </c>
      <c r="AF207" s="184">
        <f>AD207+AE207</f>
        <v/>
      </c>
      <c r="AG207" s="191">
        <f>IF(AND(AF207&gt;=$F$14,AF206&lt;$F$14),J207,"")</f>
        <v/>
      </c>
      <c r="AH207" s="191">
        <f>IF(AND(AF207&gt;=$F$15,AF206&lt;$F$15),J207,"")</f>
        <v/>
      </c>
      <c r="AI207" s="191">
        <f>IF(AND(AF207&gt;=$F$16,AF206&lt;$F$16),J207,"")</f>
        <v/>
      </c>
      <c r="AJ207" s="191">
        <f>IF(AND(AF207&gt;=$F$17,AF206&lt;$F$17),J207,"")</f>
        <v/>
      </c>
    </row>
    <row r="208" outlineLevel="1" ht="18" customHeight="1" s="326">
      <c r="A208" s="181">
        <f>$A$32</f>
        <v/>
      </c>
      <c r="B208" s="191">
        <f>$B$32</f>
        <v/>
      </c>
      <c r="C208" s="187">
        <f>$C$32</f>
        <v/>
      </c>
      <c r="D208" s="191">
        <f>$D$32</f>
        <v/>
      </c>
      <c r="E208" s="181">
        <f>$E$32</f>
        <v/>
      </c>
      <c r="F208" s="184">
        <f>$F$32</f>
        <v/>
      </c>
      <c r="G208" s="188">
        <f>$G$32</f>
        <v/>
      </c>
      <c r="H208" s="184">
        <f>$H$32</f>
        <v/>
      </c>
      <c r="I208" s="188">
        <f>$J$17</f>
        <v/>
      </c>
      <c r="J208" s="191" t="n">
        <v>8</v>
      </c>
      <c r="K208" s="191">
        <f>('Model Inputs'!$B$22-1)+J208</f>
        <v/>
      </c>
      <c r="L208" s="184">
        <f>IF(J208=1,'Model Inputs'!$B$25*(13-'Model Inputs'!$B$23)/12,'Model Inputs'!$B$25)</f>
        <v/>
      </c>
      <c r="M208" s="184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/>
      </c>
      <c r="N208" s="188">
        <f>IF(J208&lt;=2,0,'Model Inputs'!$B$32*SIN(2*PI()*(J208-3+'Model Inputs'!$B$34)/MAX(1,'Model Inputs'!$B$33)))</f>
        <v/>
      </c>
      <c r="O208" s="184">
        <f>M208*(1+N208)</f>
        <v/>
      </c>
      <c r="P208" s="184">
        <f>0.75*O207+0.25*O206</f>
        <v/>
      </c>
      <c r="Q208" s="184">
        <f>L208+P208+IF(J208=1,'Model Inputs'!$B$26,0)</f>
        <v/>
      </c>
      <c r="R208" s="184">
        <f>IF(J208&lt;=B208,Q208,IF(J208&lt;=B208+$J$18,L208,(SUMIFS($L$51:$L$350,$A$51:$A$350,$A208,$J$51:$J$350,$B208)+SUMIFS($O$51:$O$350,$A$51:$A$350,$A208,$J$51:$J$350,$B208))*C208))</f>
        <v/>
      </c>
      <c r="S208" s="184">
        <f>H208+F208*G208*(1+I208)^MAX(0,J208-MAX(D208,B208+$J$18+1))</f>
        <v/>
      </c>
      <c r="T208" s="184">
        <f>IF(J208&gt;=MAX(D208,B208+$J$18+1),S208,R208)</f>
        <v/>
      </c>
      <c r="U208" s="184">
        <f>MIN(T208,'Tax Assumptions'!$B$19)</f>
        <v/>
      </c>
      <c r="V208" s="184">
        <f>MAX(T208-U208-'Tax Assumptions'!$B$8,0)</f>
        <v/>
      </c>
      <c r="W208" s="184">
        <f>MAX(T208-U208-'Tax Assumptions'!$B$9,0)</f>
        <v/>
      </c>
      <c r="X208" s="184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/>
      </c>
      <c r="Y208" s="184">
        <f>T208-U208-X208</f>
        <v/>
      </c>
      <c r="Z208" s="184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/>
      </c>
      <c r="AA208" s="184">
        <f>Y208-Z208</f>
        <v/>
      </c>
      <c r="AB208" s="184">
        <f>MIN(MAX(AA208,0),'Tax Assumptions'!$B$20)</f>
        <v/>
      </c>
      <c r="AC208" s="184">
        <f>AA208-AB208</f>
        <v/>
      </c>
      <c r="AD208" s="184">
        <f>MAX(AD207*(1+'Model Inputs'!$B$13)+AC208,0)</f>
        <v/>
      </c>
      <c r="AE208" s="184">
        <f>MAX(AE207*(1+'Model Inputs'!$B$13)+U208+AB208,0)</f>
        <v/>
      </c>
      <c r="AF208" s="184">
        <f>AD208+AE208</f>
        <v/>
      </c>
      <c r="AG208" s="191">
        <f>IF(AND(AF208&gt;=$F$14,AF207&lt;$F$14),J208,"")</f>
        <v/>
      </c>
      <c r="AH208" s="191">
        <f>IF(AND(AF208&gt;=$F$15,AF207&lt;$F$15),J208,"")</f>
        <v/>
      </c>
      <c r="AI208" s="191">
        <f>IF(AND(AF208&gt;=$F$16,AF207&lt;$F$16),J208,"")</f>
        <v/>
      </c>
      <c r="AJ208" s="191">
        <f>IF(AND(AF208&gt;=$F$17,AF207&lt;$F$17),J208,"")</f>
        <v/>
      </c>
    </row>
    <row r="209" outlineLevel="1" ht="18" customHeight="1" s="326">
      <c r="A209" s="181">
        <f>$A$32</f>
        <v/>
      </c>
      <c r="B209" s="191">
        <f>$B$32</f>
        <v/>
      </c>
      <c r="C209" s="187">
        <f>$C$32</f>
        <v/>
      </c>
      <c r="D209" s="191">
        <f>$D$32</f>
        <v/>
      </c>
      <c r="E209" s="181">
        <f>$E$32</f>
        <v/>
      </c>
      <c r="F209" s="184">
        <f>$F$32</f>
        <v/>
      </c>
      <c r="G209" s="188">
        <f>$G$32</f>
        <v/>
      </c>
      <c r="H209" s="184">
        <f>$H$32</f>
        <v/>
      </c>
      <c r="I209" s="188">
        <f>$J$17</f>
        <v/>
      </c>
      <c r="J209" s="191" t="n">
        <v>9</v>
      </c>
      <c r="K209" s="191">
        <f>('Model Inputs'!$B$22-1)+J209</f>
        <v/>
      </c>
      <c r="L209" s="184">
        <f>IF(J209=1,'Model Inputs'!$B$25*(13-'Model Inputs'!$B$23)/12,'Model Inputs'!$B$25)</f>
        <v/>
      </c>
      <c r="M209" s="184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/>
      </c>
      <c r="N209" s="188">
        <f>IF(J209&lt;=2,0,'Model Inputs'!$B$32*SIN(2*PI()*(J209-3+'Model Inputs'!$B$34)/MAX(1,'Model Inputs'!$B$33)))</f>
        <v/>
      </c>
      <c r="O209" s="184">
        <f>M209*(1+N209)</f>
        <v/>
      </c>
      <c r="P209" s="184">
        <f>0.75*O208+0.25*O207</f>
        <v/>
      </c>
      <c r="Q209" s="184">
        <f>L209+P209+IF(J209=1,'Model Inputs'!$B$26,0)</f>
        <v/>
      </c>
      <c r="R209" s="184">
        <f>IF(J209&lt;=B209,Q209,IF(J209&lt;=B209+$J$18,L209,(SUMIFS($L$51:$L$350,$A$51:$A$350,$A209,$J$51:$J$350,$B209)+SUMIFS($O$51:$O$350,$A$51:$A$350,$A209,$J$51:$J$350,$B209))*C209))</f>
        <v/>
      </c>
      <c r="S209" s="184">
        <f>H209+F209*G209*(1+I209)^MAX(0,J209-MAX(D209,B209+$J$18+1))</f>
        <v/>
      </c>
      <c r="T209" s="184">
        <f>IF(J209&gt;=MAX(D209,B209+$J$18+1),S209,R209)</f>
        <v/>
      </c>
      <c r="U209" s="184">
        <f>MIN(T209,'Tax Assumptions'!$B$19)</f>
        <v/>
      </c>
      <c r="V209" s="184">
        <f>MAX(T209-U209-'Tax Assumptions'!$B$8,0)</f>
        <v/>
      </c>
      <c r="W209" s="184">
        <f>MAX(T209-U209-'Tax Assumptions'!$B$9,0)</f>
        <v/>
      </c>
      <c r="X209" s="184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/>
      </c>
      <c r="Y209" s="184">
        <f>T209-U209-X209</f>
        <v/>
      </c>
      <c r="Z209" s="184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/>
      </c>
      <c r="AA209" s="184">
        <f>Y209-Z209</f>
        <v/>
      </c>
      <c r="AB209" s="184">
        <f>MIN(MAX(AA209,0),'Tax Assumptions'!$B$20)</f>
        <v/>
      </c>
      <c r="AC209" s="184">
        <f>AA209-AB209</f>
        <v/>
      </c>
      <c r="AD209" s="184">
        <f>MAX(AD208*(1+'Model Inputs'!$B$13)+AC209,0)</f>
        <v/>
      </c>
      <c r="AE209" s="184">
        <f>MAX(AE208*(1+'Model Inputs'!$B$13)+U209+AB209,0)</f>
        <v/>
      </c>
      <c r="AF209" s="184">
        <f>AD209+AE209</f>
        <v/>
      </c>
      <c r="AG209" s="191">
        <f>IF(AND(AF209&gt;=$F$14,AF208&lt;$F$14),J209,"")</f>
        <v/>
      </c>
      <c r="AH209" s="191">
        <f>IF(AND(AF209&gt;=$F$15,AF208&lt;$F$15),J209,"")</f>
        <v/>
      </c>
      <c r="AI209" s="191">
        <f>IF(AND(AF209&gt;=$F$16,AF208&lt;$F$16),J209,"")</f>
        <v/>
      </c>
      <c r="AJ209" s="191">
        <f>IF(AND(AF209&gt;=$F$17,AF208&lt;$F$17),J209,"")</f>
        <v/>
      </c>
    </row>
    <row r="210" outlineLevel="1" ht="18" customHeight="1" s="326">
      <c r="A210" s="181">
        <f>$A$32</f>
        <v/>
      </c>
      <c r="B210" s="191">
        <f>$B$32</f>
        <v/>
      </c>
      <c r="C210" s="187">
        <f>$C$32</f>
        <v/>
      </c>
      <c r="D210" s="191">
        <f>$D$32</f>
        <v/>
      </c>
      <c r="E210" s="181">
        <f>$E$32</f>
        <v/>
      </c>
      <c r="F210" s="184">
        <f>$F$32</f>
        <v/>
      </c>
      <c r="G210" s="188">
        <f>$G$32</f>
        <v/>
      </c>
      <c r="H210" s="184">
        <f>$H$32</f>
        <v/>
      </c>
      <c r="I210" s="188">
        <f>$J$17</f>
        <v/>
      </c>
      <c r="J210" s="191" t="n">
        <v>10</v>
      </c>
      <c r="K210" s="191">
        <f>('Model Inputs'!$B$22-1)+J210</f>
        <v/>
      </c>
      <c r="L210" s="184">
        <f>IF(J210=1,'Model Inputs'!$B$25*(13-'Model Inputs'!$B$23)/12,'Model Inputs'!$B$25)</f>
        <v/>
      </c>
      <c r="M210" s="184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/>
      </c>
      <c r="N210" s="188">
        <f>IF(J210&lt;=2,0,'Model Inputs'!$B$32*SIN(2*PI()*(J210-3+'Model Inputs'!$B$34)/MAX(1,'Model Inputs'!$B$33)))</f>
        <v/>
      </c>
      <c r="O210" s="184">
        <f>M210*(1+N210)</f>
        <v/>
      </c>
      <c r="P210" s="184">
        <f>0.75*O209+0.25*O208</f>
        <v/>
      </c>
      <c r="Q210" s="184">
        <f>L210+P210+IF(J210=1,'Model Inputs'!$B$26,0)</f>
        <v/>
      </c>
      <c r="R210" s="184">
        <f>IF(J210&lt;=B210,Q210,IF(J210&lt;=B210+$J$18,L210,(SUMIFS($L$51:$L$350,$A$51:$A$350,$A210,$J$51:$J$350,$B210)+SUMIFS($O$51:$O$350,$A$51:$A$350,$A210,$J$51:$J$350,$B210))*C210))</f>
        <v/>
      </c>
      <c r="S210" s="184">
        <f>H210+F210*G210*(1+I210)^MAX(0,J210-MAX(D210,B210+$J$18+1))</f>
        <v/>
      </c>
      <c r="T210" s="184">
        <f>IF(J210&gt;=MAX(D210,B210+$J$18+1),S210,R210)</f>
        <v/>
      </c>
      <c r="U210" s="184">
        <f>MIN(T210,'Tax Assumptions'!$B$19)</f>
        <v/>
      </c>
      <c r="V210" s="184">
        <f>MAX(T210-U210-'Tax Assumptions'!$B$8,0)</f>
        <v/>
      </c>
      <c r="W210" s="184">
        <f>MAX(T210-U210-'Tax Assumptions'!$B$9,0)</f>
        <v/>
      </c>
      <c r="X210" s="184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/>
      </c>
      <c r="Y210" s="184">
        <f>T210-U210-X210</f>
        <v/>
      </c>
      <c r="Z210" s="184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/>
      </c>
      <c r="AA210" s="184">
        <f>Y210-Z210</f>
        <v/>
      </c>
      <c r="AB210" s="184">
        <f>MIN(MAX(AA210,0),'Tax Assumptions'!$B$20)</f>
        <v/>
      </c>
      <c r="AC210" s="184">
        <f>AA210-AB210</f>
        <v/>
      </c>
      <c r="AD210" s="184">
        <f>MAX(AD209*(1+'Model Inputs'!$B$13)+AC210,0)</f>
        <v/>
      </c>
      <c r="AE210" s="184">
        <f>MAX(AE209*(1+'Model Inputs'!$B$13)+U210+AB210,0)</f>
        <v/>
      </c>
      <c r="AF210" s="184">
        <f>AD210+AE210</f>
        <v/>
      </c>
      <c r="AG210" s="191">
        <f>IF(AND(AF210&gt;=$F$14,AF209&lt;$F$14),J210,"")</f>
        <v/>
      </c>
      <c r="AH210" s="191">
        <f>IF(AND(AF210&gt;=$F$15,AF209&lt;$F$15),J210,"")</f>
        <v/>
      </c>
      <c r="AI210" s="191">
        <f>IF(AND(AF210&gt;=$F$16,AF209&lt;$F$16),J210,"")</f>
        <v/>
      </c>
      <c r="AJ210" s="191">
        <f>IF(AND(AF210&gt;=$F$17,AF209&lt;$F$17),J210,"")</f>
        <v/>
      </c>
    </row>
    <row r="211" outlineLevel="1" ht="18" customHeight="1" s="326">
      <c r="A211" s="181">
        <f>$A$32</f>
        <v/>
      </c>
      <c r="B211" s="191">
        <f>$B$32</f>
        <v/>
      </c>
      <c r="C211" s="187">
        <f>$C$32</f>
        <v/>
      </c>
      <c r="D211" s="191">
        <f>$D$32</f>
        <v/>
      </c>
      <c r="E211" s="181">
        <f>$E$32</f>
        <v/>
      </c>
      <c r="F211" s="184">
        <f>$F$32</f>
        <v/>
      </c>
      <c r="G211" s="188">
        <f>$G$32</f>
        <v/>
      </c>
      <c r="H211" s="184">
        <f>$H$32</f>
        <v/>
      </c>
      <c r="I211" s="188">
        <f>$J$17</f>
        <v/>
      </c>
      <c r="J211" s="191" t="n">
        <v>11</v>
      </c>
      <c r="K211" s="191">
        <f>('Model Inputs'!$B$22-1)+J211</f>
        <v/>
      </c>
      <c r="L211" s="184">
        <f>IF(J211=1,'Model Inputs'!$B$25*(13-'Model Inputs'!$B$23)/12,'Model Inputs'!$B$25)</f>
        <v/>
      </c>
      <c r="M211" s="184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/>
      </c>
      <c r="N211" s="188">
        <f>IF(J211&lt;=2,0,'Model Inputs'!$B$32*SIN(2*PI()*(J211-3+'Model Inputs'!$B$34)/MAX(1,'Model Inputs'!$B$33)))</f>
        <v/>
      </c>
      <c r="O211" s="184">
        <f>M211*(1+N211)</f>
        <v/>
      </c>
      <c r="P211" s="184">
        <f>0.75*O210+0.25*O209</f>
        <v/>
      </c>
      <c r="Q211" s="184">
        <f>L211+P211+IF(J211=1,'Model Inputs'!$B$26,0)</f>
        <v/>
      </c>
      <c r="R211" s="184">
        <f>IF(J211&lt;=B211,Q211,IF(J211&lt;=B211+$J$18,L211,(SUMIFS($L$51:$L$350,$A$51:$A$350,$A211,$J$51:$J$350,$B211)+SUMIFS($O$51:$O$350,$A$51:$A$350,$A211,$J$51:$J$350,$B211))*C211))</f>
        <v/>
      </c>
      <c r="S211" s="184">
        <f>H211+F211*G211*(1+I211)^MAX(0,J211-MAX(D211,B211+$J$18+1))</f>
        <v/>
      </c>
      <c r="T211" s="184">
        <f>IF(J211&gt;=MAX(D211,B211+$J$18+1),S211,R211)</f>
        <v/>
      </c>
      <c r="U211" s="184">
        <f>MIN(T211,'Tax Assumptions'!$B$19)</f>
        <v/>
      </c>
      <c r="V211" s="184">
        <f>MAX(T211-U211-'Tax Assumptions'!$B$8,0)</f>
        <v/>
      </c>
      <c r="W211" s="184">
        <f>MAX(T211-U211-'Tax Assumptions'!$B$9,0)</f>
        <v/>
      </c>
      <c r="X211" s="184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/>
      </c>
      <c r="Y211" s="184">
        <f>T211-U211-X211</f>
        <v/>
      </c>
      <c r="Z211" s="184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/>
      </c>
      <c r="AA211" s="184">
        <f>Y211-Z211</f>
        <v/>
      </c>
      <c r="AB211" s="184">
        <f>MIN(MAX(AA211,0),'Tax Assumptions'!$B$20)</f>
        <v/>
      </c>
      <c r="AC211" s="184">
        <f>AA211-AB211</f>
        <v/>
      </c>
      <c r="AD211" s="184">
        <f>MAX(AD210*(1+'Model Inputs'!$B$13)+AC211,0)</f>
        <v/>
      </c>
      <c r="AE211" s="184">
        <f>MAX(AE210*(1+'Model Inputs'!$B$13)+U211+AB211,0)</f>
        <v/>
      </c>
      <c r="AF211" s="184">
        <f>AD211+AE211</f>
        <v/>
      </c>
      <c r="AG211" s="191">
        <f>IF(AND(AF211&gt;=$F$14,AF210&lt;$F$14),J211,"")</f>
        <v/>
      </c>
      <c r="AH211" s="191">
        <f>IF(AND(AF211&gt;=$F$15,AF210&lt;$F$15),J211,"")</f>
        <v/>
      </c>
      <c r="AI211" s="191">
        <f>IF(AND(AF211&gt;=$F$16,AF210&lt;$F$16),J211,"")</f>
        <v/>
      </c>
      <c r="AJ211" s="191">
        <f>IF(AND(AF211&gt;=$F$17,AF210&lt;$F$17),J211,"")</f>
        <v/>
      </c>
    </row>
    <row r="212" outlineLevel="1" ht="18" customHeight="1" s="326">
      <c r="A212" s="181">
        <f>$A$32</f>
        <v/>
      </c>
      <c r="B212" s="191">
        <f>$B$32</f>
        <v/>
      </c>
      <c r="C212" s="187">
        <f>$C$32</f>
        <v/>
      </c>
      <c r="D212" s="191">
        <f>$D$32</f>
        <v/>
      </c>
      <c r="E212" s="181">
        <f>$E$32</f>
        <v/>
      </c>
      <c r="F212" s="184">
        <f>$F$32</f>
        <v/>
      </c>
      <c r="G212" s="188">
        <f>$G$32</f>
        <v/>
      </c>
      <c r="H212" s="184">
        <f>$H$32</f>
        <v/>
      </c>
      <c r="I212" s="188">
        <f>$J$17</f>
        <v/>
      </c>
      <c r="J212" s="191" t="n">
        <v>12</v>
      </c>
      <c r="K212" s="191">
        <f>('Model Inputs'!$B$22-1)+J212</f>
        <v/>
      </c>
      <c r="L212" s="184">
        <f>IF(J212=1,'Model Inputs'!$B$25*(13-'Model Inputs'!$B$23)/12,'Model Inputs'!$B$25)</f>
        <v/>
      </c>
      <c r="M212" s="184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/>
      </c>
      <c r="N212" s="188">
        <f>IF(J212&lt;=2,0,'Model Inputs'!$B$32*SIN(2*PI()*(J212-3+'Model Inputs'!$B$34)/MAX(1,'Model Inputs'!$B$33)))</f>
        <v/>
      </c>
      <c r="O212" s="184">
        <f>M212*(1+N212)</f>
        <v/>
      </c>
      <c r="P212" s="184">
        <f>0.75*O211+0.25*O210</f>
        <v/>
      </c>
      <c r="Q212" s="184">
        <f>L212+P212+IF(J212=1,'Model Inputs'!$B$26,0)</f>
        <v/>
      </c>
      <c r="R212" s="184">
        <f>IF(J212&lt;=B212,Q212,IF(J212&lt;=B212+$J$18,L212,(SUMIFS($L$51:$L$350,$A$51:$A$350,$A212,$J$51:$J$350,$B212)+SUMIFS($O$51:$O$350,$A$51:$A$350,$A212,$J$51:$J$350,$B212))*C212))</f>
        <v/>
      </c>
      <c r="S212" s="184">
        <f>H212+F212*G212*(1+I212)^MAX(0,J212-MAX(D212,B212+$J$18+1))</f>
        <v/>
      </c>
      <c r="T212" s="184">
        <f>IF(J212&gt;=MAX(D212,B212+$J$18+1),S212,R212)</f>
        <v/>
      </c>
      <c r="U212" s="184">
        <f>MIN(T212,'Tax Assumptions'!$B$19)</f>
        <v/>
      </c>
      <c r="V212" s="184">
        <f>MAX(T212-U212-'Tax Assumptions'!$B$8,0)</f>
        <v/>
      </c>
      <c r="W212" s="184">
        <f>MAX(T212-U212-'Tax Assumptions'!$B$9,0)</f>
        <v/>
      </c>
      <c r="X212" s="184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/>
      </c>
      <c r="Y212" s="184">
        <f>T212-U212-X212</f>
        <v/>
      </c>
      <c r="Z212" s="184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/>
      </c>
      <c r="AA212" s="184">
        <f>Y212-Z212</f>
        <v/>
      </c>
      <c r="AB212" s="184">
        <f>MIN(MAX(AA212,0),'Tax Assumptions'!$B$20)</f>
        <v/>
      </c>
      <c r="AC212" s="184">
        <f>AA212-AB212</f>
        <v/>
      </c>
      <c r="AD212" s="184">
        <f>MAX(AD211*(1+'Model Inputs'!$B$13)+AC212,0)</f>
        <v/>
      </c>
      <c r="AE212" s="184">
        <f>MAX(AE211*(1+'Model Inputs'!$B$13)+U212+AB212,0)</f>
        <v/>
      </c>
      <c r="AF212" s="184">
        <f>AD212+AE212</f>
        <v/>
      </c>
      <c r="AG212" s="191">
        <f>IF(AND(AF212&gt;=$F$14,AF211&lt;$F$14),J212,"")</f>
        <v/>
      </c>
      <c r="AH212" s="191">
        <f>IF(AND(AF212&gt;=$F$15,AF211&lt;$F$15),J212,"")</f>
        <v/>
      </c>
      <c r="AI212" s="191">
        <f>IF(AND(AF212&gt;=$F$16,AF211&lt;$F$16),J212,"")</f>
        <v/>
      </c>
      <c r="AJ212" s="191">
        <f>IF(AND(AF212&gt;=$F$17,AF211&lt;$F$17),J212,"")</f>
        <v/>
      </c>
    </row>
    <row r="213" outlineLevel="1" ht="18" customHeight="1" s="326">
      <c r="A213" s="181">
        <f>$A$32</f>
        <v/>
      </c>
      <c r="B213" s="191">
        <f>$B$32</f>
        <v/>
      </c>
      <c r="C213" s="187">
        <f>$C$32</f>
        <v/>
      </c>
      <c r="D213" s="191">
        <f>$D$32</f>
        <v/>
      </c>
      <c r="E213" s="181">
        <f>$E$32</f>
        <v/>
      </c>
      <c r="F213" s="184">
        <f>$F$32</f>
        <v/>
      </c>
      <c r="G213" s="188">
        <f>$G$32</f>
        <v/>
      </c>
      <c r="H213" s="184">
        <f>$H$32</f>
        <v/>
      </c>
      <c r="I213" s="188">
        <f>$J$17</f>
        <v/>
      </c>
      <c r="J213" s="191" t="n">
        <v>13</v>
      </c>
      <c r="K213" s="191">
        <f>('Model Inputs'!$B$22-1)+J213</f>
        <v/>
      </c>
      <c r="L213" s="184">
        <f>IF(J213=1,'Model Inputs'!$B$25*(13-'Model Inputs'!$B$23)/12,'Model Inputs'!$B$25)</f>
        <v/>
      </c>
      <c r="M213" s="184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/>
      </c>
      <c r="N213" s="188">
        <f>IF(J213&lt;=2,0,'Model Inputs'!$B$32*SIN(2*PI()*(J213-3+'Model Inputs'!$B$34)/MAX(1,'Model Inputs'!$B$33)))</f>
        <v/>
      </c>
      <c r="O213" s="184">
        <f>M213*(1+N213)</f>
        <v/>
      </c>
      <c r="P213" s="184">
        <f>0.75*O212+0.25*O211</f>
        <v/>
      </c>
      <c r="Q213" s="184">
        <f>L213+P213+IF(J213=1,'Model Inputs'!$B$26,0)</f>
        <v/>
      </c>
      <c r="R213" s="184">
        <f>IF(J213&lt;=B213,Q213,IF(J213&lt;=B213+$J$18,L213,(SUMIFS($L$51:$L$350,$A$51:$A$350,$A213,$J$51:$J$350,$B213)+SUMIFS($O$51:$O$350,$A$51:$A$350,$A213,$J$51:$J$350,$B213))*C213))</f>
        <v/>
      </c>
      <c r="S213" s="184">
        <f>H213+F213*G213*(1+I213)^MAX(0,J213-MAX(D213,B213+$J$18+1))</f>
        <v/>
      </c>
      <c r="T213" s="184">
        <f>IF(J213&gt;=MAX(D213,B213+$J$18+1),S213,R213)</f>
        <v/>
      </c>
      <c r="U213" s="184">
        <f>MIN(T213,'Tax Assumptions'!$B$19)</f>
        <v/>
      </c>
      <c r="V213" s="184">
        <f>MAX(T213-U213-'Tax Assumptions'!$B$8,0)</f>
        <v/>
      </c>
      <c r="W213" s="184">
        <f>MAX(T213-U213-'Tax Assumptions'!$B$9,0)</f>
        <v/>
      </c>
      <c r="X213" s="184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/>
      </c>
      <c r="Y213" s="184">
        <f>T213-U213-X213</f>
        <v/>
      </c>
      <c r="Z213" s="184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/>
      </c>
      <c r="AA213" s="184">
        <f>Y213-Z213</f>
        <v/>
      </c>
      <c r="AB213" s="184">
        <f>MIN(MAX(AA213,0),'Tax Assumptions'!$B$20)</f>
        <v/>
      </c>
      <c r="AC213" s="184">
        <f>AA213-AB213</f>
        <v/>
      </c>
      <c r="AD213" s="184">
        <f>MAX(AD212*(1+'Model Inputs'!$B$13)+AC213,0)</f>
        <v/>
      </c>
      <c r="AE213" s="184">
        <f>MAX(AE212*(1+'Model Inputs'!$B$13)+U213+AB213,0)</f>
        <v/>
      </c>
      <c r="AF213" s="184">
        <f>AD213+AE213</f>
        <v/>
      </c>
      <c r="AG213" s="191">
        <f>IF(AND(AF213&gt;=$F$14,AF212&lt;$F$14),J213,"")</f>
        <v/>
      </c>
      <c r="AH213" s="191">
        <f>IF(AND(AF213&gt;=$F$15,AF212&lt;$F$15),J213,"")</f>
        <v/>
      </c>
      <c r="AI213" s="191">
        <f>IF(AND(AF213&gt;=$F$16,AF212&lt;$F$16),J213,"")</f>
        <v/>
      </c>
      <c r="AJ213" s="191">
        <f>IF(AND(AF213&gt;=$F$17,AF212&lt;$F$17),J213,"")</f>
        <v/>
      </c>
    </row>
    <row r="214" outlineLevel="1" ht="18" customHeight="1" s="326">
      <c r="A214" s="181">
        <f>$A$32</f>
        <v/>
      </c>
      <c r="B214" s="191">
        <f>$B$32</f>
        <v/>
      </c>
      <c r="C214" s="187">
        <f>$C$32</f>
        <v/>
      </c>
      <c r="D214" s="191">
        <f>$D$32</f>
        <v/>
      </c>
      <c r="E214" s="181">
        <f>$E$32</f>
        <v/>
      </c>
      <c r="F214" s="184">
        <f>$F$32</f>
        <v/>
      </c>
      <c r="G214" s="188">
        <f>$G$32</f>
        <v/>
      </c>
      <c r="H214" s="184">
        <f>$H$32</f>
        <v/>
      </c>
      <c r="I214" s="188">
        <f>$J$17</f>
        <v/>
      </c>
      <c r="J214" s="191" t="n">
        <v>14</v>
      </c>
      <c r="K214" s="191">
        <f>('Model Inputs'!$B$22-1)+J214</f>
        <v/>
      </c>
      <c r="L214" s="184">
        <f>IF(J214=1,'Model Inputs'!$B$25*(13-'Model Inputs'!$B$23)/12,'Model Inputs'!$B$25)</f>
        <v/>
      </c>
      <c r="M214" s="184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/>
      </c>
      <c r="N214" s="188">
        <f>IF(J214&lt;=2,0,'Model Inputs'!$B$32*SIN(2*PI()*(J214-3+'Model Inputs'!$B$34)/MAX(1,'Model Inputs'!$B$33)))</f>
        <v/>
      </c>
      <c r="O214" s="184">
        <f>M214*(1+N214)</f>
        <v/>
      </c>
      <c r="P214" s="184">
        <f>0.75*O213+0.25*O212</f>
        <v/>
      </c>
      <c r="Q214" s="184">
        <f>L214+P214+IF(J214=1,'Model Inputs'!$B$26,0)</f>
        <v/>
      </c>
      <c r="R214" s="184">
        <f>IF(J214&lt;=B214,Q214,IF(J214&lt;=B214+$J$18,L214,(SUMIFS($L$51:$L$350,$A$51:$A$350,$A214,$J$51:$J$350,$B214)+SUMIFS($O$51:$O$350,$A$51:$A$350,$A214,$J$51:$J$350,$B214))*C214))</f>
        <v/>
      </c>
      <c r="S214" s="184">
        <f>H214+F214*G214*(1+I214)^MAX(0,J214-MAX(D214,B214+$J$18+1))</f>
        <v/>
      </c>
      <c r="T214" s="184">
        <f>IF(J214&gt;=MAX(D214,B214+$J$18+1),S214,R214)</f>
        <v/>
      </c>
      <c r="U214" s="184">
        <f>MIN(T214,'Tax Assumptions'!$B$19)</f>
        <v/>
      </c>
      <c r="V214" s="184">
        <f>MAX(T214-U214-'Tax Assumptions'!$B$8,0)</f>
        <v/>
      </c>
      <c r="W214" s="184">
        <f>MAX(T214-U214-'Tax Assumptions'!$B$9,0)</f>
        <v/>
      </c>
      <c r="X214" s="184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/>
      </c>
      <c r="Y214" s="184">
        <f>T214-U214-X214</f>
        <v/>
      </c>
      <c r="Z214" s="184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/>
      </c>
      <c r="AA214" s="184">
        <f>Y214-Z214</f>
        <v/>
      </c>
      <c r="AB214" s="184">
        <f>MIN(MAX(AA214,0),'Tax Assumptions'!$B$20)</f>
        <v/>
      </c>
      <c r="AC214" s="184">
        <f>AA214-AB214</f>
        <v/>
      </c>
      <c r="AD214" s="184">
        <f>MAX(AD213*(1+'Model Inputs'!$B$13)+AC214,0)</f>
        <v/>
      </c>
      <c r="AE214" s="184">
        <f>MAX(AE213*(1+'Model Inputs'!$B$13)+U214+AB214,0)</f>
        <v/>
      </c>
      <c r="AF214" s="184">
        <f>AD214+AE214</f>
        <v/>
      </c>
      <c r="AG214" s="191">
        <f>IF(AND(AF214&gt;=$F$14,AF213&lt;$F$14),J214,"")</f>
        <v/>
      </c>
      <c r="AH214" s="191">
        <f>IF(AND(AF214&gt;=$F$15,AF213&lt;$F$15),J214,"")</f>
        <v/>
      </c>
      <c r="AI214" s="191">
        <f>IF(AND(AF214&gt;=$F$16,AF213&lt;$F$16),J214,"")</f>
        <v/>
      </c>
      <c r="AJ214" s="191">
        <f>IF(AND(AF214&gt;=$F$17,AF213&lt;$F$17),J214,"")</f>
        <v/>
      </c>
    </row>
    <row r="215" outlineLevel="1" ht="18" customHeight="1" s="326">
      <c r="A215" s="181">
        <f>$A$32</f>
        <v/>
      </c>
      <c r="B215" s="191">
        <f>$B$32</f>
        <v/>
      </c>
      <c r="C215" s="187">
        <f>$C$32</f>
        <v/>
      </c>
      <c r="D215" s="191">
        <f>$D$32</f>
        <v/>
      </c>
      <c r="E215" s="181">
        <f>$E$32</f>
        <v/>
      </c>
      <c r="F215" s="184">
        <f>$F$32</f>
        <v/>
      </c>
      <c r="G215" s="188">
        <f>$G$32</f>
        <v/>
      </c>
      <c r="H215" s="184">
        <f>$H$32</f>
        <v/>
      </c>
      <c r="I215" s="188">
        <f>$J$17</f>
        <v/>
      </c>
      <c r="J215" s="191" t="n">
        <v>15</v>
      </c>
      <c r="K215" s="191">
        <f>('Model Inputs'!$B$22-1)+J215</f>
        <v/>
      </c>
      <c r="L215" s="184">
        <f>IF(J215=1,'Model Inputs'!$B$25*(13-'Model Inputs'!$B$23)/12,'Model Inputs'!$B$25)</f>
        <v/>
      </c>
      <c r="M215" s="184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/>
      </c>
      <c r="N215" s="188">
        <f>IF(J215&lt;=2,0,'Model Inputs'!$B$32*SIN(2*PI()*(J215-3+'Model Inputs'!$B$34)/MAX(1,'Model Inputs'!$B$33)))</f>
        <v/>
      </c>
      <c r="O215" s="184">
        <f>M215*(1+N215)</f>
        <v/>
      </c>
      <c r="P215" s="184">
        <f>0.75*O214+0.25*O213</f>
        <v/>
      </c>
      <c r="Q215" s="184">
        <f>L215+P215+IF(J215=1,'Model Inputs'!$B$26,0)</f>
        <v/>
      </c>
      <c r="R215" s="184">
        <f>IF(J215&lt;=B215,Q215,IF(J215&lt;=B215+$J$18,L215,(SUMIFS($L$51:$L$350,$A$51:$A$350,$A215,$J$51:$J$350,$B215)+SUMIFS($O$51:$O$350,$A$51:$A$350,$A215,$J$51:$J$350,$B215))*C215))</f>
        <v/>
      </c>
      <c r="S215" s="184">
        <f>H215+F215*G215*(1+I215)^MAX(0,J215-MAX(D215,B215+$J$18+1))</f>
        <v/>
      </c>
      <c r="T215" s="184">
        <f>IF(J215&gt;=MAX(D215,B215+$J$18+1),S215,R215)</f>
        <v/>
      </c>
      <c r="U215" s="184">
        <f>MIN(T215,'Tax Assumptions'!$B$19)</f>
        <v/>
      </c>
      <c r="V215" s="184">
        <f>MAX(T215-U215-'Tax Assumptions'!$B$8,0)</f>
        <v/>
      </c>
      <c r="W215" s="184">
        <f>MAX(T215-U215-'Tax Assumptions'!$B$9,0)</f>
        <v/>
      </c>
      <c r="X215" s="184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/>
      </c>
      <c r="Y215" s="184">
        <f>T215-U215-X215</f>
        <v/>
      </c>
      <c r="Z215" s="184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/>
      </c>
      <c r="AA215" s="184">
        <f>Y215-Z215</f>
        <v/>
      </c>
      <c r="AB215" s="184">
        <f>MIN(MAX(AA215,0),'Tax Assumptions'!$B$20)</f>
        <v/>
      </c>
      <c r="AC215" s="184">
        <f>AA215-AB215</f>
        <v/>
      </c>
      <c r="AD215" s="184">
        <f>MAX(AD214*(1+'Model Inputs'!$B$13)+AC215,0)</f>
        <v/>
      </c>
      <c r="AE215" s="184">
        <f>MAX(AE214*(1+'Model Inputs'!$B$13)+U215+AB215,0)</f>
        <v/>
      </c>
      <c r="AF215" s="184">
        <f>AD215+AE215</f>
        <v/>
      </c>
      <c r="AG215" s="191">
        <f>IF(AND(AF215&gt;=$F$14,AF214&lt;$F$14),J215,"")</f>
        <v/>
      </c>
      <c r="AH215" s="191">
        <f>IF(AND(AF215&gt;=$F$15,AF214&lt;$F$15),J215,"")</f>
        <v/>
      </c>
      <c r="AI215" s="191">
        <f>IF(AND(AF215&gt;=$F$16,AF214&lt;$F$16),J215,"")</f>
        <v/>
      </c>
      <c r="AJ215" s="191">
        <f>IF(AND(AF215&gt;=$F$17,AF214&lt;$F$17),J215,"")</f>
        <v/>
      </c>
    </row>
    <row r="216" outlineLevel="1" ht="18" customHeight="1" s="326">
      <c r="A216" s="181">
        <f>$A$33</f>
        <v/>
      </c>
      <c r="B216" s="191">
        <f>$B$33</f>
        <v/>
      </c>
      <c r="C216" s="187">
        <f>$C$33</f>
        <v/>
      </c>
      <c r="D216" s="191">
        <f>$D$33</f>
        <v/>
      </c>
      <c r="E216" s="181">
        <f>$E$33</f>
        <v/>
      </c>
      <c r="F216" s="184">
        <f>$F$33</f>
        <v/>
      </c>
      <c r="G216" s="188">
        <f>$G$33</f>
        <v/>
      </c>
      <c r="H216" s="184">
        <f>$H$33</f>
        <v/>
      </c>
      <c r="I216" s="188">
        <f>$J$17</f>
        <v/>
      </c>
      <c r="J216" s="191" t="n">
        <v>1</v>
      </c>
      <c r="K216" s="191">
        <f>('Model Inputs'!$B$22-1)+J216</f>
        <v/>
      </c>
      <c r="L216" s="184">
        <f>IF(J216=1,'Model Inputs'!$B$25*(13-'Model Inputs'!$B$23)/12,'Model Inputs'!$B$25)</f>
        <v/>
      </c>
      <c r="M216" s="184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/>
      </c>
      <c r="N216" s="188">
        <f>IF(J216&lt;=2,0,'Model Inputs'!$B$32*SIN(2*PI()*(J216-3+'Model Inputs'!$B$34)/MAX(1,'Model Inputs'!$B$33)))</f>
        <v/>
      </c>
      <c r="O216" s="184">
        <f>M216*(1+N216)</f>
        <v/>
      </c>
      <c r="P216" s="184">
        <f>0</f>
        <v/>
      </c>
      <c r="Q216" s="184">
        <f>L216+P216+IF(J216=1,'Model Inputs'!$B$26,0)</f>
        <v/>
      </c>
      <c r="R216" s="184">
        <f>IF(J216&lt;=B216,Q216,IF(J216&lt;=B216+$J$18,L216,(SUMIFS($L$51:$L$350,$A$51:$A$350,$A216,$J$51:$J$350,$B216)+SUMIFS($O$51:$O$350,$A$51:$A$350,$A216,$J$51:$J$350,$B216))*C216))</f>
        <v/>
      </c>
      <c r="S216" s="184">
        <f>H216+F216*G216*(1+I216)^MAX(0,J216-MAX(D216,B216+$J$18+1))</f>
        <v/>
      </c>
      <c r="T216" s="184">
        <f>IF(J216&gt;=MAX(D216,B216+$J$18+1),S216,R216)</f>
        <v/>
      </c>
      <c r="U216" s="184">
        <f>MIN(T216,'Tax Assumptions'!$B$19)</f>
        <v/>
      </c>
      <c r="V216" s="184">
        <f>MAX(T216-U216-'Tax Assumptions'!$B$8,0)</f>
        <v/>
      </c>
      <c r="W216" s="184">
        <f>MAX(T216-U216-'Tax Assumptions'!$B$9,0)</f>
        <v/>
      </c>
      <c r="X216" s="184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/>
      </c>
      <c r="Y216" s="184">
        <f>T216-U216-X216</f>
        <v/>
      </c>
      <c r="Z216" s="184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/>
      </c>
      <c r="AA216" s="184">
        <f>Y216-Z216</f>
        <v/>
      </c>
      <c r="AB216" s="184">
        <f>MIN(MAX(AA216,0),'Tax Assumptions'!$B$20)</f>
        <v/>
      </c>
      <c r="AC216" s="184">
        <f>AA216-AB216</f>
        <v/>
      </c>
      <c r="AD216" s="184">
        <f>MAX('Model Inputs'!$B$7*(1+'Model Inputs'!$B$13)+AC216,0)</f>
        <v/>
      </c>
      <c r="AE216" s="184">
        <f>MAX(('Model Inputs'!$B$8+'Model Inputs'!$B$9+'Model Inputs'!$B$10)*(1+'Model Inputs'!$B$13)+U216+AB216,0)</f>
        <v/>
      </c>
      <c r="AF216" s="184">
        <f>AD216+AE216</f>
        <v/>
      </c>
      <c r="AG216" s="191">
        <f>IF(AND(AF216&gt;=$F$14,0&lt;$F$14),J216,"")</f>
        <v/>
      </c>
      <c r="AH216" s="191">
        <f>IF(AND(AF216&gt;=$F$15,0&lt;$F$15),J216,"")</f>
        <v/>
      </c>
      <c r="AI216" s="191">
        <f>IF(AND(AF216&gt;=$F$16,0&lt;$F$16),J216,"")</f>
        <v/>
      </c>
      <c r="AJ216" s="191">
        <f>IF(AND(AF216&gt;=$F$17,0&lt;$F$17),J216,"")</f>
        <v/>
      </c>
    </row>
    <row r="217" outlineLevel="1" ht="18" customHeight="1" s="326">
      <c r="A217" s="181">
        <f>$A$33</f>
        <v/>
      </c>
      <c r="B217" s="191">
        <f>$B$33</f>
        <v/>
      </c>
      <c r="C217" s="187">
        <f>$C$33</f>
        <v/>
      </c>
      <c r="D217" s="191">
        <f>$D$33</f>
        <v/>
      </c>
      <c r="E217" s="181">
        <f>$E$33</f>
        <v/>
      </c>
      <c r="F217" s="184">
        <f>$F$33</f>
        <v/>
      </c>
      <c r="G217" s="188">
        <f>$G$33</f>
        <v/>
      </c>
      <c r="H217" s="184">
        <f>$H$33</f>
        <v/>
      </c>
      <c r="I217" s="188">
        <f>$J$17</f>
        <v/>
      </c>
      <c r="J217" s="191" t="n">
        <v>2</v>
      </c>
      <c r="K217" s="191">
        <f>('Model Inputs'!$B$22-1)+J217</f>
        <v/>
      </c>
      <c r="L217" s="184">
        <f>IF(J217=1,'Model Inputs'!$B$25*(13-'Model Inputs'!$B$23)/12,'Model Inputs'!$B$25)</f>
        <v/>
      </c>
      <c r="M217" s="184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/>
      </c>
      <c r="N217" s="188">
        <f>IF(J217&lt;=2,0,'Model Inputs'!$B$32*SIN(2*PI()*(J217-3+'Model Inputs'!$B$34)/MAX(1,'Model Inputs'!$B$33)))</f>
        <v/>
      </c>
      <c r="O217" s="184">
        <f>M217*(1+N217)</f>
        <v/>
      </c>
      <c r="P217" s="184">
        <f>0.75*O216</f>
        <v/>
      </c>
      <c r="Q217" s="184">
        <f>L217+P217+IF(J217=1,'Model Inputs'!$B$26,0)</f>
        <v/>
      </c>
      <c r="R217" s="184">
        <f>IF(J217&lt;=B217,Q217,IF(J217&lt;=B217+$J$18,L217,(SUMIFS($L$51:$L$350,$A$51:$A$350,$A217,$J$51:$J$350,$B217)+SUMIFS($O$51:$O$350,$A$51:$A$350,$A217,$J$51:$J$350,$B217))*C217))</f>
        <v/>
      </c>
      <c r="S217" s="184">
        <f>H217+F217*G217*(1+I217)^MAX(0,J217-MAX(D217,B217+$J$18+1))</f>
        <v/>
      </c>
      <c r="T217" s="184">
        <f>IF(J217&gt;=MAX(D217,B217+$J$18+1),S217,R217)</f>
        <v/>
      </c>
      <c r="U217" s="184">
        <f>MIN(T217,'Tax Assumptions'!$B$19)</f>
        <v/>
      </c>
      <c r="V217" s="184">
        <f>MAX(T217-U217-'Tax Assumptions'!$B$8,0)</f>
        <v/>
      </c>
      <c r="W217" s="184">
        <f>MAX(T217-U217-'Tax Assumptions'!$B$9,0)</f>
        <v/>
      </c>
      <c r="X217" s="184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/>
      </c>
      <c r="Y217" s="184">
        <f>T217-U217-X217</f>
        <v/>
      </c>
      <c r="Z217" s="184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/>
      </c>
      <c r="AA217" s="184">
        <f>Y217-Z217</f>
        <v/>
      </c>
      <c r="AB217" s="184">
        <f>MIN(MAX(AA217,0),'Tax Assumptions'!$B$20)</f>
        <v/>
      </c>
      <c r="AC217" s="184">
        <f>AA217-AB217</f>
        <v/>
      </c>
      <c r="AD217" s="184">
        <f>MAX(AD216*(1+'Model Inputs'!$B$13)+AC217,0)</f>
        <v/>
      </c>
      <c r="AE217" s="184">
        <f>MAX(AE216*(1+'Model Inputs'!$B$13)+U217+AB217,0)</f>
        <v/>
      </c>
      <c r="AF217" s="184">
        <f>AD217+AE217</f>
        <v/>
      </c>
      <c r="AG217" s="191">
        <f>IF(AND(AF217&gt;=$F$14,AF216&lt;$F$14),J217,"")</f>
        <v/>
      </c>
      <c r="AH217" s="191">
        <f>IF(AND(AF217&gt;=$F$15,AF216&lt;$F$15),J217,"")</f>
        <v/>
      </c>
      <c r="AI217" s="191">
        <f>IF(AND(AF217&gt;=$F$16,AF216&lt;$F$16),J217,"")</f>
        <v/>
      </c>
      <c r="AJ217" s="191">
        <f>IF(AND(AF217&gt;=$F$17,AF216&lt;$F$17),J217,"")</f>
        <v/>
      </c>
    </row>
    <row r="218" outlineLevel="1" ht="18" customHeight="1" s="326">
      <c r="A218" s="181">
        <f>$A$33</f>
        <v/>
      </c>
      <c r="B218" s="191">
        <f>$B$33</f>
        <v/>
      </c>
      <c r="C218" s="187">
        <f>$C$33</f>
        <v/>
      </c>
      <c r="D218" s="191">
        <f>$D$33</f>
        <v/>
      </c>
      <c r="E218" s="181">
        <f>$E$33</f>
        <v/>
      </c>
      <c r="F218" s="184">
        <f>$F$33</f>
        <v/>
      </c>
      <c r="G218" s="188">
        <f>$G$33</f>
        <v/>
      </c>
      <c r="H218" s="184">
        <f>$H$33</f>
        <v/>
      </c>
      <c r="I218" s="188">
        <f>$J$17</f>
        <v/>
      </c>
      <c r="J218" s="191" t="n">
        <v>3</v>
      </c>
      <c r="K218" s="191">
        <f>('Model Inputs'!$B$22-1)+J218</f>
        <v/>
      </c>
      <c r="L218" s="184">
        <f>IF(J218=1,'Model Inputs'!$B$25*(13-'Model Inputs'!$B$23)/12,'Model Inputs'!$B$25)</f>
        <v/>
      </c>
      <c r="M218" s="184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/>
      </c>
      <c r="N218" s="188">
        <f>IF(J218&lt;=2,0,'Model Inputs'!$B$32*SIN(2*PI()*(J218-3+'Model Inputs'!$B$34)/MAX(1,'Model Inputs'!$B$33)))</f>
        <v/>
      </c>
      <c r="O218" s="184">
        <f>M218*(1+N218)</f>
        <v/>
      </c>
      <c r="P218" s="184">
        <f>0.75*O217+0.25*O216</f>
        <v/>
      </c>
      <c r="Q218" s="184">
        <f>L218+P218+IF(J218=1,'Model Inputs'!$B$26,0)</f>
        <v/>
      </c>
      <c r="R218" s="184">
        <f>IF(J218&lt;=B218,Q218,IF(J218&lt;=B218+$J$18,L218,(SUMIFS($L$51:$L$350,$A$51:$A$350,$A218,$J$51:$J$350,$B218)+SUMIFS($O$51:$O$350,$A$51:$A$350,$A218,$J$51:$J$350,$B218))*C218))</f>
        <v/>
      </c>
      <c r="S218" s="184">
        <f>H218+F218*G218*(1+I218)^MAX(0,J218-MAX(D218,B218+$J$18+1))</f>
        <v/>
      </c>
      <c r="T218" s="184">
        <f>IF(J218&gt;=MAX(D218,B218+$J$18+1),S218,R218)</f>
        <v/>
      </c>
      <c r="U218" s="184">
        <f>MIN(T218,'Tax Assumptions'!$B$19)</f>
        <v/>
      </c>
      <c r="V218" s="184">
        <f>MAX(T218-U218-'Tax Assumptions'!$B$8,0)</f>
        <v/>
      </c>
      <c r="W218" s="184">
        <f>MAX(T218-U218-'Tax Assumptions'!$B$9,0)</f>
        <v/>
      </c>
      <c r="X218" s="184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/>
      </c>
      <c r="Y218" s="184">
        <f>T218-U218-X218</f>
        <v/>
      </c>
      <c r="Z218" s="184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/>
      </c>
      <c r="AA218" s="184">
        <f>Y218-Z218</f>
        <v/>
      </c>
      <c r="AB218" s="184">
        <f>MIN(MAX(AA218,0),'Tax Assumptions'!$B$20)</f>
        <v/>
      </c>
      <c r="AC218" s="184">
        <f>AA218-AB218</f>
        <v/>
      </c>
      <c r="AD218" s="184">
        <f>MAX(AD217*(1+'Model Inputs'!$B$13)+AC218,0)</f>
        <v/>
      </c>
      <c r="AE218" s="184">
        <f>MAX(AE217*(1+'Model Inputs'!$B$13)+U218+AB218,0)</f>
        <v/>
      </c>
      <c r="AF218" s="184">
        <f>AD218+AE218</f>
        <v/>
      </c>
      <c r="AG218" s="191">
        <f>IF(AND(AF218&gt;=$F$14,AF217&lt;$F$14),J218,"")</f>
        <v/>
      </c>
      <c r="AH218" s="191">
        <f>IF(AND(AF218&gt;=$F$15,AF217&lt;$F$15),J218,"")</f>
        <v/>
      </c>
      <c r="AI218" s="191">
        <f>IF(AND(AF218&gt;=$F$16,AF217&lt;$F$16),J218,"")</f>
        <v/>
      </c>
      <c r="AJ218" s="191">
        <f>IF(AND(AF218&gt;=$F$17,AF217&lt;$F$17),J218,"")</f>
        <v/>
      </c>
    </row>
    <row r="219" outlineLevel="1" ht="18" customHeight="1" s="326">
      <c r="A219" s="181">
        <f>$A$33</f>
        <v/>
      </c>
      <c r="B219" s="191">
        <f>$B$33</f>
        <v/>
      </c>
      <c r="C219" s="187">
        <f>$C$33</f>
        <v/>
      </c>
      <c r="D219" s="191">
        <f>$D$33</f>
        <v/>
      </c>
      <c r="E219" s="181">
        <f>$E$33</f>
        <v/>
      </c>
      <c r="F219" s="184">
        <f>$F$33</f>
        <v/>
      </c>
      <c r="G219" s="188">
        <f>$G$33</f>
        <v/>
      </c>
      <c r="H219" s="184">
        <f>$H$33</f>
        <v/>
      </c>
      <c r="I219" s="188">
        <f>$J$17</f>
        <v/>
      </c>
      <c r="J219" s="191" t="n">
        <v>4</v>
      </c>
      <c r="K219" s="191">
        <f>('Model Inputs'!$B$22-1)+J219</f>
        <v/>
      </c>
      <c r="L219" s="184">
        <f>IF(J219=1,'Model Inputs'!$B$25*(13-'Model Inputs'!$B$23)/12,'Model Inputs'!$B$25)</f>
        <v/>
      </c>
      <c r="M219" s="184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/>
      </c>
      <c r="N219" s="188">
        <f>IF(J219&lt;=2,0,'Model Inputs'!$B$32*SIN(2*PI()*(J219-3+'Model Inputs'!$B$34)/MAX(1,'Model Inputs'!$B$33)))</f>
        <v/>
      </c>
      <c r="O219" s="184">
        <f>M219*(1+N219)</f>
        <v/>
      </c>
      <c r="P219" s="184">
        <f>0.75*O218+0.25*O217</f>
        <v/>
      </c>
      <c r="Q219" s="184">
        <f>L219+P219+IF(J219=1,'Model Inputs'!$B$26,0)</f>
        <v/>
      </c>
      <c r="R219" s="184">
        <f>IF(J219&lt;=B219,Q219,IF(J219&lt;=B219+$J$18,L219,(SUMIFS($L$51:$L$350,$A$51:$A$350,$A219,$J$51:$J$350,$B219)+SUMIFS($O$51:$O$350,$A$51:$A$350,$A219,$J$51:$J$350,$B219))*C219))</f>
        <v/>
      </c>
      <c r="S219" s="184">
        <f>H219+F219*G219*(1+I219)^MAX(0,J219-MAX(D219,B219+$J$18+1))</f>
        <v/>
      </c>
      <c r="T219" s="184">
        <f>IF(J219&gt;=MAX(D219,B219+$J$18+1),S219,R219)</f>
        <v/>
      </c>
      <c r="U219" s="184">
        <f>MIN(T219,'Tax Assumptions'!$B$19)</f>
        <v/>
      </c>
      <c r="V219" s="184">
        <f>MAX(T219-U219-'Tax Assumptions'!$B$8,0)</f>
        <v/>
      </c>
      <c r="W219" s="184">
        <f>MAX(T219-U219-'Tax Assumptions'!$B$9,0)</f>
        <v/>
      </c>
      <c r="X219" s="184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/>
      </c>
      <c r="Y219" s="184">
        <f>T219-U219-X219</f>
        <v/>
      </c>
      <c r="Z219" s="184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/>
      </c>
      <c r="AA219" s="184">
        <f>Y219-Z219</f>
        <v/>
      </c>
      <c r="AB219" s="184">
        <f>MIN(MAX(AA219,0),'Tax Assumptions'!$B$20)</f>
        <v/>
      </c>
      <c r="AC219" s="184">
        <f>AA219-AB219</f>
        <v/>
      </c>
      <c r="AD219" s="184">
        <f>MAX(AD218*(1+'Model Inputs'!$B$13)+AC219,0)</f>
        <v/>
      </c>
      <c r="AE219" s="184">
        <f>MAX(AE218*(1+'Model Inputs'!$B$13)+U219+AB219,0)</f>
        <v/>
      </c>
      <c r="AF219" s="184">
        <f>AD219+AE219</f>
        <v/>
      </c>
      <c r="AG219" s="191">
        <f>IF(AND(AF219&gt;=$F$14,AF218&lt;$F$14),J219,"")</f>
        <v/>
      </c>
      <c r="AH219" s="191">
        <f>IF(AND(AF219&gt;=$F$15,AF218&lt;$F$15),J219,"")</f>
        <v/>
      </c>
      <c r="AI219" s="191">
        <f>IF(AND(AF219&gt;=$F$16,AF218&lt;$F$16),J219,"")</f>
        <v/>
      </c>
      <c r="AJ219" s="191">
        <f>IF(AND(AF219&gt;=$F$17,AF218&lt;$F$17),J219,"")</f>
        <v/>
      </c>
    </row>
    <row r="220" outlineLevel="1" ht="18" customHeight="1" s="326">
      <c r="A220" s="181">
        <f>$A$33</f>
        <v/>
      </c>
      <c r="B220" s="191">
        <f>$B$33</f>
        <v/>
      </c>
      <c r="C220" s="187">
        <f>$C$33</f>
        <v/>
      </c>
      <c r="D220" s="191">
        <f>$D$33</f>
        <v/>
      </c>
      <c r="E220" s="181">
        <f>$E$33</f>
        <v/>
      </c>
      <c r="F220" s="184">
        <f>$F$33</f>
        <v/>
      </c>
      <c r="G220" s="188">
        <f>$G$33</f>
        <v/>
      </c>
      <c r="H220" s="184">
        <f>$H$33</f>
        <v/>
      </c>
      <c r="I220" s="188">
        <f>$J$17</f>
        <v/>
      </c>
      <c r="J220" s="191" t="n">
        <v>5</v>
      </c>
      <c r="K220" s="191">
        <f>('Model Inputs'!$B$22-1)+J220</f>
        <v/>
      </c>
      <c r="L220" s="184">
        <f>IF(J220=1,'Model Inputs'!$B$25*(13-'Model Inputs'!$B$23)/12,'Model Inputs'!$B$25)</f>
        <v/>
      </c>
      <c r="M220" s="184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/>
      </c>
      <c r="N220" s="188">
        <f>IF(J220&lt;=2,0,'Model Inputs'!$B$32*SIN(2*PI()*(J220-3+'Model Inputs'!$B$34)/MAX(1,'Model Inputs'!$B$33)))</f>
        <v/>
      </c>
      <c r="O220" s="184">
        <f>M220*(1+N220)</f>
        <v/>
      </c>
      <c r="P220" s="184">
        <f>0.75*O219+0.25*O218</f>
        <v/>
      </c>
      <c r="Q220" s="184">
        <f>L220+P220+IF(J220=1,'Model Inputs'!$B$26,0)</f>
        <v/>
      </c>
      <c r="R220" s="184">
        <f>IF(J220&lt;=B220,Q220,IF(J220&lt;=B220+$J$18,L220,(SUMIFS($L$51:$L$350,$A$51:$A$350,$A220,$J$51:$J$350,$B220)+SUMIFS($O$51:$O$350,$A$51:$A$350,$A220,$J$51:$J$350,$B220))*C220))</f>
        <v/>
      </c>
      <c r="S220" s="184">
        <f>H220+F220*G220*(1+I220)^MAX(0,J220-MAX(D220,B220+$J$18+1))</f>
        <v/>
      </c>
      <c r="T220" s="184">
        <f>IF(J220&gt;=MAX(D220,B220+$J$18+1),S220,R220)</f>
        <v/>
      </c>
      <c r="U220" s="184">
        <f>MIN(T220,'Tax Assumptions'!$B$19)</f>
        <v/>
      </c>
      <c r="V220" s="184">
        <f>MAX(T220-U220-'Tax Assumptions'!$B$8,0)</f>
        <v/>
      </c>
      <c r="W220" s="184">
        <f>MAX(T220-U220-'Tax Assumptions'!$B$9,0)</f>
        <v/>
      </c>
      <c r="X220" s="184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/>
      </c>
      <c r="Y220" s="184">
        <f>T220-U220-X220</f>
        <v/>
      </c>
      <c r="Z220" s="184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/>
      </c>
      <c r="AA220" s="184">
        <f>Y220-Z220</f>
        <v/>
      </c>
      <c r="AB220" s="184">
        <f>MIN(MAX(AA220,0),'Tax Assumptions'!$B$20)</f>
        <v/>
      </c>
      <c r="AC220" s="184">
        <f>AA220-AB220</f>
        <v/>
      </c>
      <c r="AD220" s="184">
        <f>MAX(AD219*(1+'Model Inputs'!$B$13)+AC220,0)</f>
        <v/>
      </c>
      <c r="AE220" s="184">
        <f>MAX(AE219*(1+'Model Inputs'!$B$13)+U220+AB220,0)</f>
        <v/>
      </c>
      <c r="AF220" s="184">
        <f>AD220+AE220</f>
        <v/>
      </c>
      <c r="AG220" s="191">
        <f>IF(AND(AF220&gt;=$F$14,AF219&lt;$F$14),J220,"")</f>
        <v/>
      </c>
      <c r="AH220" s="191">
        <f>IF(AND(AF220&gt;=$F$15,AF219&lt;$F$15),J220,"")</f>
        <v/>
      </c>
      <c r="AI220" s="191">
        <f>IF(AND(AF220&gt;=$F$16,AF219&lt;$F$16),J220,"")</f>
        <v/>
      </c>
      <c r="AJ220" s="191">
        <f>IF(AND(AF220&gt;=$F$17,AF219&lt;$F$17),J220,"")</f>
        <v/>
      </c>
    </row>
    <row r="221" outlineLevel="1" ht="18" customHeight="1" s="326">
      <c r="A221" s="181">
        <f>$A$33</f>
        <v/>
      </c>
      <c r="B221" s="191">
        <f>$B$33</f>
        <v/>
      </c>
      <c r="C221" s="187">
        <f>$C$33</f>
        <v/>
      </c>
      <c r="D221" s="191">
        <f>$D$33</f>
        <v/>
      </c>
      <c r="E221" s="181">
        <f>$E$33</f>
        <v/>
      </c>
      <c r="F221" s="184">
        <f>$F$33</f>
        <v/>
      </c>
      <c r="G221" s="188">
        <f>$G$33</f>
        <v/>
      </c>
      <c r="H221" s="184">
        <f>$H$33</f>
        <v/>
      </c>
      <c r="I221" s="188">
        <f>$J$17</f>
        <v/>
      </c>
      <c r="J221" s="191" t="n">
        <v>6</v>
      </c>
      <c r="K221" s="191">
        <f>('Model Inputs'!$B$22-1)+J221</f>
        <v/>
      </c>
      <c r="L221" s="184">
        <f>IF(J221=1,'Model Inputs'!$B$25*(13-'Model Inputs'!$B$23)/12,'Model Inputs'!$B$25)</f>
        <v/>
      </c>
      <c r="M221" s="184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/>
      </c>
      <c r="N221" s="188">
        <f>IF(J221&lt;=2,0,'Model Inputs'!$B$32*SIN(2*PI()*(J221-3+'Model Inputs'!$B$34)/MAX(1,'Model Inputs'!$B$33)))</f>
        <v/>
      </c>
      <c r="O221" s="184">
        <f>M221*(1+N221)</f>
        <v/>
      </c>
      <c r="P221" s="184">
        <f>0.75*O220+0.25*O219</f>
        <v/>
      </c>
      <c r="Q221" s="184">
        <f>L221+P221+IF(J221=1,'Model Inputs'!$B$26,0)</f>
        <v/>
      </c>
      <c r="R221" s="184">
        <f>IF(J221&lt;=B221,Q221,IF(J221&lt;=B221+$J$18,L221,(SUMIFS($L$51:$L$350,$A$51:$A$350,$A221,$J$51:$J$350,$B221)+SUMIFS($O$51:$O$350,$A$51:$A$350,$A221,$J$51:$J$350,$B221))*C221))</f>
        <v/>
      </c>
      <c r="S221" s="184">
        <f>H221+F221*G221*(1+I221)^MAX(0,J221-MAX(D221,B221+$J$18+1))</f>
        <v/>
      </c>
      <c r="T221" s="184">
        <f>IF(J221&gt;=MAX(D221,B221+$J$18+1),S221,R221)</f>
        <v/>
      </c>
      <c r="U221" s="184">
        <f>MIN(T221,'Tax Assumptions'!$B$19)</f>
        <v/>
      </c>
      <c r="V221" s="184">
        <f>MAX(T221-U221-'Tax Assumptions'!$B$8,0)</f>
        <v/>
      </c>
      <c r="W221" s="184">
        <f>MAX(T221-U221-'Tax Assumptions'!$B$9,0)</f>
        <v/>
      </c>
      <c r="X221" s="184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/>
      </c>
      <c r="Y221" s="184">
        <f>T221-U221-X221</f>
        <v/>
      </c>
      <c r="Z221" s="184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/>
      </c>
      <c r="AA221" s="184">
        <f>Y221-Z221</f>
        <v/>
      </c>
      <c r="AB221" s="184">
        <f>MIN(MAX(AA221,0),'Tax Assumptions'!$B$20)</f>
        <v/>
      </c>
      <c r="AC221" s="184">
        <f>AA221-AB221</f>
        <v/>
      </c>
      <c r="AD221" s="184">
        <f>MAX(AD220*(1+'Model Inputs'!$B$13)+AC221,0)</f>
        <v/>
      </c>
      <c r="AE221" s="184">
        <f>MAX(AE220*(1+'Model Inputs'!$B$13)+U221+AB221,0)</f>
        <v/>
      </c>
      <c r="AF221" s="184">
        <f>AD221+AE221</f>
        <v/>
      </c>
      <c r="AG221" s="191">
        <f>IF(AND(AF221&gt;=$F$14,AF220&lt;$F$14),J221,"")</f>
        <v/>
      </c>
      <c r="AH221" s="191">
        <f>IF(AND(AF221&gt;=$F$15,AF220&lt;$F$15),J221,"")</f>
        <v/>
      </c>
      <c r="AI221" s="191">
        <f>IF(AND(AF221&gt;=$F$16,AF220&lt;$F$16),J221,"")</f>
        <v/>
      </c>
      <c r="AJ221" s="191">
        <f>IF(AND(AF221&gt;=$F$17,AF220&lt;$F$17),J221,"")</f>
        <v/>
      </c>
    </row>
    <row r="222" outlineLevel="1" ht="18" customHeight="1" s="326">
      <c r="A222" s="181">
        <f>$A$33</f>
        <v/>
      </c>
      <c r="B222" s="191">
        <f>$B$33</f>
        <v/>
      </c>
      <c r="C222" s="187">
        <f>$C$33</f>
        <v/>
      </c>
      <c r="D222" s="191">
        <f>$D$33</f>
        <v/>
      </c>
      <c r="E222" s="181">
        <f>$E$33</f>
        <v/>
      </c>
      <c r="F222" s="184">
        <f>$F$33</f>
        <v/>
      </c>
      <c r="G222" s="188">
        <f>$G$33</f>
        <v/>
      </c>
      <c r="H222" s="184">
        <f>$H$33</f>
        <v/>
      </c>
      <c r="I222" s="188">
        <f>$J$17</f>
        <v/>
      </c>
      <c r="J222" s="191" t="n">
        <v>7</v>
      </c>
      <c r="K222" s="191">
        <f>('Model Inputs'!$B$22-1)+J222</f>
        <v/>
      </c>
      <c r="L222" s="184">
        <f>IF(J222=1,'Model Inputs'!$B$25*(13-'Model Inputs'!$B$23)/12,'Model Inputs'!$B$25)</f>
        <v/>
      </c>
      <c r="M222" s="184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/>
      </c>
      <c r="N222" s="188">
        <f>IF(J222&lt;=2,0,'Model Inputs'!$B$32*SIN(2*PI()*(J222-3+'Model Inputs'!$B$34)/MAX(1,'Model Inputs'!$B$33)))</f>
        <v/>
      </c>
      <c r="O222" s="184">
        <f>M222*(1+N222)</f>
        <v/>
      </c>
      <c r="P222" s="184">
        <f>0.75*O221+0.25*O220</f>
        <v/>
      </c>
      <c r="Q222" s="184">
        <f>L222+P222+IF(J222=1,'Model Inputs'!$B$26,0)</f>
        <v/>
      </c>
      <c r="R222" s="184">
        <f>IF(J222&lt;=B222,Q222,IF(J222&lt;=B222+$J$18,L222,(SUMIFS($L$51:$L$350,$A$51:$A$350,$A222,$J$51:$J$350,$B222)+SUMIFS($O$51:$O$350,$A$51:$A$350,$A222,$J$51:$J$350,$B222))*C222))</f>
        <v/>
      </c>
      <c r="S222" s="184">
        <f>H222+F222*G222*(1+I222)^MAX(0,J222-MAX(D222,B222+$J$18+1))</f>
        <v/>
      </c>
      <c r="T222" s="184">
        <f>IF(J222&gt;=MAX(D222,B222+$J$18+1),S222,R222)</f>
        <v/>
      </c>
      <c r="U222" s="184">
        <f>MIN(T222,'Tax Assumptions'!$B$19)</f>
        <v/>
      </c>
      <c r="V222" s="184">
        <f>MAX(T222-U222-'Tax Assumptions'!$B$8,0)</f>
        <v/>
      </c>
      <c r="W222" s="184">
        <f>MAX(T222-U222-'Tax Assumptions'!$B$9,0)</f>
        <v/>
      </c>
      <c r="X222" s="184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/>
      </c>
      <c r="Y222" s="184">
        <f>T222-U222-X222</f>
        <v/>
      </c>
      <c r="Z222" s="184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/>
      </c>
      <c r="AA222" s="184">
        <f>Y222-Z222</f>
        <v/>
      </c>
      <c r="AB222" s="184">
        <f>MIN(MAX(AA222,0),'Tax Assumptions'!$B$20)</f>
        <v/>
      </c>
      <c r="AC222" s="184">
        <f>AA222-AB222</f>
        <v/>
      </c>
      <c r="AD222" s="184">
        <f>MAX(AD221*(1+'Model Inputs'!$B$13)+AC222,0)</f>
        <v/>
      </c>
      <c r="AE222" s="184">
        <f>MAX(AE221*(1+'Model Inputs'!$B$13)+U222+AB222,0)</f>
        <v/>
      </c>
      <c r="AF222" s="184">
        <f>AD222+AE222</f>
        <v/>
      </c>
      <c r="AG222" s="191">
        <f>IF(AND(AF222&gt;=$F$14,AF221&lt;$F$14),J222,"")</f>
        <v/>
      </c>
      <c r="AH222" s="191">
        <f>IF(AND(AF222&gt;=$F$15,AF221&lt;$F$15),J222,"")</f>
        <v/>
      </c>
      <c r="AI222" s="191">
        <f>IF(AND(AF222&gt;=$F$16,AF221&lt;$F$16),J222,"")</f>
        <v/>
      </c>
      <c r="AJ222" s="191">
        <f>IF(AND(AF222&gt;=$F$17,AF221&lt;$F$17),J222,"")</f>
        <v/>
      </c>
    </row>
    <row r="223" outlineLevel="1" ht="18" customHeight="1" s="326">
      <c r="A223" s="181">
        <f>$A$33</f>
        <v/>
      </c>
      <c r="B223" s="191">
        <f>$B$33</f>
        <v/>
      </c>
      <c r="C223" s="187">
        <f>$C$33</f>
        <v/>
      </c>
      <c r="D223" s="191">
        <f>$D$33</f>
        <v/>
      </c>
      <c r="E223" s="181">
        <f>$E$33</f>
        <v/>
      </c>
      <c r="F223" s="184">
        <f>$F$33</f>
        <v/>
      </c>
      <c r="G223" s="188">
        <f>$G$33</f>
        <v/>
      </c>
      <c r="H223" s="184">
        <f>$H$33</f>
        <v/>
      </c>
      <c r="I223" s="188">
        <f>$J$17</f>
        <v/>
      </c>
      <c r="J223" s="191" t="n">
        <v>8</v>
      </c>
      <c r="K223" s="191">
        <f>('Model Inputs'!$B$22-1)+J223</f>
        <v/>
      </c>
      <c r="L223" s="184">
        <f>IF(J223=1,'Model Inputs'!$B$25*(13-'Model Inputs'!$B$23)/12,'Model Inputs'!$B$25)</f>
        <v/>
      </c>
      <c r="M223" s="184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/>
      </c>
      <c r="N223" s="188">
        <f>IF(J223&lt;=2,0,'Model Inputs'!$B$32*SIN(2*PI()*(J223-3+'Model Inputs'!$B$34)/MAX(1,'Model Inputs'!$B$33)))</f>
        <v/>
      </c>
      <c r="O223" s="184">
        <f>M223*(1+N223)</f>
        <v/>
      </c>
      <c r="P223" s="184">
        <f>0.75*O222+0.25*O221</f>
        <v/>
      </c>
      <c r="Q223" s="184">
        <f>L223+P223+IF(J223=1,'Model Inputs'!$B$26,0)</f>
        <v/>
      </c>
      <c r="R223" s="184">
        <f>IF(J223&lt;=B223,Q223,IF(J223&lt;=B223+$J$18,L223,(SUMIFS($L$51:$L$350,$A$51:$A$350,$A223,$J$51:$J$350,$B223)+SUMIFS($O$51:$O$350,$A$51:$A$350,$A223,$J$51:$J$350,$B223))*C223))</f>
        <v/>
      </c>
      <c r="S223" s="184">
        <f>H223+F223*G223*(1+I223)^MAX(0,J223-MAX(D223,B223+$J$18+1))</f>
        <v/>
      </c>
      <c r="T223" s="184">
        <f>IF(J223&gt;=MAX(D223,B223+$J$18+1),S223,R223)</f>
        <v/>
      </c>
      <c r="U223" s="184">
        <f>MIN(T223,'Tax Assumptions'!$B$19)</f>
        <v/>
      </c>
      <c r="V223" s="184">
        <f>MAX(T223-U223-'Tax Assumptions'!$B$8,0)</f>
        <v/>
      </c>
      <c r="W223" s="184">
        <f>MAX(T223-U223-'Tax Assumptions'!$B$9,0)</f>
        <v/>
      </c>
      <c r="X223" s="184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/>
      </c>
      <c r="Y223" s="184">
        <f>T223-U223-X223</f>
        <v/>
      </c>
      <c r="Z223" s="184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/>
      </c>
      <c r="AA223" s="184">
        <f>Y223-Z223</f>
        <v/>
      </c>
      <c r="AB223" s="184">
        <f>MIN(MAX(AA223,0),'Tax Assumptions'!$B$20)</f>
        <v/>
      </c>
      <c r="AC223" s="184">
        <f>AA223-AB223</f>
        <v/>
      </c>
      <c r="AD223" s="184">
        <f>MAX(AD222*(1+'Model Inputs'!$B$13)+AC223,0)</f>
        <v/>
      </c>
      <c r="AE223" s="184">
        <f>MAX(AE222*(1+'Model Inputs'!$B$13)+U223+AB223,0)</f>
        <v/>
      </c>
      <c r="AF223" s="184">
        <f>AD223+AE223</f>
        <v/>
      </c>
      <c r="AG223" s="191">
        <f>IF(AND(AF223&gt;=$F$14,AF222&lt;$F$14),J223,"")</f>
        <v/>
      </c>
      <c r="AH223" s="191">
        <f>IF(AND(AF223&gt;=$F$15,AF222&lt;$F$15),J223,"")</f>
        <v/>
      </c>
      <c r="AI223" s="191">
        <f>IF(AND(AF223&gt;=$F$16,AF222&lt;$F$16),J223,"")</f>
        <v/>
      </c>
      <c r="AJ223" s="191">
        <f>IF(AND(AF223&gt;=$F$17,AF222&lt;$F$17),J223,"")</f>
        <v/>
      </c>
    </row>
    <row r="224" outlineLevel="1" ht="18" customHeight="1" s="326">
      <c r="A224" s="181">
        <f>$A$33</f>
        <v/>
      </c>
      <c r="B224" s="191">
        <f>$B$33</f>
        <v/>
      </c>
      <c r="C224" s="187">
        <f>$C$33</f>
        <v/>
      </c>
      <c r="D224" s="191">
        <f>$D$33</f>
        <v/>
      </c>
      <c r="E224" s="181">
        <f>$E$33</f>
        <v/>
      </c>
      <c r="F224" s="184">
        <f>$F$33</f>
        <v/>
      </c>
      <c r="G224" s="188">
        <f>$G$33</f>
        <v/>
      </c>
      <c r="H224" s="184">
        <f>$H$33</f>
        <v/>
      </c>
      <c r="I224" s="188">
        <f>$J$17</f>
        <v/>
      </c>
      <c r="J224" s="191" t="n">
        <v>9</v>
      </c>
      <c r="K224" s="191">
        <f>('Model Inputs'!$B$22-1)+J224</f>
        <v/>
      </c>
      <c r="L224" s="184">
        <f>IF(J224=1,'Model Inputs'!$B$25*(13-'Model Inputs'!$B$23)/12,'Model Inputs'!$B$25)</f>
        <v/>
      </c>
      <c r="M224" s="184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/>
      </c>
      <c r="N224" s="188">
        <f>IF(J224&lt;=2,0,'Model Inputs'!$B$32*SIN(2*PI()*(J224-3+'Model Inputs'!$B$34)/MAX(1,'Model Inputs'!$B$33)))</f>
        <v/>
      </c>
      <c r="O224" s="184">
        <f>M224*(1+N224)</f>
        <v/>
      </c>
      <c r="P224" s="184">
        <f>0.75*O223+0.25*O222</f>
        <v/>
      </c>
      <c r="Q224" s="184">
        <f>L224+P224+IF(J224=1,'Model Inputs'!$B$26,0)</f>
        <v/>
      </c>
      <c r="R224" s="184">
        <f>IF(J224&lt;=B224,Q224,IF(J224&lt;=B224+$J$18,L224,(SUMIFS($L$51:$L$350,$A$51:$A$350,$A224,$J$51:$J$350,$B224)+SUMIFS($O$51:$O$350,$A$51:$A$350,$A224,$J$51:$J$350,$B224))*C224))</f>
        <v/>
      </c>
      <c r="S224" s="184">
        <f>H224+F224*G224*(1+I224)^MAX(0,J224-MAX(D224,B224+$J$18+1))</f>
        <v/>
      </c>
      <c r="T224" s="184">
        <f>IF(J224&gt;=MAX(D224,B224+$J$18+1),S224,R224)</f>
        <v/>
      </c>
      <c r="U224" s="184">
        <f>MIN(T224,'Tax Assumptions'!$B$19)</f>
        <v/>
      </c>
      <c r="V224" s="184">
        <f>MAX(T224-U224-'Tax Assumptions'!$B$8,0)</f>
        <v/>
      </c>
      <c r="W224" s="184">
        <f>MAX(T224-U224-'Tax Assumptions'!$B$9,0)</f>
        <v/>
      </c>
      <c r="X224" s="184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/>
      </c>
      <c r="Y224" s="184">
        <f>T224-U224-X224</f>
        <v/>
      </c>
      <c r="Z224" s="184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/>
      </c>
      <c r="AA224" s="184">
        <f>Y224-Z224</f>
        <v/>
      </c>
      <c r="AB224" s="184">
        <f>MIN(MAX(AA224,0),'Tax Assumptions'!$B$20)</f>
        <v/>
      </c>
      <c r="AC224" s="184">
        <f>AA224-AB224</f>
        <v/>
      </c>
      <c r="AD224" s="184">
        <f>MAX(AD223*(1+'Model Inputs'!$B$13)+AC224,0)</f>
        <v/>
      </c>
      <c r="AE224" s="184">
        <f>MAX(AE223*(1+'Model Inputs'!$B$13)+U224+AB224,0)</f>
        <v/>
      </c>
      <c r="AF224" s="184">
        <f>AD224+AE224</f>
        <v/>
      </c>
      <c r="AG224" s="191">
        <f>IF(AND(AF224&gt;=$F$14,AF223&lt;$F$14),J224,"")</f>
        <v/>
      </c>
      <c r="AH224" s="191">
        <f>IF(AND(AF224&gt;=$F$15,AF223&lt;$F$15),J224,"")</f>
        <v/>
      </c>
      <c r="AI224" s="191">
        <f>IF(AND(AF224&gt;=$F$16,AF223&lt;$F$16),J224,"")</f>
        <v/>
      </c>
      <c r="AJ224" s="191">
        <f>IF(AND(AF224&gt;=$F$17,AF223&lt;$F$17),J224,"")</f>
        <v/>
      </c>
    </row>
    <row r="225" outlineLevel="1" ht="18" customHeight="1" s="326">
      <c r="A225" s="181">
        <f>$A$33</f>
        <v/>
      </c>
      <c r="B225" s="191">
        <f>$B$33</f>
        <v/>
      </c>
      <c r="C225" s="187">
        <f>$C$33</f>
        <v/>
      </c>
      <c r="D225" s="191">
        <f>$D$33</f>
        <v/>
      </c>
      <c r="E225" s="181">
        <f>$E$33</f>
        <v/>
      </c>
      <c r="F225" s="184">
        <f>$F$33</f>
        <v/>
      </c>
      <c r="G225" s="188">
        <f>$G$33</f>
        <v/>
      </c>
      <c r="H225" s="184">
        <f>$H$33</f>
        <v/>
      </c>
      <c r="I225" s="188">
        <f>$J$17</f>
        <v/>
      </c>
      <c r="J225" s="191" t="n">
        <v>10</v>
      </c>
      <c r="K225" s="191">
        <f>('Model Inputs'!$B$22-1)+J225</f>
        <v/>
      </c>
      <c r="L225" s="184">
        <f>IF(J225=1,'Model Inputs'!$B$25*(13-'Model Inputs'!$B$23)/12,'Model Inputs'!$B$25)</f>
        <v/>
      </c>
      <c r="M225" s="184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/>
      </c>
      <c r="N225" s="188">
        <f>IF(J225&lt;=2,0,'Model Inputs'!$B$32*SIN(2*PI()*(J225-3+'Model Inputs'!$B$34)/MAX(1,'Model Inputs'!$B$33)))</f>
        <v/>
      </c>
      <c r="O225" s="184">
        <f>M225*(1+N225)</f>
        <v/>
      </c>
      <c r="P225" s="184">
        <f>0.75*O224+0.25*O223</f>
        <v/>
      </c>
      <c r="Q225" s="184">
        <f>L225+P225+IF(J225=1,'Model Inputs'!$B$26,0)</f>
        <v/>
      </c>
      <c r="R225" s="184">
        <f>IF(J225&lt;=B225,Q225,IF(J225&lt;=B225+$J$18,L225,(SUMIFS($L$51:$L$350,$A$51:$A$350,$A225,$J$51:$J$350,$B225)+SUMIFS($O$51:$O$350,$A$51:$A$350,$A225,$J$51:$J$350,$B225))*C225))</f>
        <v/>
      </c>
      <c r="S225" s="184">
        <f>H225+F225*G225*(1+I225)^MAX(0,J225-MAX(D225,B225+$J$18+1))</f>
        <v/>
      </c>
      <c r="T225" s="184">
        <f>IF(J225&gt;=MAX(D225,B225+$J$18+1),S225,R225)</f>
        <v/>
      </c>
      <c r="U225" s="184">
        <f>MIN(T225,'Tax Assumptions'!$B$19)</f>
        <v/>
      </c>
      <c r="V225" s="184">
        <f>MAX(T225-U225-'Tax Assumptions'!$B$8,0)</f>
        <v/>
      </c>
      <c r="W225" s="184">
        <f>MAX(T225-U225-'Tax Assumptions'!$B$9,0)</f>
        <v/>
      </c>
      <c r="X225" s="184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/>
      </c>
      <c r="Y225" s="184">
        <f>T225-U225-X225</f>
        <v/>
      </c>
      <c r="Z225" s="184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/>
      </c>
      <c r="AA225" s="184">
        <f>Y225-Z225</f>
        <v/>
      </c>
      <c r="AB225" s="184">
        <f>MIN(MAX(AA225,0),'Tax Assumptions'!$B$20)</f>
        <v/>
      </c>
      <c r="AC225" s="184">
        <f>AA225-AB225</f>
        <v/>
      </c>
      <c r="AD225" s="184">
        <f>MAX(AD224*(1+'Model Inputs'!$B$13)+AC225,0)</f>
        <v/>
      </c>
      <c r="AE225" s="184">
        <f>MAX(AE224*(1+'Model Inputs'!$B$13)+U225+AB225,0)</f>
        <v/>
      </c>
      <c r="AF225" s="184">
        <f>AD225+AE225</f>
        <v/>
      </c>
      <c r="AG225" s="191">
        <f>IF(AND(AF225&gt;=$F$14,AF224&lt;$F$14),J225,"")</f>
        <v/>
      </c>
      <c r="AH225" s="191">
        <f>IF(AND(AF225&gt;=$F$15,AF224&lt;$F$15),J225,"")</f>
        <v/>
      </c>
      <c r="AI225" s="191">
        <f>IF(AND(AF225&gt;=$F$16,AF224&lt;$F$16),J225,"")</f>
        <v/>
      </c>
      <c r="AJ225" s="191">
        <f>IF(AND(AF225&gt;=$F$17,AF224&lt;$F$17),J225,"")</f>
        <v/>
      </c>
    </row>
    <row r="226" outlineLevel="1" ht="18" customHeight="1" s="326">
      <c r="A226" s="181">
        <f>$A$33</f>
        <v/>
      </c>
      <c r="B226" s="191">
        <f>$B$33</f>
        <v/>
      </c>
      <c r="C226" s="187">
        <f>$C$33</f>
        <v/>
      </c>
      <c r="D226" s="191">
        <f>$D$33</f>
        <v/>
      </c>
      <c r="E226" s="181">
        <f>$E$33</f>
        <v/>
      </c>
      <c r="F226" s="184">
        <f>$F$33</f>
        <v/>
      </c>
      <c r="G226" s="188">
        <f>$G$33</f>
        <v/>
      </c>
      <c r="H226" s="184">
        <f>$H$33</f>
        <v/>
      </c>
      <c r="I226" s="188">
        <f>$J$17</f>
        <v/>
      </c>
      <c r="J226" s="191" t="n">
        <v>11</v>
      </c>
      <c r="K226" s="191">
        <f>('Model Inputs'!$B$22-1)+J226</f>
        <v/>
      </c>
      <c r="L226" s="184">
        <f>IF(J226=1,'Model Inputs'!$B$25*(13-'Model Inputs'!$B$23)/12,'Model Inputs'!$B$25)</f>
        <v/>
      </c>
      <c r="M226" s="184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/>
      </c>
      <c r="N226" s="188">
        <f>IF(J226&lt;=2,0,'Model Inputs'!$B$32*SIN(2*PI()*(J226-3+'Model Inputs'!$B$34)/MAX(1,'Model Inputs'!$B$33)))</f>
        <v/>
      </c>
      <c r="O226" s="184">
        <f>M226*(1+N226)</f>
        <v/>
      </c>
      <c r="P226" s="184">
        <f>0.75*O225+0.25*O224</f>
        <v/>
      </c>
      <c r="Q226" s="184">
        <f>L226+P226+IF(J226=1,'Model Inputs'!$B$26,0)</f>
        <v/>
      </c>
      <c r="R226" s="184">
        <f>IF(J226&lt;=B226,Q226,IF(J226&lt;=B226+$J$18,L226,(SUMIFS($L$51:$L$350,$A$51:$A$350,$A226,$J$51:$J$350,$B226)+SUMIFS($O$51:$O$350,$A$51:$A$350,$A226,$J$51:$J$350,$B226))*C226))</f>
        <v/>
      </c>
      <c r="S226" s="184">
        <f>H226+F226*G226*(1+I226)^MAX(0,J226-MAX(D226,B226+$J$18+1))</f>
        <v/>
      </c>
      <c r="T226" s="184">
        <f>IF(J226&gt;=MAX(D226,B226+$J$18+1),S226,R226)</f>
        <v/>
      </c>
      <c r="U226" s="184">
        <f>MIN(T226,'Tax Assumptions'!$B$19)</f>
        <v/>
      </c>
      <c r="V226" s="184">
        <f>MAX(T226-U226-'Tax Assumptions'!$B$8,0)</f>
        <v/>
      </c>
      <c r="W226" s="184">
        <f>MAX(T226-U226-'Tax Assumptions'!$B$9,0)</f>
        <v/>
      </c>
      <c r="X226" s="184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/>
      </c>
      <c r="Y226" s="184">
        <f>T226-U226-X226</f>
        <v/>
      </c>
      <c r="Z226" s="184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/>
      </c>
      <c r="AA226" s="184">
        <f>Y226-Z226</f>
        <v/>
      </c>
      <c r="AB226" s="184">
        <f>MIN(MAX(AA226,0),'Tax Assumptions'!$B$20)</f>
        <v/>
      </c>
      <c r="AC226" s="184">
        <f>AA226-AB226</f>
        <v/>
      </c>
      <c r="AD226" s="184">
        <f>MAX(AD225*(1+'Model Inputs'!$B$13)+AC226,0)</f>
        <v/>
      </c>
      <c r="AE226" s="184">
        <f>MAX(AE225*(1+'Model Inputs'!$B$13)+U226+AB226,0)</f>
        <v/>
      </c>
      <c r="AF226" s="184">
        <f>AD226+AE226</f>
        <v/>
      </c>
      <c r="AG226" s="191">
        <f>IF(AND(AF226&gt;=$F$14,AF225&lt;$F$14),J226,"")</f>
        <v/>
      </c>
      <c r="AH226" s="191">
        <f>IF(AND(AF226&gt;=$F$15,AF225&lt;$F$15),J226,"")</f>
        <v/>
      </c>
      <c r="AI226" s="191">
        <f>IF(AND(AF226&gt;=$F$16,AF225&lt;$F$16),J226,"")</f>
        <v/>
      </c>
      <c r="AJ226" s="191">
        <f>IF(AND(AF226&gt;=$F$17,AF225&lt;$F$17),J226,"")</f>
        <v/>
      </c>
    </row>
    <row r="227" outlineLevel="1" ht="18" customHeight="1" s="326">
      <c r="A227" s="181">
        <f>$A$33</f>
        <v/>
      </c>
      <c r="B227" s="191">
        <f>$B$33</f>
        <v/>
      </c>
      <c r="C227" s="187">
        <f>$C$33</f>
        <v/>
      </c>
      <c r="D227" s="191">
        <f>$D$33</f>
        <v/>
      </c>
      <c r="E227" s="181">
        <f>$E$33</f>
        <v/>
      </c>
      <c r="F227" s="184">
        <f>$F$33</f>
        <v/>
      </c>
      <c r="G227" s="188">
        <f>$G$33</f>
        <v/>
      </c>
      <c r="H227" s="184">
        <f>$H$33</f>
        <v/>
      </c>
      <c r="I227" s="188">
        <f>$J$17</f>
        <v/>
      </c>
      <c r="J227" s="191" t="n">
        <v>12</v>
      </c>
      <c r="K227" s="191">
        <f>('Model Inputs'!$B$22-1)+J227</f>
        <v/>
      </c>
      <c r="L227" s="184">
        <f>IF(J227=1,'Model Inputs'!$B$25*(13-'Model Inputs'!$B$23)/12,'Model Inputs'!$B$25)</f>
        <v/>
      </c>
      <c r="M227" s="184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/>
      </c>
      <c r="N227" s="188">
        <f>IF(J227&lt;=2,0,'Model Inputs'!$B$32*SIN(2*PI()*(J227-3+'Model Inputs'!$B$34)/MAX(1,'Model Inputs'!$B$33)))</f>
        <v/>
      </c>
      <c r="O227" s="184">
        <f>M227*(1+N227)</f>
        <v/>
      </c>
      <c r="P227" s="184">
        <f>0.75*O226+0.25*O225</f>
        <v/>
      </c>
      <c r="Q227" s="184">
        <f>L227+P227+IF(J227=1,'Model Inputs'!$B$26,0)</f>
        <v/>
      </c>
      <c r="R227" s="184">
        <f>IF(J227&lt;=B227,Q227,IF(J227&lt;=B227+$J$18,L227,(SUMIFS($L$51:$L$350,$A$51:$A$350,$A227,$J$51:$J$350,$B227)+SUMIFS($O$51:$O$350,$A$51:$A$350,$A227,$J$51:$J$350,$B227))*C227))</f>
        <v/>
      </c>
      <c r="S227" s="184">
        <f>H227+F227*G227*(1+I227)^MAX(0,J227-MAX(D227,B227+$J$18+1))</f>
        <v/>
      </c>
      <c r="T227" s="184">
        <f>IF(J227&gt;=MAX(D227,B227+$J$18+1),S227,R227)</f>
        <v/>
      </c>
      <c r="U227" s="184">
        <f>MIN(T227,'Tax Assumptions'!$B$19)</f>
        <v/>
      </c>
      <c r="V227" s="184">
        <f>MAX(T227-U227-'Tax Assumptions'!$B$8,0)</f>
        <v/>
      </c>
      <c r="W227" s="184">
        <f>MAX(T227-U227-'Tax Assumptions'!$B$9,0)</f>
        <v/>
      </c>
      <c r="X227" s="184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/>
      </c>
      <c r="Y227" s="184">
        <f>T227-U227-X227</f>
        <v/>
      </c>
      <c r="Z227" s="184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/>
      </c>
      <c r="AA227" s="184">
        <f>Y227-Z227</f>
        <v/>
      </c>
      <c r="AB227" s="184">
        <f>MIN(MAX(AA227,0),'Tax Assumptions'!$B$20)</f>
        <v/>
      </c>
      <c r="AC227" s="184">
        <f>AA227-AB227</f>
        <v/>
      </c>
      <c r="AD227" s="184">
        <f>MAX(AD226*(1+'Model Inputs'!$B$13)+AC227,0)</f>
        <v/>
      </c>
      <c r="AE227" s="184">
        <f>MAX(AE226*(1+'Model Inputs'!$B$13)+U227+AB227,0)</f>
        <v/>
      </c>
      <c r="AF227" s="184">
        <f>AD227+AE227</f>
        <v/>
      </c>
      <c r="AG227" s="191">
        <f>IF(AND(AF227&gt;=$F$14,AF226&lt;$F$14),J227,"")</f>
        <v/>
      </c>
      <c r="AH227" s="191">
        <f>IF(AND(AF227&gt;=$F$15,AF226&lt;$F$15),J227,"")</f>
        <v/>
      </c>
      <c r="AI227" s="191">
        <f>IF(AND(AF227&gt;=$F$16,AF226&lt;$F$16),J227,"")</f>
        <v/>
      </c>
      <c r="AJ227" s="191">
        <f>IF(AND(AF227&gt;=$F$17,AF226&lt;$F$17),J227,"")</f>
        <v/>
      </c>
    </row>
    <row r="228" outlineLevel="1" ht="18" customHeight="1" s="326">
      <c r="A228" s="181">
        <f>$A$33</f>
        <v/>
      </c>
      <c r="B228" s="191">
        <f>$B$33</f>
        <v/>
      </c>
      <c r="C228" s="187">
        <f>$C$33</f>
        <v/>
      </c>
      <c r="D228" s="191">
        <f>$D$33</f>
        <v/>
      </c>
      <c r="E228" s="181">
        <f>$E$33</f>
        <v/>
      </c>
      <c r="F228" s="184">
        <f>$F$33</f>
        <v/>
      </c>
      <c r="G228" s="188">
        <f>$G$33</f>
        <v/>
      </c>
      <c r="H228" s="184">
        <f>$H$33</f>
        <v/>
      </c>
      <c r="I228" s="188">
        <f>$J$17</f>
        <v/>
      </c>
      <c r="J228" s="191" t="n">
        <v>13</v>
      </c>
      <c r="K228" s="191">
        <f>('Model Inputs'!$B$22-1)+J228</f>
        <v/>
      </c>
      <c r="L228" s="184">
        <f>IF(J228=1,'Model Inputs'!$B$25*(13-'Model Inputs'!$B$23)/12,'Model Inputs'!$B$25)</f>
        <v/>
      </c>
      <c r="M228" s="184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/>
      </c>
      <c r="N228" s="188">
        <f>IF(J228&lt;=2,0,'Model Inputs'!$B$32*SIN(2*PI()*(J228-3+'Model Inputs'!$B$34)/MAX(1,'Model Inputs'!$B$33)))</f>
        <v/>
      </c>
      <c r="O228" s="184">
        <f>M228*(1+N228)</f>
        <v/>
      </c>
      <c r="P228" s="184">
        <f>0.75*O227+0.25*O226</f>
        <v/>
      </c>
      <c r="Q228" s="184">
        <f>L228+P228+IF(J228=1,'Model Inputs'!$B$26,0)</f>
        <v/>
      </c>
      <c r="R228" s="184">
        <f>IF(J228&lt;=B228,Q228,IF(J228&lt;=B228+$J$18,L228,(SUMIFS($L$51:$L$350,$A$51:$A$350,$A228,$J$51:$J$350,$B228)+SUMIFS($O$51:$O$350,$A$51:$A$350,$A228,$J$51:$J$350,$B228))*C228))</f>
        <v/>
      </c>
      <c r="S228" s="184">
        <f>H228+F228*G228*(1+I228)^MAX(0,J228-MAX(D228,B228+$J$18+1))</f>
        <v/>
      </c>
      <c r="T228" s="184">
        <f>IF(J228&gt;=MAX(D228,B228+$J$18+1),S228,R228)</f>
        <v/>
      </c>
      <c r="U228" s="184">
        <f>MIN(T228,'Tax Assumptions'!$B$19)</f>
        <v/>
      </c>
      <c r="V228" s="184">
        <f>MAX(T228-U228-'Tax Assumptions'!$B$8,0)</f>
        <v/>
      </c>
      <c r="W228" s="184">
        <f>MAX(T228-U228-'Tax Assumptions'!$B$9,0)</f>
        <v/>
      </c>
      <c r="X228" s="184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/>
      </c>
      <c r="Y228" s="184">
        <f>T228-U228-X228</f>
        <v/>
      </c>
      <c r="Z228" s="184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/>
      </c>
      <c r="AA228" s="184">
        <f>Y228-Z228</f>
        <v/>
      </c>
      <c r="AB228" s="184">
        <f>MIN(MAX(AA228,0),'Tax Assumptions'!$B$20)</f>
        <v/>
      </c>
      <c r="AC228" s="184">
        <f>AA228-AB228</f>
        <v/>
      </c>
      <c r="AD228" s="184">
        <f>MAX(AD227*(1+'Model Inputs'!$B$13)+AC228,0)</f>
        <v/>
      </c>
      <c r="AE228" s="184">
        <f>MAX(AE227*(1+'Model Inputs'!$B$13)+U228+AB228,0)</f>
        <v/>
      </c>
      <c r="AF228" s="184">
        <f>AD228+AE228</f>
        <v/>
      </c>
      <c r="AG228" s="191">
        <f>IF(AND(AF228&gt;=$F$14,AF227&lt;$F$14),J228,"")</f>
        <v/>
      </c>
      <c r="AH228" s="191">
        <f>IF(AND(AF228&gt;=$F$15,AF227&lt;$F$15),J228,"")</f>
        <v/>
      </c>
      <c r="AI228" s="191">
        <f>IF(AND(AF228&gt;=$F$16,AF227&lt;$F$16),J228,"")</f>
        <v/>
      </c>
      <c r="AJ228" s="191">
        <f>IF(AND(AF228&gt;=$F$17,AF227&lt;$F$17),J228,"")</f>
        <v/>
      </c>
    </row>
    <row r="229" outlineLevel="1" ht="18" customHeight="1" s="326">
      <c r="A229" s="181">
        <f>$A$33</f>
        <v/>
      </c>
      <c r="B229" s="191">
        <f>$B$33</f>
        <v/>
      </c>
      <c r="C229" s="187">
        <f>$C$33</f>
        <v/>
      </c>
      <c r="D229" s="191">
        <f>$D$33</f>
        <v/>
      </c>
      <c r="E229" s="181">
        <f>$E$33</f>
        <v/>
      </c>
      <c r="F229" s="184">
        <f>$F$33</f>
        <v/>
      </c>
      <c r="G229" s="188">
        <f>$G$33</f>
        <v/>
      </c>
      <c r="H229" s="184">
        <f>$H$33</f>
        <v/>
      </c>
      <c r="I229" s="188">
        <f>$J$17</f>
        <v/>
      </c>
      <c r="J229" s="191" t="n">
        <v>14</v>
      </c>
      <c r="K229" s="191">
        <f>('Model Inputs'!$B$22-1)+J229</f>
        <v/>
      </c>
      <c r="L229" s="184">
        <f>IF(J229=1,'Model Inputs'!$B$25*(13-'Model Inputs'!$B$23)/12,'Model Inputs'!$B$25)</f>
        <v/>
      </c>
      <c r="M229" s="184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/>
      </c>
      <c r="N229" s="188">
        <f>IF(J229&lt;=2,0,'Model Inputs'!$B$32*SIN(2*PI()*(J229-3+'Model Inputs'!$B$34)/MAX(1,'Model Inputs'!$B$33)))</f>
        <v/>
      </c>
      <c r="O229" s="184">
        <f>M229*(1+N229)</f>
        <v/>
      </c>
      <c r="P229" s="184">
        <f>0.75*O228+0.25*O227</f>
        <v/>
      </c>
      <c r="Q229" s="184">
        <f>L229+P229+IF(J229=1,'Model Inputs'!$B$26,0)</f>
        <v/>
      </c>
      <c r="R229" s="184">
        <f>IF(J229&lt;=B229,Q229,IF(J229&lt;=B229+$J$18,L229,(SUMIFS($L$51:$L$350,$A$51:$A$350,$A229,$J$51:$J$350,$B229)+SUMIFS($O$51:$O$350,$A$51:$A$350,$A229,$J$51:$J$350,$B229))*C229))</f>
        <v/>
      </c>
      <c r="S229" s="184">
        <f>H229+F229*G229*(1+I229)^MAX(0,J229-MAX(D229,B229+$J$18+1))</f>
        <v/>
      </c>
      <c r="T229" s="184">
        <f>IF(J229&gt;=MAX(D229,B229+$J$18+1),S229,R229)</f>
        <v/>
      </c>
      <c r="U229" s="184">
        <f>MIN(T229,'Tax Assumptions'!$B$19)</f>
        <v/>
      </c>
      <c r="V229" s="184">
        <f>MAX(T229-U229-'Tax Assumptions'!$B$8,0)</f>
        <v/>
      </c>
      <c r="W229" s="184">
        <f>MAX(T229-U229-'Tax Assumptions'!$B$9,0)</f>
        <v/>
      </c>
      <c r="X229" s="184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/>
      </c>
      <c r="Y229" s="184">
        <f>T229-U229-X229</f>
        <v/>
      </c>
      <c r="Z229" s="184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/>
      </c>
      <c r="AA229" s="184">
        <f>Y229-Z229</f>
        <v/>
      </c>
      <c r="AB229" s="184">
        <f>MIN(MAX(AA229,0),'Tax Assumptions'!$B$20)</f>
        <v/>
      </c>
      <c r="AC229" s="184">
        <f>AA229-AB229</f>
        <v/>
      </c>
      <c r="AD229" s="184">
        <f>MAX(AD228*(1+'Model Inputs'!$B$13)+AC229,0)</f>
        <v/>
      </c>
      <c r="AE229" s="184">
        <f>MAX(AE228*(1+'Model Inputs'!$B$13)+U229+AB229,0)</f>
        <v/>
      </c>
      <c r="AF229" s="184">
        <f>AD229+AE229</f>
        <v/>
      </c>
      <c r="AG229" s="191">
        <f>IF(AND(AF229&gt;=$F$14,AF228&lt;$F$14),J229,"")</f>
        <v/>
      </c>
      <c r="AH229" s="191">
        <f>IF(AND(AF229&gt;=$F$15,AF228&lt;$F$15),J229,"")</f>
        <v/>
      </c>
      <c r="AI229" s="191">
        <f>IF(AND(AF229&gt;=$F$16,AF228&lt;$F$16),J229,"")</f>
        <v/>
      </c>
      <c r="AJ229" s="191">
        <f>IF(AND(AF229&gt;=$F$17,AF228&lt;$F$17),J229,"")</f>
        <v/>
      </c>
    </row>
    <row r="230" outlineLevel="1" ht="18" customHeight="1" s="326">
      <c r="A230" s="181">
        <f>$A$33</f>
        <v/>
      </c>
      <c r="B230" s="191">
        <f>$B$33</f>
        <v/>
      </c>
      <c r="C230" s="187">
        <f>$C$33</f>
        <v/>
      </c>
      <c r="D230" s="191">
        <f>$D$33</f>
        <v/>
      </c>
      <c r="E230" s="181">
        <f>$E$33</f>
        <v/>
      </c>
      <c r="F230" s="184">
        <f>$F$33</f>
        <v/>
      </c>
      <c r="G230" s="188">
        <f>$G$33</f>
        <v/>
      </c>
      <c r="H230" s="184">
        <f>$H$33</f>
        <v/>
      </c>
      <c r="I230" s="188">
        <f>$J$17</f>
        <v/>
      </c>
      <c r="J230" s="191" t="n">
        <v>15</v>
      </c>
      <c r="K230" s="191">
        <f>('Model Inputs'!$B$22-1)+J230</f>
        <v/>
      </c>
      <c r="L230" s="184">
        <f>IF(J230=1,'Model Inputs'!$B$25*(13-'Model Inputs'!$B$23)/12,'Model Inputs'!$B$25)</f>
        <v/>
      </c>
      <c r="M230" s="184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/>
      </c>
      <c r="N230" s="188">
        <f>IF(J230&lt;=2,0,'Model Inputs'!$B$32*SIN(2*PI()*(J230-3+'Model Inputs'!$B$34)/MAX(1,'Model Inputs'!$B$33)))</f>
        <v/>
      </c>
      <c r="O230" s="184">
        <f>M230*(1+N230)</f>
        <v/>
      </c>
      <c r="P230" s="184">
        <f>0.75*O229+0.25*O228</f>
        <v/>
      </c>
      <c r="Q230" s="184">
        <f>L230+P230+IF(J230=1,'Model Inputs'!$B$26,0)</f>
        <v/>
      </c>
      <c r="R230" s="184">
        <f>IF(J230&lt;=B230,Q230,IF(J230&lt;=B230+$J$18,L230,(SUMIFS($L$51:$L$350,$A$51:$A$350,$A230,$J$51:$J$350,$B230)+SUMIFS($O$51:$O$350,$A$51:$A$350,$A230,$J$51:$J$350,$B230))*C230))</f>
        <v/>
      </c>
      <c r="S230" s="184">
        <f>H230+F230*G230*(1+I230)^MAX(0,J230-MAX(D230,B230+$J$18+1))</f>
        <v/>
      </c>
      <c r="T230" s="184">
        <f>IF(J230&gt;=MAX(D230,B230+$J$18+1),S230,R230)</f>
        <v/>
      </c>
      <c r="U230" s="184">
        <f>MIN(T230,'Tax Assumptions'!$B$19)</f>
        <v/>
      </c>
      <c r="V230" s="184">
        <f>MAX(T230-U230-'Tax Assumptions'!$B$8,0)</f>
        <v/>
      </c>
      <c r="W230" s="184">
        <f>MAX(T230-U230-'Tax Assumptions'!$B$9,0)</f>
        <v/>
      </c>
      <c r="X230" s="184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/>
      </c>
      <c r="Y230" s="184">
        <f>T230-U230-X230</f>
        <v/>
      </c>
      <c r="Z230" s="184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/>
      </c>
      <c r="AA230" s="184">
        <f>Y230-Z230</f>
        <v/>
      </c>
      <c r="AB230" s="184">
        <f>MIN(MAX(AA230,0),'Tax Assumptions'!$B$20)</f>
        <v/>
      </c>
      <c r="AC230" s="184">
        <f>AA230-AB230</f>
        <v/>
      </c>
      <c r="AD230" s="184">
        <f>MAX(AD229*(1+'Model Inputs'!$B$13)+AC230,0)</f>
        <v/>
      </c>
      <c r="AE230" s="184">
        <f>MAX(AE229*(1+'Model Inputs'!$B$13)+U230+AB230,0)</f>
        <v/>
      </c>
      <c r="AF230" s="184">
        <f>AD230+AE230</f>
        <v/>
      </c>
      <c r="AG230" s="191">
        <f>IF(AND(AF230&gt;=$F$14,AF229&lt;$F$14),J230,"")</f>
        <v/>
      </c>
      <c r="AH230" s="191">
        <f>IF(AND(AF230&gt;=$F$15,AF229&lt;$F$15),J230,"")</f>
        <v/>
      </c>
      <c r="AI230" s="191">
        <f>IF(AND(AF230&gt;=$F$16,AF229&lt;$F$16),J230,"")</f>
        <v/>
      </c>
      <c r="AJ230" s="191">
        <f>IF(AND(AF230&gt;=$F$17,AF229&lt;$F$17),J230,"")</f>
        <v/>
      </c>
    </row>
    <row r="231" outlineLevel="1" ht="18" customHeight="1" s="326">
      <c r="A231" s="181">
        <f>$A$34</f>
        <v/>
      </c>
      <c r="B231" s="191">
        <f>$B$34</f>
        <v/>
      </c>
      <c r="C231" s="187">
        <f>$C$34</f>
        <v/>
      </c>
      <c r="D231" s="191">
        <f>$D$34</f>
        <v/>
      </c>
      <c r="E231" s="181">
        <f>$E$34</f>
        <v/>
      </c>
      <c r="F231" s="184">
        <f>$F$34</f>
        <v/>
      </c>
      <c r="G231" s="188">
        <f>$G$34</f>
        <v/>
      </c>
      <c r="H231" s="184">
        <f>$H$34</f>
        <v/>
      </c>
      <c r="I231" s="188">
        <f>$J$17</f>
        <v/>
      </c>
      <c r="J231" s="191" t="n">
        <v>1</v>
      </c>
      <c r="K231" s="191">
        <f>('Model Inputs'!$B$22-1)+J231</f>
        <v/>
      </c>
      <c r="L231" s="184">
        <f>IF(J231=1,'Model Inputs'!$B$25*(13-'Model Inputs'!$B$23)/12,'Model Inputs'!$B$25)</f>
        <v/>
      </c>
      <c r="M231" s="184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/>
      </c>
      <c r="N231" s="188">
        <f>IF(J231&lt;=2,0,'Model Inputs'!$B$32*SIN(2*PI()*(J231-3+'Model Inputs'!$B$34)/MAX(1,'Model Inputs'!$B$33)))</f>
        <v/>
      </c>
      <c r="O231" s="184">
        <f>M231*(1+N231)</f>
        <v/>
      </c>
      <c r="P231" s="184">
        <f>0</f>
        <v/>
      </c>
      <c r="Q231" s="184">
        <f>L231+P231+IF(J231=1,'Model Inputs'!$B$26,0)</f>
        <v/>
      </c>
      <c r="R231" s="184">
        <f>IF(J231&lt;=B231,Q231,IF(J231&lt;=B231+$J$18,L231,(SUMIFS($L$51:$L$350,$A$51:$A$350,$A231,$J$51:$J$350,$B231)+SUMIFS($O$51:$O$350,$A$51:$A$350,$A231,$J$51:$J$350,$B231))*C231))</f>
        <v/>
      </c>
      <c r="S231" s="184">
        <f>H231+F231*G231*(1+I231)^MAX(0,J231-MAX(D231,B231+$J$18+1))</f>
        <v/>
      </c>
      <c r="T231" s="184">
        <f>IF(J231&gt;=MAX(D231,B231+$J$18+1),S231,R231)</f>
        <v/>
      </c>
      <c r="U231" s="184">
        <f>MIN(T231,'Tax Assumptions'!$B$19)</f>
        <v/>
      </c>
      <c r="V231" s="184">
        <f>MAX(T231-U231-'Tax Assumptions'!$B$8,0)</f>
        <v/>
      </c>
      <c r="W231" s="184">
        <f>MAX(T231-U231-'Tax Assumptions'!$B$9,0)</f>
        <v/>
      </c>
      <c r="X231" s="184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/>
      </c>
      <c r="Y231" s="184">
        <f>T231-U231-X231</f>
        <v/>
      </c>
      <c r="Z231" s="184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/>
      </c>
      <c r="AA231" s="184">
        <f>Y231-Z231</f>
        <v/>
      </c>
      <c r="AB231" s="184">
        <f>MIN(MAX(AA231,0),'Tax Assumptions'!$B$20)</f>
        <v/>
      </c>
      <c r="AC231" s="184">
        <f>AA231-AB231</f>
        <v/>
      </c>
      <c r="AD231" s="184">
        <f>MAX('Model Inputs'!$B$7*(1+'Model Inputs'!$B$13)+AC231,0)</f>
        <v/>
      </c>
      <c r="AE231" s="184">
        <f>MAX(('Model Inputs'!$B$8+'Model Inputs'!$B$9+'Model Inputs'!$B$10)*(1+'Model Inputs'!$B$13)+U231+AB231,0)</f>
        <v/>
      </c>
      <c r="AF231" s="184">
        <f>AD231+AE231</f>
        <v/>
      </c>
      <c r="AG231" s="191">
        <f>IF(AND(AF231&gt;=$F$14,0&lt;$F$14),J231,"")</f>
        <v/>
      </c>
      <c r="AH231" s="191">
        <f>IF(AND(AF231&gt;=$F$15,0&lt;$F$15),J231,"")</f>
        <v/>
      </c>
      <c r="AI231" s="191">
        <f>IF(AND(AF231&gt;=$F$16,0&lt;$F$16),J231,"")</f>
        <v/>
      </c>
      <c r="AJ231" s="191">
        <f>IF(AND(AF231&gt;=$F$17,0&lt;$F$17),J231,"")</f>
        <v/>
      </c>
    </row>
    <row r="232" outlineLevel="1" ht="18" customHeight="1" s="326">
      <c r="A232" s="181">
        <f>$A$34</f>
        <v/>
      </c>
      <c r="B232" s="191">
        <f>$B$34</f>
        <v/>
      </c>
      <c r="C232" s="187">
        <f>$C$34</f>
        <v/>
      </c>
      <c r="D232" s="191">
        <f>$D$34</f>
        <v/>
      </c>
      <c r="E232" s="181">
        <f>$E$34</f>
        <v/>
      </c>
      <c r="F232" s="184">
        <f>$F$34</f>
        <v/>
      </c>
      <c r="G232" s="188">
        <f>$G$34</f>
        <v/>
      </c>
      <c r="H232" s="184">
        <f>$H$34</f>
        <v/>
      </c>
      <c r="I232" s="188">
        <f>$J$17</f>
        <v/>
      </c>
      <c r="J232" s="191" t="n">
        <v>2</v>
      </c>
      <c r="K232" s="191">
        <f>('Model Inputs'!$B$22-1)+J232</f>
        <v/>
      </c>
      <c r="L232" s="184">
        <f>IF(J232=1,'Model Inputs'!$B$25*(13-'Model Inputs'!$B$23)/12,'Model Inputs'!$B$25)</f>
        <v/>
      </c>
      <c r="M232" s="184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/>
      </c>
      <c r="N232" s="188">
        <f>IF(J232&lt;=2,0,'Model Inputs'!$B$32*SIN(2*PI()*(J232-3+'Model Inputs'!$B$34)/MAX(1,'Model Inputs'!$B$33)))</f>
        <v/>
      </c>
      <c r="O232" s="184">
        <f>M232*(1+N232)</f>
        <v/>
      </c>
      <c r="P232" s="184">
        <f>0.75*O231</f>
        <v/>
      </c>
      <c r="Q232" s="184">
        <f>L232+P232+IF(J232=1,'Model Inputs'!$B$26,0)</f>
        <v/>
      </c>
      <c r="R232" s="184">
        <f>IF(J232&lt;=B232,Q232,IF(J232&lt;=B232+$J$18,L232,(SUMIFS($L$51:$L$350,$A$51:$A$350,$A232,$J$51:$J$350,$B232)+SUMIFS($O$51:$O$350,$A$51:$A$350,$A232,$J$51:$J$350,$B232))*C232))</f>
        <v/>
      </c>
      <c r="S232" s="184">
        <f>H232+F232*G232*(1+I232)^MAX(0,J232-MAX(D232,B232+$J$18+1))</f>
        <v/>
      </c>
      <c r="T232" s="184">
        <f>IF(J232&gt;=MAX(D232,B232+$J$18+1),S232,R232)</f>
        <v/>
      </c>
      <c r="U232" s="184">
        <f>MIN(T232,'Tax Assumptions'!$B$19)</f>
        <v/>
      </c>
      <c r="V232" s="184">
        <f>MAX(T232-U232-'Tax Assumptions'!$B$8,0)</f>
        <v/>
      </c>
      <c r="W232" s="184">
        <f>MAX(T232-U232-'Tax Assumptions'!$B$9,0)</f>
        <v/>
      </c>
      <c r="X232" s="184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/>
      </c>
      <c r="Y232" s="184">
        <f>T232-U232-X232</f>
        <v/>
      </c>
      <c r="Z232" s="184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/>
      </c>
      <c r="AA232" s="184">
        <f>Y232-Z232</f>
        <v/>
      </c>
      <c r="AB232" s="184">
        <f>MIN(MAX(AA232,0),'Tax Assumptions'!$B$20)</f>
        <v/>
      </c>
      <c r="AC232" s="184">
        <f>AA232-AB232</f>
        <v/>
      </c>
      <c r="AD232" s="184">
        <f>MAX(AD231*(1+'Model Inputs'!$B$13)+AC232,0)</f>
        <v/>
      </c>
      <c r="AE232" s="184">
        <f>MAX(AE231*(1+'Model Inputs'!$B$13)+U232+AB232,0)</f>
        <v/>
      </c>
      <c r="AF232" s="184">
        <f>AD232+AE232</f>
        <v/>
      </c>
      <c r="AG232" s="191">
        <f>IF(AND(AF232&gt;=$F$14,AF231&lt;$F$14),J232,"")</f>
        <v/>
      </c>
      <c r="AH232" s="191">
        <f>IF(AND(AF232&gt;=$F$15,AF231&lt;$F$15),J232,"")</f>
        <v/>
      </c>
      <c r="AI232" s="191">
        <f>IF(AND(AF232&gt;=$F$16,AF231&lt;$F$16),J232,"")</f>
        <v/>
      </c>
      <c r="AJ232" s="191">
        <f>IF(AND(AF232&gt;=$F$17,AF231&lt;$F$17),J232,"")</f>
        <v/>
      </c>
    </row>
    <row r="233" outlineLevel="1" ht="18" customHeight="1" s="326">
      <c r="A233" s="181">
        <f>$A$34</f>
        <v/>
      </c>
      <c r="B233" s="191">
        <f>$B$34</f>
        <v/>
      </c>
      <c r="C233" s="187">
        <f>$C$34</f>
        <v/>
      </c>
      <c r="D233" s="191">
        <f>$D$34</f>
        <v/>
      </c>
      <c r="E233" s="181">
        <f>$E$34</f>
        <v/>
      </c>
      <c r="F233" s="184">
        <f>$F$34</f>
        <v/>
      </c>
      <c r="G233" s="188">
        <f>$G$34</f>
        <v/>
      </c>
      <c r="H233" s="184">
        <f>$H$34</f>
        <v/>
      </c>
      <c r="I233" s="188">
        <f>$J$17</f>
        <v/>
      </c>
      <c r="J233" s="191" t="n">
        <v>3</v>
      </c>
      <c r="K233" s="191">
        <f>('Model Inputs'!$B$22-1)+J233</f>
        <v/>
      </c>
      <c r="L233" s="184">
        <f>IF(J233=1,'Model Inputs'!$B$25*(13-'Model Inputs'!$B$23)/12,'Model Inputs'!$B$25)</f>
        <v/>
      </c>
      <c r="M233" s="184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/>
      </c>
      <c r="N233" s="188">
        <f>IF(J233&lt;=2,0,'Model Inputs'!$B$32*SIN(2*PI()*(J233-3+'Model Inputs'!$B$34)/MAX(1,'Model Inputs'!$B$33)))</f>
        <v/>
      </c>
      <c r="O233" s="184">
        <f>M233*(1+N233)</f>
        <v/>
      </c>
      <c r="P233" s="184">
        <f>0.75*O232+0.25*O231</f>
        <v/>
      </c>
      <c r="Q233" s="184">
        <f>L233+P233+IF(J233=1,'Model Inputs'!$B$26,0)</f>
        <v/>
      </c>
      <c r="R233" s="184">
        <f>IF(J233&lt;=B233,Q233,IF(J233&lt;=B233+$J$18,L233,(SUMIFS($L$51:$L$350,$A$51:$A$350,$A233,$J$51:$J$350,$B233)+SUMIFS($O$51:$O$350,$A$51:$A$350,$A233,$J$51:$J$350,$B233))*C233))</f>
        <v/>
      </c>
      <c r="S233" s="184">
        <f>H233+F233*G233*(1+I233)^MAX(0,J233-MAX(D233,B233+$J$18+1))</f>
        <v/>
      </c>
      <c r="T233" s="184">
        <f>IF(J233&gt;=MAX(D233,B233+$J$18+1),S233,R233)</f>
        <v/>
      </c>
      <c r="U233" s="184">
        <f>MIN(T233,'Tax Assumptions'!$B$19)</f>
        <v/>
      </c>
      <c r="V233" s="184">
        <f>MAX(T233-U233-'Tax Assumptions'!$B$8,0)</f>
        <v/>
      </c>
      <c r="W233" s="184">
        <f>MAX(T233-U233-'Tax Assumptions'!$B$9,0)</f>
        <v/>
      </c>
      <c r="X233" s="184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/>
      </c>
      <c r="Y233" s="184">
        <f>T233-U233-X233</f>
        <v/>
      </c>
      <c r="Z233" s="184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/>
      </c>
      <c r="AA233" s="184">
        <f>Y233-Z233</f>
        <v/>
      </c>
      <c r="AB233" s="184">
        <f>MIN(MAX(AA233,0),'Tax Assumptions'!$B$20)</f>
        <v/>
      </c>
      <c r="AC233" s="184">
        <f>AA233-AB233</f>
        <v/>
      </c>
      <c r="AD233" s="184">
        <f>MAX(AD232*(1+'Model Inputs'!$B$13)+AC233,0)</f>
        <v/>
      </c>
      <c r="AE233" s="184">
        <f>MAX(AE232*(1+'Model Inputs'!$B$13)+U233+AB233,0)</f>
        <v/>
      </c>
      <c r="AF233" s="184">
        <f>AD233+AE233</f>
        <v/>
      </c>
      <c r="AG233" s="191">
        <f>IF(AND(AF233&gt;=$F$14,AF232&lt;$F$14),J233,"")</f>
        <v/>
      </c>
      <c r="AH233" s="191">
        <f>IF(AND(AF233&gt;=$F$15,AF232&lt;$F$15),J233,"")</f>
        <v/>
      </c>
      <c r="AI233" s="191">
        <f>IF(AND(AF233&gt;=$F$16,AF232&lt;$F$16),J233,"")</f>
        <v/>
      </c>
      <c r="AJ233" s="191">
        <f>IF(AND(AF233&gt;=$F$17,AF232&lt;$F$17),J233,"")</f>
        <v/>
      </c>
    </row>
    <row r="234" outlineLevel="1" ht="18" customHeight="1" s="326">
      <c r="A234" s="181">
        <f>$A$34</f>
        <v/>
      </c>
      <c r="B234" s="191">
        <f>$B$34</f>
        <v/>
      </c>
      <c r="C234" s="187">
        <f>$C$34</f>
        <v/>
      </c>
      <c r="D234" s="191">
        <f>$D$34</f>
        <v/>
      </c>
      <c r="E234" s="181">
        <f>$E$34</f>
        <v/>
      </c>
      <c r="F234" s="184">
        <f>$F$34</f>
        <v/>
      </c>
      <c r="G234" s="188">
        <f>$G$34</f>
        <v/>
      </c>
      <c r="H234" s="184">
        <f>$H$34</f>
        <v/>
      </c>
      <c r="I234" s="188">
        <f>$J$17</f>
        <v/>
      </c>
      <c r="J234" s="191" t="n">
        <v>4</v>
      </c>
      <c r="K234" s="191">
        <f>('Model Inputs'!$B$22-1)+J234</f>
        <v/>
      </c>
      <c r="L234" s="184">
        <f>IF(J234=1,'Model Inputs'!$B$25*(13-'Model Inputs'!$B$23)/12,'Model Inputs'!$B$25)</f>
        <v/>
      </c>
      <c r="M234" s="184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/>
      </c>
      <c r="N234" s="188">
        <f>IF(J234&lt;=2,0,'Model Inputs'!$B$32*SIN(2*PI()*(J234-3+'Model Inputs'!$B$34)/MAX(1,'Model Inputs'!$B$33)))</f>
        <v/>
      </c>
      <c r="O234" s="184">
        <f>M234*(1+N234)</f>
        <v/>
      </c>
      <c r="P234" s="184">
        <f>0.75*O233+0.25*O232</f>
        <v/>
      </c>
      <c r="Q234" s="184">
        <f>L234+P234+IF(J234=1,'Model Inputs'!$B$26,0)</f>
        <v/>
      </c>
      <c r="R234" s="184">
        <f>IF(J234&lt;=B234,Q234,IF(J234&lt;=B234+$J$18,L234,(SUMIFS($L$51:$L$350,$A$51:$A$350,$A234,$J$51:$J$350,$B234)+SUMIFS($O$51:$O$350,$A$51:$A$350,$A234,$J$51:$J$350,$B234))*C234))</f>
        <v/>
      </c>
      <c r="S234" s="184">
        <f>H234+F234*G234*(1+I234)^MAX(0,J234-MAX(D234,B234+$J$18+1))</f>
        <v/>
      </c>
      <c r="T234" s="184">
        <f>IF(J234&gt;=MAX(D234,B234+$J$18+1),S234,R234)</f>
        <v/>
      </c>
      <c r="U234" s="184">
        <f>MIN(T234,'Tax Assumptions'!$B$19)</f>
        <v/>
      </c>
      <c r="V234" s="184">
        <f>MAX(T234-U234-'Tax Assumptions'!$B$8,0)</f>
        <v/>
      </c>
      <c r="W234" s="184">
        <f>MAX(T234-U234-'Tax Assumptions'!$B$9,0)</f>
        <v/>
      </c>
      <c r="X234" s="184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/>
      </c>
      <c r="Y234" s="184">
        <f>T234-U234-X234</f>
        <v/>
      </c>
      <c r="Z234" s="184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/>
      </c>
      <c r="AA234" s="184">
        <f>Y234-Z234</f>
        <v/>
      </c>
      <c r="AB234" s="184">
        <f>MIN(MAX(AA234,0),'Tax Assumptions'!$B$20)</f>
        <v/>
      </c>
      <c r="AC234" s="184">
        <f>AA234-AB234</f>
        <v/>
      </c>
      <c r="AD234" s="184">
        <f>MAX(AD233*(1+'Model Inputs'!$B$13)+AC234,0)</f>
        <v/>
      </c>
      <c r="AE234" s="184">
        <f>MAX(AE233*(1+'Model Inputs'!$B$13)+U234+AB234,0)</f>
        <v/>
      </c>
      <c r="AF234" s="184">
        <f>AD234+AE234</f>
        <v/>
      </c>
      <c r="AG234" s="191">
        <f>IF(AND(AF234&gt;=$F$14,AF233&lt;$F$14),J234,"")</f>
        <v/>
      </c>
      <c r="AH234" s="191">
        <f>IF(AND(AF234&gt;=$F$15,AF233&lt;$F$15),J234,"")</f>
        <v/>
      </c>
      <c r="AI234" s="191">
        <f>IF(AND(AF234&gt;=$F$16,AF233&lt;$F$16),J234,"")</f>
        <v/>
      </c>
      <c r="AJ234" s="191">
        <f>IF(AND(AF234&gt;=$F$17,AF233&lt;$F$17),J234,"")</f>
        <v/>
      </c>
    </row>
    <row r="235" outlineLevel="1" ht="18" customHeight="1" s="326">
      <c r="A235" s="181">
        <f>$A$34</f>
        <v/>
      </c>
      <c r="B235" s="191">
        <f>$B$34</f>
        <v/>
      </c>
      <c r="C235" s="187">
        <f>$C$34</f>
        <v/>
      </c>
      <c r="D235" s="191">
        <f>$D$34</f>
        <v/>
      </c>
      <c r="E235" s="181">
        <f>$E$34</f>
        <v/>
      </c>
      <c r="F235" s="184">
        <f>$F$34</f>
        <v/>
      </c>
      <c r="G235" s="188">
        <f>$G$34</f>
        <v/>
      </c>
      <c r="H235" s="184">
        <f>$H$34</f>
        <v/>
      </c>
      <c r="I235" s="188">
        <f>$J$17</f>
        <v/>
      </c>
      <c r="J235" s="191" t="n">
        <v>5</v>
      </c>
      <c r="K235" s="191">
        <f>('Model Inputs'!$B$22-1)+J235</f>
        <v/>
      </c>
      <c r="L235" s="184">
        <f>IF(J235=1,'Model Inputs'!$B$25*(13-'Model Inputs'!$B$23)/12,'Model Inputs'!$B$25)</f>
        <v/>
      </c>
      <c r="M235" s="184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/>
      </c>
      <c r="N235" s="188">
        <f>IF(J235&lt;=2,0,'Model Inputs'!$B$32*SIN(2*PI()*(J235-3+'Model Inputs'!$B$34)/MAX(1,'Model Inputs'!$B$33)))</f>
        <v/>
      </c>
      <c r="O235" s="184">
        <f>M235*(1+N235)</f>
        <v/>
      </c>
      <c r="P235" s="184">
        <f>0.75*O234+0.25*O233</f>
        <v/>
      </c>
      <c r="Q235" s="184">
        <f>L235+P235+IF(J235=1,'Model Inputs'!$B$26,0)</f>
        <v/>
      </c>
      <c r="R235" s="184">
        <f>IF(J235&lt;=B235,Q235,IF(J235&lt;=B235+$J$18,L235,(SUMIFS($L$51:$L$350,$A$51:$A$350,$A235,$J$51:$J$350,$B235)+SUMIFS($O$51:$O$350,$A$51:$A$350,$A235,$J$51:$J$350,$B235))*C235))</f>
        <v/>
      </c>
      <c r="S235" s="184">
        <f>H235+F235*G235*(1+I235)^MAX(0,J235-MAX(D235,B235+$J$18+1))</f>
        <v/>
      </c>
      <c r="T235" s="184">
        <f>IF(J235&gt;=MAX(D235,B235+$J$18+1),S235,R235)</f>
        <v/>
      </c>
      <c r="U235" s="184">
        <f>MIN(T235,'Tax Assumptions'!$B$19)</f>
        <v/>
      </c>
      <c r="V235" s="184">
        <f>MAX(T235-U235-'Tax Assumptions'!$B$8,0)</f>
        <v/>
      </c>
      <c r="W235" s="184">
        <f>MAX(T235-U235-'Tax Assumptions'!$B$9,0)</f>
        <v/>
      </c>
      <c r="X235" s="184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/>
      </c>
      <c r="Y235" s="184">
        <f>T235-U235-X235</f>
        <v/>
      </c>
      <c r="Z235" s="184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/>
      </c>
      <c r="AA235" s="184">
        <f>Y235-Z235</f>
        <v/>
      </c>
      <c r="AB235" s="184">
        <f>MIN(MAX(AA235,0),'Tax Assumptions'!$B$20)</f>
        <v/>
      </c>
      <c r="AC235" s="184">
        <f>AA235-AB235</f>
        <v/>
      </c>
      <c r="AD235" s="184">
        <f>MAX(AD234*(1+'Model Inputs'!$B$13)+AC235,0)</f>
        <v/>
      </c>
      <c r="AE235" s="184">
        <f>MAX(AE234*(1+'Model Inputs'!$B$13)+U235+AB235,0)</f>
        <v/>
      </c>
      <c r="AF235" s="184">
        <f>AD235+AE235</f>
        <v/>
      </c>
      <c r="AG235" s="191">
        <f>IF(AND(AF235&gt;=$F$14,AF234&lt;$F$14),J235,"")</f>
        <v/>
      </c>
      <c r="AH235" s="191">
        <f>IF(AND(AF235&gt;=$F$15,AF234&lt;$F$15),J235,"")</f>
        <v/>
      </c>
      <c r="AI235" s="191">
        <f>IF(AND(AF235&gt;=$F$16,AF234&lt;$F$16),J235,"")</f>
        <v/>
      </c>
      <c r="AJ235" s="191">
        <f>IF(AND(AF235&gt;=$F$17,AF234&lt;$F$17),J235,"")</f>
        <v/>
      </c>
    </row>
    <row r="236" outlineLevel="1" ht="18" customHeight="1" s="326">
      <c r="A236" s="181">
        <f>$A$34</f>
        <v/>
      </c>
      <c r="B236" s="191">
        <f>$B$34</f>
        <v/>
      </c>
      <c r="C236" s="187">
        <f>$C$34</f>
        <v/>
      </c>
      <c r="D236" s="191">
        <f>$D$34</f>
        <v/>
      </c>
      <c r="E236" s="181">
        <f>$E$34</f>
        <v/>
      </c>
      <c r="F236" s="184">
        <f>$F$34</f>
        <v/>
      </c>
      <c r="G236" s="188">
        <f>$G$34</f>
        <v/>
      </c>
      <c r="H236" s="184">
        <f>$H$34</f>
        <v/>
      </c>
      <c r="I236" s="188">
        <f>$J$17</f>
        <v/>
      </c>
      <c r="J236" s="191" t="n">
        <v>6</v>
      </c>
      <c r="K236" s="191">
        <f>('Model Inputs'!$B$22-1)+J236</f>
        <v/>
      </c>
      <c r="L236" s="184">
        <f>IF(J236=1,'Model Inputs'!$B$25*(13-'Model Inputs'!$B$23)/12,'Model Inputs'!$B$25)</f>
        <v/>
      </c>
      <c r="M236" s="184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/>
      </c>
      <c r="N236" s="188">
        <f>IF(J236&lt;=2,0,'Model Inputs'!$B$32*SIN(2*PI()*(J236-3+'Model Inputs'!$B$34)/MAX(1,'Model Inputs'!$B$33)))</f>
        <v/>
      </c>
      <c r="O236" s="184">
        <f>M236*(1+N236)</f>
        <v/>
      </c>
      <c r="P236" s="184">
        <f>0.75*O235+0.25*O234</f>
        <v/>
      </c>
      <c r="Q236" s="184">
        <f>L236+P236+IF(J236=1,'Model Inputs'!$B$26,0)</f>
        <v/>
      </c>
      <c r="R236" s="184">
        <f>IF(J236&lt;=B236,Q236,IF(J236&lt;=B236+$J$18,L236,(SUMIFS($L$51:$L$350,$A$51:$A$350,$A236,$J$51:$J$350,$B236)+SUMIFS($O$51:$O$350,$A$51:$A$350,$A236,$J$51:$J$350,$B236))*C236))</f>
        <v/>
      </c>
      <c r="S236" s="184">
        <f>H236+F236*G236*(1+I236)^MAX(0,J236-MAX(D236,B236+$J$18+1))</f>
        <v/>
      </c>
      <c r="T236" s="184">
        <f>IF(J236&gt;=MAX(D236,B236+$J$18+1),S236,R236)</f>
        <v/>
      </c>
      <c r="U236" s="184">
        <f>MIN(T236,'Tax Assumptions'!$B$19)</f>
        <v/>
      </c>
      <c r="V236" s="184">
        <f>MAX(T236-U236-'Tax Assumptions'!$B$8,0)</f>
        <v/>
      </c>
      <c r="W236" s="184">
        <f>MAX(T236-U236-'Tax Assumptions'!$B$9,0)</f>
        <v/>
      </c>
      <c r="X236" s="184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/>
      </c>
      <c r="Y236" s="184">
        <f>T236-U236-X236</f>
        <v/>
      </c>
      <c r="Z236" s="184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/>
      </c>
      <c r="AA236" s="184">
        <f>Y236-Z236</f>
        <v/>
      </c>
      <c r="AB236" s="184">
        <f>MIN(MAX(AA236,0),'Tax Assumptions'!$B$20)</f>
        <v/>
      </c>
      <c r="AC236" s="184">
        <f>AA236-AB236</f>
        <v/>
      </c>
      <c r="AD236" s="184">
        <f>MAX(AD235*(1+'Model Inputs'!$B$13)+AC236,0)</f>
        <v/>
      </c>
      <c r="AE236" s="184">
        <f>MAX(AE235*(1+'Model Inputs'!$B$13)+U236+AB236,0)</f>
        <v/>
      </c>
      <c r="AF236" s="184">
        <f>AD236+AE236</f>
        <v/>
      </c>
      <c r="AG236" s="191">
        <f>IF(AND(AF236&gt;=$F$14,AF235&lt;$F$14),J236,"")</f>
        <v/>
      </c>
      <c r="AH236" s="191">
        <f>IF(AND(AF236&gt;=$F$15,AF235&lt;$F$15),J236,"")</f>
        <v/>
      </c>
      <c r="AI236" s="191">
        <f>IF(AND(AF236&gt;=$F$16,AF235&lt;$F$16),J236,"")</f>
        <v/>
      </c>
      <c r="AJ236" s="191">
        <f>IF(AND(AF236&gt;=$F$17,AF235&lt;$F$17),J236,"")</f>
        <v/>
      </c>
    </row>
    <row r="237" outlineLevel="1" ht="18" customHeight="1" s="326">
      <c r="A237" s="181">
        <f>$A$34</f>
        <v/>
      </c>
      <c r="B237" s="191">
        <f>$B$34</f>
        <v/>
      </c>
      <c r="C237" s="187">
        <f>$C$34</f>
        <v/>
      </c>
      <c r="D237" s="191">
        <f>$D$34</f>
        <v/>
      </c>
      <c r="E237" s="181">
        <f>$E$34</f>
        <v/>
      </c>
      <c r="F237" s="184">
        <f>$F$34</f>
        <v/>
      </c>
      <c r="G237" s="188">
        <f>$G$34</f>
        <v/>
      </c>
      <c r="H237" s="184">
        <f>$H$34</f>
        <v/>
      </c>
      <c r="I237" s="188">
        <f>$J$17</f>
        <v/>
      </c>
      <c r="J237" s="191" t="n">
        <v>7</v>
      </c>
      <c r="K237" s="191">
        <f>('Model Inputs'!$B$22-1)+J237</f>
        <v/>
      </c>
      <c r="L237" s="184">
        <f>IF(J237=1,'Model Inputs'!$B$25*(13-'Model Inputs'!$B$23)/12,'Model Inputs'!$B$25)</f>
        <v/>
      </c>
      <c r="M237" s="184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/>
      </c>
      <c r="N237" s="188">
        <f>IF(J237&lt;=2,0,'Model Inputs'!$B$32*SIN(2*PI()*(J237-3+'Model Inputs'!$B$34)/MAX(1,'Model Inputs'!$B$33)))</f>
        <v/>
      </c>
      <c r="O237" s="184">
        <f>M237*(1+N237)</f>
        <v/>
      </c>
      <c r="P237" s="184">
        <f>0.75*O236+0.25*O235</f>
        <v/>
      </c>
      <c r="Q237" s="184">
        <f>L237+P237+IF(J237=1,'Model Inputs'!$B$26,0)</f>
        <v/>
      </c>
      <c r="R237" s="184">
        <f>IF(J237&lt;=B237,Q237,IF(J237&lt;=B237+$J$18,L237,(SUMIFS($L$51:$L$350,$A$51:$A$350,$A237,$J$51:$J$350,$B237)+SUMIFS($O$51:$O$350,$A$51:$A$350,$A237,$J$51:$J$350,$B237))*C237))</f>
        <v/>
      </c>
      <c r="S237" s="184">
        <f>H237+F237*G237*(1+I237)^MAX(0,J237-MAX(D237,B237+$J$18+1))</f>
        <v/>
      </c>
      <c r="T237" s="184">
        <f>IF(J237&gt;=MAX(D237,B237+$J$18+1),S237,R237)</f>
        <v/>
      </c>
      <c r="U237" s="184">
        <f>MIN(T237,'Tax Assumptions'!$B$19)</f>
        <v/>
      </c>
      <c r="V237" s="184">
        <f>MAX(T237-U237-'Tax Assumptions'!$B$8,0)</f>
        <v/>
      </c>
      <c r="W237" s="184">
        <f>MAX(T237-U237-'Tax Assumptions'!$B$9,0)</f>
        <v/>
      </c>
      <c r="X237" s="184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/>
      </c>
      <c r="Y237" s="184">
        <f>T237-U237-X237</f>
        <v/>
      </c>
      <c r="Z237" s="184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/>
      </c>
      <c r="AA237" s="184">
        <f>Y237-Z237</f>
        <v/>
      </c>
      <c r="AB237" s="184">
        <f>MIN(MAX(AA237,0),'Tax Assumptions'!$B$20)</f>
        <v/>
      </c>
      <c r="AC237" s="184">
        <f>AA237-AB237</f>
        <v/>
      </c>
      <c r="AD237" s="184">
        <f>MAX(AD236*(1+'Model Inputs'!$B$13)+AC237,0)</f>
        <v/>
      </c>
      <c r="AE237" s="184">
        <f>MAX(AE236*(1+'Model Inputs'!$B$13)+U237+AB237,0)</f>
        <v/>
      </c>
      <c r="AF237" s="184">
        <f>AD237+AE237</f>
        <v/>
      </c>
      <c r="AG237" s="191">
        <f>IF(AND(AF237&gt;=$F$14,AF236&lt;$F$14),J237,"")</f>
        <v/>
      </c>
      <c r="AH237" s="191">
        <f>IF(AND(AF237&gt;=$F$15,AF236&lt;$F$15),J237,"")</f>
        <v/>
      </c>
      <c r="AI237" s="191">
        <f>IF(AND(AF237&gt;=$F$16,AF236&lt;$F$16),J237,"")</f>
        <v/>
      </c>
      <c r="AJ237" s="191">
        <f>IF(AND(AF237&gt;=$F$17,AF236&lt;$F$17),J237,"")</f>
        <v/>
      </c>
    </row>
    <row r="238" outlineLevel="1" ht="18" customHeight="1" s="326">
      <c r="A238" s="181">
        <f>$A$34</f>
        <v/>
      </c>
      <c r="B238" s="191">
        <f>$B$34</f>
        <v/>
      </c>
      <c r="C238" s="187">
        <f>$C$34</f>
        <v/>
      </c>
      <c r="D238" s="191">
        <f>$D$34</f>
        <v/>
      </c>
      <c r="E238" s="181">
        <f>$E$34</f>
        <v/>
      </c>
      <c r="F238" s="184">
        <f>$F$34</f>
        <v/>
      </c>
      <c r="G238" s="188">
        <f>$G$34</f>
        <v/>
      </c>
      <c r="H238" s="184">
        <f>$H$34</f>
        <v/>
      </c>
      <c r="I238" s="188">
        <f>$J$17</f>
        <v/>
      </c>
      <c r="J238" s="191" t="n">
        <v>8</v>
      </c>
      <c r="K238" s="191">
        <f>('Model Inputs'!$B$22-1)+J238</f>
        <v/>
      </c>
      <c r="L238" s="184">
        <f>IF(J238=1,'Model Inputs'!$B$25*(13-'Model Inputs'!$B$23)/12,'Model Inputs'!$B$25)</f>
        <v/>
      </c>
      <c r="M238" s="184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/>
      </c>
      <c r="N238" s="188">
        <f>IF(J238&lt;=2,0,'Model Inputs'!$B$32*SIN(2*PI()*(J238-3+'Model Inputs'!$B$34)/MAX(1,'Model Inputs'!$B$33)))</f>
        <v/>
      </c>
      <c r="O238" s="184">
        <f>M238*(1+N238)</f>
        <v/>
      </c>
      <c r="P238" s="184">
        <f>0.75*O237+0.25*O236</f>
        <v/>
      </c>
      <c r="Q238" s="184">
        <f>L238+P238+IF(J238=1,'Model Inputs'!$B$26,0)</f>
        <v/>
      </c>
      <c r="R238" s="184">
        <f>IF(J238&lt;=B238,Q238,IF(J238&lt;=B238+$J$18,L238,(SUMIFS($L$51:$L$350,$A$51:$A$350,$A238,$J$51:$J$350,$B238)+SUMIFS($O$51:$O$350,$A$51:$A$350,$A238,$J$51:$J$350,$B238))*C238))</f>
        <v/>
      </c>
      <c r="S238" s="184">
        <f>H238+F238*G238*(1+I238)^MAX(0,J238-MAX(D238,B238+$J$18+1))</f>
        <v/>
      </c>
      <c r="T238" s="184">
        <f>IF(J238&gt;=MAX(D238,B238+$J$18+1),S238,R238)</f>
        <v/>
      </c>
      <c r="U238" s="184">
        <f>MIN(T238,'Tax Assumptions'!$B$19)</f>
        <v/>
      </c>
      <c r="V238" s="184">
        <f>MAX(T238-U238-'Tax Assumptions'!$B$8,0)</f>
        <v/>
      </c>
      <c r="W238" s="184">
        <f>MAX(T238-U238-'Tax Assumptions'!$B$9,0)</f>
        <v/>
      </c>
      <c r="X238" s="184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/>
      </c>
      <c r="Y238" s="184">
        <f>T238-U238-X238</f>
        <v/>
      </c>
      <c r="Z238" s="184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/>
      </c>
      <c r="AA238" s="184">
        <f>Y238-Z238</f>
        <v/>
      </c>
      <c r="AB238" s="184">
        <f>MIN(MAX(AA238,0),'Tax Assumptions'!$B$20)</f>
        <v/>
      </c>
      <c r="AC238" s="184">
        <f>AA238-AB238</f>
        <v/>
      </c>
      <c r="AD238" s="184">
        <f>MAX(AD237*(1+'Model Inputs'!$B$13)+AC238,0)</f>
        <v/>
      </c>
      <c r="AE238" s="184">
        <f>MAX(AE237*(1+'Model Inputs'!$B$13)+U238+AB238,0)</f>
        <v/>
      </c>
      <c r="AF238" s="184">
        <f>AD238+AE238</f>
        <v/>
      </c>
      <c r="AG238" s="191">
        <f>IF(AND(AF238&gt;=$F$14,AF237&lt;$F$14),J238,"")</f>
        <v/>
      </c>
      <c r="AH238" s="191">
        <f>IF(AND(AF238&gt;=$F$15,AF237&lt;$F$15),J238,"")</f>
        <v/>
      </c>
      <c r="AI238" s="191">
        <f>IF(AND(AF238&gt;=$F$16,AF237&lt;$F$16),J238,"")</f>
        <v/>
      </c>
      <c r="AJ238" s="191">
        <f>IF(AND(AF238&gt;=$F$17,AF237&lt;$F$17),J238,"")</f>
        <v/>
      </c>
    </row>
    <row r="239" outlineLevel="1" ht="18" customHeight="1" s="326">
      <c r="A239" s="181">
        <f>$A$34</f>
        <v/>
      </c>
      <c r="B239" s="191">
        <f>$B$34</f>
        <v/>
      </c>
      <c r="C239" s="187">
        <f>$C$34</f>
        <v/>
      </c>
      <c r="D239" s="191">
        <f>$D$34</f>
        <v/>
      </c>
      <c r="E239" s="181">
        <f>$E$34</f>
        <v/>
      </c>
      <c r="F239" s="184">
        <f>$F$34</f>
        <v/>
      </c>
      <c r="G239" s="188">
        <f>$G$34</f>
        <v/>
      </c>
      <c r="H239" s="184">
        <f>$H$34</f>
        <v/>
      </c>
      <c r="I239" s="188">
        <f>$J$17</f>
        <v/>
      </c>
      <c r="J239" s="191" t="n">
        <v>9</v>
      </c>
      <c r="K239" s="191">
        <f>('Model Inputs'!$B$22-1)+J239</f>
        <v/>
      </c>
      <c r="L239" s="184">
        <f>IF(J239=1,'Model Inputs'!$B$25*(13-'Model Inputs'!$B$23)/12,'Model Inputs'!$B$25)</f>
        <v/>
      </c>
      <c r="M239" s="184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/>
      </c>
      <c r="N239" s="188">
        <f>IF(J239&lt;=2,0,'Model Inputs'!$B$32*SIN(2*PI()*(J239-3+'Model Inputs'!$B$34)/MAX(1,'Model Inputs'!$B$33)))</f>
        <v/>
      </c>
      <c r="O239" s="184">
        <f>M239*(1+N239)</f>
        <v/>
      </c>
      <c r="P239" s="184">
        <f>0.75*O238+0.25*O237</f>
        <v/>
      </c>
      <c r="Q239" s="184">
        <f>L239+P239+IF(J239=1,'Model Inputs'!$B$26,0)</f>
        <v/>
      </c>
      <c r="R239" s="184">
        <f>IF(J239&lt;=B239,Q239,IF(J239&lt;=B239+$J$18,L239,(SUMIFS($L$51:$L$350,$A$51:$A$350,$A239,$J$51:$J$350,$B239)+SUMIFS($O$51:$O$350,$A$51:$A$350,$A239,$J$51:$J$350,$B239))*C239))</f>
        <v/>
      </c>
      <c r="S239" s="184">
        <f>H239+F239*G239*(1+I239)^MAX(0,J239-MAX(D239,B239+$J$18+1))</f>
        <v/>
      </c>
      <c r="T239" s="184">
        <f>IF(J239&gt;=MAX(D239,B239+$J$18+1),S239,R239)</f>
        <v/>
      </c>
      <c r="U239" s="184">
        <f>MIN(T239,'Tax Assumptions'!$B$19)</f>
        <v/>
      </c>
      <c r="V239" s="184">
        <f>MAX(T239-U239-'Tax Assumptions'!$B$8,0)</f>
        <v/>
      </c>
      <c r="W239" s="184">
        <f>MAX(T239-U239-'Tax Assumptions'!$B$9,0)</f>
        <v/>
      </c>
      <c r="X239" s="184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/>
      </c>
      <c r="Y239" s="184">
        <f>T239-U239-X239</f>
        <v/>
      </c>
      <c r="Z239" s="184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/>
      </c>
      <c r="AA239" s="184">
        <f>Y239-Z239</f>
        <v/>
      </c>
      <c r="AB239" s="184">
        <f>MIN(MAX(AA239,0),'Tax Assumptions'!$B$20)</f>
        <v/>
      </c>
      <c r="AC239" s="184">
        <f>AA239-AB239</f>
        <v/>
      </c>
      <c r="AD239" s="184">
        <f>MAX(AD238*(1+'Model Inputs'!$B$13)+AC239,0)</f>
        <v/>
      </c>
      <c r="AE239" s="184">
        <f>MAX(AE238*(1+'Model Inputs'!$B$13)+U239+AB239,0)</f>
        <v/>
      </c>
      <c r="AF239" s="184">
        <f>AD239+AE239</f>
        <v/>
      </c>
      <c r="AG239" s="191">
        <f>IF(AND(AF239&gt;=$F$14,AF238&lt;$F$14),J239,"")</f>
        <v/>
      </c>
      <c r="AH239" s="191">
        <f>IF(AND(AF239&gt;=$F$15,AF238&lt;$F$15),J239,"")</f>
        <v/>
      </c>
      <c r="AI239" s="191">
        <f>IF(AND(AF239&gt;=$F$16,AF238&lt;$F$16),J239,"")</f>
        <v/>
      </c>
      <c r="AJ239" s="191">
        <f>IF(AND(AF239&gt;=$F$17,AF238&lt;$F$17),J239,"")</f>
        <v/>
      </c>
    </row>
    <row r="240" outlineLevel="1" ht="18" customHeight="1" s="326">
      <c r="A240" s="181">
        <f>$A$34</f>
        <v/>
      </c>
      <c r="B240" s="191">
        <f>$B$34</f>
        <v/>
      </c>
      <c r="C240" s="187">
        <f>$C$34</f>
        <v/>
      </c>
      <c r="D240" s="191">
        <f>$D$34</f>
        <v/>
      </c>
      <c r="E240" s="181">
        <f>$E$34</f>
        <v/>
      </c>
      <c r="F240" s="184">
        <f>$F$34</f>
        <v/>
      </c>
      <c r="G240" s="188">
        <f>$G$34</f>
        <v/>
      </c>
      <c r="H240" s="184">
        <f>$H$34</f>
        <v/>
      </c>
      <c r="I240" s="188">
        <f>$J$17</f>
        <v/>
      </c>
      <c r="J240" s="191" t="n">
        <v>10</v>
      </c>
      <c r="K240" s="191">
        <f>('Model Inputs'!$B$22-1)+J240</f>
        <v/>
      </c>
      <c r="L240" s="184">
        <f>IF(J240=1,'Model Inputs'!$B$25*(13-'Model Inputs'!$B$23)/12,'Model Inputs'!$B$25)</f>
        <v/>
      </c>
      <c r="M240" s="184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/>
      </c>
      <c r="N240" s="188">
        <f>IF(J240&lt;=2,0,'Model Inputs'!$B$32*SIN(2*PI()*(J240-3+'Model Inputs'!$B$34)/MAX(1,'Model Inputs'!$B$33)))</f>
        <v/>
      </c>
      <c r="O240" s="184">
        <f>M240*(1+N240)</f>
        <v/>
      </c>
      <c r="P240" s="184">
        <f>0.75*O239+0.25*O238</f>
        <v/>
      </c>
      <c r="Q240" s="184">
        <f>L240+P240+IF(J240=1,'Model Inputs'!$B$26,0)</f>
        <v/>
      </c>
      <c r="R240" s="184">
        <f>IF(J240&lt;=B240,Q240,IF(J240&lt;=B240+$J$18,L240,(SUMIFS($L$51:$L$350,$A$51:$A$350,$A240,$J$51:$J$350,$B240)+SUMIFS($O$51:$O$350,$A$51:$A$350,$A240,$J$51:$J$350,$B240))*C240))</f>
        <v/>
      </c>
      <c r="S240" s="184">
        <f>H240+F240*G240*(1+I240)^MAX(0,J240-MAX(D240,B240+$J$18+1))</f>
        <v/>
      </c>
      <c r="T240" s="184">
        <f>IF(J240&gt;=MAX(D240,B240+$J$18+1),S240,R240)</f>
        <v/>
      </c>
      <c r="U240" s="184">
        <f>MIN(T240,'Tax Assumptions'!$B$19)</f>
        <v/>
      </c>
      <c r="V240" s="184">
        <f>MAX(T240-U240-'Tax Assumptions'!$B$8,0)</f>
        <v/>
      </c>
      <c r="W240" s="184">
        <f>MAX(T240-U240-'Tax Assumptions'!$B$9,0)</f>
        <v/>
      </c>
      <c r="X240" s="184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/>
      </c>
      <c r="Y240" s="184">
        <f>T240-U240-X240</f>
        <v/>
      </c>
      <c r="Z240" s="184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/>
      </c>
      <c r="AA240" s="184">
        <f>Y240-Z240</f>
        <v/>
      </c>
      <c r="AB240" s="184">
        <f>MIN(MAX(AA240,0),'Tax Assumptions'!$B$20)</f>
        <v/>
      </c>
      <c r="AC240" s="184">
        <f>AA240-AB240</f>
        <v/>
      </c>
      <c r="AD240" s="184">
        <f>MAX(AD239*(1+'Model Inputs'!$B$13)+AC240,0)</f>
        <v/>
      </c>
      <c r="AE240" s="184">
        <f>MAX(AE239*(1+'Model Inputs'!$B$13)+U240+AB240,0)</f>
        <v/>
      </c>
      <c r="AF240" s="184">
        <f>AD240+AE240</f>
        <v/>
      </c>
      <c r="AG240" s="191">
        <f>IF(AND(AF240&gt;=$F$14,AF239&lt;$F$14),J240,"")</f>
        <v/>
      </c>
      <c r="AH240" s="191">
        <f>IF(AND(AF240&gt;=$F$15,AF239&lt;$F$15),J240,"")</f>
        <v/>
      </c>
      <c r="AI240" s="191">
        <f>IF(AND(AF240&gt;=$F$16,AF239&lt;$F$16),J240,"")</f>
        <v/>
      </c>
      <c r="AJ240" s="191">
        <f>IF(AND(AF240&gt;=$F$17,AF239&lt;$F$17),J240,"")</f>
        <v/>
      </c>
    </row>
    <row r="241" outlineLevel="1" ht="18" customHeight="1" s="326">
      <c r="A241" s="181">
        <f>$A$34</f>
        <v/>
      </c>
      <c r="B241" s="191">
        <f>$B$34</f>
        <v/>
      </c>
      <c r="C241" s="187">
        <f>$C$34</f>
        <v/>
      </c>
      <c r="D241" s="191">
        <f>$D$34</f>
        <v/>
      </c>
      <c r="E241" s="181">
        <f>$E$34</f>
        <v/>
      </c>
      <c r="F241" s="184">
        <f>$F$34</f>
        <v/>
      </c>
      <c r="G241" s="188">
        <f>$G$34</f>
        <v/>
      </c>
      <c r="H241" s="184">
        <f>$H$34</f>
        <v/>
      </c>
      <c r="I241" s="188">
        <f>$J$17</f>
        <v/>
      </c>
      <c r="J241" s="191" t="n">
        <v>11</v>
      </c>
      <c r="K241" s="191">
        <f>('Model Inputs'!$B$22-1)+J241</f>
        <v/>
      </c>
      <c r="L241" s="184">
        <f>IF(J241=1,'Model Inputs'!$B$25*(13-'Model Inputs'!$B$23)/12,'Model Inputs'!$B$25)</f>
        <v/>
      </c>
      <c r="M241" s="184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/>
      </c>
      <c r="N241" s="188">
        <f>IF(J241&lt;=2,0,'Model Inputs'!$B$32*SIN(2*PI()*(J241-3+'Model Inputs'!$B$34)/MAX(1,'Model Inputs'!$B$33)))</f>
        <v/>
      </c>
      <c r="O241" s="184">
        <f>M241*(1+N241)</f>
        <v/>
      </c>
      <c r="P241" s="184">
        <f>0.75*O240+0.25*O239</f>
        <v/>
      </c>
      <c r="Q241" s="184">
        <f>L241+P241+IF(J241=1,'Model Inputs'!$B$26,0)</f>
        <v/>
      </c>
      <c r="R241" s="184">
        <f>IF(J241&lt;=B241,Q241,IF(J241&lt;=B241+$J$18,L241,(SUMIFS($L$51:$L$350,$A$51:$A$350,$A241,$J$51:$J$350,$B241)+SUMIFS($O$51:$O$350,$A$51:$A$350,$A241,$J$51:$J$350,$B241))*C241))</f>
        <v/>
      </c>
      <c r="S241" s="184">
        <f>H241+F241*G241*(1+I241)^MAX(0,J241-MAX(D241,B241+$J$18+1))</f>
        <v/>
      </c>
      <c r="T241" s="184">
        <f>IF(J241&gt;=MAX(D241,B241+$J$18+1),S241,R241)</f>
        <v/>
      </c>
      <c r="U241" s="184">
        <f>MIN(T241,'Tax Assumptions'!$B$19)</f>
        <v/>
      </c>
      <c r="V241" s="184">
        <f>MAX(T241-U241-'Tax Assumptions'!$B$8,0)</f>
        <v/>
      </c>
      <c r="W241" s="184">
        <f>MAX(T241-U241-'Tax Assumptions'!$B$9,0)</f>
        <v/>
      </c>
      <c r="X241" s="184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/>
      </c>
      <c r="Y241" s="184">
        <f>T241-U241-X241</f>
        <v/>
      </c>
      <c r="Z241" s="184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/>
      </c>
      <c r="AA241" s="184">
        <f>Y241-Z241</f>
        <v/>
      </c>
      <c r="AB241" s="184">
        <f>MIN(MAX(AA241,0),'Tax Assumptions'!$B$20)</f>
        <v/>
      </c>
      <c r="AC241" s="184">
        <f>AA241-AB241</f>
        <v/>
      </c>
      <c r="AD241" s="184">
        <f>MAX(AD240*(1+'Model Inputs'!$B$13)+AC241,0)</f>
        <v/>
      </c>
      <c r="AE241" s="184">
        <f>MAX(AE240*(1+'Model Inputs'!$B$13)+U241+AB241,0)</f>
        <v/>
      </c>
      <c r="AF241" s="184">
        <f>AD241+AE241</f>
        <v/>
      </c>
      <c r="AG241" s="191">
        <f>IF(AND(AF241&gt;=$F$14,AF240&lt;$F$14),J241,"")</f>
        <v/>
      </c>
      <c r="AH241" s="191">
        <f>IF(AND(AF241&gt;=$F$15,AF240&lt;$F$15),J241,"")</f>
        <v/>
      </c>
      <c r="AI241" s="191">
        <f>IF(AND(AF241&gt;=$F$16,AF240&lt;$F$16),J241,"")</f>
        <v/>
      </c>
      <c r="AJ241" s="191">
        <f>IF(AND(AF241&gt;=$F$17,AF240&lt;$F$17),J241,"")</f>
        <v/>
      </c>
    </row>
    <row r="242" outlineLevel="1" ht="18" customHeight="1" s="326">
      <c r="A242" s="181">
        <f>$A$34</f>
        <v/>
      </c>
      <c r="B242" s="191">
        <f>$B$34</f>
        <v/>
      </c>
      <c r="C242" s="187">
        <f>$C$34</f>
        <v/>
      </c>
      <c r="D242" s="191">
        <f>$D$34</f>
        <v/>
      </c>
      <c r="E242" s="181">
        <f>$E$34</f>
        <v/>
      </c>
      <c r="F242" s="184">
        <f>$F$34</f>
        <v/>
      </c>
      <c r="G242" s="188">
        <f>$G$34</f>
        <v/>
      </c>
      <c r="H242" s="184">
        <f>$H$34</f>
        <v/>
      </c>
      <c r="I242" s="188">
        <f>$J$17</f>
        <v/>
      </c>
      <c r="J242" s="191" t="n">
        <v>12</v>
      </c>
      <c r="K242" s="191">
        <f>('Model Inputs'!$B$22-1)+J242</f>
        <v/>
      </c>
      <c r="L242" s="184">
        <f>IF(J242=1,'Model Inputs'!$B$25*(13-'Model Inputs'!$B$23)/12,'Model Inputs'!$B$25)</f>
        <v/>
      </c>
      <c r="M242" s="184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/>
      </c>
      <c r="N242" s="188">
        <f>IF(J242&lt;=2,0,'Model Inputs'!$B$32*SIN(2*PI()*(J242-3+'Model Inputs'!$B$34)/MAX(1,'Model Inputs'!$B$33)))</f>
        <v/>
      </c>
      <c r="O242" s="184">
        <f>M242*(1+N242)</f>
        <v/>
      </c>
      <c r="P242" s="184">
        <f>0.75*O241+0.25*O240</f>
        <v/>
      </c>
      <c r="Q242" s="184">
        <f>L242+P242+IF(J242=1,'Model Inputs'!$B$26,0)</f>
        <v/>
      </c>
      <c r="R242" s="184">
        <f>IF(J242&lt;=B242,Q242,IF(J242&lt;=B242+$J$18,L242,(SUMIFS($L$51:$L$350,$A$51:$A$350,$A242,$J$51:$J$350,$B242)+SUMIFS($O$51:$O$350,$A$51:$A$350,$A242,$J$51:$J$350,$B242))*C242))</f>
        <v/>
      </c>
      <c r="S242" s="184">
        <f>H242+F242*G242*(1+I242)^MAX(0,J242-MAX(D242,B242+$J$18+1))</f>
        <v/>
      </c>
      <c r="T242" s="184">
        <f>IF(J242&gt;=MAX(D242,B242+$J$18+1),S242,R242)</f>
        <v/>
      </c>
      <c r="U242" s="184">
        <f>MIN(T242,'Tax Assumptions'!$B$19)</f>
        <v/>
      </c>
      <c r="V242" s="184">
        <f>MAX(T242-U242-'Tax Assumptions'!$B$8,0)</f>
        <v/>
      </c>
      <c r="W242" s="184">
        <f>MAX(T242-U242-'Tax Assumptions'!$B$9,0)</f>
        <v/>
      </c>
      <c r="X242" s="184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/>
      </c>
      <c r="Y242" s="184">
        <f>T242-U242-X242</f>
        <v/>
      </c>
      <c r="Z242" s="184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/>
      </c>
      <c r="AA242" s="184">
        <f>Y242-Z242</f>
        <v/>
      </c>
      <c r="AB242" s="184">
        <f>MIN(MAX(AA242,0),'Tax Assumptions'!$B$20)</f>
        <v/>
      </c>
      <c r="AC242" s="184">
        <f>AA242-AB242</f>
        <v/>
      </c>
      <c r="AD242" s="184">
        <f>MAX(AD241*(1+'Model Inputs'!$B$13)+AC242,0)</f>
        <v/>
      </c>
      <c r="AE242" s="184">
        <f>MAX(AE241*(1+'Model Inputs'!$B$13)+U242+AB242,0)</f>
        <v/>
      </c>
      <c r="AF242" s="184">
        <f>AD242+AE242</f>
        <v/>
      </c>
      <c r="AG242" s="191">
        <f>IF(AND(AF242&gt;=$F$14,AF241&lt;$F$14),J242,"")</f>
        <v/>
      </c>
      <c r="AH242" s="191">
        <f>IF(AND(AF242&gt;=$F$15,AF241&lt;$F$15),J242,"")</f>
        <v/>
      </c>
      <c r="AI242" s="191">
        <f>IF(AND(AF242&gt;=$F$16,AF241&lt;$F$16),J242,"")</f>
        <v/>
      </c>
      <c r="AJ242" s="191">
        <f>IF(AND(AF242&gt;=$F$17,AF241&lt;$F$17),J242,"")</f>
        <v/>
      </c>
    </row>
    <row r="243" outlineLevel="1" ht="18" customHeight="1" s="326">
      <c r="A243" s="181">
        <f>$A$34</f>
        <v/>
      </c>
      <c r="B243" s="191">
        <f>$B$34</f>
        <v/>
      </c>
      <c r="C243" s="187">
        <f>$C$34</f>
        <v/>
      </c>
      <c r="D243" s="191">
        <f>$D$34</f>
        <v/>
      </c>
      <c r="E243" s="181">
        <f>$E$34</f>
        <v/>
      </c>
      <c r="F243" s="184">
        <f>$F$34</f>
        <v/>
      </c>
      <c r="G243" s="188">
        <f>$G$34</f>
        <v/>
      </c>
      <c r="H243" s="184">
        <f>$H$34</f>
        <v/>
      </c>
      <c r="I243" s="188">
        <f>$J$17</f>
        <v/>
      </c>
      <c r="J243" s="191" t="n">
        <v>13</v>
      </c>
      <c r="K243" s="191">
        <f>('Model Inputs'!$B$22-1)+J243</f>
        <v/>
      </c>
      <c r="L243" s="184">
        <f>IF(J243=1,'Model Inputs'!$B$25*(13-'Model Inputs'!$B$23)/12,'Model Inputs'!$B$25)</f>
        <v/>
      </c>
      <c r="M243" s="184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/>
      </c>
      <c r="N243" s="188">
        <f>IF(J243&lt;=2,0,'Model Inputs'!$B$32*SIN(2*PI()*(J243-3+'Model Inputs'!$B$34)/MAX(1,'Model Inputs'!$B$33)))</f>
        <v/>
      </c>
      <c r="O243" s="184">
        <f>M243*(1+N243)</f>
        <v/>
      </c>
      <c r="P243" s="184">
        <f>0.75*O242+0.25*O241</f>
        <v/>
      </c>
      <c r="Q243" s="184">
        <f>L243+P243+IF(J243=1,'Model Inputs'!$B$26,0)</f>
        <v/>
      </c>
      <c r="R243" s="184">
        <f>IF(J243&lt;=B243,Q243,IF(J243&lt;=B243+$J$18,L243,(SUMIFS($L$51:$L$350,$A$51:$A$350,$A243,$J$51:$J$350,$B243)+SUMIFS($O$51:$O$350,$A$51:$A$350,$A243,$J$51:$J$350,$B243))*C243))</f>
        <v/>
      </c>
      <c r="S243" s="184">
        <f>H243+F243*G243*(1+I243)^MAX(0,J243-MAX(D243,B243+$J$18+1))</f>
        <v/>
      </c>
      <c r="T243" s="184">
        <f>IF(J243&gt;=MAX(D243,B243+$J$18+1),S243,R243)</f>
        <v/>
      </c>
      <c r="U243" s="184">
        <f>MIN(T243,'Tax Assumptions'!$B$19)</f>
        <v/>
      </c>
      <c r="V243" s="184">
        <f>MAX(T243-U243-'Tax Assumptions'!$B$8,0)</f>
        <v/>
      </c>
      <c r="W243" s="184">
        <f>MAX(T243-U243-'Tax Assumptions'!$B$9,0)</f>
        <v/>
      </c>
      <c r="X243" s="184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/>
      </c>
      <c r="Y243" s="184">
        <f>T243-U243-X243</f>
        <v/>
      </c>
      <c r="Z243" s="184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/>
      </c>
      <c r="AA243" s="184">
        <f>Y243-Z243</f>
        <v/>
      </c>
      <c r="AB243" s="184">
        <f>MIN(MAX(AA243,0),'Tax Assumptions'!$B$20)</f>
        <v/>
      </c>
      <c r="AC243" s="184">
        <f>AA243-AB243</f>
        <v/>
      </c>
      <c r="AD243" s="184">
        <f>MAX(AD242*(1+'Model Inputs'!$B$13)+AC243,0)</f>
        <v/>
      </c>
      <c r="AE243" s="184">
        <f>MAX(AE242*(1+'Model Inputs'!$B$13)+U243+AB243,0)</f>
        <v/>
      </c>
      <c r="AF243" s="184">
        <f>AD243+AE243</f>
        <v/>
      </c>
      <c r="AG243" s="191">
        <f>IF(AND(AF243&gt;=$F$14,AF242&lt;$F$14),J243,"")</f>
        <v/>
      </c>
      <c r="AH243" s="191">
        <f>IF(AND(AF243&gt;=$F$15,AF242&lt;$F$15),J243,"")</f>
        <v/>
      </c>
      <c r="AI243" s="191">
        <f>IF(AND(AF243&gt;=$F$16,AF242&lt;$F$16),J243,"")</f>
        <v/>
      </c>
      <c r="AJ243" s="191">
        <f>IF(AND(AF243&gt;=$F$17,AF242&lt;$F$17),J243,"")</f>
        <v/>
      </c>
    </row>
    <row r="244" outlineLevel="1" ht="18" customHeight="1" s="326">
      <c r="A244" s="181">
        <f>$A$34</f>
        <v/>
      </c>
      <c r="B244" s="191">
        <f>$B$34</f>
        <v/>
      </c>
      <c r="C244" s="187">
        <f>$C$34</f>
        <v/>
      </c>
      <c r="D244" s="191">
        <f>$D$34</f>
        <v/>
      </c>
      <c r="E244" s="181">
        <f>$E$34</f>
        <v/>
      </c>
      <c r="F244" s="184">
        <f>$F$34</f>
        <v/>
      </c>
      <c r="G244" s="188">
        <f>$G$34</f>
        <v/>
      </c>
      <c r="H244" s="184">
        <f>$H$34</f>
        <v/>
      </c>
      <c r="I244" s="188">
        <f>$J$17</f>
        <v/>
      </c>
      <c r="J244" s="191" t="n">
        <v>14</v>
      </c>
      <c r="K244" s="191">
        <f>('Model Inputs'!$B$22-1)+J244</f>
        <v/>
      </c>
      <c r="L244" s="184">
        <f>IF(J244=1,'Model Inputs'!$B$25*(13-'Model Inputs'!$B$23)/12,'Model Inputs'!$B$25)</f>
        <v/>
      </c>
      <c r="M244" s="184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/>
      </c>
      <c r="N244" s="188">
        <f>IF(J244&lt;=2,0,'Model Inputs'!$B$32*SIN(2*PI()*(J244-3+'Model Inputs'!$B$34)/MAX(1,'Model Inputs'!$B$33)))</f>
        <v/>
      </c>
      <c r="O244" s="184">
        <f>M244*(1+N244)</f>
        <v/>
      </c>
      <c r="P244" s="184">
        <f>0.75*O243+0.25*O242</f>
        <v/>
      </c>
      <c r="Q244" s="184">
        <f>L244+P244+IF(J244=1,'Model Inputs'!$B$26,0)</f>
        <v/>
      </c>
      <c r="R244" s="184">
        <f>IF(J244&lt;=B244,Q244,IF(J244&lt;=B244+$J$18,L244,(SUMIFS($L$51:$L$350,$A$51:$A$350,$A244,$J$51:$J$350,$B244)+SUMIFS($O$51:$O$350,$A$51:$A$350,$A244,$J$51:$J$350,$B244))*C244))</f>
        <v/>
      </c>
      <c r="S244" s="184">
        <f>H244+F244*G244*(1+I244)^MAX(0,J244-MAX(D244,B244+$J$18+1))</f>
        <v/>
      </c>
      <c r="T244" s="184">
        <f>IF(J244&gt;=MAX(D244,B244+$J$18+1),S244,R244)</f>
        <v/>
      </c>
      <c r="U244" s="184">
        <f>MIN(T244,'Tax Assumptions'!$B$19)</f>
        <v/>
      </c>
      <c r="V244" s="184">
        <f>MAX(T244-U244-'Tax Assumptions'!$B$8,0)</f>
        <v/>
      </c>
      <c r="W244" s="184">
        <f>MAX(T244-U244-'Tax Assumptions'!$B$9,0)</f>
        <v/>
      </c>
      <c r="X244" s="184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/>
      </c>
      <c r="Y244" s="184">
        <f>T244-U244-X244</f>
        <v/>
      </c>
      <c r="Z244" s="184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/>
      </c>
      <c r="AA244" s="184">
        <f>Y244-Z244</f>
        <v/>
      </c>
      <c r="AB244" s="184">
        <f>MIN(MAX(AA244,0),'Tax Assumptions'!$B$20)</f>
        <v/>
      </c>
      <c r="AC244" s="184">
        <f>AA244-AB244</f>
        <v/>
      </c>
      <c r="AD244" s="184">
        <f>MAX(AD243*(1+'Model Inputs'!$B$13)+AC244,0)</f>
        <v/>
      </c>
      <c r="AE244" s="184">
        <f>MAX(AE243*(1+'Model Inputs'!$B$13)+U244+AB244,0)</f>
        <v/>
      </c>
      <c r="AF244" s="184">
        <f>AD244+AE244</f>
        <v/>
      </c>
      <c r="AG244" s="191">
        <f>IF(AND(AF244&gt;=$F$14,AF243&lt;$F$14),J244,"")</f>
        <v/>
      </c>
      <c r="AH244" s="191">
        <f>IF(AND(AF244&gt;=$F$15,AF243&lt;$F$15),J244,"")</f>
        <v/>
      </c>
      <c r="AI244" s="191">
        <f>IF(AND(AF244&gt;=$F$16,AF243&lt;$F$16),J244,"")</f>
        <v/>
      </c>
      <c r="AJ244" s="191">
        <f>IF(AND(AF244&gt;=$F$17,AF243&lt;$F$17),J244,"")</f>
        <v/>
      </c>
    </row>
    <row r="245" outlineLevel="1" ht="18" customHeight="1" s="326">
      <c r="A245" s="181">
        <f>$A$34</f>
        <v/>
      </c>
      <c r="B245" s="191">
        <f>$B$34</f>
        <v/>
      </c>
      <c r="C245" s="187">
        <f>$C$34</f>
        <v/>
      </c>
      <c r="D245" s="191">
        <f>$D$34</f>
        <v/>
      </c>
      <c r="E245" s="181">
        <f>$E$34</f>
        <v/>
      </c>
      <c r="F245" s="184">
        <f>$F$34</f>
        <v/>
      </c>
      <c r="G245" s="188">
        <f>$G$34</f>
        <v/>
      </c>
      <c r="H245" s="184">
        <f>$H$34</f>
        <v/>
      </c>
      <c r="I245" s="188">
        <f>$J$17</f>
        <v/>
      </c>
      <c r="J245" s="191" t="n">
        <v>15</v>
      </c>
      <c r="K245" s="191">
        <f>('Model Inputs'!$B$22-1)+J245</f>
        <v/>
      </c>
      <c r="L245" s="184">
        <f>IF(J245=1,'Model Inputs'!$B$25*(13-'Model Inputs'!$B$23)/12,'Model Inputs'!$B$25)</f>
        <v/>
      </c>
      <c r="M245" s="184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/>
      </c>
      <c r="N245" s="188">
        <f>IF(J245&lt;=2,0,'Model Inputs'!$B$32*SIN(2*PI()*(J245-3+'Model Inputs'!$B$34)/MAX(1,'Model Inputs'!$B$33)))</f>
        <v/>
      </c>
      <c r="O245" s="184">
        <f>M245*(1+N245)</f>
        <v/>
      </c>
      <c r="P245" s="184">
        <f>0.75*O244+0.25*O243</f>
        <v/>
      </c>
      <c r="Q245" s="184">
        <f>L245+P245+IF(J245=1,'Model Inputs'!$B$26,0)</f>
        <v/>
      </c>
      <c r="R245" s="184">
        <f>IF(J245&lt;=B245,Q245,IF(J245&lt;=B245+$J$18,L245,(SUMIFS($L$51:$L$350,$A$51:$A$350,$A245,$J$51:$J$350,$B245)+SUMIFS($O$51:$O$350,$A$51:$A$350,$A245,$J$51:$J$350,$B245))*C245))</f>
        <v/>
      </c>
      <c r="S245" s="184">
        <f>H245+F245*G245*(1+I245)^MAX(0,J245-MAX(D245,B245+$J$18+1))</f>
        <v/>
      </c>
      <c r="T245" s="184">
        <f>IF(J245&gt;=MAX(D245,B245+$J$18+1),S245,R245)</f>
        <v/>
      </c>
      <c r="U245" s="184">
        <f>MIN(T245,'Tax Assumptions'!$B$19)</f>
        <v/>
      </c>
      <c r="V245" s="184">
        <f>MAX(T245-U245-'Tax Assumptions'!$B$8,0)</f>
        <v/>
      </c>
      <c r="W245" s="184">
        <f>MAX(T245-U245-'Tax Assumptions'!$B$9,0)</f>
        <v/>
      </c>
      <c r="X245" s="184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/>
      </c>
      <c r="Y245" s="184">
        <f>T245-U245-X245</f>
        <v/>
      </c>
      <c r="Z245" s="184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/>
      </c>
      <c r="AA245" s="184">
        <f>Y245-Z245</f>
        <v/>
      </c>
      <c r="AB245" s="184">
        <f>MIN(MAX(AA245,0),'Tax Assumptions'!$B$20)</f>
        <v/>
      </c>
      <c r="AC245" s="184">
        <f>AA245-AB245</f>
        <v/>
      </c>
      <c r="AD245" s="184">
        <f>MAX(AD244*(1+'Model Inputs'!$B$13)+AC245,0)</f>
        <v/>
      </c>
      <c r="AE245" s="184">
        <f>MAX(AE244*(1+'Model Inputs'!$B$13)+U245+AB245,0)</f>
        <v/>
      </c>
      <c r="AF245" s="184">
        <f>AD245+AE245</f>
        <v/>
      </c>
      <c r="AG245" s="191">
        <f>IF(AND(AF245&gt;=$F$14,AF244&lt;$F$14),J245,"")</f>
        <v/>
      </c>
      <c r="AH245" s="191">
        <f>IF(AND(AF245&gt;=$F$15,AF244&lt;$F$15),J245,"")</f>
        <v/>
      </c>
      <c r="AI245" s="191">
        <f>IF(AND(AF245&gt;=$F$16,AF244&lt;$F$16),J245,"")</f>
        <v/>
      </c>
      <c r="AJ245" s="191">
        <f>IF(AND(AF245&gt;=$F$17,AF244&lt;$F$17),J245,"")</f>
        <v/>
      </c>
    </row>
    <row r="246" outlineLevel="1" ht="18" customHeight="1" s="326">
      <c r="A246" s="181">
        <f>$A$35</f>
        <v/>
      </c>
      <c r="B246" s="191">
        <f>$B$35</f>
        <v/>
      </c>
      <c r="C246" s="187">
        <f>$C$35</f>
        <v/>
      </c>
      <c r="D246" s="191">
        <f>$D$35</f>
        <v/>
      </c>
      <c r="E246" s="181">
        <f>$E$35</f>
        <v/>
      </c>
      <c r="F246" s="184">
        <f>$F$35</f>
        <v/>
      </c>
      <c r="G246" s="188">
        <f>$G$35</f>
        <v/>
      </c>
      <c r="H246" s="184">
        <f>$H$35</f>
        <v/>
      </c>
      <c r="I246" s="188">
        <f>$J$17</f>
        <v/>
      </c>
      <c r="J246" s="191" t="n">
        <v>1</v>
      </c>
      <c r="K246" s="191">
        <f>('Model Inputs'!$B$22-1)+J246</f>
        <v/>
      </c>
      <c r="L246" s="184">
        <f>IF(J246=1,'Model Inputs'!$B$25*(13-'Model Inputs'!$B$23)/12,'Model Inputs'!$B$25)</f>
        <v/>
      </c>
      <c r="M246" s="184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/>
      </c>
      <c r="N246" s="188">
        <f>IF(J246&lt;=2,0,'Model Inputs'!$B$32*SIN(2*PI()*(J246-3+'Model Inputs'!$B$34)/MAX(1,'Model Inputs'!$B$33)))</f>
        <v/>
      </c>
      <c r="O246" s="184">
        <f>M246*(1+N246)</f>
        <v/>
      </c>
      <c r="P246" s="184">
        <f>0</f>
        <v/>
      </c>
      <c r="Q246" s="184">
        <f>L246+P246+IF(J246=1,'Model Inputs'!$B$26,0)</f>
        <v/>
      </c>
      <c r="R246" s="184">
        <f>IF(J246&lt;=B246,Q246,IF(J246&lt;=B246+$J$18,L246,(SUMIFS($L$51:$L$350,$A$51:$A$350,$A246,$J$51:$J$350,$B246)+SUMIFS($O$51:$O$350,$A$51:$A$350,$A246,$J$51:$J$350,$B246))*C246))</f>
        <v/>
      </c>
      <c r="S246" s="184">
        <f>H246+F246*G246*(1+I246)^MAX(0,J246-MAX(D246,B246+$J$18+1))</f>
        <v/>
      </c>
      <c r="T246" s="184">
        <f>IF(J246&gt;=MAX(D246,B246+$J$18+1),S246,R246)</f>
        <v/>
      </c>
      <c r="U246" s="184">
        <f>MIN(T246,'Tax Assumptions'!$B$19)</f>
        <v/>
      </c>
      <c r="V246" s="184">
        <f>MAX(T246-U246-'Tax Assumptions'!$B$8,0)</f>
        <v/>
      </c>
      <c r="W246" s="184">
        <f>MAX(T246-U246-'Tax Assumptions'!$B$9,0)</f>
        <v/>
      </c>
      <c r="X246" s="184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/>
      </c>
      <c r="Y246" s="184">
        <f>T246-U246-X246</f>
        <v/>
      </c>
      <c r="Z246" s="184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/>
      </c>
      <c r="AA246" s="184">
        <f>Y246-Z246</f>
        <v/>
      </c>
      <c r="AB246" s="184">
        <f>MIN(MAX(AA246,0),'Tax Assumptions'!$B$20)</f>
        <v/>
      </c>
      <c r="AC246" s="184">
        <f>AA246-AB246</f>
        <v/>
      </c>
      <c r="AD246" s="184">
        <f>MAX('Model Inputs'!$B$7*(1+'Model Inputs'!$B$13)+AC246,0)</f>
        <v/>
      </c>
      <c r="AE246" s="184">
        <f>MAX(('Model Inputs'!$B$8+'Model Inputs'!$B$9+'Model Inputs'!$B$10)*(1+'Model Inputs'!$B$13)+U246+AB246,0)</f>
        <v/>
      </c>
      <c r="AF246" s="184">
        <f>AD246+AE246</f>
        <v/>
      </c>
      <c r="AG246" s="191">
        <f>IF(AND(AF246&gt;=$F$14,0&lt;$F$14),J246,"")</f>
        <v/>
      </c>
      <c r="AH246" s="191">
        <f>IF(AND(AF246&gt;=$F$15,0&lt;$F$15),J246,"")</f>
        <v/>
      </c>
      <c r="AI246" s="191">
        <f>IF(AND(AF246&gt;=$F$16,0&lt;$F$16),J246,"")</f>
        <v/>
      </c>
      <c r="AJ246" s="191">
        <f>IF(AND(AF246&gt;=$F$17,0&lt;$F$17),J246,"")</f>
        <v/>
      </c>
    </row>
    <row r="247" outlineLevel="1" ht="18" customHeight="1" s="326">
      <c r="A247" s="181">
        <f>$A$35</f>
        <v/>
      </c>
      <c r="B247" s="191">
        <f>$B$35</f>
        <v/>
      </c>
      <c r="C247" s="187">
        <f>$C$35</f>
        <v/>
      </c>
      <c r="D247" s="191">
        <f>$D$35</f>
        <v/>
      </c>
      <c r="E247" s="181">
        <f>$E$35</f>
        <v/>
      </c>
      <c r="F247" s="184">
        <f>$F$35</f>
        <v/>
      </c>
      <c r="G247" s="188">
        <f>$G$35</f>
        <v/>
      </c>
      <c r="H247" s="184">
        <f>$H$35</f>
        <v/>
      </c>
      <c r="I247" s="188">
        <f>$J$17</f>
        <v/>
      </c>
      <c r="J247" s="191" t="n">
        <v>2</v>
      </c>
      <c r="K247" s="191">
        <f>('Model Inputs'!$B$22-1)+J247</f>
        <v/>
      </c>
      <c r="L247" s="184">
        <f>IF(J247=1,'Model Inputs'!$B$25*(13-'Model Inputs'!$B$23)/12,'Model Inputs'!$B$25)</f>
        <v/>
      </c>
      <c r="M247" s="184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/>
      </c>
      <c r="N247" s="188">
        <f>IF(J247&lt;=2,0,'Model Inputs'!$B$32*SIN(2*PI()*(J247-3+'Model Inputs'!$B$34)/MAX(1,'Model Inputs'!$B$33)))</f>
        <v/>
      </c>
      <c r="O247" s="184">
        <f>M247*(1+N247)</f>
        <v/>
      </c>
      <c r="P247" s="184">
        <f>0.75*O246</f>
        <v/>
      </c>
      <c r="Q247" s="184">
        <f>L247+P247+IF(J247=1,'Model Inputs'!$B$26,0)</f>
        <v/>
      </c>
      <c r="R247" s="184">
        <f>IF(J247&lt;=B247,Q247,IF(J247&lt;=B247+$J$18,L247,(SUMIFS($L$51:$L$350,$A$51:$A$350,$A247,$J$51:$J$350,$B247)+SUMIFS($O$51:$O$350,$A$51:$A$350,$A247,$J$51:$J$350,$B247))*C247))</f>
        <v/>
      </c>
      <c r="S247" s="184">
        <f>H247+F247*G247*(1+I247)^MAX(0,J247-MAX(D247,B247+$J$18+1))</f>
        <v/>
      </c>
      <c r="T247" s="184">
        <f>IF(J247&gt;=MAX(D247,B247+$J$18+1),S247,R247)</f>
        <v/>
      </c>
      <c r="U247" s="184">
        <f>MIN(T247,'Tax Assumptions'!$B$19)</f>
        <v/>
      </c>
      <c r="V247" s="184">
        <f>MAX(T247-U247-'Tax Assumptions'!$B$8,0)</f>
        <v/>
      </c>
      <c r="W247" s="184">
        <f>MAX(T247-U247-'Tax Assumptions'!$B$9,0)</f>
        <v/>
      </c>
      <c r="X247" s="184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/>
      </c>
      <c r="Y247" s="184">
        <f>T247-U247-X247</f>
        <v/>
      </c>
      <c r="Z247" s="184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/>
      </c>
      <c r="AA247" s="184">
        <f>Y247-Z247</f>
        <v/>
      </c>
      <c r="AB247" s="184">
        <f>MIN(MAX(AA247,0),'Tax Assumptions'!$B$20)</f>
        <v/>
      </c>
      <c r="AC247" s="184">
        <f>AA247-AB247</f>
        <v/>
      </c>
      <c r="AD247" s="184">
        <f>MAX(AD246*(1+'Model Inputs'!$B$13)+AC247,0)</f>
        <v/>
      </c>
      <c r="AE247" s="184">
        <f>MAX(AE246*(1+'Model Inputs'!$B$13)+U247+AB247,0)</f>
        <v/>
      </c>
      <c r="AF247" s="184">
        <f>AD247+AE247</f>
        <v/>
      </c>
      <c r="AG247" s="191">
        <f>IF(AND(AF247&gt;=$F$14,AF246&lt;$F$14),J247,"")</f>
        <v/>
      </c>
      <c r="AH247" s="191">
        <f>IF(AND(AF247&gt;=$F$15,AF246&lt;$F$15),J247,"")</f>
        <v/>
      </c>
      <c r="AI247" s="191">
        <f>IF(AND(AF247&gt;=$F$16,AF246&lt;$F$16),J247,"")</f>
        <v/>
      </c>
      <c r="AJ247" s="191">
        <f>IF(AND(AF247&gt;=$F$17,AF246&lt;$F$17),J247,"")</f>
        <v/>
      </c>
    </row>
    <row r="248" outlineLevel="1" ht="18" customHeight="1" s="326">
      <c r="A248" s="181">
        <f>$A$35</f>
        <v/>
      </c>
      <c r="B248" s="191">
        <f>$B$35</f>
        <v/>
      </c>
      <c r="C248" s="187">
        <f>$C$35</f>
        <v/>
      </c>
      <c r="D248" s="191">
        <f>$D$35</f>
        <v/>
      </c>
      <c r="E248" s="181">
        <f>$E$35</f>
        <v/>
      </c>
      <c r="F248" s="184">
        <f>$F$35</f>
        <v/>
      </c>
      <c r="G248" s="188">
        <f>$G$35</f>
        <v/>
      </c>
      <c r="H248" s="184">
        <f>$H$35</f>
        <v/>
      </c>
      <c r="I248" s="188">
        <f>$J$17</f>
        <v/>
      </c>
      <c r="J248" s="191" t="n">
        <v>3</v>
      </c>
      <c r="K248" s="191">
        <f>('Model Inputs'!$B$22-1)+J248</f>
        <v/>
      </c>
      <c r="L248" s="184">
        <f>IF(J248=1,'Model Inputs'!$B$25*(13-'Model Inputs'!$B$23)/12,'Model Inputs'!$B$25)</f>
        <v/>
      </c>
      <c r="M248" s="184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/>
      </c>
      <c r="N248" s="188">
        <f>IF(J248&lt;=2,0,'Model Inputs'!$B$32*SIN(2*PI()*(J248-3+'Model Inputs'!$B$34)/MAX(1,'Model Inputs'!$B$33)))</f>
        <v/>
      </c>
      <c r="O248" s="184">
        <f>M248*(1+N248)</f>
        <v/>
      </c>
      <c r="P248" s="184">
        <f>0.75*O247+0.25*O246</f>
        <v/>
      </c>
      <c r="Q248" s="184">
        <f>L248+P248+IF(J248=1,'Model Inputs'!$B$26,0)</f>
        <v/>
      </c>
      <c r="R248" s="184">
        <f>IF(J248&lt;=B248,Q248,IF(J248&lt;=B248+$J$18,L248,(SUMIFS($L$51:$L$350,$A$51:$A$350,$A248,$J$51:$J$350,$B248)+SUMIFS($O$51:$O$350,$A$51:$A$350,$A248,$J$51:$J$350,$B248))*C248))</f>
        <v/>
      </c>
      <c r="S248" s="184">
        <f>H248+F248*G248*(1+I248)^MAX(0,J248-MAX(D248,B248+$J$18+1))</f>
        <v/>
      </c>
      <c r="T248" s="184">
        <f>IF(J248&gt;=MAX(D248,B248+$J$18+1),S248,R248)</f>
        <v/>
      </c>
      <c r="U248" s="184">
        <f>MIN(T248,'Tax Assumptions'!$B$19)</f>
        <v/>
      </c>
      <c r="V248" s="184">
        <f>MAX(T248-U248-'Tax Assumptions'!$B$8,0)</f>
        <v/>
      </c>
      <c r="W248" s="184">
        <f>MAX(T248-U248-'Tax Assumptions'!$B$9,0)</f>
        <v/>
      </c>
      <c r="X248" s="184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/>
      </c>
      <c r="Y248" s="184">
        <f>T248-U248-X248</f>
        <v/>
      </c>
      <c r="Z248" s="184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/>
      </c>
      <c r="AA248" s="184">
        <f>Y248-Z248</f>
        <v/>
      </c>
      <c r="AB248" s="184">
        <f>MIN(MAX(AA248,0),'Tax Assumptions'!$B$20)</f>
        <v/>
      </c>
      <c r="AC248" s="184">
        <f>AA248-AB248</f>
        <v/>
      </c>
      <c r="AD248" s="184">
        <f>MAX(AD247*(1+'Model Inputs'!$B$13)+AC248,0)</f>
        <v/>
      </c>
      <c r="AE248" s="184">
        <f>MAX(AE247*(1+'Model Inputs'!$B$13)+U248+AB248,0)</f>
        <v/>
      </c>
      <c r="AF248" s="184">
        <f>AD248+AE248</f>
        <v/>
      </c>
      <c r="AG248" s="191">
        <f>IF(AND(AF248&gt;=$F$14,AF247&lt;$F$14),J248,"")</f>
        <v/>
      </c>
      <c r="AH248" s="191">
        <f>IF(AND(AF248&gt;=$F$15,AF247&lt;$F$15),J248,"")</f>
        <v/>
      </c>
      <c r="AI248" s="191">
        <f>IF(AND(AF248&gt;=$F$16,AF247&lt;$F$16),J248,"")</f>
        <v/>
      </c>
      <c r="AJ248" s="191">
        <f>IF(AND(AF248&gt;=$F$17,AF247&lt;$F$17),J248,"")</f>
        <v/>
      </c>
    </row>
    <row r="249" outlineLevel="1" ht="18" customHeight="1" s="326">
      <c r="A249" s="181">
        <f>$A$35</f>
        <v/>
      </c>
      <c r="B249" s="191">
        <f>$B$35</f>
        <v/>
      </c>
      <c r="C249" s="187">
        <f>$C$35</f>
        <v/>
      </c>
      <c r="D249" s="191">
        <f>$D$35</f>
        <v/>
      </c>
      <c r="E249" s="181">
        <f>$E$35</f>
        <v/>
      </c>
      <c r="F249" s="184">
        <f>$F$35</f>
        <v/>
      </c>
      <c r="G249" s="188">
        <f>$G$35</f>
        <v/>
      </c>
      <c r="H249" s="184">
        <f>$H$35</f>
        <v/>
      </c>
      <c r="I249" s="188">
        <f>$J$17</f>
        <v/>
      </c>
      <c r="J249" s="191" t="n">
        <v>4</v>
      </c>
      <c r="K249" s="191">
        <f>('Model Inputs'!$B$22-1)+J249</f>
        <v/>
      </c>
      <c r="L249" s="184">
        <f>IF(J249=1,'Model Inputs'!$B$25*(13-'Model Inputs'!$B$23)/12,'Model Inputs'!$B$25)</f>
        <v/>
      </c>
      <c r="M249" s="184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/>
      </c>
      <c r="N249" s="188">
        <f>IF(J249&lt;=2,0,'Model Inputs'!$B$32*SIN(2*PI()*(J249-3+'Model Inputs'!$B$34)/MAX(1,'Model Inputs'!$B$33)))</f>
        <v/>
      </c>
      <c r="O249" s="184">
        <f>M249*(1+N249)</f>
        <v/>
      </c>
      <c r="P249" s="184">
        <f>0.75*O248+0.25*O247</f>
        <v/>
      </c>
      <c r="Q249" s="184">
        <f>L249+P249+IF(J249=1,'Model Inputs'!$B$26,0)</f>
        <v/>
      </c>
      <c r="R249" s="184">
        <f>IF(J249&lt;=B249,Q249,IF(J249&lt;=B249+$J$18,L249,(SUMIFS($L$51:$L$350,$A$51:$A$350,$A249,$J$51:$J$350,$B249)+SUMIFS($O$51:$O$350,$A$51:$A$350,$A249,$J$51:$J$350,$B249))*C249))</f>
        <v/>
      </c>
      <c r="S249" s="184">
        <f>H249+F249*G249*(1+I249)^MAX(0,J249-MAX(D249,B249+$J$18+1))</f>
        <v/>
      </c>
      <c r="T249" s="184">
        <f>IF(J249&gt;=MAX(D249,B249+$J$18+1),S249,R249)</f>
        <v/>
      </c>
      <c r="U249" s="184">
        <f>MIN(T249,'Tax Assumptions'!$B$19)</f>
        <v/>
      </c>
      <c r="V249" s="184">
        <f>MAX(T249-U249-'Tax Assumptions'!$B$8,0)</f>
        <v/>
      </c>
      <c r="W249" s="184">
        <f>MAX(T249-U249-'Tax Assumptions'!$B$9,0)</f>
        <v/>
      </c>
      <c r="X249" s="184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/>
      </c>
      <c r="Y249" s="184">
        <f>T249-U249-X249</f>
        <v/>
      </c>
      <c r="Z249" s="184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/>
      </c>
      <c r="AA249" s="184">
        <f>Y249-Z249</f>
        <v/>
      </c>
      <c r="AB249" s="184">
        <f>MIN(MAX(AA249,0),'Tax Assumptions'!$B$20)</f>
        <v/>
      </c>
      <c r="AC249" s="184">
        <f>AA249-AB249</f>
        <v/>
      </c>
      <c r="AD249" s="184">
        <f>MAX(AD248*(1+'Model Inputs'!$B$13)+AC249,0)</f>
        <v/>
      </c>
      <c r="AE249" s="184">
        <f>MAX(AE248*(1+'Model Inputs'!$B$13)+U249+AB249,0)</f>
        <v/>
      </c>
      <c r="AF249" s="184">
        <f>AD249+AE249</f>
        <v/>
      </c>
      <c r="AG249" s="191">
        <f>IF(AND(AF249&gt;=$F$14,AF248&lt;$F$14),J249,"")</f>
        <v/>
      </c>
      <c r="AH249" s="191">
        <f>IF(AND(AF249&gt;=$F$15,AF248&lt;$F$15),J249,"")</f>
        <v/>
      </c>
      <c r="AI249" s="191">
        <f>IF(AND(AF249&gt;=$F$16,AF248&lt;$F$16),J249,"")</f>
        <v/>
      </c>
      <c r="AJ249" s="191">
        <f>IF(AND(AF249&gt;=$F$17,AF248&lt;$F$17),J249,"")</f>
        <v/>
      </c>
    </row>
    <row r="250" outlineLevel="1" ht="18" customHeight="1" s="326">
      <c r="A250" s="181">
        <f>$A$35</f>
        <v/>
      </c>
      <c r="B250" s="191">
        <f>$B$35</f>
        <v/>
      </c>
      <c r="C250" s="187">
        <f>$C$35</f>
        <v/>
      </c>
      <c r="D250" s="191">
        <f>$D$35</f>
        <v/>
      </c>
      <c r="E250" s="181">
        <f>$E$35</f>
        <v/>
      </c>
      <c r="F250" s="184">
        <f>$F$35</f>
        <v/>
      </c>
      <c r="G250" s="188">
        <f>$G$35</f>
        <v/>
      </c>
      <c r="H250" s="184">
        <f>$H$35</f>
        <v/>
      </c>
      <c r="I250" s="188">
        <f>$J$17</f>
        <v/>
      </c>
      <c r="J250" s="191" t="n">
        <v>5</v>
      </c>
      <c r="K250" s="191">
        <f>('Model Inputs'!$B$22-1)+J250</f>
        <v/>
      </c>
      <c r="L250" s="184">
        <f>IF(J250=1,'Model Inputs'!$B$25*(13-'Model Inputs'!$B$23)/12,'Model Inputs'!$B$25)</f>
        <v/>
      </c>
      <c r="M250" s="184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/>
      </c>
      <c r="N250" s="188">
        <f>IF(J250&lt;=2,0,'Model Inputs'!$B$32*SIN(2*PI()*(J250-3+'Model Inputs'!$B$34)/MAX(1,'Model Inputs'!$B$33)))</f>
        <v/>
      </c>
      <c r="O250" s="184">
        <f>M250*(1+N250)</f>
        <v/>
      </c>
      <c r="P250" s="184">
        <f>0.75*O249+0.25*O248</f>
        <v/>
      </c>
      <c r="Q250" s="184">
        <f>L250+P250+IF(J250=1,'Model Inputs'!$B$26,0)</f>
        <v/>
      </c>
      <c r="R250" s="184">
        <f>IF(J250&lt;=B250,Q250,IF(J250&lt;=B250+$J$18,L250,(SUMIFS($L$51:$L$350,$A$51:$A$350,$A250,$J$51:$J$350,$B250)+SUMIFS($O$51:$O$350,$A$51:$A$350,$A250,$J$51:$J$350,$B250))*C250))</f>
        <v/>
      </c>
      <c r="S250" s="184">
        <f>H250+F250*G250*(1+I250)^MAX(0,J250-MAX(D250,B250+$J$18+1))</f>
        <v/>
      </c>
      <c r="T250" s="184">
        <f>IF(J250&gt;=MAX(D250,B250+$J$18+1),S250,R250)</f>
        <v/>
      </c>
      <c r="U250" s="184">
        <f>MIN(T250,'Tax Assumptions'!$B$19)</f>
        <v/>
      </c>
      <c r="V250" s="184">
        <f>MAX(T250-U250-'Tax Assumptions'!$B$8,0)</f>
        <v/>
      </c>
      <c r="W250" s="184">
        <f>MAX(T250-U250-'Tax Assumptions'!$B$9,0)</f>
        <v/>
      </c>
      <c r="X250" s="184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/>
      </c>
      <c r="Y250" s="184">
        <f>T250-U250-X250</f>
        <v/>
      </c>
      <c r="Z250" s="184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/>
      </c>
      <c r="AA250" s="184">
        <f>Y250-Z250</f>
        <v/>
      </c>
      <c r="AB250" s="184">
        <f>MIN(MAX(AA250,0),'Tax Assumptions'!$B$20)</f>
        <v/>
      </c>
      <c r="AC250" s="184">
        <f>AA250-AB250</f>
        <v/>
      </c>
      <c r="AD250" s="184">
        <f>MAX(AD249*(1+'Model Inputs'!$B$13)+AC250,0)</f>
        <v/>
      </c>
      <c r="AE250" s="184">
        <f>MAX(AE249*(1+'Model Inputs'!$B$13)+U250+AB250,0)</f>
        <v/>
      </c>
      <c r="AF250" s="184">
        <f>AD250+AE250</f>
        <v/>
      </c>
      <c r="AG250" s="191">
        <f>IF(AND(AF250&gt;=$F$14,AF249&lt;$F$14),J250,"")</f>
        <v/>
      </c>
      <c r="AH250" s="191">
        <f>IF(AND(AF250&gt;=$F$15,AF249&lt;$F$15),J250,"")</f>
        <v/>
      </c>
      <c r="AI250" s="191">
        <f>IF(AND(AF250&gt;=$F$16,AF249&lt;$F$16),J250,"")</f>
        <v/>
      </c>
      <c r="AJ250" s="191">
        <f>IF(AND(AF250&gt;=$F$17,AF249&lt;$F$17),J250,"")</f>
        <v/>
      </c>
    </row>
    <row r="251" outlineLevel="1" ht="18" customHeight="1" s="326">
      <c r="A251" s="181">
        <f>$A$35</f>
        <v/>
      </c>
      <c r="B251" s="191">
        <f>$B$35</f>
        <v/>
      </c>
      <c r="C251" s="187">
        <f>$C$35</f>
        <v/>
      </c>
      <c r="D251" s="191">
        <f>$D$35</f>
        <v/>
      </c>
      <c r="E251" s="181">
        <f>$E$35</f>
        <v/>
      </c>
      <c r="F251" s="184">
        <f>$F$35</f>
        <v/>
      </c>
      <c r="G251" s="188">
        <f>$G$35</f>
        <v/>
      </c>
      <c r="H251" s="184">
        <f>$H$35</f>
        <v/>
      </c>
      <c r="I251" s="188">
        <f>$J$17</f>
        <v/>
      </c>
      <c r="J251" s="191" t="n">
        <v>6</v>
      </c>
      <c r="K251" s="191">
        <f>('Model Inputs'!$B$22-1)+J251</f>
        <v/>
      </c>
      <c r="L251" s="184">
        <f>IF(J251=1,'Model Inputs'!$B$25*(13-'Model Inputs'!$B$23)/12,'Model Inputs'!$B$25)</f>
        <v/>
      </c>
      <c r="M251" s="184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/>
      </c>
      <c r="N251" s="188">
        <f>IF(J251&lt;=2,0,'Model Inputs'!$B$32*SIN(2*PI()*(J251-3+'Model Inputs'!$B$34)/MAX(1,'Model Inputs'!$B$33)))</f>
        <v/>
      </c>
      <c r="O251" s="184">
        <f>M251*(1+N251)</f>
        <v/>
      </c>
      <c r="P251" s="184">
        <f>0.75*O250+0.25*O249</f>
        <v/>
      </c>
      <c r="Q251" s="184">
        <f>L251+P251+IF(J251=1,'Model Inputs'!$B$26,0)</f>
        <v/>
      </c>
      <c r="R251" s="184">
        <f>IF(J251&lt;=B251,Q251,IF(J251&lt;=B251+$J$18,L251,(SUMIFS($L$51:$L$350,$A$51:$A$350,$A251,$J$51:$J$350,$B251)+SUMIFS($O$51:$O$350,$A$51:$A$350,$A251,$J$51:$J$350,$B251))*C251))</f>
        <v/>
      </c>
      <c r="S251" s="184">
        <f>H251+F251*G251*(1+I251)^MAX(0,J251-MAX(D251,B251+$J$18+1))</f>
        <v/>
      </c>
      <c r="T251" s="184">
        <f>IF(J251&gt;=MAX(D251,B251+$J$18+1),S251,R251)</f>
        <v/>
      </c>
      <c r="U251" s="184">
        <f>MIN(T251,'Tax Assumptions'!$B$19)</f>
        <v/>
      </c>
      <c r="V251" s="184">
        <f>MAX(T251-U251-'Tax Assumptions'!$B$8,0)</f>
        <v/>
      </c>
      <c r="W251" s="184">
        <f>MAX(T251-U251-'Tax Assumptions'!$B$9,0)</f>
        <v/>
      </c>
      <c r="X251" s="184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/>
      </c>
      <c r="Y251" s="184">
        <f>T251-U251-X251</f>
        <v/>
      </c>
      <c r="Z251" s="184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/>
      </c>
      <c r="AA251" s="184">
        <f>Y251-Z251</f>
        <v/>
      </c>
      <c r="AB251" s="184">
        <f>MIN(MAX(AA251,0),'Tax Assumptions'!$B$20)</f>
        <v/>
      </c>
      <c r="AC251" s="184">
        <f>AA251-AB251</f>
        <v/>
      </c>
      <c r="AD251" s="184">
        <f>MAX(AD250*(1+'Model Inputs'!$B$13)+AC251,0)</f>
        <v/>
      </c>
      <c r="AE251" s="184">
        <f>MAX(AE250*(1+'Model Inputs'!$B$13)+U251+AB251,0)</f>
        <v/>
      </c>
      <c r="AF251" s="184">
        <f>AD251+AE251</f>
        <v/>
      </c>
      <c r="AG251" s="191">
        <f>IF(AND(AF251&gt;=$F$14,AF250&lt;$F$14),J251,"")</f>
        <v/>
      </c>
      <c r="AH251" s="191">
        <f>IF(AND(AF251&gt;=$F$15,AF250&lt;$F$15),J251,"")</f>
        <v/>
      </c>
      <c r="AI251" s="191">
        <f>IF(AND(AF251&gt;=$F$16,AF250&lt;$F$16),J251,"")</f>
        <v/>
      </c>
      <c r="AJ251" s="191">
        <f>IF(AND(AF251&gt;=$F$17,AF250&lt;$F$17),J251,"")</f>
        <v/>
      </c>
    </row>
    <row r="252" outlineLevel="1" ht="18" customHeight="1" s="326">
      <c r="A252" s="181">
        <f>$A$35</f>
        <v/>
      </c>
      <c r="B252" s="191">
        <f>$B$35</f>
        <v/>
      </c>
      <c r="C252" s="187">
        <f>$C$35</f>
        <v/>
      </c>
      <c r="D252" s="191">
        <f>$D$35</f>
        <v/>
      </c>
      <c r="E252" s="181">
        <f>$E$35</f>
        <v/>
      </c>
      <c r="F252" s="184">
        <f>$F$35</f>
        <v/>
      </c>
      <c r="G252" s="188">
        <f>$G$35</f>
        <v/>
      </c>
      <c r="H252" s="184">
        <f>$H$35</f>
        <v/>
      </c>
      <c r="I252" s="188">
        <f>$J$17</f>
        <v/>
      </c>
      <c r="J252" s="191" t="n">
        <v>7</v>
      </c>
      <c r="K252" s="191">
        <f>('Model Inputs'!$B$22-1)+J252</f>
        <v/>
      </c>
      <c r="L252" s="184">
        <f>IF(J252=1,'Model Inputs'!$B$25*(13-'Model Inputs'!$B$23)/12,'Model Inputs'!$B$25)</f>
        <v/>
      </c>
      <c r="M252" s="184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/>
      </c>
      <c r="N252" s="188">
        <f>IF(J252&lt;=2,0,'Model Inputs'!$B$32*SIN(2*PI()*(J252-3+'Model Inputs'!$B$34)/MAX(1,'Model Inputs'!$B$33)))</f>
        <v/>
      </c>
      <c r="O252" s="184">
        <f>M252*(1+N252)</f>
        <v/>
      </c>
      <c r="P252" s="184">
        <f>0.75*O251+0.25*O250</f>
        <v/>
      </c>
      <c r="Q252" s="184">
        <f>L252+P252+IF(J252=1,'Model Inputs'!$B$26,0)</f>
        <v/>
      </c>
      <c r="R252" s="184">
        <f>IF(J252&lt;=B252,Q252,IF(J252&lt;=B252+$J$18,L252,(SUMIFS($L$51:$L$350,$A$51:$A$350,$A252,$J$51:$J$350,$B252)+SUMIFS($O$51:$O$350,$A$51:$A$350,$A252,$J$51:$J$350,$B252))*C252))</f>
        <v/>
      </c>
      <c r="S252" s="184">
        <f>H252+F252*G252*(1+I252)^MAX(0,J252-MAX(D252,B252+$J$18+1))</f>
        <v/>
      </c>
      <c r="T252" s="184">
        <f>IF(J252&gt;=MAX(D252,B252+$J$18+1),S252,R252)</f>
        <v/>
      </c>
      <c r="U252" s="184">
        <f>MIN(T252,'Tax Assumptions'!$B$19)</f>
        <v/>
      </c>
      <c r="V252" s="184">
        <f>MAX(T252-U252-'Tax Assumptions'!$B$8,0)</f>
        <v/>
      </c>
      <c r="W252" s="184">
        <f>MAX(T252-U252-'Tax Assumptions'!$B$9,0)</f>
        <v/>
      </c>
      <c r="X252" s="184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/>
      </c>
      <c r="Y252" s="184">
        <f>T252-U252-X252</f>
        <v/>
      </c>
      <c r="Z252" s="184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/>
      </c>
      <c r="AA252" s="184">
        <f>Y252-Z252</f>
        <v/>
      </c>
      <c r="AB252" s="184">
        <f>MIN(MAX(AA252,0),'Tax Assumptions'!$B$20)</f>
        <v/>
      </c>
      <c r="AC252" s="184">
        <f>AA252-AB252</f>
        <v/>
      </c>
      <c r="AD252" s="184">
        <f>MAX(AD251*(1+'Model Inputs'!$B$13)+AC252,0)</f>
        <v/>
      </c>
      <c r="AE252" s="184">
        <f>MAX(AE251*(1+'Model Inputs'!$B$13)+U252+AB252,0)</f>
        <v/>
      </c>
      <c r="AF252" s="184">
        <f>AD252+AE252</f>
        <v/>
      </c>
      <c r="AG252" s="191">
        <f>IF(AND(AF252&gt;=$F$14,AF251&lt;$F$14),J252,"")</f>
        <v/>
      </c>
      <c r="AH252" s="191">
        <f>IF(AND(AF252&gt;=$F$15,AF251&lt;$F$15),J252,"")</f>
        <v/>
      </c>
      <c r="AI252" s="191">
        <f>IF(AND(AF252&gt;=$F$16,AF251&lt;$F$16),J252,"")</f>
        <v/>
      </c>
      <c r="AJ252" s="191">
        <f>IF(AND(AF252&gt;=$F$17,AF251&lt;$F$17),J252,"")</f>
        <v/>
      </c>
    </row>
    <row r="253" outlineLevel="1" ht="18" customHeight="1" s="326">
      <c r="A253" s="181">
        <f>$A$35</f>
        <v/>
      </c>
      <c r="B253" s="191">
        <f>$B$35</f>
        <v/>
      </c>
      <c r="C253" s="187">
        <f>$C$35</f>
        <v/>
      </c>
      <c r="D253" s="191">
        <f>$D$35</f>
        <v/>
      </c>
      <c r="E253" s="181">
        <f>$E$35</f>
        <v/>
      </c>
      <c r="F253" s="184">
        <f>$F$35</f>
        <v/>
      </c>
      <c r="G253" s="188">
        <f>$G$35</f>
        <v/>
      </c>
      <c r="H253" s="184">
        <f>$H$35</f>
        <v/>
      </c>
      <c r="I253" s="188">
        <f>$J$17</f>
        <v/>
      </c>
      <c r="J253" s="191" t="n">
        <v>8</v>
      </c>
      <c r="K253" s="191">
        <f>('Model Inputs'!$B$22-1)+J253</f>
        <v/>
      </c>
      <c r="L253" s="184">
        <f>IF(J253=1,'Model Inputs'!$B$25*(13-'Model Inputs'!$B$23)/12,'Model Inputs'!$B$25)</f>
        <v/>
      </c>
      <c r="M253" s="184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/>
      </c>
      <c r="N253" s="188">
        <f>IF(J253&lt;=2,0,'Model Inputs'!$B$32*SIN(2*PI()*(J253-3+'Model Inputs'!$B$34)/MAX(1,'Model Inputs'!$B$33)))</f>
        <v/>
      </c>
      <c r="O253" s="184">
        <f>M253*(1+N253)</f>
        <v/>
      </c>
      <c r="P253" s="184">
        <f>0.75*O252+0.25*O251</f>
        <v/>
      </c>
      <c r="Q253" s="184">
        <f>L253+P253+IF(J253=1,'Model Inputs'!$B$26,0)</f>
        <v/>
      </c>
      <c r="R253" s="184">
        <f>IF(J253&lt;=B253,Q253,IF(J253&lt;=B253+$J$18,L253,(SUMIFS($L$51:$L$350,$A$51:$A$350,$A253,$J$51:$J$350,$B253)+SUMIFS($O$51:$O$350,$A$51:$A$350,$A253,$J$51:$J$350,$B253))*C253))</f>
        <v/>
      </c>
      <c r="S253" s="184">
        <f>H253+F253*G253*(1+I253)^MAX(0,J253-MAX(D253,B253+$J$18+1))</f>
        <v/>
      </c>
      <c r="T253" s="184">
        <f>IF(J253&gt;=MAX(D253,B253+$J$18+1),S253,R253)</f>
        <v/>
      </c>
      <c r="U253" s="184">
        <f>MIN(T253,'Tax Assumptions'!$B$19)</f>
        <v/>
      </c>
      <c r="V253" s="184">
        <f>MAX(T253-U253-'Tax Assumptions'!$B$8,0)</f>
        <v/>
      </c>
      <c r="W253" s="184">
        <f>MAX(T253-U253-'Tax Assumptions'!$B$9,0)</f>
        <v/>
      </c>
      <c r="X253" s="184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/>
      </c>
      <c r="Y253" s="184">
        <f>T253-U253-X253</f>
        <v/>
      </c>
      <c r="Z253" s="184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/>
      </c>
      <c r="AA253" s="184">
        <f>Y253-Z253</f>
        <v/>
      </c>
      <c r="AB253" s="184">
        <f>MIN(MAX(AA253,0),'Tax Assumptions'!$B$20)</f>
        <v/>
      </c>
      <c r="AC253" s="184">
        <f>AA253-AB253</f>
        <v/>
      </c>
      <c r="AD253" s="184">
        <f>MAX(AD252*(1+'Model Inputs'!$B$13)+AC253,0)</f>
        <v/>
      </c>
      <c r="AE253" s="184">
        <f>MAX(AE252*(1+'Model Inputs'!$B$13)+U253+AB253,0)</f>
        <v/>
      </c>
      <c r="AF253" s="184">
        <f>AD253+AE253</f>
        <v/>
      </c>
      <c r="AG253" s="191">
        <f>IF(AND(AF253&gt;=$F$14,AF252&lt;$F$14),J253,"")</f>
        <v/>
      </c>
      <c r="AH253" s="191">
        <f>IF(AND(AF253&gt;=$F$15,AF252&lt;$F$15),J253,"")</f>
        <v/>
      </c>
      <c r="AI253" s="191">
        <f>IF(AND(AF253&gt;=$F$16,AF252&lt;$F$16),J253,"")</f>
        <v/>
      </c>
      <c r="AJ253" s="191">
        <f>IF(AND(AF253&gt;=$F$17,AF252&lt;$F$17),J253,"")</f>
        <v/>
      </c>
    </row>
    <row r="254" outlineLevel="1" ht="18" customHeight="1" s="326">
      <c r="A254" s="181">
        <f>$A$35</f>
        <v/>
      </c>
      <c r="B254" s="191">
        <f>$B$35</f>
        <v/>
      </c>
      <c r="C254" s="187">
        <f>$C$35</f>
        <v/>
      </c>
      <c r="D254" s="191">
        <f>$D$35</f>
        <v/>
      </c>
      <c r="E254" s="181">
        <f>$E$35</f>
        <v/>
      </c>
      <c r="F254" s="184">
        <f>$F$35</f>
        <v/>
      </c>
      <c r="G254" s="188">
        <f>$G$35</f>
        <v/>
      </c>
      <c r="H254" s="184">
        <f>$H$35</f>
        <v/>
      </c>
      <c r="I254" s="188">
        <f>$J$17</f>
        <v/>
      </c>
      <c r="J254" s="191" t="n">
        <v>9</v>
      </c>
      <c r="K254" s="191">
        <f>('Model Inputs'!$B$22-1)+J254</f>
        <v/>
      </c>
      <c r="L254" s="184">
        <f>IF(J254=1,'Model Inputs'!$B$25*(13-'Model Inputs'!$B$23)/12,'Model Inputs'!$B$25)</f>
        <v/>
      </c>
      <c r="M254" s="184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/>
      </c>
      <c r="N254" s="188">
        <f>IF(J254&lt;=2,0,'Model Inputs'!$B$32*SIN(2*PI()*(J254-3+'Model Inputs'!$B$34)/MAX(1,'Model Inputs'!$B$33)))</f>
        <v/>
      </c>
      <c r="O254" s="184">
        <f>M254*(1+N254)</f>
        <v/>
      </c>
      <c r="P254" s="184">
        <f>0.75*O253+0.25*O252</f>
        <v/>
      </c>
      <c r="Q254" s="184">
        <f>L254+P254+IF(J254=1,'Model Inputs'!$B$26,0)</f>
        <v/>
      </c>
      <c r="R254" s="184">
        <f>IF(J254&lt;=B254,Q254,IF(J254&lt;=B254+$J$18,L254,(SUMIFS($L$51:$L$350,$A$51:$A$350,$A254,$J$51:$J$350,$B254)+SUMIFS($O$51:$O$350,$A$51:$A$350,$A254,$J$51:$J$350,$B254))*C254))</f>
        <v/>
      </c>
      <c r="S254" s="184">
        <f>H254+F254*G254*(1+I254)^MAX(0,J254-MAX(D254,B254+$J$18+1))</f>
        <v/>
      </c>
      <c r="T254" s="184">
        <f>IF(J254&gt;=MAX(D254,B254+$J$18+1),S254,R254)</f>
        <v/>
      </c>
      <c r="U254" s="184">
        <f>MIN(T254,'Tax Assumptions'!$B$19)</f>
        <v/>
      </c>
      <c r="V254" s="184">
        <f>MAX(T254-U254-'Tax Assumptions'!$B$8,0)</f>
        <v/>
      </c>
      <c r="W254" s="184">
        <f>MAX(T254-U254-'Tax Assumptions'!$B$9,0)</f>
        <v/>
      </c>
      <c r="X254" s="184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/>
      </c>
      <c r="Y254" s="184">
        <f>T254-U254-X254</f>
        <v/>
      </c>
      <c r="Z254" s="184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/>
      </c>
      <c r="AA254" s="184">
        <f>Y254-Z254</f>
        <v/>
      </c>
      <c r="AB254" s="184">
        <f>MIN(MAX(AA254,0),'Tax Assumptions'!$B$20)</f>
        <v/>
      </c>
      <c r="AC254" s="184">
        <f>AA254-AB254</f>
        <v/>
      </c>
      <c r="AD254" s="184">
        <f>MAX(AD253*(1+'Model Inputs'!$B$13)+AC254,0)</f>
        <v/>
      </c>
      <c r="AE254" s="184">
        <f>MAX(AE253*(1+'Model Inputs'!$B$13)+U254+AB254,0)</f>
        <v/>
      </c>
      <c r="AF254" s="184">
        <f>AD254+AE254</f>
        <v/>
      </c>
      <c r="AG254" s="191">
        <f>IF(AND(AF254&gt;=$F$14,AF253&lt;$F$14),J254,"")</f>
        <v/>
      </c>
      <c r="AH254" s="191">
        <f>IF(AND(AF254&gt;=$F$15,AF253&lt;$F$15),J254,"")</f>
        <v/>
      </c>
      <c r="AI254" s="191">
        <f>IF(AND(AF254&gt;=$F$16,AF253&lt;$F$16),J254,"")</f>
        <v/>
      </c>
      <c r="AJ254" s="191">
        <f>IF(AND(AF254&gt;=$F$17,AF253&lt;$F$17),J254,"")</f>
        <v/>
      </c>
    </row>
    <row r="255" outlineLevel="1" ht="18" customHeight="1" s="326">
      <c r="A255" s="181">
        <f>$A$35</f>
        <v/>
      </c>
      <c r="B255" s="191">
        <f>$B$35</f>
        <v/>
      </c>
      <c r="C255" s="187">
        <f>$C$35</f>
        <v/>
      </c>
      <c r="D255" s="191">
        <f>$D$35</f>
        <v/>
      </c>
      <c r="E255" s="181">
        <f>$E$35</f>
        <v/>
      </c>
      <c r="F255" s="184">
        <f>$F$35</f>
        <v/>
      </c>
      <c r="G255" s="188">
        <f>$G$35</f>
        <v/>
      </c>
      <c r="H255" s="184">
        <f>$H$35</f>
        <v/>
      </c>
      <c r="I255" s="188">
        <f>$J$17</f>
        <v/>
      </c>
      <c r="J255" s="191" t="n">
        <v>10</v>
      </c>
      <c r="K255" s="191">
        <f>('Model Inputs'!$B$22-1)+J255</f>
        <v/>
      </c>
      <c r="L255" s="184">
        <f>IF(J255=1,'Model Inputs'!$B$25*(13-'Model Inputs'!$B$23)/12,'Model Inputs'!$B$25)</f>
        <v/>
      </c>
      <c r="M255" s="184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/>
      </c>
      <c r="N255" s="188">
        <f>IF(J255&lt;=2,0,'Model Inputs'!$B$32*SIN(2*PI()*(J255-3+'Model Inputs'!$B$34)/MAX(1,'Model Inputs'!$B$33)))</f>
        <v/>
      </c>
      <c r="O255" s="184">
        <f>M255*(1+N255)</f>
        <v/>
      </c>
      <c r="P255" s="184">
        <f>0.75*O254+0.25*O253</f>
        <v/>
      </c>
      <c r="Q255" s="184">
        <f>L255+P255+IF(J255=1,'Model Inputs'!$B$26,0)</f>
        <v/>
      </c>
      <c r="R255" s="184">
        <f>IF(J255&lt;=B255,Q255,IF(J255&lt;=B255+$J$18,L255,(SUMIFS($L$51:$L$350,$A$51:$A$350,$A255,$J$51:$J$350,$B255)+SUMIFS($O$51:$O$350,$A$51:$A$350,$A255,$J$51:$J$350,$B255))*C255))</f>
        <v/>
      </c>
      <c r="S255" s="184">
        <f>H255+F255*G255*(1+I255)^MAX(0,J255-MAX(D255,B255+$J$18+1))</f>
        <v/>
      </c>
      <c r="T255" s="184">
        <f>IF(J255&gt;=MAX(D255,B255+$J$18+1),S255,R255)</f>
        <v/>
      </c>
      <c r="U255" s="184">
        <f>MIN(T255,'Tax Assumptions'!$B$19)</f>
        <v/>
      </c>
      <c r="V255" s="184">
        <f>MAX(T255-U255-'Tax Assumptions'!$B$8,0)</f>
        <v/>
      </c>
      <c r="W255" s="184">
        <f>MAX(T255-U255-'Tax Assumptions'!$B$9,0)</f>
        <v/>
      </c>
      <c r="X255" s="184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/>
      </c>
      <c r="Y255" s="184">
        <f>T255-U255-X255</f>
        <v/>
      </c>
      <c r="Z255" s="184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/>
      </c>
      <c r="AA255" s="184">
        <f>Y255-Z255</f>
        <v/>
      </c>
      <c r="AB255" s="184">
        <f>MIN(MAX(AA255,0),'Tax Assumptions'!$B$20)</f>
        <v/>
      </c>
      <c r="AC255" s="184">
        <f>AA255-AB255</f>
        <v/>
      </c>
      <c r="AD255" s="184">
        <f>MAX(AD254*(1+'Model Inputs'!$B$13)+AC255,0)</f>
        <v/>
      </c>
      <c r="AE255" s="184">
        <f>MAX(AE254*(1+'Model Inputs'!$B$13)+U255+AB255,0)</f>
        <v/>
      </c>
      <c r="AF255" s="184">
        <f>AD255+AE255</f>
        <v/>
      </c>
      <c r="AG255" s="191">
        <f>IF(AND(AF255&gt;=$F$14,AF254&lt;$F$14),J255,"")</f>
        <v/>
      </c>
      <c r="AH255" s="191">
        <f>IF(AND(AF255&gt;=$F$15,AF254&lt;$F$15),J255,"")</f>
        <v/>
      </c>
      <c r="AI255" s="191">
        <f>IF(AND(AF255&gt;=$F$16,AF254&lt;$F$16),J255,"")</f>
        <v/>
      </c>
      <c r="AJ255" s="191">
        <f>IF(AND(AF255&gt;=$F$17,AF254&lt;$F$17),J255,"")</f>
        <v/>
      </c>
    </row>
    <row r="256" outlineLevel="1" ht="18" customHeight="1" s="326">
      <c r="A256" s="181">
        <f>$A$35</f>
        <v/>
      </c>
      <c r="B256" s="191">
        <f>$B$35</f>
        <v/>
      </c>
      <c r="C256" s="187">
        <f>$C$35</f>
        <v/>
      </c>
      <c r="D256" s="191">
        <f>$D$35</f>
        <v/>
      </c>
      <c r="E256" s="181">
        <f>$E$35</f>
        <v/>
      </c>
      <c r="F256" s="184">
        <f>$F$35</f>
        <v/>
      </c>
      <c r="G256" s="188">
        <f>$G$35</f>
        <v/>
      </c>
      <c r="H256" s="184">
        <f>$H$35</f>
        <v/>
      </c>
      <c r="I256" s="188">
        <f>$J$17</f>
        <v/>
      </c>
      <c r="J256" s="191" t="n">
        <v>11</v>
      </c>
      <c r="K256" s="191">
        <f>('Model Inputs'!$B$22-1)+J256</f>
        <v/>
      </c>
      <c r="L256" s="184">
        <f>IF(J256=1,'Model Inputs'!$B$25*(13-'Model Inputs'!$B$23)/12,'Model Inputs'!$B$25)</f>
        <v/>
      </c>
      <c r="M256" s="184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/>
      </c>
      <c r="N256" s="188">
        <f>IF(J256&lt;=2,0,'Model Inputs'!$B$32*SIN(2*PI()*(J256-3+'Model Inputs'!$B$34)/MAX(1,'Model Inputs'!$B$33)))</f>
        <v/>
      </c>
      <c r="O256" s="184">
        <f>M256*(1+N256)</f>
        <v/>
      </c>
      <c r="P256" s="184">
        <f>0.75*O255+0.25*O254</f>
        <v/>
      </c>
      <c r="Q256" s="184">
        <f>L256+P256+IF(J256=1,'Model Inputs'!$B$26,0)</f>
        <v/>
      </c>
      <c r="R256" s="184">
        <f>IF(J256&lt;=B256,Q256,IF(J256&lt;=B256+$J$18,L256,(SUMIFS($L$51:$L$350,$A$51:$A$350,$A256,$J$51:$J$350,$B256)+SUMIFS($O$51:$O$350,$A$51:$A$350,$A256,$J$51:$J$350,$B256))*C256))</f>
        <v/>
      </c>
      <c r="S256" s="184">
        <f>H256+F256*G256*(1+I256)^MAX(0,J256-MAX(D256,B256+$J$18+1))</f>
        <v/>
      </c>
      <c r="T256" s="184">
        <f>IF(J256&gt;=MAX(D256,B256+$J$18+1),S256,R256)</f>
        <v/>
      </c>
      <c r="U256" s="184">
        <f>MIN(T256,'Tax Assumptions'!$B$19)</f>
        <v/>
      </c>
      <c r="V256" s="184">
        <f>MAX(T256-U256-'Tax Assumptions'!$B$8,0)</f>
        <v/>
      </c>
      <c r="W256" s="184">
        <f>MAX(T256-U256-'Tax Assumptions'!$B$9,0)</f>
        <v/>
      </c>
      <c r="X256" s="184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/>
      </c>
      <c r="Y256" s="184">
        <f>T256-U256-X256</f>
        <v/>
      </c>
      <c r="Z256" s="184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/>
      </c>
      <c r="AA256" s="184">
        <f>Y256-Z256</f>
        <v/>
      </c>
      <c r="AB256" s="184">
        <f>MIN(MAX(AA256,0),'Tax Assumptions'!$B$20)</f>
        <v/>
      </c>
      <c r="AC256" s="184">
        <f>AA256-AB256</f>
        <v/>
      </c>
      <c r="AD256" s="184">
        <f>MAX(AD255*(1+'Model Inputs'!$B$13)+AC256,0)</f>
        <v/>
      </c>
      <c r="AE256" s="184">
        <f>MAX(AE255*(1+'Model Inputs'!$B$13)+U256+AB256,0)</f>
        <v/>
      </c>
      <c r="AF256" s="184">
        <f>AD256+AE256</f>
        <v/>
      </c>
      <c r="AG256" s="191">
        <f>IF(AND(AF256&gt;=$F$14,AF255&lt;$F$14),J256,"")</f>
        <v/>
      </c>
      <c r="AH256" s="191">
        <f>IF(AND(AF256&gt;=$F$15,AF255&lt;$F$15),J256,"")</f>
        <v/>
      </c>
      <c r="AI256" s="191">
        <f>IF(AND(AF256&gt;=$F$16,AF255&lt;$F$16),J256,"")</f>
        <v/>
      </c>
      <c r="AJ256" s="191">
        <f>IF(AND(AF256&gt;=$F$17,AF255&lt;$F$17),J256,"")</f>
        <v/>
      </c>
    </row>
    <row r="257" outlineLevel="1" ht="18" customHeight="1" s="326">
      <c r="A257" s="181">
        <f>$A$35</f>
        <v/>
      </c>
      <c r="B257" s="191">
        <f>$B$35</f>
        <v/>
      </c>
      <c r="C257" s="187">
        <f>$C$35</f>
        <v/>
      </c>
      <c r="D257" s="191">
        <f>$D$35</f>
        <v/>
      </c>
      <c r="E257" s="181">
        <f>$E$35</f>
        <v/>
      </c>
      <c r="F257" s="184">
        <f>$F$35</f>
        <v/>
      </c>
      <c r="G257" s="188">
        <f>$G$35</f>
        <v/>
      </c>
      <c r="H257" s="184">
        <f>$H$35</f>
        <v/>
      </c>
      <c r="I257" s="188">
        <f>$J$17</f>
        <v/>
      </c>
      <c r="J257" s="191" t="n">
        <v>12</v>
      </c>
      <c r="K257" s="191">
        <f>('Model Inputs'!$B$22-1)+J257</f>
        <v/>
      </c>
      <c r="L257" s="184">
        <f>IF(J257=1,'Model Inputs'!$B$25*(13-'Model Inputs'!$B$23)/12,'Model Inputs'!$B$25)</f>
        <v/>
      </c>
      <c r="M257" s="184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/>
      </c>
      <c r="N257" s="188">
        <f>IF(J257&lt;=2,0,'Model Inputs'!$B$32*SIN(2*PI()*(J257-3+'Model Inputs'!$B$34)/MAX(1,'Model Inputs'!$B$33)))</f>
        <v/>
      </c>
      <c r="O257" s="184">
        <f>M257*(1+N257)</f>
        <v/>
      </c>
      <c r="P257" s="184">
        <f>0.75*O256+0.25*O255</f>
        <v/>
      </c>
      <c r="Q257" s="184">
        <f>L257+P257+IF(J257=1,'Model Inputs'!$B$26,0)</f>
        <v/>
      </c>
      <c r="R257" s="184">
        <f>IF(J257&lt;=B257,Q257,IF(J257&lt;=B257+$J$18,L257,(SUMIFS($L$51:$L$350,$A$51:$A$350,$A257,$J$51:$J$350,$B257)+SUMIFS($O$51:$O$350,$A$51:$A$350,$A257,$J$51:$J$350,$B257))*C257))</f>
        <v/>
      </c>
      <c r="S257" s="184">
        <f>H257+F257*G257*(1+I257)^MAX(0,J257-MAX(D257,B257+$J$18+1))</f>
        <v/>
      </c>
      <c r="T257" s="184">
        <f>IF(J257&gt;=MAX(D257,B257+$J$18+1),S257,R257)</f>
        <v/>
      </c>
      <c r="U257" s="184">
        <f>MIN(T257,'Tax Assumptions'!$B$19)</f>
        <v/>
      </c>
      <c r="V257" s="184">
        <f>MAX(T257-U257-'Tax Assumptions'!$B$8,0)</f>
        <v/>
      </c>
      <c r="W257" s="184">
        <f>MAX(T257-U257-'Tax Assumptions'!$B$9,0)</f>
        <v/>
      </c>
      <c r="X257" s="184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/>
      </c>
      <c r="Y257" s="184">
        <f>T257-U257-X257</f>
        <v/>
      </c>
      <c r="Z257" s="184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/>
      </c>
      <c r="AA257" s="184">
        <f>Y257-Z257</f>
        <v/>
      </c>
      <c r="AB257" s="184">
        <f>MIN(MAX(AA257,0),'Tax Assumptions'!$B$20)</f>
        <v/>
      </c>
      <c r="AC257" s="184">
        <f>AA257-AB257</f>
        <v/>
      </c>
      <c r="AD257" s="184">
        <f>MAX(AD256*(1+'Model Inputs'!$B$13)+AC257,0)</f>
        <v/>
      </c>
      <c r="AE257" s="184">
        <f>MAX(AE256*(1+'Model Inputs'!$B$13)+U257+AB257,0)</f>
        <v/>
      </c>
      <c r="AF257" s="184">
        <f>AD257+AE257</f>
        <v/>
      </c>
      <c r="AG257" s="191">
        <f>IF(AND(AF257&gt;=$F$14,AF256&lt;$F$14),J257,"")</f>
        <v/>
      </c>
      <c r="AH257" s="191">
        <f>IF(AND(AF257&gt;=$F$15,AF256&lt;$F$15),J257,"")</f>
        <v/>
      </c>
      <c r="AI257" s="191">
        <f>IF(AND(AF257&gt;=$F$16,AF256&lt;$F$16),J257,"")</f>
        <v/>
      </c>
      <c r="AJ257" s="191">
        <f>IF(AND(AF257&gt;=$F$17,AF256&lt;$F$17),J257,"")</f>
        <v/>
      </c>
    </row>
    <row r="258" outlineLevel="1" ht="18" customHeight="1" s="326">
      <c r="A258" s="181">
        <f>$A$35</f>
        <v/>
      </c>
      <c r="B258" s="191">
        <f>$B$35</f>
        <v/>
      </c>
      <c r="C258" s="187">
        <f>$C$35</f>
        <v/>
      </c>
      <c r="D258" s="191">
        <f>$D$35</f>
        <v/>
      </c>
      <c r="E258" s="181">
        <f>$E$35</f>
        <v/>
      </c>
      <c r="F258" s="184">
        <f>$F$35</f>
        <v/>
      </c>
      <c r="G258" s="188">
        <f>$G$35</f>
        <v/>
      </c>
      <c r="H258" s="184">
        <f>$H$35</f>
        <v/>
      </c>
      <c r="I258" s="188">
        <f>$J$17</f>
        <v/>
      </c>
      <c r="J258" s="191" t="n">
        <v>13</v>
      </c>
      <c r="K258" s="191">
        <f>('Model Inputs'!$B$22-1)+J258</f>
        <v/>
      </c>
      <c r="L258" s="184">
        <f>IF(J258=1,'Model Inputs'!$B$25*(13-'Model Inputs'!$B$23)/12,'Model Inputs'!$B$25)</f>
        <v/>
      </c>
      <c r="M258" s="184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/>
      </c>
      <c r="N258" s="188">
        <f>IF(J258&lt;=2,0,'Model Inputs'!$B$32*SIN(2*PI()*(J258-3+'Model Inputs'!$B$34)/MAX(1,'Model Inputs'!$B$33)))</f>
        <v/>
      </c>
      <c r="O258" s="184">
        <f>M258*(1+N258)</f>
        <v/>
      </c>
      <c r="P258" s="184">
        <f>0.75*O257+0.25*O256</f>
        <v/>
      </c>
      <c r="Q258" s="184">
        <f>L258+P258+IF(J258=1,'Model Inputs'!$B$26,0)</f>
        <v/>
      </c>
      <c r="R258" s="184">
        <f>IF(J258&lt;=B258,Q258,IF(J258&lt;=B258+$J$18,L258,(SUMIFS($L$51:$L$350,$A$51:$A$350,$A258,$J$51:$J$350,$B258)+SUMIFS($O$51:$O$350,$A$51:$A$350,$A258,$J$51:$J$350,$B258))*C258))</f>
        <v/>
      </c>
      <c r="S258" s="184">
        <f>H258+F258*G258*(1+I258)^MAX(0,J258-MAX(D258,B258+$J$18+1))</f>
        <v/>
      </c>
      <c r="T258" s="184">
        <f>IF(J258&gt;=MAX(D258,B258+$J$18+1),S258,R258)</f>
        <v/>
      </c>
      <c r="U258" s="184">
        <f>MIN(T258,'Tax Assumptions'!$B$19)</f>
        <v/>
      </c>
      <c r="V258" s="184">
        <f>MAX(T258-U258-'Tax Assumptions'!$B$8,0)</f>
        <v/>
      </c>
      <c r="W258" s="184">
        <f>MAX(T258-U258-'Tax Assumptions'!$B$9,0)</f>
        <v/>
      </c>
      <c r="X258" s="184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/>
      </c>
      <c r="Y258" s="184">
        <f>T258-U258-X258</f>
        <v/>
      </c>
      <c r="Z258" s="184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/>
      </c>
      <c r="AA258" s="184">
        <f>Y258-Z258</f>
        <v/>
      </c>
      <c r="AB258" s="184">
        <f>MIN(MAX(AA258,0),'Tax Assumptions'!$B$20)</f>
        <v/>
      </c>
      <c r="AC258" s="184">
        <f>AA258-AB258</f>
        <v/>
      </c>
      <c r="AD258" s="184">
        <f>MAX(AD257*(1+'Model Inputs'!$B$13)+AC258,0)</f>
        <v/>
      </c>
      <c r="AE258" s="184">
        <f>MAX(AE257*(1+'Model Inputs'!$B$13)+U258+AB258,0)</f>
        <v/>
      </c>
      <c r="AF258" s="184">
        <f>AD258+AE258</f>
        <v/>
      </c>
      <c r="AG258" s="191">
        <f>IF(AND(AF258&gt;=$F$14,AF257&lt;$F$14),J258,"")</f>
        <v/>
      </c>
      <c r="AH258" s="191">
        <f>IF(AND(AF258&gt;=$F$15,AF257&lt;$F$15),J258,"")</f>
        <v/>
      </c>
      <c r="AI258" s="191">
        <f>IF(AND(AF258&gt;=$F$16,AF257&lt;$F$16),J258,"")</f>
        <v/>
      </c>
      <c r="AJ258" s="191">
        <f>IF(AND(AF258&gt;=$F$17,AF257&lt;$F$17),J258,"")</f>
        <v/>
      </c>
    </row>
    <row r="259" outlineLevel="1" ht="18" customHeight="1" s="326">
      <c r="A259" s="181">
        <f>$A$35</f>
        <v/>
      </c>
      <c r="B259" s="191">
        <f>$B$35</f>
        <v/>
      </c>
      <c r="C259" s="187">
        <f>$C$35</f>
        <v/>
      </c>
      <c r="D259" s="191">
        <f>$D$35</f>
        <v/>
      </c>
      <c r="E259" s="181">
        <f>$E$35</f>
        <v/>
      </c>
      <c r="F259" s="184">
        <f>$F$35</f>
        <v/>
      </c>
      <c r="G259" s="188">
        <f>$G$35</f>
        <v/>
      </c>
      <c r="H259" s="184">
        <f>$H$35</f>
        <v/>
      </c>
      <c r="I259" s="188">
        <f>$J$17</f>
        <v/>
      </c>
      <c r="J259" s="191" t="n">
        <v>14</v>
      </c>
      <c r="K259" s="191">
        <f>('Model Inputs'!$B$22-1)+J259</f>
        <v/>
      </c>
      <c r="L259" s="184">
        <f>IF(J259=1,'Model Inputs'!$B$25*(13-'Model Inputs'!$B$23)/12,'Model Inputs'!$B$25)</f>
        <v/>
      </c>
      <c r="M259" s="184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/>
      </c>
      <c r="N259" s="188">
        <f>IF(J259&lt;=2,0,'Model Inputs'!$B$32*SIN(2*PI()*(J259-3+'Model Inputs'!$B$34)/MAX(1,'Model Inputs'!$B$33)))</f>
        <v/>
      </c>
      <c r="O259" s="184">
        <f>M259*(1+N259)</f>
        <v/>
      </c>
      <c r="P259" s="184">
        <f>0.75*O258+0.25*O257</f>
        <v/>
      </c>
      <c r="Q259" s="184">
        <f>L259+P259+IF(J259=1,'Model Inputs'!$B$26,0)</f>
        <v/>
      </c>
      <c r="R259" s="184">
        <f>IF(J259&lt;=B259,Q259,IF(J259&lt;=B259+$J$18,L259,(SUMIFS($L$51:$L$350,$A$51:$A$350,$A259,$J$51:$J$350,$B259)+SUMIFS($O$51:$O$350,$A$51:$A$350,$A259,$J$51:$J$350,$B259))*C259))</f>
        <v/>
      </c>
      <c r="S259" s="184">
        <f>H259+F259*G259*(1+I259)^MAX(0,J259-MAX(D259,B259+$J$18+1))</f>
        <v/>
      </c>
      <c r="T259" s="184">
        <f>IF(J259&gt;=MAX(D259,B259+$J$18+1),S259,R259)</f>
        <v/>
      </c>
      <c r="U259" s="184">
        <f>MIN(T259,'Tax Assumptions'!$B$19)</f>
        <v/>
      </c>
      <c r="V259" s="184">
        <f>MAX(T259-U259-'Tax Assumptions'!$B$8,0)</f>
        <v/>
      </c>
      <c r="W259" s="184">
        <f>MAX(T259-U259-'Tax Assumptions'!$B$9,0)</f>
        <v/>
      </c>
      <c r="X259" s="184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/>
      </c>
      <c r="Y259" s="184">
        <f>T259-U259-X259</f>
        <v/>
      </c>
      <c r="Z259" s="184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/>
      </c>
      <c r="AA259" s="184">
        <f>Y259-Z259</f>
        <v/>
      </c>
      <c r="AB259" s="184">
        <f>MIN(MAX(AA259,0),'Tax Assumptions'!$B$20)</f>
        <v/>
      </c>
      <c r="AC259" s="184">
        <f>AA259-AB259</f>
        <v/>
      </c>
      <c r="AD259" s="184">
        <f>MAX(AD258*(1+'Model Inputs'!$B$13)+AC259,0)</f>
        <v/>
      </c>
      <c r="AE259" s="184">
        <f>MAX(AE258*(1+'Model Inputs'!$B$13)+U259+AB259,0)</f>
        <v/>
      </c>
      <c r="AF259" s="184">
        <f>AD259+AE259</f>
        <v/>
      </c>
      <c r="AG259" s="191">
        <f>IF(AND(AF259&gt;=$F$14,AF258&lt;$F$14),J259,"")</f>
        <v/>
      </c>
      <c r="AH259" s="191">
        <f>IF(AND(AF259&gt;=$F$15,AF258&lt;$F$15),J259,"")</f>
        <v/>
      </c>
      <c r="AI259" s="191">
        <f>IF(AND(AF259&gt;=$F$16,AF258&lt;$F$16),J259,"")</f>
        <v/>
      </c>
      <c r="AJ259" s="191">
        <f>IF(AND(AF259&gt;=$F$17,AF258&lt;$F$17),J259,"")</f>
        <v/>
      </c>
    </row>
    <row r="260" outlineLevel="1" ht="18" customHeight="1" s="326">
      <c r="A260" s="181">
        <f>$A$35</f>
        <v/>
      </c>
      <c r="B260" s="191">
        <f>$B$35</f>
        <v/>
      </c>
      <c r="C260" s="187">
        <f>$C$35</f>
        <v/>
      </c>
      <c r="D260" s="191">
        <f>$D$35</f>
        <v/>
      </c>
      <c r="E260" s="181">
        <f>$E$35</f>
        <v/>
      </c>
      <c r="F260" s="184">
        <f>$F$35</f>
        <v/>
      </c>
      <c r="G260" s="188">
        <f>$G$35</f>
        <v/>
      </c>
      <c r="H260" s="184">
        <f>$H$35</f>
        <v/>
      </c>
      <c r="I260" s="188">
        <f>$J$17</f>
        <v/>
      </c>
      <c r="J260" s="191" t="n">
        <v>15</v>
      </c>
      <c r="K260" s="191">
        <f>('Model Inputs'!$B$22-1)+J260</f>
        <v/>
      </c>
      <c r="L260" s="184">
        <f>IF(J260=1,'Model Inputs'!$B$25*(13-'Model Inputs'!$B$23)/12,'Model Inputs'!$B$25)</f>
        <v/>
      </c>
      <c r="M260" s="184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/>
      </c>
      <c r="N260" s="188">
        <f>IF(J260&lt;=2,0,'Model Inputs'!$B$32*SIN(2*PI()*(J260-3+'Model Inputs'!$B$34)/MAX(1,'Model Inputs'!$B$33)))</f>
        <v/>
      </c>
      <c r="O260" s="184">
        <f>M260*(1+N260)</f>
        <v/>
      </c>
      <c r="P260" s="184">
        <f>0.75*O259+0.25*O258</f>
        <v/>
      </c>
      <c r="Q260" s="184">
        <f>L260+P260+IF(J260=1,'Model Inputs'!$B$26,0)</f>
        <v/>
      </c>
      <c r="R260" s="184">
        <f>IF(J260&lt;=B260,Q260,IF(J260&lt;=B260+$J$18,L260,(SUMIFS($L$51:$L$350,$A$51:$A$350,$A260,$J$51:$J$350,$B260)+SUMIFS($O$51:$O$350,$A$51:$A$350,$A260,$J$51:$J$350,$B260))*C260))</f>
        <v/>
      </c>
      <c r="S260" s="184">
        <f>H260+F260*G260*(1+I260)^MAX(0,J260-MAX(D260,B260+$J$18+1))</f>
        <v/>
      </c>
      <c r="T260" s="184">
        <f>IF(J260&gt;=MAX(D260,B260+$J$18+1),S260,R260)</f>
        <v/>
      </c>
      <c r="U260" s="184">
        <f>MIN(T260,'Tax Assumptions'!$B$19)</f>
        <v/>
      </c>
      <c r="V260" s="184">
        <f>MAX(T260-U260-'Tax Assumptions'!$B$8,0)</f>
        <v/>
      </c>
      <c r="W260" s="184">
        <f>MAX(T260-U260-'Tax Assumptions'!$B$9,0)</f>
        <v/>
      </c>
      <c r="X260" s="184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/>
      </c>
      <c r="Y260" s="184">
        <f>T260-U260-X260</f>
        <v/>
      </c>
      <c r="Z260" s="184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/>
      </c>
      <c r="AA260" s="184">
        <f>Y260-Z260</f>
        <v/>
      </c>
      <c r="AB260" s="184">
        <f>MIN(MAX(AA260,0),'Tax Assumptions'!$B$20)</f>
        <v/>
      </c>
      <c r="AC260" s="184">
        <f>AA260-AB260</f>
        <v/>
      </c>
      <c r="AD260" s="184">
        <f>MAX(AD259*(1+'Model Inputs'!$B$13)+AC260,0)</f>
        <v/>
      </c>
      <c r="AE260" s="184">
        <f>MAX(AE259*(1+'Model Inputs'!$B$13)+U260+AB260,0)</f>
        <v/>
      </c>
      <c r="AF260" s="184">
        <f>AD260+AE260</f>
        <v/>
      </c>
      <c r="AG260" s="191">
        <f>IF(AND(AF260&gt;=$F$14,AF259&lt;$F$14),J260,"")</f>
        <v/>
      </c>
      <c r="AH260" s="191">
        <f>IF(AND(AF260&gt;=$F$15,AF259&lt;$F$15),J260,"")</f>
        <v/>
      </c>
      <c r="AI260" s="191">
        <f>IF(AND(AF260&gt;=$F$16,AF259&lt;$F$16),J260,"")</f>
        <v/>
      </c>
      <c r="AJ260" s="191">
        <f>IF(AND(AF260&gt;=$F$17,AF259&lt;$F$17),J260,"")</f>
        <v/>
      </c>
    </row>
    <row r="261" outlineLevel="1" ht="18" customHeight="1" s="326">
      <c r="A261" s="181">
        <f>$A$36</f>
        <v/>
      </c>
      <c r="B261" s="191">
        <f>$B$36</f>
        <v/>
      </c>
      <c r="C261" s="187">
        <f>$C$36</f>
        <v/>
      </c>
      <c r="D261" s="191">
        <f>$D$36</f>
        <v/>
      </c>
      <c r="E261" s="181">
        <f>$E$36</f>
        <v/>
      </c>
      <c r="F261" s="184">
        <f>$F$36</f>
        <v/>
      </c>
      <c r="G261" s="188">
        <f>$G$36</f>
        <v/>
      </c>
      <c r="H261" s="184">
        <f>$H$36</f>
        <v/>
      </c>
      <c r="I261" s="188">
        <f>$J$17</f>
        <v/>
      </c>
      <c r="J261" s="191" t="n">
        <v>1</v>
      </c>
      <c r="K261" s="191">
        <f>('Model Inputs'!$B$22-1)+J261</f>
        <v/>
      </c>
      <c r="L261" s="184">
        <f>IF(J261=1,'Model Inputs'!$B$25*(13-'Model Inputs'!$B$23)/12,'Model Inputs'!$B$25)</f>
        <v/>
      </c>
      <c r="M261" s="184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/>
      </c>
      <c r="N261" s="188">
        <f>IF(J261&lt;=2,0,'Model Inputs'!$B$32*SIN(2*PI()*(J261-3+'Model Inputs'!$B$34)/MAX(1,'Model Inputs'!$B$33)))</f>
        <v/>
      </c>
      <c r="O261" s="184">
        <f>M261*(1+N261)</f>
        <v/>
      </c>
      <c r="P261" s="184">
        <f>0</f>
        <v/>
      </c>
      <c r="Q261" s="184">
        <f>L261+P261+IF(J261=1,'Model Inputs'!$B$26,0)</f>
        <v/>
      </c>
      <c r="R261" s="184">
        <f>IF(J261&lt;=B261,Q261,IF(J261&lt;=B261+$J$18,L261,(SUMIFS($L$51:$L$350,$A$51:$A$350,$A261,$J$51:$J$350,$B261)+SUMIFS($O$51:$O$350,$A$51:$A$350,$A261,$J$51:$J$350,$B261))*C261))</f>
        <v/>
      </c>
      <c r="S261" s="184">
        <f>H261+F261*G261*(1+I261)^MAX(0,J261-MAX(D261,B261+$J$18+1))</f>
        <v/>
      </c>
      <c r="T261" s="184">
        <f>IF(J261&gt;=MAX(D261,B261+$J$18+1),S261,R261)</f>
        <v/>
      </c>
      <c r="U261" s="184">
        <f>MIN(T261,'Tax Assumptions'!$B$19)</f>
        <v/>
      </c>
      <c r="V261" s="184">
        <f>MAX(T261-U261-'Tax Assumptions'!$B$8,0)</f>
        <v/>
      </c>
      <c r="W261" s="184">
        <f>MAX(T261-U261-'Tax Assumptions'!$B$9,0)</f>
        <v/>
      </c>
      <c r="X261" s="184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/>
      </c>
      <c r="Y261" s="184">
        <f>T261-U261-X261</f>
        <v/>
      </c>
      <c r="Z261" s="184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/>
      </c>
      <c r="AA261" s="184">
        <f>Y261-Z261</f>
        <v/>
      </c>
      <c r="AB261" s="184">
        <f>MIN(MAX(AA261,0),'Tax Assumptions'!$B$20)</f>
        <v/>
      </c>
      <c r="AC261" s="184">
        <f>AA261-AB261</f>
        <v/>
      </c>
      <c r="AD261" s="184">
        <f>MAX('Model Inputs'!$B$7*(1+'Model Inputs'!$B$13)+AC261,0)</f>
        <v/>
      </c>
      <c r="AE261" s="184">
        <f>MAX(('Model Inputs'!$B$8+'Model Inputs'!$B$9+'Model Inputs'!$B$10)*(1+'Model Inputs'!$B$13)+U261+AB261,0)</f>
        <v/>
      </c>
      <c r="AF261" s="184">
        <f>AD261+AE261</f>
        <v/>
      </c>
      <c r="AG261" s="191">
        <f>IF(AND(AF261&gt;=$F$14,0&lt;$F$14),J261,"")</f>
        <v/>
      </c>
      <c r="AH261" s="191">
        <f>IF(AND(AF261&gt;=$F$15,0&lt;$F$15),J261,"")</f>
        <v/>
      </c>
      <c r="AI261" s="191">
        <f>IF(AND(AF261&gt;=$F$16,0&lt;$F$16),J261,"")</f>
        <v/>
      </c>
      <c r="AJ261" s="191">
        <f>IF(AND(AF261&gt;=$F$17,0&lt;$F$17),J261,"")</f>
        <v/>
      </c>
    </row>
    <row r="262" outlineLevel="1" ht="18" customHeight="1" s="326">
      <c r="A262" s="181">
        <f>$A$36</f>
        <v/>
      </c>
      <c r="B262" s="191">
        <f>$B$36</f>
        <v/>
      </c>
      <c r="C262" s="187">
        <f>$C$36</f>
        <v/>
      </c>
      <c r="D262" s="191">
        <f>$D$36</f>
        <v/>
      </c>
      <c r="E262" s="181">
        <f>$E$36</f>
        <v/>
      </c>
      <c r="F262" s="184">
        <f>$F$36</f>
        <v/>
      </c>
      <c r="G262" s="188">
        <f>$G$36</f>
        <v/>
      </c>
      <c r="H262" s="184">
        <f>$H$36</f>
        <v/>
      </c>
      <c r="I262" s="188">
        <f>$J$17</f>
        <v/>
      </c>
      <c r="J262" s="191" t="n">
        <v>2</v>
      </c>
      <c r="K262" s="191">
        <f>('Model Inputs'!$B$22-1)+J262</f>
        <v/>
      </c>
      <c r="L262" s="184">
        <f>IF(J262=1,'Model Inputs'!$B$25*(13-'Model Inputs'!$B$23)/12,'Model Inputs'!$B$25)</f>
        <v/>
      </c>
      <c r="M262" s="184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/>
      </c>
      <c r="N262" s="188">
        <f>IF(J262&lt;=2,0,'Model Inputs'!$B$32*SIN(2*PI()*(J262-3+'Model Inputs'!$B$34)/MAX(1,'Model Inputs'!$B$33)))</f>
        <v/>
      </c>
      <c r="O262" s="184">
        <f>M262*(1+N262)</f>
        <v/>
      </c>
      <c r="P262" s="184">
        <f>0.75*O261</f>
        <v/>
      </c>
      <c r="Q262" s="184">
        <f>L262+P262+IF(J262=1,'Model Inputs'!$B$26,0)</f>
        <v/>
      </c>
      <c r="R262" s="184">
        <f>IF(J262&lt;=B262,Q262,IF(J262&lt;=B262+$J$18,L262,(SUMIFS($L$51:$L$350,$A$51:$A$350,$A262,$J$51:$J$350,$B262)+SUMIFS($O$51:$O$350,$A$51:$A$350,$A262,$J$51:$J$350,$B262))*C262))</f>
        <v/>
      </c>
      <c r="S262" s="184">
        <f>H262+F262*G262*(1+I262)^MAX(0,J262-MAX(D262,B262+$J$18+1))</f>
        <v/>
      </c>
      <c r="T262" s="184">
        <f>IF(J262&gt;=MAX(D262,B262+$J$18+1),S262,R262)</f>
        <v/>
      </c>
      <c r="U262" s="184">
        <f>MIN(T262,'Tax Assumptions'!$B$19)</f>
        <v/>
      </c>
      <c r="V262" s="184">
        <f>MAX(T262-U262-'Tax Assumptions'!$B$8,0)</f>
        <v/>
      </c>
      <c r="W262" s="184">
        <f>MAX(T262-U262-'Tax Assumptions'!$B$9,0)</f>
        <v/>
      </c>
      <c r="X262" s="184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/>
      </c>
      <c r="Y262" s="184">
        <f>T262-U262-X262</f>
        <v/>
      </c>
      <c r="Z262" s="184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/>
      </c>
      <c r="AA262" s="184">
        <f>Y262-Z262</f>
        <v/>
      </c>
      <c r="AB262" s="184">
        <f>MIN(MAX(AA262,0),'Tax Assumptions'!$B$20)</f>
        <v/>
      </c>
      <c r="AC262" s="184">
        <f>AA262-AB262</f>
        <v/>
      </c>
      <c r="AD262" s="184">
        <f>MAX(AD261*(1+'Model Inputs'!$B$13)+AC262,0)</f>
        <v/>
      </c>
      <c r="AE262" s="184">
        <f>MAX(AE261*(1+'Model Inputs'!$B$13)+U262+AB262,0)</f>
        <v/>
      </c>
      <c r="AF262" s="184">
        <f>AD262+AE262</f>
        <v/>
      </c>
      <c r="AG262" s="191">
        <f>IF(AND(AF262&gt;=$F$14,AF261&lt;$F$14),J262,"")</f>
        <v/>
      </c>
      <c r="AH262" s="191">
        <f>IF(AND(AF262&gt;=$F$15,AF261&lt;$F$15),J262,"")</f>
        <v/>
      </c>
      <c r="AI262" s="191">
        <f>IF(AND(AF262&gt;=$F$16,AF261&lt;$F$16),J262,"")</f>
        <v/>
      </c>
      <c r="AJ262" s="191">
        <f>IF(AND(AF262&gt;=$F$17,AF261&lt;$F$17),J262,"")</f>
        <v/>
      </c>
    </row>
    <row r="263" outlineLevel="1" ht="18" customHeight="1" s="326">
      <c r="A263" s="181">
        <f>$A$36</f>
        <v/>
      </c>
      <c r="B263" s="191">
        <f>$B$36</f>
        <v/>
      </c>
      <c r="C263" s="187">
        <f>$C$36</f>
        <v/>
      </c>
      <c r="D263" s="191">
        <f>$D$36</f>
        <v/>
      </c>
      <c r="E263" s="181">
        <f>$E$36</f>
        <v/>
      </c>
      <c r="F263" s="184">
        <f>$F$36</f>
        <v/>
      </c>
      <c r="G263" s="188">
        <f>$G$36</f>
        <v/>
      </c>
      <c r="H263" s="184">
        <f>$H$36</f>
        <v/>
      </c>
      <c r="I263" s="188">
        <f>$J$17</f>
        <v/>
      </c>
      <c r="J263" s="191" t="n">
        <v>3</v>
      </c>
      <c r="K263" s="191">
        <f>('Model Inputs'!$B$22-1)+J263</f>
        <v/>
      </c>
      <c r="L263" s="184">
        <f>IF(J263=1,'Model Inputs'!$B$25*(13-'Model Inputs'!$B$23)/12,'Model Inputs'!$B$25)</f>
        <v/>
      </c>
      <c r="M263" s="184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/>
      </c>
      <c r="N263" s="188">
        <f>IF(J263&lt;=2,0,'Model Inputs'!$B$32*SIN(2*PI()*(J263-3+'Model Inputs'!$B$34)/MAX(1,'Model Inputs'!$B$33)))</f>
        <v/>
      </c>
      <c r="O263" s="184">
        <f>M263*(1+N263)</f>
        <v/>
      </c>
      <c r="P263" s="184">
        <f>0.75*O262+0.25*O261</f>
        <v/>
      </c>
      <c r="Q263" s="184">
        <f>L263+P263+IF(J263=1,'Model Inputs'!$B$26,0)</f>
        <v/>
      </c>
      <c r="R263" s="184">
        <f>IF(J263&lt;=B263,Q263,IF(J263&lt;=B263+$J$18,L263,(SUMIFS($L$51:$L$350,$A$51:$A$350,$A263,$J$51:$J$350,$B263)+SUMIFS($O$51:$O$350,$A$51:$A$350,$A263,$J$51:$J$350,$B263))*C263))</f>
        <v/>
      </c>
      <c r="S263" s="184">
        <f>H263+F263*G263*(1+I263)^MAX(0,J263-MAX(D263,B263+$J$18+1))</f>
        <v/>
      </c>
      <c r="T263" s="184">
        <f>IF(J263&gt;=MAX(D263,B263+$J$18+1),S263,R263)</f>
        <v/>
      </c>
      <c r="U263" s="184">
        <f>MIN(T263,'Tax Assumptions'!$B$19)</f>
        <v/>
      </c>
      <c r="V263" s="184">
        <f>MAX(T263-U263-'Tax Assumptions'!$B$8,0)</f>
        <v/>
      </c>
      <c r="W263" s="184">
        <f>MAX(T263-U263-'Tax Assumptions'!$B$9,0)</f>
        <v/>
      </c>
      <c r="X263" s="184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/>
      </c>
      <c r="Y263" s="184">
        <f>T263-U263-X263</f>
        <v/>
      </c>
      <c r="Z263" s="184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/>
      </c>
      <c r="AA263" s="184">
        <f>Y263-Z263</f>
        <v/>
      </c>
      <c r="AB263" s="184">
        <f>MIN(MAX(AA263,0),'Tax Assumptions'!$B$20)</f>
        <v/>
      </c>
      <c r="AC263" s="184">
        <f>AA263-AB263</f>
        <v/>
      </c>
      <c r="AD263" s="184">
        <f>MAX(AD262*(1+'Model Inputs'!$B$13)+AC263,0)</f>
        <v/>
      </c>
      <c r="AE263" s="184">
        <f>MAX(AE262*(1+'Model Inputs'!$B$13)+U263+AB263,0)</f>
        <v/>
      </c>
      <c r="AF263" s="184">
        <f>AD263+AE263</f>
        <v/>
      </c>
      <c r="AG263" s="191">
        <f>IF(AND(AF263&gt;=$F$14,AF262&lt;$F$14),J263,"")</f>
        <v/>
      </c>
      <c r="AH263" s="191">
        <f>IF(AND(AF263&gt;=$F$15,AF262&lt;$F$15),J263,"")</f>
        <v/>
      </c>
      <c r="AI263" s="191">
        <f>IF(AND(AF263&gt;=$F$16,AF262&lt;$F$16),J263,"")</f>
        <v/>
      </c>
      <c r="AJ263" s="191">
        <f>IF(AND(AF263&gt;=$F$17,AF262&lt;$F$17),J263,"")</f>
        <v/>
      </c>
    </row>
    <row r="264" outlineLevel="1" ht="18" customHeight="1" s="326">
      <c r="A264" s="181">
        <f>$A$36</f>
        <v/>
      </c>
      <c r="B264" s="191">
        <f>$B$36</f>
        <v/>
      </c>
      <c r="C264" s="187">
        <f>$C$36</f>
        <v/>
      </c>
      <c r="D264" s="191">
        <f>$D$36</f>
        <v/>
      </c>
      <c r="E264" s="181">
        <f>$E$36</f>
        <v/>
      </c>
      <c r="F264" s="184">
        <f>$F$36</f>
        <v/>
      </c>
      <c r="G264" s="188">
        <f>$G$36</f>
        <v/>
      </c>
      <c r="H264" s="184">
        <f>$H$36</f>
        <v/>
      </c>
      <c r="I264" s="188">
        <f>$J$17</f>
        <v/>
      </c>
      <c r="J264" s="191" t="n">
        <v>4</v>
      </c>
      <c r="K264" s="191">
        <f>('Model Inputs'!$B$22-1)+J264</f>
        <v/>
      </c>
      <c r="L264" s="184">
        <f>IF(J264=1,'Model Inputs'!$B$25*(13-'Model Inputs'!$B$23)/12,'Model Inputs'!$B$25)</f>
        <v/>
      </c>
      <c r="M264" s="184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/>
      </c>
      <c r="N264" s="188">
        <f>IF(J264&lt;=2,0,'Model Inputs'!$B$32*SIN(2*PI()*(J264-3+'Model Inputs'!$B$34)/MAX(1,'Model Inputs'!$B$33)))</f>
        <v/>
      </c>
      <c r="O264" s="184">
        <f>M264*(1+N264)</f>
        <v/>
      </c>
      <c r="P264" s="184">
        <f>0.75*O263+0.25*O262</f>
        <v/>
      </c>
      <c r="Q264" s="184">
        <f>L264+P264+IF(J264=1,'Model Inputs'!$B$26,0)</f>
        <v/>
      </c>
      <c r="R264" s="184">
        <f>IF(J264&lt;=B264,Q264,IF(J264&lt;=B264+$J$18,L264,(SUMIFS($L$51:$L$350,$A$51:$A$350,$A264,$J$51:$J$350,$B264)+SUMIFS($O$51:$O$350,$A$51:$A$350,$A264,$J$51:$J$350,$B264))*C264))</f>
        <v/>
      </c>
      <c r="S264" s="184">
        <f>H264+F264*G264*(1+I264)^MAX(0,J264-MAX(D264,B264+$J$18+1))</f>
        <v/>
      </c>
      <c r="T264" s="184">
        <f>IF(J264&gt;=MAX(D264,B264+$J$18+1),S264,R264)</f>
        <v/>
      </c>
      <c r="U264" s="184">
        <f>MIN(T264,'Tax Assumptions'!$B$19)</f>
        <v/>
      </c>
      <c r="V264" s="184">
        <f>MAX(T264-U264-'Tax Assumptions'!$B$8,0)</f>
        <v/>
      </c>
      <c r="W264" s="184">
        <f>MAX(T264-U264-'Tax Assumptions'!$B$9,0)</f>
        <v/>
      </c>
      <c r="X264" s="184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/>
      </c>
      <c r="Y264" s="184">
        <f>T264-U264-X264</f>
        <v/>
      </c>
      <c r="Z264" s="184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/>
      </c>
      <c r="AA264" s="184">
        <f>Y264-Z264</f>
        <v/>
      </c>
      <c r="AB264" s="184">
        <f>MIN(MAX(AA264,0),'Tax Assumptions'!$B$20)</f>
        <v/>
      </c>
      <c r="AC264" s="184">
        <f>AA264-AB264</f>
        <v/>
      </c>
      <c r="AD264" s="184">
        <f>MAX(AD263*(1+'Model Inputs'!$B$13)+AC264,0)</f>
        <v/>
      </c>
      <c r="AE264" s="184">
        <f>MAX(AE263*(1+'Model Inputs'!$B$13)+U264+AB264,0)</f>
        <v/>
      </c>
      <c r="AF264" s="184">
        <f>AD264+AE264</f>
        <v/>
      </c>
      <c r="AG264" s="191">
        <f>IF(AND(AF264&gt;=$F$14,AF263&lt;$F$14),J264,"")</f>
        <v/>
      </c>
      <c r="AH264" s="191">
        <f>IF(AND(AF264&gt;=$F$15,AF263&lt;$F$15),J264,"")</f>
        <v/>
      </c>
      <c r="AI264" s="191">
        <f>IF(AND(AF264&gt;=$F$16,AF263&lt;$F$16),J264,"")</f>
        <v/>
      </c>
      <c r="AJ264" s="191">
        <f>IF(AND(AF264&gt;=$F$17,AF263&lt;$F$17),J264,"")</f>
        <v/>
      </c>
    </row>
    <row r="265" outlineLevel="1" ht="18" customHeight="1" s="326">
      <c r="A265" s="181">
        <f>$A$36</f>
        <v/>
      </c>
      <c r="B265" s="191">
        <f>$B$36</f>
        <v/>
      </c>
      <c r="C265" s="187">
        <f>$C$36</f>
        <v/>
      </c>
      <c r="D265" s="191">
        <f>$D$36</f>
        <v/>
      </c>
      <c r="E265" s="181">
        <f>$E$36</f>
        <v/>
      </c>
      <c r="F265" s="184">
        <f>$F$36</f>
        <v/>
      </c>
      <c r="G265" s="188">
        <f>$G$36</f>
        <v/>
      </c>
      <c r="H265" s="184">
        <f>$H$36</f>
        <v/>
      </c>
      <c r="I265" s="188">
        <f>$J$17</f>
        <v/>
      </c>
      <c r="J265" s="191" t="n">
        <v>5</v>
      </c>
      <c r="K265" s="191">
        <f>('Model Inputs'!$B$22-1)+J265</f>
        <v/>
      </c>
      <c r="L265" s="184">
        <f>IF(J265=1,'Model Inputs'!$B$25*(13-'Model Inputs'!$B$23)/12,'Model Inputs'!$B$25)</f>
        <v/>
      </c>
      <c r="M265" s="184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/>
      </c>
      <c r="N265" s="188">
        <f>IF(J265&lt;=2,0,'Model Inputs'!$B$32*SIN(2*PI()*(J265-3+'Model Inputs'!$B$34)/MAX(1,'Model Inputs'!$B$33)))</f>
        <v/>
      </c>
      <c r="O265" s="184">
        <f>M265*(1+N265)</f>
        <v/>
      </c>
      <c r="P265" s="184">
        <f>0.75*O264+0.25*O263</f>
        <v/>
      </c>
      <c r="Q265" s="184">
        <f>L265+P265+IF(J265=1,'Model Inputs'!$B$26,0)</f>
        <v/>
      </c>
      <c r="R265" s="184">
        <f>IF(J265&lt;=B265,Q265,IF(J265&lt;=B265+$J$18,L265,(SUMIFS($L$51:$L$350,$A$51:$A$350,$A265,$J$51:$J$350,$B265)+SUMIFS($O$51:$O$350,$A$51:$A$350,$A265,$J$51:$J$350,$B265))*C265))</f>
        <v/>
      </c>
      <c r="S265" s="184">
        <f>H265+F265*G265*(1+I265)^MAX(0,J265-MAX(D265,B265+$J$18+1))</f>
        <v/>
      </c>
      <c r="T265" s="184">
        <f>IF(J265&gt;=MAX(D265,B265+$J$18+1),S265,R265)</f>
        <v/>
      </c>
      <c r="U265" s="184">
        <f>MIN(T265,'Tax Assumptions'!$B$19)</f>
        <v/>
      </c>
      <c r="V265" s="184">
        <f>MAX(T265-U265-'Tax Assumptions'!$B$8,0)</f>
        <v/>
      </c>
      <c r="W265" s="184">
        <f>MAX(T265-U265-'Tax Assumptions'!$B$9,0)</f>
        <v/>
      </c>
      <c r="X265" s="184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/>
      </c>
      <c r="Y265" s="184">
        <f>T265-U265-X265</f>
        <v/>
      </c>
      <c r="Z265" s="184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/>
      </c>
      <c r="AA265" s="184">
        <f>Y265-Z265</f>
        <v/>
      </c>
      <c r="AB265" s="184">
        <f>MIN(MAX(AA265,0),'Tax Assumptions'!$B$20)</f>
        <v/>
      </c>
      <c r="AC265" s="184">
        <f>AA265-AB265</f>
        <v/>
      </c>
      <c r="AD265" s="184">
        <f>MAX(AD264*(1+'Model Inputs'!$B$13)+AC265,0)</f>
        <v/>
      </c>
      <c r="AE265" s="184">
        <f>MAX(AE264*(1+'Model Inputs'!$B$13)+U265+AB265,0)</f>
        <v/>
      </c>
      <c r="AF265" s="184">
        <f>AD265+AE265</f>
        <v/>
      </c>
      <c r="AG265" s="191">
        <f>IF(AND(AF265&gt;=$F$14,AF264&lt;$F$14),J265,"")</f>
        <v/>
      </c>
      <c r="AH265" s="191">
        <f>IF(AND(AF265&gt;=$F$15,AF264&lt;$F$15),J265,"")</f>
        <v/>
      </c>
      <c r="AI265" s="191">
        <f>IF(AND(AF265&gt;=$F$16,AF264&lt;$F$16),J265,"")</f>
        <v/>
      </c>
      <c r="AJ265" s="191">
        <f>IF(AND(AF265&gt;=$F$17,AF264&lt;$F$17),J265,"")</f>
        <v/>
      </c>
    </row>
    <row r="266" outlineLevel="1" ht="18" customHeight="1" s="326">
      <c r="A266" s="181">
        <f>$A$36</f>
        <v/>
      </c>
      <c r="B266" s="191">
        <f>$B$36</f>
        <v/>
      </c>
      <c r="C266" s="187">
        <f>$C$36</f>
        <v/>
      </c>
      <c r="D266" s="191">
        <f>$D$36</f>
        <v/>
      </c>
      <c r="E266" s="181">
        <f>$E$36</f>
        <v/>
      </c>
      <c r="F266" s="184">
        <f>$F$36</f>
        <v/>
      </c>
      <c r="G266" s="188">
        <f>$G$36</f>
        <v/>
      </c>
      <c r="H266" s="184">
        <f>$H$36</f>
        <v/>
      </c>
      <c r="I266" s="188">
        <f>$J$17</f>
        <v/>
      </c>
      <c r="J266" s="191" t="n">
        <v>6</v>
      </c>
      <c r="K266" s="191">
        <f>('Model Inputs'!$B$22-1)+J266</f>
        <v/>
      </c>
      <c r="L266" s="184">
        <f>IF(J266=1,'Model Inputs'!$B$25*(13-'Model Inputs'!$B$23)/12,'Model Inputs'!$B$25)</f>
        <v/>
      </c>
      <c r="M266" s="184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/>
      </c>
      <c r="N266" s="188">
        <f>IF(J266&lt;=2,0,'Model Inputs'!$B$32*SIN(2*PI()*(J266-3+'Model Inputs'!$B$34)/MAX(1,'Model Inputs'!$B$33)))</f>
        <v/>
      </c>
      <c r="O266" s="184">
        <f>M266*(1+N266)</f>
        <v/>
      </c>
      <c r="P266" s="184">
        <f>0.75*O265+0.25*O264</f>
        <v/>
      </c>
      <c r="Q266" s="184">
        <f>L266+P266+IF(J266=1,'Model Inputs'!$B$26,0)</f>
        <v/>
      </c>
      <c r="R266" s="184">
        <f>IF(J266&lt;=B266,Q266,IF(J266&lt;=B266+$J$18,L266,(SUMIFS($L$51:$L$350,$A$51:$A$350,$A266,$J$51:$J$350,$B266)+SUMIFS($O$51:$O$350,$A$51:$A$350,$A266,$J$51:$J$350,$B266))*C266))</f>
        <v/>
      </c>
      <c r="S266" s="184">
        <f>H266+F266*G266*(1+I266)^MAX(0,J266-MAX(D266,B266+$J$18+1))</f>
        <v/>
      </c>
      <c r="T266" s="184">
        <f>IF(J266&gt;=MAX(D266,B266+$J$18+1),S266,R266)</f>
        <v/>
      </c>
      <c r="U266" s="184">
        <f>MIN(T266,'Tax Assumptions'!$B$19)</f>
        <v/>
      </c>
      <c r="V266" s="184">
        <f>MAX(T266-U266-'Tax Assumptions'!$B$8,0)</f>
        <v/>
      </c>
      <c r="W266" s="184">
        <f>MAX(T266-U266-'Tax Assumptions'!$B$9,0)</f>
        <v/>
      </c>
      <c r="X266" s="184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/>
      </c>
      <c r="Y266" s="184">
        <f>T266-U266-X266</f>
        <v/>
      </c>
      <c r="Z266" s="184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/>
      </c>
      <c r="AA266" s="184">
        <f>Y266-Z266</f>
        <v/>
      </c>
      <c r="AB266" s="184">
        <f>MIN(MAX(AA266,0),'Tax Assumptions'!$B$20)</f>
        <v/>
      </c>
      <c r="AC266" s="184">
        <f>AA266-AB266</f>
        <v/>
      </c>
      <c r="AD266" s="184">
        <f>MAX(AD265*(1+'Model Inputs'!$B$13)+AC266,0)</f>
        <v/>
      </c>
      <c r="AE266" s="184">
        <f>MAX(AE265*(1+'Model Inputs'!$B$13)+U266+AB266,0)</f>
        <v/>
      </c>
      <c r="AF266" s="184">
        <f>AD266+AE266</f>
        <v/>
      </c>
      <c r="AG266" s="191">
        <f>IF(AND(AF266&gt;=$F$14,AF265&lt;$F$14),J266,"")</f>
        <v/>
      </c>
      <c r="AH266" s="191">
        <f>IF(AND(AF266&gt;=$F$15,AF265&lt;$F$15),J266,"")</f>
        <v/>
      </c>
      <c r="AI266" s="191">
        <f>IF(AND(AF266&gt;=$F$16,AF265&lt;$F$16),J266,"")</f>
        <v/>
      </c>
      <c r="AJ266" s="191">
        <f>IF(AND(AF266&gt;=$F$17,AF265&lt;$F$17),J266,"")</f>
        <v/>
      </c>
    </row>
    <row r="267" outlineLevel="1" ht="18" customHeight="1" s="326">
      <c r="A267" s="181">
        <f>$A$36</f>
        <v/>
      </c>
      <c r="B267" s="191">
        <f>$B$36</f>
        <v/>
      </c>
      <c r="C267" s="187">
        <f>$C$36</f>
        <v/>
      </c>
      <c r="D267" s="191">
        <f>$D$36</f>
        <v/>
      </c>
      <c r="E267" s="181">
        <f>$E$36</f>
        <v/>
      </c>
      <c r="F267" s="184">
        <f>$F$36</f>
        <v/>
      </c>
      <c r="G267" s="188">
        <f>$G$36</f>
        <v/>
      </c>
      <c r="H267" s="184">
        <f>$H$36</f>
        <v/>
      </c>
      <c r="I267" s="188">
        <f>$J$17</f>
        <v/>
      </c>
      <c r="J267" s="191" t="n">
        <v>7</v>
      </c>
      <c r="K267" s="191">
        <f>('Model Inputs'!$B$22-1)+J267</f>
        <v/>
      </c>
      <c r="L267" s="184">
        <f>IF(J267=1,'Model Inputs'!$B$25*(13-'Model Inputs'!$B$23)/12,'Model Inputs'!$B$25)</f>
        <v/>
      </c>
      <c r="M267" s="184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/>
      </c>
      <c r="N267" s="188">
        <f>IF(J267&lt;=2,0,'Model Inputs'!$B$32*SIN(2*PI()*(J267-3+'Model Inputs'!$B$34)/MAX(1,'Model Inputs'!$B$33)))</f>
        <v/>
      </c>
      <c r="O267" s="184">
        <f>M267*(1+N267)</f>
        <v/>
      </c>
      <c r="P267" s="184">
        <f>0.75*O266+0.25*O265</f>
        <v/>
      </c>
      <c r="Q267" s="184">
        <f>L267+P267+IF(J267=1,'Model Inputs'!$B$26,0)</f>
        <v/>
      </c>
      <c r="R267" s="184">
        <f>IF(J267&lt;=B267,Q267,IF(J267&lt;=B267+$J$18,L267,(SUMIFS($L$51:$L$350,$A$51:$A$350,$A267,$J$51:$J$350,$B267)+SUMIFS($O$51:$O$350,$A$51:$A$350,$A267,$J$51:$J$350,$B267))*C267))</f>
        <v/>
      </c>
      <c r="S267" s="184">
        <f>H267+F267*G267*(1+I267)^MAX(0,J267-MAX(D267,B267+$J$18+1))</f>
        <v/>
      </c>
      <c r="T267" s="184">
        <f>IF(J267&gt;=MAX(D267,B267+$J$18+1),S267,R267)</f>
        <v/>
      </c>
      <c r="U267" s="184">
        <f>MIN(T267,'Tax Assumptions'!$B$19)</f>
        <v/>
      </c>
      <c r="V267" s="184">
        <f>MAX(T267-U267-'Tax Assumptions'!$B$8,0)</f>
        <v/>
      </c>
      <c r="W267" s="184">
        <f>MAX(T267-U267-'Tax Assumptions'!$B$9,0)</f>
        <v/>
      </c>
      <c r="X267" s="184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/>
      </c>
      <c r="Y267" s="184">
        <f>T267-U267-X267</f>
        <v/>
      </c>
      <c r="Z267" s="184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/>
      </c>
      <c r="AA267" s="184">
        <f>Y267-Z267</f>
        <v/>
      </c>
      <c r="AB267" s="184">
        <f>MIN(MAX(AA267,0),'Tax Assumptions'!$B$20)</f>
        <v/>
      </c>
      <c r="AC267" s="184">
        <f>AA267-AB267</f>
        <v/>
      </c>
      <c r="AD267" s="184">
        <f>MAX(AD266*(1+'Model Inputs'!$B$13)+AC267,0)</f>
        <v/>
      </c>
      <c r="AE267" s="184">
        <f>MAX(AE266*(1+'Model Inputs'!$B$13)+U267+AB267,0)</f>
        <v/>
      </c>
      <c r="AF267" s="184">
        <f>AD267+AE267</f>
        <v/>
      </c>
      <c r="AG267" s="191">
        <f>IF(AND(AF267&gt;=$F$14,AF266&lt;$F$14),J267,"")</f>
        <v/>
      </c>
      <c r="AH267" s="191">
        <f>IF(AND(AF267&gt;=$F$15,AF266&lt;$F$15),J267,"")</f>
        <v/>
      </c>
      <c r="AI267" s="191">
        <f>IF(AND(AF267&gt;=$F$16,AF266&lt;$F$16),J267,"")</f>
        <v/>
      </c>
      <c r="AJ267" s="191">
        <f>IF(AND(AF267&gt;=$F$17,AF266&lt;$F$17),J267,"")</f>
        <v/>
      </c>
    </row>
    <row r="268" outlineLevel="1" ht="18" customHeight="1" s="326">
      <c r="A268" s="181">
        <f>$A$36</f>
        <v/>
      </c>
      <c r="B268" s="191">
        <f>$B$36</f>
        <v/>
      </c>
      <c r="C268" s="187">
        <f>$C$36</f>
        <v/>
      </c>
      <c r="D268" s="191">
        <f>$D$36</f>
        <v/>
      </c>
      <c r="E268" s="181">
        <f>$E$36</f>
        <v/>
      </c>
      <c r="F268" s="184">
        <f>$F$36</f>
        <v/>
      </c>
      <c r="G268" s="188">
        <f>$G$36</f>
        <v/>
      </c>
      <c r="H268" s="184">
        <f>$H$36</f>
        <v/>
      </c>
      <c r="I268" s="188">
        <f>$J$17</f>
        <v/>
      </c>
      <c r="J268" s="191" t="n">
        <v>8</v>
      </c>
      <c r="K268" s="191">
        <f>('Model Inputs'!$B$22-1)+J268</f>
        <v/>
      </c>
      <c r="L268" s="184">
        <f>IF(J268=1,'Model Inputs'!$B$25*(13-'Model Inputs'!$B$23)/12,'Model Inputs'!$B$25)</f>
        <v/>
      </c>
      <c r="M268" s="184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/>
      </c>
      <c r="N268" s="188">
        <f>IF(J268&lt;=2,0,'Model Inputs'!$B$32*SIN(2*PI()*(J268-3+'Model Inputs'!$B$34)/MAX(1,'Model Inputs'!$B$33)))</f>
        <v/>
      </c>
      <c r="O268" s="184">
        <f>M268*(1+N268)</f>
        <v/>
      </c>
      <c r="P268" s="184">
        <f>0.75*O267+0.25*O266</f>
        <v/>
      </c>
      <c r="Q268" s="184">
        <f>L268+P268+IF(J268=1,'Model Inputs'!$B$26,0)</f>
        <v/>
      </c>
      <c r="R268" s="184">
        <f>IF(J268&lt;=B268,Q268,IF(J268&lt;=B268+$J$18,L268,(SUMIFS($L$51:$L$350,$A$51:$A$350,$A268,$J$51:$J$350,$B268)+SUMIFS($O$51:$O$350,$A$51:$A$350,$A268,$J$51:$J$350,$B268))*C268))</f>
        <v/>
      </c>
      <c r="S268" s="184">
        <f>H268+F268*G268*(1+I268)^MAX(0,J268-MAX(D268,B268+$J$18+1))</f>
        <v/>
      </c>
      <c r="T268" s="184">
        <f>IF(J268&gt;=MAX(D268,B268+$J$18+1),S268,R268)</f>
        <v/>
      </c>
      <c r="U268" s="184">
        <f>MIN(T268,'Tax Assumptions'!$B$19)</f>
        <v/>
      </c>
      <c r="V268" s="184">
        <f>MAX(T268-U268-'Tax Assumptions'!$B$8,0)</f>
        <v/>
      </c>
      <c r="W268" s="184">
        <f>MAX(T268-U268-'Tax Assumptions'!$B$9,0)</f>
        <v/>
      </c>
      <c r="X268" s="184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/>
      </c>
      <c r="Y268" s="184">
        <f>T268-U268-X268</f>
        <v/>
      </c>
      <c r="Z268" s="184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/>
      </c>
      <c r="AA268" s="184">
        <f>Y268-Z268</f>
        <v/>
      </c>
      <c r="AB268" s="184">
        <f>MIN(MAX(AA268,0),'Tax Assumptions'!$B$20)</f>
        <v/>
      </c>
      <c r="AC268" s="184">
        <f>AA268-AB268</f>
        <v/>
      </c>
      <c r="AD268" s="184">
        <f>MAX(AD267*(1+'Model Inputs'!$B$13)+AC268,0)</f>
        <v/>
      </c>
      <c r="AE268" s="184">
        <f>MAX(AE267*(1+'Model Inputs'!$B$13)+U268+AB268,0)</f>
        <v/>
      </c>
      <c r="AF268" s="184">
        <f>AD268+AE268</f>
        <v/>
      </c>
      <c r="AG268" s="191">
        <f>IF(AND(AF268&gt;=$F$14,AF267&lt;$F$14),J268,"")</f>
        <v/>
      </c>
      <c r="AH268" s="191">
        <f>IF(AND(AF268&gt;=$F$15,AF267&lt;$F$15),J268,"")</f>
        <v/>
      </c>
      <c r="AI268" s="191">
        <f>IF(AND(AF268&gt;=$F$16,AF267&lt;$F$16),J268,"")</f>
        <v/>
      </c>
      <c r="AJ268" s="191">
        <f>IF(AND(AF268&gt;=$F$17,AF267&lt;$F$17),J268,"")</f>
        <v/>
      </c>
    </row>
    <row r="269" outlineLevel="1" ht="18" customHeight="1" s="326">
      <c r="A269" s="181">
        <f>$A$36</f>
        <v/>
      </c>
      <c r="B269" s="191">
        <f>$B$36</f>
        <v/>
      </c>
      <c r="C269" s="187">
        <f>$C$36</f>
        <v/>
      </c>
      <c r="D269" s="191">
        <f>$D$36</f>
        <v/>
      </c>
      <c r="E269" s="181">
        <f>$E$36</f>
        <v/>
      </c>
      <c r="F269" s="184">
        <f>$F$36</f>
        <v/>
      </c>
      <c r="G269" s="188">
        <f>$G$36</f>
        <v/>
      </c>
      <c r="H269" s="184">
        <f>$H$36</f>
        <v/>
      </c>
      <c r="I269" s="188">
        <f>$J$17</f>
        <v/>
      </c>
      <c r="J269" s="191" t="n">
        <v>9</v>
      </c>
      <c r="K269" s="191">
        <f>('Model Inputs'!$B$22-1)+J269</f>
        <v/>
      </c>
      <c r="L269" s="184">
        <f>IF(J269=1,'Model Inputs'!$B$25*(13-'Model Inputs'!$B$23)/12,'Model Inputs'!$B$25)</f>
        <v/>
      </c>
      <c r="M269" s="184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/>
      </c>
      <c r="N269" s="188">
        <f>IF(J269&lt;=2,0,'Model Inputs'!$B$32*SIN(2*PI()*(J269-3+'Model Inputs'!$B$34)/MAX(1,'Model Inputs'!$B$33)))</f>
        <v/>
      </c>
      <c r="O269" s="184">
        <f>M269*(1+N269)</f>
        <v/>
      </c>
      <c r="P269" s="184">
        <f>0.75*O268+0.25*O267</f>
        <v/>
      </c>
      <c r="Q269" s="184">
        <f>L269+P269+IF(J269=1,'Model Inputs'!$B$26,0)</f>
        <v/>
      </c>
      <c r="R269" s="184">
        <f>IF(J269&lt;=B269,Q269,IF(J269&lt;=B269+$J$18,L269,(SUMIFS($L$51:$L$350,$A$51:$A$350,$A269,$J$51:$J$350,$B269)+SUMIFS($O$51:$O$350,$A$51:$A$350,$A269,$J$51:$J$350,$B269))*C269))</f>
        <v/>
      </c>
      <c r="S269" s="184">
        <f>H269+F269*G269*(1+I269)^MAX(0,J269-MAX(D269,B269+$J$18+1))</f>
        <v/>
      </c>
      <c r="T269" s="184">
        <f>IF(J269&gt;=MAX(D269,B269+$J$18+1),S269,R269)</f>
        <v/>
      </c>
      <c r="U269" s="184">
        <f>MIN(T269,'Tax Assumptions'!$B$19)</f>
        <v/>
      </c>
      <c r="V269" s="184">
        <f>MAX(T269-U269-'Tax Assumptions'!$B$8,0)</f>
        <v/>
      </c>
      <c r="W269" s="184">
        <f>MAX(T269-U269-'Tax Assumptions'!$B$9,0)</f>
        <v/>
      </c>
      <c r="X269" s="184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/>
      </c>
      <c r="Y269" s="184">
        <f>T269-U269-X269</f>
        <v/>
      </c>
      <c r="Z269" s="184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/>
      </c>
      <c r="AA269" s="184">
        <f>Y269-Z269</f>
        <v/>
      </c>
      <c r="AB269" s="184">
        <f>MIN(MAX(AA269,0),'Tax Assumptions'!$B$20)</f>
        <v/>
      </c>
      <c r="AC269" s="184">
        <f>AA269-AB269</f>
        <v/>
      </c>
      <c r="AD269" s="184">
        <f>MAX(AD268*(1+'Model Inputs'!$B$13)+AC269,0)</f>
        <v/>
      </c>
      <c r="AE269" s="184">
        <f>MAX(AE268*(1+'Model Inputs'!$B$13)+U269+AB269,0)</f>
        <v/>
      </c>
      <c r="AF269" s="184">
        <f>AD269+AE269</f>
        <v/>
      </c>
      <c r="AG269" s="191">
        <f>IF(AND(AF269&gt;=$F$14,AF268&lt;$F$14),J269,"")</f>
        <v/>
      </c>
      <c r="AH269" s="191">
        <f>IF(AND(AF269&gt;=$F$15,AF268&lt;$F$15),J269,"")</f>
        <v/>
      </c>
      <c r="AI269" s="191">
        <f>IF(AND(AF269&gt;=$F$16,AF268&lt;$F$16),J269,"")</f>
        <v/>
      </c>
      <c r="AJ269" s="191">
        <f>IF(AND(AF269&gt;=$F$17,AF268&lt;$F$17),J269,"")</f>
        <v/>
      </c>
    </row>
    <row r="270" outlineLevel="1" ht="18" customHeight="1" s="326">
      <c r="A270" s="181">
        <f>$A$36</f>
        <v/>
      </c>
      <c r="B270" s="191">
        <f>$B$36</f>
        <v/>
      </c>
      <c r="C270" s="187">
        <f>$C$36</f>
        <v/>
      </c>
      <c r="D270" s="191">
        <f>$D$36</f>
        <v/>
      </c>
      <c r="E270" s="181">
        <f>$E$36</f>
        <v/>
      </c>
      <c r="F270" s="184">
        <f>$F$36</f>
        <v/>
      </c>
      <c r="G270" s="188">
        <f>$G$36</f>
        <v/>
      </c>
      <c r="H270" s="184">
        <f>$H$36</f>
        <v/>
      </c>
      <c r="I270" s="188">
        <f>$J$17</f>
        <v/>
      </c>
      <c r="J270" s="191" t="n">
        <v>10</v>
      </c>
      <c r="K270" s="191">
        <f>('Model Inputs'!$B$22-1)+J270</f>
        <v/>
      </c>
      <c r="L270" s="184">
        <f>IF(J270=1,'Model Inputs'!$B$25*(13-'Model Inputs'!$B$23)/12,'Model Inputs'!$B$25)</f>
        <v/>
      </c>
      <c r="M270" s="184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/>
      </c>
      <c r="N270" s="188">
        <f>IF(J270&lt;=2,0,'Model Inputs'!$B$32*SIN(2*PI()*(J270-3+'Model Inputs'!$B$34)/MAX(1,'Model Inputs'!$B$33)))</f>
        <v/>
      </c>
      <c r="O270" s="184">
        <f>M270*(1+N270)</f>
        <v/>
      </c>
      <c r="P270" s="184">
        <f>0.75*O269+0.25*O268</f>
        <v/>
      </c>
      <c r="Q270" s="184">
        <f>L270+P270+IF(J270=1,'Model Inputs'!$B$26,0)</f>
        <v/>
      </c>
      <c r="R270" s="184">
        <f>IF(J270&lt;=B270,Q270,IF(J270&lt;=B270+$J$18,L270,(SUMIFS($L$51:$L$350,$A$51:$A$350,$A270,$J$51:$J$350,$B270)+SUMIFS($O$51:$O$350,$A$51:$A$350,$A270,$J$51:$J$350,$B270))*C270))</f>
        <v/>
      </c>
      <c r="S270" s="184">
        <f>H270+F270*G270*(1+I270)^MAX(0,J270-MAX(D270,B270+$J$18+1))</f>
        <v/>
      </c>
      <c r="T270" s="184">
        <f>IF(J270&gt;=MAX(D270,B270+$J$18+1),S270,R270)</f>
        <v/>
      </c>
      <c r="U270" s="184">
        <f>MIN(T270,'Tax Assumptions'!$B$19)</f>
        <v/>
      </c>
      <c r="V270" s="184">
        <f>MAX(T270-U270-'Tax Assumptions'!$B$8,0)</f>
        <v/>
      </c>
      <c r="W270" s="184">
        <f>MAX(T270-U270-'Tax Assumptions'!$B$9,0)</f>
        <v/>
      </c>
      <c r="X270" s="184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/>
      </c>
      <c r="Y270" s="184">
        <f>T270-U270-X270</f>
        <v/>
      </c>
      <c r="Z270" s="184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/>
      </c>
      <c r="AA270" s="184">
        <f>Y270-Z270</f>
        <v/>
      </c>
      <c r="AB270" s="184">
        <f>MIN(MAX(AA270,0),'Tax Assumptions'!$B$20)</f>
        <v/>
      </c>
      <c r="AC270" s="184">
        <f>AA270-AB270</f>
        <v/>
      </c>
      <c r="AD270" s="184">
        <f>MAX(AD269*(1+'Model Inputs'!$B$13)+AC270,0)</f>
        <v/>
      </c>
      <c r="AE270" s="184">
        <f>MAX(AE269*(1+'Model Inputs'!$B$13)+U270+AB270,0)</f>
        <v/>
      </c>
      <c r="AF270" s="184">
        <f>AD270+AE270</f>
        <v/>
      </c>
      <c r="AG270" s="191">
        <f>IF(AND(AF270&gt;=$F$14,AF269&lt;$F$14),J270,"")</f>
        <v/>
      </c>
      <c r="AH270" s="191">
        <f>IF(AND(AF270&gt;=$F$15,AF269&lt;$F$15),J270,"")</f>
        <v/>
      </c>
      <c r="AI270" s="191">
        <f>IF(AND(AF270&gt;=$F$16,AF269&lt;$F$16),J270,"")</f>
        <v/>
      </c>
      <c r="AJ270" s="191">
        <f>IF(AND(AF270&gt;=$F$17,AF269&lt;$F$17),J270,"")</f>
        <v/>
      </c>
    </row>
    <row r="271" outlineLevel="1" ht="18" customHeight="1" s="326">
      <c r="A271" s="181">
        <f>$A$36</f>
        <v/>
      </c>
      <c r="B271" s="191">
        <f>$B$36</f>
        <v/>
      </c>
      <c r="C271" s="187">
        <f>$C$36</f>
        <v/>
      </c>
      <c r="D271" s="191">
        <f>$D$36</f>
        <v/>
      </c>
      <c r="E271" s="181">
        <f>$E$36</f>
        <v/>
      </c>
      <c r="F271" s="184">
        <f>$F$36</f>
        <v/>
      </c>
      <c r="G271" s="188">
        <f>$G$36</f>
        <v/>
      </c>
      <c r="H271" s="184">
        <f>$H$36</f>
        <v/>
      </c>
      <c r="I271" s="188">
        <f>$J$17</f>
        <v/>
      </c>
      <c r="J271" s="191" t="n">
        <v>11</v>
      </c>
      <c r="K271" s="191">
        <f>('Model Inputs'!$B$22-1)+J271</f>
        <v/>
      </c>
      <c r="L271" s="184">
        <f>IF(J271=1,'Model Inputs'!$B$25*(13-'Model Inputs'!$B$23)/12,'Model Inputs'!$B$25)</f>
        <v/>
      </c>
      <c r="M271" s="184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/>
      </c>
      <c r="N271" s="188">
        <f>IF(J271&lt;=2,0,'Model Inputs'!$B$32*SIN(2*PI()*(J271-3+'Model Inputs'!$B$34)/MAX(1,'Model Inputs'!$B$33)))</f>
        <v/>
      </c>
      <c r="O271" s="184">
        <f>M271*(1+N271)</f>
        <v/>
      </c>
      <c r="P271" s="184">
        <f>0.75*O270+0.25*O269</f>
        <v/>
      </c>
      <c r="Q271" s="184">
        <f>L271+P271+IF(J271=1,'Model Inputs'!$B$26,0)</f>
        <v/>
      </c>
      <c r="R271" s="184">
        <f>IF(J271&lt;=B271,Q271,IF(J271&lt;=B271+$J$18,L271,(SUMIFS($L$51:$L$350,$A$51:$A$350,$A271,$J$51:$J$350,$B271)+SUMIFS($O$51:$O$350,$A$51:$A$350,$A271,$J$51:$J$350,$B271))*C271))</f>
        <v/>
      </c>
      <c r="S271" s="184">
        <f>H271+F271*G271*(1+I271)^MAX(0,J271-MAX(D271,B271+$J$18+1))</f>
        <v/>
      </c>
      <c r="T271" s="184">
        <f>IF(J271&gt;=MAX(D271,B271+$J$18+1),S271,R271)</f>
        <v/>
      </c>
      <c r="U271" s="184">
        <f>MIN(T271,'Tax Assumptions'!$B$19)</f>
        <v/>
      </c>
      <c r="V271" s="184">
        <f>MAX(T271-U271-'Tax Assumptions'!$B$8,0)</f>
        <v/>
      </c>
      <c r="W271" s="184">
        <f>MAX(T271-U271-'Tax Assumptions'!$B$9,0)</f>
        <v/>
      </c>
      <c r="X271" s="184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/>
      </c>
      <c r="Y271" s="184">
        <f>T271-U271-X271</f>
        <v/>
      </c>
      <c r="Z271" s="184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/>
      </c>
      <c r="AA271" s="184">
        <f>Y271-Z271</f>
        <v/>
      </c>
      <c r="AB271" s="184">
        <f>MIN(MAX(AA271,0),'Tax Assumptions'!$B$20)</f>
        <v/>
      </c>
      <c r="AC271" s="184">
        <f>AA271-AB271</f>
        <v/>
      </c>
      <c r="AD271" s="184">
        <f>MAX(AD270*(1+'Model Inputs'!$B$13)+AC271,0)</f>
        <v/>
      </c>
      <c r="AE271" s="184">
        <f>MAX(AE270*(1+'Model Inputs'!$B$13)+U271+AB271,0)</f>
        <v/>
      </c>
      <c r="AF271" s="184">
        <f>AD271+AE271</f>
        <v/>
      </c>
      <c r="AG271" s="191">
        <f>IF(AND(AF271&gt;=$F$14,AF270&lt;$F$14),J271,"")</f>
        <v/>
      </c>
      <c r="AH271" s="191">
        <f>IF(AND(AF271&gt;=$F$15,AF270&lt;$F$15),J271,"")</f>
        <v/>
      </c>
      <c r="AI271" s="191">
        <f>IF(AND(AF271&gt;=$F$16,AF270&lt;$F$16),J271,"")</f>
        <v/>
      </c>
      <c r="AJ271" s="191">
        <f>IF(AND(AF271&gt;=$F$17,AF270&lt;$F$17),J271,"")</f>
        <v/>
      </c>
    </row>
    <row r="272" outlineLevel="1" ht="18" customHeight="1" s="326">
      <c r="A272" s="181">
        <f>$A$36</f>
        <v/>
      </c>
      <c r="B272" s="191">
        <f>$B$36</f>
        <v/>
      </c>
      <c r="C272" s="187">
        <f>$C$36</f>
        <v/>
      </c>
      <c r="D272" s="191">
        <f>$D$36</f>
        <v/>
      </c>
      <c r="E272" s="181">
        <f>$E$36</f>
        <v/>
      </c>
      <c r="F272" s="184">
        <f>$F$36</f>
        <v/>
      </c>
      <c r="G272" s="188">
        <f>$G$36</f>
        <v/>
      </c>
      <c r="H272" s="184">
        <f>$H$36</f>
        <v/>
      </c>
      <c r="I272" s="188">
        <f>$J$17</f>
        <v/>
      </c>
      <c r="J272" s="191" t="n">
        <v>12</v>
      </c>
      <c r="K272" s="191">
        <f>('Model Inputs'!$B$22-1)+J272</f>
        <v/>
      </c>
      <c r="L272" s="184">
        <f>IF(J272=1,'Model Inputs'!$B$25*(13-'Model Inputs'!$B$23)/12,'Model Inputs'!$B$25)</f>
        <v/>
      </c>
      <c r="M272" s="184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/>
      </c>
      <c r="N272" s="188">
        <f>IF(J272&lt;=2,0,'Model Inputs'!$B$32*SIN(2*PI()*(J272-3+'Model Inputs'!$B$34)/MAX(1,'Model Inputs'!$B$33)))</f>
        <v/>
      </c>
      <c r="O272" s="184">
        <f>M272*(1+N272)</f>
        <v/>
      </c>
      <c r="P272" s="184">
        <f>0.75*O271+0.25*O270</f>
        <v/>
      </c>
      <c r="Q272" s="184">
        <f>L272+P272+IF(J272=1,'Model Inputs'!$B$26,0)</f>
        <v/>
      </c>
      <c r="R272" s="184">
        <f>IF(J272&lt;=B272,Q272,IF(J272&lt;=B272+$J$18,L272,(SUMIFS($L$51:$L$350,$A$51:$A$350,$A272,$J$51:$J$350,$B272)+SUMIFS($O$51:$O$350,$A$51:$A$350,$A272,$J$51:$J$350,$B272))*C272))</f>
        <v/>
      </c>
      <c r="S272" s="184">
        <f>H272+F272*G272*(1+I272)^MAX(0,J272-MAX(D272,B272+$J$18+1))</f>
        <v/>
      </c>
      <c r="T272" s="184">
        <f>IF(J272&gt;=MAX(D272,B272+$J$18+1),S272,R272)</f>
        <v/>
      </c>
      <c r="U272" s="184">
        <f>MIN(T272,'Tax Assumptions'!$B$19)</f>
        <v/>
      </c>
      <c r="V272" s="184">
        <f>MAX(T272-U272-'Tax Assumptions'!$B$8,0)</f>
        <v/>
      </c>
      <c r="W272" s="184">
        <f>MAX(T272-U272-'Tax Assumptions'!$B$9,0)</f>
        <v/>
      </c>
      <c r="X272" s="184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/>
      </c>
      <c r="Y272" s="184">
        <f>T272-U272-X272</f>
        <v/>
      </c>
      <c r="Z272" s="184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/>
      </c>
      <c r="AA272" s="184">
        <f>Y272-Z272</f>
        <v/>
      </c>
      <c r="AB272" s="184">
        <f>MIN(MAX(AA272,0),'Tax Assumptions'!$B$20)</f>
        <v/>
      </c>
      <c r="AC272" s="184">
        <f>AA272-AB272</f>
        <v/>
      </c>
      <c r="AD272" s="184">
        <f>MAX(AD271*(1+'Model Inputs'!$B$13)+AC272,0)</f>
        <v/>
      </c>
      <c r="AE272" s="184">
        <f>MAX(AE271*(1+'Model Inputs'!$B$13)+U272+AB272,0)</f>
        <v/>
      </c>
      <c r="AF272" s="184">
        <f>AD272+AE272</f>
        <v/>
      </c>
      <c r="AG272" s="191">
        <f>IF(AND(AF272&gt;=$F$14,AF271&lt;$F$14),J272,"")</f>
        <v/>
      </c>
      <c r="AH272" s="191">
        <f>IF(AND(AF272&gt;=$F$15,AF271&lt;$F$15),J272,"")</f>
        <v/>
      </c>
      <c r="AI272" s="191">
        <f>IF(AND(AF272&gt;=$F$16,AF271&lt;$F$16),J272,"")</f>
        <v/>
      </c>
      <c r="AJ272" s="191">
        <f>IF(AND(AF272&gt;=$F$17,AF271&lt;$F$17),J272,"")</f>
        <v/>
      </c>
    </row>
    <row r="273" outlineLevel="1" ht="18" customHeight="1" s="326">
      <c r="A273" s="181">
        <f>$A$36</f>
        <v/>
      </c>
      <c r="B273" s="191">
        <f>$B$36</f>
        <v/>
      </c>
      <c r="C273" s="187">
        <f>$C$36</f>
        <v/>
      </c>
      <c r="D273" s="191">
        <f>$D$36</f>
        <v/>
      </c>
      <c r="E273" s="181">
        <f>$E$36</f>
        <v/>
      </c>
      <c r="F273" s="184">
        <f>$F$36</f>
        <v/>
      </c>
      <c r="G273" s="188">
        <f>$G$36</f>
        <v/>
      </c>
      <c r="H273" s="184">
        <f>$H$36</f>
        <v/>
      </c>
      <c r="I273" s="188">
        <f>$J$17</f>
        <v/>
      </c>
      <c r="J273" s="191" t="n">
        <v>13</v>
      </c>
      <c r="K273" s="191">
        <f>('Model Inputs'!$B$22-1)+J273</f>
        <v/>
      </c>
      <c r="L273" s="184">
        <f>IF(J273=1,'Model Inputs'!$B$25*(13-'Model Inputs'!$B$23)/12,'Model Inputs'!$B$25)</f>
        <v/>
      </c>
      <c r="M273" s="184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/>
      </c>
      <c r="N273" s="188">
        <f>IF(J273&lt;=2,0,'Model Inputs'!$B$32*SIN(2*PI()*(J273-3+'Model Inputs'!$B$34)/MAX(1,'Model Inputs'!$B$33)))</f>
        <v/>
      </c>
      <c r="O273" s="184">
        <f>M273*(1+N273)</f>
        <v/>
      </c>
      <c r="P273" s="184">
        <f>0.75*O272+0.25*O271</f>
        <v/>
      </c>
      <c r="Q273" s="184">
        <f>L273+P273+IF(J273=1,'Model Inputs'!$B$26,0)</f>
        <v/>
      </c>
      <c r="R273" s="184">
        <f>IF(J273&lt;=B273,Q273,IF(J273&lt;=B273+$J$18,L273,(SUMIFS($L$51:$L$350,$A$51:$A$350,$A273,$J$51:$J$350,$B273)+SUMIFS($O$51:$O$350,$A$51:$A$350,$A273,$J$51:$J$350,$B273))*C273))</f>
        <v/>
      </c>
      <c r="S273" s="184">
        <f>H273+F273*G273*(1+I273)^MAX(0,J273-MAX(D273,B273+$J$18+1))</f>
        <v/>
      </c>
      <c r="T273" s="184">
        <f>IF(J273&gt;=MAX(D273,B273+$J$18+1),S273,R273)</f>
        <v/>
      </c>
      <c r="U273" s="184">
        <f>MIN(T273,'Tax Assumptions'!$B$19)</f>
        <v/>
      </c>
      <c r="V273" s="184">
        <f>MAX(T273-U273-'Tax Assumptions'!$B$8,0)</f>
        <v/>
      </c>
      <c r="W273" s="184">
        <f>MAX(T273-U273-'Tax Assumptions'!$B$9,0)</f>
        <v/>
      </c>
      <c r="X273" s="184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/>
      </c>
      <c r="Y273" s="184">
        <f>T273-U273-X273</f>
        <v/>
      </c>
      <c r="Z273" s="184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/>
      </c>
      <c r="AA273" s="184">
        <f>Y273-Z273</f>
        <v/>
      </c>
      <c r="AB273" s="184">
        <f>MIN(MAX(AA273,0),'Tax Assumptions'!$B$20)</f>
        <v/>
      </c>
      <c r="AC273" s="184">
        <f>AA273-AB273</f>
        <v/>
      </c>
      <c r="AD273" s="184">
        <f>MAX(AD272*(1+'Model Inputs'!$B$13)+AC273,0)</f>
        <v/>
      </c>
      <c r="AE273" s="184">
        <f>MAX(AE272*(1+'Model Inputs'!$B$13)+U273+AB273,0)</f>
        <v/>
      </c>
      <c r="AF273" s="184">
        <f>AD273+AE273</f>
        <v/>
      </c>
      <c r="AG273" s="191">
        <f>IF(AND(AF273&gt;=$F$14,AF272&lt;$F$14),J273,"")</f>
        <v/>
      </c>
      <c r="AH273" s="191">
        <f>IF(AND(AF273&gt;=$F$15,AF272&lt;$F$15),J273,"")</f>
        <v/>
      </c>
      <c r="AI273" s="191">
        <f>IF(AND(AF273&gt;=$F$16,AF272&lt;$F$16),J273,"")</f>
        <v/>
      </c>
      <c r="AJ273" s="191">
        <f>IF(AND(AF273&gt;=$F$17,AF272&lt;$F$17),J273,"")</f>
        <v/>
      </c>
    </row>
    <row r="274" outlineLevel="1" ht="18" customHeight="1" s="326">
      <c r="A274" s="181">
        <f>$A$36</f>
        <v/>
      </c>
      <c r="B274" s="191">
        <f>$B$36</f>
        <v/>
      </c>
      <c r="C274" s="187">
        <f>$C$36</f>
        <v/>
      </c>
      <c r="D274" s="191">
        <f>$D$36</f>
        <v/>
      </c>
      <c r="E274" s="181">
        <f>$E$36</f>
        <v/>
      </c>
      <c r="F274" s="184">
        <f>$F$36</f>
        <v/>
      </c>
      <c r="G274" s="188">
        <f>$G$36</f>
        <v/>
      </c>
      <c r="H274" s="184">
        <f>$H$36</f>
        <v/>
      </c>
      <c r="I274" s="188">
        <f>$J$17</f>
        <v/>
      </c>
      <c r="J274" s="191" t="n">
        <v>14</v>
      </c>
      <c r="K274" s="191">
        <f>('Model Inputs'!$B$22-1)+J274</f>
        <v/>
      </c>
      <c r="L274" s="184">
        <f>IF(J274=1,'Model Inputs'!$B$25*(13-'Model Inputs'!$B$23)/12,'Model Inputs'!$B$25)</f>
        <v/>
      </c>
      <c r="M274" s="184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/>
      </c>
      <c r="N274" s="188">
        <f>IF(J274&lt;=2,0,'Model Inputs'!$B$32*SIN(2*PI()*(J274-3+'Model Inputs'!$B$34)/MAX(1,'Model Inputs'!$B$33)))</f>
        <v/>
      </c>
      <c r="O274" s="184">
        <f>M274*(1+N274)</f>
        <v/>
      </c>
      <c r="P274" s="184">
        <f>0.75*O273+0.25*O272</f>
        <v/>
      </c>
      <c r="Q274" s="184">
        <f>L274+P274+IF(J274=1,'Model Inputs'!$B$26,0)</f>
        <v/>
      </c>
      <c r="R274" s="184">
        <f>IF(J274&lt;=B274,Q274,IF(J274&lt;=B274+$J$18,L274,(SUMIFS($L$51:$L$350,$A$51:$A$350,$A274,$J$51:$J$350,$B274)+SUMIFS($O$51:$O$350,$A$51:$A$350,$A274,$J$51:$J$350,$B274))*C274))</f>
        <v/>
      </c>
      <c r="S274" s="184">
        <f>H274+F274*G274*(1+I274)^MAX(0,J274-MAX(D274,B274+$J$18+1))</f>
        <v/>
      </c>
      <c r="T274" s="184">
        <f>IF(J274&gt;=MAX(D274,B274+$J$18+1),S274,R274)</f>
        <v/>
      </c>
      <c r="U274" s="184">
        <f>MIN(T274,'Tax Assumptions'!$B$19)</f>
        <v/>
      </c>
      <c r="V274" s="184">
        <f>MAX(T274-U274-'Tax Assumptions'!$B$8,0)</f>
        <v/>
      </c>
      <c r="W274" s="184">
        <f>MAX(T274-U274-'Tax Assumptions'!$B$9,0)</f>
        <v/>
      </c>
      <c r="X274" s="184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/>
      </c>
      <c r="Y274" s="184">
        <f>T274-U274-X274</f>
        <v/>
      </c>
      <c r="Z274" s="184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/>
      </c>
      <c r="AA274" s="184">
        <f>Y274-Z274</f>
        <v/>
      </c>
      <c r="AB274" s="184">
        <f>MIN(MAX(AA274,0),'Tax Assumptions'!$B$20)</f>
        <v/>
      </c>
      <c r="AC274" s="184">
        <f>AA274-AB274</f>
        <v/>
      </c>
      <c r="AD274" s="184">
        <f>MAX(AD273*(1+'Model Inputs'!$B$13)+AC274,0)</f>
        <v/>
      </c>
      <c r="AE274" s="184">
        <f>MAX(AE273*(1+'Model Inputs'!$B$13)+U274+AB274,0)</f>
        <v/>
      </c>
      <c r="AF274" s="184">
        <f>AD274+AE274</f>
        <v/>
      </c>
      <c r="AG274" s="191">
        <f>IF(AND(AF274&gt;=$F$14,AF273&lt;$F$14),J274,"")</f>
        <v/>
      </c>
      <c r="AH274" s="191">
        <f>IF(AND(AF274&gt;=$F$15,AF273&lt;$F$15),J274,"")</f>
        <v/>
      </c>
      <c r="AI274" s="191">
        <f>IF(AND(AF274&gt;=$F$16,AF273&lt;$F$16),J274,"")</f>
        <v/>
      </c>
      <c r="AJ274" s="191">
        <f>IF(AND(AF274&gt;=$F$17,AF273&lt;$F$17),J274,"")</f>
        <v/>
      </c>
    </row>
    <row r="275" outlineLevel="1" ht="18" customHeight="1" s="326">
      <c r="A275" s="181">
        <f>$A$36</f>
        <v/>
      </c>
      <c r="B275" s="191">
        <f>$B$36</f>
        <v/>
      </c>
      <c r="C275" s="187">
        <f>$C$36</f>
        <v/>
      </c>
      <c r="D275" s="191">
        <f>$D$36</f>
        <v/>
      </c>
      <c r="E275" s="181">
        <f>$E$36</f>
        <v/>
      </c>
      <c r="F275" s="184">
        <f>$F$36</f>
        <v/>
      </c>
      <c r="G275" s="188">
        <f>$G$36</f>
        <v/>
      </c>
      <c r="H275" s="184">
        <f>$H$36</f>
        <v/>
      </c>
      <c r="I275" s="188">
        <f>$J$17</f>
        <v/>
      </c>
      <c r="J275" s="191" t="n">
        <v>15</v>
      </c>
      <c r="K275" s="191">
        <f>('Model Inputs'!$B$22-1)+J275</f>
        <v/>
      </c>
      <c r="L275" s="184">
        <f>IF(J275=1,'Model Inputs'!$B$25*(13-'Model Inputs'!$B$23)/12,'Model Inputs'!$B$25)</f>
        <v/>
      </c>
      <c r="M275" s="184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/>
      </c>
      <c r="N275" s="188">
        <f>IF(J275&lt;=2,0,'Model Inputs'!$B$32*SIN(2*PI()*(J275-3+'Model Inputs'!$B$34)/MAX(1,'Model Inputs'!$B$33)))</f>
        <v/>
      </c>
      <c r="O275" s="184">
        <f>M275*(1+N275)</f>
        <v/>
      </c>
      <c r="P275" s="184">
        <f>0.75*O274+0.25*O273</f>
        <v/>
      </c>
      <c r="Q275" s="184">
        <f>L275+P275+IF(J275=1,'Model Inputs'!$B$26,0)</f>
        <v/>
      </c>
      <c r="R275" s="184">
        <f>IF(J275&lt;=B275,Q275,IF(J275&lt;=B275+$J$18,L275,(SUMIFS($L$51:$L$350,$A$51:$A$350,$A275,$J$51:$J$350,$B275)+SUMIFS($O$51:$O$350,$A$51:$A$350,$A275,$J$51:$J$350,$B275))*C275))</f>
        <v/>
      </c>
      <c r="S275" s="184">
        <f>H275+F275*G275*(1+I275)^MAX(0,J275-MAX(D275,B275+$J$18+1))</f>
        <v/>
      </c>
      <c r="T275" s="184">
        <f>IF(J275&gt;=MAX(D275,B275+$J$18+1),S275,R275)</f>
        <v/>
      </c>
      <c r="U275" s="184">
        <f>MIN(T275,'Tax Assumptions'!$B$19)</f>
        <v/>
      </c>
      <c r="V275" s="184">
        <f>MAX(T275-U275-'Tax Assumptions'!$B$8,0)</f>
        <v/>
      </c>
      <c r="W275" s="184">
        <f>MAX(T275-U275-'Tax Assumptions'!$B$9,0)</f>
        <v/>
      </c>
      <c r="X275" s="184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/>
      </c>
      <c r="Y275" s="184">
        <f>T275-U275-X275</f>
        <v/>
      </c>
      <c r="Z275" s="184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/>
      </c>
      <c r="AA275" s="184">
        <f>Y275-Z275</f>
        <v/>
      </c>
      <c r="AB275" s="184">
        <f>MIN(MAX(AA275,0),'Tax Assumptions'!$B$20)</f>
        <v/>
      </c>
      <c r="AC275" s="184">
        <f>AA275-AB275</f>
        <v/>
      </c>
      <c r="AD275" s="184">
        <f>MAX(AD274*(1+'Model Inputs'!$B$13)+AC275,0)</f>
        <v/>
      </c>
      <c r="AE275" s="184">
        <f>MAX(AE274*(1+'Model Inputs'!$B$13)+U275+AB275,0)</f>
        <v/>
      </c>
      <c r="AF275" s="184">
        <f>AD275+AE275</f>
        <v/>
      </c>
      <c r="AG275" s="191">
        <f>IF(AND(AF275&gt;=$F$14,AF274&lt;$F$14),J275,"")</f>
        <v/>
      </c>
      <c r="AH275" s="191">
        <f>IF(AND(AF275&gt;=$F$15,AF274&lt;$F$15),J275,"")</f>
        <v/>
      </c>
      <c r="AI275" s="191">
        <f>IF(AND(AF275&gt;=$F$16,AF274&lt;$F$16),J275,"")</f>
        <v/>
      </c>
      <c r="AJ275" s="191">
        <f>IF(AND(AF275&gt;=$F$17,AF274&lt;$F$17),J275,"")</f>
        <v/>
      </c>
    </row>
    <row r="276" outlineLevel="1" ht="18" customHeight="1" s="326">
      <c r="A276" s="181">
        <f>$A$37</f>
        <v/>
      </c>
      <c r="B276" s="191">
        <f>$B$37</f>
        <v/>
      </c>
      <c r="C276" s="187">
        <f>$C$37</f>
        <v/>
      </c>
      <c r="D276" s="191">
        <f>$D$37</f>
        <v/>
      </c>
      <c r="E276" s="181">
        <f>$E$37</f>
        <v/>
      </c>
      <c r="F276" s="184">
        <f>$F$37</f>
        <v/>
      </c>
      <c r="G276" s="188">
        <f>$G$37</f>
        <v/>
      </c>
      <c r="H276" s="184">
        <f>$H$37</f>
        <v/>
      </c>
      <c r="I276" s="188">
        <f>$J$17</f>
        <v/>
      </c>
      <c r="J276" s="191" t="n">
        <v>1</v>
      </c>
      <c r="K276" s="191">
        <f>('Model Inputs'!$B$22-1)+J276</f>
        <v/>
      </c>
      <c r="L276" s="184">
        <f>IF(J276=1,'Model Inputs'!$B$25*(13-'Model Inputs'!$B$23)/12,'Model Inputs'!$B$25)</f>
        <v/>
      </c>
      <c r="M276" s="184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/>
      </c>
      <c r="N276" s="188">
        <f>IF(J276&lt;=2,0,'Model Inputs'!$B$32*SIN(2*PI()*(J276-3+'Model Inputs'!$B$34)/MAX(1,'Model Inputs'!$B$33)))</f>
        <v/>
      </c>
      <c r="O276" s="184">
        <f>M276*(1+N276)</f>
        <v/>
      </c>
      <c r="P276" s="184">
        <f>0</f>
        <v/>
      </c>
      <c r="Q276" s="184">
        <f>L276+P276+IF(J276=1,'Model Inputs'!$B$26,0)</f>
        <v/>
      </c>
      <c r="R276" s="184">
        <f>IF(J276&lt;=B276,Q276,IF(J276&lt;=B276+$J$18,L276,(SUMIFS($L$51:$L$350,$A$51:$A$350,$A276,$J$51:$J$350,$B276)+SUMIFS($O$51:$O$350,$A$51:$A$350,$A276,$J$51:$J$350,$B276))*C276))</f>
        <v/>
      </c>
      <c r="S276" s="184">
        <f>H276+F276*G276*(1+I276)^MAX(0,J276-MAX(D276,B276+$J$18+1))</f>
        <v/>
      </c>
      <c r="T276" s="184">
        <f>IF(J276&gt;=MAX(D276,B276+$J$18+1),S276,R276)</f>
        <v/>
      </c>
      <c r="U276" s="184">
        <f>MIN(T276,'Tax Assumptions'!$B$19)</f>
        <v/>
      </c>
      <c r="V276" s="184">
        <f>MAX(T276-U276-'Tax Assumptions'!$B$8,0)</f>
        <v/>
      </c>
      <c r="W276" s="184">
        <f>MAX(T276-U276-'Tax Assumptions'!$B$9,0)</f>
        <v/>
      </c>
      <c r="X276" s="184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/>
      </c>
      <c r="Y276" s="184">
        <f>T276-U276-X276</f>
        <v/>
      </c>
      <c r="Z276" s="184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/>
      </c>
      <c r="AA276" s="184">
        <f>Y276-Z276</f>
        <v/>
      </c>
      <c r="AB276" s="184">
        <f>MIN(MAX(AA276,0),'Tax Assumptions'!$B$20)</f>
        <v/>
      </c>
      <c r="AC276" s="184">
        <f>AA276-AB276</f>
        <v/>
      </c>
      <c r="AD276" s="184">
        <f>MAX('Model Inputs'!$B$7*(1+'Model Inputs'!$B$13)+AC276,0)</f>
        <v/>
      </c>
      <c r="AE276" s="184">
        <f>MAX(('Model Inputs'!$B$8+'Model Inputs'!$B$9+'Model Inputs'!$B$10)*(1+'Model Inputs'!$B$13)+U276+AB276,0)</f>
        <v/>
      </c>
      <c r="AF276" s="184">
        <f>AD276+AE276</f>
        <v/>
      </c>
      <c r="AG276" s="191">
        <f>IF(AND(AF276&gt;=$F$14,0&lt;$F$14),J276,"")</f>
        <v/>
      </c>
      <c r="AH276" s="191">
        <f>IF(AND(AF276&gt;=$F$15,0&lt;$F$15),J276,"")</f>
        <v/>
      </c>
      <c r="AI276" s="191">
        <f>IF(AND(AF276&gt;=$F$16,0&lt;$F$16),J276,"")</f>
        <v/>
      </c>
      <c r="AJ276" s="191">
        <f>IF(AND(AF276&gt;=$F$17,0&lt;$F$17),J276,"")</f>
        <v/>
      </c>
    </row>
    <row r="277" outlineLevel="1" ht="18" customHeight="1" s="326">
      <c r="A277" s="181">
        <f>$A$37</f>
        <v/>
      </c>
      <c r="B277" s="191">
        <f>$B$37</f>
        <v/>
      </c>
      <c r="C277" s="187">
        <f>$C$37</f>
        <v/>
      </c>
      <c r="D277" s="191">
        <f>$D$37</f>
        <v/>
      </c>
      <c r="E277" s="181">
        <f>$E$37</f>
        <v/>
      </c>
      <c r="F277" s="184">
        <f>$F$37</f>
        <v/>
      </c>
      <c r="G277" s="188">
        <f>$G$37</f>
        <v/>
      </c>
      <c r="H277" s="184">
        <f>$H$37</f>
        <v/>
      </c>
      <c r="I277" s="188">
        <f>$J$17</f>
        <v/>
      </c>
      <c r="J277" s="191" t="n">
        <v>2</v>
      </c>
      <c r="K277" s="191">
        <f>('Model Inputs'!$B$22-1)+J277</f>
        <v/>
      </c>
      <c r="L277" s="184">
        <f>IF(J277=1,'Model Inputs'!$B$25*(13-'Model Inputs'!$B$23)/12,'Model Inputs'!$B$25)</f>
        <v/>
      </c>
      <c r="M277" s="184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/>
      </c>
      <c r="N277" s="188">
        <f>IF(J277&lt;=2,0,'Model Inputs'!$B$32*SIN(2*PI()*(J277-3+'Model Inputs'!$B$34)/MAX(1,'Model Inputs'!$B$33)))</f>
        <v/>
      </c>
      <c r="O277" s="184">
        <f>M277*(1+N277)</f>
        <v/>
      </c>
      <c r="P277" s="184">
        <f>0.75*O276</f>
        <v/>
      </c>
      <c r="Q277" s="184">
        <f>L277+P277+IF(J277=1,'Model Inputs'!$B$26,0)</f>
        <v/>
      </c>
      <c r="R277" s="184">
        <f>IF(J277&lt;=B277,Q277,IF(J277&lt;=B277+$J$18,L277,(SUMIFS($L$51:$L$350,$A$51:$A$350,$A277,$J$51:$J$350,$B277)+SUMIFS($O$51:$O$350,$A$51:$A$350,$A277,$J$51:$J$350,$B277))*C277))</f>
        <v/>
      </c>
      <c r="S277" s="184">
        <f>H277+F277*G277*(1+I277)^MAX(0,J277-MAX(D277,B277+$J$18+1))</f>
        <v/>
      </c>
      <c r="T277" s="184">
        <f>IF(J277&gt;=MAX(D277,B277+$J$18+1),S277,R277)</f>
        <v/>
      </c>
      <c r="U277" s="184">
        <f>MIN(T277,'Tax Assumptions'!$B$19)</f>
        <v/>
      </c>
      <c r="V277" s="184">
        <f>MAX(T277-U277-'Tax Assumptions'!$B$8,0)</f>
        <v/>
      </c>
      <c r="W277" s="184">
        <f>MAX(T277-U277-'Tax Assumptions'!$B$9,0)</f>
        <v/>
      </c>
      <c r="X277" s="184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/>
      </c>
      <c r="Y277" s="184">
        <f>T277-U277-X277</f>
        <v/>
      </c>
      <c r="Z277" s="184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/>
      </c>
      <c r="AA277" s="184">
        <f>Y277-Z277</f>
        <v/>
      </c>
      <c r="AB277" s="184">
        <f>MIN(MAX(AA277,0),'Tax Assumptions'!$B$20)</f>
        <v/>
      </c>
      <c r="AC277" s="184">
        <f>AA277-AB277</f>
        <v/>
      </c>
      <c r="AD277" s="184">
        <f>MAX(AD276*(1+'Model Inputs'!$B$13)+AC277,0)</f>
        <v/>
      </c>
      <c r="AE277" s="184">
        <f>MAX(AE276*(1+'Model Inputs'!$B$13)+U277+AB277,0)</f>
        <v/>
      </c>
      <c r="AF277" s="184">
        <f>AD277+AE277</f>
        <v/>
      </c>
      <c r="AG277" s="191">
        <f>IF(AND(AF277&gt;=$F$14,AF276&lt;$F$14),J277,"")</f>
        <v/>
      </c>
      <c r="AH277" s="191">
        <f>IF(AND(AF277&gt;=$F$15,AF276&lt;$F$15),J277,"")</f>
        <v/>
      </c>
      <c r="AI277" s="191">
        <f>IF(AND(AF277&gt;=$F$16,AF276&lt;$F$16),J277,"")</f>
        <v/>
      </c>
      <c r="AJ277" s="191">
        <f>IF(AND(AF277&gt;=$F$17,AF276&lt;$F$17),J277,"")</f>
        <v/>
      </c>
    </row>
    <row r="278" outlineLevel="1" ht="18" customHeight="1" s="326">
      <c r="A278" s="181">
        <f>$A$37</f>
        <v/>
      </c>
      <c r="B278" s="191">
        <f>$B$37</f>
        <v/>
      </c>
      <c r="C278" s="187">
        <f>$C$37</f>
        <v/>
      </c>
      <c r="D278" s="191">
        <f>$D$37</f>
        <v/>
      </c>
      <c r="E278" s="181">
        <f>$E$37</f>
        <v/>
      </c>
      <c r="F278" s="184">
        <f>$F$37</f>
        <v/>
      </c>
      <c r="G278" s="188">
        <f>$G$37</f>
        <v/>
      </c>
      <c r="H278" s="184">
        <f>$H$37</f>
        <v/>
      </c>
      <c r="I278" s="188">
        <f>$J$17</f>
        <v/>
      </c>
      <c r="J278" s="191" t="n">
        <v>3</v>
      </c>
      <c r="K278" s="191">
        <f>('Model Inputs'!$B$22-1)+J278</f>
        <v/>
      </c>
      <c r="L278" s="184">
        <f>IF(J278=1,'Model Inputs'!$B$25*(13-'Model Inputs'!$B$23)/12,'Model Inputs'!$B$25)</f>
        <v/>
      </c>
      <c r="M278" s="184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/>
      </c>
      <c r="N278" s="188">
        <f>IF(J278&lt;=2,0,'Model Inputs'!$B$32*SIN(2*PI()*(J278-3+'Model Inputs'!$B$34)/MAX(1,'Model Inputs'!$B$33)))</f>
        <v/>
      </c>
      <c r="O278" s="184">
        <f>M278*(1+N278)</f>
        <v/>
      </c>
      <c r="P278" s="184">
        <f>0.75*O277+0.25*O276</f>
        <v/>
      </c>
      <c r="Q278" s="184">
        <f>L278+P278+IF(J278=1,'Model Inputs'!$B$26,0)</f>
        <v/>
      </c>
      <c r="R278" s="184">
        <f>IF(J278&lt;=B278,Q278,IF(J278&lt;=B278+$J$18,L278,(SUMIFS($L$51:$L$350,$A$51:$A$350,$A278,$J$51:$J$350,$B278)+SUMIFS($O$51:$O$350,$A$51:$A$350,$A278,$J$51:$J$350,$B278))*C278))</f>
        <v/>
      </c>
      <c r="S278" s="184">
        <f>H278+F278*G278*(1+I278)^MAX(0,J278-MAX(D278,B278+$J$18+1))</f>
        <v/>
      </c>
      <c r="T278" s="184">
        <f>IF(J278&gt;=MAX(D278,B278+$J$18+1),S278,R278)</f>
        <v/>
      </c>
      <c r="U278" s="184">
        <f>MIN(T278,'Tax Assumptions'!$B$19)</f>
        <v/>
      </c>
      <c r="V278" s="184">
        <f>MAX(T278-U278-'Tax Assumptions'!$B$8,0)</f>
        <v/>
      </c>
      <c r="W278" s="184">
        <f>MAX(T278-U278-'Tax Assumptions'!$B$9,0)</f>
        <v/>
      </c>
      <c r="X278" s="184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/>
      </c>
      <c r="Y278" s="184">
        <f>T278-U278-X278</f>
        <v/>
      </c>
      <c r="Z278" s="184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/>
      </c>
      <c r="AA278" s="184">
        <f>Y278-Z278</f>
        <v/>
      </c>
      <c r="AB278" s="184">
        <f>MIN(MAX(AA278,0),'Tax Assumptions'!$B$20)</f>
        <v/>
      </c>
      <c r="AC278" s="184">
        <f>AA278-AB278</f>
        <v/>
      </c>
      <c r="AD278" s="184">
        <f>MAX(AD277*(1+'Model Inputs'!$B$13)+AC278,0)</f>
        <v/>
      </c>
      <c r="AE278" s="184">
        <f>MAX(AE277*(1+'Model Inputs'!$B$13)+U278+AB278,0)</f>
        <v/>
      </c>
      <c r="AF278" s="184">
        <f>AD278+AE278</f>
        <v/>
      </c>
      <c r="AG278" s="191">
        <f>IF(AND(AF278&gt;=$F$14,AF277&lt;$F$14),J278,"")</f>
        <v/>
      </c>
      <c r="AH278" s="191">
        <f>IF(AND(AF278&gt;=$F$15,AF277&lt;$F$15),J278,"")</f>
        <v/>
      </c>
      <c r="AI278" s="191">
        <f>IF(AND(AF278&gt;=$F$16,AF277&lt;$F$16),J278,"")</f>
        <v/>
      </c>
      <c r="AJ278" s="191">
        <f>IF(AND(AF278&gt;=$F$17,AF277&lt;$F$17),J278,"")</f>
        <v/>
      </c>
    </row>
    <row r="279" outlineLevel="1" ht="18" customHeight="1" s="326">
      <c r="A279" s="181">
        <f>$A$37</f>
        <v/>
      </c>
      <c r="B279" s="191">
        <f>$B$37</f>
        <v/>
      </c>
      <c r="C279" s="187">
        <f>$C$37</f>
        <v/>
      </c>
      <c r="D279" s="191">
        <f>$D$37</f>
        <v/>
      </c>
      <c r="E279" s="181">
        <f>$E$37</f>
        <v/>
      </c>
      <c r="F279" s="184">
        <f>$F$37</f>
        <v/>
      </c>
      <c r="G279" s="188">
        <f>$G$37</f>
        <v/>
      </c>
      <c r="H279" s="184">
        <f>$H$37</f>
        <v/>
      </c>
      <c r="I279" s="188">
        <f>$J$17</f>
        <v/>
      </c>
      <c r="J279" s="191" t="n">
        <v>4</v>
      </c>
      <c r="K279" s="191">
        <f>('Model Inputs'!$B$22-1)+J279</f>
        <v/>
      </c>
      <c r="L279" s="184">
        <f>IF(J279=1,'Model Inputs'!$B$25*(13-'Model Inputs'!$B$23)/12,'Model Inputs'!$B$25)</f>
        <v/>
      </c>
      <c r="M279" s="184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/>
      </c>
      <c r="N279" s="188">
        <f>IF(J279&lt;=2,0,'Model Inputs'!$B$32*SIN(2*PI()*(J279-3+'Model Inputs'!$B$34)/MAX(1,'Model Inputs'!$B$33)))</f>
        <v/>
      </c>
      <c r="O279" s="184">
        <f>M279*(1+N279)</f>
        <v/>
      </c>
      <c r="P279" s="184">
        <f>0.75*O278+0.25*O277</f>
        <v/>
      </c>
      <c r="Q279" s="184">
        <f>L279+P279+IF(J279=1,'Model Inputs'!$B$26,0)</f>
        <v/>
      </c>
      <c r="R279" s="184">
        <f>IF(J279&lt;=B279,Q279,IF(J279&lt;=B279+$J$18,L279,(SUMIFS($L$51:$L$350,$A$51:$A$350,$A279,$J$51:$J$350,$B279)+SUMIFS($O$51:$O$350,$A$51:$A$350,$A279,$J$51:$J$350,$B279))*C279))</f>
        <v/>
      </c>
      <c r="S279" s="184">
        <f>H279+F279*G279*(1+I279)^MAX(0,J279-MAX(D279,B279+$J$18+1))</f>
        <v/>
      </c>
      <c r="T279" s="184">
        <f>IF(J279&gt;=MAX(D279,B279+$J$18+1),S279,R279)</f>
        <v/>
      </c>
      <c r="U279" s="184">
        <f>MIN(T279,'Tax Assumptions'!$B$19)</f>
        <v/>
      </c>
      <c r="V279" s="184">
        <f>MAX(T279-U279-'Tax Assumptions'!$B$8,0)</f>
        <v/>
      </c>
      <c r="W279" s="184">
        <f>MAX(T279-U279-'Tax Assumptions'!$B$9,0)</f>
        <v/>
      </c>
      <c r="X279" s="184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/>
      </c>
      <c r="Y279" s="184">
        <f>T279-U279-X279</f>
        <v/>
      </c>
      <c r="Z279" s="184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/>
      </c>
      <c r="AA279" s="184">
        <f>Y279-Z279</f>
        <v/>
      </c>
      <c r="AB279" s="184">
        <f>MIN(MAX(AA279,0),'Tax Assumptions'!$B$20)</f>
        <v/>
      </c>
      <c r="AC279" s="184">
        <f>AA279-AB279</f>
        <v/>
      </c>
      <c r="AD279" s="184">
        <f>MAX(AD278*(1+'Model Inputs'!$B$13)+AC279,0)</f>
        <v/>
      </c>
      <c r="AE279" s="184">
        <f>MAX(AE278*(1+'Model Inputs'!$B$13)+U279+AB279,0)</f>
        <v/>
      </c>
      <c r="AF279" s="184">
        <f>AD279+AE279</f>
        <v/>
      </c>
      <c r="AG279" s="191">
        <f>IF(AND(AF279&gt;=$F$14,AF278&lt;$F$14),J279,"")</f>
        <v/>
      </c>
      <c r="AH279" s="191">
        <f>IF(AND(AF279&gt;=$F$15,AF278&lt;$F$15),J279,"")</f>
        <v/>
      </c>
      <c r="AI279" s="191">
        <f>IF(AND(AF279&gt;=$F$16,AF278&lt;$F$16),J279,"")</f>
        <v/>
      </c>
      <c r="AJ279" s="191">
        <f>IF(AND(AF279&gt;=$F$17,AF278&lt;$F$17),J279,"")</f>
        <v/>
      </c>
    </row>
    <row r="280" outlineLevel="1" ht="18" customHeight="1" s="326">
      <c r="A280" s="181">
        <f>$A$37</f>
        <v/>
      </c>
      <c r="B280" s="191">
        <f>$B$37</f>
        <v/>
      </c>
      <c r="C280" s="187">
        <f>$C$37</f>
        <v/>
      </c>
      <c r="D280" s="191">
        <f>$D$37</f>
        <v/>
      </c>
      <c r="E280" s="181">
        <f>$E$37</f>
        <v/>
      </c>
      <c r="F280" s="184">
        <f>$F$37</f>
        <v/>
      </c>
      <c r="G280" s="188">
        <f>$G$37</f>
        <v/>
      </c>
      <c r="H280" s="184">
        <f>$H$37</f>
        <v/>
      </c>
      <c r="I280" s="188">
        <f>$J$17</f>
        <v/>
      </c>
      <c r="J280" s="191" t="n">
        <v>5</v>
      </c>
      <c r="K280" s="191">
        <f>('Model Inputs'!$B$22-1)+J280</f>
        <v/>
      </c>
      <c r="L280" s="184">
        <f>IF(J280=1,'Model Inputs'!$B$25*(13-'Model Inputs'!$B$23)/12,'Model Inputs'!$B$25)</f>
        <v/>
      </c>
      <c r="M280" s="184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/>
      </c>
      <c r="N280" s="188">
        <f>IF(J280&lt;=2,0,'Model Inputs'!$B$32*SIN(2*PI()*(J280-3+'Model Inputs'!$B$34)/MAX(1,'Model Inputs'!$B$33)))</f>
        <v/>
      </c>
      <c r="O280" s="184">
        <f>M280*(1+N280)</f>
        <v/>
      </c>
      <c r="P280" s="184">
        <f>0.75*O279+0.25*O278</f>
        <v/>
      </c>
      <c r="Q280" s="184">
        <f>L280+P280+IF(J280=1,'Model Inputs'!$B$26,0)</f>
        <v/>
      </c>
      <c r="R280" s="184">
        <f>IF(J280&lt;=B280,Q280,IF(J280&lt;=B280+$J$18,L280,(SUMIFS($L$51:$L$350,$A$51:$A$350,$A280,$J$51:$J$350,$B280)+SUMIFS($O$51:$O$350,$A$51:$A$350,$A280,$J$51:$J$350,$B280))*C280))</f>
        <v/>
      </c>
      <c r="S280" s="184">
        <f>H280+F280*G280*(1+I280)^MAX(0,J280-MAX(D280,B280+$J$18+1))</f>
        <v/>
      </c>
      <c r="T280" s="184">
        <f>IF(J280&gt;=MAX(D280,B280+$J$18+1),S280,R280)</f>
        <v/>
      </c>
      <c r="U280" s="184">
        <f>MIN(T280,'Tax Assumptions'!$B$19)</f>
        <v/>
      </c>
      <c r="V280" s="184">
        <f>MAX(T280-U280-'Tax Assumptions'!$B$8,0)</f>
        <v/>
      </c>
      <c r="W280" s="184">
        <f>MAX(T280-U280-'Tax Assumptions'!$B$9,0)</f>
        <v/>
      </c>
      <c r="X280" s="184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/>
      </c>
      <c r="Y280" s="184">
        <f>T280-U280-X280</f>
        <v/>
      </c>
      <c r="Z280" s="184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/>
      </c>
      <c r="AA280" s="184">
        <f>Y280-Z280</f>
        <v/>
      </c>
      <c r="AB280" s="184">
        <f>MIN(MAX(AA280,0),'Tax Assumptions'!$B$20)</f>
        <v/>
      </c>
      <c r="AC280" s="184">
        <f>AA280-AB280</f>
        <v/>
      </c>
      <c r="AD280" s="184">
        <f>MAX(AD279*(1+'Model Inputs'!$B$13)+AC280,0)</f>
        <v/>
      </c>
      <c r="AE280" s="184">
        <f>MAX(AE279*(1+'Model Inputs'!$B$13)+U280+AB280,0)</f>
        <v/>
      </c>
      <c r="AF280" s="184">
        <f>AD280+AE280</f>
        <v/>
      </c>
      <c r="AG280" s="191">
        <f>IF(AND(AF280&gt;=$F$14,AF279&lt;$F$14),J280,"")</f>
        <v/>
      </c>
      <c r="AH280" s="191">
        <f>IF(AND(AF280&gt;=$F$15,AF279&lt;$F$15),J280,"")</f>
        <v/>
      </c>
      <c r="AI280" s="191">
        <f>IF(AND(AF280&gt;=$F$16,AF279&lt;$F$16),J280,"")</f>
        <v/>
      </c>
      <c r="AJ280" s="191">
        <f>IF(AND(AF280&gt;=$F$17,AF279&lt;$F$17),J280,"")</f>
        <v/>
      </c>
    </row>
    <row r="281" outlineLevel="1" ht="18" customHeight="1" s="326">
      <c r="A281" s="181">
        <f>$A$37</f>
        <v/>
      </c>
      <c r="B281" s="191">
        <f>$B$37</f>
        <v/>
      </c>
      <c r="C281" s="187">
        <f>$C$37</f>
        <v/>
      </c>
      <c r="D281" s="191">
        <f>$D$37</f>
        <v/>
      </c>
      <c r="E281" s="181">
        <f>$E$37</f>
        <v/>
      </c>
      <c r="F281" s="184">
        <f>$F$37</f>
        <v/>
      </c>
      <c r="G281" s="188">
        <f>$G$37</f>
        <v/>
      </c>
      <c r="H281" s="184">
        <f>$H$37</f>
        <v/>
      </c>
      <c r="I281" s="188">
        <f>$J$17</f>
        <v/>
      </c>
      <c r="J281" s="191" t="n">
        <v>6</v>
      </c>
      <c r="K281" s="191">
        <f>('Model Inputs'!$B$22-1)+J281</f>
        <v/>
      </c>
      <c r="L281" s="184">
        <f>IF(J281=1,'Model Inputs'!$B$25*(13-'Model Inputs'!$B$23)/12,'Model Inputs'!$B$25)</f>
        <v/>
      </c>
      <c r="M281" s="184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/>
      </c>
      <c r="N281" s="188">
        <f>IF(J281&lt;=2,0,'Model Inputs'!$B$32*SIN(2*PI()*(J281-3+'Model Inputs'!$B$34)/MAX(1,'Model Inputs'!$B$33)))</f>
        <v/>
      </c>
      <c r="O281" s="184">
        <f>M281*(1+N281)</f>
        <v/>
      </c>
      <c r="P281" s="184">
        <f>0.75*O280+0.25*O279</f>
        <v/>
      </c>
      <c r="Q281" s="184">
        <f>L281+P281+IF(J281=1,'Model Inputs'!$B$26,0)</f>
        <v/>
      </c>
      <c r="R281" s="184">
        <f>IF(J281&lt;=B281,Q281,IF(J281&lt;=B281+$J$18,L281,(SUMIFS($L$51:$L$350,$A$51:$A$350,$A281,$J$51:$J$350,$B281)+SUMIFS($O$51:$O$350,$A$51:$A$350,$A281,$J$51:$J$350,$B281))*C281))</f>
        <v/>
      </c>
      <c r="S281" s="184">
        <f>H281+F281*G281*(1+I281)^MAX(0,J281-MAX(D281,B281+$J$18+1))</f>
        <v/>
      </c>
      <c r="T281" s="184">
        <f>IF(J281&gt;=MAX(D281,B281+$J$18+1),S281,R281)</f>
        <v/>
      </c>
      <c r="U281" s="184">
        <f>MIN(T281,'Tax Assumptions'!$B$19)</f>
        <v/>
      </c>
      <c r="V281" s="184">
        <f>MAX(T281-U281-'Tax Assumptions'!$B$8,0)</f>
        <v/>
      </c>
      <c r="W281" s="184">
        <f>MAX(T281-U281-'Tax Assumptions'!$B$9,0)</f>
        <v/>
      </c>
      <c r="X281" s="184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/>
      </c>
      <c r="Y281" s="184">
        <f>T281-U281-X281</f>
        <v/>
      </c>
      <c r="Z281" s="184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/>
      </c>
      <c r="AA281" s="184">
        <f>Y281-Z281</f>
        <v/>
      </c>
      <c r="AB281" s="184">
        <f>MIN(MAX(AA281,0),'Tax Assumptions'!$B$20)</f>
        <v/>
      </c>
      <c r="AC281" s="184">
        <f>AA281-AB281</f>
        <v/>
      </c>
      <c r="AD281" s="184">
        <f>MAX(AD280*(1+'Model Inputs'!$B$13)+AC281,0)</f>
        <v/>
      </c>
      <c r="AE281" s="184">
        <f>MAX(AE280*(1+'Model Inputs'!$B$13)+U281+AB281,0)</f>
        <v/>
      </c>
      <c r="AF281" s="184">
        <f>AD281+AE281</f>
        <v/>
      </c>
      <c r="AG281" s="191">
        <f>IF(AND(AF281&gt;=$F$14,AF280&lt;$F$14),J281,"")</f>
        <v/>
      </c>
      <c r="AH281" s="191">
        <f>IF(AND(AF281&gt;=$F$15,AF280&lt;$F$15),J281,"")</f>
        <v/>
      </c>
      <c r="AI281" s="191">
        <f>IF(AND(AF281&gt;=$F$16,AF280&lt;$F$16),J281,"")</f>
        <v/>
      </c>
      <c r="AJ281" s="191">
        <f>IF(AND(AF281&gt;=$F$17,AF280&lt;$F$17),J281,"")</f>
        <v/>
      </c>
    </row>
    <row r="282" outlineLevel="1" ht="18" customHeight="1" s="326">
      <c r="A282" s="181">
        <f>$A$37</f>
        <v/>
      </c>
      <c r="B282" s="191">
        <f>$B$37</f>
        <v/>
      </c>
      <c r="C282" s="187">
        <f>$C$37</f>
        <v/>
      </c>
      <c r="D282" s="191">
        <f>$D$37</f>
        <v/>
      </c>
      <c r="E282" s="181">
        <f>$E$37</f>
        <v/>
      </c>
      <c r="F282" s="184">
        <f>$F$37</f>
        <v/>
      </c>
      <c r="G282" s="188">
        <f>$G$37</f>
        <v/>
      </c>
      <c r="H282" s="184">
        <f>$H$37</f>
        <v/>
      </c>
      <c r="I282" s="188">
        <f>$J$17</f>
        <v/>
      </c>
      <c r="J282" s="191" t="n">
        <v>7</v>
      </c>
      <c r="K282" s="191">
        <f>('Model Inputs'!$B$22-1)+J282</f>
        <v/>
      </c>
      <c r="L282" s="184">
        <f>IF(J282=1,'Model Inputs'!$B$25*(13-'Model Inputs'!$B$23)/12,'Model Inputs'!$B$25)</f>
        <v/>
      </c>
      <c r="M282" s="184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/>
      </c>
      <c r="N282" s="188">
        <f>IF(J282&lt;=2,0,'Model Inputs'!$B$32*SIN(2*PI()*(J282-3+'Model Inputs'!$B$34)/MAX(1,'Model Inputs'!$B$33)))</f>
        <v/>
      </c>
      <c r="O282" s="184">
        <f>M282*(1+N282)</f>
        <v/>
      </c>
      <c r="P282" s="184">
        <f>0.75*O281+0.25*O280</f>
        <v/>
      </c>
      <c r="Q282" s="184">
        <f>L282+P282+IF(J282=1,'Model Inputs'!$B$26,0)</f>
        <v/>
      </c>
      <c r="R282" s="184">
        <f>IF(J282&lt;=B282,Q282,IF(J282&lt;=B282+$J$18,L282,(SUMIFS($L$51:$L$350,$A$51:$A$350,$A282,$J$51:$J$350,$B282)+SUMIFS($O$51:$O$350,$A$51:$A$350,$A282,$J$51:$J$350,$B282))*C282))</f>
        <v/>
      </c>
      <c r="S282" s="184">
        <f>H282+F282*G282*(1+I282)^MAX(0,J282-MAX(D282,B282+$J$18+1))</f>
        <v/>
      </c>
      <c r="T282" s="184">
        <f>IF(J282&gt;=MAX(D282,B282+$J$18+1),S282,R282)</f>
        <v/>
      </c>
      <c r="U282" s="184">
        <f>MIN(T282,'Tax Assumptions'!$B$19)</f>
        <v/>
      </c>
      <c r="V282" s="184">
        <f>MAX(T282-U282-'Tax Assumptions'!$B$8,0)</f>
        <v/>
      </c>
      <c r="W282" s="184">
        <f>MAX(T282-U282-'Tax Assumptions'!$B$9,0)</f>
        <v/>
      </c>
      <c r="X282" s="184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/>
      </c>
      <c r="Y282" s="184">
        <f>T282-U282-X282</f>
        <v/>
      </c>
      <c r="Z282" s="184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/>
      </c>
      <c r="AA282" s="184">
        <f>Y282-Z282</f>
        <v/>
      </c>
      <c r="AB282" s="184">
        <f>MIN(MAX(AA282,0),'Tax Assumptions'!$B$20)</f>
        <v/>
      </c>
      <c r="AC282" s="184">
        <f>AA282-AB282</f>
        <v/>
      </c>
      <c r="AD282" s="184">
        <f>MAX(AD281*(1+'Model Inputs'!$B$13)+AC282,0)</f>
        <v/>
      </c>
      <c r="AE282" s="184">
        <f>MAX(AE281*(1+'Model Inputs'!$B$13)+U282+AB282,0)</f>
        <v/>
      </c>
      <c r="AF282" s="184">
        <f>AD282+AE282</f>
        <v/>
      </c>
      <c r="AG282" s="191">
        <f>IF(AND(AF282&gt;=$F$14,AF281&lt;$F$14),J282,"")</f>
        <v/>
      </c>
      <c r="AH282" s="191">
        <f>IF(AND(AF282&gt;=$F$15,AF281&lt;$F$15),J282,"")</f>
        <v/>
      </c>
      <c r="AI282" s="191">
        <f>IF(AND(AF282&gt;=$F$16,AF281&lt;$F$16),J282,"")</f>
        <v/>
      </c>
      <c r="AJ282" s="191">
        <f>IF(AND(AF282&gt;=$F$17,AF281&lt;$F$17),J282,"")</f>
        <v/>
      </c>
    </row>
    <row r="283" outlineLevel="1" ht="18" customHeight="1" s="326">
      <c r="A283" s="181">
        <f>$A$37</f>
        <v/>
      </c>
      <c r="B283" s="191">
        <f>$B$37</f>
        <v/>
      </c>
      <c r="C283" s="187">
        <f>$C$37</f>
        <v/>
      </c>
      <c r="D283" s="191">
        <f>$D$37</f>
        <v/>
      </c>
      <c r="E283" s="181">
        <f>$E$37</f>
        <v/>
      </c>
      <c r="F283" s="184">
        <f>$F$37</f>
        <v/>
      </c>
      <c r="G283" s="188">
        <f>$G$37</f>
        <v/>
      </c>
      <c r="H283" s="184">
        <f>$H$37</f>
        <v/>
      </c>
      <c r="I283" s="188">
        <f>$J$17</f>
        <v/>
      </c>
      <c r="J283" s="191" t="n">
        <v>8</v>
      </c>
      <c r="K283" s="191">
        <f>('Model Inputs'!$B$22-1)+J283</f>
        <v/>
      </c>
      <c r="L283" s="184">
        <f>IF(J283=1,'Model Inputs'!$B$25*(13-'Model Inputs'!$B$23)/12,'Model Inputs'!$B$25)</f>
        <v/>
      </c>
      <c r="M283" s="184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/>
      </c>
      <c r="N283" s="188">
        <f>IF(J283&lt;=2,0,'Model Inputs'!$B$32*SIN(2*PI()*(J283-3+'Model Inputs'!$B$34)/MAX(1,'Model Inputs'!$B$33)))</f>
        <v/>
      </c>
      <c r="O283" s="184">
        <f>M283*(1+N283)</f>
        <v/>
      </c>
      <c r="P283" s="184">
        <f>0.75*O282+0.25*O281</f>
        <v/>
      </c>
      <c r="Q283" s="184">
        <f>L283+P283+IF(J283=1,'Model Inputs'!$B$26,0)</f>
        <v/>
      </c>
      <c r="R283" s="184">
        <f>IF(J283&lt;=B283,Q283,IF(J283&lt;=B283+$J$18,L283,(SUMIFS($L$51:$L$350,$A$51:$A$350,$A283,$J$51:$J$350,$B283)+SUMIFS($O$51:$O$350,$A$51:$A$350,$A283,$J$51:$J$350,$B283))*C283))</f>
        <v/>
      </c>
      <c r="S283" s="184">
        <f>H283+F283*G283*(1+I283)^MAX(0,J283-MAX(D283,B283+$J$18+1))</f>
        <v/>
      </c>
      <c r="T283" s="184">
        <f>IF(J283&gt;=MAX(D283,B283+$J$18+1),S283,R283)</f>
        <v/>
      </c>
      <c r="U283" s="184">
        <f>MIN(T283,'Tax Assumptions'!$B$19)</f>
        <v/>
      </c>
      <c r="V283" s="184">
        <f>MAX(T283-U283-'Tax Assumptions'!$B$8,0)</f>
        <v/>
      </c>
      <c r="W283" s="184">
        <f>MAX(T283-U283-'Tax Assumptions'!$B$9,0)</f>
        <v/>
      </c>
      <c r="X283" s="184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/>
      </c>
      <c r="Y283" s="184">
        <f>T283-U283-X283</f>
        <v/>
      </c>
      <c r="Z283" s="184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/>
      </c>
      <c r="AA283" s="184">
        <f>Y283-Z283</f>
        <v/>
      </c>
      <c r="AB283" s="184">
        <f>MIN(MAX(AA283,0),'Tax Assumptions'!$B$20)</f>
        <v/>
      </c>
      <c r="AC283" s="184">
        <f>AA283-AB283</f>
        <v/>
      </c>
      <c r="AD283" s="184">
        <f>MAX(AD282*(1+'Model Inputs'!$B$13)+AC283,0)</f>
        <v/>
      </c>
      <c r="AE283" s="184">
        <f>MAX(AE282*(1+'Model Inputs'!$B$13)+U283+AB283,0)</f>
        <v/>
      </c>
      <c r="AF283" s="184">
        <f>AD283+AE283</f>
        <v/>
      </c>
      <c r="AG283" s="191">
        <f>IF(AND(AF283&gt;=$F$14,AF282&lt;$F$14),J283,"")</f>
        <v/>
      </c>
      <c r="AH283" s="191">
        <f>IF(AND(AF283&gt;=$F$15,AF282&lt;$F$15),J283,"")</f>
        <v/>
      </c>
      <c r="AI283" s="191">
        <f>IF(AND(AF283&gt;=$F$16,AF282&lt;$F$16),J283,"")</f>
        <v/>
      </c>
      <c r="AJ283" s="191">
        <f>IF(AND(AF283&gt;=$F$17,AF282&lt;$F$17),J283,"")</f>
        <v/>
      </c>
    </row>
    <row r="284" outlineLevel="1" ht="18" customHeight="1" s="326">
      <c r="A284" s="181">
        <f>$A$37</f>
        <v/>
      </c>
      <c r="B284" s="191">
        <f>$B$37</f>
        <v/>
      </c>
      <c r="C284" s="187">
        <f>$C$37</f>
        <v/>
      </c>
      <c r="D284" s="191">
        <f>$D$37</f>
        <v/>
      </c>
      <c r="E284" s="181">
        <f>$E$37</f>
        <v/>
      </c>
      <c r="F284" s="184">
        <f>$F$37</f>
        <v/>
      </c>
      <c r="G284" s="188">
        <f>$G$37</f>
        <v/>
      </c>
      <c r="H284" s="184">
        <f>$H$37</f>
        <v/>
      </c>
      <c r="I284" s="188">
        <f>$J$17</f>
        <v/>
      </c>
      <c r="J284" s="191" t="n">
        <v>9</v>
      </c>
      <c r="K284" s="191">
        <f>('Model Inputs'!$B$22-1)+J284</f>
        <v/>
      </c>
      <c r="L284" s="184">
        <f>IF(J284=1,'Model Inputs'!$B$25*(13-'Model Inputs'!$B$23)/12,'Model Inputs'!$B$25)</f>
        <v/>
      </c>
      <c r="M284" s="184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/>
      </c>
      <c r="N284" s="188">
        <f>IF(J284&lt;=2,0,'Model Inputs'!$B$32*SIN(2*PI()*(J284-3+'Model Inputs'!$B$34)/MAX(1,'Model Inputs'!$B$33)))</f>
        <v/>
      </c>
      <c r="O284" s="184">
        <f>M284*(1+N284)</f>
        <v/>
      </c>
      <c r="P284" s="184">
        <f>0.75*O283+0.25*O282</f>
        <v/>
      </c>
      <c r="Q284" s="184">
        <f>L284+P284+IF(J284=1,'Model Inputs'!$B$26,0)</f>
        <v/>
      </c>
      <c r="R284" s="184">
        <f>IF(J284&lt;=B284,Q284,IF(J284&lt;=B284+$J$18,L284,(SUMIFS($L$51:$L$350,$A$51:$A$350,$A284,$J$51:$J$350,$B284)+SUMIFS($O$51:$O$350,$A$51:$A$350,$A284,$J$51:$J$350,$B284))*C284))</f>
        <v/>
      </c>
      <c r="S284" s="184">
        <f>H284+F284*G284*(1+I284)^MAX(0,J284-MAX(D284,B284+$J$18+1))</f>
        <v/>
      </c>
      <c r="T284" s="184">
        <f>IF(J284&gt;=MAX(D284,B284+$J$18+1),S284,R284)</f>
        <v/>
      </c>
      <c r="U284" s="184">
        <f>MIN(T284,'Tax Assumptions'!$B$19)</f>
        <v/>
      </c>
      <c r="V284" s="184">
        <f>MAX(T284-U284-'Tax Assumptions'!$B$8,0)</f>
        <v/>
      </c>
      <c r="W284" s="184">
        <f>MAX(T284-U284-'Tax Assumptions'!$B$9,0)</f>
        <v/>
      </c>
      <c r="X284" s="184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/>
      </c>
      <c r="Y284" s="184">
        <f>T284-U284-X284</f>
        <v/>
      </c>
      <c r="Z284" s="184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/>
      </c>
      <c r="AA284" s="184">
        <f>Y284-Z284</f>
        <v/>
      </c>
      <c r="AB284" s="184">
        <f>MIN(MAX(AA284,0),'Tax Assumptions'!$B$20)</f>
        <v/>
      </c>
      <c r="AC284" s="184">
        <f>AA284-AB284</f>
        <v/>
      </c>
      <c r="AD284" s="184">
        <f>MAX(AD283*(1+'Model Inputs'!$B$13)+AC284,0)</f>
        <v/>
      </c>
      <c r="AE284" s="184">
        <f>MAX(AE283*(1+'Model Inputs'!$B$13)+U284+AB284,0)</f>
        <v/>
      </c>
      <c r="AF284" s="184">
        <f>AD284+AE284</f>
        <v/>
      </c>
      <c r="AG284" s="191">
        <f>IF(AND(AF284&gt;=$F$14,AF283&lt;$F$14),J284,"")</f>
        <v/>
      </c>
      <c r="AH284" s="191">
        <f>IF(AND(AF284&gt;=$F$15,AF283&lt;$F$15),J284,"")</f>
        <v/>
      </c>
      <c r="AI284" s="191">
        <f>IF(AND(AF284&gt;=$F$16,AF283&lt;$F$16),J284,"")</f>
        <v/>
      </c>
      <c r="AJ284" s="191">
        <f>IF(AND(AF284&gt;=$F$17,AF283&lt;$F$17),J284,"")</f>
        <v/>
      </c>
    </row>
    <row r="285" outlineLevel="1" ht="18" customHeight="1" s="326">
      <c r="A285" s="181">
        <f>$A$37</f>
        <v/>
      </c>
      <c r="B285" s="191">
        <f>$B$37</f>
        <v/>
      </c>
      <c r="C285" s="187">
        <f>$C$37</f>
        <v/>
      </c>
      <c r="D285" s="191">
        <f>$D$37</f>
        <v/>
      </c>
      <c r="E285" s="181">
        <f>$E$37</f>
        <v/>
      </c>
      <c r="F285" s="184">
        <f>$F$37</f>
        <v/>
      </c>
      <c r="G285" s="188">
        <f>$G$37</f>
        <v/>
      </c>
      <c r="H285" s="184">
        <f>$H$37</f>
        <v/>
      </c>
      <c r="I285" s="188">
        <f>$J$17</f>
        <v/>
      </c>
      <c r="J285" s="191" t="n">
        <v>10</v>
      </c>
      <c r="K285" s="191">
        <f>('Model Inputs'!$B$22-1)+J285</f>
        <v/>
      </c>
      <c r="L285" s="184">
        <f>IF(J285=1,'Model Inputs'!$B$25*(13-'Model Inputs'!$B$23)/12,'Model Inputs'!$B$25)</f>
        <v/>
      </c>
      <c r="M285" s="184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/>
      </c>
      <c r="N285" s="188">
        <f>IF(J285&lt;=2,0,'Model Inputs'!$B$32*SIN(2*PI()*(J285-3+'Model Inputs'!$B$34)/MAX(1,'Model Inputs'!$B$33)))</f>
        <v/>
      </c>
      <c r="O285" s="184">
        <f>M285*(1+N285)</f>
        <v/>
      </c>
      <c r="P285" s="184">
        <f>0.75*O284+0.25*O283</f>
        <v/>
      </c>
      <c r="Q285" s="184">
        <f>L285+P285+IF(J285=1,'Model Inputs'!$B$26,0)</f>
        <v/>
      </c>
      <c r="R285" s="184">
        <f>IF(J285&lt;=B285,Q285,IF(J285&lt;=B285+$J$18,L285,(SUMIFS($L$51:$L$350,$A$51:$A$350,$A285,$J$51:$J$350,$B285)+SUMIFS($O$51:$O$350,$A$51:$A$350,$A285,$J$51:$J$350,$B285))*C285))</f>
        <v/>
      </c>
      <c r="S285" s="184">
        <f>H285+F285*G285*(1+I285)^MAX(0,J285-MAX(D285,B285+$J$18+1))</f>
        <v/>
      </c>
      <c r="T285" s="184">
        <f>IF(J285&gt;=MAX(D285,B285+$J$18+1),S285,R285)</f>
        <v/>
      </c>
      <c r="U285" s="184">
        <f>MIN(T285,'Tax Assumptions'!$B$19)</f>
        <v/>
      </c>
      <c r="V285" s="184">
        <f>MAX(T285-U285-'Tax Assumptions'!$B$8,0)</f>
        <v/>
      </c>
      <c r="W285" s="184">
        <f>MAX(T285-U285-'Tax Assumptions'!$B$9,0)</f>
        <v/>
      </c>
      <c r="X285" s="184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/>
      </c>
      <c r="Y285" s="184">
        <f>T285-U285-X285</f>
        <v/>
      </c>
      <c r="Z285" s="184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/>
      </c>
      <c r="AA285" s="184">
        <f>Y285-Z285</f>
        <v/>
      </c>
      <c r="AB285" s="184">
        <f>MIN(MAX(AA285,0),'Tax Assumptions'!$B$20)</f>
        <v/>
      </c>
      <c r="AC285" s="184">
        <f>AA285-AB285</f>
        <v/>
      </c>
      <c r="AD285" s="184">
        <f>MAX(AD284*(1+'Model Inputs'!$B$13)+AC285,0)</f>
        <v/>
      </c>
      <c r="AE285" s="184">
        <f>MAX(AE284*(1+'Model Inputs'!$B$13)+U285+AB285,0)</f>
        <v/>
      </c>
      <c r="AF285" s="184">
        <f>AD285+AE285</f>
        <v/>
      </c>
      <c r="AG285" s="191">
        <f>IF(AND(AF285&gt;=$F$14,AF284&lt;$F$14),J285,"")</f>
        <v/>
      </c>
      <c r="AH285" s="191">
        <f>IF(AND(AF285&gt;=$F$15,AF284&lt;$F$15),J285,"")</f>
        <v/>
      </c>
      <c r="AI285" s="191">
        <f>IF(AND(AF285&gt;=$F$16,AF284&lt;$F$16),J285,"")</f>
        <v/>
      </c>
      <c r="AJ285" s="191">
        <f>IF(AND(AF285&gt;=$F$17,AF284&lt;$F$17),J285,"")</f>
        <v/>
      </c>
    </row>
    <row r="286" outlineLevel="1" ht="18" customHeight="1" s="326">
      <c r="A286" s="181">
        <f>$A$37</f>
        <v/>
      </c>
      <c r="B286" s="191">
        <f>$B$37</f>
        <v/>
      </c>
      <c r="C286" s="187">
        <f>$C$37</f>
        <v/>
      </c>
      <c r="D286" s="191">
        <f>$D$37</f>
        <v/>
      </c>
      <c r="E286" s="181">
        <f>$E$37</f>
        <v/>
      </c>
      <c r="F286" s="184">
        <f>$F$37</f>
        <v/>
      </c>
      <c r="G286" s="188">
        <f>$G$37</f>
        <v/>
      </c>
      <c r="H286" s="184">
        <f>$H$37</f>
        <v/>
      </c>
      <c r="I286" s="188">
        <f>$J$17</f>
        <v/>
      </c>
      <c r="J286" s="191" t="n">
        <v>11</v>
      </c>
      <c r="K286" s="191">
        <f>('Model Inputs'!$B$22-1)+J286</f>
        <v/>
      </c>
      <c r="L286" s="184">
        <f>IF(J286=1,'Model Inputs'!$B$25*(13-'Model Inputs'!$B$23)/12,'Model Inputs'!$B$25)</f>
        <v/>
      </c>
      <c r="M286" s="184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/>
      </c>
      <c r="N286" s="188">
        <f>IF(J286&lt;=2,0,'Model Inputs'!$B$32*SIN(2*PI()*(J286-3+'Model Inputs'!$B$34)/MAX(1,'Model Inputs'!$B$33)))</f>
        <v/>
      </c>
      <c r="O286" s="184">
        <f>M286*(1+N286)</f>
        <v/>
      </c>
      <c r="P286" s="184">
        <f>0.75*O285+0.25*O284</f>
        <v/>
      </c>
      <c r="Q286" s="184">
        <f>L286+P286+IF(J286=1,'Model Inputs'!$B$26,0)</f>
        <v/>
      </c>
      <c r="R286" s="184">
        <f>IF(J286&lt;=B286,Q286,IF(J286&lt;=B286+$J$18,L286,(SUMIFS($L$51:$L$350,$A$51:$A$350,$A286,$J$51:$J$350,$B286)+SUMIFS($O$51:$O$350,$A$51:$A$350,$A286,$J$51:$J$350,$B286))*C286))</f>
        <v/>
      </c>
      <c r="S286" s="184">
        <f>H286+F286*G286*(1+I286)^MAX(0,J286-MAX(D286,B286+$J$18+1))</f>
        <v/>
      </c>
      <c r="T286" s="184">
        <f>IF(J286&gt;=MAX(D286,B286+$J$18+1),S286,R286)</f>
        <v/>
      </c>
      <c r="U286" s="184">
        <f>MIN(T286,'Tax Assumptions'!$B$19)</f>
        <v/>
      </c>
      <c r="V286" s="184">
        <f>MAX(T286-U286-'Tax Assumptions'!$B$8,0)</f>
        <v/>
      </c>
      <c r="W286" s="184">
        <f>MAX(T286-U286-'Tax Assumptions'!$B$9,0)</f>
        <v/>
      </c>
      <c r="X286" s="184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/>
      </c>
      <c r="Y286" s="184">
        <f>T286-U286-X286</f>
        <v/>
      </c>
      <c r="Z286" s="184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/>
      </c>
      <c r="AA286" s="184">
        <f>Y286-Z286</f>
        <v/>
      </c>
      <c r="AB286" s="184">
        <f>MIN(MAX(AA286,0),'Tax Assumptions'!$B$20)</f>
        <v/>
      </c>
      <c r="AC286" s="184">
        <f>AA286-AB286</f>
        <v/>
      </c>
      <c r="AD286" s="184">
        <f>MAX(AD285*(1+'Model Inputs'!$B$13)+AC286,0)</f>
        <v/>
      </c>
      <c r="AE286" s="184">
        <f>MAX(AE285*(1+'Model Inputs'!$B$13)+U286+AB286,0)</f>
        <v/>
      </c>
      <c r="AF286" s="184">
        <f>AD286+AE286</f>
        <v/>
      </c>
      <c r="AG286" s="191">
        <f>IF(AND(AF286&gt;=$F$14,AF285&lt;$F$14),J286,"")</f>
        <v/>
      </c>
      <c r="AH286" s="191">
        <f>IF(AND(AF286&gt;=$F$15,AF285&lt;$F$15),J286,"")</f>
        <v/>
      </c>
      <c r="AI286" s="191">
        <f>IF(AND(AF286&gt;=$F$16,AF285&lt;$F$16),J286,"")</f>
        <v/>
      </c>
      <c r="AJ286" s="191">
        <f>IF(AND(AF286&gt;=$F$17,AF285&lt;$F$17),J286,"")</f>
        <v/>
      </c>
    </row>
    <row r="287" outlineLevel="1" ht="18" customHeight="1" s="326">
      <c r="A287" s="181">
        <f>$A$37</f>
        <v/>
      </c>
      <c r="B287" s="191">
        <f>$B$37</f>
        <v/>
      </c>
      <c r="C287" s="187">
        <f>$C$37</f>
        <v/>
      </c>
      <c r="D287" s="191">
        <f>$D$37</f>
        <v/>
      </c>
      <c r="E287" s="181">
        <f>$E$37</f>
        <v/>
      </c>
      <c r="F287" s="184">
        <f>$F$37</f>
        <v/>
      </c>
      <c r="G287" s="188">
        <f>$G$37</f>
        <v/>
      </c>
      <c r="H287" s="184">
        <f>$H$37</f>
        <v/>
      </c>
      <c r="I287" s="188">
        <f>$J$17</f>
        <v/>
      </c>
      <c r="J287" s="191" t="n">
        <v>12</v>
      </c>
      <c r="K287" s="191">
        <f>('Model Inputs'!$B$22-1)+J287</f>
        <v/>
      </c>
      <c r="L287" s="184">
        <f>IF(J287=1,'Model Inputs'!$B$25*(13-'Model Inputs'!$B$23)/12,'Model Inputs'!$B$25)</f>
        <v/>
      </c>
      <c r="M287" s="184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/>
      </c>
      <c r="N287" s="188">
        <f>IF(J287&lt;=2,0,'Model Inputs'!$B$32*SIN(2*PI()*(J287-3+'Model Inputs'!$B$34)/MAX(1,'Model Inputs'!$B$33)))</f>
        <v/>
      </c>
      <c r="O287" s="184">
        <f>M287*(1+N287)</f>
        <v/>
      </c>
      <c r="P287" s="184">
        <f>0.75*O286+0.25*O285</f>
        <v/>
      </c>
      <c r="Q287" s="184">
        <f>L287+P287+IF(J287=1,'Model Inputs'!$B$26,0)</f>
        <v/>
      </c>
      <c r="R287" s="184">
        <f>IF(J287&lt;=B287,Q287,IF(J287&lt;=B287+$J$18,L287,(SUMIFS($L$51:$L$350,$A$51:$A$350,$A287,$J$51:$J$350,$B287)+SUMIFS($O$51:$O$350,$A$51:$A$350,$A287,$J$51:$J$350,$B287))*C287))</f>
        <v/>
      </c>
      <c r="S287" s="184">
        <f>H287+F287*G287*(1+I287)^MAX(0,J287-MAX(D287,B287+$J$18+1))</f>
        <v/>
      </c>
      <c r="T287" s="184">
        <f>IF(J287&gt;=MAX(D287,B287+$J$18+1),S287,R287)</f>
        <v/>
      </c>
      <c r="U287" s="184">
        <f>MIN(T287,'Tax Assumptions'!$B$19)</f>
        <v/>
      </c>
      <c r="V287" s="184">
        <f>MAX(T287-U287-'Tax Assumptions'!$B$8,0)</f>
        <v/>
      </c>
      <c r="W287" s="184">
        <f>MAX(T287-U287-'Tax Assumptions'!$B$9,0)</f>
        <v/>
      </c>
      <c r="X287" s="184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/>
      </c>
      <c r="Y287" s="184">
        <f>T287-U287-X287</f>
        <v/>
      </c>
      <c r="Z287" s="184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/>
      </c>
      <c r="AA287" s="184">
        <f>Y287-Z287</f>
        <v/>
      </c>
      <c r="AB287" s="184">
        <f>MIN(MAX(AA287,0),'Tax Assumptions'!$B$20)</f>
        <v/>
      </c>
      <c r="AC287" s="184">
        <f>AA287-AB287</f>
        <v/>
      </c>
      <c r="AD287" s="184">
        <f>MAX(AD286*(1+'Model Inputs'!$B$13)+AC287,0)</f>
        <v/>
      </c>
      <c r="AE287" s="184">
        <f>MAX(AE286*(1+'Model Inputs'!$B$13)+U287+AB287,0)</f>
        <v/>
      </c>
      <c r="AF287" s="184">
        <f>AD287+AE287</f>
        <v/>
      </c>
      <c r="AG287" s="191">
        <f>IF(AND(AF287&gt;=$F$14,AF286&lt;$F$14),J287,"")</f>
        <v/>
      </c>
      <c r="AH287" s="191">
        <f>IF(AND(AF287&gt;=$F$15,AF286&lt;$F$15),J287,"")</f>
        <v/>
      </c>
      <c r="AI287" s="191">
        <f>IF(AND(AF287&gt;=$F$16,AF286&lt;$F$16),J287,"")</f>
        <v/>
      </c>
      <c r="AJ287" s="191">
        <f>IF(AND(AF287&gt;=$F$17,AF286&lt;$F$17),J287,"")</f>
        <v/>
      </c>
    </row>
    <row r="288" outlineLevel="1" ht="18" customHeight="1" s="326">
      <c r="A288" s="181">
        <f>$A$37</f>
        <v/>
      </c>
      <c r="B288" s="191">
        <f>$B$37</f>
        <v/>
      </c>
      <c r="C288" s="187">
        <f>$C$37</f>
        <v/>
      </c>
      <c r="D288" s="191">
        <f>$D$37</f>
        <v/>
      </c>
      <c r="E288" s="181">
        <f>$E$37</f>
        <v/>
      </c>
      <c r="F288" s="184">
        <f>$F$37</f>
        <v/>
      </c>
      <c r="G288" s="188">
        <f>$G$37</f>
        <v/>
      </c>
      <c r="H288" s="184">
        <f>$H$37</f>
        <v/>
      </c>
      <c r="I288" s="188">
        <f>$J$17</f>
        <v/>
      </c>
      <c r="J288" s="191" t="n">
        <v>13</v>
      </c>
      <c r="K288" s="191">
        <f>('Model Inputs'!$B$22-1)+J288</f>
        <v/>
      </c>
      <c r="L288" s="184">
        <f>IF(J288=1,'Model Inputs'!$B$25*(13-'Model Inputs'!$B$23)/12,'Model Inputs'!$B$25)</f>
        <v/>
      </c>
      <c r="M288" s="184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/>
      </c>
      <c r="N288" s="188">
        <f>IF(J288&lt;=2,0,'Model Inputs'!$B$32*SIN(2*PI()*(J288-3+'Model Inputs'!$B$34)/MAX(1,'Model Inputs'!$B$33)))</f>
        <v/>
      </c>
      <c r="O288" s="184">
        <f>M288*(1+N288)</f>
        <v/>
      </c>
      <c r="P288" s="184">
        <f>0.75*O287+0.25*O286</f>
        <v/>
      </c>
      <c r="Q288" s="184">
        <f>L288+P288+IF(J288=1,'Model Inputs'!$B$26,0)</f>
        <v/>
      </c>
      <c r="R288" s="184">
        <f>IF(J288&lt;=B288,Q288,IF(J288&lt;=B288+$J$18,L288,(SUMIFS($L$51:$L$350,$A$51:$A$350,$A288,$J$51:$J$350,$B288)+SUMIFS($O$51:$O$350,$A$51:$A$350,$A288,$J$51:$J$350,$B288))*C288))</f>
        <v/>
      </c>
      <c r="S288" s="184">
        <f>H288+F288*G288*(1+I288)^MAX(0,J288-MAX(D288,B288+$J$18+1))</f>
        <v/>
      </c>
      <c r="T288" s="184">
        <f>IF(J288&gt;=MAX(D288,B288+$J$18+1),S288,R288)</f>
        <v/>
      </c>
      <c r="U288" s="184">
        <f>MIN(T288,'Tax Assumptions'!$B$19)</f>
        <v/>
      </c>
      <c r="V288" s="184">
        <f>MAX(T288-U288-'Tax Assumptions'!$B$8,0)</f>
        <v/>
      </c>
      <c r="W288" s="184">
        <f>MAX(T288-U288-'Tax Assumptions'!$B$9,0)</f>
        <v/>
      </c>
      <c r="X288" s="184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/>
      </c>
      <c r="Y288" s="184">
        <f>T288-U288-X288</f>
        <v/>
      </c>
      <c r="Z288" s="184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/>
      </c>
      <c r="AA288" s="184">
        <f>Y288-Z288</f>
        <v/>
      </c>
      <c r="AB288" s="184">
        <f>MIN(MAX(AA288,0),'Tax Assumptions'!$B$20)</f>
        <v/>
      </c>
      <c r="AC288" s="184">
        <f>AA288-AB288</f>
        <v/>
      </c>
      <c r="AD288" s="184">
        <f>MAX(AD287*(1+'Model Inputs'!$B$13)+AC288,0)</f>
        <v/>
      </c>
      <c r="AE288" s="184">
        <f>MAX(AE287*(1+'Model Inputs'!$B$13)+U288+AB288,0)</f>
        <v/>
      </c>
      <c r="AF288" s="184">
        <f>AD288+AE288</f>
        <v/>
      </c>
      <c r="AG288" s="191">
        <f>IF(AND(AF288&gt;=$F$14,AF287&lt;$F$14),J288,"")</f>
        <v/>
      </c>
      <c r="AH288" s="191">
        <f>IF(AND(AF288&gt;=$F$15,AF287&lt;$F$15),J288,"")</f>
        <v/>
      </c>
      <c r="AI288" s="191">
        <f>IF(AND(AF288&gt;=$F$16,AF287&lt;$F$16),J288,"")</f>
        <v/>
      </c>
      <c r="AJ288" s="191">
        <f>IF(AND(AF288&gt;=$F$17,AF287&lt;$F$17),J288,"")</f>
        <v/>
      </c>
    </row>
    <row r="289" outlineLevel="1" ht="18" customHeight="1" s="326">
      <c r="A289" s="181">
        <f>$A$37</f>
        <v/>
      </c>
      <c r="B289" s="191">
        <f>$B$37</f>
        <v/>
      </c>
      <c r="C289" s="187">
        <f>$C$37</f>
        <v/>
      </c>
      <c r="D289" s="191">
        <f>$D$37</f>
        <v/>
      </c>
      <c r="E289" s="181">
        <f>$E$37</f>
        <v/>
      </c>
      <c r="F289" s="184">
        <f>$F$37</f>
        <v/>
      </c>
      <c r="G289" s="188">
        <f>$G$37</f>
        <v/>
      </c>
      <c r="H289" s="184">
        <f>$H$37</f>
        <v/>
      </c>
      <c r="I289" s="188">
        <f>$J$17</f>
        <v/>
      </c>
      <c r="J289" s="191" t="n">
        <v>14</v>
      </c>
      <c r="K289" s="191">
        <f>('Model Inputs'!$B$22-1)+J289</f>
        <v/>
      </c>
      <c r="L289" s="184">
        <f>IF(J289=1,'Model Inputs'!$B$25*(13-'Model Inputs'!$B$23)/12,'Model Inputs'!$B$25)</f>
        <v/>
      </c>
      <c r="M289" s="184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/>
      </c>
      <c r="N289" s="188">
        <f>IF(J289&lt;=2,0,'Model Inputs'!$B$32*SIN(2*PI()*(J289-3+'Model Inputs'!$B$34)/MAX(1,'Model Inputs'!$B$33)))</f>
        <v/>
      </c>
      <c r="O289" s="184">
        <f>M289*(1+N289)</f>
        <v/>
      </c>
      <c r="P289" s="184">
        <f>0.75*O288+0.25*O287</f>
        <v/>
      </c>
      <c r="Q289" s="184">
        <f>L289+P289+IF(J289=1,'Model Inputs'!$B$26,0)</f>
        <v/>
      </c>
      <c r="R289" s="184">
        <f>IF(J289&lt;=B289,Q289,IF(J289&lt;=B289+$J$18,L289,(SUMIFS($L$51:$L$350,$A$51:$A$350,$A289,$J$51:$J$350,$B289)+SUMIFS($O$51:$O$350,$A$51:$A$350,$A289,$J$51:$J$350,$B289))*C289))</f>
        <v/>
      </c>
      <c r="S289" s="184">
        <f>H289+F289*G289*(1+I289)^MAX(0,J289-MAX(D289,B289+$J$18+1))</f>
        <v/>
      </c>
      <c r="T289" s="184">
        <f>IF(J289&gt;=MAX(D289,B289+$J$18+1),S289,R289)</f>
        <v/>
      </c>
      <c r="U289" s="184">
        <f>MIN(T289,'Tax Assumptions'!$B$19)</f>
        <v/>
      </c>
      <c r="V289" s="184">
        <f>MAX(T289-U289-'Tax Assumptions'!$B$8,0)</f>
        <v/>
      </c>
      <c r="W289" s="184">
        <f>MAX(T289-U289-'Tax Assumptions'!$B$9,0)</f>
        <v/>
      </c>
      <c r="X289" s="184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/>
      </c>
      <c r="Y289" s="184">
        <f>T289-U289-X289</f>
        <v/>
      </c>
      <c r="Z289" s="184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/>
      </c>
      <c r="AA289" s="184">
        <f>Y289-Z289</f>
        <v/>
      </c>
      <c r="AB289" s="184">
        <f>MIN(MAX(AA289,0),'Tax Assumptions'!$B$20)</f>
        <v/>
      </c>
      <c r="AC289" s="184">
        <f>AA289-AB289</f>
        <v/>
      </c>
      <c r="AD289" s="184">
        <f>MAX(AD288*(1+'Model Inputs'!$B$13)+AC289,0)</f>
        <v/>
      </c>
      <c r="AE289" s="184">
        <f>MAX(AE288*(1+'Model Inputs'!$B$13)+U289+AB289,0)</f>
        <v/>
      </c>
      <c r="AF289" s="184">
        <f>AD289+AE289</f>
        <v/>
      </c>
      <c r="AG289" s="191">
        <f>IF(AND(AF289&gt;=$F$14,AF288&lt;$F$14),J289,"")</f>
        <v/>
      </c>
      <c r="AH289" s="191">
        <f>IF(AND(AF289&gt;=$F$15,AF288&lt;$F$15),J289,"")</f>
        <v/>
      </c>
      <c r="AI289" s="191">
        <f>IF(AND(AF289&gt;=$F$16,AF288&lt;$F$16),J289,"")</f>
        <v/>
      </c>
      <c r="AJ289" s="191">
        <f>IF(AND(AF289&gt;=$F$17,AF288&lt;$F$17),J289,"")</f>
        <v/>
      </c>
    </row>
    <row r="290" outlineLevel="1" ht="18" customHeight="1" s="326">
      <c r="A290" s="181">
        <f>$A$37</f>
        <v/>
      </c>
      <c r="B290" s="191">
        <f>$B$37</f>
        <v/>
      </c>
      <c r="C290" s="187">
        <f>$C$37</f>
        <v/>
      </c>
      <c r="D290" s="191">
        <f>$D$37</f>
        <v/>
      </c>
      <c r="E290" s="181">
        <f>$E$37</f>
        <v/>
      </c>
      <c r="F290" s="184">
        <f>$F$37</f>
        <v/>
      </c>
      <c r="G290" s="188">
        <f>$G$37</f>
        <v/>
      </c>
      <c r="H290" s="184">
        <f>$H$37</f>
        <v/>
      </c>
      <c r="I290" s="188">
        <f>$J$17</f>
        <v/>
      </c>
      <c r="J290" s="191" t="n">
        <v>15</v>
      </c>
      <c r="K290" s="191">
        <f>('Model Inputs'!$B$22-1)+J290</f>
        <v/>
      </c>
      <c r="L290" s="184">
        <f>IF(J290=1,'Model Inputs'!$B$25*(13-'Model Inputs'!$B$23)/12,'Model Inputs'!$B$25)</f>
        <v/>
      </c>
      <c r="M290" s="184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/>
      </c>
      <c r="N290" s="188">
        <f>IF(J290&lt;=2,0,'Model Inputs'!$B$32*SIN(2*PI()*(J290-3+'Model Inputs'!$B$34)/MAX(1,'Model Inputs'!$B$33)))</f>
        <v/>
      </c>
      <c r="O290" s="184">
        <f>M290*(1+N290)</f>
        <v/>
      </c>
      <c r="P290" s="184">
        <f>0.75*O289+0.25*O288</f>
        <v/>
      </c>
      <c r="Q290" s="184">
        <f>L290+P290+IF(J290=1,'Model Inputs'!$B$26,0)</f>
        <v/>
      </c>
      <c r="R290" s="184">
        <f>IF(J290&lt;=B290,Q290,IF(J290&lt;=B290+$J$18,L290,(SUMIFS($L$51:$L$350,$A$51:$A$350,$A290,$J$51:$J$350,$B290)+SUMIFS($O$51:$O$350,$A$51:$A$350,$A290,$J$51:$J$350,$B290))*C290))</f>
        <v/>
      </c>
      <c r="S290" s="184">
        <f>H290+F290*G290*(1+I290)^MAX(0,J290-MAX(D290,B290+$J$18+1))</f>
        <v/>
      </c>
      <c r="T290" s="184">
        <f>IF(J290&gt;=MAX(D290,B290+$J$18+1),S290,R290)</f>
        <v/>
      </c>
      <c r="U290" s="184">
        <f>MIN(T290,'Tax Assumptions'!$B$19)</f>
        <v/>
      </c>
      <c r="V290" s="184">
        <f>MAX(T290-U290-'Tax Assumptions'!$B$8,0)</f>
        <v/>
      </c>
      <c r="W290" s="184">
        <f>MAX(T290-U290-'Tax Assumptions'!$B$9,0)</f>
        <v/>
      </c>
      <c r="X290" s="184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/>
      </c>
      <c r="Y290" s="184">
        <f>T290-U290-X290</f>
        <v/>
      </c>
      <c r="Z290" s="184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/>
      </c>
      <c r="AA290" s="184">
        <f>Y290-Z290</f>
        <v/>
      </c>
      <c r="AB290" s="184">
        <f>MIN(MAX(AA290,0),'Tax Assumptions'!$B$20)</f>
        <v/>
      </c>
      <c r="AC290" s="184">
        <f>AA290-AB290</f>
        <v/>
      </c>
      <c r="AD290" s="184">
        <f>MAX(AD289*(1+'Model Inputs'!$B$13)+AC290,0)</f>
        <v/>
      </c>
      <c r="AE290" s="184">
        <f>MAX(AE289*(1+'Model Inputs'!$B$13)+U290+AB290,0)</f>
        <v/>
      </c>
      <c r="AF290" s="184">
        <f>AD290+AE290</f>
        <v/>
      </c>
      <c r="AG290" s="191">
        <f>IF(AND(AF290&gt;=$F$14,AF289&lt;$F$14),J290,"")</f>
        <v/>
      </c>
      <c r="AH290" s="191">
        <f>IF(AND(AF290&gt;=$F$15,AF289&lt;$F$15),J290,"")</f>
        <v/>
      </c>
      <c r="AI290" s="191">
        <f>IF(AND(AF290&gt;=$F$16,AF289&lt;$F$16),J290,"")</f>
        <v/>
      </c>
      <c r="AJ290" s="191">
        <f>IF(AND(AF290&gt;=$F$17,AF289&lt;$F$17),J290,"")</f>
        <v/>
      </c>
    </row>
    <row r="291" outlineLevel="1" ht="18" customHeight="1" s="326">
      <c r="A291" s="181">
        <f>$A$38</f>
        <v/>
      </c>
      <c r="B291" s="191">
        <f>$B$38</f>
        <v/>
      </c>
      <c r="C291" s="187">
        <f>$C$38</f>
        <v/>
      </c>
      <c r="D291" s="191">
        <f>$D$38</f>
        <v/>
      </c>
      <c r="E291" s="181">
        <f>$E$38</f>
        <v/>
      </c>
      <c r="F291" s="184">
        <f>$F$38</f>
        <v/>
      </c>
      <c r="G291" s="188">
        <f>$G$38</f>
        <v/>
      </c>
      <c r="H291" s="184">
        <f>$H$38</f>
        <v/>
      </c>
      <c r="I291" s="188">
        <f>$J$17</f>
        <v/>
      </c>
      <c r="J291" s="191" t="n">
        <v>1</v>
      </c>
      <c r="K291" s="191">
        <f>('Model Inputs'!$B$22-1)+J291</f>
        <v/>
      </c>
      <c r="L291" s="184">
        <f>IF(J291=1,'Model Inputs'!$B$25*(13-'Model Inputs'!$B$23)/12,'Model Inputs'!$B$25)</f>
        <v/>
      </c>
      <c r="M291" s="184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/>
      </c>
      <c r="N291" s="188">
        <f>IF(J291&lt;=2,0,'Model Inputs'!$B$32*SIN(2*PI()*(J291-3+'Model Inputs'!$B$34)/MAX(1,'Model Inputs'!$B$33)))</f>
        <v/>
      </c>
      <c r="O291" s="184">
        <f>M291*(1+N291)</f>
        <v/>
      </c>
      <c r="P291" s="184">
        <f>0</f>
        <v/>
      </c>
      <c r="Q291" s="184">
        <f>L291+P291+IF(J291=1,'Model Inputs'!$B$26,0)</f>
        <v/>
      </c>
      <c r="R291" s="184">
        <f>IF(J291&lt;=B291,Q291,IF(J291&lt;=B291+$J$18,L291,(SUMIFS($L$51:$L$350,$A$51:$A$350,$A291,$J$51:$J$350,$B291)+SUMIFS($O$51:$O$350,$A$51:$A$350,$A291,$J$51:$J$350,$B291))*C291))</f>
        <v/>
      </c>
      <c r="S291" s="184">
        <f>H291+F291*G291*(1+I291)^MAX(0,J291-MAX(D291,B291+$J$18+1))</f>
        <v/>
      </c>
      <c r="T291" s="184">
        <f>IF(J291&gt;=MAX(D291,B291+$J$18+1),S291,R291)</f>
        <v/>
      </c>
      <c r="U291" s="184">
        <f>MIN(T291,'Tax Assumptions'!$B$19)</f>
        <v/>
      </c>
      <c r="V291" s="184">
        <f>MAX(T291-U291-'Tax Assumptions'!$B$8,0)</f>
        <v/>
      </c>
      <c r="W291" s="184">
        <f>MAX(T291-U291-'Tax Assumptions'!$B$9,0)</f>
        <v/>
      </c>
      <c r="X291" s="184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/>
      </c>
      <c r="Y291" s="184">
        <f>T291-U291-X291</f>
        <v/>
      </c>
      <c r="Z291" s="184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/>
      </c>
      <c r="AA291" s="184">
        <f>Y291-Z291</f>
        <v/>
      </c>
      <c r="AB291" s="184">
        <f>MIN(MAX(AA291,0),'Tax Assumptions'!$B$20)</f>
        <v/>
      </c>
      <c r="AC291" s="184">
        <f>AA291-AB291</f>
        <v/>
      </c>
      <c r="AD291" s="184">
        <f>MAX('Model Inputs'!$B$7*(1+'Model Inputs'!$B$13)+AC291,0)</f>
        <v/>
      </c>
      <c r="AE291" s="184">
        <f>MAX(('Model Inputs'!$B$8+'Model Inputs'!$B$9+'Model Inputs'!$B$10)*(1+'Model Inputs'!$B$13)+U291+AB291,0)</f>
        <v/>
      </c>
      <c r="AF291" s="184">
        <f>AD291+AE291</f>
        <v/>
      </c>
      <c r="AG291" s="191">
        <f>IF(AND(AF291&gt;=$F$14,0&lt;$F$14),J291,"")</f>
        <v/>
      </c>
      <c r="AH291" s="191">
        <f>IF(AND(AF291&gt;=$F$15,0&lt;$F$15),J291,"")</f>
        <v/>
      </c>
      <c r="AI291" s="191">
        <f>IF(AND(AF291&gt;=$F$16,0&lt;$F$16),J291,"")</f>
        <v/>
      </c>
      <c r="AJ291" s="191">
        <f>IF(AND(AF291&gt;=$F$17,0&lt;$F$17),J291,"")</f>
        <v/>
      </c>
    </row>
    <row r="292" outlineLevel="1" ht="18" customHeight="1" s="326">
      <c r="A292" s="181">
        <f>$A$38</f>
        <v/>
      </c>
      <c r="B292" s="191">
        <f>$B$38</f>
        <v/>
      </c>
      <c r="C292" s="187">
        <f>$C$38</f>
        <v/>
      </c>
      <c r="D292" s="191">
        <f>$D$38</f>
        <v/>
      </c>
      <c r="E292" s="181">
        <f>$E$38</f>
        <v/>
      </c>
      <c r="F292" s="184">
        <f>$F$38</f>
        <v/>
      </c>
      <c r="G292" s="188">
        <f>$G$38</f>
        <v/>
      </c>
      <c r="H292" s="184">
        <f>$H$38</f>
        <v/>
      </c>
      <c r="I292" s="188">
        <f>$J$17</f>
        <v/>
      </c>
      <c r="J292" s="191" t="n">
        <v>2</v>
      </c>
      <c r="K292" s="191">
        <f>('Model Inputs'!$B$22-1)+J292</f>
        <v/>
      </c>
      <c r="L292" s="184">
        <f>IF(J292=1,'Model Inputs'!$B$25*(13-'Model Inputs'!$B$23)/12,'Model Inputs'!$B$25)</f>
        <v/>
      </c>
      <c r="M292" s="184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/>
      </c>
      <c r="N292" s="188">
        <f>IF(J292&lt;=2,0,'Model Inputs'!$B$32*SIN(2*PI()*(J292-3+'Model Inputs'!$B$34)/MAX(1,'Model Inputs'!$B$33)))</f>
        <v/>
      </c>
      <c r="O292" s="184">
        <f>M292*(1+N292)</f>
        <v/>
      </c>
      <c r="P292" s="184">
        <f>0.75*O291</f>
        <v/>
      </c>
      <c r="Q292" s="184">
        <f>L292+P292+IF(J292=1,'Model Inputs'!$B$26,0)</f>
        <v/>
      </c>
      <c r="R292" s="184">
        <f>IF(J292&lt;=B292,Q292,IF(J292&lt;=B292+$J$18,L292,(SUMIFS($L$51:$L$350,$A$51:$A$350,$A292,$J$51:$J$350,$B292)+SUMIFS($O$51:$O$350,$A$51:$A$350,$A292,$J$51:$J$350,$B292))*C292))</f>
        <v/>
      </c>
      <c r="S292" s="184">
        <f>H292+F292*G292*(1+I292)^MAX(0,J292-MAX(D292,B292+$J$18+1))</f>
        <v/>
      </c>
      <c r="T292" s="184">
        <f>IF(J292&gt;=MAX(D292,B292+$J$18+1),S292,R292)</f>
        <v/>
      </c>
      <c r="U292" s="184">
        <f>MIN(T292,'Tax Assumptions'!$B$19)</f>
        <v/>
      </c>
      <c r="V292" s="184">
        <f>MAX(T292-U292-'Tax Assumptions'!$B$8,0)</f>
        <v/>
      </c>
      <c r="W292" s="184">
        <f>MAX(T292-U292-'Tax Assumptions'!$B$9,0)</f>
        <v/>
      </c>
      <c r="X292" s="184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/>
      </c>
      <c r="Y292" s="184">
        <f>T292-U292-X292</f>
        <v/>
      </c>
      <c r="Z292" s="184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/>
      </c>
      <c r="AA292" s="184">
        <f>Y292-Z292</f>
        <v/>
      </c>
      <c r="AB292" s="184">
        <f>MIN(MAX(AA292,0),'Tax Assumptions'!$B$20)</f>
        <v/>
      </c>
      <c r="AC292" s="184">
        <f>AA292-AB292</f>
        <v/>
      </c>
      <c r="AD292" s="184">
        <f>MAX(AD291*(1+'Model Inputs'!$B$13)+AC292,0)</f>
        <v/>
      </c>
      <c r="AE292" s="184">
        <f>MAX(AE291*(1+'Model Inputs'!$B$13)+U292+AB292,0)</f>
        <v/>
      </c>
      <c r="AF292" s="184">
        <f>AD292+AE292</f>
        <v/>
      </c>
      <c r="AG292" s="191">
        <f>IF(AND(AF292&gt;=$F$14,AF291&lt;$F$14),J292,"")</f>
        <v/>
      </c>
      <c r="AH292" s="191">
        <f>IF(AND(AF292&gt;=$F$15,AF291&lt;$F$15),J292,"")</f>
        <v/>
      </c>
      <c r="AI292" s="191">
        <f>IF(AND(AF292&gt;=$F$16,AF291&lt;$F$16),J292,"")</f>
        <v/>
      </c>
      <c r="AJ292" s="191">
        <f>IF(AND(AF292&gt;=$F$17,AF291&lt;$F$17),J292,"")</f>
        <v/>
      </c>
    </row>
    <row r="293" outlineLevel="1" ht="18" customHeight="1" s="326">
      <c r="A293" s="181">
        <f>$A$38</f>
        <v/>
      </c>
      <c r="B293" s="191">
        <f>$B$38</f>
        <v/>
      </c>
      <c r="C293" s="187">
        <f>$C$38</f>
        <v/>
      </c>
      <c r="D293" s="191">
        <f>$D$38</f>
        <v/>
      </c>
      <c r="E293" s="181">
        <f>$E$38</f>
        <v/>
      </c>
      <c r="F293" s="184">
        <f>$F$38</f>
        <v/>
      </c>
      <c r="G293" s="188">
        <f>$G$38</f>
        <v/>
      </c>
      <c r="H293" s="184">
        <f>$H$38</f>
        <v/>
      </c>
      <c r="I293" s="188">
        <f>$J$17</f>
        <v/>
      </c>
      <c r="J293" s="191" t="n">
        <v>3</v>
      </c>
      <c r="K293" s="191">
        <f>('Model Inputs'!$B$22-1)+J293</f>
        <v/>
      </c>
      <c r="L293" s="184">
        <f>IF(J293=1,'Model Inputs'!$B$25*(13-'Model Inputs'!$B$23)/12,'Model Inputs'!$B$25)</f>
        <v/>
      </c>
      <c r="M293" s="184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/>
      </c>
      <c r="N293" s="188">
        <f>IF(J293&lt;=2,0,'Model Inputs'!$B$32*SIN(2*PI()*(J293-3+'Model Inputs'!$B$34)/MAX(1,'Model Inputs'!$B$33)))</f>
        <v/>
      </c>
      <c r="O293" s="184">
        <f>M293*(1+N293)</f>
        <v/>
      </c>
      <c r="P293" s="184">
        <f>0.75*O292+0.25*O291</f>
        <v/>
      </c>
      <c r="Q293" s="184">
        <f>L293+P293+IF(J293=1,'Model Inputs'!$B$26,0)</f>
        <v/>
      </c>
      <c r="R293" s="184">
        <f>IF(J293&lt;=B293,Q293,IF(J293&lt;=B293+$J$18,L293,(SUMIFS($L$51:$L$350,$A$51:$A$350,$A293,$J$51:$J$350,$B293)+SUMIFS($O$51:$O$350,$A$51:$A$350,$A293,$J$51:$J$350,$B293))*C293))</f>
        <v/>
      </c>
      <c r="S293" s="184">
        <f>H293+F293*G293*(1+I293)^MAX(0,J293-MAX(D293,B293+$J$18+1))</f>
        <v/>
      </c>
      <c r="T293" s="184">
        <f>IF(J293&gt;=MAX(D293,B293+$J$18+1),S293,R293)</f>
        <v/>
      </c>
      <c r="U293" s="184">
        <f>MIN(T293,'Tax Assumptions'!$B$19)</f>
        <v/>
      </c>
      <c r="V293" s="184">
        <f>MAX(T293-U293-'Tax Assumptions'!$B$8,0)</f>
        <v/>
      </c>
      <c r="W293" s="184">
        <f>MAX(T293-U293-'Tax Assumptions'!$B$9,0)</f>
        <v/>
      </c>
      <c r="X293" s="184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/>
      </c>
      <c r="Y293" s="184">
        <f>T293-U293-X293</f>
        <v/>
      </c>
      <c r="Z293" s="184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/>
      </c>
      <c r="AA293" s="184">
        <f>Y293-Z293</f>
        <v/>
      </c>
      <c r="AB293" s="184">
        <f>MIN(MAX(AA293,0),'Tax Assumptions'!$B$20)</f>
        <v/>
      </c>
      <c r="AC293" s="184">
        <f>AA293-AB293</f>
        <v/>
      </c>
      <c r="AD293" s="184">
        <f>MAX(AD292*(1+'Model Inputs'!$B$13)+AC293,0)</f>
        <v/>
      </c>
      <c r="AE293" s="184">
        <f>MAX(AE292*(1+'Model Inputs'!$B$13)+U293+AB293,0)</f>
        <v/>
      </c>
      <c r="AF293" s="184">
        <f>AD293+AE293</f>
        <v/>
      </c>
      <c r="AG293" s="191">
        <f>IF(AND(AF293&gt;=$F$14,AF292&lt;$F$14),J293,"")</f>
        <v/>
      </c>
      <c r="AH293" s="191">
        <f>IF(AND(AF293&gt;=$F$15,AF292&lt;$F$15),J293,"")</f>
        <v/>
      </c>
      <c r="AI293" s="191">
        <f>IF(AND(AF293&gt;=$F$16,AF292&lt;$F$16),J293,"")</f>
        <v/>
      </c>
      <c r="AJ293" s="191">
        <f>IF(AND(AF293&gt;=$F$17,AF292&lt;$F$17),J293,"")</f>
        <v/>
      </c>
    </row>
    <row r="294" outlineLevel="1" ht="18" customHeight="1" s="326">
      <c r="A294" s="181">
        <f>$A$38</f>
        <v/>
      </c>
      <c r="B294" s="191">
        <f>$B$38</f>
        <v/>
      </c>
      <c r="C294" s="187">
        <f>$C$38</f>
        <v/>
      </c>
      <c r="D294" s="191">
        <f>$D$38</f>
        <v/>
      </c>
      <c r="E294" s="181">
        <f>$E$38</f>
        <v/>
      </c>
      <c r="F294" s="184">
        <f>$F$38</f>
        <v/>
      </c>
      <c r="G294" s="188">
        <f>$G$38</f>
        <v/>
      </c>
      <c r="H294" s="184">
        <f>$H$38</f>
        <v/>
      </c>
      <c r="I294" s="188">
        <f>$J$17</f>
        <v/>
      </c>
      <c r="J294" s="191" t="n">
        <v>4</v>
      </c>
      <c r="K294" s="191">
        <f>('Model Inputs'!$B$22-1)+J294</f>
        <v/>
      </c>
      <c r="L294" s="184">
        <f>IF(J294=1,'Model Inputs'!$B$25*(13-'Model Inputs'!$B$23)/12,'Model Inputs'!$B$25)</f>
        <v/>
      </c>
      <c r="M294" s="184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/>
      </c>
      <c r="N294" s="188">
        <f>IF(J294&lt;=2,0,'Model Inputs'!$B$32*SIN(2*PI()*(J294-3+'Model Inputs'!$B$34)/MAX(1,'Model Inputs'!$B$33)))</f>
        <v/>
      </c>
      <c r="O294" s="184">
        <f>M294*(1+N294)</f>
        <v/>
      </c>
      <c r="P294" s="184">
        <f>0.75*O293+0.25*O292</f>
        <v/>
      </c>
      <c r="Q294" s="184">
        <f>L294+P294+IF(J294=1,'Model Inputs'!$B$26,0)</f>
        <v/>
      </c>
      <c r="R294" s="184">
        <f>IF(J294&lt;=B294,Q294,IF(J294&lt;=B294+$J$18,L294,(SUMIFS($L$51:$L$350,$A$51:$A$350,$A294,$J$51:$J$350,$B294)+SUMIFS($O$51:$O$350,$A$51:$A$350,$A294,$J$51:$J$350,$B294))*C294))</f>
        <v/>
      </c>
      <c r="S294" s="184">
        <f>H294+F294*G294*(1+I294)^MAX(0,J294-MAX(D294,B294+$J$18+1))</f>
        <v/>
      </c>
      <c r="T294" s="184">
        <f>IF(J294&gt;=MAX(D294,B294+$J$18+1),S294,R294)</f>
        <v/>
      </c>
      <c r="U294" s="184">
        <f>MIN(T294,'Tax Assumptions'!$B$19)</f>
        <v/>
      </c>
      <c r="V294" s="184">
        <f>MAX(T294-U294-'Tax Assumptions'!$B$8,0)</f>
        <v/>
      </c>
      <c r="W294" s="184">
        <f>MAX(T294-U294-'Tax Assumptions'!$B$9,0)</f>
        <v/>
      </c>
      <c r="X294" s="184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/>
      </c>
      <c r="Y294" s="184">
        <f>T294-U294-X294</f>
        <v/>
      </c>
      <c r="Z294" s="184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/>
      </c>
      <c r="AA294" s="184">
        <f>Y294-Z294</f>
        <v/>
      </c>
      <c r="AB294" s="184">
        <f>MIN(MAX(AA294,0),'Tax Assumptions'!$B$20)</f>
        <v/>
      </c>
      <c r="AC294" s="184">
        <f>AA294-AB294</f>
        <v/>
      </c>
      <c r="AD294" s="184">
        <f>MAX(AD293*(1+'Model Inputs'!$B$13)+AC294,0)</f>
        <v/>
      </c>
      <c r="AE294" s="184">
        <f>MAX(AE293*(1+'Model Inputs'!$B$13)+U294+AB294,0)</f>
        <v/>
      </c>
      <c r="AF294" s="184">
        <f>AD294+AE294</f>
        <v/>
      </c>
      <c r="AG294" s="191">
        <f>IF(AND(AF294&gt;=$F$14,AF293&lt;$F$14),J294,"")</f>
        <v/>
      </c>
      <c r="AH294" s="191">
        <f>IF(AND(AF294&gt;=$F$15,AF293&lt;$F$15),J294,"")</f>
        <v/>
      </c>
      <c r="AI294" s="191">
        <f>IF(AND(AF294&gt;=$F$16,AF293&lt;$F$16),J294,"")</f>
        <v/>
      </c>
      <c r="AJ294" s="191">
        <f>IF(AND(AF294&gt;=$F$17,AF293&lt;$F$17),J294,"")</f>
        <v/>
      </c>
    </row>
    <row r="295" outlineLevel="1" ht="18" customHeight="1" s="326">
      <c r="A295" s="181">
        <f>$A$38</f>
        <v/>
      </c>
      <c r="B295" s="191">
        <f>$B$38</f>
        <v/>
      </c>
      <c r="C295" s="187">
        <f>$C$38</f>
        <v/>
      </c>
      <c r="D295" s="191">
        <f>$D$38</f>
        <v/>
      </c>
      <c r="E295" s="181">
        <f>$E$38</f>
        <v/>
      </c>
      <c r="F295" s="184">
        <f>$F$38</f>
        <v/>
      </c>
      <c r="G295" s="188">
        <f>$G$38</f>
        <v/>
      </c>
      <c r="H295" s="184">
        <f>$H$38</f>
        <v/>
      </c>
      <c r="I295" s="188">
        <f>$J$17</f>
        <v/>
      </c>
      <c r="J295" s="191" t="n">
        <v>5</v>
      </c>
      <c r="K295" s="191">
        <f>('Model Inputs'!$B$22-1)+J295</f>
        <v/>
      </c>
      <c r="L295" s="184">
        <f>IF(J295=1,'Model Inputs'!$B$25*(13-'Model Inputs'!$B$23)/12,'Model Inputs'!$B$25)</f>
        <v/>
      </c>
      <c r="M295" s="184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/>
      </c>
      <c r="N295" s="188">
        <f>IF(J295&lt;=2,0,'Model Inputs'!$B$32*SIN(2*PI()*(J295-3+'Model Inputs'!$B$34)/MAX(1,'Model Inputs'!$B$33)))</f>
        <v/>
      </c>
      <c r="O295" s="184">
        <f>M295*(1+N295)</f>
        <v/>
      </c>
      <c r="P295" s="184">
        <f>0.75*O294+0.25*O293</f>
        <v/>
      </c>
      <c r="Q295" s="184">
        <f>L295+P295+IF(J295=1,'Model Inputs'!$B$26,0)</f>
        <v/>
      </c>
      <c r="R295" s="184">
        <f>IF(J295&lt;=B295,Q295,IF(J295&lt;=B295+$J$18,L295,(SUMIFS($L$51:$L$350,$A$51:$A$350,$A295,$J$51:$J$350,$B295)+SUMIFS($O$51:$O$350,$A$51:$A$350,$A295,$J$51:$J$350,$B295))*C295))</f>
        <v/>
      </c>
      <c r="S295" s="184">
        <f>H295+F295*G295*(1+I295)^MAX(0,J295-MAX(D295,B295+$J$18+1))</f>
        <v/>
      </c>
      <c r="T295" s="184">
        <f>IF(J295&gt;=MAX(D295,B295+$J$18+1),S295,R295)</f>
        <v/>
      </c>
      <c r="U295" s="184">
        <f>MIN(T295,'Tax Assumptions'!$B$19)</f>
        <v/>
      </c>
      <c r="V295" s="184">
        <f>MAX(T295-U295-'Tax Assumptions'!$B$8,0)</f>
        <v/>
      </c>
      <c r="W295" s="184">
        <f>MAX(T295-U295-'Tax Assumptions'!$B$9,0)</f>
        <v/>
      </c>
      <c r="X295" s="184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/>
      </c>
      <c r="Y295" s="184">
        <f>T295-U295-X295</f>
        <v/>
      </c>
      <c r="Z295" s="184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/>
      </c>
      <c r="AA295" s="184">
        <f>Y295-Z295</f>
        <v/>
      </c>
      <c r="AB295" s="184">
        <f>MIN(MAX(AA295,0),'Tax Assumptions'!$B$20)</f>
        <v/>
      </c>
      <c r="AC295" s="184">
        <f>AA295-AB295</f>
        <v/>
      </c>
      <c r="AD295" s="184">
        <f>MAX(AD294*(1+'Model Inputs'!$B$13)+AC295,0)</f>
        <v/>
      </c>
      <c r="AE295" s="184">
        <f>MAX(AE294*(1+'Model Inputs'!$B$13)+U295+AB295,0)</f>
        <v/>
      </c>
      <c r="AF295" s="184">
        <f>AD295+AE295</f>
        <v/>
      </c>
      <c r="AG295" s="191">
        <f>IF(AND(AF295&gt;=$F$14,AF294&lt;$F$14),J295,"")</f>
        <v/>
      </c>
      <c r="AH295" s="191">
        <f>IF(AND(AF295&gt;=$F$15,AF294&lt;$F$15),J295,"")</f>
        <v/>
      </c>
      <c r="AI295" s="191">
        <f>IF(AND(AF295&gt;=$F$16,AF294&lt;$F$16),J295,"")</f>
        <v/>
      </c>
      <c r="AJ295" s="191">
        <f>IF(AND(AF295&gt;=$F$17,AF294&lt;$F$17),J295,"")</f>
        <v/>
      </c>
    </row>
    <row r="296" outlineLevel="1" ht="18" customHeight="1" s="326">
      <c r="A296" s="181">
        <f>$A$38</f>
        <v/>
      </c>
      <c r="B296" s="191">
        <f>$B$38</f>
        <v/>
      </c>
      <c r="C296" s="187">
        <f>$C$38</f>
        <v/>
      </c>
      <c r="D296" s="191">
        <f>$D$38</f>
        <v/>
      </c>
      <c r="E296" s="181">
        <f>$E$38</f>
        <v/>
      </c>
      <c r="F296" s="184">
        <f>$F$38</f>
        <v/>
      </c>
      <c r="G296" s="188">
        <f>$G$38</f>
        <v/>
      </c>
      <c r="H296" s="184">
        <f>$H$38</f>
        <v/>
      </c>
      <c r="I296" s="188">
        <f>$J$17</f>
        <v/>
      </c>
      <c r="J296" s="191" t="n">
        <v>6</v>
      </c>
      <c r="K296" s="191">
        <f>('Model Inputs'!$B$22-1)+J296</f>
        <v/>
      </c>
      <c r="L296" s="184">
        <f>IF(J296=1,'Model Inputs'!$B$25*(13-'Model Inputs'!$B$23)/12,'Model Inputs'!$B$25)</f>
        <v/>
      </c>
      <c r="M296" s="184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/>
      </c>
      <c r="N296" s="188">
        <f>IF(J296&lt;=2,0,'Model Inputs'!$B$32*SIN(2*PI()*(J296-3+'Model Inputs'!$B$34)/MAX(1,'Model Inputs'!$B$33)))</f>
        <v/>
      </c>
      <c r="O296" s="184">
        <f>M296*(1+N296)</f>
        <v/>
      </c>
      <c r="P296" s="184">
        <f>0.75*O295+0.25*O294</f>
        <v/>
      </c>
      <c r="Q296" s="184">
        <f>L296+P296+IF(J296=1,'Model Inputs'!$B$26,0)</f>
        <v/>
      </c>
      <c r="R296" s="184">
        <f>IF(J296&lt;=B296,Q296,IF(J296&lt;=B296+$J$18,L296,(SUMIFS($L$51:$L$350,$A$51:$A$350,$A296,$J$51:$J$350,$B296)+SUMIFS($O$51:$O$350,$A$51:$A$350,$A296,$J$51:$J$350,$B296))*C296))</f>
        <v/>
      </c>
      <c r="S296" s="184">
        <f>H296+F296*G296*(1+I296)^MAX(0,J296-MAX(D296,B296+$J$18+1))</f>
        <v/>
      </c>
      <c r="T296" s="184">
        <f>IF(J296&gt;=MAX(D296,B296+$J$18+1),S296,R296)</f>
        <v/>
      </c>
      <c r="U296" s="184">
        <f>MIN(T296,'Tax Assumptions'!$B$19)</f>
        <v/>
      </c>
      <c r="V296" s="184">
        <f>MAX(T296-U296-'Tax Assumptions'!$B$8,0)</f>
        <v/>
      </c>
      <c r="W296" s="184">
        <f>MAX(T296-U296-'Tax Assumptions'!$B$9,0)</f>
        <v/>
      </c>
      <c r="X296" s="184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/>
      </c>
      <c r="Y296" s="184">
        <f>T296-U296-X296</f>
        <v/>
      </c>
      <c r="Z296" s="184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/>
      </c>
      <c r="AA296" s="184">
        <f>Y296-Z296</f>
        <v/>
      </c>
      <c r="AB296" s="184">
        <f>MIN(MAX(AA296,0),'Tax Assumptions'!$B$20)</f>
        <v/>
      </c>
      <c r="AC296" s="184">
        <f>AA296-AB296</f>
        <v/>
      </c>
      <c r="AD296" s="184">
        <f>MAX(AD295*(1+'Model Inputs'!$B$13)+AC296,0)</f>
        <v/>
      </c>
      <c r="AE296" s="184">
        <f>MAX(AE295*(1+'Model Inputs'!$B$13)+U296+AB296,0)</f>
        <v/>
      </c>
      <c r="AF296" s="184">
        <f>AD296+AE296</f>
        <v/>
      </c>
      <c r="AG296" s="191">
        <f>IF(AND(AF296&gt;=$F$14,AF295&lt;$F$14),J296,"")</f>
        <v/>
      </c>
      <c r="AH296" s="191">
        <f>IF(AND(AF296&gt;=$F$15,AF295&lt;$F$15),J296,"")</f>
        <v/>
      </c>
      <c r="AI296" s="191">
        <f>IF(AND(AF296&gt;=$F$16,AF295&lt;$F$16),J296,"")</f>
        <v/>
      </c>
      <c r="AJ296" s="191">
        <f>IF(AND(AF296&gt;=$F$17,AF295&lt;$F$17),J296,"")</f>
        <v/>
      </c>
    </row>
    <row r="297" outlineLevel="1" ht="18" customHeight="1" s="326">
      <c r="A297" s="181">
        <f>$A$38</f>
        <v/>
      </c>
      <c r="B297" s="191">
        <f>$B$38</f>
        <v/>
      </c>
      <c r="C297" s="187">
        <f>$C$38</f>
        <v/>
      </c>
      <c r="D297" s="191">
        <f>$D$38</f>
        <v/>
      </c>
      <c r="E297" s="181">
        <f>$E$38</f>
        <v/>
      </c>
      <c r="F297" s="184">
        <f>$F$38</f>
        <v/>
      </c>
      <c r="G297" s="188">
        <f>$G$38</f>
        <v/>
      </c>
      <c r="H297" s="184">
        <f>$H$38</f>
        <v/>
      </c>
      <c r="I297" s="188">
        <f>$J$17</f>
        <v/>
      </c>
      <c r="J297" s="191" t="n">
        <v>7</v>
      </c>
      <c r="K297" s="191">
        <f>('Model Inputs'!$B$22-1)+J297</f>
        <v/>
      </c>
      <c r="L297" s="184">
        <f>IF(J297=1,'Model Inputs'!$B$25*(13-'Model Inputs'!$B$23)/12,'Model Inputs'!$B$25)</f>
        <v/>
      </c>
      <c r="M297" s="184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/>
      </c>
      <c r="N297" s="188">
        <f>IF(J297&lt;=2,0,'Model Inputs'!$B$32*SIN(2*PI()*(J297-3+'Model Inputs'!$B$34)/MAX(1,'Model Inputs'!$B$33)))</f>
        <v/>
      </c>
      <c r="O297" s="184">
        <f>M297*(1+N297)</f>
        <v/>
      </c>
      <c r="P297" s="184">
        <f>0.75*O296+0.25*O295</f>
        <v/>
      </c>
      <c r="Q297" s="184">
        <f>L297+P297+IF(J297=1,'Model Inputs'!$B$26,0)</f>
        <v/>
      </c>
      <c r="R297" s="184">
        <f>IF(J297&lt;=B297,Q297,IF(J297&lt;=B297+$J$18,L297,(SUMIFS($L$51:$L$350,$A$51:$A$350,$A297,$J$51:$J$350,$B297)+SUMIFS($O$51:$O$350,$A$51:$A$350,$A297,$J$51:$J$350,$B297))*C297))</f>
        <v/>
      </c>
      <c r="S297" s="184">
        <f>H297+F297*G297*(1+I297)^MAX(0,J297-MAX(D297,B297+$J$18+1))</f>
        <v/>
      </c>
      <c r="T297" s="184">
        <f>IF(J297&gt;=MAX(D297,B297+$J$18+1),S297,R297)</f>
        <v/>
      </c>
      <c r="U297" s="184">
        <f>MIN(T297,'Tax Assumptions'!$B$19)</f>
        <v/>
      </c>
      <c r="V297" s="184">
        <f>MAX(T297-U297-'Tax Assumptions'!$B$8,0)</f>
        <v/>
      </c>
      <c r="W297" s="184">
        <f>MAX(T297-U297-'Tax Assumptions'!$B$9,0)</f>
        <v/>
      </c>
      <c r="X297" s="184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/>
      </c>
      <c r="Y297" s="184">
        <f>T297-U297-X297</f>
        <v/>
      </c>
      <c r="Z297" s="184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/>
      </c>
      <c r="AA297" s="184">
        <f>Y297-Z297</f>
        <v/>
      </c>
      <c r="AB297" s="184">
        <f>MIN(MAX(AA297,0),'Tax Assumptions'!$B$20)</f>
        <v/>
      </c>
      <c r="AC297" s="184">
        <f>AA297-AB297</f>
        <v/>
      </c>
      <c r="AD297" s="184">
        <f>MAX(AD296*(1+'Model Inputs'!$B$13)+AC297,0)</f>
        <v/>
      </c>
      <c r="AE297" s="184">
        <f>MAX(AE296*(1+'Model Inputs'!$B$13)+U297+AB297,0)</f>
        <v/>
      </c>
      <c r="AF297" s="184">
        <f>AD297+AE297</f>
        <v/>
      </c>
      <c r="AG297" s="191">
        <f>IF(AND(AF297&gt;=$F$14,AF296&lt;$F$14),J297,"")</f>
        <v/>
      </c>
      <c r="AH297" s="191">
        <f>IF(AND(AF297&gt;=$F$15,AF296&lt;$F$15),J297,"")</f>
        <v/>
      </c>
      <c r="AI297" s="191">
        <f>IF(AND(AF297&gt;=$F$16,AF296&lt;$F$16),J297,"")</f>
        <v/>
      </c>
      <c r="AJ297" s="191">
        <f>IF(AND(AF297&gt;=$F$17,AF296&lt;$F$17),J297,"")</f>
        <v/>
      </c>
    </row>
    <row r="298" outlineLevel="1" ht="18" customHeight="1" s="326">
      <c r="A298" s="181">
        <f>$A$38</f>
        <v/>
      </c>
      <c r="B298" s="191">
        <f>$B$38</f>
        <v/>
      </c>
      <c r="C298" s="187">
        <f>$C$38</f>
        <v/>
      </c>
      <c r="D298" s="191">
        <f>$D$38</f>
        <v/>
      </c>
      <c r="E298" s="181">
        <f>$E$38</f>
        <v/>
      </c>
      <c r="F298" s="184">
        <f>$F$38</f>
        <v/>
      </c>
      <c r="G298" s="188">
        <f>$G$38</f>
        <v/>
      </c>
      <c r="H298" s="184">
        <f>$H$38</f>
        <v/>
      </c>
      <c r="I298" s="188">
        <f>$J$17</f>
        <v/>
      </c>
      <c r="J298" s="191" t="n">
        <v>8</v>
      </c>
      <c r="K298" s="191">
        <f>('Model Inputs'!$B$22-1)+J298</f>
        <v/>
      </c>
      <c r="L298" s="184">
        <f>IF(J298=1,'Model Inputs'!$B$25*(13-'Model Inputs'!$B$23)/12,'Model Inputs'!$B$25)</f>
        <v/>
      </c>
      <c r="M298" s="184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/>
      </c>
      <c r="N298" s="188">
        <f>IF(J298&lt;=2,0,'Model Inputs'!$B$32*SIN(2*PI()*(J298-3+'Model Inputs'!$B$34)/MAX(1,'Model Inputs'!$B$33)))</f>
        <v/>
      </c>
      <c r="O298" s="184">
        <f>M298*(1+N298)</f>
        <v/>
      </c>
      <c r="P298" s="184">
        <f>0.75*O297+0.25*O296</f>
        <v/>
      </c>
      <c r="Q298" s="184">
        <f>L298+P298+IF(J298=1,'Model Inputs'!$B$26,0)</f>
        <v/>
      </c>
      <c r="R298" s="184">
        <f>IF(J298&lt;=B298,Q298,IF(J298&lt;=B298+$J$18,L298,(SUMIFS($L$51:$L$350,$A$51:$A$350,$A298,$J$51:$J$350,$B298)+SUMIFS($O$51:$O$350,$A$51:$A$350,$A298,$J$51:$J$350,$B298))*C298))</f>
        <v/>
      </c>
      <c r="S298" s="184">
        <f>H298+F298*G298*(1+I298)^MAX(0,J298-MAX(D298,B298+$J$18+1))</f>
        <v/>
      </c>
      <c r="T298" s="184">
        <f>IF(J298&gt;=MAX(D298,B298+$J$18+1),S298,R298)</f>
        <v/>
      </c>
      <c r="U298" s="184">
        <f>MIN(T298,'Tax Assumptions'!$B$19)</f>
        <v/>
      </c>
      <c r="V298" s="184">
        <f>MAX(T298-U298-'Tax Assumptions'!$B$8,0)</f>
        <v/>
      </c>
      <c r="W298" s="184">
        <f>MAX(T298-U298-'Tax Assumptions'!$B$9,0)</f>
        <v/>
      </c>
      <c r="X298" s="184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/>
      </c>
      <c r="Y298" s="184">
        <f>T298-U298-X298</f>
        <v/>
      </c>
      <c r="Z298" s="184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/>
      </c>
      <c r="AA298" s="184">
        <f>Y298-Z298</f>
        <v/>
      </c>
      <c r="AB298" s="184">
        <f>MIN(MAX(AA298,0),'Tax Assumptions'!$B$20)</f>
        <v/>
      </c>
      <c r="AC298" s="184">
        <f>AA298-AB298</f>
        <v/>
      </c>
      <c r="AD298" s="184">
        <f>MAX(AD297*(1+'Model Inputs'!$B$13)+AC298,0)</f>
        <v/>
      </c>
      <c r="AE298" s="184">
        <f>MAX(AE297*(1+'Model Inputs'!$B$13)+U298+AB298,0)</f>
        <v/>
      </c>
      <c r="AF298" s="184">
        <f>AD298+AE298</f>
        <v/>
      </c>
      <c r="AG298" s="191">
        <f>IF(AND(AF298&gt;=$F$14,AF297&lt;$F$14),J298,"")</f>
        <v/>
      </c>
      <c r="AH298" s="191">
        <f>IF(AND(AF298&gt;=$F$15,AF297&lt;$F$15),J298,"")</f>
        <v/>
      </c>
      <c r="AI298" s="191">
        <f>IF(AND(AF298&gt;=$F$16,AF297&lt;$F$16),J298,"")</f>
        <v/>
      </c>
      <c r="AJ298" s="191">
        <f>IF(AND(AF298&gt;=$F$17,AF297&lt;$F$17),J298,"")</f>
        <v/>
      </c>
    </row>
    <row r="299" outlineLevel="1" ht="18" customHeight="1" s="326">
      <c r="A299" s="181">
        <f>$A$38</f>
        <v/>
      </c>
      <c r="B299" s="191">
        <f>$B$38</f>
        <v/>
      </c>
      <c r="C299" s="187">
        <f>$C$38</f>
        <v/>
      </c>
      <c r="D299" s="191">
        <f>$D$38</f>
        <v/>
      </c>
      <c r="E299" s="181">
        <f>$E$38</f>
        <v/>
      </c>
      <c r="F299" s="184">
        <f>$F$38</f>
        <v/>
      </c>
      <c r="G299" s="188">
        <f>$G$38</f>
        <v/>
      </c>
      <c r="H299" s="184">
        <f>$H$38</f>
        <v/>
      </c>
      <c r="I299" s="188">
        <f>$J$17</f>
        <v/>
      </c>
      <c r="J299" s="191" t="n">
        <v>9</v>
      </c>
      <c r="K299" s="191">
        <f>('Model Inputs'!$B$22-1)+J299</f>
        <v/>
      </c>
      <c r="L299" s="184">
        <f>IF(J299=1,'Model Inputs'!$B$25*(13-'Model Inputs'!$B$23)/12,'Model Inputs'!$B$25)</f>
        <v/>
      </c>
      <c r="M299" s="184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/>
      </c>
      <c r="N299" s="188">
        <f>IF(J299&lt;=2,0,'Model Inputs'!$B$32*SIN(2*PI()*(J299-3+'Model Inputs'!$B$34)/MAX(1,'Model Inputs'!$B$33)))</f>
        <v/>
      </c>
      <c r="O299" s="184">
        <f>M299*(1+N299)</f>
        <v/>
      </c>
      <c r="P299" s="184">
        <f>0.75*O298+0.25*O297</f>
        <v/>
      </c>
      <c r="Q299" s="184">
        <f>L299+P299+IF(J299=1,'Model Inputs'!$B$26,0)</f>
        <v/>
      </c>
      <c r="R299" s="184">
        <f>IF(J299&lt;=B299,Q299,IF(J299&lt;=B299+$J$18,L299,(SUMIFS($L$51:$L$350,$A$51:$A$350,$A299,$J$51:$J$350,$B299)+SUMIFS($O$51:$O$350,$A$51:$A$350,$A299,$J$51:$J$350,$B299))*C299))</f>
        <v/>
      </c>
      <c r="S299" s="184">
        <f>H299+F299*G299*(1+I299)^MAX(0,J299-MAX(D299,B299+$J$18+1))</f>
        <v/>
      </c>
      <c r="T299" s="184">
        <f>IF(J299&gt;=MAX(D299,B299+$J$18+1),S299,R299)</f>
        <v/>
      </c>
      <c r="U299" s="184">
        <f>MIN(T299,'Tax Assumptions'!$B$19)</f>
        <v/>
      </c>
      <c r="V299" s="184">
        <f>MAX(T299-U299-'Tax Assumptions'!$B$8,0)</f>
        <v/>
      </c>
      <c r="W299" s="184">
        <f>MAX(T299-U299-'Tax Assumptions'!$B$9,0)</f>
        <v/>
      </c>
      <c r="X299" s="184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/>
      </c>
      <c r="Y299" s="184">
        <f>T299-U299-X299</f>
        <v/>
      </c>
      <c r="Z299" s="184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/>
      </c>
      <c r="AA299" s="184">
        <f>Y299-Z299</f>
        <v/>
      </c>
      <c r="AB299" s="184">
        <f>MIN(MAX(AA299,0),'Tax Assumptions'!$B$20)</f>
        <v/>
      </c>
      <c r="AC299" s="184">
        <f>AA299-AB299</f>
        <v/>
      </c>
      <c r="AD299" s="184">
        <f>MAX(AD298*(1+'Model Inputs'!$B$13)+AC299,0)</f>
        <v/>
      </c>
      <c r="AE299" s="184">
        <f>MAX(AE298*(1+'Model Inputs'!$B$13)+U299+AB299,0)</f>
        <v/>
      </c>
      <c r="AF299" s="184">
        <f>AD299+AE299</f>
        <v/>
      </c>
      <c r="AG299" s="191">
        <f>IF(AND(AF299&gt;=$F$14,AF298&lt;$F$14),J299,"")</f>
        <v/>
      </c>
      <c r="AH299" s="191">
        <f>IF(AND(AF299&gt;=$F$15,AF298&lt;$F$15),J299,"")</f>
        <v/>
      </c>
      <c r="AI299" s="191">
        <f>IF(AND(AF299&gt;=$F$16,AF298&lt;$F$16),J299,"")</f>
        <v/>
      </c>
      <c r="AJ299" s="191">
        <f>IF(AND(AF299&gt;=$F$17,AF298&lt;$F$17),J299,"")</f>
        <v/>
      </c>
    </row>
    <row r="300" outlineLevel="1" ht="18" customHeight="1" s="326">
      <c r="A300" s="181">
        <f>$A$38</f>
        <v/>
      </c>
      <c r="B300" s="191">
        <f>$B$38</f>
        <v/>
      </c>
      <c r="C300" s="187">
        <f>$C$38</f>
        <v/>
      </c>
      <c r="D300" s="191">
        <f>$D$38</f>
        <v/>
      </c>
      <c r="E300" s="181">
        <f>$E$38</f>
        <v/>
      </c>
      <c r="F300" s="184">
        <f>$F$38</f>
        <v/>
      </c>
      <c r="G300" s="188">
        <f>$G$38</f>
        <v/>
      </c>
      <c r="H300" s="184">
        <f>$H$38</f>
        <v/>
      </c>
      <c r="I300" s="188">
        <f>$J$17</f>
        <v/>
      </c>
      <c r="J300" s="191" t="n">
        <v>10</v>
      </c>
      <c r="K300" s="191">
        <f>('Model Inputs'!$B$22-1)+J300</f>
        <v/>
      </c>
      <c r="L300" s="184">
        <f>IF(J300=1,'Model Inputs'!$B$25*(13-'Model Inputs'!$B$23)/12,'Model Inputs'!$B$25)</f>
        <v/>
      </c>
      <c r="M300" s="184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/>
      </c>
      <c r="N300" s="188">
        <f>IF(J300&lt;=2,0,'Model Inputs'!$B$32*SIN(2*PI()*(J300-3+'Model Inputs'!$B$34)/MAX(1,'Model Inputs'!$B$33)))</f>
        <v/>
      </c>
      <c r="O300" s="184">
        <f>M300*(1+N300)</f>
        <v/>
      </c>
      <c r="P300" s="184">
        <f>0.75*O299+0.25*O298</f>
        <v/>
      </c>
      <c r="Q300" s="184">
        <f>L300+P300+IF(J300=1,'Model Inputs'!$B$26,0)</f>
        <v/>
      </c>
      <c r="R300" s="184">
        <f>IF(J300&lt;=B300,Q300,IF(J300&lt;=B300+$J$18,L300,(SUMIFS($L$51:$L$350,$A$51:$A$350,$A300,$J$51:$J$350,$B300)+SUMIFS($O$51:$O$350,$A$51:$A$350,$A300,$J$51:$J$350,$B300))*C300))</f>
        <v/>
      </c>
      <c r="S300" s="184">
        <f>H300+F300*G300*(1+I300)^MAX(0,J300-MAX(D300,B300+$J$18+1))</f>
        <v/>
      </c>
      <c r="T300" s="184">
        <f>IF(J300&gt;=MAX(D300,B300+$J$18+1),S300,R300)</f>
        <v/>
      </c>
      <c r="U300" s="184">
        <f>MIN(T300,'Tax Assumptions'!$B$19)</f>
        <v/>
      </c>
      <c r="V300" s="184">
        <f>MAX(T300-U300-'Tax Assumptions'!$B$8,0)</f>
        <v/>
      </c>
      <c r="W300" s="184">
        <f>MAX(T300-U300-'Tax Assumptions'!$B$9,0)</f>
        <v/>
      </c>
      <c r="X300" s="184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/>
      </c>
      <c r="Y300" s="184">
        <f>T300-U300-X300</f>
        <v/>
      </c>
      <c r="Z300" s="184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/>
      </c>
      <c r="AA300" s="184">
        <f>Y300-Z300</f>
        <v/>
      </c>
      <c r="AB300" s="184">
        <f>MIN(MAX(AA300,0),'Tax Assumptions'!$B$20)</f>
        <v/>
      </c>
      <c r="AC300" s="184">
        <f>AA300-AB300</f>
        <v/>
      </c>
      <c r="AD300" s="184">
        <f>MAX(AD299*(1+'Model Inputs'!$B$13)+AC300,0)</f>
        <v/>
      </c>
      <c r="AE300" s="184">
        <f>MAX(AE299*(1+'Model Inputs'!$B$13)+U300+AB300,0)</f>
        <v/>
      </c>
      <c r="AF300" s="184">
        <f>AD300+AE300</f>
        <v/>
      </c>
      <c r="AG300" s="191">
        <f>IF(AND(AF300&gt;=$F$14,AF299&lt;$F$14),J300,"")</f>
        <v/>
      </c>
      <c r="AH300" s="191">
        <f>IF(AND(AF300&gt;=$F$15,AF299&lt;$F$15),J300,"")</f>
        <v/>
      </c>
      <c r="AI300" s="191">
        <f>IF(AND(AF300&gt;=$F$16,AF299&lt;$F$16),J300,"")</f>
        <v/>
      </c>
      <c r="AJ300" s="191">
        <f>IF(AND(AF300&gt;=$F$17,AF299&lt;$F$17),J300,"")</f>
        <v/>
      </c>
    </row>
    <row r="301" outlineLevel="1" ht="18" customHeight="1" s="326">
      <c r="A301" s="181">
        <f>$A$38</f>
        <v/>
      </c>
      <c r="B301" s="191">
        <f>$B$38</f>
        <v/>
      </c>
      <c r="C301" s="187">
        <f>$C$38</f>
        <v/>
      </c>
      <c r="D301" s="191">
        <f>$D$38</f>
        <v/>
      </c>
      <c r="E301" s="181">
        <f>$E$38</f>
        <v/>
      </c>
      <c r="F301" s="184">
        <f>$F$38</f>
        <v/>
      </c>
      <c r="G301" s="188">
        <f>$G$38</f>
        <v/>
      </c>
      <c r="H301" s="184">
        <f>$H$38</f>
        <v/>
      </c>
      <c r="I301" s="188">
        <f>$J$17</f>
        <v/>
      </c>
      <c r="J301" s="191" t="n">
        <v>11</v>
      </c>
      <c r="K301" s="191">
        <f>('Model Inputs'!$B$22-1)+J301</f>
        <v/>
      </c>
      <c r="L301" s="184">
        <f>IF(J301=1,'Model Inputs'!$B$25*(13-'Model Inputs'!$B$23)/12,'Model Inputs'!$B$25)</f>
        <v/>
      </c>
      <c r="M301" s="184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/>
      </c>
      <c r="N301" s="188">
        <f>IF(J301&lt;=2,0,'Model Inputs'!$B$32*SIN(2*PI()*(J301-3+'Model Inputs'!$B$34)/MAX(1,'Model Inputs'!$B$33)))</f>
        <v/>
      </c>
      <c r="O301" s="184">
        <f>M301*(1+N301)</f>
        <v/>
      </c>
      <c r="P301" s="184">
        <f>0.75*O300+0.25*O299</f>
        <v/>
      </c>
      <c r="Q301" s="184">
        <f>L301+P301+IF(J301=1,'Model Inputs'!$B$26,0)</f>
        <v/>
      </c>
      <c r="R301" s="184">
        <f>IF(J301&lt;=B301,Q301,IF(J301&lt;=B301+$J$18,L301,(SUMIFS($L$51:$L$350,$A$51:$A$350,$A301,$J$51:$J$350,$B301)+SUMIFS($O$51:$O$350,$A$51:$A$350,$A301,$J$51:$J$350,$B301))*C301))</f>
        <v/>
      </c>
      <c r="S301" s="184">
        <f>H301+F301*G301*(1+I301)^MAX(0,J301-MAX(D301,B301+$J$18+1))</f>
        <v/>
      </c>
      <c r="T301" s="184">
        <f>IF(J301&gt;=MAX(D301,B301+$J$18+1),S301,R301)</f>
        <v/>
      </c>
      <c r="U301" s="184">
        <f>MIN(T301,'Tax Assumptions'!$B$19)</f>
        <v/>
      </c>
      <c r="V301" s="184">
        <f>MAX(T301-U301-'Tax Assumptions'!$B$8,0)</f>
        <v/>
      </c>
      <c r="W301" s="184">
        <f>MAX(T301-U301-'Tax Assumptions'!$B$9,0)</f>
        <v/>
      </c>
      <c r="X301" s="184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/>
      </c>
      <c r="Y301" s="184">
        <f>T301-U301-X301</f>
        <v/>
      </c>
      <c r="Z301" s="184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/>
      </c>
      <c r="AA301" s="184">
        <f>Y301-Z301</f>
        <v/>
      </c>
      <c r="AB301" s="184">
        <f>MIN(MAX(AA301,0),'Tax Assumptions'!$B$20)</f>
        <v/>
      </c>
      <c r="AC301" s="184">
        <f>AA301-AB301</f>
        <v/>
      </c>
      <c r="AD301" s="184">
        <f>MAX(AD300*(1+'Model Inputs'!$B$13)+AC301,0)</f>
        <v/>
      </c>
      <c r="AE301" s="184">
        <f>MAX(AE300*(1+'Model Inputs'!$B$13)+U301+AB301,0)</f>
        <v/>
      </c>
      <c r="AF301" s="184">
        <f>AD301+AE301</f>
        <v/>
      </c>
      <c r="AG301" s="191">
        <f>IF(AND(AF301&gt;=$F$14,AF300&lt;$F$14),J301,"")</f>
        <v/>
      </c>
      <c r="AH301" s="191">
        <f>IF(AND(AF301&gt;=$F$15,AF300&lt;$F$15),J301,"")</f>
        <v/>
      </c>
      <c r="AI301" s="191">
        <f>IF(AND(AF301&gt;=$F$16,AF300&lt;$F$16),J301,"")</f>
        <v/>
      </c>
      <c r="AJ301" s="191">
        <f>IF(AND(AF301&gt;=$F$17,AF300&lt;$F$17),J301,"")</f>
        <v/>
      </c>
    </row>
    <row r="302" outlineLevel="1" ht="18" customHeight="1" s="326">
      <c r="A302" s="181">
        <f>$A$38</f>
        <v/>
      </c>
      <c r="B302" s="191">
        <f>$B$38</f>
        <v/>
      </c>
      <c r="C302" s="187">
        <f>$C$38</f>
        <v/>
      </c>
      <c r="D302" s="191">
        <f>$D$38</f>
        <v/>
      </c>
      <c r="E302" s="181">
        <f>$E$38</f>
        <v/>
      </c>
      <c r="F302" s="184">
        <f>$F$38</f>
        <v/>
      </c>
      <c r="G302" s="188">
        <f>$G$38</f>
        <v/>
      </c>
      <c r="H302" s="184">
        <f>$H$38</f>
        <v/>
      </c>
      <c r="I302" s="188">
        <f>$J$17</f>
        <v/>
      </c>
      <c r="J302" s="191" t="n">
        <v>12</v>
      </c>
      <c r="K302" s="191">
        <f>('Model Inputs'!$B$22-1)+J302</f>
        <v/>
      </c>
      <c r="L302" s="184">
        <f>IF(J302=1,'Model Inputs'!$B$25*(13-'Model Inputs'!$B$23)/12,'Model Inputs'!$B$25)</f>
        <v/>
      </c>
      <c r="M302" s="184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/>
      </c>
      <c r="N302" s="188">
        <f>IF(J302&lt;=2,0,'Model Inputs'!$B$32*SIN(2*PI()*(J302-3+'Model Inputs'!$B$34)/MAX(1,'Model Inputs'!$B$33)))</f>
        <v/>
      </c>
      <c r="O302" s="184">
        <f>M302*(1+N302)</f>
        <v/>
      </c>
      <c r="P302" s="184">
        <f>0.75*O301+0.25*O300</f>
        <v/>
      </c>
      <c r="Q302" s="184">
        <f>L302+P302+IF(J302=1,'Model Inputs'!$B$26,0)</f>
        <v/>
      </c>
      <c r="R302" s="184">
        <f>IF(J302&lt;=B302,Q302,IF(J302&lt;=B302+$J$18,L302,(SUMIFS($L$51:$L$350,$A$51:$A$350,$A302,$J$51:$J$350,$B302)+SUMIFS($O$51:$O$350,$A$51:$A$350,$A302,$J$51:$J$350,$B302))*C302))</f>
        <v/>
      </c>
      <c r="S302" s="184">
        <f>H302+F302*G302*(1+I302)^MAX(0,J302-MAX(D302,B302+$J$18+1))</f>
        <v/>
      </c>
      <c r="T302" s="184">
        <f>IF(J302&gt;=MAX(D302,B302+$J$18+1),S302,R302)</f>
        <v/>
      </c>
      <c r="U302" s="184">
        <f>MIN(T302,'Tax Assumptions'!$B$19)</f>
        <v/>
      </c>
      <c r="V302" s="184">
        <f>MAX(T302-U302-'Tax Assumptions'!$B$8,0)</f>
        <v/>
      </c>
      <c r="W302" s="184">
        <f>MAX(T302-U302-'Tax Assumptions'!$B$9,0)</f>
        <v/>
      </c>
      <c r="X302" s="184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/>
      </c>
      <c r="Y302" s="184">
        <f>T302-U302-X302</f>
        <v/>
      </c>
      <c r="Z302" s="184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/>
      </c>
      <c r="AA302" s="184">
        <f>Y302-Z302</f>
        <v/>
      </c>
      <c r="AB302" s="184">
        <f>MIN(MAX(AA302,0),'Tax Assumptions'!$B$20)</f>
        <v/>
      </c>
      <c r="AC302" s="184">
        <f>AA302-AB302</f>
        <v/>
      </c>
      <c r="AD302" s="184">
        <f>MAX(AD301*(1+'Model Inputs'!$B$13)+AC302,0)</f>
        <v/>
      </c>
      <c r="AE302" s="184">
        <f>MAX(AE301*(1+'Model Inputs'!$B$13)+U302+AB302,0)</f>
        <v/>
      </c>
      <c r="AF302" s="184">
        <f>AD302+AE302</f>
        <v/>
      </c>
      <c r="AG302" s="191">
        <f>IF(AND(AF302&gt;=$F$14,AF301&lt;$F$14),J302,"")</f>
        <v/>
      </c>
      <c r="AH302" s="191">
        <f>IF(AND(AF302&gt;=$F$15,AF301&lt;$F$15),J302,"")</f>
        <v/>
      </c>
      <c r="AI302" s="191">
        <f>IF(AND(AF302&gt;=$F$16,AF301&lt;$F$16),J302,"")</f>
        <v/>
      </c>
      <c r="AJ302" s="191">
        <f>IF(AND(AF302&gt;=$F$17,AF301&lt;$F$17),J302,"")</f>
        <v/>
      </c>
    </row>
    <row r="303" outlineLevel="1" ht="18" customHeight="1" s="326">
      <c r="A303" s="181">
        <f>$A$38</f>
        <v/>
      </c>
      <c r="B303" s="191">
        <f>$B$38</f>
        <v/>
      </c>
      <c r="C303" s="187">
        <f>$C$38</f>
        <v/>
      </c>
      <c r="D303" s="191">
        <f>$D$38</f>
        <v/>
      </c>
      <c r="E303" s="181">
        <f>$E$38</f>
        <v/>
      </c>
      <c r="F303" s="184">
        <f>$F$38</f>
        <v/>
      </c>
      <c r="G303" s="188">
        <f>$G$38</f>
        <v/>
      </c>
      <c r="H303" s="184">
        <f>$H$38</f>
        <v/>
      </c>
      <c r="I303" s="188">
        <f>$J$17</f>
        <v/>
      </c>
      <c r="J303" s="191" t="n">
        <v>13</v>
      </c>
      <c r="K303" s="191">
        <f>('Model Inputs'!$B$22-1)+J303</f>
        <v/>
      </c>
      <c r="L303" s="184">
        <f>IF(J303=1,'Model Inputs'!$B$25*(13-'Model Inputs'!$B$23)/12,'Model Inputs'!$B$25)</f>
        <v/>
      </c>
      <c r="M303" s="184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/>
      </c>
      <c r="N303" s="188">
        <f>IF(J303&lt;=2,0,'Model Inputs'!$B$32*SIN(2*PI()*(J303-3+'Model Inputs'!$B$34)/MAX(1,'Model Inputs'!$B$33)))</f>
        <v/>
      </c>
      <c r="O303" s="184">
        <f>M303*(1+N303)</f>
        <v/>
      </c>
      <c r="P303" s="184">
        <f>0.75*O302+0.25*O301</f>
        <v/>
      </c>
      <c r="Q303" s="184">
        <f>L303+P303+IF(J303=1,'Model Inputs'!$B$26,0)</f>
        <v/>
      </c>
      <c r="R303" s="184">
        <f>IF(J303&lt;=B303,Q303,IF(J303&lt;=B303+$J$18,L303,(SUMIFS($L$51:$L$350,$A$51:$A$350,$A303,$J$51:$J$350,$B303)+SUMIFS($O$51:$O$350,$A$51:$A$350,$A303,$J$51:$J$350,$B303))*C303))</f>
        <v/>
      </c>
      <c r="S303" s="184">
        <f>H303+F303*G303*(1+I303)^MAX(0,J303-MAX(D303,B303+$J$18+1))</f>
        <v/>
      </c>
      <c r="T303" s="184">
        <f>IF(J303&gt;=MAX(D303,B303+$J$18+1),S303,R303)</f>
        <v/>
      </c>
      <c r="U303" s="184">
        <f>MIN(T303,'Tax Assumptions'!$B$19)</f>
        <v/>
      </c>
      <c r="V303" s="184">
        <f>MAX(T303-U303-'Tax Assumptions'!$B$8,0)</f>
        <v/>
      </c>
      <c r="W303" s="184">
        <f>MAX(T303-U303-'Tax Assumptions'!$B$9,0)</f>
        <v/>
      </c>
      <c r="X303" s="184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/>
      </c>
      <c r="Y303" s="184">
        <f>T303-U303-X303</f>
        <v/>
      </c>
      <c r="Z303" s="184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/>
      </c>
      <c r="AA303" s="184">
        <f>Y303-Z303</f>
        <v/>
      </c>
      <c r="AB303" s="184">
        <f>MIN(MAX(AA303,0),'Tax Assumptions'!$B$20)</f>
        <v/>
      </c>
      <c r="AC303" s="184">
        <f>AA303-AB303</f>
        <v/>
      </c>
      <c r="AD303" s="184">
        <f>MAX(AD302*(1+'Model Inputs'!$B$13)+AC303,0)</f>
        <v/>
      </c>
      <c r="AE303" s="184">
        <f>MAX(AE302*(1+'Model Inputs'!$B$13)+U303+AB303,0)</f>
        <v/>
      </c>
      <c r="AF303" s="184">
        <f>AD303+AE303</f>
        <v/>
      </c>
      <c r="AG303" s="191">
        <f>IF(AND(AF303&gt;=$F$14,AF302&lt;$F$14),J303,"")</f>
        <v/>
      </c>
      <c r="AH303" s="191">
        <f>IF(AND(AF303&gt;=$F$15,AF302&lt;$F$15),J303,"")</f>
        <v/>
      </c>
      <c r="AI303" s="191">
        <f>IF(AND(AF303&gt;=$F$16,AF302&lt;$F$16),J303,"")</f>
        <v/>
      </c>
      <c r="AJ303" s="191">
        <f>IF(AND(AF303&gt;=$F$17,AF302&lt;$F$17),J303,"")</f>
        <v/>
      </c>
    </row>
    <row r="304" outlineLevel="1" ht="18" customHeight="1" s="326">
      <c r="A304" s="181">
        <f>$A$38</f>
        <v/>
      </c>
      <c r="B304" s="191">
        <f>$B$38</f>
        <v/>
      </c>
      <c r="C304" s="187">
        <f>$C$38</f>
        <v/>
      </c>
      <c r="D304" s="191">
        <f>$D$38</f>
        <v/>
      </c>
      <c r="E304" s="181">
        <f>$E$38</f>
        <v/>
      </c>
      <c r="F304" s="184">
        <f>$F$38</f>
        <v/>
      </c>
      <c r="G304" s="188">
        <f>$G$38</f>
        <v/>
      </c>
      <c r="H304" s="184">
        <f>$H$38</f>
        <v/>
      </c>
      <c r="I304" s="188">
        <f>$J$17</f>
        <v/>
      </c>
      <c r="J304" s="191" t="n">
        <v>14</v>
      </c>
      <c r="K304" s="191">
        <f>('Model Inputs'!$B$22-1)+J304</f>
        <v/>
      </c>
      <c r="L304" s="184">
        <f>IF(J304=1,'Model Inputs'!$B$25*(13-'Model Inputs'!$B$23)/12,'Model Inputs'!$B$25)</f>
        <v/>
      </c>
      <c r="M304" s="184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/>
      </c>
      <c r="N304" s="188">
        <f>IF(J304&lt;=2,0,'Model Inputs'!$B$32*SIN(2*PI()*(J304-3+'Model Inputs'!$B$34)/MAX(1,'Model Inputs'!$B$33)))</f>
        <v/>
      </c>
      <c r="O304" s="184">
        <f>M304*(1+N304)</f>
        <v/>
      </c>
      <c r="P304" s="184">
        <f>0.75*O303+0.25*O302</f>
        <v/>
      </c>
      <c r="Q304" s="184">
        <f>L304+P304+IF(J304=1,'Model Inputs'!$B$26,0)</f>
        <v/>
      </c>
      <c r="R304" s="184">
        <f>IF(J304&lt;=B304,Q304,IF(J304&lt;=B304+$J$18,L304,(SUMIFS($L$51:$L$350,$A$51:$A$350,$A304,$J$51:$J$350,$B304)+SUMIFS($O$51:$O$350,$A$51:$A$350,$A304,$J$51:$J$350,$B304))*C304))</f>
        <v/>
      </c>
      <c r="S304" s="184">
        <f>H304+F304*G304*(1+I304)^MAX(0,J304-MAX(D304,B304+$J$18+1))</f>
        <v/>
      </c>
      <c r="T304" s="184">
        <f>IF(J304&gt;=MAX(D304,B304+$J$18+1),S304,R304)</f>
        <v/>
      </c>
      <c r="U304" s="184">
        <f>MIN(T304,'Tax Assumptions'!$B$19)</f>
        <v/>
      </c>
      <c r="V304" s="184">
        <f>MAX(T304-U304-'Tax Assumptions'!$B$8,0)</f>
        <v/>
      </c>
      <c r="W304" s="184">
        <f>MAX(T304-U304-'Tax Assumptions'!$B$9,0)</f>
        <v/>
      </c>
      <c r="X304" s="184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/>
      </c>
      <c r="Y304" s="184">
        <f>T304-U304-X304</f>
        <v/>
      </c>
      <c r="Z304" s="184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/>
      </c>
      <c r="AA304" s="184">
        <f>Y304-Z304</f>
        <v/>
      </c>
      <c r="AB304" s="184">
        <f>MIN(MAX(AA304,0),'Tax Assumptions'!$B$20)</f>
        <v/>
      </c>
      <c r="AC304" s="184">
        <f>AA304-AB304</f>
        <v/>
      </c>
      <c r="AD304" s="184">
        <f>MAX(AD303*(1+'Model Inputs'!$B$13)+AC304,0)</f>
        <v/>
      </c>
      <c r="AE304" s="184">
        <f>MAX(AE303*(1+'Model Inputs'!$B$13)+U304+AB304,0)</f>
        <v/>
      </c>
      <c r="AF304" s="184">
        <f>AD304+AE304</f>
        <v/>
      </c>
      <c r="AG304" s="191">
        <f>IF(AND(AF304&gt;=$F$14,AF303&lt;$F$14),J304,"")</f>
        <v/>
      </c>
      <c r="AH304" s="191">
        <f>IF(AND(AF304&gt;=$F$15,AF303&lt;$F$15),J304,"")</f>
        <v/>
      </c>
      <c r="AI304" s="191">
        <f>IF(AND(AF304&gt;=$F$16,AF303&lt;$F$16),J304,"")</f>
        <v/>
      </c>
      <c r="AJ304" s="191">
        <f>IF(AND(AF304&gt;=$F$17,AF303&lt;$F$17),J304,"")</f>
        <v/>
      </c>
    </row>
    <row r="305" outlineLevel="1" ht="18" customHeight="1" s="326">
      <c r="A305" s="181">
        <f>$A$38</f>
        <v/>
      </c>
      <c r="B305" s="191">
        <f>$B$38</f>
        <v/>
      </c>
      <c r="C305" s="187">
        <f>$C$38</f>
        <v/>
      </c>
      <c r="D305" s="191">
        <f>$D$38</f>
        <v/>
      </c>
      <c r="E305" s="181">
        <f>$E$38</f>
        <v/>
      </c>
      <c r="F305" s="184">
        <f>$F$38</f>
        <v/>
      </c>
      <c r="G305" s="188">
        <f>$G$38</f>
        <v/>
      </c>
      <c r="H305" s="184">
        <f>$H$38</f>
        <v/>
      </c>
      <c r="I305" s="188">
        <f>$J$17</f>
        <v/>
      </c>
      <c r="J305" s="191" t="n">
        <v>15</v>
      </c>
      <c r="K305" s="191">
        <f>('Model Inputs'!$B$22-1)+J305</f>
        <v/>
      </c>
      <c r="L305" s="184">
        <f>IF(J305=1,'Model Inputs'!$B$25*(13-'Model Inputs'!$B$23)/12,'Model Inputs'!$B$25)</f>
        <v/>
      </c>
      <c r="M305" s="184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/>
      </c>
      <c r="N305" s="188">
        <f>IF(J305&lt;=2,0,'Model Inputs'!$B$32*SIN(2*PI()*(J305-3+'Model Inputs'!$B$34)/MAX(1,'Model Inputs'!$B$33)))</f>
        <v/>
      </c>
      <c r="O305" s="184">
        <f>M305*(1+N305)</f>
        <v/>
      </c>
      <c r="P305" s="184">
        <f>0.75*O304+0.25*O303</f>
        <v/>
      </c>
      <c r="Q305" s="184">
        <f>L305+P305+IF(J305=1,'Model Inputs'!$B$26,0)</f>
        <v/>
      </c>
      <c r="R305" s="184">
        <f>IF(J305&lt;=B305,Q305,IF(J305&lt;=B305+$J$18,L305,(SUMIFS($L$51:$L$350,$A$51:$A$350,$A305,$J$51:$J$350,$B305)+SUMIFS($O$51:$O$350,$A$51:$A$350,$A305,$J$51:$J$350,$B305))*C305))</f>
        <v/>
      </c>
      <c r="S305" s="184">
        <f>H305+F305*G305*(1+I305)^MAX(0,J305-MAX(D305,B305+$J$18+1))</f>
        <v/>
      </c>
      <c r="T305" s="184">
        <f>IF(J305&gt;=MAX(D305,B305+$J$18+1),S305,R305)</f>
        <v/>
      </c>
      <c r="U305" s="184">
        <f>MIN(T305,'Tax Assumptions'!$B$19)</f>
        <v/>
      </c>
      <c r="V305" s="184">
        <f>MAX(T305-U305-'Tax Assumptions'!$B$8,0)</f>
        <v/>
      </c>
      <c r="W305" s="184">
        <f>MAX(T305-U305-'Tax Assumptions'!$B$9,0)</f>
        <v/>
      </c>
      <c r="X305" s="184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/>
      </c>
      <c r="Y305" s="184">
        <f>T305-U305-X305</f>
        <v/>
      </c>
      <c r="Z305" s="184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/>
      </c>
      <c r="AA305" s="184">
        <f>Y305-Z305</f>
        <v/>
      </c>
      <c r="AB305" s="184">
        <f>MIN(MAX(AA305,0),'Tax Assumptions'!$B$20)</f>
        <v/>
      </c>
      <c r="AC305" s="184">
        <f>AA305-AB305</f>
        <v/>
      </c>
      <c r="AD305" s="184">
        <f>MAX(AD304*(1+'Model Inputs'!$B$13)+AC305,0)</f>
        <v/>
      </c>
      <c r="AE305" s="184">
        <f>MAX(AE304*(1+'Model Inputs'!$B$13)+U305+AB305,0)</f>
        <v/>
      </c>
      <c r="AF305" s="184">
        <f>AD305+AE305</f>
        <v/>
      </c>
      <c r="AG305" s="191">
        <f>IF(AND(AF305&gt;=$F$14,AF304&lt;$F$14),J305,"")</f>
        <v/>
      </c>
      <c r="AH305" s="191">
        <f>IF(AND(AF305&gt;=$F$15,AF304&lt;$F$15),J305,"")</f>
        <v/>
      </c>
      <c r="AI305" s="191">
        <f>IF(AND(AF305&gt;=$F$16,AF304&lt;$F$16),J305,"")</f>
        <v/>
      </c>
      <c r="AJ305" s="191">
        <f>IF(AND(AF305&gt;=$F$17,AF304&lt;$F$17),J305,"")</f>
        <v/>
      </c>
    </row>
    <row r="306" outlineLevel="1" ht="18" customHeight="1" s="326">
      <c r="A306" s="181">
        <f>$A$39</f>
        <v/>
      </c>
      <c r="B306" s="191">
        <f>$B$39</f>
        <v/>
      </c>
      <c r="C306" s="187">
        <f>$C$39</f>
        <v/>
      </c>
      <c r="D306" s="191">
        <f>$D$39</f>
        <v/>
      </c>
      <c r="E306" s="181">
        <f>$E$39</f>
        <v/>
      </c>
      <c r="F306" s="184">
        <f>$F$39</f>
        <v/>
      </c>
      <c r="G306" s="188">
        <f>$G$39</f>
        <v/>
      </c>
      <c r="H306" s="184">
        <f>$H$39</f>
        <v/>
      </c>
      <c r="I306" s="188">
        <f>$J$17</f>
        <v/>
      </c>
      <c r="J306" s="191" t="n">
        <v>1</v>
      </c>
      <c r="K306" s="191">
        <f>('Model Inputs'!$B$22-1)+J306</f>
        <v/>
      </c>
      <c r="L306" s="184">
        <f>IF(J306=1,'Model Inputs'!$B$25*(13-'Model Inputs'!$B$23)/12,'Model Inputs'!$B$25)</f>
        <v/>
      </c>
      <c r="M306" s="184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/>
      </c>
      <c r="N306" s="188">
        <f>IF(J306&lt;=2,0,'Model Inputs'!$B$32*SIN(2*PI()*(J306-3+'Model Inputs'!$B$34)/MAX(1,'Model Inputs'!$B$33)))</f>
        <v/>
      </c>
      <c r="O306" s="184">
        <f>M306*(1+N306)</f>
        <v/>
      </c>
      <c r="P306" s="184">
        <f>0</f>
        <v/>
      </c>
      <c r="Q306" s="184">
        <f>L306+P306+IF(J306=1,'Model Inputs'!$B$26,0)</f>
        <v/>
      </c>
      <c r="R306" s="184">
        <f>IF(J306&lt;=B306,Q306,IF(J306&lt;=B306+$J$18,L306,(SUMIFS($L$51:$L$350,$A$51:$A$350,$A306,$J$51:$J$350,$B306)+SUMIFS($O$51:$O$350,$A$51:$A$350,$A306,$J$51:$J$350,$B306))*C306))</f>
        <v/>
      </c>
      <c r="S306" s="184">
        <f>H306+F306*G306*(1+I306)^MAX(0,J306-MAX(D306,B306+$J$18+1))</f>
        <v/>
      </c>
      <c r="T306" s="184">
        <f>IF(J306&gt;=MAX(D306,B306+$J$18+1),S306,R306)</f>
        <v/>
      </c>
      <c r="U306" s="184">
        <f>MIN(T306,'Tax Assumptions'!$B$19)</f>
        <v/>
      </c>
      <c r="V306" s="184">
        <f>MAX(T306-U306-'Tax Assumptions'!$B$8,0)</f>
        <v/>
      </c>
      <c r="W306" s="184">
        <f>MAX(T306-U306-'Tax Assumptions'!$B$9,0)</f>
        <v/>
      </c>
      <c r="X306" s="184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/>
      </c>
      <c r="Y306" s="184">
        <f>T306-U306-X306</f>
        <v/>
      </c>
      <c r="Z306" s="184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/>
      </c>
      <c r="AA306" s="184">
        <f>Y306-Z306</f>
        <v/>
      </c>
      <c r="AB306" s="184">
        <f>MIN(MAX(AA306,0),'Tax Assumptions'!$B$20)</f>
        <v/>
      </c>
      <c r="AC306" s="184">
        <f>AA306-AB306</f>
        <v/>
      </c>
      <c r="AD306" s="184">
        <f>MAX('Model Inputs'!$B$7*(1+'Model Inputs'!$B$13)+AC306,0)</f>
        <v/>
      </c>
      <c r="AE306" s="184">
        <f>MAX(('Model Inputs'!$B$8+'Model Inputs'!$B$9+'Model Inputs'!$B$10)*(1+'Model Inputs'!$B$13)+U306+AB306,0)</f>
        <v/>
      </c>
      <c r="AF306" s="184">
        <f>AD306+AE306</f>
        <v/>
      </c>
      <c r="AG306" s="191">
        <f>IF(AND(AF306&gt;=$F$14,0&lt;$F$14),J306,"")</f>
        <v/>
      </c>
      <c r="AH306" s="191">
        <f>IF(AND(AF306&gt;=$F$15,0&lt;$F$15),J306,"")</f>
        <v/>
      </c>
      <c r="AI306" s="191">
        <f>IF(AND(AF306&gt;=$F$16,0&lt;$F$16),J306,"")</f>
        <v/>
      </c>
      <c r="AJ306" s="191">
        <f>IF(AND(AF306&gt;=$F$17,0&lt;$F$17),J306,"")</f>
        <v/>
      </c>
    </row>
    <row r="307" outlineLevel="1" ht="18" customHeight="1" s="326">
      <c r="A307" s="181">
        <f>$A$39</f>
        <v/>
      </c>
      <c r="B307" s="191">
        <f>$B$39</f>
        <v/>
      </c>
      <c r="C307" s="187">
        <f>$C$39</f>
        <v/>
      </c>
      <c r="D307" s="191">
        <f>$D$39</f>
        <v/>
      </c>
      <c r="E307" s="181">
        <f>$E$39</f>
        <v/>
      </c>
      <c r="F307" s="184">
        <f>$F$39</f>
        <v/>
      </c>
      <c r="G307" s="188">
        <f>$G$39</f>
        <v/>
      </c>
      <c r="H307" s="184">
        <f>$H$39</f>
        <v/>
      </c>
      <c r="I307" s="188">
        <f>$J$17</f>
        <v/>
      </c>
      <c r="J307" s="191" t="n">
        <v>2</v>
      </c>
      <c r="K307" s="191">
        <f>('Model Inputs'!$B$22-1)+J307</f>
        <v/>
      </c>
      <c r="L307" s="184">
        <f>IF(J307=1,'Model Inputs'!$B$25*(13-'Model Inputs'!$B$23)/12,'Model Inputs'!$B$25)</f>
        <v/>
      </c>
      <c r="M307" s="184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/>
      </c>
      <c r="N307" s="188">
        <f>IF(J307&lt;=2,0,'Model Inputs'!$B$32*SIN(2*PI()*(J307-3+'Model Inputs'!$B$34)/MAX(1,'Model Inputs'!$B$33)))</f>
        <v/>
      </c>
      <c r="O307" s="184">
        <f>M307*(1+N307)</f>
        <v/>
      </c>
      <c r="P307" s="184">
        <f>0.75*O306</f>
        <v/>
      </c>
      <c r="Q307" s="184">
        <f>L307+P307+IF(J307=1,'Model Inputs'!$B$26,0)</f>
        <v/>
      </c>
      <c r="R307" s="184">
        <f>IF(J307&lt;=B307,Q307,IF(J307&lt;=B307+$J$18,L307,(SUMIFS($L$51:$L$350,$A$51:$A$350,$A307,$J$51:$J$350,$B307)+SUMIFS($O$51:$O$350,$A$51:$A$350,$A307,$J$51:$J$350,$B307))*C307))</f>
        <v/>
      </c>
      <c r="S307" s="184">
        <f>H307+F307*G307*(1+I307)^MAX(0,J307-MAX(D307,B307+$J$18+1))</f>
        <v/>
      </c>
      <c r="T307" s="184">
        <f>IF(J307&gt;=MAX(D307,B307+$J$18+1),S307,R307)</f>
        <v/>
      </c>
      <c r="U307" s="184">
        <f>MIN(T307,'Tax Assumptions'!$B$19)</f>
        <v/>
      </c>
      <c r="V307" s="184">
        <f>MAX(T307-U307-'Tax Assumptions'!$B$8,0)</f>
        <v/>
      </c>
      <c r="W307" s="184">
        <f>MAX(T307-U307-'Tax Assumptions'!$B$9,0)</f>
        <v/>
      </c>
      <c r="X307" s="184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/>
      </c>
      <c r="Y307" s="184">
        <f>T307-U307-X307</f>
        <v/>
      </c>
      <c r="Z307" s="184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/>
      </c>
      <c r="AA307" s="184">
        <f>Y307-Z307</f>
        <v/>
      </c>
      <c r="AB307" s="184">
        <f>MIN(MAX(AA307,0),'Tax Assumptions'!$B$20)</f>
        <v/>
      </c>
      <c r="AC307" s="184">
        <f>AA307-AB307</f>
        <v/>
      </c>
      <c r="AD307" s="184">
        <f>MAX(AD306*(1+'Model Inputs'!$B$13)+AC307,0)</f>
        <v/>
      </c>
      <c r="AE307" s="184">
        <f>MAX(AE306*(1+'Model Inputs'!$B$13)+U307+AB307,0)</f>
        <v/>
      </c>
      <c r="AF307" s="184">
        <f>AD307+AE307</f>
        <v/>
      </c>
      <c r="AG307" s="191">
        <f>IF(AND(AF307&gt;=$F$14,AF306&lt;$F$14),J307,"")</f>
        <v/>
      </c>
      <c r="AH307" s="191">
        <f>IF(AND(AF307&gt;=$F$15,AF306&lt;$F$15),J307,"")</f>
        <v/>
      </c>
      <c r="AI307" s="191">
        <f>IF(AND(AF307&gt;=$F$16,AF306&lt;$F$16),J307,"")</f>
        <v/>
      </c>
      <c r="AJ307" s="191">
        <f>IF(AND(AF307&gt;=$F$17,AF306&lt;$F$17),J307,"")</f>
        <v/>
      </c>
    </row>
    <row r="308" outlineLevel="1" ht="18" customHeight="1" s="326">
      <c r="A308" s="181">
        <f>$A$39</f>
        <v/>
      </c>
      <c r="B308" s="191">
        <f>$B$39</f>
        <v/>
      </c>
      <c r="C308" s="187">
        <f>$C$39</f>
        <v/>
      </c>
      <c r="D308" s="191">
        <f>$D$39</f>
        <v/>
      </c>
      <c r="E308" s="181">
        <f>$E$39</f>
        <v/>
      </c>
      <c r="F308" s="184">
        <f>$F$39</f>
        <v/>
      </c>
      <c r="G308" s="188">
        <f>$G$39</f>
        <v/>
      </c>
      <c r="H308" s="184">
        <f>$H$39</f>
        <v/>
      </c>
      <c r="I308" s="188">
        <f>$J$17</f>
        <v/>
      </c>
      <c r="J308" s="191" t="n">
        <v>3</v>
      </c>
      <c r="K308" s="191">
        <f>('Model Inputs'!$B$22-1)+J308</f>
        <v/>
      </c>
      <c r="L308" s="184">
        <f>IF(J308=1,'Model Inputs'!$B$25*(13-'Model Inputs'!$B$23)/12,'Model Inputs'!$B$25)</f>
        <v/>
      </c>
      <c r="M308" s="184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/>
      </c>
      <c r="N308" s="188">
        <f>IF(J308&lt;=2,0,'Model Inputs'!$B$32*SIN(2*PI()*(J308-3+'Model Inputs'!$B$34)/MAX(1,'Model Inputs'!$B$33)))</f>
        <v/>
      </c>
      <c r="O308" s="184">
        <f>M308*(1+N308)</f>
        <v/>
      </c>
      <c r="P308" s="184">
        <f>0.75*O307+0.25*O306</f>
        <v/>
      </c>
      <c r="Q308" s="184">
        <f>L308+P308+IF(J308=1,'Model Inputs'!$B$26,0)</f>
        <v/>
      </c>
      <c r="R308" s="184">
        <f>IF(J308&lt;=B308,Q308,IF(J308&lt;=B308+$J$18,L308,(SUMIFS($L$51:$L$350,$A$51:$A$350,$A308,$J$51:$J$350,$B308)+SUMIFS($O$51:$O$350,$A$51:$A$350,$A308,$J$51:$J$350,$B308))*C308))</f>
        <v/>
      </c>
      <c r="S308" s="184">
        <f>H308+F308*G308*(1+I308)^MAX(0,J308-MAX(D308,B308+$J$18+1))</f>
        <v/>
      </c>
      <c r="T308" s="184">
        <f>IF(J308&gt;=MAX(D308,B308+$J$18+1),S308,R308)</f>
        <v/>
      </c>
      <c r="U308" s="184">
        <f>MIN(T308,'Tax Assumptions'!$B$19)</f>
        <v/>
      </c>
      <c r="V308" s="184">
        <f>MAX(T308-U308-'Tax Assumptions'!$B$8,0)</f>
        <v/>
      </c>
      <c r="W308" s="184">
        <f>MAX(T308-U308-'Tax Assumptions'!$B$9,0)</f>
        <v/>
      </c>
      <c r="X308" s="184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/>
      </c>
      <c r="Y308" s="184">
        <f>T308-U308-X308</f>
        <v/>
      </c>
      <c r="Z308" s="184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/>
      </c>
      <c r="AA308" s="184">
        <f>Y308-Z308</f>
        <v/>
      </c>
      <c r="AB308" s="184">
        <f>MIN(MAX(AA308,0),'Tax Assumptions'!$B$20)</f>
        <v/>
      </c>
      <c r="AC308" s="184">
        <f>AA308-AB308</f>
        <v/>
      </c>
      <c r="AD308" s="184">
        <f>MAX(AD307*(1+'Model Inputs'!$B$13)+AC308,0)</f>
        <v/>
      </c>
      <c r="AE308" s="184">
        <f>MAX(AE307*(1+'Model Inputs'!$B$13)+U308+AB308,0)</f>
        <v/>
      </c>
      <c r="AF308" s="184">
        <f>AD308+AE308</f>
        <v/>
      </c>
      <c r="AG308" s="191">
        <f>IF(AND(AF308&gt;=$F$14,AF307&lt;$F$14),J308,"")</f>
        <v/>
      </c>
      <c r="AH308" s="191">
        <f>IF(AND(AF308&gt;=$F$15,AF307&lt;$F$15),J308,"")</f>
        <v/>
      </c>
      <c r="AI308" s="191">
        <f>IF(AND(AF308&gt;=$F$16,AF307&lt;$F$16),J308,"")</f>
        <v/>
      </c>
      <c r="AJ308" s="191">
        <f>IF(AND(AF308&gt;=$F$17,AF307&lt;$F$17),J308,"")</f>
        <v/>
      </c>
    </row>
    <row r="309" outlineLevel="1" ht="18" customHeight="1" s="326">
      <c r="A309" s="181">
        <f>$A$39</f>
        <v/>
      </c>
      <c r="B309" s="191">
        <f>$B$39</f>
        <v/>
      </c>
      <c r="C309" s="187">
        <f>$C$39</f>
        <v/>
      </c>
      <c r="D309" s="191">
        <f>$D$39</f>
        <v/>
      </c>
      <c r="E309" s="181">
        <f>$E$39</f>
        <v/>
      </c>
      <c r="F309" s="184">
        <f>$F$39</f>
        <v/>
      </c>
      <c r="G309" s="188">
        <f>$G$39</f>
        <v/>
      </c>
      <c r="H309" s="184">
        <f>$H$39</f>
        <v/>
      </c>
      <c r="I309" s="188">
        <f>$J$17</f>
        <v/>
      </c>
      <c r="J309" s="191" t="n">
        <v>4</v>
      </c>
      <c r="K309" s="191">
        <f>('Model Inputs'!$B$22-1)+J309</f>
        <v/>
      </c>
      <c r="L309" s="184">
        <f>IF(J309=1,'Model Inputs'!$B$25*(13-'Model Inputs'!$B$23)/12,'Model Inputs'!$B$25)</f>
        <v/>
      </c>
      <c r="M309" s="184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/>
      </c>
      <c r="N309" s="188">
        <f>IF(J309&lt;=2,0,'Model Inputs'!$B$32*SIN(2*PI()*(J309-3+'Model Inputs'!$B$34)/MAX(1,'Model Inputs'!$B$33)))</f>
        <v/>
      </c>
      <c r="O309" s="184">
        <f>M309*(1+N309)</f>
        <v/>
      </c>
      <c r="P309" s="184">
        <f>0.75*O308+0.25*O307</f>
        <v/>
      </c>
      <c r="Q309" s="184">
        <f>L309+P309+IF(J309=1,'Model Inputs'!$B$26,0)</f>
        <v/>
      </c>
      <c r="R309" s="184">
        <f>IF(J309&lt;=B309,Q309,IF(J309&lt;=B309+$J$18,L309,(SUMIFS($L$51:$L$350,$A$51:$A$350,$A309,$J$51:$J$350,$B309)+SUMIFS($O$51:$O$350,$A$51:$A$350,$A309,$J$51:$J$350,$B309))*C309))</f>
        <v/>
      </c>
      <c r="S309" s="184">
        <f>H309+F309*G309*(1+I309)^MAX(0,J309-MAX(D309,B309+$J$18+1))</f>
        <v/>
      </c>
      <c r="T309" s="184">
        <f>IF(J309&gt;=MAX(D309,B309+$J$18+1),S309,R309)</f>
        <v/>
      </c>
      <c r="U309" s="184">
        <f>MIN(T309,'Tax Assumptions'!$B$19)</f>
        <v/>
      </c>
      <c r="V309" s="184">
        <f>MAX(T309-U309-'Tax Assumptions'!$B$8,0)</f>
        <v/>
      </c>
      <c r="W309" s="184">
        <f>MAX(T309-U309-'Tax Assumptions'!$B$9,0)</f>
        <v/>
      </c>
      <c r="X309" s="184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/>
      </c>
      <c r="Y309" s="184">
        <f>T309-U309-X309</f>
        <v/>
      </c>
      <c r="Z309" s="184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/>
      </c>
      <c r="AA309" s="184">
        <f>Y309-Z309</f>
        <v/>
      </c>
      <c r="AB309" s="184">
        <f>MIN(MAX(AA309,0),'Tax Assumptions'!$B$20)</f>
        <v/>
      </c>
      <c r="AC309" s="184">
        <f>AA309-AB309</f>
        <v/>
      </c>
      <c r="AD309" s="184">
        <f>MAX(AD308*(1+'Model Inputs'!$B$13)+AC309,0)</f>
        <v/>
      </c>
      <c r="AE309" s="184">
        <f>MAX(AE308*(1+'Model Inputs'!$B$13)+U309+AB309,0)</f>
        <v/>
      </c>
      <c r="AF309" s="184">
        <f>AD309+AE309</f>
        <v/>
      </c>
      <c r="AG309" s="191">
        <f>IF(AND(AF309&gt;=$F$14,AF308&lt;$F$14),J309,"")</f>
        <v/>
      </c>
      <c r="AH309" s="191">
        <f>IF(AND(AF309&gt;=$F$15,AF308&lt;$F$15),J309,"")</f>
        <v/>
      </c>
      <c r="AI309" s="191">
        <f>IF(AND(AF309&gt;=$F$16,AF308&lt;$F$16),J309,"")</f>
        <v/>
      </c>
      <c r="AJ309" s="191">
        <f>IF(AND(AF309&gt;=$F$17,AF308&lt;$F$17),J309,"")</f>
        <v/>
      </c>
    </row>
    <row r="310" outlineLevel="1" ht="18" customHeight="1" s="326">
      <c r="A310" s="181">
        <f>$A$39</f>
        <v/>
      </c>
      <c r="B310" s="191">
        <f>$B$39</f>
        <v/>
      </c>
      <c r="C310" s="187">
        <f>$C$39</f>
        <v/>
      </c>
      <c r="D310" s="191">
        <f>$D$39</f>
        <v/>
      </c>
      <c r="E310" s="181">
        <f>$E$39</f>
        <v/>
      </c>
      <c r="F310" s="184">
        <f>$F$39</f>
        <v/>
      </c>
      <c r="G310" s="188">
        <f>$G$39</f>
        <v/>
      </c>
      <c r="H310" s="184">
        <f>$H$39</f>
        <v/>
      </c>
      <c r="I310" s="188">
        <f>$J$17</f>
        <v/>
      </c>
      <c r="J310" s="191" t="n">
        <v>5</v>
      </c>
      <c r="K310" s="191">
        <f>('Model Inputs'!$B$22-1)+J310</f>
        <v/>
      </c>
      <c r="L310" s="184">
        <f>IF(J310=1,'Model Inputs'!$B$25*(13-'Model Inputs'!$B$23)/12,'Model Inputs'!$B$25)</f>
        <v/>
      </c>
      <c r="M310" s="184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/>
      </c>
      <c r="N310" s="188">
        <f>IF(J310&lt;=2,0,'Model Inputs'!$B$32*SIN(2*PI()*(J310-3+'Model Inputs'!$B$34)/MAX(1,'Model Inputs'!$B$33)))</f>
        <v/>
      </c>
      <c r="O310" s="184">
        <f>M310*(1+N310)</f>
        <v/>
      </c>
      <c r="P310" s="184">
        <f>0.75*O309+0.25*O308</f>
        <v/>
      </c>
      <c r="Q310" s="184">
        <f>L310+P310+IF(J310=1,'Model Inputs'!$B$26,0)</f>
        <v/>
      </c>
      <c r="R310" s="184">
        <f>IF(J310&lt;=B310,Q310,IF(J310&lt;=B310+$J$18,L310,(SUMIFS($L$51:$L$350,$A$51:$A$350,$A310,$J$51:$J$350,$B310)+SUMIFS($O$51:$O$350,$A$51:$A$350,$A310,$J$51:$J$350,$B310))*C310))</f>
        <v/>
      </c>
      <c r="S310" s="184">
        <f>H310+F310*G310*(1+I310)^MAX(0,J310-MAX(D310,B310+$J$18+1))</f>
        <v/>
      </c>
      <c r="T310" s="184">
        <f>IF(J310&gt;=MAX(D310,B310+$J$18+1),S310,R310)</f>
        <v/>
      </c>
      <c r="U310" s="184">
        <f>MIN(T310,'Tax Assumptions'!$B$19)</f>
        <v/>
      </c>
      <c r="V310" s="184">
        <f>MAX(T310-U310-'Tax Assumptions'!$B$8,0)</f>
        <v/>
      </c>
      <c r="W310" s="184">
        <f>MAX(T310-U310-'Tax Assumptions'!$B$9,0)</f>
        <v/>
      </c>
      <c r="X310" s="184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/>
      </c>
      <c r="Y310" s="184">
        <f>T310-U310-X310</f>
        <v/>
      </c>
      <c r="Z310" s="184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/>
      </c>
      <c r="AA310" s="184">
        <f>Y310-Z310</f>
        <v/>
      </c>
      <c r="AB310" s="184">
        <f>MIN(MAX(AA310,0),'Tax Assumptions'!$B$20)</f>
        <v/>
      </c>
      <c r="AC310" s="184">
        <f>AA310-AB310</f>
        <v/>
      </c>
      <c r="AD310" s="184">
        <f>MAX(AD309*(1+'Model Inputs'!$B$13)+AC310,0)</f>
        <v/>
      </c>
      <c r="AE310" s="184">
        <f>MAX(AE309*(1+'Model Inputs'!$B$13)+U310+AB310,0)</f>
        <v/>
      </c>
      <c r="AF310" s="184">
        <f>AD310+AE310</f>
        <v/>
      </c>
      <c r="AG310" s="191">
        <f>IF(AND(AF310&gt;=$F$14,AF309&lt;$F$14),J310,"")</f>
        <v/>
      </c>
      <c r="AH310" s="191">
        <f>IF(AND(AF310&gt;=$F$15,AF309&lt;$F$15),J310,"")</f>
        <v/>
      </c>
      <c r="AI310" s="191">
        <f>IF(AND(AF310&gt;=$F$16,AF309&lt;$F$16),J310,"")</f>
        <v/>
      </c>
      <c r="AJ310" s="191">
        <f>IF(AND(AF310&gt;=$F$17,AF309&lt;$F$17),J310,"")</f>
        <v/>
      </c>
    </row>
    <row r="311" outlineLevel="1" ht="18" customHeight="1" s="326">
      <c r="A311" s="181">
        <f>$A$39</f>
        <v/>
      </c>
      <c r="B311" s="191">
        <f>$B$39</f>
        <v/>
      </c>
      <c r="C311" s="187">
        <f>$C$39</f>
        <v/>
      </c>
      <c r="D311" s="191">
        <f>$D$39</f>
        <v/>
      </c>
      <c r="E311" s="181">
        <f>$E$39</f>
        <v/>
      </c>
      <c r="F311" s="184">
        <f>$F$39</f>
        <v/>
      </c>
      <c r="G311" s="188">
        <f>$G$39</f>
        <v/>
      </c>
      <c r="H311" s="184">
        <f>$H$39</f>
        <v/>
      </c>
      <c r="I311" s="188">
        <f>$J$17</f>
        <v/>
      </c>
      <c r="J311" s="191" t="n">
        <v>6</v>
      </c>
      <c r="K311" s="191">
        <f>('Model Inputs'!$B$22-1)+J311</f>
        <v/>
      </c>
      <c r="L311" s="184">
        <f>IF(J311=1,'Model Inputs'!$B$25*(13-'Model Inputs'!$B$23)/12,'Model Inputs'!$B$25)</f>
        <v/>
      </c>
      <c r="M311" s="184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/>
      </c>
      <c r="N311" s="188">
        <f>IF(J311&lt;=2,0,'Model Inputs'!$B$32*SIN(2*PI()*(J311-3+'Model Inputs'!$B$34)/MAX(1,'Model Inputs'!$B$33)))</f>
        <v/>
      </c>
      <c r="O311" s="184">
        <f>M311*(1+N311)</f>
        <v/>
      </c>
      <c r="P311" s="184">
        <f>0.75*O310+0.25*O309</f>
        <v/>
      </c>
      <c r="Q311" s="184">
        <f>L311+P311+IF(J311=1,'Model Inputs'!$B$26,0)</f>
        <v/>
      </c>
      <c r="R311" s="184">
        <f>IF(J311&lt;=B311,Q311,IF(J311&lt;=B311+$J$18,L311,(SUMIFS($L$51:$L$350,$A$51:$A$350,$A311,$J$51:$J$350,$B311)+SUMIFS($O$51:$O$350,$A$51:$A$350,$A311,$J$51:$J$350,$B311))*C311))</f>
        <v/>
      </c>
      <c r="S311" s="184">
        <f>H311+F311*G311*(1+I311)^MAX(0,J311-MAX(D311,B311+$J$18+1))</f>
        <v/>
      </c>
      <c r="T311" s="184">
        <f>IF(J311&gt;=MAX(D311,B311+$J$18+1),S311,R311)</f>
        <v/>
      </c>
      <c r="U311" s="184">
        <f>MIN(T311,'Tax Assumptions'!$B$19)</f>
        <v/>
      </c>
      <c r="V311" s="184">
        <f>MAX(T311-U311-'Tax Assumptions'!$B$8,0)</f>
        <v/>
      </c>
      <c r="W311" s="184">
        <f>MAX(T311-U311-'Tax Assumptions'!$B$9,0)</f>
        <v/>
      </c>
      <c r="X311" s="184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/>
      </c>
      <c r="Y311" s="184">
        <f>T311-U311-X311</f>
        <v/>
      </c>
      <c r="Z311" s="184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/>
      </c>
      <c r="AA311" s="184">
        <f>Y311-Z311</f>
        <v/>
      </c>
      <c r="AB311" s="184">
        <f>MIN(MAX(AA311,0),'Tax Assumptions'!$B$20)</f>
        <v/>
      </c>
      <c r="AC311" s="184">
        <f>AA311-AB311</f>
        <v/>
      </c>
      <c r="AD311" s="184">
        <f>MAX(AD310*(1+'Model Inputs'!$B$13)+AC311,0)</f>
        <v/>
      </c>
      <c r="AE311" s="184">
        <f>MAX(AE310*(1+'Model Inputs'!$B$13)+U311+AB311,0)</f>
        <v/>
      </c>
      <c r="AF311" s="184">
        <f>AD311+AE311</f>
        <v/>
      </c>
      <c r="AG311" s="191">
        <f>IF(AND(AF311&gt;=$F$14,AF310&lt;$F$14),J311,"")</f>
        <v/>
      </c>
      <c r="AH311" s="191">
        <f>IF(AND(AF311&gt;=$F$15,AF310&lt;$F$15),J311,"")</f>
        <v/>
      </c>
      <c r="AI311" s="191">
        <f>IF(AND(AF311&gt;=$F$16,AF310&lt;$F$16),J311,"")</f>
        <v/>
      </c>
      <c r="AJ311" s="191">
        <f>IF(AND(AF311&gt;=$F$17,AF310&lt;$F$17),J311,"")</f>
        <v/>
      </c>
    </row>
    <row r="312" outlineLevel="1" ht="18" customHeight="1" s="326">
      <c r="A312" s="181">
        <f>$A$39</f>
        <v/>
      </c>
      <c r="B312" s="191">
        <f>$B$39</f>
        <v/>
      </c>
      <c r="C312" s="187">
        <f>$C$39</f>
        <v/>
      </c>
      <c r="D312" s="191">
        <f>$D$39</f>
        <v/>
      </c>
      <c r="E312" s="181">
        <f>$E$39</f>
        <v/>
      </c>
      <c r="F312" s="184">
        <f>$F$39</f>
        <v/>
      </c>
      <c r="G312" s="188">
        <f>$G$39</f>
        <v/>
      </c>
      <c r="H312" s="184">
        <f>$H$39</f>
        <v/>
      </c>
      <c r="I312" s="188">
        <f>$J$17</f>
        <v/>
      </c>
      <c r="J312" s="191" t="n">
        <v>7</v>
      </c>
      <c r="K312" s="191">
        <f>('Model Inputs'!$B$22-1)+J312</f>
        <v/>
      </c>
      <c r="L312" s="184">
        <f>IF(J312=1,'Model Inputs'!$B$25*(13-'Model Inputs'!$B$23)/12,'Model Inputs'!$B$25)</f>
        <v/>
      </c>
      <c r="M312" s="184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/>
      </c>
      <c r="N312" s="188">
        <f>IF(J312&lt;=2,0,'Model Inputs'!$B$32*SIN(2*PI()*(J312-3+'Model Inputs'!$B$34)/MAX(1,'Model Inputs'!$B$33)))</f>
        <v/>
      </c>
      <c r="O312" s="184">
        <f>M312*(1+N312)</f>
        <v/>
      </c>
      <c r="P312" s="184">
        <f>0.75*O311+0.25*O310</f>
        <v/>
      </c>
      <c r="Q312" s="184">
        <f>L312+P312+IF(J312=1,'Model Inputs'!$B$26,0)</f>
        <v/>
      </c>
      <c r="R312" s="184">
        <f>IF(J312&lt;=B312,Q312,IF(J312&lt;=B312+$J$18,L312,(SUMIFS($L$51:$L$350,$A$51:$A$350,$A312,$J$51:$J$350,$B312)+SUMIFS($O$51:$O$350,$A$51:$A$350,$A312,$J$51:$J$350,$B312))*C312))</f>
        <v/>
      </c>
      <c r="S312" s="184">
        <f>H312+F312*G312*(1+I312)^MAX(0,J312-MAX(D312,B312+$J$18+1))</f>
        <v/>
      </c>
      <c r="T312" s="184">
        <f>IF(J312&gt;=MAX(D312,B312+$J$18+1),S312,R312)</f>
        <v/>
      </c>
      <c r="U312" s="184">
        <f>MIN(T312,'Tax Assumptions'!$B$19)</f>
        <v/>
      </c>
      <c r="V312" s="184">
        <f>MAX(T312-U312-'Tax Assumptions'!$B$8,0)</f>
        <v/>
      </c>
      <c r="W312" s="184">
        <f>MAX(T312-U312-'Tax Assumptions'!$B$9,0)</f>
        <v/>
      </c>
      <c r="X312" s="184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/>
      </c>
      <c r="Y312" s="184">
        <f>T312-U312-X312</f>
        <v/>
      </c>
      <c r="Z312" s="184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/>
      </c>
      <c r="AA312" s="184">
        <f>Y312-Z312</f>
        <v/>
      </c>
      <c r="AB312" s="184">
        <f>MIN(MAX(AA312,0),'Tax Assumptions'!$B$20)</f>
        <v/>
      </c>
      <c r="AC312" s="184">
        <f>AA312-AB312</f>
        <v/>
      </c>
      <c r="AD312" s="184">
        <f>MAX(AD311*(1+'Model Inputs'!$B$13)+AC312,0)</f>
        <v/>
      </c>
      <c r="AE312" s="184">
        <f>MAX(AE311*(1+'Model Inputs'!$B$13)+U312+AB312,0)</f>
        <v/>
      </c>
      <c r="AF312" s="184">
        <f>AD312+AE312</f>
        <v/>
      </c>
      <c r="AG312" s="191">
        <f>IF(AND(AF312&gt;=$F$14,AF311&lt;$F$14),J312,"")</f>
        <v/>
      </c>
      <c r="AH312" s="191">
        <f>IF(AND(AF312&gt;=$F$15,AF311&lt;$F$15),J312,"")</f>
        <v/>
      </c>
      <c r="AI312" s="191">
        <f>IF(AND(AF312&gt;=$F$16,AF311&lt;$F$16),J312,"")</f>
        <v/>
      </c>
      <c r="AJ312" s="191">
        <f>IF(AND(AF312&gt;=$F$17,AF311&lt;$F$17),J312,"")</f>
        <v/>
      </c>
    </row>
    <row r="313" outlineLevel="1" ht="18" customHeight="1" s="326">
      <c r="A313" s="181">
        <f>$A$39</f>
        <v/>
      </c>
      <c r="B313" s="191">
        <f>$B$39</f>
        <v/>
      </c>
      <c r="C313" s="187">
        <f>$C$39</f>
        <v/>
      </c>
      <c r="D313" s="191">
        <f>$D$39</f>
        <v/>
      </c>
      <c r="E313" s="181">
        <f>$E$39</f>
        <v/>
      </c>
      <c r="F313" s="184">
        <f>$F$39</f>
        <v/>
      </c>
      <c r="G313" s="188">
        <f>$G$39</f>
        <v/>
      </c>
      <c r="H313" s="184">
        <f>$H$39</f>
        <v/>
      </c>
      <c r="I313" s="188">
        <f>$J$17</f>
        <v/>
      </c>
      <c r="J313" s="191" t="n">
        <v>8</v>
      </c>
      <c r="K313" s="191">
        <f>('Model Inputs'!$B$22-1)+J313</f>
        <v/>
      </c>
      <c r="L313" s="184">
        <f>IF(J313=1,'Model Inputs'!$B$25*(13-'Model Inputs'!$B$23)/12,'Model Inputs'!$B$25)</f>
        <v/>
      </c>
      <c r="M313" s="184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/>
      </c>
      <c r="N313" s="188">
        <f>IF(J313&lt;=2,0,'Model Inputs'!$B$32*SIN(2*PI()*(J313-3+'Model Inputs'!$B$34)/MAX(1,'Model Inputs'!$B$33)))</f>
        <v/>
      </c>
      <c r="O313" s="184">
        <f>M313*(1+N313)</f>
        <v/>
      </c>
      <c r="P313" s="184">
        <f>0.75*O312+0.25*O311</f>
        <v/>
      </c>
      <c r="Q313" s="184">
        <f>L313+P313+IF(J313=1,'Model Inputs'!$B$26,0)</f>
        <v/>
      </c>
      <c r="R313" s="184">
        <f>IF(J313&lt;=B313,Q313,IF(J313&lt;=B313+$J$18,L313,(SUMIFS($L$51:$L$350,$A$51:$A$350,$A313,$J$51:$J$350,$B313)+SUMIFS($O$51:$O$350,$A$51:$A$350,$A313,$J$51:$J$350,$B313))*C313))</f>
        <v/>
      </c>
      <c r="S313" s="184">
        <f>H313+F313*G313*(1+I313)^MAX(0,J313-MAX(D313,B313+$J$18+1))</f>
        <v/>
      </c>
      <c r="T313" s="184">
        <f>IF(J313&gt;=MAX(D313,B313+$J$18+1),S313,R313)</f>
        <v/>
      </c>
      <c r="U313" s="184">
        <f>MIN(T313,'Tax Assumptions'!$B$19)</f>
        <v/>
      </c>
      <c r="V313" s="184">
        <f>MAX(T313-U313-'Tax Assumptions'!$B$8,0)</f>
        <v/>
      </c>
      <c r="W313" s="184">
        <f>MAX(T313-U313-'Tax Assumptions'!$B$9,0)</f>
        <v/>
      </c>
      <c r="X313" s="184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/>
      </c>
      <c r="Y313" s="184">
        <f>T313-U313-X313</f>
        <v/>
      </c>
      <c r="Z313" s="184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/>
      </c>
      <c r="AA313" s="184">
        <f>Y313-Z313</f>
        <v/>
      </c>
      <c r="AB313" s="184">
        <f>MIN(MAX(AA313,0),'Tax Assumptions'!$B$20)</f>
        <v/>
      </c>
      <c r="AC313" s="184">
        <f>AA313-AB313</f>
        <v/>
      </c>
      <c r="AD313" s="184">
        <f>MAX(AD312*(1+'Model Inputs'!$B$13)+AC313,0)</f>
        <v/>
      </c>
      <c r="AE313" s="184">
        <f>MAX(AE312*(1+'Model Inputs'!$B$13)+U313+AB313,0)</f>
        <v/>
      </c>
      <c r="AF313" s="184">
        <f>AD313+AE313</f>
        <v/>
      </c>
      <c r="AG313" s="191">
        <f>IF(AND(AF313&gt;=$F$14,AF312&lt;$F$14),J313,"")</f>
        <v/>
      </c>
      <c r="AH313" s="191">
        <f>IF(AND(AF313&gt;=$F$15,AF312&lt;$F$15),J313,"")</f>
        <v/>
      </c>
      <c r="AI313" s="191">
        <f>IF(AND(AF313&gt;=$F$16,AF312&lt;$F$16),J313,"")</f>
        <v/>
      </c>
      <c r="AJ313" s="191">
        <f>IF(AND(AF313&gt;=$F$17,AF312&lt;$F$17),J313,"")</f>
        <v/>
      </c>
    </row>
    <row r="314" outlineLevel="1" ht="18" customHeight="1" s="326">
      <c r="A314" s="181">
        <f>$A$39</f>
        <v/>
      </c>
      <c r="B314" s="191">
        <f>$B$39</f>
        <v/>
      </c>
      <c r="C314" s="187">
        <f>$C$39</f>
        <v/>
      </c>
      <c r="D314" s="191">
        <f>$D$39</f>
        <v/>
      </c>
      <c r="E314" s="181">
        <f>$E$39</f>
        <v/>
      </c>
      <c r="F314" s="184">
        <f>$F$39</f>
        <v/>
      </c>
      <c r="G314" s="188">
        <f>$G$39</f>
        <v/>
      </c>
      <c r="H314" s="184">
        <f>$H$39</f>
        <v/>
      </c>
      <c r="I314" s="188">
        <f>$J$17</f>
        <v/>
      </c>
      <c r="J314" s="191" t="n">
        <v>9</v>
      </c>
      <c r="K314" s="191">
        <f>('Model Inputs'!$B$22-1)+J314</f>
        <v/>
      </c>
      <c r="L314" s="184">
        <f>IF(J314=1,'Model Inputs'!$B$25*(13-'Model Inputs'!$B$23)/12,'Model Inputs'!$B$25)</f>
        <v/>
      </c>
      <c r="M314" s="184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/>
      </c>
      <c r="N314" s="188">
        <f>IF(J314&lt;=2,0,'Model Inputs'!$B$32*SIN(2*PI()*(J314-3+'Model Inputs'!$B$34)/MAX(1,'Model Inputs'!$B$33)))</f>
        <v/>
      </c>
      <c r="O314" s="184">
        <f>M314*(1+N314)</f>
        <v/>
      </c>
      <c r="P314" s="184">
        <f>0.75*O313+0.25*O312</f>
        <v/>
      </c>
      <c r="Q314" s="184">
        <f>L314+P314+IF(J314=1,'Model Inputs'!$B$26,0)</f>
        <v/>
      </c>
      <c r="R314" s="184">
        <f>IF(J314&lt;=B314,Q314,IF(J314&lt;=B314+$J$18,L314,(SUMIFS($L$51:$L$350,$A$51:$A$350,$A314,$J$51:$J$350,$B314)+SUMIFS($O$51:$O$350,$A$51:$A$350,$A314,$J$51:$J$350,$B314))*C314))</f>
        <v/>
      </c>
      <c r="S314" s="184">
        <f>H314+F314*G314*(1+I314)^MAX(0,J314-MAX(D314,B314+$J$18+1))</f>
        <v/>
      </c>
      <c r="T314" s="184">
        <f>IF(J314&gt;=MAX(D314,B314+$J$18+1),S314,R314)</f>
        <v/>
      </c>
      <c r="U314" s="184">
        <f>MIN(T314,'Tax Assumptions'!$B$19)</f>
        <v/>
      </c>
      <c r="V314" s="184">
        <f>MAX(T314-U314-'Tax Assumptions'!$B$8,0)</f>
        <v/>
      </c>
      <c r="W314" s="184">
        <f>MAX(T314-U314-'Tax Assumptions'!$B$9,0)</f>
        <v/>
      </c>
      <c r="X314" s="184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/>
      </c>
      <c r="Y314" s="184">
        <f>T314-U314-X314</f>
        <v/>
      </c>
      <c r="Z314" s="184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/>
      </c>
      <c r="AA314" s="184">
        <f>Y314-Z314</f>
        <v/>
      </c>
      <c r="AB314" s="184">
        <f>MIN(MAX(AA314,0),'Tax Assumptions'!$B$20)</f>
        <v/>
      </c>
      <c r="AC314" s="184">
        <f>AA314-AB314</f>
        <v/>
      </c>
      <c r="AD314" s="184">
        <f>MAX(AD313*(1+'Model Inputs'!$B$13)+AC314,0)</f>
        <v/>
      </c>
      <c r="AE314" s="184">
        <f>MAX(AE313*(1+'Model Inputs'!$B$13)+U314+AB314,0)</f>
        <v/>
      </c>
      <c r="AF314" s="184">
        <f>AD314+AE314</f>
        <v/>
      </c>
      <c r="AG314" s="191">
        <f>IF(AND(AF314&gt;=$F$14,AF313&lt;$F$14),J314,"")</f>
        <v/>
      </c>
      <c r="AH314" s="191">
        <f>IF(AND(AF314&gt;=$F$15,AF313&lt;$F$15),J314,"")</f>
        <v/>
      </c>
      <c r="AI314" s="191">
        <f>IF(AND(AF314&gt;=$F$16,AF313&lt;$F$16),J314,"")</f>
        <v/>
      </c>
      <c r="AJ314" s="191">
        <f>IF(AND(AF314&gt;=$F$17,AF313&lt;$F$17),J314,"")</f>
        <v/>
      </c>
    </row>
    <row r="315" outlineLevel="1" ht="18" customHeight="1" s="326">
      <c r="A315" s="181">
        <f>$A$39</f>
        <v/>
      </c>
      <c r="B315" s="191">
        <f>$B$39</f>
        <v/>
      </c>
      <c r="C315" s="187">
        <f>$C$39</f>
        <v/>
      </c>
      <c r="D315" s="191">
        <f>$D$39</f>
        <v/>
      </c>
      <c r="E315" s="181">
        <f>$E$39</f>
        <v/>
      </c>
      <c r="F315" s="184">
        <f>$F$39</f>
        <v/>
      </c>
      <c r="G315" s="188">
        <f>$G$39</f>
        <v/>
      </c>
      <c r="H315" s="184">
        <f>$H$39</f>
        <v/>
      </c>
      <c r="I315" s="188">
        <f>$J$17</f>
        <v/>
      </c>
      <c r="J315" s="191" t="n">
        <v>10</v>
      </c>
      <c r="K315" s="191">
        <f>('Model Inputs'!$B$22-1)+J315</f>
        <v/>
      </c>
      <c r="L315" s="184">
        <f>IF(J315=1,'Model Inputs'!$B$25*(13-'Model Inputs'!$B$23)/12,'Model Inputs'!$B$25)</f>
        <v/>
      </c>
      <c r="M315" s="184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/>
      </c>
      <c r="N315" s="188">
        <f>IF(J315&lt;=2,0,'Model Inputs'!$B$32*SIN(2*PI()*(J315-3+'Model Inputs'!$B$34)/MAX(1,'Model Inputs'!$B$33)))</f>
        <v/>
      </c>
      <c r="O315" s="184">
        <f>M315*(1+N315)</f>
        <v/>
      </c>
      <c r="P315" s="184">
        <f>0.75*O314+0.25*O313</f>
        <v/>
      </c>
      <c r="Q315" s="184">
        <f>L315+P315+IF(J315=1,'Model Inputs'!$B$26,0)</f>
        <v/>
      </c>
      <c r="R315" s="184">
        <f>IF(J315&lt;=B315,Q315,IF(J315&lt;=B315+$J$18,L315,(SUMIFS($L$51:$L$350,$A$51:$A$350,$A315,$J$51:$J$350,$B315)+SUMIFS($O$51:$O$350,$A$51:$A$350,$A315,$J$51:$J$350,$B315))*C315))</f>
        <v/>
      </c>
      <c r="S315" s="184">
        <f>H315+F315*G315*(1+I315)^MAX(0,J315-MAX(D315,B315+$J$18+1))</f>
        <v/>
      </c>
      <c r="T315" s="184">
        <f>IF(J315&gt;=MAX(D315,B315+$J$18+1),S315,R315)</f>
        <v/>
      </c>
      <c r="U315" s="184">
        <f>MIN(T315,'Tax Assumptions'!$B$19)</f>
        <v/>
      </c>
      <c r="V315" s="184">
        <f>MAX(T315-U315-'Tax Assumptions'!$B$8,0)</f>
        <v/>
      </c>
      <c r="W315" s="184">
        <f>MAX(T315-U315-'Tax Assumptions'!$B$9,0)</f>
        <v/>
      </c>
      <c r="X315" s="184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/>
      </c>
      <c r="Y315" s="184">
        <f>T315-U315-X315</f>
        <v/>
      </c>
      <c r="Z315" s="184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/>
      </c>
      <c r="AA315" s="184">
        <f>Y315-Z315</f>
        <v/>
      </c>
      <c r="AB315" s="184">
        <f>MIN(MAX(AA315,0),'Tax Assumptions'!$B$20)</f>
        <v/>
      </c>
      <c r="AC315" s="184">
        <f>AA315-AB315</f>
        <v/>
      </c>
      <c r="AD315" s="184">
        <f>MAX(AD314*(1+'Model Inputs'!$B$13)+AC315,0)</f>
        <v/>
      </c>
      <c r="AE315" s="184">
        <f>MAX(AE314*(1+'Model Inputs'!$B$13)+U315+AB315,0)</f>
        <v/>
      </c>
      <c r="AF315" s="184">
        <f>AD315+AE315</f>
        <v/>
      </c>
      <c r="AG315" s="191">
        <f>IF(AND(AF315&gt;=$F$14,AF314&lt;$F$14),J315,"")</f>
        <v/>
      </c>
      <c r="AH315" s="191">
        <f>IF(AND(AF315&gt;=$F$15,AF314&lt;$F$15),J315,"")</f>
        <v/>
      </c>
      <c r="AI315" s="191">
        <f>IF(AND(AF315&gt;=$F$16,AF314&lt;$F$16),J315,"")</f>
        <v/>
      </c>
      <c r="AJ315" s="191">
        <f>IF(AND(AF315&gt;=$F$17,AF314&lt;$F$17),J315,"")</f>
        <v/>
      </c>
    </row>
    <row r="316" outlineLevel="1" ht="18" customHeight="1" s="326">
      <c r="A316" s="181">
        <f>$A$39</f>
        <v/>
      </c>
      <c r="B316" s="191">
        <f>$B$39</f>
        <v/>
      </c>
      <c r="C316" s="187">
        <f>$C$39</f>
        <v/>
      </c>
      <c r="D316" s="191">
        <f>$D$39</f>
        <v/>
      </c>
      <c r="E316" s="181">
        <f>$E$39</f>
        <v/>
      </c>
      <c r="F316" s="184">
        <f>$F$39</f>
        <v/>
      </c>
      <c r="G316" s="188">
        <f>$G$39</f>
        <v/>
      </c>
      <c r="H316" s="184">
        <f>$H$39</f>
        <v/>
      </c>
      <c r="I316" s="188">
        <f>$J$17</f>
        <v/>
      </c>
      <c r="J316" s="191" t="n">
        <v>11</v>
      </c>
      <c r="K316" s="191">
        <f>('Model Inputs'!$B$22-1)+J316</f>
        <v/>
      </c>
      <c r="L316" s="184">
        <f>IF(J316=1,'Model Inputs'!$B$25*(13-'Model Inputs'!$B$23)/12,'Model Inputs'!$B$25)</f>
        <v/>
      </c>
      <c r="M316" s="184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/>
      </c>
      <c r="N316" s="188">
        <f>IF(J316&lt;=2,0,'Model Inputs'!$B$32*SIN(2*PI()*(J316-3+'Model Inputs'!$B$34)/MAX(1,'Model Inputs'!$B$33)))</f>
        <v/>
      </c>
      <c r="O316" s="184">
        <f>M316*(1+N316)</f>
        <v/>
      </c>
      <c r="P316" s="184">
        <f>0.75*O315+0.25*O314</f>
        <v/>
      </c>
      <c r="Q316" s="184">
        <f>L316+P316+IF(J316=1,'Model Inputs'!$B$26,0)</f>
        <v/>
      </c>
      <c r="R316" s="184">
        <f>IF(J316&lt;=B316,Q316,IF(J316&lt;=B316+$J$18,L316,(SUMIFS($L$51:$L$350,$A$51:$A$350,$A316,$J$51:$J$350,$B316)+SUMIFS($O$51:$O$350,$A$51:$A$350,$A316,$J$51:$J$350,$B316))*C316))</f>
        <v/>
      </c>
      <c r="S316" s="184">
        <f>H316+F316*G316*(1+I316)^MAX(0,J316-MAX(D316,B316+$J$18+1))</f>
        <v/>
      </c>
      <c r="T316" s="184">
        <f>IF(J316&gt;=MAX(D316,B316+$J$18+1),S316,R316)</f>
        <v/>
      </c>
      <c r="U316" s="184">
        <f>MIN(T316,'Tax Assumptions'!$B$19)</f>
        <v/>
      </c>
      <c r="V316" s="184">
        <f>MAX(T316-U316-'Tax Assumptions'!$B$8,0)</f>
        <v/>
      </c>
      <c r="W316" s="184">
        <f>MAX(T316-U316-'Tax Assumptions'!$B$9,0)</f>
        <v/>
      </c>
      <c r="X316" s="184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/>
      </c>
      <c r="Y316" s="184">
        <f>T316-U316-X316</f>
        <v/>
      </c>
      <c r="Z316" s="184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/>
      </c>
      <c r="AA316" s="184">
        <f>Y316-Z316</f>
        <v/>
      </c>
      <c r="AB316" s="184">
        <f>MIN(MAX(AA316,0),'Tax Assumptions'!$B$20)</f>
        <v/>
      </c>
      <c r="AC316" s="184">
        <f>AA316-AB316</f>
        <v/>
      </c>
      <c r="AD316" s="184">
        <f>MAX(AD315*(1+'Model Inputs'!$B$13)+AC316,0)</f>
        <v/>
      </c>
      <c r="AE316" s="184">
        <f>MAX(AE315*(1+'Model Inputs'!$B$13)+U316+AB316,0)</f>
        <v/>
      </c>
      <c r="AF316" s="184">
        <f>AD316+AE316</f>
        <v/>
      </c>
      <c r="AG316" s="191">
        <f>IF(AND(AF316&gt;=$F$14,AF315&lt;$F$14),J316,"")</f>
        <v/>
      </c>
      <c r="AH316" s="191">
        <f>IF(AND(AF316&gt;=$F$15,AF315&lt;$F$15),J316,"")</f>
        <v/>
      </c>
      <c r="AI316" s="191">
        <f>IF(AND(AF316&gt;=$F$16,AF315&lt;$F$16),J316,"")</f>
        <v/>
      </c>
      <c r="AJ316" s="191">
        <f>IF(AND(AF316&gt;=$F$17,AF315&lt;$F$17),J316,"")</f>
        <v/>
      </c>
    </row>
    <row r="317" outlineLevel="1" ht="18" customHeight="1" s="326">
      <c r="A317" s="181">
        <f>$A$39</f>
        <v/>
      </c>
      <c r="B317" s="191">
        <f>$B$39</f>
        <v/>
      </c>
      <c r="C317" s="187">
        <f>$C$39</f>
        <v/>
      </c>
      <c r="D317" s="191">
        <f>$D$39</f>
        <v/>
      </c>
      <c r="E317" s="181">
        <f>$E$39</f>
        <v/>
      </c>
      <c r="F317" s="184">
        <f>$F$39</f>
        <v/>
      </c>
      <c r="G317" s="188">
        <f>$G$39</f>
        <v/>
      </c>
      <c r="H317" s="184">
        <f>$H$39</f>
        <v/>
      </c>
      <c r="I317" s="188">
        <f>$J$17</f>
        <v/>
      </c>
      <c r="J317" s="191" t="n">
        <v>12</v>
      </c>
      <c r="K317" s="191">
        <f>('Model Inputs'!$B$22-1)+J317</f>
        <v/>
      </c>
      <c r="L317" s="184">
        <f>IF(J317=1,'Model Inputs'!$B$25*(13-'Model Inputs'!$B$23)/12,'Model Inputs'!$B$25)</f>
        <v/>
      </c>
      <c r="M317" s="184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/>
      </c>
      <c r="N317" s="188">
        <f>IF(J317&lt;=2,0,'Model Inputs'!$B$32*SIN(2*PI()*(J317-3+'Model Inputs'!$B$34)/MAX(1,'Model Inputs'!$B$33)))</f>
        <v/>
      </c>
      <c r="O317" s="184">
        <f>M317*(1+N317)</f>
        <v/>
      </c>
      <c r="P317" s="184">
        <f>0.75*O316+0.25*O315</f>
        <v/>
      </c>
      <c r="Q317" s="184">
        <f>L317+P317+IF(J317=1,'Model Inputs'!$B$26,0)</f>
        <v/>
      </c>
      <c r="R317" s="184">
        <f>IF(J317&lt;=B317,Q317,IF(J317&lt;=B317+$J$18,L317,(SUMIFS($L$51:$L$350,$A$51:$A$350,$A317,$J$51:$J$350,$B317)+SUMIFS($O$51:$O$350,$A$51:$A$350,$A317,$J$51:$J$350,$B317))*C317))</f>
        <v/>
      </c>
      <c r="S317" s="184">
        <f>H317+F317*G317*(1+I317)^MAX(0,J317-MAX(D317,B317+$J$18+1))</f>
        <v/>
      </c>
      <c r="T317" s="184">
        <f>IF(J317&gt;=MAX(D317,B317+$J$18+1),S317,R317)</f>
        <v/>
      </c>
      <c r="U317" s="184">
        <f>MIN(T317,'Tax Assumptions'!$B$19)</f>
        <v/>
      </c>
      <c r="V317" s="184">
        <f>MAX(T317-U317-'Tax Assumptions'!$B$8,0)</f>
        <v/>
      </c>
      <c r="W317" s="184">
        <f>MAX(T317-U317-'Tax Assumptions'!$B$9,0)</f>
        <v/>
      </c>
      <c r="X317" s="184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/>
      </c>
      <c r="Y317" s="184">
        <f>T317-U317-X317</f>
        <v/>
      </c>
      <c r="Z317" s="184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/>
      </c>
      <c r="AA317" s="184">
        <f>Y317-Z317</f>
        <v/>
      </c>
      <c r="AB317" s="184">
        <f>MIN(MAX(AA317,0),'Tax Assumptions'!$B$20)</f>
        <v/>
      </c>
      <c r="AC317" s="184">
        <f>AA317-AB317</f>
        <v/>
      </c>
      <c r="AD317" s="184">
        <f>MAX(AD316*(1+'Model Inputs'!$B$13)+AC317,0)</f>
        <v/>
      </c>
      <c r="AE317" s="184">
        <f>MAX(AE316*(1+'Model Inputs'!$B$13)+U317+AB317,0)</f>
        <v/>
      </c>
      <c r="AF317" s="184">
        <f>AD317+AE317</f>
        <v/>
      </c>
      <c r="AG317" s="191">
        <f>IF(AND(AF317&gt;=$F$14,AF316&lt;$F$14),J317,"")</f>
        <v/>
      </c>
      <c r="AH317" s="191">
        <f>IF(AND(AF317&gt;=$F$15,AF316&lt;$F$15),J317,"")</f>
        <v/>
      </c>
      <c r="AI317" s="191">
        <f>IF(AND(AF317&gt;=$F$16,AF316&lt;$F$16),J317,"")</f>
        <v/>
      </c>
      <c r="AJ317" s="191">
        <f>IF(AND(AF317&gt;=$F$17,AF316&lt;$F$17),J317,"")</f>
        <v/>
      </c>
    </row>
    <row r="318" outlineLevel="1" ht="18" customHeight="1" s="326">
      <c r="A318" s="181">
        <f>$A$39</f>
        <v/>
      </c>
      <c r="B318" s="191">
        <f>$B$39</f>
        <v/>
      </c>
      <c r="C318" s="187">
        <f>$C$39</f>
        <v/>
      </c>
      <c r="D318" s="191">
        <f>$D$39</f>
        <v/>
      </c>
      <c r="E318" s="181">
        <f>$E$39</f>
        <v/>
      </c>
      <c r="F318" s="184">
        <f>$F$39</f>
        <v/>
      </c>
      <c r="G318" s="188">
        <f>$G$39</f>
        <v/>
      </c>
      <c r="H318" s="184">
        <f>$H$39</f>
        <v/>
      </c>
      <c r="I318" s="188">
        <f>$J$17</f>
        <v/>
      </c>
      <c r="J318" s="191" t="n">
        <v>13</v>
      </c>
      <c r="K318" s="191">
        <f>('Model Inputs'!$B$22-1)+J318</f>
        <v/>
      </c>
      <c r="L318" s="184">
        <f>IF(J318=1,'Model Inputs'!$B$25*(13-'Model Inputs'!$B$23)/12,'Model Inputs'!$B$25)</f>
        <v/>
      </c>
      <c r="M318" s="184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/>
      </c>
      <c r="N318" s="188">
        <f>IF(J318&lt;=2,0,'Model Inputs'!$B$32*SIN(2*PI()*(J318-3+'Model Inputs'!$B$34)/MAX(1,'Model Inputs'!$B$33)))</f>
        <v/>
      </c>
      <c r="O318" s="184">
        <f>M318*(1+N318)</f>
        <v/>
      </c>
      <c r="P318" s="184">
        <f>0.75*O317+0.25*O316</f>
        <v/>
      </c>
      <c r="Q318" s="184">
        <f>L318+P318+IF(J318=1,'Model Inputs'!$B$26,0)</f>
        <v/>
      </c>
      <c r="R318" s="184">
        <f>IF(J318&lt;=B318,Q318,IF(J318&lt;=B318+$J$18,L318,(SUMIFS($L$51:$L$350,$A$51:$A$350,$A318,$J$51:$J$350,$B318)+SUMIFS($O$51:$O$350,$A$51:$A$350,$A318,$J$51:$J$350,$B318))*C318))</f>
        <v/>
      </c>
      <c r="S318" s="184">
        <f>H318+F318*G318*(1+I318)^MAX(0,J318-MAX(D318,B318+$J$18+1))</f>
        <v/>
      </c>
      <c r="T318" s="184">
        <f>IF(J318&gt;=MAX(D318,B318+$J$18+1),S318,R318)</f>
        <v/>
      </c>
      <c r="U318" s="184">
        <f>MIN(T318,'Tax Assumptions'!$B$19)</f>
        <v/>
      </c>
      <c r="V318" s="184">
        <f>MAX(T318-U318-'Tax Assumptions'!$B$8,0)</f>
        <v/>
      </c>
      <c r="W318" s="184">
        <f>MAX(T318-U318-'Tax Assumptions'!$B$9,0)</f>
        <v/>
      </c>
      <c r="X318" s="184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/>
      </c>
      <c r="Y318" s="184">
        <f>T318-U318-X318</f>
        <v/>
      </c>
      <c r="Z318" s="184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/>
      </c>
      <c r="AA318" s="184">
        <f>Y318-Z318</f>
        <v/>
      </c>
      <c r="AB318" s="184">
        <f>MIN(MAX(AA318,0),'Tax Assumptions'!$B$20)</f>
        <v/>
      </c>
      <c r="AC318" s="184">
        <f>AA318-AB318</f>
        <v/>
      </c>
      <c r="AD318" s="184">
        <f>MAX(AD317*(1+'Model Inputs'!$B$13)+AC318,0)</f>
        <v/>
      </c>
      <c r="AE318" s="184">
        <f>MAX(AE317*(1+'Model Inputs'!$B$13)+U318+AB318,0)</f>
        <v/>
      </c>
      <c r="AF318" s="184">
        <f>AD318+AE318</f>
        <v/>
      </c>
      <c r="AG318" s="191">
        <f>IF(AND(AF318&gt;=$F$14,AF317&lt;$F$14),J318,"")</f>
        <v/>
      </c>
      <c r="AH318" s="191">
        <f>IF(AND(AF318&gt;=$F$15,AF317&lt;$F$15),J318,"")</f>
        <v/>
      </c>
      <c r="AI318" s="191">
        <f>IF(AND(AF318&gt;=$F$16,AF317&lt;$F$16),J318,"")</f>
        <v/>
      </c>
      <c r="AJ318" s="191">
        <f>IF(AND(AF318&gt;=$F$17,AF317&lt;$F$17),J318,"")</f>
        <v/>
      </c>
    </row>
    <row r="319" outlineLevel="1" ht="18" customHeight="1" s="326">
      <c r="A319" s="181">
        <f>$A$39</f>
        <v/>
      </c>
      <c r="B319" s="191">
        <f>$B$39</f>
        <v/>
      </c>
      <c r="C319" s="187">
        <f>$C$39</f>
        <v/>
      </c>
      <c r="D319" s="191">
        <f>$D$39</f>
        <v/>
      </c>
      <c r="E319" s="181">
        <f>$E$39</f>
        <v/>
      </c>
      <c r="F319" s="184">
        <f>$F$39</f>
        <v/>
      </c>
      <c r="G319" s="188">
        <f>$G$39</f>
        <v/>
      </c>
      <c r="H319" s="184">
        <f>$H$39</f>
        <v/>
      </c>
      <c r="I319" s="188">
        <f>$J$17</f>
        <v/>
      </c>
      <c r="J319" s="191" t="n">
        <v>14</v>
      </c>
      <c r="K319" s="191">
        <f>('Model Inputs'!$B$22-1)+J319</f>
        <v/>
      </c>
      <c r="L319" s="184">
        <f>IF(J319=1,'Model Inputs'!$B$25*(13-'Model Inputs'!$B$23)/12,'Model Inputs'!$B$25)</f>
        <v/>
      </c>
      <c r="M319" s="184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/>
      </c>
      <c r="N319" s="188">
        <f>IF(J319&lt;=2,0,'Model Inputs'!$B$32*SIN(2*PI()*(J319-3+'Model Inputs'!$B$34)/MAX(1,'Model Inputs'!$B$33)))</f>
        <v/>
      </c>
      <c r="O319" s="184">
        <f>M319*(1+N319)</f>
        <v/>
      </c>
      <c r="P319" s="184">
        <f>0.75*O318+0.25*O317</f>
        <v/>
      </c>
      <c r="Q319" s="184">
        <f>L319+P319+IF(J319=1,'Model Inputs'!$B$26,0)</f>
        <v/>
      </c>
      <c r="R319" s="184">
        <f>IF(J319&lt;=B319,Q319,IF(J319&lt;=B319+$J$18,L319,(SUMIFS($L$51:$L$350,$A$51:$A$350,$A319,$J$51:$J$350,$B319)+SUMIFS($O$51:$O$350,$A$51:$A$350,$A319,$J$51:$J$350,$B319))*C319))</f>
        <v/>
      </c>
      <c r="S319" s="184">
        <f>H319+F319*G319*(1+I319)^MAX(0,J319-MAX(D319,B319+$J$18+1))</f>
        <v/>
      </c>
      <c r="T319" s="184">
        <f>IF(J319&gt;=MAX(D319,B319+$J$18+1),S319,R319)</f>
        <v/>
      </c>
      <c r="U319" s="184">
        <f>MIN(T319,'Tax Assumptions'!$B$19)</f>
        <v/>
      </c>
      <c r="V319" s="184">
        <f>MAX(T319-U319-'Tax Assumptions'!$B$8,0)</f>
        <v/>
      </c>
      <c r="W319" s="184">
        <f>MAX(T319-U319-'Tax Assumptions'!$B$9,0)</f>
        <v/>
      </c>
      <c r="X319" s="184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/>
      </c>
      <c r="Y319" s="184">
        <f>T319-U319-X319</f>
        <v/>
      </c>
      <c r="Z319" s="184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/>
      </c>
      <c r="AA319" s="184">
        <f>Y319-Z319</f>
        <v/>
      </c>
      <c r="AB319" s="184">
        <f>MIN(MAX(AA319,0),'Tax Assumptions'!$B$20)</f>
        <v/>
      </c>
      <c r="AC319" s="184">
        <f>AA319-AB319</f>
        <v/>
      </c>
      <c r="AD319" s="184">
        <f>MAX(AD318*(1+'Model Inputs'!$B$13)+AC319,0)</f>
        <v/>
      </c>
      <c r="AE319" s="184">
        <f>MAX(AE318*(1+'Model Inputs'!$B$13)+U319+AB319,0)</f>
        <v/>
      </c>
      <c r="AF319" s="184">
        <f>AD319+AE319</f>
        <v/>
      </c>
      <c r="AG319" s="191">
        <f>IF(AND(AF319&gt;=$F$14,AF318&lt;$F$14),J319,"")</f>
        <v/>
      </c>
      <c r="AH319" s="191">
        <f>IF(AND(AF319&gt;=$F$15,AF318&lt;$F$15),J319,"")</f>
        <v/>
      </c>
      <c r="AI319" s="191">
        <f>IF(AND(AF319&gt;=$F$16,AF318&lt;$F$16),J319,"")</f>
        <v/>
      </c>
      <c r="AJ319" s="191">
        <f>IF(AND(AF319&gt;=$F$17,AF318&lt;$F$17),J319,"")</f>
        <v/>
      </c>
    </row>
    <row r="320" outlineLevel="1" ht="18" customHeight="1" s="326">
      <c r="A320" s="181">
        <f>$A$39</f>
        <v/>
      </c>
      <c r="B320" s="191">
        <f>$B$39</f>
        <v/>
      </c>
      <c r="C320" s="187">
        <f>$C$39</f>
        <v/>
      </c>
      <c r="D320" s="191">
        <f>$D$39</f>
        <v/>
      </c>
      <c r="E320" s="181">
        <f>$E$39</f>
        <v/>
      </c>
      <c r="F320" s="184">
        <f>$F$39</f>
        <v/>
      </c>
      <c r="G320" s="188">
        <f>$G$39</f>
        <v/>
      </c>
      <c r="H320" s="184">
        <f>$H$39</f>
        <v/>
      </c>
      <c r="I320" s="188">
        <f>$J$17</f>
        <v/>
      </c>
      <c r="J320" s="191" t="n">
        <v>15</v>
      </c>
      <c r="K320" s="191">
        <f>('Model Inputs'!$B$22-1)+J320</f>
        <v/>
      </c>
      <c r="L320" s="184">
        <f>IF(J320=1,'Model Inputs'!$B$25*(13-'Model Inputs'!$B$23)/12,'Model Inputs'!$B$25)</f>
        <v/>
      </c>
      <c r="M320" s="184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/>
      </c>
      <c r="N320" s="188">
        <f>IF(J320&lt;=2,0,'Model Inputs'!$B$32*SIN(2*PI()*(J320-3+'Model Inputs'!$B$34)/MAX(1,'Model Inputs'!$B$33)))</f>
        <v/>
      </c>
      <c r="O320" s="184">
        <f>M320*(1+N320)</f>
        <v/>
      </c>
      <c r="P320" s="184">
        <f>0.75*O319+0.25*O318</f>
        <v/>
      </c>
      <c r="Q320" s="184">
        <f>L320+P320+IF(J320=1,'Model Inputs'!$B$26,0)</f>
        <v/>
      </c>
      <c r="R320" s="184">
        <f>IF(J320&lt;=B320,Q320,IF(J320&lt;=B320+$J$18,L320,(SUMIFS($L$51:$L$350,$A$51:$A$350,$A320,$J$51:$J$350,$B320)+SUMIFS($O$51:$O$350,$A$51:$A$350,$A320,$J$51:$J$350,$B320))*C320))</f>
        <v/>
      </c>
      <c r="S320" s="184">
        <f>H320+F320*G320*(1+I320)^MAX(0,J320-MAX(D320,B320+$J$18+1))</f>
        <v/>
      </c>
      <c r="T320" s="184">
        <f>IF(J320&gt;=MAX(D320,B320+$J$18+1),S320,R320)</f>
        <v/>
      </c>
      <c r="U320" s="184">
        <f>MIN(T320,'Tax Assumptions'!$B$19)</f>
        <v/>
      </c>
      <c r="V320" s="184">
        <f>MAX(T320-U320-'Tax Assumptions'!$B$8,0)</f>
        <v/>
      </c>
      <c r="W320" s="184">
        <f>MAX(T320-U320-'Tax Assumptions'!$B$9,0)</f>
        <v/>
      </c>
      <c r="X320" s="184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/>
      </c>
      <c r="Y320" s="184">
        <f>T320-U320-X320</f>
        <v/>
      </c>
      <c r="Z320" s="184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/>
      </c>
      <c r="AA320" s="184">
        <f>Y320-Z320</f>
        <v/>
      </c>
      <c r="AB320" s="184">
        <f>MIN(MAX(AA320,0),'Tax Assumptions'!$B$20)</f>
        <v/>
      </c>
      <c r="AC320" s="184">
        <f>AA320-AB320</f>
        <v/>
      </c>
      <c r="AD320" s="184">
        <f>MAX(AD319*(1+'Model Inputs'!$B$13)+AC320,0)</f>
        <v/>
      </c>
      <c r="AE320" s="184">
        <f>MAX(AE319*(1+'Model Inputs'!$B$13)+U320+AB320,0)</f>
        <v/>
      </c>
      <c r="AF320" s="184">
        <f>AD320+AE320</f>
        <v/>
      </c>
      <c r="AG320" s="191">
        <f>IF(AND(AF320&gt;=$F$14,AF319&lt;$F$14),J320,"")</f>
        <v/>
      </c>
      <c r="AH320" s="191">
        <f>IF(AND(AF320&gt;=$F$15,AF319&lt;$F$15),J320,"")</f>
        <v/>
      </c>
      <c r="AI320" s="191">
        <f>IF(AND(AF320&gt;=$F$16,AF319&lt;$F$16),J320,"")</f>
        <v/>
      </c>
      <c r="AJ320" s="191">
        <f>IF(AND(AF320&gt;=$F$17,AF319&lt;$F$17),J320,"")</f>
        <v/>
      </c>
    </row>
    <row r="321" outlineLevel="1" ht="18" customHeight="1" s="326">
      <c r="A321" s="181">
        <f>$A$40</f>
        <v/>
      </c>
      <c r="B321" s="191">
        <f>$B$40</f>
        <v/>
      </c>
      <c r="C321" s="187">
        <f>$C$40</f>
        <v/>
      </c>
      <c r="D321" s="191">
        <f>$D$40</f>
        <v/>
      </c>
      <c r="E321" s="181">
        <f>$E$40</f>
        <v/>
      </c>
      <c r="F321" s="184">
        <f>$F$40</f>
        <v/>
      </c>
      <c r="G321" s="188">
        <f>$G$40</f>
        <v/>
      </c>
      <c r="H321" s="184">
        <f>$H$40</f>
        <v/>
      </c>
      <c r="I321" s="188">
        <f>$J$17</f>
        <v/>
      </c>
      <c r="J321" s="191" t="n">
        <v>1</v>
      </c>
      <c r="K321" s="191">
        <f>('Model Inputs'!$B$22-1)+J321</f>
        <v/>
      </c>
      <c r="L321" s="184">
        <f>IF(J321=1,'Model Inputs'!$B$25*(13-'Model Inputs'!$B$23)/12,'Model Inputs'!$B$25)</f>
        <v/>
      </c>
      <c r="M321" s="184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/>
      </c>
      <c r="N321" s="188">
        <f>IF(J321&lt;=2,0,'Model Inputs'!$B$32*SIN(2*PI()*(J321-3+'Model Inputs'!$B$34)/MAX(1,'Model Inputs'!$B$33)))</f>
        <v/>
      </c>
      <c r="O321" s="184">
        <f>M321*(1+N321)</f>
        <v/>
      </c>
      <c r="P321" s="184">
        <f>0</f>
        <v/>
      </c>
      <c r="Q321" s="184">
        <f>L321+P321+IF(J321=1,'Model Inputs'!$B$26,0)</f>
        <v/>
      </c>
      <c r="R321" s="184">
        <f>IF(J321&lt;=B321,Q321,IF(J321&lt;=B321+$J$18,L321,(SUMIFS($L$51:$L$350,$A$51:$A$350,$A321,$J$51:$J$350,$B321)+SUMIFS($O$51:$O$350,$A$51:$A$350,$A321,$J$51:$J$350,$B321))*C321))</f>
        <v/>
      </c>
      <c r="S321" s="184">
        <f>H321+F321*G321*(1+I321)^MAX(0,J321-MAX(D321,B321+$J$18+1))</f>
        <v/>
      </c>
      <c r="T321" s="184">
        <f>IF(J321&gt;=MAX(D321,B321+$J$18+1),S321,R321)</f>
        <v/>
      </c>
      <c r="U321" s="184">
        <f>MIN(T321,'Tax Assumptions'!$B$19)</f>
        <v/>
      </c>
      <c r="V321" s="184">
        <f>MAX(T321-U321-'Tax Assumptions'!$B$8,0)</f>
        <v/>
      </c>
      <c r="W321" s="184">
        <f>MAX(T321-U321-'Tax Assumptions'!$B$9,0)</f>
        <v/>
      </c>
      <c r="X321" s="184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/>
      </c>
      <c r="Y321" s="184">
        <f>T321-U321-X321</f>
        <v/>
      </c>
      <c r="Z321" s="184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/>
      </c>
      <c r="AA321" s="184">
        <f>Y321-Z321</f>
        <v/>
      </c>
      <c r="AB321" s="184">
        <f>MIN(MAX(AA321,0),'Tax Assumptions'!$B$20)</f>
        <v/>
      </c>
      <c r="AC321" s="184">
        <f>AA321-AB321</f>
        <v/>
      </c>
      <c r="AD321" s="184">
        <f>MAX('Model Inputs'!$B$7*(1+'Model Inputs'!$B$13)+AC321,0)</f>
        <v/>
      </c>
      <c r="AE321" s="184">
        <f>MAX(('Model Inputs'!$B$8+'Model Inputs'!$B$9+'Model Inputs'!$B$10)*(1+'Model Inputs'!$B$13)+U321+AB321,0)</f>
        <v/>
      </c>
      <c r="AF321" s="184">
        <f>AD321+AE321</f>
        <v/>
      </c>
      <c r="AG321" s="191">
        <f>IF(AND(AF321&gt;=$F$14,0&lt;$F$14),J321,"")</f>
        <v/>
      </c>
      <c r="AH321" s="191">
        <f>IF(AND(AF321&gt;=$F$15,0&lt;$F$15),J321,"")</f>
        <v/>
      </c>
      <c r="AI321" s="191">
        <f>IF(AND(AF321&gt;=$F$16,0&lt;$F$16),J321,"")</f>
        <v/>
      </c>
      <c r="AJ321" s="191">
        <f>IF(AND(AF321&gt;=$F$17,0&lt;$F$17),J321,"")</f>
        <v/>
      </c>
    </row>
    <row r="322" outlineLevel="1" ht="18" customHeight="1" s="326">
      <c r="A322" s="181">
        <f>$A$40</f>
        <v/>
      </c>
      <c r="B322" s="191">
        <f>$B$40</f>
        <v/>
      </c>
      <c r="C322" s="187">
        <f>$C$40</f>
        <v/>
      </c>
      <c r="D322" s="191">
        <f>$D$40</f>
        <v/>
      </c>
      <c r="E322" s="181">
        <f>$E$40</f>
        <v/>
      </c>
      <c r="F322" s="184">
        <f>$F$40</f>
        <v/>
      </c>
      <c r="G322" s="188">
        <f>$G$40</f>
        <v/>
      </c>
      <c r="H322" s="184">
        <f>$H$40</f>
        <v/>
      </c>
      <c r="I322" s="188">
        <f>$J$17</f>
        <v/>
      </c>
      <c r="J322" s="191" t="n">
        <v>2</v>
      </c>
      <c r="K322" s="191">
        <f>('Model Inputs'!$B$22-1)+J322</f>
        <v/>
      </c>
      <c r="L322" s="184">
        <f>IF(J322=1,'Model Inputs'!$B$25*(13-'Model Inputs'!$B$23)/12,'Model Inputs'!$B$25)</f>
        <v/>
      </c>
      <c r="M322" s="184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/>
      </c>
      <c r="N322" s="188">
        <f>IF(J322&lt;=2,0,'Model Inputs'!$B$32*SIN(2*PI()*(J322-3+'Model Inputs'!$B$34)/MAX(1,'Model Inputs'!$B$33)))</f>
        <v/>
      </c>
      <c r="O322" s="184">
        <f>M322*(1+N322)</f>
        <v/>
      </c>
      <c r="P322" s="184">
        <f>0.75*O321</f>
        <v/>
      </c>
      <c r="Q322" s="184">
        <f>L322+P322+IF(J322=1,'Model Inputs'!$B$26,0)</f>
        <v/>
      </c>
      <c r="R322" s="184">
        <f>IF(J322&lt;=B322,Q322,IF(J322&lt;=B322+$J$18,L322,(SUMIFS($L$51:$L$350,$A$51:$A$350,$A322,$J$51:$J$350,$B322)+SUMIFS($O$51:$O$350,$A$51:$A$350,$A322,$J$51:$J$350,$B322))*C322))</f>
        <v/>
      </c>
      <c r="S322" s="184">
        <f>H322+F322*G322*(1+I322)^MAX(0,J322-MAX(D322,B322+$J$18+1))</f>
        <v/>
      </c>
      <c r="T322" s="184">
        <f>IF(J322&gt;=MAX(D322,B322+$J$18+1),S322,R322)</f>
        <v/>
      </c>
      <c r="U322" s="184">
        <f>MIN(T322,'Tax Assumptions'!$B$19)</f>
        <v/>
      </c>
      <c r="V322" s="184">
        <f>MAX(T322-U322-'Tax Assumptions'!$B$8,0)</f>
        <v/>
      </c>
      <c r="W322" s="184">
        <f>MAX(T322-U322-'Tax Assumptions'!$B$9,0)</f>
        <v/>
      </c>
      <c r="X322" s="184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/>
      </c>
      <c r="Y322" s="184">
        <f>T322-U322-X322</f>
        <v/>
      </c>
      <c r="Z322" s="184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/>
      </c>
      <c r="AA322" s="184">
        <f>Y322-Z322</f>
        <v/>
      </c>
      <c r="AB322" s="184">
        <f>MIN(MAX(AA322,0),'Tax Assumptions'!$B$20)</f>
        <v/>
      </c>
      <c r="AC322" s="184">
        <f>AA322-AB322</f>
        <v/>
      </c>
      <c r="AD322" s="184">
        <f>MAX(AD321*(1+'Model Inputs'!$B$13)+AC322,0)</f>
        <v/>
      </c>
      <c r="AE322" s="184">
        <f>MAX(AE321*(1+'Model Inputs'!$B$13)+U322+AB322,0)</f>
        <v/>
      </c>
      <c r="AF322" s="184">
        <f>AD322+AE322</f>
        <v/>
      </c>
      <c r="AG322" s="191">
        <f>IF(AND(AF322&gt;=$F$14,AF321&lt;$F$14),J322,"")</f>
        <v/>
      </c>
      <c r="AH322" s="191">
        <f>IF(AND(AF322&gt;=$F$15,AF321&lt;$F$15),J322,"")</f>
        <v/>
      </c>
      <c r="AI322" s="191">
        <f>IF(AND(AF322&gt;=$F$16,AF321&lt;$F$16),J322,"")</f>
        <v/>
      </c>
      <c r="AJ322" s="191">
        <f>IF(AND(AF322&gt;=$F$17,AF321&lt;$F$17),J322,"")</f>
        <v/>
      </c>
    </row>
    <row r="323" outlineLevel="1" ht="18" customHeight="1" s="326">
      <c r="A323" s="181">
        <f>$A$40</f>
        <v/>
      </c>
      <c r="B323" s="191">
        <f>$B$40</f>
        <v/>
      </c>
      <c r="C323" s="187">
        <f>$C$40</f>
        <v/>
      </c>
      <c r="D323" s="191">
        <f>$D$40</f>
        <v/>
      </c>
      <c r="E323" s="181">
        <f>$E$40</f>
        <v/>
      </c>
      <c r="F323" s="184">
        <f>$F$40</f>
        <v/>
      </c>
      <c r="G323" s="188">
        <f>$G$40</f>
        <v/>
      </c>
      <c r="H323" s="184">
        <f>$H$40</f>
        <v/>
      </c>
      <c r="I323" s="188">
        <f>$J$17</f>
        <v/>
      </c>
      <c r="J323" s="191" t="n">
        <v>3</v>
      </c>
      <c r="K323" s="191">
        <f>('Model Inputs'!$B$22-1)+J323</f>
        <v/>
      </c>
      <c r="L323" s="184">
        <f>IF(J323=1,'Model Inputs'!$B$25*(13-'Model Inputs'!$B$23)/12,'Model Inputs'!$B$25)</f>
        <v/>
      </c>
      <c r="M323" s="184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/>
      </c>
      <c r="N323" s="188">
        <f>IF(J323&lt;=2,0,'Model Inputs'!$B$32*SIN(2*PI()*(J323-3+'Model Inputs'!$B$34)/MAX(1,'Model Inputs'!$B$33)))</f>
        <v/>
      </c>
      <c r="O323" s="184">
        <f>M323*(1+N323)</f>
        <v/>
      </c>
      <c r="P323" s="184">
        <f>0.75*O322+0.25*O321</f>
        <v/>
      </c>
      <c r="Q323" s="184">
        <f>L323+P323+IF(J323=1,'Model Inputs'!$B$26,0)</f>
        <v/>
      </c>
      <c r="R323" s="184">
        <f>IF(J323&lt;=B323,Q323,IF(J323&lt;=B323+$J$18,L323,(SUMIFS($L$51:$L$350,$A$51:$A$350,$A323,$J$51:$J$350,$B323)+SUMIFS($O$51:$O$350,$A$51:$A$350,$A323,$J$51:$J$350,$B323))*C323))</f>
        <v/>
      </c>
      <c r="S323" s="184">
        <f>H323+F323*G323*(1+I323)^MAX(0,J323-MAX(D323,B323+$J$18+1))</f>
        <v/>
      </c>
      <c r="T323" s="184">
        <f>IF(J323&gt;=MAX(D323,B323+$J$18+1),S323,R323)</f>
        <v/>
      </c>
      <c r="U323" s="184">
        <f>MIN(T323,'Tax Assumptions'!$B$19)</f>
        <v/>
      </c>
      <c r="V323" s="184">
        <f>MAX(T323-U323-'Tax Assumptions'!$B$8,0)</f>
        <v/>
      </c>
      <c r="W323" s="184">
        <f>MAX(T323-U323-'Tax Assumptions'!$B$9,0)</f>
        <v/>
      </c>
      <c r="X323" s="184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/>
      </c>
      <c r="Y323" s="184">
        <f>T323-U323-X323</f>
        <v/>
      </c>
      <c r="Z323" s="184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/>
      </c>
      <c r="AA323" s="184">
        <f>Y323-Z323</f>
        <v/>
      </c>
      <c r="AB323" s="184">
        <f>MIN(MAX(AA323,0),'Tax Assumptions'!$B$20)</f>
        <v/>
      </c>
      <c r="AC323" s="184">
        <f>AA323-AB323</f>
        <v/>
      </c>
      <c r="AD323" s="184">
        <f>MAX(AD322*(1+'Model Inputs'!$B$13)+AC323,0)</f>
        <v/>
      </c>
      <c r="AE323" s="184">
        <f>MAX(AE322*(1+'Model Inputs'!$B$13)+U323+AB323,0)</f>
        <v/>
      </c>
      <c r="AF323" s="184">
        <f>AD323+AE323</f>
        <v/>
      </c>
      <c r="AG323" s="191">
        <f>IF(AND(AF323&gt;=$F$14,AF322&lt;$F$14),J323,"")</f>
        <v/>
      </c>
      <c r="AH323" s="191">
        <f>IF(AND(AF323&gt;=$F$15,AF322&lt;$F$15),J323,"")</f>
        <v/>
      </c>
      <c r="AI323" s="191">
        <f>IF(AND(AF323&gt;=$F$16,AF322&lt;$F$16),J323,"")</f>
        <v/>
      </c>
      <c r="AJ323" s="191">
        <f>IF(AND(AF323&gt;=$F$17,AF322&lt;$F$17),J323,"")</f>
        <v/>
      </c>
    </row>
    <row r="324" outlineLevel="1" ht="18" customHeight="1" s="326">
      <c r="A324" s="181">
        <f>$A$40</f>
        <v/>
      </c>
      <c r="B324" s="191">
        <f>$B$40</f>
        <v/>
      </c>
      <c r="C324" s="187">
        <f>$C$40</f>
        <v/>
      </c>
      <c r="D324" s="191">
        <f>$D$40</f>
        <v/>
      </c>
      <c r="E324" s="181">
        <f>$E$40</f>
        <v/>
      </c>
      <c r="F324" s="184">
        <f>$F$40</f>
        <v/>
      </c>
      <c r="G324" s="188">
        <f>$G$40</f>
        <v/>
      </c>
      <c r="H324" s="184">
        <f>$H$40</f>
        <v/>
      </c>
      <c r="I324" s="188">
        <f>$J$17</f>
        <v/>
      </c>
      <c r="J324" s="191" t="n">
        <v>4</v>
      </c>
      <c r="K324" s="191">
        <f>('Model Inputs'!$B$22-1)+J324</f>
        <v/>
      </c>
      <c r="L324" s="184">
        <f>IF(J324=1,'Model Inputs'!$B$25*(13-'Model Inputs'!$B$23)/12,'Model Inputs'!$B$25)</f>
        <v/>
      </c>
      <c r="M324" s="184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/>
      </c>
      <c r="N324" s="188">
        <f>IF(J324&lt;=2,0,'Model Inputs'!$B$32*SIN(2*PI()*(J324-3+'Model Inputs'!$B$34)/MAX(1,'Model Inputs'!$B$33)))</f>
        <v/>
      </c>
      <c r="O324" s="184">
        <f>M324*(1+N324)</f>
        <v/>
      </c>
      <c r="P324" s="184">
        <f>0.75*O323+0.25*O322</f>
        <v/>
      </c>
      <c r="Q324" s="184">
        <f>L324+P324+IF(J324=1,'Model Inputs'!$B$26,0)</f>
        <v/>
      </c>
      <c r="R324" s="184">
        <f>IF(J324&lt;=B324,Q324,IF(J324&lt;=B324+$J$18,L324,(SUMIFS($L$51:$L$350,$A$51:$A$350,$A324,$J$51:$J$350,$B324)+SUMIFS($O$51:$O$350,$A$51:$A$350,$A324,$J$51:$J$350,$B324))*C324))</f>
        <v/>
      </c>
      <c r="S324" s="184">
        <f>H324+F324*G324*(1+I324)^MAX(0,J324-MAX(D324,B324+$J$18+1))</f>
        <v/>
      </c>
      <c r="T324" s="184">
        <f>IF(J324&gt;=MAX(D324,B324+$J$18+1),S324,R324)</f>
        <v/>
      </c>
      <c r="U324" s="184">
        <f>MIN(T324,'Tax Assumptions'!$B$19)</f>
        <v/>
      </c>
      <c r="V324" s="184">
        <f>MAX(T324-U324-'Tax Assumptions'!$B$8,0)</f>
        <v/>
      </c>
      <c r="W324" s="184">
        <f>MAX(T324-U324-'Tax Assumptions'!$B$9,0)</f>
        <v/>
      </c>
      <c r="X324" s="184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/>
      </c>
      <c r="Y324" s="184">
        <f>T324-U324-X324</f>
        <v/>
      </c>
      <c r="Z324" s="184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/>
      </c>
      <c r="AA324" s="184">
        <f>Y324-Z324</f>
        <v/>
      </c>
      <c r="AB324" s="184">
        <f>MIN(MAX(AA324,0),'Tax Assumptions'!$B$20)</f>
        <v/>
      </c>
      <c r="AC324" s="184">
        <f>AA324-AB324</f>
        <v/>
      </c>
      <c r="AD324" s="184">
        <f>MAX(AD323*(1+'Model Inputs'!$B$13)+AC324,0)</f>
        <v/>
      </c>
      <c r="AE324" s="184">
        <f>MAX(AE323*(1+'Model Inputs'!$B$13)+U324+AB324,0)</f>
        <v/>
      </c>
      <c r="AF324" s="184">
        <f>AD324+AE324</f>
        <v/>
      </c>
      <c r="AG324" s="191">
        <f>IF(AND(AF324&gt;=$F$14,AF323&lt;$F$14),J324,"")</f>
        <v/>
      </c>
      <c r="AH324" s="191">
        <f>IF(AND(AF324&gt;=$F$15,AF323&lt;$F$15),J324,"")</f>
        <v/>
      </c>
      <c r="AI324" s="191">
        <f>IF(AND(AF324&gt;=$F$16,AF323&lt;$F$16),J324,"")</f>
        <v/>
      </c>
      <c r="AJ324" s="191">
        <f>IF(AND(AF324&gt;=$F$17,AF323&lt;$F$17),J324,"")</f>
        <v/>
      </c>
    </row>
    <row r="325" outlineLevel="1" ht="18" customHeight="1" s="326">
      <c r="A325" s="181">
        <f>$A$40</f>
        <v/>
      </c>
      <c r="B325" s="191">
        <f>$B$40</f>
        <v/>
      </c>
      <c r="C325" s="187">
        <f>$C$40</f>
        <v/>
      </c>
      <c r="D325" s="191">
        <f>$D$40</f>
        <v/>
      </c>
      <c r="E325" s="181">
        <f>$E$40</f>
        <v/>
      </c>
      <c r="F325" s="184">
        <f>$F$40</f>
        <v/>
      </c>
      <c r="G325" s="188">
        <f>$G$40</f>
        <v/>
      </c>
      <c r="H325" s="184">
        <f>$H$40</f>
        <v/>
      </c>
      <c r="I325" s="188">
        <f>$J$17</f>
        <v/>
      </c>
      <c r="J325" s="191" t="n">
        <v>5</v>
      </c>
      <c r="K325" s="191">
        <f>('Model Inputs'!$B$22-1)+J325</f>
        <v/>
      </c>
      <c r="L325" s="184">
        <f>IF(J325=1,'Model Inputs'!$B$25*(13-'Model Inputs'!$B$23)/12,'Model Inputs'!$B$25)</f>
        <v/>
      </c>
      <c r="M325" s="184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/>
      </c>
      <c r="N325" s="188">
        <f>IF(J325&lt;=2,0,'Model Inputs'!$B$32*SIN(2*PI()*(J325-3+'Model Inputs'!$B$34)/MAX(1,'Model Inputs'!$B$33)))</f>
        <v/>
      </c>
      <c r="O325" s="184">
        <f>M325*(1+N325)</f>
        <v/>
      </c>
      <c r="P325" s="184">
        <f>0.75*O324+0.25*O323</f>
        <v/>
      </c>
      <c r="Q325" s="184">
        <f>L325+P325+IF(J325=1,'Model Inputs'!$B$26,0)</f>
        <v/>
      </c>
      <c r="R325" s="184">
        <f>IF(J325&lt;=B325,Q325,IF(J325&lt;=B325+$J$18,L325,(SUMIFS($L$51:$L$350,$A$51:$A$350,$A325,$J$51:$J$350,$B325)+SUMIFS($O$51:$O$350,$A$51:$A$350,$A325,$J$51:$J$350,$B325))*C325))</f>
        <v/>
      </c>
      <c r="S325" s="184">
        <f>H325+F325*G325*(1+I325)^MAX(0,J325-MAX(D325,B325+$J$18+1))</f>
        <v/>
      </c>
      <c r="T325" s="184">
        <f>IF(J325&gt;=MAX(D325,B325+$J$18+1),S325,R325)</f>
        <v/>
      </c>
      <c r="U325" s="184">
        <f>MIN(T325,'Tax Assumptions'!$B$19)</f>
        <v/>
      </c>
      <c r="V325" s="184">
        <f>MAX(T325-U325-'Tax Assumptions'!$B$8,0)</f>
        <v/>
      </c>
      <c r="W325" s="184">
        <f>MAX(T325-U325-'Tax Assumptions'!$B$9,0)</f>
        <v/>
      </c>
      <c r="X325" s="184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/>
      </c>
      <c r="Y325" s="184">
        <f>T325-U325-X325</f>
        <v/>
      </c>
      <c r="Z325" s="184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/>
      </c>
      <c r="AA325" s="184">
        <f>Y325-Z325</f>
        <v/>
      </c>
      <c r="AB325" s="184">
        <f>MIN(MAX(AA325,0),'Tax Assumptions'!$B$20)</f>
        <v/>
      </c>
      <c r="AC325" s="184">
        <f>AA325-AB325</f>
        <v/>
      </c>
      <c r="AD325" s="184">
        <f>MAX(AD324*(1+'Model Inputs'!$B$13)+AC325,0)</f>
        <v/>
      </c>
      <c r="AE325" s="184">
        <f>MAX(AE324*(1+'Model Inputs'!$B$13)+U325+AB325,0)</f>
        <v/>
      </c>
      <c r="AF325" s="184">
        <f>AD325+AE325</f>
        <v/>
      </c>
      <c r="AG325" s="191">
        <f>IF(AND(AF325&gt;=$F$14,AF324&lt;$F$14),J325,"")</f>
        <v/>
      </c>
      <c r="AH325" s="191">
        <f>IF(AND(AF325&gt;=$F$15,AF324&lt;$F$15),J325,"")</f>
        <v/>
      </c>
      <c r="AI325" s="191">
        <f>IF(AND(AF325&gt;=$F$16,AF324&lt;$F$16),J325,"")</f>
        <v/>
      </c>
      <c r="AJ325" s="191">
        <f>IF(AND(AF325&gt;=$F$17,AF324&lt;$F$17),J325,"")</f>
        <v/>
      </c>
    </row>
    <row r="326" outlineLevel="1" ht="18" customHeight="1" s="326">
      <c r="A326" s="181">
        <f>$A$40</f>
        <v/>
      </c>
      <c r="B326" s="191">
        <f>$B$40</f>
        <v/>
      </c>
      <c r="C326" s="187">
        <f>$C$40</f>
        <v/>
      </c>
      <c r="D326" s="191">
        <f>$D$40</f>
        <v/>
      </c>
      <c r="E326" s="181">
        <f>$E$40</f>
        <v/>
      </c>
      <c r="F326" s="184">
        <f>$F$40</f>
        <v/>
      </c>
      <c r="G326" s="188">
        <f>$G$40</f>
        <v/>
      </c>
      <c r="H326" s="184">
        <f>$H$40</f>
        <v/>
      </c>
      <c r="I326" s="188">
        <f>$J$17</f>
        <v/>
      </c>
      <c r="J326" s="191" t="n">
        <v>6</v>
      </c>
      <c r="K326" s="191">
        <f>('Model Inputs'!$B$22-1)+J326</f>
        <v/>
      </c>
      <c r="L326" s="184">
        <f>IF(J326=1,'Model Inputs'!$B$25*(13-'Model Inputs'!$B$23)/12,'Model Inputs'!$B$25)</f>
        <v/>
      </c>
      <c r="M326" s="184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/>
      </c>
      <c r="N326" s="188">
        <f>IF(J326&lt;=2,0,'Model Inputs'!$B$32*SIN(2*PI()*(J326-3+'Model Inputs'!$B$34)/MAX(1,'Model Inputs'!$B$33)))</f>
        <v/>
      </c>
      <c r="O326" s="184">
        <f>M326*(1+N326)</f>
        <v/>
      </c>
      <c r="P326" s="184">
        <f>0.75*O325+0.25*O324</f>
        <v/>
      </c>
      <c r="Q326" s="184">
        <f>L326+P326+IF(J326=1,'Model Inputs'!$B$26,0)</f>
        <v/>
      </c>
      <c r="R326" s="184">
        <f>IF(J326&lt;=B326,Q326,IF(J326&lt;=B326+$J$18,L326,(SUMIFS($L$51:$L$350,$A$51:$A$350,$A326,$J$51:$J$350,$B326)+SUMIFS($O$51:$O$350,$A$51:$A$350,$A326,$J$51:$J$350,$B326))*C326))</f>
        <v/>
      </c>
      <c r="S326" s="184">
        <f>H326+F326*G326*(1+I326)^MAX(0,J326-MAX(D326,B326+$J$18+1))</f>
        <v/>
      </c>
      <c r="T326" s="184">
        <f>IF(J326&gt;=MAX(D326,B326+$J$18+1),S326,R326)</f>
        <v/>
      </c>
      <c r="U326" s="184">
        <f>MIN(T326,'Tax Assumptions'!$B$19)</f>
        <v/>
      </c>
      <c r="V326" s="184">
        <f>MAX(T326-U326-'Tax Assumptions'!$B$8,0)</f>
        <v/>
      </c>
      <c r="W326" s="184">
        <f>MAX(T326-U326-'Tax Assumptions'!$B$9,0)</f>
        <v/>
      </c>
      <c r="X326" s="184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/>
      </c>
      <c r="Y326" s="184">
        <f>T326-U326-X326</f>
        <v/>
      </c>
      <c r="Z326" s="184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/>
      </c>
      <c r="AA326" s="184">
        <f>Y326-Z326</f>
        <v/>
      </c>
      <c r="AB326" s="184">
        <f>MIN(MAX(AA326,0),'Tax Assumptions'!$B$20)</f>
        <v/>
      </c>
      <c r="AC326" s="184">
        <f>AA326-AB326</f>
        <v/>
      </c>
      <c r="AD326" s="184">
        <f>MAX(AD325*(1+'Model Inputs'!$B$13)+AC326,0)</f>
        <v/>
      </c>
      <c r="AE326" s="184">
        <f>MAX(AE325*(1+'Model Inputs'!$B$13)+U326+AB326,0)</f>
        <v/>
      </c>
      <c r="AF326" s="184">
        <f>AD326+AE326</f>
        <v/>
      </c>
      <c r="AG326" s="191">
        <f>IF(AND(AF326&gt;=$F$14,AF325&lt;$F$14),J326,"")</f>
        <v/>
      </c>
      <c r="AH326" s="191">
        <f>IF(AND(AF326&gt;=$F$15,AF325&lt;$F$15),J326,"")</f>
        <v/>
      </c>
      <c r="AI326" s="191">
        <f>IF(AND(AF326&gt;=$F$16,AF325&lt;$F$16),J326,"")</f>
        <v/>
      </c>
      <c r="AJ326" s="191">
        <f>IF(AND(AF326&gt;=$F$17,AF325&lt;$F$17),J326,"")</f>
        <v/>
      </c>
    </row>
    <row r="327" outlineLevel="1" ht="18" customHeight="1" s="326">
      <c r="A327" s="181">
        <f>$A$40</f>
        <v/>
      </c>
      <c r="B327" s="191">
        <f>$B$40</f>
        <v/>
      </c>
      <c r="C327" s="187">
        <f>$C$40</f>
        <v/>
      </c>
      <c r="D327" s="191">
        <f>$D$40</f>
        <v/>
      </c>
      <c r="E327" s="181">
        <f>$E$40</f>
        <v/>
      </c>
      <c r="F327" s="184">
        <f>$F$40</f>
        <v/>
      </c>
      <c r="G327" s="188">
        <f>$G$40</f>
        <v/>
      </c>
      <c r="H327" s="184">
        <f>$H$40</f>
        <v/>
      </c>
      <c r="I327" s="188">
        <f>$J$17</f>
        <v/>
      </c>
      <c r="J327" s="191" t="n">
        <v>7</v>
      </c>
      <c r="K327" s="191">
        <f>('Model Inputs'!$B$22-1)+J327</f>
        <v/>
      </c>
      <c r="L327" s="184">
        <f>IF(J327=1,'Model Inputs'!$B$25*(13-'Model Inputs'!$B$23)/12,'Model Inputs'!$B$25)</f>
        <v/>
      </c>
      <c r="M327" s="184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/>
      </c>
      <c r="N327" s="188">
        <f>IF(J327&lt;=2,0,'Model Inputs'!$B$32*SIN(2*PI()*(J327-3+'Model Inputs'!$B$34)/MAX(1,'Model Inputs'!$B$33)))</f>
        <v/>
      </c>
      <c r="O327" s="184">
        <f>M327*(1+N327)</f>
        <v/>
      </c>
      <c r="P327" s="184">
        <f>0.75*O326+0.25*O325</f>
        <v/>
      </c>
      <c r="Q327" s="184">
        <f>L327+P327+IF(J327=1,'Model Inputs'!$B$26,0)</f>
        <v/>
      </c>
      <c r="R327" s="184">
        <f>IF(J327&lt;=B327,Q327,IF(J327&lt;=B327+$J$18,L327,(SUMIFS($L$51:$L$350,$A$51:$A$350,$A327,$J$51:$J$350,$B327)+SUMIFS($O$51:$O$350,$A$51:$A$350,$A327,$J$51:$J$350,$B327))*C327))</f>
        <v/>
      </c>
      <c r="S327" s="184">
        <f>H327+F327*G327*(1+I327)^MAX(0,J327-MAX(D327,B327+$J$18+1))</f>
        <v/>
      </c>
      <c r="T327" s="184">
        <f>IF(J327&gt;=MAX(D327,B327+$J$18+1),S327,R327)</f>
        <v/>
      </c>
      <c r="U327" s="184">
        <f>MIN(T327,'Tax Assumptions'!$B$19)</f>
        <v/>
      </c>
      <c r="V327" s="184">
        <f>MAX(T327-U327-'Tax Assumptions'!$B$8,0)</f>
        <v/>
      </c>
      <c r="W327" s="184">
        <f>MAX(T327-U327-'Tax Assumptions'!$B$9,0)</f>
        <v/>
      </c>
      <c r="X327" s="184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/>
      </c>
      <c r="Y327" s="184">
        <f>T327-U327-X327</f>
        <v/>
      </c>
      <c r="Z327" s="184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/>
      </c>
      <c r="AA327" s="184">
        <f>Y327-Z327</f>
        <v/>
      </c>
      <c r="AB327" s="184">
        <f>MIN(MAX(AA327,0),'Tax Assumptions'!$B$20)</f>
        <v/>
      </c>
      <c r="AC327" s="184">
        <f>AA327-AB327</f>
        <v/>
      </c>
      <c r="AD327" s="184">
        <f>MAX(AD326*(1+'Model Inputs'!$B$13)+AC327,0)</f>
        <v/>
      </c>
      <c r="AE327" s="184">
        <f>MAX(AE326*(1+'Model Inputs'!$B$13)+U327+AB327,0)</f>
        <v/>
      </c>
      <c r="AF327" s="184">
        <f>AD327+AE327</f>
        <v/>
      </c>
      <c r="AG327" s="191">
        <f>IF(AND(AF327&gt;=$F$14,AF326&lt;$F$14),J327,"")</f>
        <v/>
      </c>
      <c r="AH327" s="191">
        <f>IF(AND(AF327&gt;=$F$15,AF326&lt;$F$15),J327,"")</f>
        <v/>
      </c>
      <c r="AI327" s="191">
        <f>IF(AND(AF327&gt;=$F$16,AF326&lt;$F$16),J327,"")</f>
        <v/>
      </c>
      <c r="AJ327" s="191">
        <f>IF(AND(AF327&gt;=$F$17,AF326&lt;$F$17),J327,"")</f>
        <v/>
      </c>
    </row>
    <row r="328" outlineLevel="1" ht="18" customHeight="1" s="326">
      <c r="A328" s="181">
        <f>$A$40</f>
        <v/>
      </c>
      <c r="B328" s="191">
        <f>$B$40</f>
        <v/>
      </c>
      <c r="C328" s="187">
        <f>$C$40</f>
        <v/>
      </c>
      <c r="D328" s="191">
        <f>$D$40</f>
        <v/>
      </c>
      <c r="E328" s="181">
        <f>$E$40</f>
        <v/>
      </c>
      <c r="F328" s="184">
        <f>$F$40</f>
        <v/>
      </c>
      <c r="G328" s="188">
        <f>$G$40</f>
        <v/>
      </c>
      <c r="H328" s="184">
        <f>$H$40</f>
        <v/>
      </c>
      <c r="I328" s="188">
        <f>$J$17</f>
        <v/>
      </c>
      <c r="J328" s="191" t="n">
        <v>8</v>
      </c>
      <c r="K328" s="191">
        <f>('Model Inputs'!$B$22-1)+J328</f>
        <v/>
      </c>
      <c r="L328" s="184">
        <f>IF(J328=1,'Model Inputs'!$B$25*(13-'Model Inputs'!$B$23)/12,'Model Inputs'!$B$25)</f>
        <v/>
      </c>
      <c r="M328" s="184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/>
      </c>
      <c r="N328" s="188">
        <f>IF(J328&lt;=2,0,'Model Inputs'!$B$32*SIN(2*PI()*(J328-3+'Model Inputs'!$B$34)/MAX(1,'Model Inputs'!$B$33)))</f>
        <v/>
      </c>
      <c r="O328" s="184">
        <f>M328*(1+N328)</f>
        <v/>
      </c>
      <c r="P328" s="184">
        <f>0.75*O327+0.25*O326</f>
        <v/>
      </c>
      <c r="Q328" s="184">
        <f>L328+P328+IF(J328=1,'Model Inputs'!$B$26,0)</f>
        <v/>
      </c>
      <c r="R328" s="184">
        <f>IF(J328&lt;=B328,Q328,IF(J328&lt;=B328+$J$18,L328,(SUMIFS($L$51:$L$350,$A$51:$A$350,$A328,$J$51:$J$350,$B328)+SUMIFS($O$51:$O$350,$A$51:$A$350,$A328,$J$51:$J$350,$B328))*C328))</f>
        <v/>
      </c>
      <c r="S328" s="184">
        <f>H328+F328*G328*(1+I328)^MAX(0,J328-MAX(D328,B328+$J$18+1))</f>
        <v/>
      </c>
      <c r="T328" s="184">
        <f>IF(J328&gt;=MAX(D328,B328+$J$18+1),S328,R328)</f>
        <v/>
      </c>
      <c r="U328" s="184">
        <f>MIN(T328,'Tax Assumptions'!$B$19)</f>
        <v/>
      </c>
      <c r="V328" s="184">
        <f>MAX(T328-U328-'Tax Assumptions'!$B$8,0)</f>
        <v/>
      </c>
      <c r="W328" s="184">
        <f>MAX(T328-U328-'Tax Assumptions'!$B$9,0)</f>
        <v/>
      </c>
      <c r="X328" s="184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/>
      </c>
      <c r="Y328" s="184">
        <f>T328-U328-X328</f>
        <v/>
      </c>
      <c r="Z328" s="184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/>
      </c>
      <c r="AA328" s="184">
        <f>Y328-Z328</f>
        <v/>
      </c>
      <c r="AB328" s="184">
        <f>MIN(MAX(AA328,0),'Tax Assumptions'!$B$20)</f>
        <v/>
      </c>
      <c r="AC328" s="184">
        <f>AA328-AB328</f>
        <v/>
      </c>
      <c r="AD328" s="184">
        <f>MAX(AD327*(1+'Model Inputs'!$B$13)+AC328,0)</f>
        <v/>
      </c>
      <c r="AE328" s="184">
        <f>MAX(AE327*(1+'Model Inputs'!$B$13)+U328+AB328,0)</f>
        <v/>
      </c>
      <c r="AF328" s="184">
        <f>AD328+AE328</f>
        <v/>
      </c>
      <c r="AG328" s="191">
        <f>IF(AND(AF328&gt;=$F$14,AF327&lt;$F$14),J328,"")</f>
        <v/>
      </c>
      <c r="AH328" s="191">
        <f>IF(AND(AF328&gt;=$F$15,AF327&lt;$F$15),J328,"")</f>
        <v/>
      </c>
      <c r="AI328" s="191">
        <f>IF(AND(AF328&gt;=$F$16,AF327&lt;$F$16),J328,"")</f>
        <v/>
      </c>
      <c r="AJ328" s="191">
        <f>IF(AND(AF328&gt;=$F$17,AF327&lt;$F$17),J328,"")</f>
        <v/>
      </c>
    </row>
    <row r="329" outlineLevel="1" ht="18" customHeight="1" s="326">
      <c r="A329" s="181">
        <f>$A$40</f>
        <v/>
      </c>
      <c r="B329" s="191">
        <f>$B$40</f>
        <v/>
      </c>
      <c r="C329" s="187">
        <f>$C$40</f>
        <v/>
      </c>
      <c r="D329" s="191">
        <f>$D$40</f>
        <v/>
      </c>
      <c r="E329" s="181">
        <f>$E$40</f>
        <v/>
      </c>
      <c r="F329" s="184">
        <f>$F$40</f>
        <v/>
      </c>
      <c r="G329" s="188">
        <f>$G$40</f>
        <v/>
      </c>
      <c r="H329" s="184">
        <f>$H$40</f>
        <v/>
      </c>
      <c r="I329" s="188">
        <f>$J$17</f>
        <v/>
      </c>
      <c r="J329" s="191" t="n">
        <v>9</v>
      </c>
      <c r="K329" s="191">
        <f>('Model Inputs'!$B$22-1)+J329</f>
        <v/>
      </c>
      <c r="L329" s="184">
        <f>IF(J329=1,'Model Inputs'!$B$25*(13-'Model Inputs'!$B$23)/12,'Model Inputs'!$B$25)</f>
        <v/>
      </c>
      <c r="M329" s="184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/>
      </c>
      <c r="N329" s="188">
        <f>IF(J329&lt;=2,0,'Model Inputs'!$B$32*SIN(2*PI()*(J329-3+'Model Inputs'!$B$34)/MAX(1,'Model Inputs'!$B$33)))</f>
        <v/>
      </c>
      <c r="O329" s="184">
        <f>M329*(1+N329)</f>
        <v/>
      </c>
      <c r="P329" s="184">
        <f>0.75*O328+0.25*O327</f>
        <v/>
      </c>
      <c r="Q329" s="184">
        <f>L329+P329+IF(J329=1,'Model Inputs'!$B$26,0)</f>
        <v/>
      </c>
      <c r="R329" s="184">
        <f>IF(J329&lt;=B329,Q329,IF(J329&lt;=B329+$J$18,L329,(SUMIFS($L$51:$L$350,$A$51:$A$350,$A329,$J$51:$J$350,$B329)+SUMIFS($O$51:$O$350,$A$51:$A$350,$A329,$J$51:$J$350,$B329))*C329))</f>
        <v/>
      </c>
      <c r="S329" s="184">
        <f>H329+F329*G329*(1+I329)^MAX(0,J329-MAX(D329,B329+$J$18+1))</f>
        <v/>
      </c>
      <c r="T329" s="184">
        <f>IF(J329&gt;=MAX(D329,B329+$J$18+1),S329,R329)</f>
        <v/>
      </c>
      <c r="U329" s="184">
        <f>MIN(T329,'Tax Assumptions'!$B$19)</f>
        <v/>
      </c>
      <c r="V329" s="184">
        <f>MAX(T329-U329-'Tax Assumptions'!$B$8,0)</f>
        <v/>
      </c>
      <c r="W329" s="184">
        <f>MAX(T329-U329-'Tax Assumptions'!$B$9,0)</f>
        <v/>
      </c>
      <c r="X329" s="184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/>
      </c>
      <c r="Y329" s="184">
        <f>T329-U329-X329</f>
        <v/>
      </c>
      <c r="Z329" s="184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/>
      </c>
      <c r="AA329" s="184">
        <f>Y329-Z329</f>
        <v/>
      </c>
      <c r="AB329" s="184">
        <f>MIN(MAX(AA329,0),'Tax Assumptions'!$B$20)</f>
        <v/>
      </c>
      <c r="AC329" s="184">
        <f>AA329-AB329</f>
        <v/>
      </c>
      <c r="AD329" s="184">
        <f>MAX(AD328*(1+'Model Inputs'!$B$13)+AC329,0)</f>
        <v/>
      </c>
      <c r="AE329" s="184">
        <f>MAX(AE328*(1+'Model Inputs'!$B$13)+U329+AB329,0)</f>
        <v/>
      </c>
      <c r="AF329" s="184">
        <f>AD329+AE329</f>
        <v/>
      </c>
      <c r="AG329" s="191">
        <f>IF(AND(AF329&gt;=$F$14,AF328&lt;$F$14),J329,"")</f>
        <v/>
      </c>
      <c r="AH329" s="191">
        <f>IF(AND(AF329&gt;=$F$15,AF328&lt;$F$15),J329,"")</f>
        <v/>
      </c>
      <c r="AI329" s="191">
        <f>IF(AND(AF329&gt;=$F$16,AF328&lt;$F$16),J329,"")</f>
        <v/>
      </c>
      <c r="AJ329" s="191">
        <f>IF(AND(AF329&gt;=$F$17,AF328&lt;$F$17),J329,"")</f>
        <v/>
      </c>
    </row>
    <row r="330" outlineLevel="1" ht="18" customHeight="1" s="326">
      <c r="A330" s="181">
        <f>$A$40</f>
        <v/>
      </c>
      <c r="B330" s="191">
        <f>$B$40</f>
        <v/>
      </c>
      <c r="C330" s="187">
        <f>$C$40</f>
        <v/>
      </c>
      <c r="D330" s="191">
        <f>$D$40</f>
        <v/>
      </c>
      <c r="E330" s="181">
        <f>$E$40</f>
        <v/>
      </c>
      <c r="F330" s="184">
        <f>$F$40</f>
        <v/>
      </c>
      <c r="G330" s="188">
        <f>$G$40</f>
        <v/>
      </c>
      <c r="H330" s="184">
        <f>$H$40</f>
        <v/>
      </c>
      <c r="I330" s="188">
        <f>$J$17</f>
        <v/>
      </c>
      <c r="J330" s="191" t="n">
        <v>10</v>
      </c>
      <c r="K330" s="191">
        <f>('Model Inputs'!$B$22-1)+J330</f>
        <v/>
      </c>
      <c r="L330" s="184">
        <f>IF(J330=1,'Model Inputs'!$B$25*(13-'Model Inputs'!$B$23)/12,'Model Inputs'!$B$25)</f>
        <v/>
      </c>
      <c r="M330" s="184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/>
      </c>
      <c r="N330" s="188">
        <f>IF(J330&lt;=2,0,'Model Inputs'!$B$32*SIN(2*PI()*(J330-3+'Model Inputs'!$B$34)/MAX(1,'Model Inputs'!$B$33)))</f>
        <v/>
      </c>
      <c r="O330" s="184">
        <f>M330*(1+N330)</f>
        <v/>
      </c>
      <c r="P330" s="184">
        <f>0.75*O329+0.25*O328</f>
        <v/>
      </c>
      <c r="Q330" s="184">
        <f>L330+P330+IF(J330=1,'Model Inputs'!$B$26,0)</f>
        <v/>
      </c>
      <c r="R330" s="184">
        <f>IF(J330&lt;=B330,Q330,IF(J330&lt;=B330+$J$18,L330,(SUMIFS($L$51:$L$350,$A$51:$A$350,$A330,$J$51:$J$350,$B330)+SUMIFS($O$51:$O$350,$A$51:$A$350,$A330,$J$51:$J$350,$B330))*C330))</f>
        <v/>
      </c>
      <c r="S330" s="184">
        <f>H330+F330*G330*(1+I330)^MAX(0,J330-MAX(D330,B330+$J$18+1))</f>
        <v/>
      </c>
      <c r="T330" s="184">
        <f>IF(J330&gt;=MAX(D330,B330+$J$18+1),S330,R330)</f>
        <v/>
      </c>
      <c r="U330" s="184">
        <f>MIN(T330,'Tax Assumptions'!$B$19)</f>
        <v/>
      </c>
      <c r="V330" s="184">
        <f>MAX(T330-U330-'Tax Assumptions'!$B$8,0)</f>
        <v/>
      </c>
      <c r="W330" s="184">
        <f>MAX(T330-U330-'Tax Assumptions'!$B$9,0)</f>
        <v/>
      </c>
      <c r="X330" s="184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/>
      </c>
      <c r="Y330" s="184">
        <f>T330-U330-X330</f>
        <v/>
      </c>
      <c r="Z330" s="184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/>
      </c>
      <c r="AA330" s="184">
        <f>Y330-Z330</f>
        <v/>
      </c>
      <c r="AB330" s="184">
        <f>MIN(MAX(AA330,0),'Tax Assumptions'!$B$20)</f>
        <v/>
      </c>
      <c r="AC330" s="184">
        <f>AA330-AB330</f>
        <v/>
      </c>
      <c r="AD330" s="184">
        <f>MAX(AD329*(1+'Model Inputs'!$B$13)+AC330,0)</f>
        <v/>
      </c>
      <c r="AE330" s="184">
        <f>MAX(AE329*(1+'Model Inputs'!$B$13)+U330+AB330,0)</f>
        <v/>
      </c>
      <c r="AF330" s="184">
        <f>AD330+AE330</f>
        <v/>
      </c>
      <c r="AG330" s="191">
        <f>IF(AND(AF330&gt;=$F$14,AF329&lt;$F$14),J330,"")</f>
        <v/>
      </c>
      <c r="AH330" s="191">
        <f>IF(AND(AF330&gt;=$F$15,AF329&lt;$F$15),J330,"")</f>
        <v/>
      </c>
      <c r="AI330" s="191">
        <f>IF(AND(AF330&gt;=$F$16,AF329&lt;$F$16),J330,"")</f>
        <v/>
      </c>
      <c r="AJ330" s="191">
        <f>IF(AND(AF330&gt;=$F$17,AF329&lt;$F$17),J330,"")</f>
        <v/>
      </c>
    </row>
    <row r="331" outlineLevel="1" ht="18" customHeight="1" s="326">
      <c r="A331" s="181">
        <f>$A$40</f>
        <v/>
      </c>
      <c r="B331" s="191">
        <f>$B$40</f>
        <v/>
      </c>
      <c r="C331" s="187">
        <f>$C$40</f>
        <v/>
      </c>
      <c r="D331" s="191">
        <f>$D$40</f>
        <v/>
      </c>
      <c r="E331" s="181">
        <f>$E$40</f>
        <v/>
      </c>
      <c r="F331" s="184">
        <f>$F$40</f>
        <v/>
      </c>
      <c r="G331" s="188">
        <f>$G$40</f>
        <v/>
      </c>
      <c r="H331" s="184">
        <f>$H$40</f>
        <v/>
      </c>
      <c r="I331" s="188">
        <f>$J$17</f>
        <v/>
      </c>
      <c r="J331" s="191" t="n">
        <v>11</v>
      </c>
      <c r="K331" s="191">
        <f>('Model Inputs'!$B$22-1)+J331</f>
        <v/>
      </c>
      <c r="L331" s="184">
        <f>IF(J331=1,'Model Inputs'!$B$25*(13-'Model Inputs'!$B$23)/12,'Model Inputs'!$B$25)</f>
        <v/>
      </c>
      <c r="M331" s="184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/>
      </c>
      <c r="N331" s="188">
        <f>IF(J331&lt;=2,0,'Model Inputs'!$B$32*SIN(2*PI()*(J331-3+'Model Inputs'!$B$34)/MAX(1,'Model Inputs'!$B$33)))</f>
        <v/>
      </c>
      <c r="O331" s="184">
        <f>M331*(1+N331)</f>
        <v/>
      </c>
      <c r="P331" s="184">
        <f>0.75*O330+0.25*O329</f>
        <v/>
      </c>
      <c r="Q331" s="184">
        <f>L331+P331+IF(J331=1,'Model Inputs'!$B$26,0)</f>
        <v/>
      </c>
      <c r="R331" s="184">
        <f>IF(J331&lt;=B331,Q331,IF(J331&lt;=B331+$J$18,L331,(SUMIFS($L$51:$L$350,$A$51:$A$350,$A331,$J$51:$J$350,$B331)+SUMIFS($O$51:$O$350,$A$51:$A$350,$A331,$J$51:$J$350,$B331))*C331))</f>
        <v/>
      </c>
      <c r="S331" s="184">
        <f>H331+F331*G331*(1+I331)^MAX(0,J331-MAX(D331,B331+$J$18+1))</f>
        <v/>
      </c>
      <c r="T331" s="184">
        <f>IF(J331&gt;=MAX(D331,B331+$J$18+1),S331,R331)</f>
        <v/>
      </c>
      <c r="U331" s="184">
        <f>MIN(T331,'Tax Assumptions'!$B$19)</f>
        <v/>
      </c>
      <c r="V331" s="184">
        <f>MAX(T331-U331-'Tax Assumptions'!$B$8,0)</f>
        <v/>
      </c>
      <c r="W331" s="184">
        <f>MAX(T331-U331-'Tax Assumptions'!$B$9,0)</f>
        <v/>
      </c>
      <c r="X331" s="184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/>
      </c>
      <c r="Y331" s="184">
        <f>T331-U331-X331</f>
        <v/>
      </c>
      <c r="Z331" s="184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/>
      </c>
      <c r="AA331" s="184">
        <f>Y331-Z331</f>
        <v/>
      </c>
      <c r="AB331" s="184">
        <f>MIN(MAX(AA331,0),'Tax Assumptions'!$B$20)</f>
        <v/>
      </c>
      <c r="AC331" s="184">
        <f>AA331-AB331</f>
        <v/>
      </c>
      <c r="AD331" s="184">
        <f>MAX(AD330*(1+'Model Inputs'!$B$13)+AC331,0)</f>
        <v/>
      </c>
      <c r="AE331" s="184">
        <f>MAX(AE330*(1+'Model Inputs'!$B$13)+U331+AB331,0)</f>
        <v/>
      </c>
      <c r="AF331" s="184">
        <f>AD331+AE331</f>
        <v/>
      </c>
      <c r="AG331" s="191">
        <f>IF(AND(AF331&gt;=$F$14,AF330&lt;$F$14),J331,"")</f>
        <v/>
      </c>
      <c r="AH331" s="191">
        <f>IF(AND(AF331&gt;=$F$15,AF330&lt;$F$15),J331,"")</f>
        <v/>
      </c>
      <c r="AI331" s="191">
        <f>IF(AND(AF331&gt;=$F$16,AF330&lt;$F$16),J331,"")</f>
        <v/>
      </c>
      <c r="AJ331" s="191">
        <f>IF(AND(AF331&gt;=$F$17,AF330&lt;$F$17),J331,"")</f>
        <v/>
      </c>
    </row>
    <row r="332" outlineLevel="1" ht="18" customHeight="1" s="326">
      <c r="A332" s="181">
        <f>$A$40</f>
        <v/>
      </c>
      <c r="B332" s="191">
        <f>$B$40</f>
        <v/>
      </c>
      <c r="C332" s="187">
        <f>$C$40</f>
        <v/>
      </c>
      <c r="D332" s="191">
        <f>$D$40</f>
        <v/>
      </c>
      <c r="E332" s="181">
        <f>$E$40</f>
        <v/>
      </c>
      <c r="F332" s="184">
        <f>$F$40</f>
        <v/>
      </c>
      <c r="G332" s="188">
        <f>$G$40</f>
        <v/>
      </c>
      <c r="H332" s="184">
        <f>$H$40</f>
        <v/>
      </c>
      <c r="I332" s="188">
        <f>$J$17</f>
        <v/>
      </c>
      <c r="J332" s="191" t="n">
        <v>12</v>
      </c>
      <c r="K332" s="191">
        <f>('Model Inputs'!$B$22-1)+J332</f>
        <v/>
      </c>
      <c r="L332" s="184">
        <f>IF(J332=1,'Model Inputs'!$B$25*(13-'Model Inputs'!$B$23)/12,'Model Inputs'!$B$25)</f>
        <v/>
      </c>
      <c r="M332" s="184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/>
      </c>
      <c r="N332" s="188">
        <f>IF(J332&lt;=2,0,'Model Inputs'!$B$32*SIN(2*PI()*(J332-3+'Model Inputs'!$B$34)/MAX(1,'Model Inputs'!$B$33)))</f>
        <v/>
      </c>
      <c r="O332" s="184">
        <f>M332*(1+N332)</f>
        <v/>
      </c>
      <c r="P332" s="184">
        <f>0.75*O331+0.25*O330</f>
        <v/>
      </c>
      <c r="Q332" s="184">
        <f>L332+P332+IF(J332=1,'Model Inputs'!$B$26,0)</f>
        <v/>
      </c>
      <c r="R332" s="184">
        <f>IF(J332&lt;=B332,Q332,IF(J332&lt;=B332+$J$18,L332,(SUMIFS($L$51:$L$350,$A$51:$A$350,$A332,$J$51:$J$350,$B332)+SUMIFS($O$51:$O$350,$A$51:$A$350,$A332,$J$51:$J$350,$B332))*C332))</f>
        <v/>
      </c>
      <c r="S332" s="184">
        <f>H332+F332*G332*(1+I332)^MAX(0,J332-MAX(D332,B332+$J$18+1))</f>
        <v/>
      </c>
      <c r="T332" s="184">
        <f>IF(J332&gt;=MAX(D332,B332+$J$18+1),S332,R332)</f>
        <v/>
      </c>
      <c r="U332" s="184">
        <f>MIN(T332,'Tax Assumptions'!$B$19)</f>
        <v/>
      </c>
      <c r="V332" s="184">
        <f>MAX(T332-U332-'Tax Assumptions'!$B$8,0)</f>
        <v/>
      </c>
      <c r="W332" s="184">
        <f>MAX(T332-U332-'Tax Assumptions'!$B$9,0)</f>
        <v/>
      </c>
      <c r="X332" s="184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/>
      </c>
      <c r="Y332" s="184">
        <f>T332-U332-X332</f>
        <v/>
      </c>
      <c r="Z332" s="184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/>
      </c>
      <c r="AA332" s="184">
        <f>Y332-Z332</f>
        <v/>
      </c>
      <c r="AB332" s="184">
        <f>MIN(MAX(AA332,0),'Tax Assumptions'!$B$20)</f>
        <v/>
      </c>
      <c r="AC332" s="184">
        <f>AA332-AB332</f>
        <v/>
      </c>
      <c r="AD332" s="184">
        <f>MAX(AD331*(1+'Model Inputs'!$B$13)+AC332,0)</f>
        <v/>
      </c>
      <c r="AE332" s="184">
        <f>MAX(AE331*(1+'Model Inputs'!$B$13)+U332+AB332,0)</f>
        <v/>
      </c>
      <c r="AF332" s="184">
        <f>AD332+AE332</f>
        <v/>
      </c>
      <c r="AG332" s="191">
        <f>IF(AND(AF332&gt;=$F$14,AF331&lt;$F$14),J332,"")</f>
        <v/>
      </c>
      <c r="AH332" s="191">
        <f>IF(AND(AF332&gt;=$F$15,AF331&lt;$F$15),J332,"")</f>
        <v/>
      </c>
      <c r="AI332" s="191">
        <f>IF(AND(AF332&gt;=$F$16,AF331&lt;$F$16),J332,"")</f>
        <v/>
      </c>
      <c r="AJ332" s="191">
        <f>IF(AND(AF332&gt;=$F$17,AF331&lt;$F$17),J332,"")</f>
        <v/>
      </c>
    </row>
    <row r="333" outlineLevel="1" ht="18" customHeight="1" s="326">
      <c r="A333" s="181">
        <f>$A$40</f>
        <v/>
      </c>
      <c r="B333" s="191">
        <f>$B$40</f>
        <v/>
      </c>
      <c r="C333" s="187">
        <f>$C$40</f>
        <v/>
      </c>
      <c r="D333" s="191">
        <f>$D$40</f>
        <v/>
      </c>
      <c r="E333" s="181">
        <f>$E$40</f>
        <v/>
      </c>
      <c r="F333" s="184">
        <f>$F$40</f>
        <v/>
      </c>
      <c r="G333" s="188">
        <f>$G$40</f>
        <v/>
      </c>
      <c r="H333" s="184">
        <f>$H$40</f>
        <v/>
      </c>
      <c r="I333" s="188">
        <f>$J$17</f>
        <v/>
      </c>
      <c r="J333" s="191" t="n">
        <v>13</v>
      </c>
      <c r="K333" s="191">
        <f>('Model Inputs'!$B$22-1)+J333</f>
        <v/>
      </c>
      <c r="L333" s="184">
        <f>IF(J333=1,'Model Inputs'!$B$25*(13-'Model Inputs'!$B$23)/12,'Model Inputs'!$B$25)</f>
        <v/>
      </c>
      <c r="M333" s="184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/>
      </c>
      <c r="N333" s="188">
        <f>IF(J333&lt;=2,0,'Model Inputs'!$B$32*SIN(2*PI()*(J333-3+'Model Inputs'!$B$34)/MAX(1,'Model Inputs'!$B$33)))</f>
        <v/>
      </c>
      <c r="O333" s="184">
        <f>M333*(1+N333)</f>
        <v/>
      </c>
      <c r="P333" s="184">
        <f>0.75*O332+0.25*O331</f>
        <v/>
      </c>
      <c r="Q333" s="184">
        <f>L333+P333+IF(J333=1,'Model Inputs'!$B$26,0)</f>
        <v/>
      </c>
      <c r="R333" s="184">
        <f>IF(J333&lt;=B333,Q333,IF(J333&lt;=B333+$J$18,L333,(SUMIFS($L$51:$L$350,$A$51:$A$350,$A333,$J$51:$J$350,$B333)+SUMIFS($O$51:$O$350,$A$51:$A$350,$A333,$J$51:$J$350,$B333))*C333))</f>
        <v/>
      </c>
      <c r="S333" s="184">
        <f>H333+F333*G333*(1+I333)^MAX(0,J333-MAX(D333,B333+$J$18+1))</f>
        <v/>
      </c>
      <c r="T333" s="184">
        <f>IF(J333&gt;=MAX(D333,B333+$J$18+1),S333,R333)</f>
        <v/>
      </c>
      <c r="U333" s="184">
        <f>MIN(T333,'Tax Assumptions'!$B$19)</f>
        <v/>
      </c>
      <c r="V333" s="184">
        <f>MAX(T333-U333-'Tax Assumptions'!$B$8,0)</f>
        <v/>
      </c>
      <c r="W333" s="184">
        <f>MAX(T333-U333-'Tax Assumptions'!$B$9,0)</f>
        <v/>
      </c>
      <c r="X333" s="184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/>
      </c>
      <c r="Y333" s="184">
        <f>T333-U333-X333</f>
        <v/>
      </c>
      <c r="Z333" s="184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/>
      </c>
      <c r="AA333" s="184">
        <f>Y333-Z333</f>
        <v/>
      </c>
      <c r="AB333" s="184">
        <f>MIN(MAX(AA333,0),'Tax Assumptions'!$B$20)</f>
        <v/>
      </c>
      <c r="AC333" s="184">
        <f>AA333-AB333</f>
        <v/>
      </c>
      <c r="AD333" s="184">
        <f>MAX(AD332*(1+'Model Inputs'!$B$13)+AC333,0)</f>
        <v/>
      </c>
      <c r="AE333" s="184">
        <f>MAX(AE332*(1+'Model Inputs'!$B$13)+U333+AB333,0)</f>
        <v/>
      </c>
      <c r="AF333" s="184">
        <f>AD333+AE333</f>
        <v/>
      </c>
      <c r="AG333" s="191">
        <f>IF(AND(AF333&gt;=$F$14,AF332&lt;$F$14),J333,"")</f>
        <v/>
      </c>
      <c r="AH333" s="191">
        <f>IF(AND(AF333&gt;=$F$15,AF332&lt;$F$15),J333,"")</f>
        <v/>
      </c>
      <c r="AI333" s="191">
        <f>IF(AND(AF333&gt;=$F$16,AF332&lt;$F$16),J333,"")</f>
        <v/>
      </c>
      <c r="AJ333" s="191">
        <f>IF(AND(AF333&gt;=$F$17,AF332&lt;$F$17),J333,"")</f>
        <v/>
      </c>
    </row>
    <row r="334" outlineLevel="1" ht="18" customHeight="1" s="326">
      <c r="A334" s="181">
        <f>$A$40</f>
        <v/>
      </c>
      <c r="B334" s="191">
        <f>$B$40</f>
        <v/>
      </c>
      <c r="C334" s="187">
        <f>$C$40</f>
        <v/>
      </c>
      <c r="D334" s="191">
        <f>$D$40</f>
        <v/>
      </c>
      <c r="E334" s="181">
        <f>$E$40</f>
        <v/>
      </c>
      <c r="F334" s="184">
        <f>$F$40</f>
        <v/>
      </c>
      <c r="G334" s="188">
        <f>$G$40</f>
        <v/>
      </c>
      <c r="H334" s="184">
        <f>$H$40</f>
        <v/>
      </c>
      <c r="I334" s="188">
        <f>$J$17</f>
        <v/>
      </c>
      <c r="J334" s="191" t="n">
        <v>14</v>
      </c>
      <c r="K334" s="191">
        <f>('Model Inputs'!$B$22-1)+J334</f>
        <v/>
      </c>
      <c r="L334" s="184">
        <f>IF(J334=1,'Model Inputs'!$B$25*(13-'Model Inputs'!$B$23)/12,'Model Inputs'!$B$25)</f>
        <v/>
      </c>
      <c r="M334" s="184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/>
      </c>
      <c r="N334" s="188">
        <f>IF(J334&lt;=2,0,'Model Inputs'!$B$32*SIN(2*PI()*(J334-3+'Model Inputs'!$B$34)/MAX(1,'Model Inputs'!$B$33)))</f>
        <v/>
      </c>
      <c r="O334" s="184">
        <f>M334*(1+N334)</f>
        <v/>
      </c>
      <c r="P334" s="184">
        <f>0.75*O333+0.25*O332</f>
        <v/>
      </c>
      <c r="Q334" s="184">
        <f>L334+P334+IF(J334=1,'Model Inputs'!$B$26,0)</f>
        <v/>
      </c>
      <c r="R334" s="184">
        <f>IF(J334&lt;=B334,Q334,IF(J334&lt;=B334+$J$18,L334,(SUMIFS($L$51:$L$350,$A$51:$A$350,$A334,$J$51:$J$350,$B334)+SUMIFS($O$51:$O$350,$A$51:$A$350,$A334,$J$51:$J$350,$B334))*C334))</f>
        <v/>
      </c>
      <c r="S334" s="184">
        <f>H334+F334*G334*(1+I334)^MAX(0,J334-MAX(D334,B334+$J$18+1))</f>
        <v/>
      </c>
      <c r="T334" s="184">
        <f>IF(J334&gt;=MAX(D334,B334+$J$18+1),S334,R334)</f>
        <v/>
      </c>
      <c r="U334" s="184">
        <f>MIN(T334,'Tax Assumptions'!$B$19)</f>
        <v/>
      </c>
      <c r="V334" s="184">
        <f>MAX(T334-U334-'Tax Assumptions'!$B$8,0)</f>
        <v/>
      </c>
      <c r="W334" s="184">
        <f>MAX(T334-U334-'Tax Assumptions'!$B$9,0)</f>
        <v/>
      </c>
      <c r="X334" s="184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/>
      </c>
      <c r="Y334" s="184">
        <f>T334-U334-X334</f>
        <v/>
      </c>
      <c r="Z334" s="184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/>
      </c>
      <c r="AA334" s="184">
        <f>Y334-Z334</f>
        <v/>
      </c>
      <c r="AB334" s="184">
        <f>MIN(MAX(AA334,0),'Tax Assumptions'!$B$20)</f>
        <v/>
      </c>
      <c r="AC334" s="184">
        <f>AA334-AB334</f>
        <v/>
      </c>
      <c r="AD334" s="184">
        <f>MAX(AD333*(1+'Model Inputs'!$B$13)+AC334,0)</f>
        <v/>
      </c>
      <c r="AE334" s="184">
        <f>MAX(AE333*(1+'Model Inputs'!$B$13)+U334+AB334,0)</f>
        <v/>
      </c>
      <c r="AF334" s="184">
        <f>AD334+AE334</f>
        <v/>
      </c>
      <c r="AG334" s="191">
        <f>IF(AND(AF334&gt;=$F$14,AF333&lt;$F$14),J334,"")</f>
        <v/>
      </c>
      <c r="AH334" s="191">
        <f>IF(AND(AF334&gt;=$F$15,AF333&lt;$F$15),J334,"")</f>
        <v/>
      </c>
      <c r="AI334" s="191">
        <f>IF(AND(AF334&gt;=$F$16,AF333&lt;$F$16),J334,"")</f>
        <v/>
      </c>
      <c r="AJ334" s="191">
        <f>IF(AND(AF334&gt;=$F$17,AF333&lt;$F$17),J334,"")</f>
        <v/>
      </c>
    </row>
    <row r="335" outlineLevel="1" ht="18" customHeight="1" s="326">
      <c r="A335" s="181">
        <f>$A$40</f>
        <v/>
      </c>
      <c r="B335" s="191">
        <f>$B$40</f>
        <v/>
      </c>
      <c r="C335" s="187">
        <f>$C$40</f>
        <v/>
      </c>
      <c r="D335" s="191">
        <f>$D$40</f>
        <v/>
      </c>
      <c r="E335" s="181">
        <f>$E$40</f>
        <v/>
      </c>
      <c r="F335" s="184">
        <f>$F$40</f>
        <v/>
      </c>
      <c r="G335" s="188">
        <f>$G$40</f>
        <v/>
      </c>
      <c r="H335" s="184">
        <f>$H$40</f>
        <v/>
      </c>
      <c r="I335" s="188">
        <f>$J$17</f>
        <v/>
      </c>
      <c r="J335" s="191" t="n">
        <v>15</v>
      </c>
      <c r="K335" s="191">
        <f>('Model Inputs'!$B$22-1)+J335</f>
        <v/>
      </c>
      <c r="L335" s="184">
        <f>IF(J335=1,'Model Inputs'!$B$25*(13-'Model Inputs'!$B$23)/12,'Model Inputs'!$B$25)</f>
        <v/>
      </c>
      <c r="M335" s="184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/>
      </c>
      <c r="N335" s="188">
        <f>IF(J335&lt;=2,0,'Model Inputs'!$B$32*SIN(2*PI()*(J335-3+'Model Inputs'!$B$34)/MAX(1,'Model Inputs'!$B$33)))</f>
        <v/>
      </c>
      <c r="O335" s="184">
        <f>M335*(1+N335)</f>
        <v/>
      </c>
      <c r="P335" s="184">
        <f>0.75*O334+0.25*O333</f>
        <v/>
      </c>
      <c r="Q335" s="184">
        <f>L335+P335+IF(J335=1,'Model Inputs'!$B$26,0)</f>
        <v/>
      </c>
      <c r="R335" s="184">
        <f>IF(J335&lt;=B335,Q335,IF(J335&lt;=B335+$J$18,L335,(SUMIFS($L$51:$L$350,$A$51:$A$350,$A335,$J$51:$J$350,$B335)+SUMIFS($O$51:$O$350,$A$51:$A$350,$A335,$J$51:$J$350,$B335))*C335))</f>
        <v/>
      </c>
      <c r="S335" s="184">
        <f>H335+F335*G335*(1+I335)^MAX(0,J335-MAX(D335,B335+$J$18+1))</f>
        <v/>
      </c>
      <c r="T335" s="184">
        <f>IF(J335&gt;=MAX(D335,B335+$J$18+1),S335,R335)</f>
        <v/>
      </c>
      <c r="U335" s="184">
        <f>MIN(T335,'Tax Assumptions'!$B$19)</f>
        <v/>
      </c>
      <c r="V335" s="184">
        <f>MAX(T335-U335-'Tax Assumptions'!$B$8,0)</f>
        <v/>
      </c>
      <c r="W335" s="184">
        <f>MAX(T335-U335-'Tax Assumptions'!$B$9,0)</f>
        <v/>
      </c>
      <c r="X335" s="184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/>
      </c>
      <c r="Y335" s="184">
        <f>T335-U335-X335</f>
        <v/>
      </c>
      <c r="Z335" s="184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/>
      </c>
      <c r="AA335" s="184">
        <f>Y335-Z335</f>
        <v/>
      </c>
      <c r="AB335" s="184">
        <f>MIN(MAX(AA335,0),'Tax Assumptions'!$B$20)</f>
        <v/>
      </c>
      <c r="AC335" s="184">
        <f>AA335-AB335</f>
        <v/>
      </c>
      <c r="AD335" s="184">
        <f>MAX(AD334*(1+'Model Inputs'!$B$13)+AC335,0)</f>
        <v/>
      </c>
      <c r="AE335" s="184">
        <f>MAX(AE334*(1+'Model Inputs'!$B$13)+U335+AB335,0)</f>
        <v/>
      </c>
      <c r="AF335" s="184">
        <f>AD335+AE335</f>
        <v/>
      </c>
      <c r="AG335" s="191">
        <f>IF(AND(AF335&gt;=$F$14,AF334&lt;$F$14),J335,"")</f>
        <v/>
      </c>
      <c r="AH335" s="191">
        <f>IF(AND(AF335&gt;=$F$15,AF334&lt;$F$15),J335,"")</f>
        <v/>
      </c>
      <c r="AI335" s="191">
        <f>IF(AND(AF335&gt;=$F$16,AF334&lt;$F$16),J335,"")</f>
        <v/>
      </c>
      <c r="AJ335" s="191">
        <f>IF(AND(AF335&gt;=$F$17,AF334&lt;$F$17),J335,"")</f>
        <v/>
      </c>
    </row>
    <row r="336" outlineLevel="1" ht="18" customHeight="1" s="326">
      <c r="A336" s="181">
        <f>$A$41</f>
        <v/>
      </c>
      <c r="B336" s="191">
        <f>$B$41</f>
        <v/>
      </c>
      <c r="C336" s="187">
        <f>$C$41</f>
        <v/>
      </c>
      <c r="D336" s="191">
        <f>$D$41</f>
        <v/>
      </c>
      <c r="E336" s="181">
        <f>$E$41</f>
        <v/>
      </c>
      <c r="F336" s="184">
        <f>$F$41</f>
        <v/>
      </c>
      <c r="G336" s="188">
        <f>$G$41</f>
        <v/>
      </c>
      <c r="H336" s="184">
        <f>$H$41</f>
        <v/>
      </c>
      <c r="I336" s="188">
        <f>$J$17</f>
        <v/>
      </c>
      <c r="J336" s="191" t="n">
        <v>1</v>
      </c>
      <c r="K336" s="191">
        <f>('Model Inputs'!$B$22-1)+J336</f>
        <v/>
      </c>
      <c r="L336" s="184">
        <f>IF(J336=1,'Model Inputs'!$B$25*(13-'Model Inputs'!$B$23)/12,'Model Inputs'!$B$25)</f>
        <v/>
      </c>
      <c r="M336" s="184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/>
      </c>
      <c r="N336" s="188">
        <f>IF(J336&lt;=2,0,'Model Inputs'!$B$32*SIN(2*PI()*(J336-3+'Model Inputs'!$B$34)/MAX(1,'Model Inputs'!$B$33)))</f>
        <v/>
      </c>
      <c r="O336" s="184">
        <f>M336*(1+N336)</f>
        <v/>
      </c>
      <c r="P336" s="184">
        <f>0</f>
        <v/>
      </c>
      <c r="Q336" s="184">
        <f>L336+P336+IF(J336=1,'Model Inputs'!$B$26,0)</f>
        <v/>
      </c>
      <c r="R336" s="184">
        <f>IF(J336&lt;=B336,Q336,IF(J336&lt;=B336+$J$18,L336,(SUMIFS($L$51:$L$350,$A$51:$A$350,$A336,$J$51:$J$350,$B336)+SUMIFS($O$51:$O$350,$A$51:$A$350,$A336,$J$51:$J$350,$B336))*C336))</f>
        <v/>
      </c>
      <c r="S336" s="184">
        <f>H336+F336*G336*(1+I336)^MAX(0,J336-MAX(D336,B336+$J$18+1))</f>
        <v/>
      </c>
      <c r="T336" s="184">
        <f>IF(J336&gt;=MAX(D336,B336+$J$18+1),S336,R336)</f>
        <v/>
      </c>
      <c r="U336" s="184">
        <f>MIN(T336,'Tax Assumptions'!$B$19)</f>
        <v/>
      </c>
      <c r="V336" s="184">
        <f>MAX(T336-U336-'Tax Assumptions'!$B$8,0)</f>
        <v/>
      </c>
      <c r="W336" s="184">
        <f>MAX(T336-U336-'Tax Assumptions'!$B$9,0)</f>
        <v/>
      </c>
      <c r="X336" s="184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/>
      </c>
      <c r="Y336" s="184">
        <f>T336-U336-X336</f>
        <v/>
      </c>
      <c r="Z336" s="184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/>
      </c>
      <c r="AA336" s="184">
        <f>Y336-Z336</f>
        <v/>
      </c>
      <c r="AB336" s="184">
        <f>MIN(MAX(AA336,0),'Tax Assumptions'!$B$20)</f>
        <v/>
      </c>
      <c r="AC336" s="184">
        <f>AA336-AB336</f>
        <v/>
      </c>
      <c r="AD336" s="184">
        <f>MAX('Model Inputs'!$B$7*(1+'Model Inputs'!$B$13)+AC336,0)</f>
        <v/>
      </c>
      <c r="AE336" s="184">
        <f>MAX(('Model Inputs'!$B$8+'Model Inputs'!$B$9+'Model Inputs'!$B$10)*(1+'Model Inputs'!$B$13)+U336+AB336,0)</f>
        <v/>
      </c>
      <c r="AF336" s="184">
        <f>AD336+AE336</f>
        <v/>
      </c>
      <c r="AG336" s="191">
        <f>IF(AND(AF336&gt;=$F$14,0&lt;$F$14),J336,"")</f>
        <v/>
      </c>
      <c r="AH336" s="191">
        <f>IF(AND(AF336&gt;=$F$15,0&lt;$F$15),J336,"")</f>
        <v/>
      </c>
      <c r="AI336" s="191">
        <f>IF(AND(AF336&gt;=$F$16,0&lt;$F$16),J336,"")</f>
        <v/>
      </c>
      <c r="AJ336" s="191">
        <f>IF(AND(AF336&gt;=$F$17,0&lt;$F$17),J336,"")</f>
        <v/>
      </c>
    </row>
    <row r="337" outlineLevel="1" ht="18" customHeight="1" s="326">
      <c r="A337" s="181">
        <f>$A$41</f>
        <v/>
      </c>
      <c r="B337" s="191">
        <f>$B$41</f>
        <v/>
      </c>
      <c r="C337" s="187">
        <f>$C$41</f>
        <v/>
      </c>
      <c r="D337" s="191">
        <f>$D$41</f>
        <v/>
      </c>
      <c r="E337" s="181">
        <f>$E$41</f>
        <v/>
      </c>
      <c r="F337" s="184">
        <f>$F$41</f>
        <v/>
      </c>
      <c r="G337" s="188">
        <f>$G$41</f>
        <v/>
      </c>
      <c r="H337" s="184">
        <f>$H$41</f>
        <v/>
      </c>
      <c r="I337" s="188">
        <f>$J$17</f>
        <v/>
      </c>
      <c r="J337" s="191" t="n">
        <v>2</v>
      </c>
      <c r="K337" s="191">
        <f>('Model Inputs'!$B$22-1)+J337</f>
        <v/>
      </c>
      <c r="L337" s="184">
        <f>IF(J337=1,'Model Inputs'!$B$25*(13-'Model Inputs'!$B$23)/12,'Model Inputs'!$B$25)</f>
        <v/>
      </c>
      <c r="M337" s="184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/>
      </c>
      <c r="N337" s="188">
        <f>IF(J337&lt;=2,0,'Model Inputs'!$B$32*SIN(2*PI()*(J337-3+'Model Inputs'!$B$34)/MAX(1,'Model Inputs'!$B$33)))</f>
        <v/>
      </c>
      <c r="O337" s="184">
        <f>M337*(1+N337)</f>
        <v/>
      </c>
      <c r="P337" s="184">
        <f>0.75*O336</f>
        <v/>
      </c>
      <c r="Q337" s="184">
        <f>L337+P337+IF(J337=1,'Model Inputs'!$B$26,0)</f>
        <v/>
      </c>
      <c r="R337" s="184">
        <f>IF(J337&lt;=B337,Q337,IF(J337&lt;=B337+$J$18,L337,(SUMIFS($L$51:$L$350,$A$51:$A$350,$A337,$J$51:$J$350,$B337)+SUMIFS($O$51:$O$350,$A$51:$A$350,$A337,$J$51:$J$350,$B337))*C337))</f>
        <v/>
      </c>
      <c r="S337" s="184">
        <f>H337+F337*G337*(1+I337)^MAX(0,J337-MAX(D337,B337+$J$18+1))</f>
        <v/>
      </c>
      <c r="T337" s="184">
        <f>IF(J337&gt;=MAX(D337,B337+$J$18+1),S337,R337)</f>
        <v/>
      </c>
      <c r="U337" s="184">
        <f>MIN(T337,'Tax Assumptions'!$B$19)</f>
        <v/>
      </c>
      <c r="V337" s="184">
        <f>MAX(T337-U337-'Tax Assumptions'!$B$8,0)</f>
        <v/>
      </c>
      <c r="W337" s="184">
        <f>MAX(T337-U337-'Tax Assumptions'!$B$9,0)</f>
        <v/>
      </c>
      <c r="X337" s="184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/>
      </c>
      <c r="Y337" s="184">
        <f>T337-U337-X337</f>
        <v/>
      </c>
      <c r="Z337" s="184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/>
      </c>
      <c r="AA337" s="184">
        <f>Y337-Z337</f>
        <v/>
      </c>
      <c r="AB337" s="184">
        <f>MIN(MAX(AA337,0),'Tax Assumptions'!$B$20)</f>
        <v/>
      </c>
      <c r="AC337" s="184">
        <f>AA337-AB337</f>
        <v/>
      </c>
      <c r="AD337" s="184">
        <f>MAX(AD336*(1+'Model Inputs'!$B$13)+AC337,0)</f>
        <v/>
      </c>
      <c r="AE337" s="184">
        <f>MAX(AE336*(1+'Model Inputs'!$B$13)+U337+AB337,0)</f>
        <v/>
      </c>
      <c r="AF337" s="184">
        <f>AD337+AE337</f>
        <v/>
      </c>
      <c r="AG337" s="191">
        <f>IF(AND(AF337&gt;=$F$14,AF336&lt;$F$14),J337,"")</f>
        <v/>
      </c>
      <c r="AH337" s="191">
        <f>IF(AND(AF337&gt;=$F$15,AF336&lt;$F$15),J337,"")</f>
        <v/>
      </c>
      <c r="AI337" s="191">
        <f>IF(AND(AF337&gt;=$F$16,AF336&lt;$F$16),J337,"")</f>
        <v/>
      </c>
      <c r="AJ337" s="191">
        <f>IF(AND(AF337&gt;=$F$17,AF336&lt;$F$17),J337,"")</f>
        <v/>
      </c>
    </row>
    <row r="338" outlineLevel="1" ht="18" customHeight="1" s="326">
      <c r="A338" s="181">
        <f>$A$41</f>
        <v/>
      </c>
      <c r="B338" s="191">
        <f>$B$41</f>
        <v/>
      </c>
      <c r="C338" s="187">
        <f>$C$41</f>
        <v/>
      </c>
      <c r="D338" s="191">
        <f>$D$41</f>
        <v/>
      </c>
      <c r="E338" s="181">
        <f>$E$41</f>
        <v/>
      </c>
      <c r="F338" s="184">
        <f>$F$41</f>
        <v/>
      </c>
      <c r="G338" s="188">
        <f>$G$41</f>
        <v/>
      </c>
      <c r="H338" s="184">
        <f>$H$41</f>
        <v/>
      </c>
      <c r="I338" s="188">
        <f>$J$17</f>
        <v/>
      </c>
      <c r="J338" s="191" t="n">
        <v>3</v>
      </c>
      <c r="K338" s="191">
        <f>('Model Inputs'!$B$22-1)+J338</f>
        <v/>
      </c>
      <c r="L338" s="184">
        <f>IF(J338=1,'Model Inputs'!$B$25*(13-'Model Inputs'!$B$23)/12,'Model Inputs'!$B$25)</f>
        <v/>
      </c>
      <c r="M338" s="184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/>
      </c>
      <c r="N338" s="188">
        <f>IF(J338&lt;=2,0,'Model Inputs'!$B$32*SIN(2*PI()*(J338-3+'Model Inputs'!$B$34)/MAX(1,'Model Inputs'!$B$33)))</f>
        <v/>
      </c>
      <c r="O338" s="184">
        <f>M338*(1+N338)</f>
        <v/>
      </c>
      <c r="P338" s="184">
        <f>0.75*O337+0.25*O336</f>
        <v/>
      </c>
      <c r="Q338" s="184">
        <f>L338+P338+IF(J338=1,'Model Inputs'!$B$26,0)</f>
        <v/>
      </c>
      <c r="R338" s="184">
        <f>IF(J338&lt;=B338,Q338,IF(J338&lt;=B338+$J$18,L338,(SUMIFS($L$51:$L$350,$A$51:$A$350,$A338,$J$51:$J$350,$B338)+SUMIFS($O$51:$O$350,$A$51:$A$350,$A338,$J$51:$J$350,$B338))*C338))</f>
        <v/>
      </c>
      <c r="S338" s="184">
        <f>H338+F338*G338*(1+I338)^MAX(0,J338-MAX(D338,B338+$J$18+1))</f>
        <v/>
      </c>
      <c r="T338" s="184">
        <f>IF(J338&gt;=MAX(D338,B338+$J$18+1),S338,R338)</f>
        <v/>
      </c>
      <c r="U338" s="184">
        <f>MIN(T338,'Tax Assumptions'!$B$19)</f>
        <v/>
      </c>
      <c r="V338" s="184">
        <f>MAX(T338-U338-'Tax Assumptions'!$B$8,0)</f>
        <v/>
      </c>
      <c r="W338" s="184">
        <f>MAX(T338-U338-'Tax Assumptions'!$B$9,0)</f>
        <v/>
      </c>
      <c r="X338" s="184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/>
      </c>
      <c r="Y338" s="184">
        <f>T338-U338-X338</f>
        <v/>
      </c>
      <c r="Z338" s="184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/>
      </c>
      <c r="AA338" s="184">
        <f>Y338-Z338</f>
        <v/>
      </c>
      <c r="AB338" s="184">
        <f>MIN(MAX(AA338,0),'Tax Assumptions'!$B$20)</f>
        <v/>
      </c>
      <c r="AC338" s="184">
        <f>AA338-AB338</f>
        <v/>
      </c>
      <c r="AD338" s="184">
        <f>MAX(AD337*(1+'Model Inputs'!$B$13)+AC338,0)</f>
        <v/>
      </c>
      <c r="AE338" s="184">
        <f>MAX(AE337*(1+'Model Inputs'!$B$13)+U338+AB338,0)</f>
        <v/>
      </c>
      <c r="AF338" s="184">
        <f>AD338+AE338</f>
        <v/>
      </c>
      <c r="AG338" s="191">
        <f>IF(AND(AF338&gt;=$F$14,AF337&lt;$F$14),J338,"")</f>
        <v/>
      </c>
      <c r="AH338" s="191">
        <f>IF(AND(AF338&gt;=$F$15,AF337&lt;$F$15),J338,"")</f>
        <v/>
      </c>
      <c r="AI338" s="191">
        <f>IF(AND(AF338&gt;=$F$16,AF337&lt;$F$16),J338,"")</f>
        <v/>
      </c>
      <c r="AJ338" s="191">
        <f>IF(AND(AF338&gt;=$F$17,AF337&lt;$F$17),J338,"")</f>
        <v/>
      </c>
    </row>
    <row r="339" outlineLevel="1" ht="18" customHeight="1" s="326">
      <c r="A339" s="181">
        <f>$A$41</f>
        <v/>
      </c>
      <c r="B339" s="191">
        <f>$B$41</f>
        <v/>
      </c>
      <c r="C339" s="187">
        <f>$C$41</f>
        <v/>
      </c>
      <c r="D339" s="191">
        <f>$D$41</f>
        <v/>
      </c>
      <c r="E339" s="181">
        <f>$E$41</f>
        <v/>
      </c>
      <c r="F339" s="184">
        <f>$F$41</f>
        <v/>
      </c>
      <c r="G339" s="188">
        <f>$G$41</f>
        <v/>
      </c>
      <c r="H339" s="184">
        <f>$H$41</f>
        <v/>
      </c>
      <c r="I339" s="188">
        <f>$J$17</f>
        <v/>
      </c>
      <c r="J339" s="191" t="n">
        <v>4</v>
      </c>
      <c r="K339" s="191">
        <f>('Model Inputs'!$B$22-1)+J339</f>
        <v/>
      </c>
      <c r="L339" s="184">
        <f>IF(J339=1,'Model Inputs'!$B$25*(13-'Model Inputs'!$B$23)/12,'Model Inputs'!$B$25)</f>
        <v/>
      </c>
      <c r="M339" s="184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/>
      </c>
      <c r="N339" s="188">
        <f>IF(J339&lt;=2,0,'Model Inputs'!$B$32*SIN(2*PI()*(J339-3+'Model Inputs'!$B$34)/MAX(1,'Model Inputs'!$B$33)))</f>
        <v/>
      </c>
      <c r="O339" s="184">
        <f>M339*(1+N339)</f>
        <v/>
      </c>
      <c r="P339" s="184">
        <f>0.75*O338+0.25*O337</f>
        <v/>
      </c>
      <c r="Q339" s="184">
        <f>L339+P339+IF(J339=1,'Model Inputs'!$B$26,0)</f>
        <v/>
      </c>
      <c r="R339" s="184">
        <f>IF(J339&lt;=B339,Q339,IF(J339&lt;=B339+$J$18,L339,(SUMIFS($L$51:$L$350,$A$51:$A$350,$A339,$J$51:$J$350,$B339)+SUMIFS($O$51:$O$350,$A$51:$A$350,$A339,$J$51:$J$350,$B339))*C339))</f>
        <v/>
      </c>
      <c r="S339" s="184">
        <f>H339+F339*G339*(1+I339)^MAX(0,J339-MAX(D339,B339+$J$18+1))</f>
        <v/>
      </c>
      <c r="T339" s="184">
        <f>IF(J339&gt;=MAX(D339,B339+$J$18+1),S339,R339)</f>
        <v/>
      </c>
      <c r="U339" s="184">
        <f>MIN(T339,'Tax Assumptions'!$B$19)</f>
        <v/>
      </c>
      <c r="V339" s="184">
        <f>MAX(T339-U339-'Tax Assumptions'!$B$8,0)</f>
        <v/>
      </c>
      <c r="W339" s="184">
        <f>MAX(T339-U339-'Tax Assumptions'!$B$9,0)</f>
        <v/>
      </c>
      <c r="X339" s="184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/>
      </c>
      <c r="Y339" s="184">
        <f>T339-U339-X339</f>
        <v/>
      </c>
      <c r="Z339" s="184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/>
      </c>
      <c r="AA339" s="184">
        <f>Y339-Z339</f>
        <v/>
      </c>
      <c r="AB339" s="184">
        <f>MIN(MAX(AA339,0),'Tax Assumptions'!$B$20)</f>
        <v/>
      </c>
      <c r="AC339" s="184">
        <f>AA339-AB339</f>
        <v/>
      </c>
      <c r="AD339" s="184">
        <f>MAX(AD338*(1+'Model Inputs'!$B$13)+AC339,0)</f>
        <v/>
      </c>
      <c r="AE339" s="184">
        <f>MAX(AE338*(1+'Model Inputs'!$B$13)+U339+AB339,0)</f>
        <v/>
      </c>
      <c r="AF339" s="184">
        <f>AD339+AE339</f>
        <v/>
      </c>
      <c r="AG339" s="191">
        <f>IF(AND(AF339&gt;=$F$14,AF338&lt;$F$14),J339,"")</f>
        <v/>
      </c>
      <c r="AH339" s="191">
        <f>IF(AND(AF339&gt;=$F$15,AF338&lt;$F$15),J339,"")</f>
        <v/>
      </c>
      <c r="AI339" s="191">
        <f>IF(AND(AF339&gt;=$F$16,AF338&lt;$F$16),J339,"")</f>
        <v/>
      </c>
      <c r="AJ339" s="191">
        <f>IF(AND(AF339&gt;=$F$17,AF338&lt;$F$17),J339,"")</f>
        <v/>
      </c>
    </row>
    <row r="340" outlineLevel="1" ht="18" customHeight="1" s="326">
      <c r="A340" s="181">
        <f>$A$41</f>
        <v/>
      </c>
      <c r="B340" s="191">
        <f>$B$41</f>
        <v/>
      </c>
      <c r="C340" s="187">
        <f>$C$41</f>
        <v/>
      </c>
      <c r="D340" s="191">
        <f>$D$41</f>
        <v/>
      </c>
      <c r="E340" s="181">
        <f>$E$41</f>
        <v/>
      </c>
      <c r="F340" s="184">
        <f>$F$41</f>
        <v/>
      </c>
      <c r="G340" s="188">
        <f>$G$41</f>
        <v/>
      </c>
      <c r="H340" s="184">
        <f>$H$41</f>
        <v/>
      </c>
      <c r="I340" s="188">
        <f>$J$17</f>
        <v/>
      </c>
      <c r="J340" s="191" t="n">
        <v>5</v>
      </c>
      <c r="K340" s="191">
        <f>('Model Inputs'!$B$22-1)+J340</f>
        <v/>
      </c>
      <c r="L340" s="184">
        <f>IF(J340=1,'Model Inputs'!$B$25*(13-'Model Inputs'!$B$23)/12,'Model Inputs'!$B$25)</f>
        <v/>
      </c>
      <c r="M340" s="184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/>
      </c>
      <c r="N340" s="188">
        <f>IF(J340&lt;=2,0,'Model Inputs'!$B$32*SIN(2*PI()*(J340-3+'Model Inputs'!$B$34)/MAX(1,'Model Inputs'!$B$33)))</f>
        <v/>
      </c>
      <c r="O340" s="184">
        <f>M340*(1+N340)</f>
        <v/>
      </c>
      <c r="P340" s="184">
        <f>0.75*O339+0.25*O338</f>
        <v/>
      </c>
      <c r="Q340" s="184">
        <f>L340+P340+IF(J340=1,'Model Inputs'!$B$26,0)</f>
        <v/>
      </c>
      <c r="R340" s="184">
        <f>IF(J340&lt;=B340,Q340,IF(J340&lt;=B340+$J$18,L340,(SUMIFS($L$51:$L$350,$A$51:$A$350,$A340,$J$51:$J$350,$B340)+SUMIFS($O$51:$O$350,$A$51:$A$350,$A340,$J$51:$J$350,$B340))*C340))</f>
        <v/>
      </c>
      <c r="S340" s="184">
        <f>H340+F340*G340*(1+I340)^MAX(0,J340-MAX(D340,B340+$J$18+1))</f>
        <v/>
      </c>
      <c r="T340" s="184">
        <f>IF(J340&gt;=MAX(D340,B340+$J$18+1),S340,R340)</f>
        <v/>
      </c>
      <c r="U340" s="184">
        <f>MIN(T340,'Tax Assumptions'!$B$19)</f>
        <v/>
      </c>
      <c r="V340" s="184">
        <f>MAX(T340-U340-'Tax Assumptions'!$B$8,0)</f>
        <v/>
      </c>
      <c r="W340" s="184">
        <f>MAX(T340-U340-'Tax Assumptions'!$B$9,0)</f>
        <v/>
      </c>
      <c r="X340" s="184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/>
      </c>
      <c r="Y340" s="184">
        <f>T340-U340-X340</f>
        <v/>
      </c>
      <c r="Z340" s="184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/>
      </c>
      <c r="AA340" s="184">
        <f>Y340-Z340</f>
        <v/>
      </c>
      <c r="AB340" s="184">
        <f>MIN(MAX(AA340,0),'Tax Assumptions'!$B$20)</f>
        <v/>
      </c>
      <c r="AC340" s="184">
        <f>AA340-AB340</f>
        <v/>
      </c>
      <c r="AD340" s="184">
        <f>MAX(AD339*(1+'Model Inputs'!$B$13)+AC340,0)</f>
        <v/>
      </c>
      <c r="AE340" s="184">
        <f>MAX(AE339*(1+'Model Inputs'!$B$13)+U340+AB340,0)</f>
        <v/>
      </c>
      <c r="AF340" s="184">
        <f>AD340+AE340</f>
        <v/>
      </c>
      <c r="AG340" s="191">
        <f>IF(AND(AF340&gt;=$F$14,AF339&lt;$F$14),J340,"")</f>
        <v/>
      </c>
      <c r="AH340" s="191">
        <f>IF(AND(AF340&gt;=$F$15,AF339&lt;$F$15),J340,"")</f>
        <v/>
      </c>
      <c r="AI340" s="191">
        <f>IF(AND(AF340&gt;=$F$16,AF339&lt;$F$16),J340,"")</f>
        <v/>
      </c>
      <c r="AJ340" s="191">
        <f>IF(AND(AF340&gt;=$F$17,AF339&lt;$F$17),J340,"")</f>
        <v/>
      </c>
    </row>
    <row r="341" outlineLevel="1" ht="18" customHeight="1" s="326">
      <c r="A341" s="181">
        <f>$A$41</f>
        <v/>
      </c>
      <c r="B341" s="191">
        <f>$B$41</f>
        <v/>
      </c>
      <c r="C341" s="187">
        <f>$C$41</f>
        <v/>
      </c>
      <c r="D341" s="191">
        <f>$D$41</f>
        <v/>
      </c>
      <c r="E341" s="181">
        <f>$E$41</f>
        <v/>
      </c>
      <c r="F341" s="184">
        <f>$F$41</f>
        <v/>
      </c>
      <c r="G341" s="188">
        <f>$G$41</f>
        <v/>
      </c>
      <c r="H341" s="184">
        <f>$H$41</f>
        <v/>
      </c>
      <c r="I341" s="188">
        <f>$J$17</f>
        <v/>
      </c>
      <c r="J341" s="191" t="n">
        <v>6</v>
      </c>
      <c r="K341" s="191">
        <f>('Model Inputs'!$B$22-1)+J341</f>
        <v/>
      </c>
      <c r="L341" s="184">
        <f>IF(J341=1,'Model Inputs'!$B$25*(13-'Model Inputs'!$B$23)/12,'Model Inputs'!$B$25)</f>
        <v/>
      </c>
      <c r="M341" s="184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/>
      </c>
      <c r="N341" s="188">
        <f>IF(J341&lt;=2,0,'Model Inputs'!$B$32*SIN(2*PI()*(J341-3+'Model Inputs'!$B$34)/MAX(1,'Model Inputs'!$B$33)))</f>
        <v/>
      </c>
      <c r="O341" s="184">
        <f>M341*(1+N341)</f>
        <v/>
      </c>
      <c r="P341" s="184">
        <f>0.75*O340+0.25*O339</f>
        <v/>
      </c>
      <c r="Q341" s="184">
        <f>L341+P341+IF(J341=1,'Model Inputs'!$B$26,0)</f>
        <v/>
      </c>
      <c r="R341" s="184">
        <f>IF(J341&lt;=B341,Q341,IF(J341&lt;=B341+$J$18,L341,(SUMIFS($L$51:$L$350,$A$51:$A$350,$A341,$J$51:$J$350,$B341)+SUMIFS($O$51:$O$350,$A$51:$A$350,$A341,$J$51:$J$350,$B341))*C341))</f>
        <v/>
      </c>
      <c r="S341" s="184">
        <f>H341+F341*G341*(1+I341)^MAX(0,J341-MAX(D341,B341+$J$18+1))</f>
        <v/>
      </c>
      <c r="T341" s="184">
        <f>IF(J341&gt;=MAX(D341,B341+$J$18+1),S341,R341)</f>
        <v/>
      </c>
      <c r="U341" s="184">
        <f>MIN(T341,'Tax Assumptions'!$B$19)</f>
        <v/>
      </c>
      <c r="V341" s="184">
        <f>MAX(T341-U341-'Tax Assumptions'!$B$8,0)</f>
        <v/>
      </c>
      <c r="W341" s="184">
        <f>MAX(T341-U341-'Tax Assumptions'!$B$9,0)</f>
        <v/>
      </c>
      <c r="X341" s="184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/>
      </c>
      <c r="Y341" s="184">
        <f>T341-U341-X341</f>
        <v/>
      </c>
      <c r="Z341" s="184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/>
      </c>
      <c r="AA341" s="184">
        <f>Y341-Z341</f>
        <v/>
      </c>
      <c r="AB341" s="184">
        <f>MIN(MAX(AA341,0),'Tax Assumptions'!$B$20)</f>
        <v/>
      </c>
      <c r="AC341" s="184">
        <f>AA341-AB341</f>
        <v/>
      </c>
      <c r="AD341" s="184">
        <f>MAX(AD340*(1+'Model Inputs'!$B$13)+AC341,0)</f>
        <v/>
      </c>
      <c r="AE341" s="184">
        <f>MAX(AE340*(1+'Model Inputs'!$B$13)+U341+AB341,0)</f>
        <v/>
      </c>
      <c r="AF341" s="184">
        <f>AD341+AE341</f>
        <v/>
      </c>
      <c r="AG341" s="191">
        <f>IF(AND(AF341&gt;=$F$14,AF340&lt;$F$14),J341,"")</f>
        <v/>
      </c>
      <c r="AH341" s="191">
        <f>IF(AND(AF341&gt;=$F$15,AF340&lt;$F$15),J341,"")</f>
        <v/>
      </c>
      <c r="AI341" s="191">
        <f>IF(AND(AF341&gt;=$F$16,AF340&lt;$F$16),J341,"")</f>
        <v/>
      </c>
      <c r="AJ341" s="191">
        <f>IF(AND(AF341&gt;=$F$17,AF340&lt;$F$17),J341,"")</f>
        <v/>
      </c>
    </row>
    <row r="342" outlineLevel="1" ht="18" customHeight="1" s="326">
      <c r="A342" s="181">
        <f>$A$41</f>
        <v/>
      </c>
      <c r="B342" s="191">
        <f>$B$41</f>
        <v/>
      </c>
      <c r="C342" s="187">
        <f>$C$41</f>
        <v/>
      </c>
      <c r="D342" s="191">
        <f>$D$41</f>
        <v/>
      </c>
      <c r="E342" s="181">
        <f>$E$41</f>
        <v/>
      </c>
      <c r="F342" s="184">
        <f>$F$41</f>
        <v/>
      </c>
      <c r="G342" s="188">
        <f>$G$41</f>
        <v/>
      </c>
      <c r="H342" s="184">
        <f>$H$41</f>
        <v/>
      </c>
      <c r="I342" s="188">
        <f>$J$17</f>
        <v/>
      </c>
      <c r="J342" s="191" t="n">
        <v>7</v>
      </c>
      <c r="K342" s="191">
        <f>('Model Inputs'!$B$22-1)+J342</f>
        <v/>
      </c>
      <c r="L342" s="184">
        <f>IF(J342=1,'Model Inputs'!$B$25*(13-'Model Inputs'!$B$23)/12,'Model Inputs'!$B$25)</f>
        <v/>
      </c>
      <c r="M342" s="184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/>
      </c>
      <c r="N342" s="188">
        <f>IF(J342&lt;=2,0,'Model Inputs'!$B$32*SIN(2*PI()*(J342-3+'Model Inputs'!$B$34)/MAX(1,'Model Inputs'!$B$33)))</f>
        <v/>
      </c>
      <c r="O342" s="184">
        <f>M342*(1+N342)</f>
        <v/>
      </c>
      <c r="P342" s="184">
        <f>0.75*O341+0.25*O340</f>
        <v/>
      </c>
      <c r="Q342" s="184">
        <f>L342+P342+IF(J342=1,'Model Inputs'!$B$26,0)</f>
        <v/>
      </c>
      <c r="R342" s="184">
        <f>IF(J342&lt;=B342,Q342,IF(J342&lt;=B342+$J$18,L342,(SUMIFS($L$51:$L$350,$A$51:$A$350,$A342,$J$51:$J$350,$B342)+SUMIFS($O$51:$O$350,$A$51:$A$350,$A342,$J$51:$J$350,$B342))*C342))</f>
        <v/>
      </c>
      <c r="S342" s="184">
        <f>H342+F342*G342*(1+I342)^MAX(0,J342-MAX(D342,B342+$J$18+1))</f>
        <v/>
      </c>
      <c r="T342" s="184">
        <f>IF(J342&gt;=MAX(D342,B342+$J$18+1),S342,R342)</f>
        <v/>
      </c>
      <c r="U342" s="184">
        <f>MIN(T342,'Tax Assumptions'!$B$19)</f>
        <v/>
      </c>
      <c r="V342" s="184">
        <f>MAX(T342-U342-'Tax Assumptions'!$B$8,0)</f>
        <v/>
      </c>
      <c r="W342" s="184">
        <f>MAX(T342-U342-'Tax Assumptions'!$B$9,0)</f>
        <v/>
      </c>
      <c r="X342" s="184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/>
      </c>
      <c r="Y342" s="184">
        <f>T342-U342-X342</f>
        <v/>
      </c>
      <c r="Z342" s="184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/>
      </c>
      <c r="AA342" s="184">
        <f>Y342-Z342</f>
        <v/>
      </c>
      <c r="AB342" s="184">
        <f>MIN(MAX(AA342,0),'Tax Assumptions'!$B$20)</f>
        <v/>
      </c>
      <c r="AC342" s="184">
        <f>AA342-AB342</f>
        <v/>
      </c>
      <c r="AD342" s="184">
        <f>MAX(AD341*(1+'Model Inputs'!$B$13)+AC342,0)</f>
        <v/>
      </c>
      <c r="AE342" s="184">
        <f>MAX(AE341*(1+'Model Inputs'!$B$13)+U342+AB342,0)</f>
        <v/>
      </c>
      <c r="AF342" s="184">
        <f>AD342+AE342</f>
        <v/>
      </c>
      <c r="AG342" s="191">
        <f>IF(AND(AF342&gt;=$F$14,AF341&lt;$F$14),J342,"")</f>
        <v/>
      </c>
      <c r="AH342" s="191">
        <f>IF(AND(AF342&gt;=$F$15,AF341&lt;$F$15),J342,"")</f>
        <v/>
      </c>
      <c r="AI342" s="191">
        <f>IF(AND(AF342&gt;=$F$16,AF341&lt;$F$16),J342,"")</f>
        <v/>
      </c>
      <c r="AJ342" s="191">
        <f>IF(AND(AF342&gt;=$F$17,AF341&lt;$F$17),J342,"")</f>
        <v/>
      </c>
    </row>
    <row r="343" outlineLevel="1" ht="18" customHeight="1" s="326">
      <c r="A343" s="181">
        <f>$A$41</f>
        <v/>
      </c>
      <c r="B343" s="191">
        <f>$B$41</f>
        <v/>
      </c>
      <c r="C343" s="187">
        <f>$C$41</f>
        <v/>
      </c>
      <c r="D343" s="191">
        <f>$D$41</f>
        <v/>
      </c>
      <c r="E343" s="181">
        <f>$E$41</f>
        <v/>
      </c>
      <c r="F343" s="184">
        <f>$F$41</f>
        <v/>
      </c>
      <c r="G343" s="188">
        <f>$G$41</f>
        <v/>
      </c>
      <c r="H343" s="184">
        <f>$H$41</f>
        <v/>
      </c>
      <c r="I343" s="188">
        <f>$J$17</f>
        <v/>
      </c>
      <c r="J343" s="191" t="n">
        <v>8</v>
      </c>
      <c r="K343" s="191">
        <f>('Model Inputs'!$B$22-1)+J343</f>
        <v/>
      </c>
      <c r="L343" s="184">
        <f>IF(J343=1,'Model Inputs'!$B$25*(13-'Model Inputs'!$B$23)/12,'Model Inputs'!$B$25)</f>
        <v/>
      </c>
      <c r="M343" s="184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/>
      </c>
      <c r="N343" s="188">
        <f>IF(J343&lt;=2,0,'Model Inputs'!$B$32*SIN(2*PI()*(J343-3+'Model Inputs'!$B$34)/MAX(1,'Model Inputs'!$B$33)))</f>
        <v/>
      </c>
      <c r="O343" s="184">
        <f>M343*(1+N343)</f>
        <v/>
      </c>
      <c r="P343" s="184">
        <f>0.75*O342+0.25*O341</f>
        <v/>
      </c>
      <c r="Q343" s="184">
        <f>L343+P343+IF(J343=1,'Model Inputs'!$B$26,0)</f>
        <v/>
      </c>
      <c r="R343" s="184">
        <f>IF(J343&lt;=B343,Q343,IF(J343&lt;=B343+$J$18,L343,(SUMIFS($L$51:$L$350,$A$51:$A$350,$A343,$J$51:$J$350,$B343)+SUMIFS($O$51:$O$350,$A$51:$A$350,$A343,$J$51:$J$350,$B343))*C343))</f>
        <v/>
      </c>
      <c r="S343" s="184">
        <f>H343+F343*G343*(1+I343)^MAX(0,J343-MAX(D343,B343+$J$18+1))</f>
        <v/>
      </c>
      <c r="T343" s="184">
        <f>IF(J343&gt;=MAX(D343,B343+$J$18+1),S343,R343)</f>
        <v/>
      </c>
      <c r="U343" s="184">
        <f>MIN(T343,'Tax Assumptions'!$B$19)</f>
        <v/>
      </c>
      <c r="V343" s="184">
        <f>MAX(T343-U343-'Tax Assumptions'!$B$8,0)</f>
        <v/>
      </c>
      <c r="W343" s="184">
        <f>MAX(T343-U343-'Tax Assumptions'!$B$9,0)</f>
        <v/>
      </c>
      <c r="X343" s="184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/>
      </c>
      <c r="Y343" s="184">
        <f>T343-U343-X343</f>
        <v/>
      </c>
      <c r="Z343" s="184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/>
      </c>
      <c r="AA343" s="184">
        <f>Y343-Z343</f>
        <v/>
      </c>
      <c r="AB343" s="184">
        <f>MIN(MAX(AA343,0),'Tax Assumptions'!$B$20)</f>
        <v/>
      </c>
      <c r="AC343" s="184">
        <f>AA343-AB343</f>
        <v/>
      </c>
      <c r="AD343" s="184">
        <f>MAX(AD342*(1+'Model Inputs'!$B$13)+AC343,0)</f>
        <v/>
      </c>
      <c r="AE343" s="184">
        <f>MAX(AE342*(1+'Model Inputs'!$B$13)+U343+AB343,0)</f>
        <v/>
      </c>
      <c r="AF343" s="184">
        <f>AD343+AE343</f>
        <v/>
      </c>
      <c r="AG343" s="191">
        <f>IF(AND(AF343&gt;=$F$14,AF342&lt;$F$14),J343,"")</f>
        <v/>
      </c>
      <c r="AH343" s="191">
        <f>IF(AND(AF343&gt;=$F$15,AF342&lt;$F$15),J343,"")</f>
        <v/>
      </c>
      <c r="AI343" s="191">
        <f>IF(AND(AF343&gt;=$F$16,AF342&lt;$F$16),J343,"")</f>
        <v/>
      </c>
      <c r="AJ343" s="191">
        <f>IF(AND(AF343&gt;=$F$17,AF342&lt;$F$17),J343,"")</f>
        <v/>
      </c>
    </row>
    <row r="344" outlineLevel="1" ht="18" customHeight="1" s="326">
      <c r="A344" s="181">
        <f>$A$41</f>
        <v/>
      </c>
      <c r="B344" s="191">
        <f>$B$41</f>
        <v/>
      </c>
      <c r="C344" s="187">
        <f>$C$41</f>
        <v/>
      </c>
      <c r="D344" s="191">
        <f>$D$41</f>
        <v/>
      </c>
      <c r="E344" s="181">
        <f>$E$41</f>
        <v/>
      </c>
      <c r="F344" s="184">
        <f>$F$41</f>
        <v/>
      </c>
      <c r="G344" s="188">
        <f>$G$41</f>
        <v/>
      </c>
      <c r="H344" s="184">
        <f>$H$41</f>
        <v/>
      </c>
      <c r="I344" s="188">
        <f>$J$17</f>
        <v/>
      </c>
      <c r="J344" s="191" t="n">
        <v>9</v>
      </c>
      <c r="K344" s="191">
        <f>('Model Inputs'!$B$22-1)+J344</f>
        <v/>
      </c>
      <c r="L344" s="184">
        <f>IF(J344=1,'Model Inputs'!$B$25*(13-'Model Inputs'!$B$23)/12,'Model Inputs'!$B$25)</f>
        <v/>
      </c>
      <c r="M344" s="184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/>
      </c>
      <c r="N344" s="188">
        <f>IF(J344&lt;=2,0,'Model Inputs'!$B$32*SIN(2*PI()*(J344-3+'Model Inputs'!$B$34)/MAX(1,'Model Inputs'!$B$33)))</f>
        <v/>
      </c>
      <c r="O344" s="184">
        <f>M344*(1+N344)</f>
        <v/>
      </c>
      <c r="P344" s="184">
        <f>0.75*O343+0.25*O342</f>
        <v/>
      </c>
      <c r="Q344" s="184">
        <f>L344+P344+IF(J344=1,'Model Inputs'!$B$26,0)</f>
        <v/>
      </c>
      <c r="R344" s="184">
        <f>IF(J344&lt;=B344,Q344,IF(J344&lt;=B344+$J$18,L344,(SUMIFS($L$51:$L$350,$A$51:$A$350,$A344,$J$51:$J$350,$B344)+SUMIFS($O$51:$O$350,$A$51:$A$350,$A344,$J$51:$J$350,$B344))*C344))</f>
        <v/>
      </c>
      <c r="S344" s="184">
        <f>H344+F344*G344*(1+I344)^MAX(0,J344-MAX(D344,B344+$J$18+1))</f>
        <v/>
      </c>
      <c r="T344" s="184">
        <f>IF(J344&gt;=MAX(D344,B344+$J$18+1),S344,R344)</f>
        <v/>
      </c>
      <c r="U344" s="184">
        <f>MIN(T344,'Tax Assumptions'!$B$19)</f>
        <v/>
      </c>
      <c r="V344" s="184">
        <f>MAX(T344-U344-'Tax Assumptions'!$B$8,0)</f>
        <v/>
      </c>
      <c r="W344" s="184">
        <f>MAX(T344-U344-'Tax Assumptions'!$B$9,0)</f>
        <v/>
      </c>
      <c r="X344" s="184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/>
      </c>
      <c r="Y344" s="184">
        <f>T344-U344-X344</f>
        <v/>
      </c>
      <c r="Z344" s="184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/>
      </c>
      <c r="AA344" s="184">
        <f>Y344-Z344</f>
        <v/>
      </c>
      <c r="AB344" s="184">
        <f>MIN(MAX(AA344,0),'Tax Assumptions'!$B$20)</f>
        <v/>
      </c>
      <c r="AC344" s="184">
        <f>AA344-AB344</f>
        <v/>
      </c>
      <c r="AD344" s="184">
        <f>MAX(AD343*(1+'Model Inputs'!$B$13)+AC344,0)</f>
        <v/>
      </c>
      <c r="AE344" s="184">
        <f>MAX(AE343*(1+'Model Inputs'!$B$13)+U344+AB344,0)</f>
        <v/>
      </c>
      <c r="AF344" s="184">
        <f>AD344+AE344</f>
        <v/>
      </c>
      <c r="AG344" s="191">
        <f>IF(AND(AF344&gt;=$F$14,AF343&lt;$F$14),J344,"")</f>
        <v/>
      </c>
      <c r="AH344" s="191">
        <f>IF(AND(AF344&gt;=$F$15,AF343&lt;$F$15),J344,"")</f>
        <v/>
      </c>
      <c r="AI344" s="191">
        <f>IF(AND(AF344&gt;=$F$16,AF343&lt;$F$16),J344,"")</f>
        <v/>
      </c>
      <c r="AJ344" s="191">
        <f>IF(AND(AF344&gt;=$F$17,AF343&lt;$F$17),J344,"")</f>
        <v/>
      </c>
    </row>
    <row r="345" outlineLevel="1" ht="18" customHeight="1" s="326">
      <c r="A345" s="181">
        <f>$A$41</f>
        <v/>
      </c>
      <c r="B345" s="191">
        <f>$B$41</f>
        <v/>
      </c>
      <c r="C345" s="187">
        <f>$C$41</f>
        <v/>
      </c>
      <c r="D345" s="191">
        <f>$D$41</f>
        <v/>
      </c>
      <c r="E345" s="181">
        <f>$E$41</f>
        <v/>
      </c>
      <c r="F345" s="184">
        <f>$F$41</f>
        <v/>
      </c>
      <c r="G345" s="188">
        <f>$G$41</f>
        <v/>
      </c>
      <c r="H345" s="184">
        <f>$H$41</f>
        <v/>
      </c>
      <c r="I345" s="188">
        <f>$J$17</f>
        <v/>
      </c>
      <c r="J345" s="191" t="n">
        <v>10</v>
      </c>
      <c r="K345" s="191">
        <f>('Model Inputs'!$B$22-1)+J345</f>
        <v/>
      </c>
      <c r="L345" s="184">
        <f>IF(J345=1,'Model Inputs'!$B$25*(13-'Model Inputs'!$B$23)/12,'Model Inputs'!$B$25)</f>
        <v/>
      </c>
      <c r="M345" s="184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/>
      </c>
      <c r="N345" s="188">
        <f>IF(J345&lt;=2,0,'Model Inputs'!$B$32*SIN(2*PI()*(J345-3+'Model Inputs'!$B$34)/MAX(1,'Model Inputs'!$B$33)))</f>
        <v/>
      </c>
      <c r="O345" s="184">
        <f>M345*(1+N345)</f>
        <v/>
      </c>
      <c r="P345" s="184">
        <f>0.75*O344+0.25*O343</f>
        <v/>
      </c>
      <c r="Q345" s="184">
        <f>L345+P345+IF(J345=1,'Model Inputs'!$B$26,0)</f>
        <v/>
      </c>
      <c r="R345" s="184">
        <f>IF(J345&lt;=B345,Q345,IF(J345&lt;=B345+$J$18,L345,(SUMIFS($L$51:$L$350,$A$51:$A$350,$A345,$J$51:$J$350,$B345)+SUMIFS($O$51:$O$350,$A$51:$A$350,$A345,$J$51:$J$350,$B345))*C345))</f>
        <v/>
      </c>
      <c r="S345" s="184">
        <f>H345+F345*G345*(1+I345)^MAX(0,J345-MAX(D345,B345+$J$18+1))</f>
        <v/>
      </c>
      <c r="T345" s="184">
        <f>IF(J345&gt;=MAX(D345,B345+$J$18+1),S345,R345)</f>
        <v/>
      </c>
      <c r="U345" s="184">
        <f>MIN(T345,'Tax Assumptions'!$B$19)</f>
        <v/>
      </c>
      <c r="V345" s="184">
        <f>MAX(T345-U345-'Tax Assumptions'!$B$8,0)</f>
        <v/>
      </c>
      <c r="W345" s="184">
        <f>MAX(T345-U345-'Tax Assumptions'!$B$9,0)</f>
        <v/>
      </c>
      <c r="X345" s="184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/>
      </c>
      <c r="Y345" s="184">
        <f>T345-U345-X345</f>
        <v/>
      </c>
      <c r="Z345" s="184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/>
      </c>
      <c r="AA345" s="184">
        <f>Y345-Z345</f>
        <v/>
      </c>
      <c r="AB345" s="184">
        <f>MIN(MAX(AA345,0),'Tax Assumptions'!$B$20)</f>
        <v/>
      </c>
      <c r="AC345" s="184">
        <f>AA345-AB345</f>
        <v/>
      </c>
      <c r="AD345" s="184">
        <f>MAX(AD344*(1+'Model Inputs'!$B$13)+AC345,0)</f>
        <v/>
      </c>
      <c r="AE345" s="184">
        <f>MAX(AE344*(1+'Model Inputs'!$B$13)+U345+AB345,0)</f>
        <v/>
      </c>
      <c r="AF345" s="184">
        <f>AD345+AE345</f>
        <v/>
      </c>
      <c r="AG345" s="191">
        <f>IF(AND(AF345&gt;=$F$14,AF344&lt;$F$14),J345,"")</f>
        <v/>
      </c>
      <c r="AH345" s="191">
        <f>IF(AND(AF345&gt;=$F$15,AF344&lt;$F$15),J345,"")</f>
        <v/>
      </c>
      <c r="AI345" s="191">
        <f>IF(AND(AF345&gt;=$F$16,AF344&lt;$F$16),J345,"")</f>
        <v/>
      </c>
      <c r="AJ345" s="191">
        <f>IF(AND(AF345&gt;=$F$17,AF344&lt;$F$17),J345,"")</f>
        <v/>
      </c>
    </row>
    <row r="346" outlineLevel="1" ht="18" customHeight="1" s="326">
      <c r="A346" s="181">
        <f>$A$41</f>
        <v/>
      </c>
      <c r="B346" s="191">
        <f>$B$41</f>
        <v/>
      </c>
      <c r="C346" s="187">
        <f>$C$41</f>
        <v/>
      </c>
      <c r="D346" s="191">
        <f>$D$41</f>
        <v/>
      </c>
      <c r="E346" s="181">
        <f>$E$41</f>
        <v/>
      </c>
      <c r="F346" s="184">
        <f>$F$41</f>
        <v/>
      </c>
      <c r="G346" s="188">
        <f>$G$41</f>
        <v/>
      </c>
      <c r="H346" s="184">
        <f>$H$41</f>
        <v/>
      </c>
      <c r="I346" s="188">
        <f>$J$17</f>
        <v/>
      </c>
      <c r="J346" s="191" t="n">
        <v>11</v>
      </c>
      <c r="K346" s="191">
        <f>('Model Inputs'!$B$22-1)+J346</f>
        <v/>
      </c>
      <c r="L346" s="184">
        <f>IF(J346=1,'Model Inputs'!$B$25*(13-'Model Inputs'!$B$23)/12,'Model Inputs'!$B$25)</f>
        <v/>
      </c>
      <c r="M346" s="184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/>
      </c>
      <c r="N346" s="188">
        <f>IF(J346&lt;=2,0,'Model Inputs'!$B$32*SIN(2*PI()*(J346-3+'Model Inputs'!$B$34)/MAX(1,'Model Inputs'!$B$33)))</f>
        <v/>
      </c>
      <c r="O346" s="184">
        <f>M346*(1+N346)</f>
        <v/>
      </c>
      <c r="P346" s="184">
        <f>0.75*O345+0.25*O344</f>
        <v/>
      </c>
      <c r="Q346" s="184">
        <f>L346+P346+IF(J346=1,'Model Inputs'!$B$26,0)</f>
        <v/>
      </c>
      <c r="R346" s="184">
        <f>IF(J346&lt;=B346,Q346,IF(J346&lt;=B346+$J$18,L346,(SUMIFS($L$51:$L$350,$A$51:$A$350,$A346,$J$51:$J$350,$B346)+SUMIFS($O$51:$O$350,$A$51:$A$350,$A346,$J$51:$J$350,$B346))*C346))</f>
        <v/>
      </c>
      <c r="S346" s="184">
        <f>H346+F346*G346*(1+I346)^MAX(0,J346-MAX(D346,B346+$J$18+1))</f>
        <v/>
      </c>
      <c r="T346" s="184">
        <f>IF(J346&gt;=MAX(D346,B346+$J$18+1),S346,R346)</f>
        <v/>
      </c>
      <c r="U346" s="184">
        <f>MIN(T346,'Tax Assumptions'!$B$19)</f>
        <v/>
      </c>
      <c r="V346" s="184">
        <f>MAX(T346-U346-'Tax Assumptions'!$B$8,0)</f>
        <v/>
      </c>
      <c r="W346" s="184">
        <f>MAX(T346-U346-'Tax Assumptions'!$B$9,0)</f>
        <v/>
      </c>
      <c r="X346" s="184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/>
      </c>
      <c r="Y346" s="184">
        <f>T346-U346-X346</f>
        <v/>
      </c>
      <c r="Z346" s="184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/>
      </c>
      <c r="AA346" s="184">
        <f>Y346-Z346</f>
        <v/>
      </c>
      <c r="AB346" s="184">
        <f>MIN(MAX(AA346,0),'Tax Assumptions'!$B$20)</f>
        <v/>
      </c>
      <c r="AC346" s="184">
        <f>AA346-AB346</f>
        <v/>
      </c>
      <c r="AD346" s="184">
        <f>MAX(AD345*(1+'Model Inputs'!$B$13)+AC346,0)</f>
        <v/>
      </c>
      <c r="AE346" s="184">
        <f>MAX(AE345*(1+'Model Inputs'!$B$13)+U346+AB346,0)</f>
        <v/>
      </c>
      <c r="AF346" s="184">
        <f>AD346+AE346</f>
        <v/>
      </c>
      <c r="AG346" s="191">
        <f>IF(AND(AF346&gt;=$F$14,AF345&lt;$F$14),J346,"")</f>
        <v/>
      </c>
      <c r="AH346" s="191">
        <f>IF(AND(AF346&gt;=$F$15,AF345&lt;$F$15),J346,"")</f>
        <v/>
      </c>
      <c r="AI346" s="191">
        <f>IF(AND(AF346&gt;=$F$16,AF345&lt;$F$16),J346,"")</f>
        <v/>
      </c>
      <c r="AJ346" s="191">
        <f>IF(AND(AF346&gt;=$F$17,AF345&lt;$F$17),J346,"")</f>
        <v/>
      </c>
    </row>
    <row r="347" outlineLevel="1" ht="18" customHeight="1" s="326">
      <c r="A347" s="181">
        <f>$A$41</f>
        <v/>
      </c>
      <c r="B347" s="191">
        <f>$B$41</f>
        <v/>
      </c>
      <c r="C347" s="187">
        <f>$C$41</f>
        <v/>
      </c>
      <c r="D347" s="191">
        <f>$D$41</f>
        <v/>
      </c>
      <c r="E347" s="181">
        <f>$E$41</f>
        <v/>
      </c>
      <c r="F347" s="184">
        <f>$F$41</f>
        <v/>
      </c>
      <c r="G347" s="188">
        <f>$G$41</f>
        <v/>
      </c>
      <c r="H347" s="184">
        <f>$H$41</f>
        <v/>
      </c>
      <c r="I347" s="188">
        <f>$J$17</f>
        <v/>
      </c>
      <c r="J347" s="191" t="n">
        <v>12</v>
      </c>
      <c r="K347" s="191">
        <f>('Model Inputs'!$B$22-1)+J347</f>
        <v/>
      </c>
      <c r="L347" s="184">
        <f>IF(J347=1,'Model Inputs'!$B$25*(13-'Model Inputs'!$B$23)/12,'Model Inputs'!$B$25)</f>
        <v/>
      </c>
      <c r="M347" s="184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/>
      </c>
      <c r="N347" s="188">
        <f>IF(J347&lt;=2,0,'Model Inputs'!$B$32*SIN(2*PI()*(J347-3+'Model Inputs'!$B$34)/MAX(1,'Model Inputs'!$B$33)))</f>
        <v/>
      </c>
      <c r="O347" s="184">
        <f>M347*(1+N347)</f>
        <v/>
      </c>
      <c r="P347" s="184">
        <f>0.75*O346+0.25*O345</f>
        <v/>
      </c>
      <c r="Q347" s="184">
        <f>L347+P347+IF(J347=1,'Model Inputs'!$B$26,0)</f>
        <v/>
      </c>
      <c r="R347" s="184">
        <f>IF(J347&lt;=B347,Q347,IF(J347&lt;=B347+$J$18,L347,(SUMIFS($L$51:$L$350,$A$51:$A$350,$A347,$J$51:$J$350,$B347)+SUMIFS($O$51:$O$350,$A$51:$A$350,$A347,$J$51:$J$350,$B347))*C347))</f>
        <v/>
      </c>
      <c r="S347" s="184">
        <f>H347+F347*G347*(1+I347)^MAX(0,J347-MAX(D347,B347+$J$18+1))</f>
        <v/>
      </c>
      <c r="T347" s="184">
        <f>IF(J347&gt;=MAX(D347,B347+$J$18+1),S347,R347)</f>
        <v/>
      </c>
      <c r="U347" s="184">
        <f>MIN(T347,'Tax Assumptions'!$B$19)</f>
        <v/>
      </c>
      <c r="V347" s="184">
        <f>MAX(T347-U347-'Tax Assumptions'!$B$8,0)</f>
        <v/>
      </c>
      <c r="W347" s="184">
        <f>MAX(T347-U347-'Tax Assumptions'!$B$9,0)</f>
        <v/>
      </c>
      <c r="X347" s="184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/>
      </c>
      <c r="Y347" s="184">
        <f>T347-U347-X347</f>
        <v/>
      </c>
      <c r="Z347" s="184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/>
      </c>
      <c r="AA347" s="184">
        <f>Y347-Z347</f>
        <v/>
      </c>
      <c r="AB347" s="184">
        <f>MIN(MAX(AA347,0),'Tax Assumptions'!$B$20)</f>
        <v/>
      </c>
      <c r="AC347" s="184">
        <f>AA347-AB347</f>
        <v/>
      </c>
      <c r="AD347" s="184">
        <f>MAX(AD346*(1+'Model Inputs'!$B$13)+AC347,0)</f>
        <v/>
      </c>
      <c r="AE347" s="184">
        <f>MAX(AE346*(1+'Model Inputs'!$B$13)+U347+AB347,0)</f>
        <v/>
      </c>
      <c r="AF347" s="184">
        <f>AD347+AE347</f>
        <v/>
      </c>
      <c r="AG347" s="191">
        <f>IF(AND(AF347&gt;=$F$14,AF346&lt;$F$14),J347,"")</f>
        <v/>
      </c>
      <c r="AH347" s="191">
        <f>IF(AND(AF347&gt;=$F$15,AF346&lt;$F$15),J347,"")</f>
        <v/>
      </c>
      <c r="AI347" s="191">
        <f>IF(AND(AF347&gt;=$F$16,AF346&lt;$F$16),J347,"")</f>
        <v/>
      </c>
      <c r="AJ347" s="191">
        <f>IF(AND(AF347&gt;=$F$17,AF346&lt;$F$17),J347,"")</f>
        <v/>
      </c>
    </row>
    <row r="348" outlineLevel="1" ht="18" customHeight="1" s="326">
      <c r="A348" s="181">
        <f>$A$41</f>
        <v/>
      </c>
      <c r="B348" s="191">
        <f>$B$41</f>
        <v/>
      </c>
      <c r="C348" s="187">
        <f>$C$41</f>
        <v/>
      </c>
      <c r="D348" s="191">
        <f>$D$41</f>
        <v/>
      </c>
      <c r="E348" s="181">
        <f>$E$41</f>
        <v/>
      </c>
      <c r="F348" s="184">
        <f>$F$41</f>
        <v/>
      </c>
      <c r="G348" s="188">
        <f>$G$41</f>
        <v/>
      </c>
      <c r="H348" s="184">
        <f>$H$41</f>
        <v/>
      </c>
      <c r="I348" s="188">
        <f>$J$17</f>
        <v/>
      </c>
      <c r="J348" s="191" t="n">
        <v>13</v>
      </c>
      <c r="K348" s="191">
        <f>('Model Inputs'!$B$22-1)+J348</f>
        <v/>
      </c>
      <c r="L348" s="184">
        <f>IF(J348=1,'Model Inputs'!$B$25*(13-'Model Inputs'!$B$23)/12,'Model Inputs'!$B$25)</f>
        <v/>
      </c>
      <c r="M348" s="184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/>
      </c>
      <c r="N348" s="188">
        <f>IF(J348&lt;=2,0,'Model Inputs'!$B$32*SIN(2*PI()*(J348-3+'Model Inputs'!$B$34)/MAX(1,'Model Inputs'!$B$33)))</f>
        <v/>
      </c>
      <c r="O348" s="184">
        <f>M348*(1+N348)</f>
        <v/>
      </c>
      <c r="P348" s="184">
        <f>0.75*O347+0.25*O346</f>
        <v/>
      </c>
      <c r="Q348" s="184">
        <f>L348+P348+IF(J348=1,'Model Inputs'!$B$26,0)</f>
        <v/>
      </c>
      <c r="R348" s="184">
        <f>IF(J348&lt;=B348,Q348,IF(J348&lt;=B348+$J$18,L348,(SUMIFS($L$51:$L$350,$A$51:$A$350,$A348,$J$51:$J$350,$B348)+SUMIFS($O$51:$O$350,$A$51:$A$350,$A348,$J$51:$J$350,$B348))*C348))</f>
        <v/>
      </c>
      <c r="S348" s="184">
        <f>H348+F348*G348*(1+I348)^MAX(0,J348-MAX(D348,B348+$J$18+1))</f>
        <v/>
      </c>
      <c r="T348" s="184">
        <f>IF(J348&gt;=MAX(D348,B348+$J$18+1),S348,R348)</f>
        <v/>
      </c>
      <c r="U348" s="184">
        <f>MIN(T348,'Tax Assumptions'!$B$19)</f>
        <v/>
      </c>
      <c r="V348" s="184">
        <f>MAX(T348-U348-'Tax Assumptions'!$B$8,0)</f>
        <v/>
      </c>
      <c r="W348" s="184">
        <f>MAX(T348-U348-'Tax Assumptions'!$B$9,0)</f>
        <v/>
      </c>
      <c r="X348" s="184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/>
      </c>
      <c r="Y348" s="184">
        <f>T348-U348-X348</f>
        <v/>
      </c>
      <c r="Z348" s="184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/>
      </c>
      <c r="AA348" s="184">
        <f>Y348-Z348</f>
        <v/>
      </c>
      <c r="AB348" s="184">
        <f>MIN(MAX(AA348,0),'Tax Assumptions'!$B$20)</f>
        <v/>
      </c>
      <c r="AC348" s="184">
        <f>AA348-AB348</f>
        <v/>
      </c>
      <c r="AD348" s="184">
        <f>MAX(AD347*(1+'Model Inputs'!$B$13)+AC348,0)</f>
        <v/>
      </c>
      <c r="AE348" s="184">
        <f>MAX(AE347*(1+'Model Inputs'!$B$13)+U348+AB348,0)</f>
        <v/>
      </c>
      <c r="AF348" s="184">
        <f>AD348+AE348</f>
        <v/>
      </c>
      <c r="AG348" s="191">
        <f>IF(AND(AF348&gt;=$F$14,AF347&lt;$F$14),J348,"")</f>
        <v/>
      </c>
      <c r="AH348" s="191">
        <f>IF(AND(AF348&gt;=$F$15,AF347&lt;$F$15),J348,"")</f>
        <v/>
      </c>
      <c r="AI348" s="191">
        <f>IF(AND(AF348&gt;=$F$16,AF347&lt;$F$16),J348,"")</f>
        <v/>
      </c>
      <c r="AJ348" s="191">
        <f>IF(AND(AF348&gt;=$F$17,AF347&lt;$F$17),J348,"")</f>
        <v/>
      </c>
    </row>
    <row r="349" outlineLevel="1" ht="18" customHeight="1" s="326">
      <c r="A349" s="181">
        <f>$A$41</f>
        <v/>
      </c>
      <c r="B349" s="191">
        <f>$B$41</f>
        <v/>
      </c>
      <c r="C349" s="187">
        <f>$C$41</f>
        <v/>
      </c>
      <c r="D349" s="191">
        <f>$D$41</f>
        <v/>
      </c>
      <c r="E349" s="181">
        <f>$E$41</f>
        <v/>
      </c>
      <c r="F349" s="184">
        <f>$F$41</f>
        <v/>
      </c>
      <c r="G349" s="188">
        <f>$G$41</f>
        <v/>
      </c>
      <c r="H349" s="184">
        <f>$H$41</f>
        <v/>
      </c>
      <c r="I349" s="188">
        <f>$J$17</f>
        <v/>
      </c>
      <c r="J349" s="191" t="n">
        <v>14</v>
      </c>
      <c r="K349" s="191">
        <f>('Model Inputs'!$B$22-1)+J349</f>
        <v/>
      </c>
      <c r="L349" s="184">
        <f>IF(J349=1,'Model Inputs'!$B$25*(13-'Model Inputs'!$B$23)/12,'Model Inputs'!$B$25)</f>
        <v/>
      </c>
      <c r="M349" s="184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/>
      </c>
      <c r="N349" s="188">
        <f>IF(J349&lt;=2,0,'Model Inputs'!$B$32*SIN(2*PI()*(J349-3+'Model Inputs'!$B$34)/MAX(1,'Model Inputs'!$B$33)))</f>
        <v/>
      </c>
      <c r="O349" s="184">
        <f>M349*(1+N349)</f>
        <v/>
      </c>
      <c r="P349" s="184">
        <f>0.75*O348+0.25*O347</f>
        <v/>
      </c>
      <c r="Q349" s="184">
        <f>L349+P349+IF(J349=1,'Model Inputs'!$B$26,0)</f>
        <v/>
      </c>
      <c r="R349" s="184">
        <f>IF(J349&lt;=B349,Q349,IF(J349&lt;=B349+$J$18,L349,(SUMIFS($L$51:$L$350,$A$51:$A$350,$A349,$J$51:$J$350,$B349)+SUMIFS($O$51:$O$350,$A$51:$A$350,$A349,$J$51:$J$350,$B349))*C349))</f>
        <v/>
      </c>
      <c r="S349" s="184">
        <f>H349+F349*G349*(1+I349)^MAX(0,J349-MAX(D349,B349+$J$18+1))</f>
        <v/>
      </c>
      <c r="T349" s="184">
        <f>IF(J349&gt;=MAX(D349,B349+$J$18+1),S349,R349)</f>
        <v/>
      </c>
      <c r="U349" s="184">
        <f>MIN(T349,'Tax Assumptions'!$B$19)</f>
        <v/>
      </c>
      <c r="V349" s="184">
        <f>MAX(T349-U349-'Tax Assumptions'!$B$8,0)</f>
        <v/>
      </c>
      <c r="W349" s="184">
        <f>MAX(T349-U349-'Tax Assumptions'!$B$9,0)</f>
        <v/>
      </c>
      <c r="X349" s="184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/>
      </c>
      <c r="Y349" s="184">
        <f>T349-U349-X349</f>
        <v/>
      </c>
      <c r="Z349" s="184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/>
      </c>
      <c r="AA349" s="184">
        <f>Y349-Z349</f>
        <v/>
      </c>
      <c r="AB349" s="184">
        <f>MIN(MAX(AA349,0),'Tax Assumptions'!$B$20)</f>
        <v/>
      </c>
      <c r="AC349" s="184">
        <f>AA349-AB349</f>
        <v/>
      </c>
      <c r="AD349" s="184">
        <f>MAX(AD348*(1+'Model Inputs'!$B$13)+AC349,0)</f>
        <v/>
      </c>
      <c r="AE349" s="184">
        <f>MAX(AE348*(1+'Model Inputs'!$B$13)+U349+AB349,0)</f>
        <v/>
      </c>
      <c r="AF349" s="184">
        <f>AD349+AE349</f>
        <v/>
      </c>
      <c r="AG349" s="191">
        <f>IF(AND(AF349&gt;=$F$14,AF348&lt;$F$14),J349,"")</f>
        <v/>
      </c>
      <c r="AH349" s="191">
        <f>IF(AND(AF349&gt;=$F$15,AF348&lt;$F$15),J349,"")</f>
        <v/>
      </c>
      <c r="AI349" s="191">
        <f>IF(AND(AF349&gt;=$F$16,AF348&lt;$F$16),J349,"")</f>
        <v/>
      </c>
      <c r="AJ349" s="191">
        <f>IF(AND(AF349&gt;=$F$17,AF348&lt;$F$17),J349,"")</f>
        <v/>
      </c>
    </row>
    <row r="350" outlineLevel="1" ht="18" customHeight="1" s="326">
      <c r="A350" s="181">
        <f>$A$41</f>
        <v/>
      </c>
      <c r="B350" s="191">
        <f>$B$41</f>
        <v/>
      </c>
      <c r="C350" s="187">
        <f>$C$41</f>
        <v/>
      </c>
      <c r="D350" s="191">
        <f>$D$41</f>
        <v/>
      </c>
      <c r="E350" s="181">
        <f>$E$41</f>
        <v/>
      </c>
      <c r="F350" s="184">
        <f>$F$41</f>
        <v/>
      </c>
      <c r="G350" s="188">
        <f>$G$41</f>
        <v/>
      </c>
      <c r="H350" s="184">
        <f>$H$41</f>
        <v/>
      </c>
      <c r="I350" s="188">
        <f>$J$17</f>
        <v/>
      </c>
      <c r="J350" s="191" t="n">
        <v>15</v>
      </c>
      <c r="K350" s="191">
        <f>('Model Inputs'!$B$22-1)+J350</f>
        <v/>
      </c>
      <c r="L350" s="184">
        <f>IF(J350=1,'Model Inputs'!$B$25*(13-'Model Inputs'!$B$23)/12,'Model Inputs'!$B$25)</f>
        <v/>
      </c>
      <c r="M350" s="184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/>
      </c>
      <c r="N350" s="188">
        <f>IF(J350&lt;=2,0,'Model Inputs'!$B$32*SIN(2*PI()*(J350-3+'Model Inputs'!$B$34)/MAX(1,'Model Inputs'!$B$33)))</f>
        <v/>
      </c>
      <c r="O350" s="184">
        <f>M350*(1+N350)</f>
        <v/>
      </c>
      <c r="P350" s="184">
        <f>0.75*O349+0.25*O348</f>
        <v/>
      </c>
      <c r="Q350" s="184">
        <f>L350+P350+IF(J350=1,'Model Inputs'!$B$26,0)</f>
        <v/>
      </c>
      <c r="R350" s="184">
        <f>IF(J350&lt;=B350,Q350,IF(J350&lt;=B350+$J$18,L350,(SUMIFS($L$51:$L$350,$A$51:$A$350,$A350,$J$51:$J$350,$B350)+SUMIFS($O$51:$O$350,$A$51:$A$350,$A350,$J$51:$J$350,$B350))*C350))</f>
        <v/>
      </c>
      <c r="S350" s="184">
        <f>H350+F350*G350*(1+I350)^MAX(0,J350-MAX(D350,B350+$J$18+1))</f>
        <v/>
      </c>
      <c r="T350" s="184">
        <f>IF(J350&gt;=MAX(D350,B350+$J$18+1),S350,R350)</f>
        <v/>
      </c>
      <c r="U350" s="184">
        <f>MIN(T350,'Tax Assumptions'!$B$19)</f>
        <v/>
      </c>
      <c r="V350" s="184">
        <f>MAX(T350-U350-'Tax Assumptions'!$B$8,0)</f>
        <v/>
      </c>
      <c r="W350" s="184">
        <f>MAX(T350-U350-'Tax Assumptions'!$B$9,0)</f>
        <v/>
      </c>
      <c r="X350" s="184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/>
      </c>
      <c r="Y350" s="184">
        <f>T350-U350-X350</f>
        <v/>
      </c>
      <c r="Z350" s="184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/>
      </c>
      <c r="AA350" s="184">
        <f>Y350-Z350</f>
        <v/>
      </c>
      <c r="AB350" s="184">
        <f>MIN(MAX(AA350,0),'Tax Assumptions'!$B$20)</f>
        <v/>
      </c>
      <c r="AC350" s="184">
        <f>AA350-AB350</f>
        <v/>
      </c>
      <c r="AD350" s="184">
        <f>MAX(AD349*(1+'Model Inputs'!$B$13)+AC350,0)</f>
        <v/>
      </c>
      <c r="AE350" s="184">
        <f>MAX(AE349*(1+'Model Inputs'!$B$13)+U350+AB350,0)</f>
        <v/>
      </c>
      <c r="AF350" s="184">
        <f>AD350+AE350</f>
        <v/>
      </c>
      <c r="AG350" s="191">
        <f>IF(AND(AF350&gt;=$F$14,AF349&lt;$F$14),J350,"")</f>
        <v/>
      </c>
      <c r="AH350" s="191">
        <f>IF(AND(AF350&gt;=$F$15,AF349&lt;$F$15),J350,"")</f>
        <v/>
      </c>
      <c r="AI350" s="191">
        <f>IF(AND(AF350&gt;=$F$16,AF349&lt;$F$16),J350,"")</f>
        <v/>
      </c>
      <c r="AJ350" s="191">
        <f>IF(AND(AF350&gt;=$F$17,AF349&lt;$F$17),J350,"")</f>
        <v/>
      </c>
    </row>
    <row r="351" ht="18" customHeight="1" s="326"/>
    <row r="352" ht="18" customHeight="1" s="326"/>
    <row r="353" ht="18" customHeight="1" s="326"/>
    <row r="354" ht="18" customHeight="1" s="326"/>
    <row r="355" ht="18" customHeight="1" s="326"/>
    <row r="356" ht="18" customHeight="1" s="326"/>
    <row r="357" ht="18" customHeight="1" s="326"/>
    <row r="358" ht="18" customHeight="1" s="326"/>
    <row r="359" ht="18" customHeight="1" s="326"/>
    <row r="360" ht="18" customHeight="1" s="326"/>
    <row r="361" ht="18" customHeight="1" s="326"/>
    <row r="362" ht="18" customHeight="1" s="326"/>
    <row r="363" ht="18" customHeight="1" s="326"/>
    <row r="364" ht="18" customHeight="1" s="326"/>
    <row r="365" ht="18" customHeight="1" s="326"/>
    <row r="366" ht="18" customHeight="1" s="326"/>
    <row r="367" ht="18" customHeight="1" s="326"/>
    <row r="368" ht="18" customHeight="1" s="326"/>
    <row r="369" ht="18" customHeight="1" s="326"/>
    <row r="370" ht="18" customHeight="1" s="326"/>
    <row r="371" ht="18" customHeight="1" s="326"/>
    <row r="372" ht="18" customHeight="1" s="326"/>
    <row r="373" ht="18" customHeight="1" s="326"/>
    <row r="374" ht="18" customHeight="1" s="326"/>
    <row r="375" ht="18" customHeight="1" s="326"/>
    <row r="376" ht="18" customHeight="1" s="326"/>
    <row r="377" ht="18" customHeight="1" s="326"/>
    <row r="378" ht="18" customHeight="1" s="326"/>
    <row r="379" ht="18" customHeight="1" s="326"/>
    <row r="380" ht="18" customHeight="1" s="326"/>
    <row r="381" ht="18" customHeight="1" s="326"/>
    <row r="382" ht="18" customHeight="1" s="326"/>
    <row r="383" ht="18" customHeight="1" s="326"/>
    <row r="384" ht="18" customHeight="1" s="326"/>
    <row r="385" ht="18" customHeight="1" s="326"/>
    <row r="386" ht="18" customHeight="1" s="326"/>
    <row r="387" ht="18" customHeight="1" s="326"/>
    <row r="388" ht="18" customHeight="1" s="326"/>
    <row r="389" ht="18" customHeight="1" s="326"/>
    <row r="390" ht="18" customHeight="1" s="326"/>
    <row r="391" ht="18" customHeight="1" s="326"/>
    <row r="392" ht="18" customHeight="1" s="326"/>
    <row r="393" ht="18" customHeight="1" s="326"/>
    <row r="394" ht="18" customHeight="1" s="326"/>
    <row r="395" ht="18" customHeight="1" s="326"/>
    <row r="396" ht="18" customHeight="1" s="326"/>
    <row r="397" ht="18" customHeight="1" s="326"/>
    <row r="398" ht="18" customHeight="1" s="326"/>
    <row r="399" ht="18" customHeight="1" s="326"/>
    <row r="400" ht="18" customHeight="1" s="326"/>
    <row r="401" ht="18" customHeight="1" s="326"/>
    <row r="402" ht="18" customHeight="1" s="326"/>
    <row r="403" ht="18" customHeight="1" s="326"/>
    <row r="404" ht="18" customHeight="1" s="326"/>
    <row r="405" ht="18" customHeight="1" s="326"/>
    <row r="406" ht="18" customHeight="1" s="326"/>
    <row r="407" ht="18" customHeight="1" s="326"/>
    <row r="408" ht="18" customHeight="1" s="326"/>
    <row r="409" ht="18" customHeight="1" s="326"/>
    <row r="410" ht="18" customHeight="1" s="326"/>
    <row r="411" ht="18" customHeight="1" s="326"/>
    <row r="412" ht="18" customHeight="1" s="326"/>
    <row r="413" ht="18" customHeight="1" s="326"/>
    <row r="414" ht="18" customHeight="1" s="326"/>
    <row r="415" ht="18" customHeight="1" s="326"/>
    <row r="416" ht="18" customHeight="1" s="326"/>
    <row r="417" ht="18" customHeight="1" s="326"/>
    <row r="418" ht="18" customHeight="1" s="326"/>
    <row r="419" ht="18" customHeight="1" s="326"/>
    <row r="420" ht="18" customHeight="1" s="326"/>
    <row r="421" ht="18" customHeight="1" s="326"/>
    <row r="422" ht="18" customHeight="1" s="326"/>
    <row r="423" ht="18" customHeight="1" s="326"/>
    <row r="424" ht="18" customHeight="1" s="326"/>
    <row r="425" ht="18" customHeight="1" s="326"/>
    <row r="426" ht="18" customHeight="1" s="326"/>
    <row r="427" ht="18" customHeight="1" s="326"/>
    <row r="428" ht="18" customHeight="1" s="326"/>
    <row r="429" ht="18" customHeight="1" s="326"/>
    <row r="430" ht="18" customHeight="1" s="326"/>
    <row r="431" ht="18" customHeight="1" s="326"/>
    <row r="432" ht="18" customHeight="1" s="326"/>
    <row r="433" ht="18" customHeight="1" s="326"/>
    <row r="434" ht="18" customHeight="1" s="326"/>
    <row r="435" ht="18" customHeight="1" s="326"/>
    <row r="436" ht="18" customHeight="1" s="326"/>
    <row r="437" ht="18" customHeight="1" s="326"/>
    <row r="438" ht="18" customHeight="1" s="326"/>
    <row r="439" ht="18" customHeight="1" s="326"/>
    <row r="440" ht="18" customHeight="1" s="326"/>
    <row r="441" ht="18" customHeight="1" s="326"/>
    <row r="442" ht="18" customHeight="1" s="326"/>
    <row r="443" ht="18" customHeight="1" s="326"/>
    <row r="444" ht="18" customHeight="1" s="326"/>
    <row r="445" ht="18" customHeight="1" s="326"/>
    <row r="446" ht="18" customHeight="1" s="326"/>
    <row r="447" ht="18" customHeight="1" s="326"/>
    <row r="448" ht="18" customHeight="1" s="326"/>
    <row r="449" ht="18" customHeight="1" s="326"/>
    <row r="450" ht="18" customHeight="1" s="326"/>
    <row r="451" ht="18" customHeight="1" s="326"/>
    <row r="452" ht="18" customHeight="1" s="326"/>
    <row r="453" ht="18" customHeight="1" s="326"/>
    <row r="454" ht="18" customHeight="1" s="326"/>
    <row r="455" ht="18" customHeight="1" s="326"/>
    <row r="456" ht="18" customHeight="1" s="326"/>
    <row r="457" ht="18" customHeight="1" s="326"/>
    <row r="458" ht="18" customHeight="1" s="326"/>
    <row r="459" ht="18" customHeight="1" s="326"/>
    <row r="460" ht="18" customHeight="1" s="326"/>
    <row r="461" ht="18" customHeight="1" s="326"/>
    <row r="462" ht="18" customHeight="1" s="326"/>
    <row r="463" ht="18" customHeight="1" s="326"/>
    <row r="464" ht="18" customHeight="1" s="326"/>
    <row r="465" ht="18" customHeight="1" s="326"/>
    <row r="466" ht="18" customHeight="1" s="326"/>
    <row r="467" ht="18" customHeight="1" s="326"/>
    <row r="468" ht="18" customHeight="1" s="326"/>
    <row r="469" ht="18" customHeight="1" s="326"/>
    <row r="470" ht="18" customHeight="1" s="326"/>
    <row r="471" ht="18" customHeight="1" s="326"/>
    <row r="472" ht="18" customHeight="1" s="326"/>
    <row r="473" ht="18" customHeight="1" s="326"/>
    <row r="474" ht="18" customHeight="1" s="326"/>
    <row r="475" ht="18" customHeight="1" s="326"/>
    <row r="476" ht="18" customHeight="1" s="326"/>
    <row r="477" ht="18" customHeight="1" s="326"/>
    <row r="478" ht="18" customHeight="1" s="326"/>
    <row r="479" ht="18" customHeight="1" s="326"/>
    <row r="480" ht="18" customHeight="1" s="326"/>
    <row r="481" ht="18" customHeight="1" s="326"/>
    <row r="482" ht="18" customHeight="1" s="326"/>
    <row r="483" ht="18" customHeight="1" s="326"/>
    <row r="484" ht="18" customHeight="1" s="326"/>
    <row r="485" ht="18" customHeight="1" s="326"/>
    <row r="486" ht="18" customHeight="1" s="326"/>
    <row r="487" ht="18" customHeight="1" s="326"/>
    <row r="488" ht="18" customHeight="1" s="326"/>
    <row r="489" ht="18" customHeight="1" s="326"/>
    <row r="490" ht="18" customHeight="1" s="326"/>
    <row r="491" ht="18" customHeight="1" s="326"/>
    <row r="492" ht="18" customHeight="1" s="326"/>
    <row r="493" ht="18" customHeight="1" s="326"/>
    <row r="494" ht="18" customHeight="1" s="326"/>
    <row r="495" ht="18" customHeight="1" s="326"/>
    <row r="496" ht="18" customHeight="1" s="326"/>
    <row r="497" ht="18" customHeight="1" s="326"/>
    <row r="498" ht="18" customHeight="1" s="326"/>
    <row r="499" ht="18" customHeight="1" s="326"/>
    <row r="500" ht="18" customHeight="1" s="326"/>
    <row r="501" ht="18" customHeight="1" s="326"/>
    <row r="502" ht="18" customHeight="1" s="326"/>
    <row r="503" ht="18" customHeight="1" s="326"/>
    <row r="504" ht="18" customHeight="1" s="326"/>
    <row r="505" ht="18" customHeight="1" s="326"/>
    <row r="506" ht="18" customHeight="1" s="326"/>
    <row r="507" ht="18" customHeight="1" s="326"/>
    <row r="508" ht="18" customHeight="1" s="326"/>
    <row r="509" ht="18" customHeight="1" s="326"/>
    <row r="510" ht="18" customHeight="1" s="326"/>
    <row r="511" ht="18" customHeight="1" s="326"/>
    <row r="512" ht="18" customHeight="1" s="326"/>
    <row r="513" ht="18" customHeight="1" s="326"/>
    <row r="514" ht="18" customHeight="1" s="326"/>
    <row r="515" ht="18" customHeight="1" s="326"/>
    <row r="516" ht="18" customHeight="1" s="326"/>
    <row r="517" ht="18" customHeight="1" s="326"/>
    <row r="518" ht="18" customHeight="1" s="326"/>
    <row r="519" ht="18" customHeight="1" s="326"/>
    <row r="520" ht="18" customHeight="1" s="326"/>
    <row r="521" ht="18" customHeight="1" s="326"/>
    <row r="522" ht="18" customHeight="1" s="326"/>
    <row r="523" ht="18" customHeight="1" s="326"/>
    <row r="524" ht="18" customHeight="1" s="326"/>
    <row r="525" ht="18" customHeight="1" s="326"/>
    <row r="526" ht="18" customHeight="1" s="326"/>
    <row r="527" ht="18" customHeight="1" s="326"/>
    <row r="528" ht="18" customHeight="1" s="326"/>
    <row r="529" ht="18" customHeight="1" s="326"/>
    <row r="530" ht="18" customHeight="1" s="326"/>
    <row r="531" ht="18" customHeight="1" s="326"/>
    <row r="532" ht="18" customHeight="1" s="326"/>
    <row r="533" ht="18" customHeight="1" s="326"/>
    <row r="534" ht="18" customHeight="1" s="326"/>
    <row r="535" ht="18" customHeight="1" s="326"/>
    <row r="536" ht="18" customHeight="1" s="326"/>
    <row r="537" ht="18" customHeight="1" s="326"/>
    <row r="538" ht="18" customHeight="1" s="326"/>
    <row r="539" ht="18" customHeight="1" s="326"/>
    <row r="540" ht="18" customHeight="1" s="326"/>
    <row r="541" ht="18" customHeight="1" s="326"/>
    <row r="542" ht="18" customHeight="1" s="326"/>
    <row r="543" ht="18" customHeight="1" s="326"/>
    <row r="544" ht="18" customHeight="1" s="326"/>
    <row r="545" ht="18" customHeight="1" s="326"/>
    <row r="546" ht="18" customHeight="1" s="326"/>
    <row r="547" ht="18" customHeight="1" s="326"/>
    <row r="548" ht="18" customHeight="1" s="326"/>
    <row r="549" ht="18" customHeight="1" s="326"/>
    <row r="550" ht="18" customHeight="1" s="326"/>
    <row r="551" ht="18" customHeight="1" s="326"/>
    <row r="552" ht="18" customHeight="1" s="326"/>
    <row r="553" ht="18" customHeight="1" s="326"/>
    <row r="554" ht="18" customHeight="1" s="326"/>
    <row r="555" ht="18" customHeight="1" s="326"/>
    <row r="556" ht="18" customHeight="1" s="326"/>
    <row r="557" ht="18" customHeight="1" s="326"/>
    <row r="558" ht="18" customHeight="1" s="326"/>
    <row r="559" ht="18" customHeight="1" s="326"/>
    <row r="560" ht="18" customHeight="1" s="326"/>
    <row r="561" ht="18" customHeight="1" s="326"/>
    <row r="562" ht="18" customHeight="1" s="326"/>
    <row r="563" ht="18" customHeight="1" s="326"/>
    <row r="564" ht="18" customHeight="1" s="326"/>
    <row r="565" ht="18" customHeight="1" s="326"/>
    <row r="566" ht="18" customHeight="1" s="326"/>
    <row r="567" ht="18" customHeight="1" s="326"/>
    <row r="568" ht="18" customHeight="1" s="326"/>
    <row r="569" ht="18" customHeight="1" s="326"/>
    <row r="570" ht="18" customHeight="1" s="326"/>
    <row r="571" ht="18" customHeight="1" s="326"/>
    <row r="572" ht="18" customHeight="1" s="326"/>
    <row r="573" ht="18" customHeight="1" s="326"/>
    <row r="574" ht="18" customHeight="1" s="326"/>
    <row r="575" ht="18" customHeight="1" s="326"/>
    <row r="576" ht="18" customHeight="1" s="326"/>
    <row r="577" ht="18" customHeight="1" s="326"/>
    <row r="578" ht="18" customHeight="1" s="326"/>
    <row r="579" ht="18" customHeight="1" s="326"/>
    <row r="580" ht="18" customHeight="1" s="326"/>
    <row r="581" ht="18" customHeight="1" s="326"/>
    <row r="582" ht="18" customHeight="1" s="326"/>
    <row r="583" ht="18" customHeight="1" s="326"/>
    <row r="584" ht="18" customHeight="1" s="326"/>
    <row r="585" ht="18" customHeight="1" s="326"/>
    <row r="586" ht="18" customHeight="1" s="326"/>
    <row r="587" ht="18" customHeight="1" s="326"/>
    <row r="588" ht="18" customHeight="1" s="326"/>
    <row r="589" ht="18" customHeight="1" s="326"/>
    <row r="590" ht="18" customHeight="1" s="326"/>
    <row r="591" ht="18" customHeight="1" s="326"/>
    <row r="592" ht="18" customHeight="1" s="326"/>
    <row r="593" ht="18" customHeight="1" s="326"/>
    <row r="594" ht="18" customHeight="1" s="326"/>
    <row r="595" ht="18" customHeight="1" s="326"/>
    <row r="596" ht="18" customHeight="1" s="326"/>
    <row r="597" ht="18" customHeight="1" s="326"/>
    <row r="598" ht="18" customHeight="1" s="326"/>
    <row r="599" ht="18" customHeight="1" s="326"/>
    <row r="600" ht="18" customHeight="1" s="326"/>
    <row r="601" ht="18" customHeight="1" s="326"/>
    <row r="602" ht="18" customHeight="1" s="326"/>
    <row r="603" ht="18" customHeight="1" s="326"/>
    <row r="604" ht="18" customHeight="1" s="326"/>
    <row r="605" ht="18" customHeight="1" s="326"/>
    <row r="606" ht="18" customHeight="1" s="326"/>
    <row r="607" ht="18" customHeight="1" s="326"/>
    <row r="608" ht="18" customHeight="1" s="326"/>
    <row r="609" ht="18" customHeight="1" s="326"/>
    <row r="610" ht="18" customHeight="1" s="326"/>
    <row r="611" ht="18" customHeight="1" s="326"/>
    <row r="612" ht="18" customHeight="1" s="326"/>
    <row r="613" ht="18" customHeight="1" s="326"/>
    <row r="614" ht="18" customHeight="1" s="326"/>
    <row r="615" ht="18" customHeight="1" s="326"/>
    <row r="616" ht="18" customHeight="1" s="326"/>
    <row r="617" ht="18" customHeight="1" s="326"/>
    <row r="618" ht="18" customHeight="1" s="326"/>
    <row r="619" ht="18" customHeight="1" s="326"/>
    <row r="620" ht="18" customHeight="1" s="326"/>
    <row r="621" ht="18" customHeight="1" s="326"/>
    <row r="622" ht="18" customHeight="1" s="326"/>
    <row r="623" ht="18" customHeight="1" s="326"/>
    <row r="624" ht="18" customHeight="1" s="326"/>
    <row r="625" ht="18" customHeight="1" s="326"/>
    <row r="626" ht="18" customHeight="1" s="326"/>
    <row r="627" ht="18" customHeight="1" s="326"/>
    <row r="628" ht="18" customHeight="1" s="326"/>
    <row r="629" ht="18" customHeight="1" s="326"/>
    <row r="630" ht="18" customHeight="1" s="326"/>
    <row r="631" ht="18" customHeight="1" s="326"/>
    <row r="632" ht="18" customHeight="1" s="326"/>
    <row r="633" ht="18" customHeight="1" s="326"/>
    <row r="634" ht="18" customHeight="1" s="326"/>
    <row r="635" ht="18" customHeight="1" s="326"/>
    <row r="636" ht="18" customHeight="1" s="326"/>
    <row r="637" ht="18" customHeight="1" s="326"/>
    <row r="638" ht="18" customHeight="1" s="326"/>
    <row r="639" ht="18" customHeight="1" s="326"/>
    <row r="640" ht="18" customHeight="1" s="326"/>
    <row r="641" ht="18" customHeight="1" s="326"/>
    <row r="642" ht="18" customHeight="1" s="326"/>
    <row r="643" ht="18" customHeight="1" s="326"/>
    <row r="644" ht="18" customHeight="1" s="326"/>
    <row r="645" ht="18" customHeight="1" s="326"/>
    <row r="646" ht="18" customHeight="1" s="326"/>
    <row r="647" ht="18" customHeight="1" s="326"/>
    <row r="648" ht="18" customHeight="1" s="326"/>
    <row r="649" ht="18" customHeight="1" s="326"/>
    <row r="650" ht="18" customHeight="1" s="326"/>
    <row r="651" ht="18" customHeight="1" s="326"/>
    <row r="652" ht="18" customHeight="1" s="326"/>
    <row r="653" ht="18" customHeight="1" s="326"/>
    <row r="654" ht="18" customHeight="1" s="326"/>
    <row r="655" ht="18" customHeight="1" s="326"/>
    <row r="656" ht="18" customHeight="1" s="326"/>
    <row r="657" ht="18" customHeight="1" s="326"/>
    <row r="658" ht="18" customHeight="1" s="326"/>
    <row r="659" ht="18" customHeight="1" s="326"/>
    <row r="660" ht="18" customHeight="1" s="326"/>
    <row r="661" ht="18" customHeight="1" s="326"/>
    <row r="662" ht="18" customHeight="1" s="326"/>
    <row r="663" ht="18" customHeight="1" s="326"/>
    <row r="664" ht="18" customHeight="1" s="326"/>
    <row r="665" ht="18" customHeight="1" s="326"/>
    <row r="666" ht="18" customHeight="1" s="326"/>
    <row r="667" ht="18" customHeight="1" s="326"/>
    <row r="668" ht="18" customHeight="1" s="326"/>
    <row r="669" ht="18" customHeight="1" s="326"/>
    <row r="670" ht="18" customHeight="1" s="326"/>
    <row r="671" ht="18" customHeight="1" s="326"/>
    <row r="672" ht="18" customHeight="1" s="326"/>
    <row r="673" ht="18" customHeight="1" s="326"/>
    <row r="674" ht="18" customHeight="1" s="326"/>
    <row r="675" ht="18" customHeight="1" s="326"/>
    <row r="676" ht="18" customHeight="1" s="326"/>
    <row r="677" ht="18" customHeight="1" s="326"/>
    <row r="678" ht="18" customHeight="1" s="326"/>
    <row r="679" ht="18" customHeight="1" s="326"/>
    <row r="680" ht="18" customHeight="1" s="326"/>
    <row r="681" ht="18" customHeight="1" s="326"/>
    <row r="682" ht="18" customHeight="1" s="326"/>
    <row r="683" ht="18" customHeight="1" s="326"/>
    <row r="684" ht="18" customHeight="1" s="326"/>
    <row r="685" ht="18" customHeight="1" s="326"/>
    <row r="686" ht="18" customHeight="1" s="326"/>
    <row r="687" ht="18" customHeight="1" s="326"/>
    <row r="688" ht="18" customHeight="1" s="326"/>
    <row r="689" ht="18" customHeight="1" s="326"/>
    <row r="690" ht="18" customHeight="1" s="326"/>
    <row r="691" ht="18" customHeight="1" s="326"/>
    <row r="692" ht="18" customHeight="1" s="326"/>
    <row r="693" ht="18" customHeight="1" s="326"/>
    <row r="694" ht="18" customHeight="1" s="326"/>
    <row r="695" ht="18" customHeight="1" s="326"/>
    <row r="696" ht="18" customHeight="1" s="326"/>
    <row r="697" ht="18" customHeight="1" s="326"/>
    <row r="698" ht="18" customHeight="1" s="326"/>
    <row r="699" ht="18" customHeight="1" s="326"/>
    <row r="700" ht="18" customHeight="1" s="326"/>
    <row r="701" ht="18" customHeight="1" s="326"/>
    <row r="702" ht="18" customHeight="1" s="326"/>
    <row r="703" ht="18" customHeight="1" s="326"/>
    <row r="704" ht="18" customHeight="1" s="326"/>
    <row r="705" ht="18" customHeight="1" s="326"/>
    <row r="706" ht="18" customHeight="1" s="326"/>
    <row r="707" ht="18" customHeight="1" s="326"/>
    <row r="708" ht="18" customHeight="1" s="326"/>
    <row r="709" ht="18" customHeight="1" s="326"/>
    <row r="710" ht="18" customHeight="1" s="326"/>
    <row r="711" ht="18" customHeight="1" s="326"/>
    <row r="712" ht="18" customHeight="1" s="326"/>
    <row r="713" ht="18" customHeight="1" s="326"/>
    <row r="714" ht="18" customHeight="1" s="326"/>
    <row r="715" ht="18" customHeight="1" s="326"/>
    <row r="716" ht="18" customHeight="1" s="326"/>
    <row r="717" ht="18" customHeight="1" s="326"/>
    <row r="718" ht="18" customHeight="1" s="326"/>
    <row r="719" ht="18" customHeight="1" s="326"/>
    <row r="720" ht="18" customHeight="1" s="326"/>
    <row r="721" ht="18" customHeight="1" s="326"/>
    <row r="722" ht="18" customHeight="1" s="326"/>
    <row r="723" ht="18" customHeight="1" s="326"/>
    <row r="724" ht="18" customHeight="1" s="326"/>
    <row r="725" ht="18" customHeight="1" s="326"/>
    <row r="726" ht="18" customHeight="1" s="326"/>
    <row r="727" ht="18" customHeight="1" s="326"/>
    <row r="728" ht="18" customHeight="1" s="326"/>
    <row r="729" ht="18" customHeight="1" s="326"/>
    <row r="730" ht="18" customHeight="1" s="326"/>
    <row r="731" ht="18" customHeight="1" s="326"/>
    <row r="732" ht="18" customHeight="1" s="326"/>
    <row r="733" ht="18" customHeight="1" s="326"/>
    <row r="734" ht="18" customHeight="1" s="326"/>
    <row r="735" ht="18" customHeight="1" s="326"/>
    <row r="736" ht="18" customHeight="1" s="326"/>
    <row r="737" ht="18" customHeight="1" s="326"/>
    <row r="738" ht="18" customHeight="1" s="326"/>
    <row r="739" ht="18" customHeight="1" s="326"/>
    <row r="740" ht="18" customHeight="1" s="326"/>
    <row r="741" ht="18" customHeight="1" s="326"/>
    <row r="742" ht="18" customHeight="1" s="326"/>
    <row r="743" ht="18" customHeight="1" s="326"/>
    <row r="744" ht="18" customHeight="1" s="326"/>
    <row r="745" ht="18" customHeight="1" s="326"/>
    <row r="746" ht="18" customHeight="1" s="326"/>
    <row r="747" ht="18" customHeight="1" s="326"/>
    <row r="748" ht="18" customHeight="1" s="326"/>
    <row r="749" ht="18" customHeight="1" s="326"/>
    <row r="750" ht="18" customHeight="1" s="326"/>
    <row r="751" ht="18" customHeight="1" s="326"/>
    <row r="752" ht="18" customHeight="1" s="326"/>
    <row r="753" ht="18" customHeight="1" s="326"/>
    <row r="754" ht="18" customHeight="1" s="326"/>
    <row r="755" ht="18" customHeight="1" s="326"/>
    <row r="756" ht="18" customHeight="1" s="326"/>
    <row r="757" ht="18" customHeight="1" s="326"/>
    <row r="758" ht="18" customHeight="1" s="326"/>
    <row r="759" ht="18" customHeight="1" s="326"/>
    <row r="760" ht="18" customHeight="1" s="326"/>
    <row r="761" ht="18" customHeight="1" s="326"/>
    <row r="762" ht="18" customHeight="1" s="326"/>
    <row r="763" ht="18" customHeight="1" s="326"/>
    <row r="764" ht="18" customHeight="1" s="326"/>
    <row r="765" ht="18" customHeight="1" s="326"/>
    <row r="766" ht="18" customHeight="1" s="326"/>
    <row r="767" ht="18" customHeight="1" s="326"/>
    <row r="768" ht="18" customHeight="1" s="326"/>
    <row r="769" ht="18" customHeight="1" s="326"/>
  </sheetData>
  <mergeCells count="13">
    <mergeCell ref="B10:W10"/>
    <mergeCell ref="A1:W1"/>
    <mergeCell ref="B5:W5"/>
    <mergeCell ref="A4:W4"/>
    <mergeCell ref="A12:G12"/>
    <mergeCell ref="A20:W20"/>
    <mergeCell ref="B8:W8"/>
    <mergeCell ref="A48:AF48"/>
    <mergeCell ref="B9:W9"/>
    <mergeCell ref="A2:W2"/>
    <mergeCell ref="B7:W7"/>
    <mergeCell ref="B6:W6"/>
    <mergeCell ref="A49:AF49"/>
  </mergeCells>
  <conditionalFormatting sqref="O22:R41">
    <cfRule type="cellIs" priority="1" operator="greaterThanOrEqual" dxfId="1">
      <formula>0</formula>
    </cfRule>
    <cfRule type="cellIs" priority="2" operator="lessThan" dxfId="0">
      <formula>0</formula>
    </cfRule>
    <cfRule type="cellIs" priority="14" operator="greaterThanOrEqual" dxfId="36">
      <formula>0</formula>
    </cfRule>
    <cfRule type="cellIs" priority="15" operator="lessThan" dxfId="37">
      <formula>0</formula>
    </cfRule>
  </conditionalFormatting>
  <conditionalFormatting sqref="S22:S41">
    <cfRule type="expression" priority="5" dxfId="0">
      <formula>ISNUMBER(SEARCH("Short",S22))</formula>
    </cfRule>
    <cfRule type="expression" priority="6" dxfId="1">
      <formula>ISNUMBER(SEARCH("Clears",S22))</formula>
    </cfRule>
    <cfRule type="expression" priority="14" dxfId="0">
      <formula>ISNUMBER(SEARCH("Short",S22))</formula>
    </cfRule>
    <cfRule type="expression" priority="15" dxfId="1">
      <formula>ISNUMBER(SEARCH("Clears",S22))</formula>
    </cfRule>
    <cfRule type="expression" priority="18" dxfId="37">
      <formula>ISNUMBER(SEARCH("Short",S22))</formula>
    </cfRule>
    <cfRule type="expression" priority="19" dxfId="36">
      <formula>ISNUMBER(SEARCH("Clears",S22))</formula>
    </cfRule>
  </conditionalFormatting>
  <conditionalFormatting sqref="X22:AA41">
    <cfRule type="cellIs" priority="3" operator="greaterThanOrEqual" dxfId="1">
      <formula>0</formula>
    </cfRule>
    <cfRule type="cellIs" priority="4" operator="lessThan" dxfId="0">
      <formula>0</formula>
    </cfRule>
    <cfRule type="cellIs" priority="16" operator="greaterThanOrEqual" dxfId="36">
      <formula>0</formula>
    </cfRule>
    <cfRule type="cellIs" priority="17" operator="lessThan" dxfId="37">
      <formula>0</formula>
    </cfRule>
  </conditionalFormatting>
  <conditionalFormatting sqref="AB22:AB41">
    <cfRule type="expression" priority="7" dxfId="0">
      <formula>ISNUMBER(SEARCH("Short",AB22))</formula>
    </cfRule>
    <cfRule type="expression" priority="8" dxfId="1">
      <formula>ISNUMBER(SEARCH("Clears",AB22))</formula>
    </cfRule>
    <cfRule type="expression" priority="16" dxfId="0">
      <formula>ISNUMBER(SEARCH("Short",AB22))</formula>
    </cfRule>
    <cfRule type="expression" priority="17" dxfId="1">
      <formula>ISNUMBER(SEARCH("Clears",AB22))</formula>
    </cfRule>
    <cfRule type="expression" priority="20" dxfId="37">
      <formula>ISNUMBER(SEARCH("Short",AB22))</formula>
    </cfRule>
    <cfRule type="expression" priority="21" dxfId="36">
      <formula>ISNUMBER(SEARCH("Clears",AB22))</formula>
    </cfRule>
  </conditionalFormatting>
  <conditionalFormatting sqref="AC22:AF41">
    <cfRule type="expression" priority="9" dxfId="0">
      <formula>AC22="Not by Y15"</formula>
    </cfRule>
    <cfRule type="expression" priority="22" dxfId="37">
      <formula>AC22="Not by Y15"</formula>
    </cfRule>
  </conditionalFormatting>
  <dataValidations count="6">
    <dataValidation sqref="J15" showDropDown="0" showInputMessage="1" showErrorMessage="1" allowBlank="1" errorTitle="Invalid input" error="This value is outside the supported range for this workbook." promptTitle="Input guidance" prompt="Choose pre-PM IC bump multiple." type="list">
      <formula1>"2,2.5,3,3.5,4"</formula1>
    </dataValidation>
    <dataValidation sqref="J16 M15:M18" showDropDown="0" showInputMessage="1" showErrorMessage="1" allowBlank="1" errorTitle="Invalid input" error="This value is outside the supported range for this workbook." promptTitle="Input guidance" prompt="Use a nonnegative dollar amount." type="decimal">
      <formula1>0</formula1>
      <formula2>500000000</formula2>
    </dataValidation>
    <dataValidation sqref="J17 N15:N18" showDropDown="0" showInputMessage="1" showErrorMessage="1" allowBlank="1" errorTitle="Invalid input" error="This value is outside the supported range for this workbook." promptTitle="Input guidance" prompt="Use a percentage between 0% and 100%." type="decimal">
      <formula1>0</formula1>
      <formula2>1</formula2>
    </dataValidation>
    <dataValidation sqref="J18" showDropDown="0" showInputMessage="1" showErrorMessage="1" allowBlank="1" errorTitle="Invalid input" error="This value is outside the supported range for this workbook." promptTitle="Input guidance" prompt="Choose base-salary-only noncompete years." type="list">
      <formula1>"0,1,2,3,4,5"</formula1>
    </dataValidation>
    <dataValidation sqref="B22:B41" showDropDown="0" showInputMessage="1" showErrorMessage="1" allowBlank="1" errorTitle="Invalid input" error="This value is outside the supported range for this workbook." promptTitle="Input guidance" prompt="Choose first switch timing after completed YOE." type="list">
      <formula1>"3,4,5"</formula1>
    </dataValidation>
    <dataValidation sqref="D22:D41" showDropDown="0" showInputMessage="1" showErrorMessage="1" allowBlank="1" errorTitle="Invalid input" error="This value is outside the supported range for this workbook." promptTitle="Input guidance" prompt="Choose requested PM start YOE. Invalid/impossible starts are omitted when they only duplicate a delayed case." type="list">
      <formula1>"7,8"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0070AD47"/>
    <outlinePr summaryBelow="1" summaryRight="1"/>
    <pageSetUpPr/>
  </sheetPr>
  <dimension ref="A1:AK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326" min="1" max="1"/>
    <col width="18" customWidth="1" style="326" min="2" max="2"/>
    <col width="28" customWidth="1" style="326" min="3" max="3"/>
    <col width="12" customWidth="1" style="326" min="4" max="4"/>
    <col width="10" customWidth="1" style="326" min="5" max="5"/>
    <col width="15" customWidth="1" style="326" min="6" max="6"/>
    <col width="14" customWidth="1" style="326" min="7" max="7"/>
    <col width="10" customWidth="1" style="326" min="8" max="8"/>
    <col width="16" customWidth="1" style="326" min="9" max="9"/>
    <col width="16" customWidth="1" style="326" min="10" max="10"/>
    <col width="14" customWidth="1" style="326" min="11" max="11"/>
    <col width="16" customWidth="1" style="326" min="12" max="12"/>
    <col width="22" customWidth="1" style="326" min="13" max="13"/>
    <col width="22" customWidth="1" style="326" min="14" max="14"/>
    <col width="22" customWidth="1" style="326" min="15" max="15"/>
    <col width="22" customWidth="1" style="326" min="16" max="16"/>
    <col width="32" customWidth="1" style="326" min="17" max="17"/>
    <col width="15" customWidth="1" style="326" min="18" max="18"/>
    <col width="15" customWidth="1" style="326" min="19" max="19"/>
    <col width="15" customWidth="1" style="326" min="20" max="20"/>
    <col width="15" customWidth="1" style="326" min="21" max="21"/>
    <col width="18" customWidth="1" style="326" min="22" max="22"/>
    <col width="1.1" customWidth="1" style="326" min="23" max="23"/>
    <col width="1.1" customWidth="1" style="326" min="24" max="24"/>
    <col width="1.1" customWidth="1" style="326" min="25" max="25"/>
    <col width="1.1" customWidth="1" style="326" min="26" max="26"/>
    <col width="1.1" customWidth="1" style="326" min="27" max="27"/>
    <col width="1.1" customWidth="1" style="326" min="28" max="28"/>
    <col width="1.1" customWidth="1" style="326" min="29" max="29"/>
    <col width="1.1" customWidth="1" style="326" min="30" max="30"/>
    <col width="1.1" customWidth="1" style="326" min="31" max="31"/>
    <col width="1.1" customWidth="1" style="326" min="32" max="32"/>
    <col width="1.1" customWidth="1" style="326" min="33" max="33"/>
    <col width="1.1" customWidth="1" style="326" min="34" max="34"/>
    <col width="1.1" customWidth="1" style="326" min="35" max="35"/>
    <col width="1.1" customWidth="1" style="326" min="36" max="36"/>
    <col width="1.1" customWidth="1" style="326" min="37" max="37"/>
  </cols>
  <sheetData>
    <row r="1" ht="26" customHeight="1" s="326">
      <c r="A1" s="453" t="inlineStr">
        <is>
          <t>Scenario Results</t>
        </is>
      </c>
    </row>
    <row r="2" ht="34" customHeight="1" s="326">
      <c r="A2" s="454" t="inlineStr">
        <is>
          <t>Normalized view of stay-at-Jump, IC-switch, and PM-after-switch outcomes. Use filters or the dashboard selector instead of scanning each scenario sheet separately.</t>
        </is>
      </c>
    </row>
    <row r="3" ht="20" customHeight="1" s="326">
      <c r="A3" s="455" t="inlineStr">
        <is>
          <t>Dashboard</t>
        </is>
      </c>
      <c r="C3" s="455" t="inlineStr">
        <is>
          <t>Scenario Analysis</t>
        </is>
      </c>
      <c r="E3" s="455" t="inlineStr">
        <is>
          <t>Pivot Lab</t>
        </is>
      </c>
      <c r="V3" s="504" t="inlineStr">
        <is>
          <t>Quick Path Shape</t>
        </is>
      </c>
    </row>
    <row r="4" ht="32" customHeight="1" s="326">
      <c r="A4" s="451" t="inlineStr">
        <is>
          <t>Result Key</t>
        </is>
      </c>
      <c r="B4" s="451" t="inlineStr">
        <is>
          <t>Path</t>
        </is>
      </c>
      <c r="C4" s="451" t="inlineStr">
        <is>
          <t>Scenario</t>
        </is>
      </c>
      <c r="D4" s="451" t="inlineStr">
        <is>
          <t>Switch After YOE</t>
        </is>
      </c>
      <c r="E4" s="451" t="inlineStr">
        <is>
          <t>IC Bump</t>
        </is>
      </c>
      <c r="F4" s="451" t="inlineStr">
        <is>
          <t>Requested PM Start YOE</t>
        </is>
      </c>
      <c r="G4" s="451" t="inlineStr">
        <is>
          <t>PM Case</t>
        </is>
      </c>
      <c r="H4" s="451" t="inlineStr">
        <is>
          <t>Horizon</t>
        </is>
      </c>
      <c r="I4" s="451" t="inlineStr">
        <is>
          <t>Cash/Gross Comp</t>
        </is>
      </c>
      <c r="J4" s="451" t="inlineStr">
        <is>
          <t>Taxable Liquid</t>
        </is>
      </c>
      <c r="K4" s="451" t="inlineStr">
        <is>
          <t>Retirement</t>
        </is>
      </c>
      <c r="L4" s="451" t="inlineStr">
        <is>
          <t>Liquid Net Worth</t>
        </is>
      </c>
      <c r="M4" s="451" t="inlineStr">
        <is>
          <t>Surplus / Shortfall to $5M All-Cash Target</t>
        </is>
      </c>
      <c r="N4" s="451" t="inlineStr">
        <is>
          <t>Surplus / Shortfall to $5M 50% Down Target</t>
        </is>
      </c>
      <c r="O4" s="451" t="inlineStr">
        <is>
          <t>Surplus / Shortfall to $7M All-Cash Target</t>
        </is>
      </c>
      <c r="P4" s="451" t="inlineStr">
        <is>
          <t>Surplus / Shortfall to $7M 50% Down Target</t>
        </is>
      </c>
      <c r="Q4" s="451" t="inlineStr">
        <is>
          <t>Target Status</t>
        </is>
      </c>
      <c r="R4" s="451" t="inlineStr">
        <is>
          <t>First $5M Cash</t>
        </is>
      </c>
      <c r="S4" s="451" t="inlineStr">
        <is>
          <t>First $5M 50%</t>
        </is>
      </c>
      <c r="T4" s="451" t="inlineStr">
        <is>
          <t>First $7M Cash</t>
        </is>
      </c>
      <c r="U4" s="451" t="inlineStr">
        <is>
          <t>First $7M 50%</t>
        </is>
      </c>
      <c r="V4" s="425" t="inlineStr">
        <is>
          <t>Trend</t>
        </is>
      </c>
      <c r="W4" s="425" t="inlineStr">
        <is>
          <t>Y1</t>
        </is>
      </c>
      <c r="X4" s="425" t="inlineStr">
        <is>
          <t>Y2</t>
        </is>
      </c>
      <c r="Y4" s="425" t="inlineStr">
        <is>
          <t>Y3</t>
        </is>
      </c>
      <c r="Z4" s="425" t="inlineStr">
        <is>
          <t>Y4</t>
        </is>
      </c>
      <c r="AA4" s="425" t="inlineStr">
        <is>
          <t>Y5</t>
        </is>
      </c>
      <c r="AB4" s="425" t="inlineStr">
        <is>
          <t>Y6</t>
        </is>
      </c>
      <c r="AC4" s="425" t="inlineStr">
        <is>
          <t>Y7</t>
        </is>
      </c>
      <c r="AD4" s="425" t="inlineStr">
        <is>
          <t>Y8</t>
        </is>
      </c>
      <c r="AE4" s="425" t="inlineStr">
        <is>
          <t>Y9</t>
        </is>
      </c>
      <c r="AF4" s="425" t="inlineStr">
        <is>
          <t>Y10</t>
        </is>
      </c>
      <c r="AG4" s="425" t="inlineStr">
        <is>
          <t>Y11</t>
        </is>
      </c>
      <c r="AH4" s="425" t="inlineStr">
        <is>
          <t>Y12</t>
        </is>
      </c>
      <c r="AI4" s="425" t="inlineStr">
        <is>
          <t>Y13</t>
        </is>
      </c>
      <c r="AJ4" s="425" t="inlineStr">
        <is>
          <t>Y14</t>
        </is>
      </c>
      <c r="AK4" s="425" t="inlineStr">
        <is>
          <t>Y15</t>
        </is>
      </c>
    </row>
    <row r="5" ht="20" customHeight="1" s="326">
      <c r="A5" s="426">
        <f>$B5&amp;" | "&amp;$C5&amp;" | "&amp;$H5</f>
        <v/>
      </c>
      <c r="B5" s="426" t="inlineStr">
        <is>
          <t>IC Switch</t>
        </is>
      </c>
      <c r="C5" s="426">
        <f>'IC Switch Scenarios'!$A$22</f>
        <v/>
      </c>
      <c r="D5" s="427">
        <f>'IC Switch Scenarios'!$B$22</f>
        <v/>
      </c>
      <c r="E5" s="435">
        <f>'IC Switch Scenarios'!$C$22</f>
        <v/>
      </c>
      <c r="F5" s="427" t="inlineStr"/>
      <c r="G5" s="426" t="inlineStr"/>
      <c r="H5" s="429" t="inlineStr">
        <is>
          <t>Y10</t>
        </is>
      </c>
      <c r="I5" s="436">
        <f>'IC Switch Scenarios'!$E$22</f>
        <v/>
      </c>
      <c r="J5" s="436">
        <f>'IC Switch Scenarios'!$F$22</f>
        <v/>
      </c>
      <c r="K5" s="436">
        <f>'IC Switch Scenarios'!$G$22</f>
        <v/>
      </c>
      <c r="L5" s="436">
        <f>'IC Switch Scenarios'!$H$22</f>
        <v/>
      </c>
      <c r="M5" s="436">
        <f>'IC Switch Scenarios'!$I$22</f>
        <v/>
      </c>
      <c r="N5" s="436">
        <f>'IC Switch Scenarios'!$J$22</f>
        <v/>
      </c>
      <c r="O5" s="436">
        <f>'IC Switch Scenarios'!$K$22</f>
        <v/>
      </c>
      <c r="P5" s="436">
        <f>'IC Switch Scenarios'!$L$22</f>
        <v/>
      </c>
      <c r="Q5" s="426">
        <f>'IC Switch Scenarios'!$M$22</f>
        <v/>
      </c>
      <c r="R5" s="429">
        <f>'IC Switch Scenarios'!$W$22</f>
        <v/>
      </c>
      <c r="S5" s="429">
        <f>'IC Switch Scenarios'!$X$22</f>
        <v/>
      </c>
      <c r="T5" s="429">
        <f>'IC Switch Scenarios'!$Y$22</f>
        <v/>
      </c>
      <c r="U5" s="429">
        <f>'IC Switch Scenarios'!$Z$22</f>
        <v/>
      </c>
      <c r="V5" s="505" t="n"/>
      <c r="W5" s="506">
        <f>IF($B5="Stay at Jump",INDEX('Savings Projection'!$AI$19:$AI$33,1),IF($B5="IC Switch",IFERROR(INDEX('IC Switch Scenarios'!$X$36:$X$170,MATCH($C5,'IC Switch Scenarios'!$A$36:$A$170,0)+0),""),IFERROR(INDEX('PM After Switch'!$AF$51:$AF$350,MATCH($C5,'PM After Switch'!$A$51:$A$350,0)+0),"")))</f>
        <v/>
      </c>
      <c r="X5" s="506">
        <f>IF($B5="Stay at Jump",INDEX('Savings Projection'!$AI$19:$AI$33,2),IF($B5="IC Switch",IFERROR(INDEX('IC Switch Scenarios'!$X$36:$X$170,MATCH($C5,'IC Switch Scenarios'!$A$36:$A$170,0)+1),""),IFERROR(INDEX('PM After Switch'!$AF$51:$AF$350,MATCH($C5,'PM After Switch'!$A$51:$A$350,0)+1),"")))</f>
        <v/>
      </c>
      <c r="Y5" s="506">
        <f>IF($B5="Stay at Jump",INDEX('Savings Projection'!$AI$19:$AI$33,3),IF($B5="IC Switch",IFERROR(INDEX('IC Switch Scenarios'!$X$36:$X$170,MATCH($C5,'IC Switch Scenarios'!$A$36:$A$170,0)+2),""),IFERROR(INDEX('PM After Switch'!$AF$51:$AF$350,MATCH($C5,'PM After Switch'!$A$51:$A$350,0)+2),"")))</f>
        <v/>
      </c>
      <c r="Z5" s="506">
        <f>IF($B5="Stay at Jump",INDEX('Savings Projection'!$AI$19:$AI$33,4),IF($B5="IC Switch",IFERROR(INDEX('IC Switch Scenarios'!$X$36:$X$170,MATCH($C5,'IC Switch Scenarios'!$A$36:$A$170,0)+3),""),IFERROR(INDEX('PM After Switch'!$AF$51:$AF$350,MATCH($C5,'PM After Switch'!$A$51:$A$350,0)+3),"")))</f>
        <v/>
      </c>
      <c r="AA5" s="506">
        <f>IF($B5="Stay at Jump",INDEX('Savings Projection'!$AI$19:$AI$33,5),IF($B5="IC Switch",IFERROR(INDEX('IC Switch Scenarios'!$X$36:$X$170,MATCH($C5,'IC Switch Scenarios'!$A$36:$A$170,0)+4),""),IFERROR(INDEX('PM After Switch'!$AF$51:$AF$350,MATCH($C5,'PM After Switch'!$A$51:$A$350,0)+4),"")))</f>
        <v/>
      </c>
      <c r="AB5" s="506">
        <f>IF($B5="Stay at Jump",INDEX('Savings Projection'!$AI$19:$AI$33,6),IF($B5="IC Switch",IFERROR(INDEX('IC Switch Scenarios'!$X$36:$X$170,MATCH($C5,'IC Switch Scenarios'!$A$36:$A$170,0)+5),""),IFERROR(INDEX('PM After Switch'!$AF$51:$AF$350,MATCH($C5,'PM After Switch'!$A$51:$A$350,0)+5),"")))</f>
        <v/>
      </c>
      <c r="AC5" s="506">
        <f>IF($B5="Stay at Jump",INDEX('Savings Projection'!$AI$19:$AI$33,7),IF($B5="IC Switch",IFERROR(INDEX('IC Switch Scenarios'!$X$36:$X$170,MATCH($C5,'IC Switch Scenarios'!$A$36:$A$170,0)+6),""),IFERROR(INDEX('PM After Switch'!$AF$51:$AF$350,MATCH($C5,'PM After Switch'!$A$51:$A$350,0)+6),"")))</f>
        <v/>
      </c>
      <c r="AD5" s="506">
        <f>IF($B5="Stay at Jump",INDEX('Savings Projection'!$AI$19:$AI$33,8),IF($B5="IC Switch",IFERROR(INDEX('IC Switch Scenarios'!$X$36:$X$170,MATCH($C5,'IC Switch Scenarios'!$A$36:$A$170,0)+7),""),IFERROR(INDEX('PM After Switch'!$AF$51:$AF$350,MATCH($C5,'PM After Switch'!$A$51:$A$350,0)+7),"")))</f>
        <v/>
      </c>
      <c r="AE5" s="506">
        <f>IF($B5="Stay at Jump",INDEX('Savings Projection'!$AI$19:$AI$33,9),IF($B5="IC Switch",IFERROR(INDEX('IC Switch Scenarios'!$X$36:$X$170,MATCH($C5,'IC Switch Scenarios'!$A$36:$A$170,0)+8),""),IFERROR(INDEX('PM After Switch'!$AF$51:$AF$350,MATCH($C5,'PM After Switch'!$A$51:$A$350,0)+8),"")))</f>
        <v/>
      </c>
      <c r="AF5" s="506">
        <f>IF($B5="Stay at Jump",INDEX('Savings Projection'!$AI$19:$AI$33,10),IF($B5="IC Switch",IFERROR(INDEX('IC Switch Scenarios'!$X$36:$X$170,MATCH($C5,'IC Switch Scenarios'!$A$36:$A$170,0)+9),""),IFERROR(INDEX('PM After Switch'!$AF$51:$AF$350,MATCH($C5,'PM After Switch'!$A$51:$A$350,0)+9),"")))</f>
        <v/>
      </c>
      <c r="AG5" s="506">
        <f>IF($B5="Stay at Jump",INDEX('Savings Projection'!$AI$19:$AI$33,11),IF($B5="IC Switch",IFERROR(INDEX('IC Switch Scenarios'!$X$36:$X$170,MATCH($C5,'IC Switch Scenarios'!$A$36:$A$170,0)+10),""),IFERROR(INDEX('PM After Switch'!$AF$51:$AF$350,MATCH($C5,'PM After Switch'!$A$51:$A$350,0)+10),"")))</f>
        <v/>
      </c>
      <c r="AH5" s="506">
        <f>IF($B5="Stay at Jump",INDEX('Savings Projection'!$AI$19:$AI$33,12),IF($B5="IC Switch",IFERROR(INDEX('IC Switch Scenarios'!$X$36:$X$170,MATCH($C5,'IC Switch Scenarios'!$A$36:$A$170,0)+11),""),IFERROR(INDEX('PM After Switch'!$AF$51:$AF$350,MATCH($C5,'PM After Switch'!$A$51:$A$350,0)+11),"")))</f>
        <v/>
      </c>
      <c r="AI5" s="506">
        <f>IF($B5="Stay at Jump",INDEX('Savings Projection'!$AI$19:$AI$33,13),IF($B5="IC Switch",IFERROR(INDEX('IC Switch Scenarios'!$X$36:$X$170,MATCH($C5,'IC Switch Scenarios'!$A$36:$A$170,0)+12),""),IFERROR(INDEX('PM After Switch'!$AF$51:$AF$350,MATCH($C5,'PM After Switch'!$A$51:$A$350,0)+12),"")))</f>
        <v/>
      </c>
      <c r="AJ5" s="506">
        <f>IF($B5="Stay at Jump",INDEX('Savings Projection'!$AI$19:$AI$33,14),IF($B5="IC Switch",IFERROR(INDEX('IC Switch Scenarios'!$X$36:$X$170,MATCH($C5,'IC Switch Scenarios'!$A$36:$A$170,0)+13),""),IFERROR(INDEX('PM After Switch'!$AF$51:$AF$350,MATCH($C5,'PM After Switch'!$A$51:$A$350,0)+13),"")))</f>
        <v/>
      </c>
      <c r="AK5" s="506">
        <f>IF($B5="Stay at Jump",INDEX('Savings Projection'!$AI$19:$AI$33,15),IF($B5="IC Switch",IFERROR(INDEX('IC Switch Scenarios'!$X$36:$X$170,MATCH($C5,'IC Switch Scenarios'!$A$36:$A$170,0)+14),""),IFERROR(INDEX('PM After Switch'!$AF$51:$AF$350,MATCH($C5,'PM After Switch'!$A$51:$A$350,0)+14),"")))</f>
        <v/>
      </c>
    </row>
    <row r="6" ht="20" customHeight="1" s="326">
      <c r="A6" s="426">
        <f>$B6&amp;" | "&amp;$C6&amp;" | "&amp;$H6</f>
        <v/>
      </c>
      <c r="B6" s="426" t="inlineStr">
        <is>
          <t>IC Switch</t>
        </is>
      </c>
      <c r="C6" s="426">
        <f>'IC Switch Scenarios'!$A$22</f>
        <v/>
      </c>
      <c r="D6" s="427">
        <f>'IC Switch Scenarios'!$B$22</f>
        <v/>
      </c>
      <c r="E6" s="435">
        <f>'IC Switch Scenarios'!$C$22</f>
        <v/>
      </c>
      <c r="F6" s="427" t="inlineStr"/>
      <c r="G6" s="426" t="inlineStr"/>
      <c r="H6" s="429" t="inlineStr">
        <is>
          <t>Y15</t>
        </is>
      </c>
      <c r="I6" s="436">
        <f>'IC Switch Scenarios'!$N$22</f>
        <v/>
      </c>
      <c r="J6" s="436">
        <f>'IC Switch Scenarios'!$O$22</f>
        <v/>
      </c>
      <c r="K6" s="436">
        <f>'IC Switch Scenarios'!$P$22</f>
        <v/>
      </c>
      <c r="L6" s="436">
        <f>'IC Switch Scenarios'!$Q$22</f>
        <v/>
      </c>
      <c r="M6" s="436">
        <f>'IC Switch Scenarios'!$R$22</f>
        <v/>
      </c>
      <c r="N6" s="436">
        <f>'IC Switch Scenarios'!$S$22</f>
        <v/>
      </c>
      <c r="O6" s="436">
        <f>'IC Switch Scenarios'!$T$22</f>
        <v/>
      </c>
      <c r="P6" s="436">
        <f>'IC Switch Scenarios'!$U$22</f>
        <v/>
      </c>
      <c r="Q6" s="426">
        <f>'IC Switch Scenarios'!$V$22</f>
        <v/>
      </c>
      <c r="R6" s="429">
        <f>'IC Switch Scenarios'!$W$22</f>
        <v/>
      </c>
      <c r="S6" s="429">
        <f>'IC Switch Scenarios'!$X$22</f>
        <v/>
      </c>
      <c r="T6" s="429">
        <f>'IC Switch Scenarios'!$Y$22</f>
        <v/>
      </c>
      <c r="U6" s="429">
        <f>'IC Switch Scenarios'!$Z$22</f>
        <v/>
      </c>
      <c r="V6" s="505" t="n"/>
      <c r="W6" s="506">
        <f>IF($B6="Stay at Jump",INDEX('Savings Projection'!$AI$19:$AI$33,1),IF($B6="IC Switch",IFERROR(INDEX('IC Switch Scenarios'!$X$36:$X$170,MATCH($C6,'IC Switch Scenarios'!$A$36:$A$170,0)+0),""),IFERROR(INDEX('PM After Switch'!$AF$51:$AF$350,MATCH($C6,'PM After Switch'!$A$51:$A$350,0)+0),"")))</f>
        <v/>
      </c>
      <c r="X6" s="506">
        <f>IF($B6="Stay at Jump",INDEX('Savings Projection'!$AI$19:$AI$33,2),IF($B6="IC Switch",IFERROR(INDEX('IC Switch Scenarios'!$X$36:$X$170,MATCH($C6,'IC Switch Scenarios'!$A$36:$A$170,0)+1),""),IFERROR(INDEX('PM After Switch'!$AF$51:$AF$350,MATCH($C6,'PM After Switch'!$A$51:$A$350,0)+1),"")))</f>
        <v/>
      </c>
      <c r="Y6" s="506">
        <f>IF($B6="Stay at Jump",INDEX('Savings Projection'!$AI$19:$AI$33,3),IF($B6="IC Switch",IFERROR(INDEX('IC Switch Scenarios'!$X$36:$X$170,MATCH($C6,'IC Switch Scenarios'!$A$36:$A$170,0)+2),""),IFERROR(INDEX('PM After Switch'!$AF$51:$AF$350,MATCH($C6,'PM After Switch'!$A$51:$A$350,0)+2),"")))</f>
        <v/>
      </c>
      <c r="Z6" s="506">
        <f>IF($B6="Stay at Jump",INDEX('Savings Projection'!$AI$19:$AI$33,4),IF($B6="IC Switch",IFERROR(INDEX('IC Switch Scenarios'!$X$36:$X$170,MATCH($C6,'IC Switch Scenarios'!$A$36:$A$170,0)+3),""),IFERROR(INDEX('PM After Switch'!$AF$51:$AF$350,MATCH($C6,'PM After Switch'!$A$51:$A$350,0)+3),"")))</f>
        <v/>
      </c>
      <c r="AA6" s="506">
        <f>IF($B6="Stay at Jump",INDEX('Savings Projection'!$AI$19:$AI$33,5),IF($B6="IC Switch",IFERROR(INDEX('IC Switch Scenarios'!$X$36:$X$170,MATCH($C6,'IC Switch Scenarios'!$A$36:$A$170,0)+4),""),IFERROR(INDEX('PM After Switch'!$AF$51:$AF$350,MATCH($C6,'PM After Switch'!$A$51:$A$350,0)+4),"")))</f>
        <v/>
      </c>
      <c r="AB6" s="506">
        <f>IF($B6="Stay at Jump",INDEX('Savings Projection'!$AI$19:$AI$33,6),IF($B6="IC Switch",IFERROR(INDEX('IC Switch Scenarios'!$X$36:$X$170,MATCH($C6,'IC Switch Scenarios'!$A$36:$A$170,0)+5),""),IFERROR(INDEX('PM After Switch'!$AF$51:$AF$350,MATCH($C6,'PM After Switch'!$A$51:$A$350,0)+5),"")))</f>
        <v/>
      </c>
      <c r="AC6" s="506">
        <f>IF($B6="Stay at Jump",INDEX('Savings Projection'!$AI$19:$AI$33,7),IF($B6="IC Switch",IFERROR(INDEX('IC Switch Scenarios'!$X$36:$X$170,MATCH($C6,'IC Switch Scenarios'!$A$36:$A$170,0)+6),""),IFERROR(INDEX('PM After Switch'!$AF$51:$AF$350,MATCH($C6,'PM After Switch'!$A$51:$A$350,0)+6),"")))</f>
        <v/>
      </c>
      <c r="AD6" s="506">
        <f>IF($B6="Stay at Jump",INDEX('Savings Projection'!$AI$19:$AI$33,8),IF($B6="IC Switch",IFERROR(INDEX('IC Switch Scenarios'!$X$36:$X$170,MATCH($C6,'IC Switch Scenarios'!$A$36:$A$170,0)+7),""),IFERROR(INDEX('PM After Switch'!$AF$51:$AF$350,MATCH($C6,'PM After Switch'!$A$51:$A$350,0)+7),"")))</f>
        <v/>
      </c>
      <c r="AE6" s="506">
        <f>IF($B6="Stay at Jump",INDEX('Savings Projection'!$AI$19:$AI$33,9),IF($B6="IC Switch",IFERROR(INDEX('IC Switch Scenarios'!$X$36:$X$170,MATCH($C6,'IC Switch Scenarios'!$A$36:$A$170,0)+8),""),IFERROR(INDEX('PM After Switch'!$AF$51:$AF$350,MATCH($C6,'PM After Switch'!$A$51:$A$350,0)+8),"")))</f>
        <v/>
      </c>
      <c r="AF6" s="506">
        <f>IF($B6="Stay at Jump",INDEX('Savings Projection'!$AI$19:$AI$33,10),IF($B6="IC Switch",IFERROR(INDEX('IC Switch Scenarios'!$X$36:$X$170,MATCH($C6,'IC Switch Scenarios'!$A$36:$A$170,0)+9),""),IFERROR(INDEX('PM After Switch'!$AF$51:$AF$350,MATCH($C6,'PM After Switch'!$A$51:$A$350,0)+9),"")))</f>
        <v/>
      </c>
      <c r="AG6" s="506">
        <f>IF($B6="Stay at Jump",INDEX('Savings Projection'!$AI$19:$AI$33,11),IF($B6="IC Switch",IFERROR(INDEX('IC Switch Scenarios'!$X$36:$X$170,MATCH($C6,'IC Switch Scenarios'!$A$36:$A$170,0)+10),""),IFERROR(INDEX('PM After Switch'!$AF$51:$AF$350,MATCH($C6,'PM After Switch'!$A$51:$A$350,0)+10),"")))</f>
        <v/>
      </c>
      <c r="AH6" s="506">
        <f>IF($B6="Stay at Jump",INDEX('Savings Projection'!$AI$19:$AI$33,12),IF($B6="IC Switch",IFERROR(INDEX('IC Switch Scenarios'!$X$36:$X$170,MATCH($C6,'IC Switch Scenarios'!$A$36:$A$170,0)+11),""),IFERROR(INDEX('PM After Switch'!$AF$51:$AF$350,MATCH($C6,'PM After Switch'!$A$51:$A$350,0)+11),"")))</f>
        <v/>
      </c>
      <c r="AI6" s="506">
        <f>IF($B6="Stay at Jump",INDEX('Savings Projection'!$AI$19:$AI$33,13),IF($B6="IC Switch",IFERROR(INDEX('IC Switch Scenarios'!$X$36:$X$170,MATCH($C6,'IC Switch Scenarios'!$A$36:$A$170,0)+12),""),IFERROR(INDEX('PM After Switch'!$AF$51:$AF$350,MATCH($C6,'PM After Switch'!$A$51:$A$350,0)+12),"")))</f>
        <v/>
      </c>
      <c r="AJ6" s="506">
        <f>IF($B6="Stay at Jump",INDEX('Savings Projection'!$AI$19:$AI$33,14),IF($B6="IC Switch",IFERROR(INDEX('IC Switch Scenarios'!$X$36:$X$170,MATCH($C6,'IC Switch Scenarios'!$A$36:$A$170,0)+13),""),IFERROR(INDEX('PM After Switch'!$AF$51:$AF$350,MATCH($C6,'PM After Switch'!$A$51:$A$350,0)+13),"")))</f>
        <v/>
      </c>
      <c r="AK6" s="506">
        <f>IF($B6="Stay at Jump",INDEX('Savings Projection'!$AI$19:$AI$33,15),IF($B6="IC Switch",IFERROR(INDEX('IC Switch Scenarios'!$X$36:$X$170,MATCH($C6,'IC Switch Scenarios'!$A$36:$A$170,0)+14),""),IFERROR(INDEX('PM After Switch'!$AF$51:$AF$350,MATCH($C6,'PM After Switch'!$A$51:$A$350,0)+14),"")))</f>
        <v/>
      </c>
    </row>
    <row r="7" ht="20" customHeight="1" s="326">
      <c r="A7" s="426">
        <f>$B7&amp;" | "&amp;$C7&amp;" | "&amp;$H7</f>
        <v/>
      </c>
      <c r="B7" s="426" t="inlineStr">
        <is>
          <t>IC Switch</t>
        </is>
      </c>
      <c r="C7" s="426">
        <f>'IC Switch Scenarios'!$A$23</f>
        <v/>
      </c>
      <c r="D7" s="427">
        <f>'IC Switch Scenarios'!$B$23</f>
        <v/>
      </c>
      <c r="E7" s="435">
        <f>'IC Switch Scenarios'!$C$23</f>
        <v/>
      </c>
      <c r="F7" s="427" t="inlineStr"/>
      <c r="G7" s="426" t="inlineStr"/>
      <c r="H7" s="429" t="inlineStr">
        <is>
          <t>Y10</t>
        </is>
      </c>
      <c r="I7" s="436">
        <f>'IC Switch Scenarios'!$E$23</f>
        <v/>
      </c>
      <c r="J7" s="436">
        <f>'IC Switch Scenarios'!$F$23</f>
        <v/>
      </c>
      <c r="K7" s="436">
        <f>'IC Switch Scenarios'!$G$23</f>
        <v/>
      </c>
      <c r="L7" s="436">
        <f>'IC Switch Scenarios'!$H$23</f>
        <v/>
      </c>
      <c r="M7" s="436">
        <f>'IC Switch Scenarios'!$I$23</f>
        <v/>
      </c>
      <c r="N7" s="436">
        <f>'IC Switch Scenarios'!$J$23</f>
        <v/>
      </c>
      <c r="O7" s="436">
        <f>'IC Switch Scenarios'!$K$23</f>
        <v/>
      </c>
      <c r="P7" s="436">
        <f>'IC Switch Scenarios'!$L$23</f>
        <v/>
      </c>
      <c r="Q7" s="426">
        <f>'IC Switch Scenarios'!$M$23</f>
        <v/>
      </c>
      <c r="R7" s="429">
        <f>'IC Switch Scenarios'!$W$23</f>
        <v/>
      </c>
      <c r="S7" s="429">
        <f>'IC Switch Scenarios'!$X$23</f>
        <v/>
      </c>
      <c r="T7" s="429">
        <f>'IC Switch Scenarios'!$Y$23</f>
        <v/>
      </c>
      <c r="U7" s="429">
        <f>'IC Switch Scenarios'!$Z$23</f>
        <v/>
      </c>
      <c r="V7" s="505" t="n"/>
      <c r="W7" s="506">
        <f>IF($B7="Stay at Jump",INDEX('Savings Projection'!$AI$19:$AI$33,1),IF($B7="IC Switch",IFERROR(INDEX('IC Switch Scenarios'!$X$36:$X$170,MATCH($C7,'IC Switch Scenarios'!$A$36:$A$170,0)+0),""),IFERROR(INDEX('PM After Switch'!$AF$51:$AF$350,MATCH($C7,'PM After Switch'!$A$51:$A$350,0)+0),"")))</f>
        <v/>
      </c>
      <c r="X7" s="506">
        <f>IF($B7="Stay at Jump",INDEX('Savings Projection'!$AI$19:$AI$33,2),IF($B7="IC Switch",IFERROR(INDEX('IC Switch Scenarios'!$X$36:$X$170,MATCH($C7,'IC Switch Scenarios'!$A$36:$A$170,0)+1),""),IFERROR(INDEX('PM After Switch'!$AF$51:$AF$350,MATCH($C7,'PM After Switch'!$A$51:$A$350,0)+1),"")))</f>
        <v/>
      </c>
      <c r="Y7" s="506">
        <f>IF($B7="Stay at Jump",INDEX('Savings Projection'!$AI$19:$AI$33,3),IF($B7="IC Switch",IFERROR(INDEX('IC Switch Scenarios'!$X$36:$X$170,MATCH($C7,'IC Switch Scenarios'!$A$36:$A$170,0)+2),""),IFERROR(INDEX('PM After Switch'!$AF$51:$AF$350,MATCH($C7,'PM After Switch'!$A$51:$A$350,0)+2),"")))</f>
        <v/>
      </c>
      <c r="Z7" s="506">
        <f>IF($B7="Stay at Jump",INDEX('Savings Projection'!$AI$19:$AI$33,4),IF($B7="IC Switch",IFERROR(INDEX('IC Switch Scenarios'!$X$36:$X$170,MATCH($C7,'IC Switch Scenarios'!$A$36:$A$170,0)+3),""),IFERROR(INDEX('PM After Switch'!$AF$51:$AF$350,MATCH($C7,'PM After Switch'!$A$51:$A$350,0)+3),"")))</f>
        <v/>
      </c>
      <c r="AA7" s="506">
        <f>IF($B7="Stay at Jump",INDEX('Savings Projection'!$AI$19:$AI$33,5),IF($B7="IC Switch",IFERROR(INDEX('IC Switch Scenarios'!$X$36:$X$170,MATCH($C7,'IC Switch Scenarios'!$A$36:$A$170,0)+4),""),IFERROR(INDEX('PM After Switch'!$AF$51:$AF$350,MATCH($C7,'PM After Switch'!$A$51:$A$350,0)+4),"")))</f>
        <v/>
      </c>
      <c r="AB7" s="506">
        <f>IF($B7="Stay at Jump",INDEX('Savings Projection'!$AI$19:$AI$33,6),IF($B7="IC Switch",IFERROR(INDEX('IC Switch Scenarios'!$X$36:$X$170,MATCH($C7,'IC Switch Scenarios'!$A$36:$A$170,0)+5),""),IFERROR(INDEX('PM After Switch'!$AF$51:$AF$350,MATCH($C7,'PM After Switch'!$A$51:$A$350,0)+5),"")))</f>
        <v/>
      </c>
      <c r="AC7" s="506">
        <f>IF($B7="Stay at Jump",INDEX('Savings Projection'!$AI$19:$AI$33,7),IF($B7="IC Switch",IFERROR(INDEX('IC Switch Scenarios'!$X$36:$X$170,MATCH($C7,'IC Switch Scenarios'!$A$36:$A$170,0)+6),""),IFERROR(INDEX('PM After Switch'!$AF$51:$AF$350,MATCH($C7,'PM After Switch'!$A$51:$A$350,0)+6),"")))</f>
        <v/>
      </c>
      <c r="AD7" s="506">
        <f>IF($B7="Stay at Jump",INDEX('Savings Projection'!$AI$19:$AI$33,8),IF($B7="IC Switch",IFERROR(INDEX('IC Switch Scenarios'!$X$36:$X$170,MATCH($C7,'IC Switch Scenarios'!$A$36:$A$170,0)+7),""),IFERROR(INDEX('PM After Switch'!$AF$51:$AF$350,MATCH($C7,'PM After Switch'!$A$51:$A$350,0)+7),"")))</f>
        <v/>
      </c>
      <c r="AE7" s="506">
        <f>IF($B7="Stay at Jump",INDEX('Savings Projection'!$AI$19:$AI$33,9),IF($B7="IC Switch",IFERROR(INDEX('IC Switch Scenarios'!$X$36:$X$170,MATCH($C7,'IC Switch Scenarios'!$A$36:$A$170,0)+8),""),IFERROR(INDEX('PM After Switch'!$AF$51:$AF$350,MATCH($C7,'PM After Switch'!$A$51:$A$350,0)+8),"")))</f>
        <v/>
      </c>
      <c r="AF7" s="506">
        <f>IF($B7="Stay at Jump",INDEX('Savings Projection'!$AI$19:$AI$33,10),IF($B7="IC Switch",IFERROR(INDEX('IC Switch Scenarios'!$X$36:$X$170,MATCH($C7,'IC Switch Scenarios'!$A$36:$A$170,0)+9),""),IFERROR(INDEX('PM After Switch'!$AF$51:$AF$350,MATCH($C7,'PM After Switch'!$A$51:$A$350,0)+9),"")))</f>
        <v/>
      </c>
      <c r="AG7" s="506">
        <f>IF($B7="Stay at Jump",INDEX('Savings Projection'!$AI$19:$AI$33,11),IF($B7="IC Switch",IFERROR(INDEX('IC Switch Scenarios'!$X$36:$X$170,MATCH($C7,'IC Switch Scenarios'!$A$36:$A$170,0)+10),""),IFERROR(INDEX('PM After Switch'!$AF$51:$AF$350,MATCH($C7,'PM After Switch'!$A$51:$A$350,0)+10),"")))</f>
        <v/>
      </c>
      <c r="AH7" s="506">
        <f>IF($B7="Stay at Jump",INDEX('Savings Projection'!$AI$19:$AI$33,12),IF($B7="IC Switch",IFERROR(INDEX('IC Switch Scenarios'!$X$36:$X$170,MATCH($C7,'IC Switch Scenarios'!$A$36:$A$170,0)+11),""),IFERROR(INDEX('PM After Switch'!$AF$51:$AF$350,MATCH($C7,'PM After Switch'!$A$51:$A$350,0)+11),"")))</f>
        <v/>
      </c>
      <c r="AI7" s="506">
        <f>IF($B7="Stay at Jump",INDEX('Savings Projection'!$AI$19:$AI$33,13),IF($B7="IC Switch",IFERROR(INDEX('IC Switch Scenarios'!$X$36:$X$170,MATCH($C7,'IC Switch Scenarios'!$A$36:$A$170,0)+12),""),IFERROR(INDEX('PM After Switch'!$AF$51:$AF$350,MATCH($C7,'PM After Switch'!$A$51:$A$350,0)+12),"")))</f>
        <v/>
      </c>
      <c r="AJ7" s="506">
        <f>IF($B7="Stay at Jump",INDEX('Savings Projection'!$AI$19:$AI$33,14),IF($B7="IC Switch",IFERROR(INDEX('IC Switch Scenarios'!$X$36:$X$170,MATCH($C7,'IC Switch Scenarios'!$A$36:$A$170,0)+13),""),IFERROR(INDEX('PM After Switch'!$AF$51:$AF$350,MATCH($C7,'PM After Switch'!$A$51:$A$350,0)+13),"")))</f>
        <v/>
      </c>
      <c r="AK7" s="506">
        <f>IF($B7="Stay at Jump",INDEX('Savings Projection'!$AI$19:$AI$33,15),IF($B7="IC Switch",IFERROR(INDEX('IC Switch Scenarios'!$X$36:$X$170,MATCH($C7,'IC Switch Scenarios'!$A$36:$A$170,0)+14),""),IFERROR(INDEX('PM After Switch'!$AF$51:$AF$350,MATCH($C7,'PM After Switch'!$A$51:$A$350,0)+14),"")))</f>
        <v/>
      </c>
    </row>
    <row r="8" ht="20" customHeight="1" s="326">
      <c r="A8" s="426">
        <f>$B8&amp;" | "&amp;$C8&amp;" | "&amp;$H8</f>
        <v/>
      </c>
      <c r="B8" s="426" t="inlineStr">
        <is>
          <t>IC Switch</t>
        </is>
      </c>
      <c r="C8" s="426">
        <f>'IC Switch Scenarios'!$A$23</f>
        <v/>
      </c>
      <c r="D8" s="427">
        <f>'IC Switch Scenarios'!$B$23</f>
        <v/>
      </c>
      <c r="E8" s="435">
        <f>'IC Switch Scenarios'!$C$23</f>
        <v/>
      </c>
      <c r="F8" s="427" t="inlineStr"/>
      <c r="G8" s="426" t="inlineStr"/>
      <c r="H8" s="429" t="inlineStr">
        <is>
          <t>Y15</t>
        </is>
      </c>
      <c r="I8" s="436">
        <f>'IC Switch Scenarios'!$N$23</f>
        <v/>
      </c>
      <c r="J8" s="436">
        <f>'IC Switch Scenarios'!$O$23</f>
        <v/>
      </c>
      <c r="K8" s="436">
        <f>'IC Switch Scenarios'!$P$23</f>
        <v/>
      </c>
      <c r="L8" s="436">
        <f>'IC Switch Scenarios'!$Q$23</f>
        <v/>
      </c>
      <c r="M8" s="436">
        <f>'IC Switch Scenarios'!$R$23</f>
        <v/>
      </c>
      <c r="N8" s="436">
        <f>'IC Switch Scenarios'!$S$23</f>
        <v/>
      </c>
      <c r="O8" s="436">
        <f>'IC Switch Scenarios'!$T$23</f>
        <v/>
      </c>
      <c r="P8" s="436">
        <f>'IC Switch Scenarios'!$U$23</f>
        <v/>
      </c>
      <c r="Q8" s="426">
        <f>'IC Switch Scenarios'!$V$23</f>
        <v/>
      </c>
      <c r="R8" s="429">
        <f>'IC Switch Scenarios'!$W$23</f>
        <v/>
      </c>
      <c r="S8" s="429">
        <f>'IC Switch Scenarios'!$X$23</f>
        <v/>
      </c>
      <c r="T8" s="429">
        <f>'IC Switch Scenarios'!$Y$23</f>
        <v/>
      </c>
      <c r="U8" s="429">
        <f>'IC Switch Scenarios'!$Z$23</f>
        <v/>
      </c>
      <c r="V8" s="505" t="n"/>
      <c r="W8" s="506">
        <f>IF($B8="Stay at Jump",INDEX('Savings Projection'!$AI$19:$AI$33,1),IF($B8="IC Switch",IFERROR(INDEX('IC Switch Scenarios'!$X$36:$X$170,MATCH($C8,'IC Switch Scenarios'!$A$36:$A$170,0)+0),""),IFERROR(INDEX('PM After Switch'!$AF$51:$AF$350,MATCH($C8,'PM After Switch'!$A$51:$A$350,0)+0),"")))</f>
        <v/>
      </c>
      <c r="X8" s="506">
        <f>IF($B8="Stay at Jump",INDEX('Savings Projection'!$AI$19:$AI$33,2),IF($B8="IC Switch",IFERROR(INDEX('IC Switch Scenarios'!$X$36:$X$170,MATCH($C8,'IC Switch Scenarios'!$A$36:$A$170,0)+1),""),IFERROR(INDEX('PM After Switch'!$AF$51:$AF$350,MATCH($C8,'PM After Switch'!$A$51:$A$350,0)+1),"")))</f>
        <v/>
      </c>
      <c r="Y8" s="506">
        <f>IF($B8="Stay at Jump",INDEX('Savings Projection'!$AI$19:$AI$33,3),IF($B8="IC Switch",IFERROR(INDEX('IC Switch Scenarios'!$X$36:$X$170,MATCH($C8,'IC Switch Scenarios'!$A$36:$A$170,0)+2),""),IFERROR(INDEX('PM After Switch'!$AF$51:$AF$350,MATCH($C8,'PM After Switch'!$A$51:$A$350,0)+2),"")))</f>
        <v/>
      </c>
      <c r="Z8" s="506">
        <f>IF($B8="Stay at Jump",INDEX('Savings Projection'!$AI$19:$AI$33,4),IF($B8="IC Switch",IFERROR(INDEX('IC Switch Scenarios'!$X$36:$X$170,MATCH($C8,'IC Switch Scenarios'!$A$36:$A$170,0)+3),""),IFERROR(INDEX('PM After Switch'!$AF$51:$AF$350,MATCH($C8,'PM After Switch'!$A$51:$A$350,0)+3),"")))</f>
        <v/>
      </c>
      <c r="AA8" s="506">
        <f>IF($B8="Stay at Jump",INDEX('Savings Projection'!$AI$19:$AI$33,5),IF($B8="IC Switch",IFERROR(INDEX('IC Switch Scenarios'!$X$36:$X$170,MATCH($C8,'IC Switch Scenarios'!$A$36:$A$170,0)+4),""),IFERROR(INDEX('PM After Switch'!$AF$51:$AF$350,MATCH($C8,'PM After Switch'!$A$51:$A$350,0)+4),"")))</f>
        <v/>
      </c>
      <c r="AB8" s="506">
        <f>IF($B8="Stay at Jump",INDEX('Savings Projection'!$AI$19:$AI$33,6),IF($B8="IC Switch",IFERROR(INDEX('IC Switch Scenarios'!$X$36:$X$170,MATCH($C8,'IC Switch Scenarios'!$A$36:$A$170,0)+5),""),IFERROR(INDEX('PM After Switch'!$AF$51:$AF$350,MATCH($C8,'PM After Switch'!$A$51:$A$350,0)+5),"")))</f>
        <v/>
      </c>
      <c r="AC8" s="506">
        <f>IF($B8="Stay at Jump",INDEX('Savings Projection'!$AI$19:$AI$33,7),IF($B8="IC Switch",IFERROR(INDEX('IC Switch Scenarios'!$X$36:$X$170,MATCH($C8,'IC Switch Scenarios'!$A$36:$A$170,0)+6),""),IFERROR(INDEX('PM After Switch'!$AF$51:$AF$350,MATCH($C8,'PM After Switch'!$A$51:$A$350,0)+6),"")))</f>
        <v/>
      </c>
      <c r="AD8" s="506">
        <f>IF($B8="Stay at Jump",INDEX('Savings Projection'!$AI$19:$AI$33,8),IF($B8="IC Switch",IFERROR(INDEX('IC Switch Scenarios'!$X$36:$X$170,MATCH($C8,'IC Switch Scenarios'!$A$36:$A$170,0)+7),""),IFERROR(INDEX('PM After Switch'!$AF$51:$AF$350,MATCH($C8,'PM After Switch'!$A$51:$A$350,0)+7),"")))</f>
        <v/>
      </c>
      <c r="AE8" s="506">
        <f>IF($B8="Stay at Jump",INDEX('Savings Projection'!$AI$19:$AI$33,9),IF($B8="IC Switch",IFERROR(INDEX('IC Switch Scenarios'!$X$36:$X$170,MATCH($C8,'IC Switch Scenarios'!$A$36:$A$170,0)+8),""),IFERROR(INDEX('PM After Switch'!$AF$51:$AF$350,MATCH($C8,'PM After Switch'!$A$51:$A$350,0)+8),"")))</f>
        <v/>
      </c>
      <c r="AF8" s="506">
        <f>IF($B8="Stay at Jump",INDEX('Savings Projection'!$AI$19:$AI$33,10),IF($B8="IC Switch",IFERROR(INDEX('IC Switch Scenarios'!$X$36:$X$170,MATCH($C8,'IC Switch Scenarios'!$A$36:$A$170,0)+9),""),IFERROR(INDEX('PM After Switch'!$AF$51:$AF$350,MATCH($C8,'PM After Switch'!$A$51:$A$350,0)+9),"")))</f>
        <v/>
      </c>
      <c r="AG8" s="506">
        <f>IF($B8="Stay at Jump",INDEX('Savings Projection'!$AI$19:$AI$33,11),IF($B8="IC Switch",IFERROR(INDEX('IC Switch Scenarios'!$X$36:$X$170,MATCH($C8,'IC Switch Scenarios'!$A$36:$A$170,0)+10),""),IFERROR(INDEX('PM After Switch'!$AF$51:$AF$350,MATCH($C8,'PM After Switch'!$A$51:$A$350,0)+10),"")))</f>
        <v/>
      </c>
      <c r="AH8" s="506">
        <f>IF($B8="Stay at Jump",INDEX('Savings Projection'!$AI$19:$AI$33,12),IF($B8="IC Switch",IFERROR(INDEX('IC Switch Scenarios'!$X$36:$X$170,MATCH($C8,'IC Switch Scenarios'!$A$36:$A$170,0)+11),""),IFERROR(INDEX('PM After Switch'!$AF$51:$AF$350,MATCH($C8,'PM After Switch'!$A$51:$A$350,0)+11),"")))</f>
        <v/>
      </c>
      <c r="AI8" s="506">
        <f>IF($B8="Stay at Jump",INDEX('Savings Projection'!$AI$19:$AI$33,13),IF($B8="IC Switch",IFERROR(INDEX('IC Switch Scenarios'!$X$36:$X$170,MATCH($C8,'IC Switch Scenarios'!$A$36:$A$170,0)+12),""),IFERROR(INDEX('PM After Switch'!$AF$51:$AF$350,MATCH($C8,'PM After Switch'!$A$51:$A$350,0)+12),"")))</f>
        <v/>
      </c>
      <c r="AJ8" s="506">
        <f>IF($B8="Stay at Jump",INDEX('Savings Projection'!$AI$19:$AI$33,14),IF($B8="IC Switch",IFERROR(INDEX('IC Switch Scenarios'!$X$36:$X$170,MATCH($C8,'IC Switch Scenarios'!$A$36:$A$170,0)+13),""),IFERROR(INDEX('PM After Switch'!$AF$51:$AF$350,MATCH($C8,'PM After Switch'!$A$51:$A$350,0)+13),"")))</f>
        <v/>
      </c>
      <c r="AK8" s="506">
        <f>IF($B8="Stay at Jump",INDEX('Savings Projection'!$AI$19:$AI$33,15),IF($B8="IC Switch",IFERROR(INDEX('IC Switch Scenarios'!$X$36:$X$170,MATCH($C8,'IC Switch Scenarios'!$A$36:$A$170,0)+14),""),IFERROR(INDEX('PM After Switch'!$AF$51:$AF$350,MATCH($C8,'PM After Switch'!$A$51:$A$350,0)+14),"")))</f>
        <v/>
      </c>
    </row>
    <row r="9" ht="20" customHeight="1" s="326">
      <c r="A9" s="426">
        <f>$B9&amp;" | "&amp;$C9&amp;" | "&amp;$H9</f>
        <v/>
      </c>
      <c r="B9" s="426" t="inlineStr">
        <is>
          <t>IC Switch</t>
        </is>
      </c>
      <c r="C9" s="426">
        <f>'IC Switch Scenarios'!$A$24</f>
        <v/>
      </c>
      <c r="D9" s="427">
        <f>'IC Switch Scenarios'!$B$24</f>
        <v/>
      </c>
      <c r="E9" s="435">
        <f>'IC Switch Scenarios'!$C$24</f>
        <v/>
      </c>
      <c r="F9" s="427" t="inlineStr"/>
      <c r="G9" s="426" t="inlineStr"/>
      <c r="H9" s="429" t="inlineStr">
        <is>
          <t>Y10</t>
        </is>
      </c>
      <c r="I9" s="436">
        <f>'IC Switch Scenarios'!$E$24</f>
        <v/>
      </c>
      <c r="J9" s="436">
        <f>'IC Switch Scenarios'!$F$24</f>
        <v/>
      </c>
      <c r="K9" s="436">
        <f>'IC Switch Scenarios'!$G$24</f>
        <v/>
      </c>
      <c r="L9" s="436">
        <f>'IC Switch Scenarios'!$H$24</f>
        <v/>
      </c>
      <c r="M9" s="436">
        <f>'IC Switch Scenarios'!$I$24</f>
        <v/>
      </c>
      <c r="N9" s="436">
        <f>'IC Switch Scenarios'!$J$24</f>
        <v/>
      </c>
      <c r="O9" s="436">
        <f>'IC Switch Scenarios'!$K$24</f>
        <v/>
      </c>
      <c r="P9" s="436">
        <f>'IC Switch Scenarios'!$L$24</f>
        <v/>
      </c>
      <c r="Q9" s="426">
        <f>'IC Switch Scenarios'!$M$24</f>
        <v/>
      </c>
      <c r="R9" s="429">
        <f>'IC Switch Scenarios'!$W$24</f>
        <v/>
      </c>
      <c r="S9" s="429">
        <f>'IC Switch Scenarios'!$X$24</f>
        <v/>
      </c>
      <c r="T9" s="429">
        <f>'IC Switch Scenarios'!$Y$24</f>
        <v/>
      </c>
      <c r="U9" s="429">
        <f>'IC Switch Scenarios'!$Z$24</f>
        <v/>
      </c>
      <c r="V9" s="505" t="n"/>
      <c r="W9" s="506">
        <f>IF($B9="Stay at Jump",INDEX('Savings Projection'!$AI$19:$AI$33,1),IF($B9="IC Switch",IFERROR(INDEX('IC Switch Scenarios'!$X$36:$X$170,MATCH($C9,'IC Switch Scenarios'!$A$36:$A$170,0)+0),""),IFERROR(INDEX('PM After Switch'!$AF$51:$AF$350,MATCH($C9,'PM After Switch'!$A$51:$A$350,0)+0),"")))</f>
        <v/>
      </c>
      <c r="X9" s="506">
        <f>IF($B9="Stay at Jump",INDEX('Savings Projection'!$AI$19:$AI$33,2),IF($B9="IC Switch",IFERROR(INDEX('IC Switch Scenarios'!$X$36:$X$170,MATCH($C9,'IC Switch Scenarios'!$A$36:$A$170,0)+1),""),IFERROR(INDEX('PM After Switch'!$AF$51:$AF$350,MATCH($C9,'PM After Switch'!$A$51:$A$350,0)+1),"")))</f>
        <v/>
      </c>
      <c r="Y9" s="506">
        <f>IF($B9="Stay at Jump",INDEX('Savings Projection'!$AI$19:$AI$33,3),IF($B9="IC Switch",IFERROR(INDEX('IC Switch Scenarios'!$X$36:$X$170,MATCH($C9,'IC Switch Scenarios'!$A$36:$A$170,0)+2),""),IFERROR(INDEX('PM After Switch'!$AF$51:$AF$350,MATCH($C9,'PM After Switch'!$A$51:$A$350,0)+2),"")))</f>
        <v/>
      </c>
      <c r="Z9" s="506">
        <f>IF($B9="Stay at Jump",INDEX('Savings Projection'!$AI$19:$AI$33,4),IF($B9="IC Switch",IFERROR(INDEX('IC Switch Scenarios'!$X$36:$X$170,MATCH($C9,'IC Switch Scenarios'!$A$36:$A$170,0)+3),""),IFERROR(INDEX('PM After Switch'!$AF$51:$AF$350,MATCH($C9,'PM After Switch'!$A$51:$A$350,0)+3),"")))</f>
        <v/>
      </c>
      <c r="AA9" s="506">
        <f>IF($B9="Stay at Jump",INDEX('Savings Projection'!$AI$19:$AI$33,5),IF($B9="IC Switch",IFERROR(INDEX('IC Switch Scenarios'!$X$36:$X$170,MATCH($C9,'IC Switch Scenarios'!$A$36:$A$170,0)+4),""),IFERROR(INDEX('PM After Switch'!$AF$51:$AF$350,MATCH($C9,'PM After Switch'!$A$51:$A$350,0)+4),"")))</f>
        <v/>
      </c>
      <c r="AB9" s="506">
        <f>IF($B9="Stay at Jump",INDEX('Savings Projection'!$AI$19:$AI$33,6),IF($B9="IC Switch",IFERROR(INDEX('IC Switch Scenarios'!$X$36:$X$170,MATCH($C9,'IC Switch Scenarios'!$A$36:$A$170,0)+5),""),IFERROR(INDEX('PM After Switch'!$AF$51:$AF$350,MATCH($C9,'PM After Switch'!$A$51:$A$350,0)+5),"")))</f>
        <v/>
      </c>
      <c r="AC9" s="506">
        <f>IF($B9="Stay at Jump",INDEX('Savings Projection'!$AI$19:$AI$33,7),IF($B9="IC Switch",IFERROR(INDEX('IC Switch Scenarios'!$X$36:$X$170,MATCH($C9,'IC Switch Scenarios'!$A$36:$A$170,0)+6),""),IFERROR(INDEX('PM After Switch'!$AF$51:$AF$350,MATCH($C9,'PM After Switch'!$A$51:$A$350,0)+6),"")))</f>
        <v/>
      </c>
      <c r="AD9" s="506">
        <f>IF($B9="Stay at Jump",INDEX('Savings Projection'!$AI$19:$AI$33,8),IF($B9="IC Switch",IFERROR(INDEX('IC Switch Scenarios'!$X$36:$X$170,MATCH($C9,'IC Switch Scenarios'!$A$36:$A$170,0)+7),""),IFERROR(INDEX('PM After Switch'!$AF$51:$AF$350,MATCH($C9,'PM After Switch'!$A$51:$A$350,0)+7),"")))</f>
        <v/>
      </c>
      <c r="AE9" s="506">
        <f>IF($B9="Stay at Jump",INDEX('Savings Projection'!$AI$19:$AI$33,9),IF($B9="IC Switch",IFERROR(INDEX('IC Switch Scenarios'!$X$36:$X$170,MATCH($C9,'IC Switch Scenarios'!$A$36:$A$170,0)+8),""),IFERROR(INDEX('PM After Switch'!$AF$51:$AF$350,MATCH($C9,'PM After Switch'!$A$51:$A$350,0)+8),"")))</f>
        <v/>
      </c>
      <c r="AF9" s="506">
        <f>IF($B9="Stay at Jump",INDEX('Savings Projection'!$AI$19:$AI$33,10),IF($B9="IC Switch",IFERROR(INDEX('IC Switch Scenarios'!$X$36:$X$170,MATCH($C9,'IC Switch Scenarios'!$A$36:$A$170,0)+9),""),IFERROR(INDEX('PM After Switch'!$AF$51:$AF$350,MATCH($C9,'PM After Switch'!$A$51:$A$350,0)+9),"")))</f>
        <v/>
      </c>
      <c r="AG9" s="506">
        <f>IF($B9="Stay at Jump",INDEX('Savings Projection'!$AI$19:$AI$33,11),IF($B9="IC Switch",IFERROR(INDEX('IC Switch Scenarios'!$X$36:$X$170,MATCH($C9,'IC Switch Scenarios'!$A$36:$A$170,0)+10),""),IFERROR(INDEX('PM After Switch'!$AF$51:$AF$350,MATCH($C9,'PM After Switch'!$A$51:$A$350,0)+10),"")))</f>
        <v/>
      </c>
      <c r="AH9" s="506">
        <f>IF($B9="Stay at Jump",INDEX('Savings Projection'!$AI$19:$AI$33,12),IF($B9="IC Switch",IFERROR(INDEX('IC Switch Scenarios'!$X$36:$X$170,MATCH($C9,'IC Switch Scenarios'!$A$36:$A$170,0)+11),""),IFERROR(INDEX('PM After Switch'!$AF$51:$AF$350,MATCH($C9,'PM After Switch'!$A$51:$A$350,0)+11),"")))</f>
        <v/>
      </c>
      <c r="AI9" s="506">
        <f>IF($B9="Stay at Jump",INDEX('Savings Projection'!$AI$19:$AI$33,13),IF($B9="IC Switch",IFERROR(INDEX('IC Switch Scenarios'!$X$36:$X$170,MATCH($C9,'IC Switch Scenarios'!$A$36:$A$170,0)+12),""),IFERROR(INDEX('PM After Switch'!$AF$51:$AF$350,MATCH($C9,'PM After Switch'!$A$51:$A$350,0)+12),"")))</f>
        <v/>
      </c>
      <c r="AJ9" s="506">
        <f>IF($B9="Stay at Jump",INDEX('Savings Projection'!$AI$19:$AI$33,14),IF($B9="IC Switch",IFERROR(INDEX('IC Switch Scenarios'!$X$36:$X$170,MATCH($C9,'IC Switch Scenarios'!$A$36:$A$170,0)+13),""),IFERROR(INDEX('PM After Switch'!$AF$51:$AF$350,MATCH($C9,'PM After Switch'!$A$51:$A$350,0)+13),"")))</f>
        <v/>
      </c>
      <c r="AK9" s="506">
        <f>IF($B9="Stay at Jump",INDEX('Savings Projection'!$AI$19:$AI$33,15),IF($B9="IC Switch",IFERROR(INDEX('IC Switch Scenarios'!$X$36:$X$170,MATCH($C9,'IC Switch Scenarios'!$A$36:$A$170,0)+14),""),IFERROR(INDEX('PM After Switch'!$AF$51:$AF$350,MATCH($C9,'PM After Switch'!$A$51:$A$350,0)+14),"")))</f>
        <v/>
      </c>
    </row>
    <row r="10" ht="20" customHeight="1" s="326">
      <c r="A10" s="426">
        <f>$B10&amp;" | "&amp;$C10&amp;" | "&amp;$H10</f>
        <v/>
      </c>
      <c r="B10" s="426" t="inlineStr">
        <is>
          <t>IC Switch</t>
        </is>
      </c>
      <c r="C10" s="426">
        <f>'IC Switch Scenarios'!$A$24</f>
        <v/>
      </c>
      <c r="D10" s="427">
        <f>'IC Switch Scenarios'!$B$24</f>
        <v/>
      </c>
      <c r="E10" s="435">
        <f>'IC Switch Scenarios'!$C$24</f>
        <v/>
      </c>
      <c r="F10" s="427" t="inlineStr"/>
      <c r="G10" s="426" t="inlineStr"/>
      <c r="H10" s="429" t="inlineStr">
        <is>
          <t>Y15</t>
        </is>
      </c>
      <c r="I10" s="436">
        <f>'IC Switch Scenarios'!$N$24</f>
        <v/>
      </c>
      <c r="J10" s="436">
        <f>'IC Switch Scenarios'!$O$24</f>
        <v/>
      </c>
      <c r="K10" s="436">
        <f>'IC Switch Scenarios'!$P$24</f>
        <v/>
      </c>
      <c r="L10" s="436">
        <f>'IC Switch Scenarios'!$Q$24</f>
        <v/>
      </c>
      <c r="M10" s="436">
        <f>'IC Switch Scenarios'!$R$24</f>
        <v/>
      </c>
      <c r="N10" s="436">
        <f>'IC Switch Scenarios'!$S$24</f>
        <v/>
      </c>
      <c r="O10" s="436">
        <f>'IC Switch Scenarios'!$T$24</f>
        <v/>
      </c>
      <c r="P10" s="436">
        <f>'IC Switch Scenarios'!$U$24</f>
        <v/>
      </c>
      <c r="Q10" s="426">
        <f>'IC Switch Scenarios'!$V$24</f>
        <v/>
      </c>
      <c r="R10" s="429">
        <f>'IC Switch Scenarios'!$W$24</f>
        <v/>
      </c>
      <c r="S10" s="429">
        <f>'IC Switch Scenarios'!$X$24</f>
        <v/>
      </c>
      <c r="T10" s="429">
        <f>'IC Switch Scenarios'!$Y$24</f>
        <v/>
      </c>
      <c r="U10" s="429">
        <f>'IC Switch Scenarios'!$Z$24</f>
        <v/>
      </c>
      <c r="V10" s="505" t="n"/>
      <c r="W10" s="506">
        <f>IF($B10="Stay at Jump",INDEX('Savings Projection'!$AI$19:$AI$33,1),IF($B10="IC Switch",IFERROR(INDEX('IC Switch Scenarios'!$X$36:$X$170,MATCH($C10,'IC Switch Scenarios'!$A$36:$A$170,0)+0),""),IFERROR(INDEX('PM After Switch'!$AF$51:$AF$350,MATCH($C10,'PM After Switch'!$A$51:$A$350,0)+0),"")))</f>
        <v/>
      </c>
      <c r="X10" s="506">
        <f>IF($B10="Stay at Jump",INDEX('Savings Projection'!$AI$19:$AI$33,2),IF($B10="IC Switch",IFERROR(INDEX('IC Switch Scenarios'!$X$36:$X$170,MATCH($C10,'IC Switch Scenarios'!$A$36:$A$170,0)+1),""),IFERROR(INDEX('PM After Switch'!$AF$51:$AF$350,MATCH($C10,'PM After Switch'!$A$51:$A$350,0)+1),"")))</f>
        <v/>
      </c>
      <c r="Y10" s="506">
        <f>IF($B10="Stay at Jump",INDEX('Savings Projection'!$AI$19:$AI$33,3),IF($B10="IC Switch",IFERROR(INDEX('IC Switch Scenarios'!$X$36:$X$170,MATCH($C10,'IC Switch Scenarios'!$A$36:$A$170,0)+2),""),IFERROR(INDEX('PM After Switch'!$AF$51:$AF$350,MATCH($C10,'PM After Switch'!$A$51:$A$350,0)+2),"")))</f>
        <v/>
      </c>
      <c r="Z10" s="506">
        <f>IF($B10="Stay at Jump",INDEX('Savings Projection'!$AI$19:$AI$33,4),IF($B10="IC Switch",IFERROR(INDEX('IC Switch Scenarios'!$X$36:$X$170,MATCH($C10,'IC Switch Scenarios'!$A$36:$A$170,0)+3),""),IFERROR(INDEX('PM After Switch'!$AF$51:$AF$350,MATCH($C10,'PM After Switch'!$A$51:$A$350,0)+3),"")))</f>
        <v/>
      </c>
      <c r="AA10" s="506">
        <f>IF($B10="Stay at Jump",INDEX('Savings Projection'!$AI$19:$AI$33,5),IF($B10="IC Switch",IFERROR(INDEX('IC Switch Scenarios'!$X$36:$X$170,MATCH($C10,'IC Switch Scenarios'!$A$36:$A$170,0)+4),""),IFERROR(INDEX('PM After Switch'!$AF$51:$AF$350,MATCH($C10,'PM After Switch'!$A$51:$A$350,0)+4),"")))</f>
        <v/>
      </c>
      <c r="AB10" s="506">
        <f>IF($B10="Stay at Jump",INDEX('Savings Projection'!$AI$19:$AI$33,6),IF($B10="IC Switch",IFERROR(INDEX('IC Switch Scenarios'!$X$36:$X$170,MATCH($C10,'IC Switch Scenarios'!$A$36:$A$170,0)+5),""),IFERROR(INDEX('PM After Switch'!$AF$51:$AF$350,MATCH($C10,'PM After Switch'!$A$51:$A$350,0)+5),"")))</f>
        <v/>
      </c>
      <c r="AC10" s="506">
        <f>IF($B10="Stay at Jump",INDEX('Savings Projection'!$AI$19:$AI$33,7),IF($B10="IC Switch",IFERROR(INDEX('IC Switch Scenarios'!$X$36:$X$170,MATCH($C10,'IC Switch Scenarios'!$A$36:$A$170,0)+6),""),IFERROR(INDEX('PM After Switch'!$AF$51:$AF$350,MATCH($C10,'PM After Switch'!$A$51:$A$350,0)+6),"")))</f>
        <v/>
      </c>
      <c r="AD10" s="506">
        <f>IF($B10="Stay at Jump",INDEX('Savings Projection'!$AI$19:$AI$33,8),IF($B10="IC Switch",IFERROR(INDEX('IC Switch Scenarios'!$X$36:$X$170,MATCH($C10,'IC Switch Scenarios'!$A$36:$A$170,0)+7),""),IFERROR(INDEX('PM After Switch'!$AF$51:$AF$350,MATCH($C10,'PM After Switch'!$A$51:$A$350,0)+7),"")))</f>
        <v/>
      </c>
      <c r="AE10" s="506">
        <f>IF($B10="Stay at Jump",INDEX('Savings Projection'!$AI$19:$AI$33,9),IF($B10="IC Switch",IFERROR(INDEX('IC Switch Scenarios'!$X$36:$X$170,MATCH($C10,'IC Switch Scenarios'!$A$36:$A$170,0)+8),""),IFERROR(INDEX('PM After Switch'!$AF$51:$AF$350,MATCH($C10,'PM After Switch'!$A$51:$A$350,0)+8),"")))</f>
        <v/>
      </c>
      <c r="AF10" s="506">
        <f>IF($B10="Stay at Jump",INDEX('Savings Projection'!$AI$19:$AI$33,10),IF($B10="IC Switch",IFERROR(INDEX('IC Switch Scenarios'!$X$36:$X$170,MATCH($C10,'IC Switch Scenarios'!$A$36:$A$170,0)+9),""),IFERROR(INDEX('PM After Switch'!$AF$51:$AF$350,MATCH($C10,'PM After Switch'!$A$51:$A$350,0)+9),"")))</f>
        <v/>
      </c>
      <c r="AG10" s="506">
        <f>IF($B10="Stay at Jump",INDEX('Savings Projection'!$AI$19:$AI$33,11),IF($B10="IC Switch",IFERROR(INDEX('IC Switch Scenarios'!$X$36:$X$170,MATCH($C10,'IC Switch Scenarios'!$A$36:$A$170,0)+10),""),IFERROR(INDEX('PM After Switch'!$AF$51:$AF$350,MATCH($C10,'PM After Switch'!$A$51:$A$350,0)+10),"")))</f>
        <v/>
      </c>
      <c r="AH10" s="506">
        <f>IF($B10="Stay at Jump",INDEX('Savings Projection'!$AI$19:$AI$33,12),IF($B10="IC Switch",IFERROR(INDEX('IC Switch Scenarios'!$X$36:$X$170,MATCH($C10,'IC Switch Scenarios'!$A$36:$A$170,0)+11),""),IFERROR(INDEX('PM After Switch'!$AF$51:$AF$350,MATCH($C10,'PM After Switch'!$A$51:$A$350,0)+11),"")))</f>
        <v/>
      </c>
      <c r="AI10" s="506">
        <f>IF($B10="Stay at Jump",INDEX('Savings Projection'!$AI$19:$AI$33,13),IF($B10="IC Switch",IFERROR(INDEX('IC Switch Scenarios'!$X$36:$X$170,MATCH($C10,'IC Switch Scenarios'!$A$36:$A$170,0)+12),""),IFERROR(INDEX('PM After Switch'!$AF$51:$AF$350,MATCH($C10,'PM After Switch'!$A$51:$A$350,0)+12),"")))</f>
        <v/>
      </c>
      <c r="AJ10" s="506">
        <f>IF($B10="Stay at Jump",INDEX('Savings Projection'!$AI$19:$AI$33,14),IF($B10="IC Switch",IFERROR(INDEX('IC Switch Scenarios'!$X$36:$X$170,MATCH($C10,'IC Switch Scenarios'!$A$36:$A$170,0)+13),""),IFERROR(INDEX('PM After Switch'!$AF$51:$AF$350,MATCH($C10,'PM After Switch'!$A$51:$A$350,0)+13),"")))</f>
        <v/>
      </c>
      <c r="AK10" s="506">
        <f>IF($B10="Stay at Jump",INDEX('Savings Projection'!$AI$19:$AI$33,15),IF($B10="IC Switch",IFERROR(INDEX('IC Switch Scenarios'!$X$36:$X$170,MATCH($C10,'IC Switch Scenarios'!$A$36:$A$170,0)+14),""),IFERROR(INDEX('PM After Switch'!$AF$51:$AF$350,MATCH($C10,'PM After Switch'!$A$51:$A$350,0)+14),"")))</f>
        <v/>
      </c>
    </row>
    <row r="11" ht="20" customHeight="1" s="326">
      <c r="A11" s="426">
        <f>$B11&amp;" | "&amp;$C11&amp;" | "&amp;$H11</f>
        <v/>
      </c>
      <c r="B11" s="426" t="inlineStr">
        <is>
          <t>IC Switch</t>
        </is>
      </c>
      <c r="C11" s="426">
        <f>'IC Switch Scenarios'!$A$25</f>
        <v/>
      </c>
      <c r="D11" s="427">
        <f>'IC Switch Scenarios'!$B$25</f>
        <v/>
      </c>
      <c r="E11" s="435">
        <f>'IC Switch Scenarios'!$C$25</f>
        <v/>
      </c>
      <c r="F11" s="427" t="inlineStr"/>
      <c r="G11" s="426" t="inlineStr"/>
      <c r="H11" s="429" t="inlineStr">
        <is>
          <t>Y10</t>
        </is>
      </c>
      <c r="I11" s="436">
        <f>'IC Switch Scenarios'!$E$25</f>
        <v/>
      </c>
      <c r="J11" s="436">
        <f>'IC Switch Scenarios'!$F$25</f>
        <v/>
      </c>
      <c r="K11" s="436">
        <f>'IC Switch Scenarios'!$G$25</f>
        <v/>
      </c>
      <c r="L11" s="436">
        <f>'IC Switch Scenarios'!$H$25</f>
        <v/>
      </c>
      <c r="M11" s="436">
        <f>'IC Switch Scenarios'!$I$25</f>
        <v/>
      </c>
      <c r="N11" s="436">
        <f>'IC Switch Scenarios'!$J$25</f>
        <v/>
      </c>
      <c r="O11" s="436">
        <f>'IC Switch Scenarios'!$K$25</f>
        <v/>
      </c>
      <c r="P11" s="436">
        <f>'IC Switch Scenarios'!$L$25</f>
        <v/>
      </c>
      <c r="Q11" s="426">
        <f>'IC Switch Scenarios'!$M$25</f>
        <v/>
      </c>
      <c r="R11" s="429">
        <f>'IC Switch Scenarios'!$W$25</f>
        <v/>
      </c>
      <c r="S11" s="429">
        <f>'IC Switch Scenarios'!$X$25</f>
        <v/>
      </c>
      <c r="T11" s="429">
        <f>'IC Switch Scenarios'!$Y$25</f>
        <v/>
      </c>
      <c r="U11" s="429">
        <f>'IC Switch Scenarios'!$Z$25</f>
        <v/>
      </c>
      <c r="V11" s="505" t="n"/>
      <c r="W11" s="506">
        <f>IF($B11="Stay at Jump",INDEX('Savings Projection'!$AI$19:$AI$33,1),IF($B11="IC Switch",IFERROR(INDEX('IC Switch Scenarios'!$X$36:$X$170,MATCH($C11,'IC Switch Scenarios'!$A$36:$A$170,0)+0),""),IFERROR(INDEX('PM After Switch'!$AF$51:$AF$350,MATCH($C11,'PM After Switch'!$A$51:$A$350,0)+0),"")))</f>
        <v/>
      </c>
      <c r="X11" s="506">
        <f>IF($B11="Stay at Jump",INDEX('Savings Projection'!$AI$19:$AI$33,2),IF($B11="IC Switch",IFERROR(INDEX('IC Switch Scenarios'!$X$36:$X$170,MATCH($C11,'IC Switch Scenarios'!$A$36:$A$170,0)+1),""),IFERROR(INDEX('PM After Switch'!$AF$51:$AF$350,MATCH($C11,'PM After Switch'!$A$51:$A$350,0)+1),"")))</f>
        <v/>
      </c>
      <c r="Y11" s="506">
        <f>IF($B11="Stay at Jump",INDEX('Savings Projection'!$AI$19:$AI$33,3),IF($B11="IC Switch",IFERROR(INDEX('IC Switch Scenarios'!$X$36:$X$170,MATCH($C11,'IC Switch Scenarios'!$A$36:$A$170,0)+2),""),IFERROR(INDEX('PM After Switch'!$AF$51:$AF$350,MATCH($C11,'PM After Switch'!$A$51:$A$350,0)+2),"")))</f>
        <v/>
      </c>
      <c r="Z11" s="506">
        <f>IF($B11="Stay at Jump",INDEX('Savings Projection'!$AI$19:$AI$33,4),IF($B11="IC Switch",IFERROR(INDEX('IC Switch Scenarios'!$X$36:$X$170,MATCH($C11,'IC Switch Scenarios'!$A$36:$A$170,0)+3),""),IFERROR(INDEX('PM After Switch'!$AF$51:$AF$350,MATCH($C11,'PM After Switch'!$A$51:$A$350,0)+3),"")))</f>
        <v/>
      </c>
      <c r="AA11" s="506">
        <f>IF($B11="Stay at Jump",INDEX('Savings Projection'!$AI$19:$AI$33,5),IF($B11="IC Switch",IFERROR(INDEX('IC Switch Scenarios'!$X$36:$X$170,MATCH($C11,'IC Switch Scenarios'!$A$36:$A$170,0)+4),""),IFERROR(INDEX('PM After Switch'!$AF$51:$AF$350,MATCH($C11,'PM After Switch'!$A$51:$A$350,0)+4),"")))</f>
        <v/>
      </c>
      <c r="AB11" s="506">
        <f>IF($B11="Stay at Jump",INDEX('Savings Projection'!$AI$19:$AI$33,6),IF($B11="IC Switch",IFERROR(INDEX('IC Switch Scenarios'!$X$36:$X$170,MATCH($C11,'IC Switch Scenarios'!$A$36:$A$170,0)+5),""),IFERROR(INDEX('PM After Switch'!$AF$51:$AF$350,MATCH($C11,'PM After Switch'!$A$51:$A$350,0)+5),"")))</f>
        <v/>
      </c>
      <c r="AC11" s="506">
        <f>IF($B11="Stay at Jump",INDEX('Savings Projection'!$AI$19:$AI$33,7),IF($B11="IC Switch",IFERROR(INDEX('IC Switch Scenarios'!$X$36:$X$170,MATCH($C11,'IC Switch Scenarios'!$A$36:$A$170,0)+6),""),IFERROR(INDEX('PM After Switch'!$AF$51:$AF$350,MATCH($C11,'PM After Switch'!$A$51:$A$350,0)+6),"")))</f>
        <v/>
      </c>
      <c r="AD11" s="506">
        <f>IF($B11="Stay at Jump",INDEX('Savings Projection'!$AI$19:$AI$33,8),IF($B11="IC Switch",IFERROR(INDEX('IC Switch Scenarios'!$X$36:$X$170,MATCH($C11,'IC Switch Scenarios'!$A$36:$A$170,0)+7),""),IFERROR(INDEX('PM After Switch'!$AF$51:$AF$350,MATCH($C11,'PM After Switch'!$A$51:$A$350,0)+7),"")))</f>
        <v/>
      </c>
      <c r="AE11" s="506">
        <f>IF($B11="Stay at Jump",INDEX('Savings Projection'!$AI$19:$AI$33,9),IF($B11="IC Switch",IFERROR(INDEX('IC Switch Scenarios'!$X$36:$X$170,MATCH($C11,'IC Switch Scenarios'!$A$36:$A$170,0)+8),""),IFERROR(INDEX('PM After Switch'!$AF$51:$AF$350,MATCH($C11,'PM After Switch'!$A$51:$A$350,0)+8),"")))</f>
        <v/>
      </c>
      <c r="AF11" s="506">
        <f>IF($B11="Stay at Jump",INDEX('Savings Projection'!$AI$19:$AI$33,10),IF($B11="IC Switch",IFERROR(INDEX('IC Switch Scenarios'!$X$36:$X$170,MATCH($C11,'IC Switch Scenarios'!$A$36:$A$170,0)+9),""),IFERROR(INDEX('PM After Switch'!$AF$51:$AF$350,MATCH($C11,'PM After Switch'!$A$51:$A$350,0)+9),"")))</f>
        <v/>
      </c>
      <c r="AG11" s="506">
        <f>IF($B11="Stay at Jump",INDEX('Savings Projection'!$AI$19:$AI$33,11),IF($B11="IC Switch",IFERROR(INDEX('IC Switch Scenarios'!$X$36:$X$170,MATCH($C11,'IC Switch Scenarios'!$A$36:$A$170,0)+10),""),IFERROR(INDEX('PM After Switch'!$AF$51:$AF$350,MATCH($C11,'PM After Switch'!$A$51:$A$350,0)+10),"")))</f>
        <v/>
      </c>
      <c r="AH11" s="506">
        <f>IF($B11="Stay at Jump",INDEX('Savings Projection'!$AI$19:$AI$33,12),IF($B11="IC Switch",IFERROR(INDEX('IC Switch Scenarios'!$X$36:$X$170,MATCH($C11,'IC Switch Scenarios'!$A$36:$A$170,0)+11),""),IFERROR(INDEX('PM After Switch'!$AF$51:$AF$350,MATCH($C11,'PM After Switch'!$A$51:$A$350,0)+11),"")))</f>
        <v/>
      </c>
      <c r="AI11" s="506">
        <f>IF($B11="Stay at Jump",INDEX('Savings Projection'!$AI$19:$AI$33,13),IF($B11="IC Switch",IFERROR(INDEX('IC Switch Scenarios'!$X$36:$X$170,MATCH($C11,'IC Switch Scenarios'!$A$36:$A$170,0)+12),""),IFERROR(INDEX('PM After Switch'!$AF$51:$AF$350,MATCH($C11,'PM After Switch'!$A$51:$A$350,0)+12),"")))</f>
        <v/>
      </c>
      <c r="AJ11" s="506">
        <f>IF($B11="Stay at Jump",INDEX('Savings Projection'!$AI$19:$AI$33,14),IF($B11="IC Switch",IFERROR(INDEX('IC Switch Scenarios'!$X$36:$X$170,MATCH($C11,'IC Switch Scenarios'!$A$36:$A$170,0)+13),""),IFERROR(INDEX('PM After Switch'!$AF$51:$AF$350,MATCH($C11,'PM After Switch'!$A$51:$A$350,0)+13),"")))</f>
        <v/>
      </c>
      <c r="AK11" s="506">
        <f>IF($B11="Stay at Jump",INDEX('Savings Projection'!$AI$19:$AI$33,15),IF($B11="IC Switch",IFERROR(INDEX('IC Switch Scenarios'!$X$36:$X$170,MATCH($C11,'IC Switch Scenarios'!$A$36:$A$170,0)+14),""),IFERROR(INDEX('PM After Switch'!$AF$51:$AF$350,MATCH($C11,'PM After Switch'!$A$51:$A$350,0)+14),"")))</f>
        <v/>
      </c>
    </row>
    <row r="12" ht="20" customHeight="1" s="326">
      <c r="A12" s="426">
        <f>$B12&amp;" | "&amp;$C12&amp;" | "&amp;$H12</f>
        <v/>
      </c>
      <c r="B12" s="426" t="inlineStr">
        <is>
          <t>IC Switch</t>
        </is>
      </c>
      <c r="C12" s="426">
        <f>'IC Switch Scenarios'!$A$25</f>
        <v/>
      </c>
      <c r="D12" s="427">
        <f>'IC Switch Scenarios'!$B$25</f>
        <v/>
      </c>
      <c r="E12" s="435">
        <f>'IC Switch Scenarios'!$C$25</f>
        <v/>
      </c>
      <c r="F12" s="427" t="inlineStr"/>
      <c r="G12" s="426" t="inlineStr"/>
      <c r="H12" s="429" t="inlineStr">
        <is>
          <t>Y15</t>
        </is>
      </c>
      <c r="I12" s="436">
        <f>'IC Switch Scenarios'!$N$25</f>
        <v/>
      </c>
      <c r="J12" s="436">
        <f>'IC Switch Scenarios'!$O$25</f>
        <v/>
      </c>
      <c r="K12" s="436">
        <f>'IC Switch Scenarios'!$P$25</f>
        <v/>
      </c>
      <c r="L12" s="436">
        <f>'IC Switch Scenarios'!$Q$25</f>
        <v/>
      </c>
      <c r="M12" s="436">
        <f>'IC Switch Scenarios'!$R$25</f>
        <v/>
      </c>
      <c r="N12" s="436">
        <f>'IC Switch Scenarios'!$S$25</f>
        <v/>
      </c>
      <c r="O12" s="436">
        <f>'IC Switch Scenarios'!$T$25</f>
        <v/>
      </c>
      <c r="P12" s="436">
        <f>'IC Switch Scenarios'!$U$25</f>
        <v/>
      </c>
      <c r="Q12" s="426">
        <f>'IC Switch Scenarios'!$V$25</f>
        <v/>
      </c>
      <c r="R12" s="429">
        <f>'IC Switch Scenarios'!$W$25</f>
        <v/>
      </c>
      <c r="S12" s="429">
        <f>'IC Switch Scenarios'!$X$25</f>
        <v/>
      </c>
      <c r="T12" s="429">
        <f>'IC Switch Scenarios'!$Y$25</f>
        <v/>
      </c>
      <c r="U12" s="429">
        <f>'IC Switch Scenarios'!$Z$25</f>
        <v/>
      </c>
      <c r="V12" s="505" t="n"/>
      <c r="W12" s="506">
        <f>IF($B12="Stay at Jump",INDEX('Savings Projection'!$AI$19:$AI$33,1),IF($B12="IC Switch",IFERROR(INDEX('IC Switch Scenarios'!$X$36:$X$170,MATCH($C12,'IC Switch Scenarios'!$A$36:$A$170,0)+0),""),IFERROR(INDEX('PM After Switch'!$AF$51:$AF$350,MATCH($C12,'PM After Switch'!$A$51:$A$350,0)+0),"")))</f>
        <v/>
      </c>
      <c r="X12" s="506">
        <f>IF($B12="Stay at Jump",INDEX('Savings Projection'!$AI$19:$AI$33,2),IF($B12="IC Switch",IFERROR(INDEX('IC Switch Scenarios'!$X$36:$X$170,MATCH($C12,'IC Switch Scenarios'!$A$36:$A$170,0)+1),""),IFERROR(INDEX('PM After Switch'!$AF$51:$AF$350,MATCH($C12,'PM After Switch'!$A$51:$A$350,0)+1),"")))</f>
        <v/>
      </c>
      <c r="Y12" s="506">
        <f>IF($B12="Stay at Jump",INDEX('Savings Projection'!$AI$19:$AI$33,3),IF($B12="IC Switch",IFERROR(INDEX('IC Switch Scenarios'!$X$36:$X$170,MATCH($C12,'IC Switch Scenarios'!$A$36:$A$170,0)+2),""),IFERROR(INDEX('PM After Switch'!$AF$51:$AF$350,MATCH($C12,'PM After Switch'!$A$51:$A$350,0)+2),"")))</f>
        <v/>
      </c>
      <c r="Z12" s="506">
        <f>IF($B12="Stay at Jump",INDEX('Savings Projection'!$AI$19:$AI$33,4),IF($B12="IC Switch",IFERROR(INDEX('IC Switch Scenarios'!$X$36:$X$170,MATCH($C12,'IC Switch Scenarios'!$A$36:$A$170,0)+3),""),IFERROR(INDEX('PM After Switch'!$AF$51:$AF$350,MATCH($C12,'PM After Switch'!$A$51:$A$350,0)+3),"")))</f>
        <v/>
      </c>
      <c r="AA12" s="506">
        <f>IF($B12="Stay at Jump",INDEX('Savings Projection'!$AI$19:$AI$33,5),IF($B12="IC Switch",IFERROR(INDEX('IC Switch Scenarios'!$X$36:$X$170,MATCH($C12,'IC Switch Scenarios'!$A$36:$A$170,0)+4),""),IFERROR(INDEX('PM After Switch'!$AF$51:$AF$350,MATCH($C12,'PM After Switch'!$A$51:$A$350,0)+4),"")))</f>
        <v/>
      </c>
      <c r="AB12" s="506">
        <f>IF($B12="Stay at Jump",INDEX('Savings Projection'!$AI$19:$AI$33,6),IF($B12="IC Switch",IFERROR(INDEX('IC Switch Scenarios'!$X$36:$X$170,MATCH($C12,'IC Switch Scenarios'!$A$36:$A$170,0)+5),""),IFERROR(INDEX('PM After Switch'!$AF$51:$AF$350,MATCH($C12,'PM After Switch'!$A$51:$A$350,0)+5),"")))</f>
        <v/>
      </c>
      <c r="AC12" s="506">
        <f>IF($B12="Stay at Jump",INDEX('Savings Projection'!$AI$19:$AI$33,7),IF($B12="IC Switch",IFERROR(INDEX('IC Switch Scenarios'!$X$36:$X$170,MATCH($C12,'IC Switch Scenarios'!$A$36:$A$170,0)+6),""),IFERROR(INDEX('PM After Switch'!$AF$51:$AF$350,MATCH($C12,'PM After Switch'!$A$51:$A$350,0)+6),"")))</f>
        <v/>
      </c>
      <c r="AD12" s="506">
        <f>IF($B12="Stay at Jump",INDEX('Savings Projection'!$AI$19:$AI$33,8),IF($B12="IC Switch",IFERROR(INDEX('IC Switch Scenarios'!$X$36:$X$170,MATCH($C12,'IC Switch Scenarios'!$A$36:$A$170,0)+7),""),IFERROR(INDEX('PM After Switch'!$AF$51:$AF$350,MATCH($C12,'PM After Switch'!$A$51:$A$350,0)+7),"")))</f>
        <v/>
      </c>
      <c r="AE12" s="506">
        <f>IF($B12="Stay at Jump",INDEX('Savings Projection'!$AI$19:$AI$33,9),IF($B12="IC Switch",IFERROR(INDEX('IC Switch Scenarios'!$X$36:$X$170,MATCH($C12,'IC Switch Scenarios'!$A$36:$A$170,0)+8),""),IFERROR(INDEX('PM After Switch'!$AF$51:$AF$350,MATCH($C12,'PM After Switch'!$A$51:$A$350,0)+8),"")))</f>
        <v/>
      </c>
      <c r="AF12" s="506">
        <f>IF($B12="Stay at Jump",INDEX('Savings Projection'!$AI$19:$AI$33,10),IF($B12="IC Switch",IFERROR(INDEX('IC Switch Scenarios'!$X$36:$X$170,MATCH($C12,'IC Switch Scenarios'!$A$36:$A$170,0)+9),""),IFERROR(INDEX('PM After Switch'!$AF$51:$AF$350,MATCH($C12,'PM After Switch'!$A$51:$A$350,0)+9),"")))</f>
        <v/>
      </c>
      <c r="AG12" s="506">
        <f>IF($B12="Stay at Jump",INDEX('Savings Projection'!$AI$19:$AI$33,11),IF($B12="IC Switch",IFERROR(INDEX('IC Switch Scenarios'!$X$36:$X$170,MATCH($C12,'IC Switch Scenarios'!$A$36:$A$170,0)+10),""),IFERROR(INDEX('PM After Switch'!$AF$51:$AF$350,MATCH($C12,'PM After Switch'!$A$51:$A$350,0)+10),"")))</f>
        <v/>
      </c>
      <c r="AH12" s="506">
        <f>IF($B12="Stay at Jump",INDEX('Savings Projection'!$AI$19:$AI$33,12),IF($B12="IC Switch",IFERROR(INDEX('IC Switch Scenarios'!$X$36:$X$170,MATCH($C12,'IC Switch Scenarios'!$A$36:$A$170,0)+11),""),IFERROR(INDEX('PM After Switch'!$AF$51:$AF$350,MATCH($C12,'PM After Switch'!$A$51:$A$350,0)+11),"")))</f>
        <v/>
      </c>
      <c r="AI12" s="506">
        <f>IF($B12="Stay at Jump",INDEX('Savings Projection'!$AI$19:$AI$33,13),IF($B12="IC Switch",IFERROR(INDEX('IC Switch Scenarios'!$X$36:$X$170,MATCH($C12,'IC Switch Scenarios'!$A$36:$A$170,0)+12),""),IFERROR(INDEX('PM After Switch'!$AF$51:$AF$350,MATCH($C12,'PM After Switch'!$A$51:$A$350,0)+12),"")))</f>
        <v/>
      </c>
      <c r="AJ12" s="506">
        <f>IF($B12="Stay at Jump",INDEX('Savings Projection'!$AI$19:$AI$33,14),IF($B12="IC Switch",IFERROR(INDEX('IC Switch Scenarios'!$X$36:$X$170,MATCH($C12,'IC Switch Scenarios'!$A$36:$A$170,0)+13),""),IFERROR(INDEX('PM After Switch'!$AF$51:$AF$350,MATCH($C12,'PM After Switch'!$A$51:$A$350,0)+13),"")))</f>
        <v/>
      </c>
      <c r="AK12" s="506">
        <f>IF($B12="Stay at Jump",INDEX('Savings Projection'!$AI$19:$AI$33,15),IF($B12="IC Switch",IFERROR(INDEX('IC Switch Scenarios'!$X$36:$X$170,MATCH($C12,'IC Switch Scenarios'!$A$36:$A$170,0)+14),""),IFERROR(INDEX('PM After Switch'!$AF$51:$AF$350,MATCH($C12,'PM After Switch'!$A$51:$A$350,0)+14),"")))</f>
        <v/>
      </c>
    </row>
    <row r="13" ht="20" customHeight="1" s="326">
      <c r="A13" s="426">
        <f>$B13&amp;" | "&amp;$C13&amp;" | "&amp;$H13</f>
        <v/>
      </c>
      <c r="B13" s="426" t="inlineStr">
        <is>
          <t>IC Switch</t>
        </is>
      </c>
      <c r="C13" s="426">
        <f>'IC Switch Scenarios'!$A$26</f>
        <v/>
      </c>
      <c r="D13" s="427">
        <f>'IC Switch Scenarios'!$B$26</f>
        <v/>
      </c>
      <c r="E13" s="435">
        <f>'IC Switch Scenarios'!$C$26</f>
        <v/>
      </c>
      <c r="F13" s="427" t="inlineStr"/>
      <c r="G13" s="426" t="inlineStr"/>
      <c r="H13" s="429" t="inlineStr">
        <is>
          <t>Y10</t>
        </is>
      </c>
      <c r="I13" s="436">
        <f>'IC Switch Scenarios'!$E$26</f>
        <v/>
      </c>
      <c r="J13" s="436">
        <f>'IC Switch Scenarios'!$F$26</f>
        <v/>
      </c>
      <c r="K13" s="436">
        <f>'IC Switch Scenarios'!$G$26</f>
        <v/>
      </c>
      <c r="L13" s="436">
        <f>'IC Switch Scenarios'!$H$26</f>
        <v/>
      </c>
      <c r="M13" s="436">
        <f>'IC Switch Scenarios'!$I$26</f>
        <v/>
      </c>
      <c r="N13" s="436">
        <f>'IC Switch Scenarios'!$J$26</f>
        <v/>
      </c>
      <c r="O13" s="436">
        <f>'IC Switch Scenarios'!$K$26</f>
        <v/>
      </c>
      <c r="P13" s="436">
        <f>'IC Switch Scenarios'!$L$26</f>
        <v/>
      </c>
      <c r="Q13" s="426">
        <f>'IC Switch Scenarios'!$M$26</f>
        <v/>
      </c>
      <c r="R13" s="429">
        <f>'IC Switch Scenarios'!$W$26</f>
        <v/>
      </c>
      <c r="S13" s="429">
        <f>'IC Switch Scenarios'!$X$26</f>
        <v/>
      </c>
      <c r="T13" s="429">
        <f>'IC Switch Scenarios'!$Y$26</f>
        <v/>
      </c>
      <c r="U13" s="429">
        <f>'IC Switch Scenarios'!$Z$26</f>
        <v/>
      </c>
      <c r="V13" s="505" t="n"/>
      <c r="W13" s="506">
        <f>IF($B13="Stay at Jump",INDEX('Savings Projection'!$AI$19:$AI$33,1),IF($B13="IC Switch",IFERROR(INDEX('IC Switch Scenarios'!$X$36:$X$170,MATCH($C13,'IC Switch Scenarios'!$A$36:$A$170,0)+0),""),IFERROR(INDEX('PM After Switch'!$AF$51:$AF$350,MATCH($C13,'PM After Switch'!$A$51:$A$350,0)+0),"")))</f>
        <v/>
      </c>
      <c r="X13" s="506">
        <f>IF($B13="Stay at Jump",INDEX('Savings Projection'!$AI$19:$AI$33,2),IF($B13="IC Switch",IFERROR(INDEX('IC Switch Scenarios'!$X$36:$X$170,MATCH($C13,'IC Switch Scenarios'!$A$36:$A$170,0)+1),""),IFERROR(INDEX('PM After Switch'!$AF$51:$AF$350,MATCH($C13,'PM After Switch'!$A$51:$A$350,0)+1),"")))</f>
        <v/>
      </c>
      <c r="Y13" s="506">
        <f>IF($B13="Stay at Jump",INDEX('Savings Projection'!$AI$19:$AI$33,3),IF($B13="IC Switch",IFERROR(INDEX('IC Switch Scenarios'!$X$36:$X$170,MATCH($C13,'IC Switch Scenarios'!$A$36:$A$170,0)+2),""),IFERROR(INDEX('PM After Switch'!$AF$51:$AF$350,MATCH($C13,'PM After Switch'!$A$51:$A$350,0)+2),"")))</f>
        <v/>
      </c>
      <c r="Z13" s="506">
        <f>IF($B13="Stay at Jump",INDEX('Savings Projection'!$AI$19:$AI$33,4),IF($B13="IC Switch",IFERROR(INDEX('IC Switch Scenarios'!$X$36:$X$170,MATCH($C13,'IC Switch Scenarios'!$A$36:$A$170,0)+3),""),IFERROR(INDEX('PM After Switch'!$AF$51:$AF$350,MATCH($C13,'PM After Switch'!$A$51:$A$350,0)+3),"")))</f>
        <v/>
      </c>
      <c r="AA13" s="506">
        <f>IF($B13="Stay at Jump",INDEX('Savings Projection'!$AI$19:$AI$33,5),IF($B13="IC Switch",IFERROR(INDEX('IC Switch Scenarios'!$X$36:$X$170,MATCH($C13,'IC Switch Scenarios'!$A$36:$A$170,0)+4),""),IFERROR(INDEX('PM After Switch'!$AF$51:$AF$350,MATCH($C13,'PM After Switch'!$A$51:$A$350,0)+4),"")))</f>
        <v/>
      </c>
      <c r="AB13" s="506">
        <f>IF($B13="Stay at Jump",INDEX('Savings Projection'!$AI$19:$AI$33,6),IF($B13="IC Switch",IFERROR(INDEX('IC Switch Scenarios'!$X$36:$X$170,MATCH($C13,'IC Switch Scenarios'!$A$36:$A$170,0)+5),""),IFERROR(INDEX('PM After Switch'!$AF$51:$AF$350,MATCH($C13,'PM After Switch'!$A$51:$A$350,0)+5),"")))</f>
        <v/>
      </c>
      <c r="AC13" s="506">
        <f>IF($B13="Stay at Jump",INDEX('Savings Projection'!$AI$19:$AI$33,7),IF($B13="IC Switch",IFERROR(INDEX('IC Switch Scenarios'!$X$36:$X$170,MATCH($C13,'IC Switch Scenarios'!$A$36:$A$170,0)+6),""),IFERROR(INDEX('PM After Switch'!$AF$51:$AF$350,MATCH($C13,'PM After Switch'!$A$51:$A$350,0)+6),"")))</f>
        <v/>
      </c>
      <c r="AD13" s="506">
        <f>IF($B13="Stay at Jump",INDEX('Savings Projection'!$AI$19:$AI$33,8),IF($B13="IC Switch",IFERROR(INDEX('IC Switch Scenarios'!$X$36:$X$170,MATCH($C13,'IC Switch Scenarios'!$A$36:$A$170,0)+7),""),IFERROR(INDEX('PM After Switch'!$AF$51:$AF$350,MATCH($C13,'PM After Switch'!$A$51:$A$350,0)+7),"")))</f>
        <v/>
      </c>
      <c r="AE13" s="506">
        <f>IF($B13="Stay at Jump",INDEX('Savings Projection'!$AI$19:$AI$33,9),IF($B13="IC Switch",IFERROR(INDEX('IC Switch Scenarios'!$X$36:$X$170,MATCH($C13,'IC Switch Scenarios'!$A$36:$A$170,0)+8),""),IFERROR(INDEX('PM After Switch'!$AF$51:$AF$350,MATCH($C13,'PM After Switch'!$A$51:$A$350,0)+8),"")))</f>
        <v/>
      </c>
      <c r="AF13" s="506">
        <f>IF($B13="Stay at Jump",INDEX('Savings Projection'!$AI$19:$AI$33,10),IF($B13="IC Switch",IFERROR(INDEX('IC Switch Scenarios'!$X$36:$X$170,MATCH($C13,'IC Switch Scenarios'!$A$36:$A$170,0)+9),""),IFERROR(INDEX('PM After Switch'!$AF$51:$AF$350,MATCH($C13,'PM After Switch'!$A$51:$A$350,0)+9),"")))</f>
        <v/>
      </c>
      <c r="AG13" s="506">
        <f>IF($B13="Stay at Jump",INDEX('Savings Projection'!$AI$19:$AI$33,11),IF($B13="IC Switch",IFERROR(INDEX('IC Switch Scenarios'!$X$36:$X$170,MATCH($C13,'IC Switch Scenarios'!$A$36:$A$170,0)+10),""),IFERROR(INDEX('PM After Switch'!$AF$51:$AF$350,MATCH($C13,'PM After Switch'!$A$51:$A$350,0)+10),"")))</f>
        <v/>
      </c>
      <c r="AH13" s="506">
        <f>IF($B13="Stay at Jump",INDEX('Savings Projection'!$AI$19:$AI$33,12),IF($B13="IC Switch",IFERROR(INDEX('IC Switch Scenarios'!$X$36:$X$170,MATCH($C13,'IC Switch Scenarios'!$A$36:$A$170,0)+11),""),IFERROR(INDEX('PM After Switch'!$AF$51:$AF$350,MATCH($C13,'PM After Switch'!$A$51:$A$350,0)+11),"")))</f>
        <v/>
      </c>
      <c r="AI13" s="506">
        <f>IF($B13="Stay at Jump",INDEX('Savings Projection'!$AI$19:$AI$33,13),IF($B13="IC Switch",IFERROR(INDEX('IC Switch Scenarios'!$X$36:$X$170,MATCH($C13,'IC Switch Scenarios'!$A$36:$A$170,0)+12),""),IFERROR(INDEX('PM After Switch'!$AF$51:$AF$350,MATCH($C13,'PM After Switch'!$A$51:$A$350,0)+12),"")))</f>
        <v/>
      </c>
      <c r="AJ13" s="506">
        <f>IF($B13="Stay at Jump",INDEX('Savings Projection'!$AI$19:$AI$33,14),IF($B13="IC Switch",IFERROR(INDEX('IC Switch Scenarios'!$X$36:$X$170,MATCH($C13,'IC Switch Scenarios'!$A$36:$A$170,0)+13),""),IFERROR(INDEX('PM After Switch'!$AF$51:$AF$350,MATCH($C13,'PM After Switch'!$A$51:$A$350,0)+13),"")))</f>
        <v/>
      </c>
      <c r="AK13" s="506">
        <f>IF($B13="Stay at Jump",INDEX('Savings Projection'!$AI$19:$AI$33,15),IF($B13="IC Switch",IFERROR(INDEX('IC Switch Scenarios'!$X$36:$X$170,MATCH($C13,'IC Switch Scenarios'!$A$36:$A$170,0)+14),""),IFERROR(INDEX('PM After Switch'!$AF$51:$AF$350,MATCH($C13,'PM After Switch'!$A$51:$A$350,0)+14),"")))</f>
        <v/>
      </c>
    </row>
    <row r="14" ht="20" customHeight="1" s="326">
      <c r="A14" s="426">
        <f>$B14&amp;" | "&amp;$C14&amp;" | "&amp;$H14</f>
        <v/>
      </c>
      <c r="B14" s="426" t="inlineStr">
        <is>
          <t>IC Switch</t>
        </is>
      </c>
      <c r="C14" s="426">
        <f>'IC Switch Scenarios'!$A$26</f>
        <v/>
      </c>
      <c r="D14" s="427">
        <f>'IC Switch Scenarios'!$B$26</f>
        <v/>
      </c>
      <c r="E14" s="435">
        <f>'IC Switch Scenarios'!$C$26</f>
        <v/>
      </c>
      <c r="F14" s="427" t="inlineStr"/>
      <c r="G14" s="426" t="inlineStr"/>
      <c r="H14" s="429" t="inlineStr">
        <is>
          <t>Y15</t>
        </is>
      </c>
      <c r="I14" s="436">
        <f>'IC Switch Scenarios'!$N$26</f>
        <v/>
      </c>
      <c r="J14" s="436">
        <f>'IC Switch Scenarios'!$O$26</f>
        <v/>
      </c>
      <c r="K14" s="436">
        <f>'IC Switch Scenarios'!$P$26</f>
        <v/>
      </c>
      <c r="L14" s="436">
        <f>'IC Switch Scenarios'!$Q$26</f>
        <v/>
      </c>
      <c r="M14" s="436">
        <f>'IC Switch Scenarios'!$R$26</f>
        <v/>
      </c>
      <c r="N14" s="436">
        <f>'IC Switch Scenarios'!$S$26</f>
        <v/>
      </c>
      <c r="O14" s="436">
        <f>'IC Switch Scenarios'!$T$26</f>
        <v/>
      </c>
      <c r="P14" s="436">
        <f>'IC Switch Scenarios'!$U$26</f>
        <v/>
      </c>
      <c r="Q14" s="426">
        <f>'IC Switch Scenarios'!$V$26</f>
        <v/>
      </c>
      <c r="R14" s="429">
        <f>'IC Switch Scenarios'!$W$26</f>
        <v/>
      </c>
      <c r="S14" s="429">
        <f>'IC Switch Scenarios'!$X$26</f>
        <v/>
      </c>
      <c r="T14" s="429">
        <f>'IC Switch Scenarios'!$Y$26</f>
        <v/>
      </c>
      <c r="U14" s="429">
        <f>'IC Switch Scenarios'!$Z$26</f>
        <v/>
      </c>
      <c r="V14" s="505" t="n"/>
      <c r="W14" s="506">
        <f>IF($B14="Stay at Jump",INDEX('Savings Projection'!$AI$19:$AI$33,1),IF($B14="IC Switch",IFERROR(INDEX('IC Switch Scenarios'!$X$36:$X$170,MATCH($C14,'IC Switch Scenarios'!$A$36:$A$170,0)+0),""),IFERROR(INDEX('PM After Switch'!$AF$51:$AF$350,MATCH($C14,'PM After Switch'!$A$51:$A$350,0)+0),"")))</f>
        <v/>
      </c>
      <c r="X14" s="506">
        <f>IF($B14="Stay at Jump",INDEX('Savings Projection'!$AI$19:$AI$33,2),IF($B14="IC Switch",IFERROR(INDEX('IC Switch Scenarios'!$X$36:$X$170,MATCH($C14,'IC Switch Scenarios'!$A$36:$A$170,0)+1),""),IFERROR(INDEX('PM After Switch'!$AF$51:$AF$350,MATCH($C14,'PM After Switch'!$A$51:$A$350,0)+1),"")))</f>
        <v/>
      </c>
      <c r="Y14" s="506">
        <f>IF($B14="Stay at Jump",INDEX('Savings Projection'!$AI$19:$AI$33,3),IF($B14="IC Switch",IFERROR(INDEX('IC Switch Scenarios'!$X$36:$X$170,MATCH($C14,'IC Switch Scenarios'!$A$36:$A$170,0)+2),""),IFERROR(INDEX('PM After Switch'!$AF$51:$AF$350,MATCH($C14,'PM After Switch'!$A$51:$A$350,0)+2),"")))</f>
        <v/>
      </c>
      <c r="Z14" s="506">
        <f>IF($B14="Stay at Jump",INDEX('Savings Projection'!$AI$19:$AI$33,4),IF($B14="IC Switch",IFERROR(INDEX('IC Switch Scenarios'!$X$36:$X$170,MATCH($C14,'IC Switch Scenarios'!$A$36:$A$170,0)+3),""),IFERROR(INDEX('PM After Switch'!$AF$51:$AF$350,MATCH($C14,'PM After Switch'!$A$51:$A$350,0)+3),"")))</f>
        <v/>
      </c>
      <c r="AA14" s="506">
        <f>IF($B14="Stay at Jump",INDEX('Savings Projection'!$AI$19:$AI$33,5),IF($B14="IC Switch",IFERROR(INDEX('IC Switch Scenarios'!$X$36:$X$170,MATCH($C14,'IC Switch Scenarios'!$A$36:$A$170,0)+4),""),IFERROR(INDEX('PM After Switch'!$AF$51:$AF$350,MATCH($C14,'PM After Switch'!$A$51:$A$350,0)+4),"")))</f>
        <v/>
      </c>
      <c r="AB14" s="506">
        <f>IF($B14="Stay at Jump",INDEX('Savings Projection'!$AI$19:$AI$33,6),IF($B14="IC Switch",IFERROR(INDEX('IC Switch Scenarios'!$X$36:$X$170,MATCH($C14,'IC Switch Scenarios'!$A$36:$A$170,0)+5),""),IFERROR(INDEX('PM After Switch'!$AF$51:$AF$350,MATCH($C14,'PM After Switch'!$A$51:$A$350,0)+5),"")))</f>
        <v/>
      </c>
      <c r="AC14" s="506">
        <f>IF($B14="Stay at Jump",INDEX('Savings Projection'!$AI$19:$AI$33,7),IF($B14="IC Switch",IFERROR(INDEX('IC Switch Scenarios'!$X$36:$X$170,MATCH($C14,'IC Switch Scenarios'!$A$36:$A$170,0)+6),""),IFERROR(INDEX('PM After Switch'!$AF$51:$AF$350,MATCH($C14,'PM After Switch'!$A$51:$A$350,0)+6),"")))</f>
        <v/>
      </c>
      <c r="AD14" s="506">
        <f>IF($B14="Stay at Jump",INDEX('Savings Projection'!$AI$19:$AI$33,8),IF($B14="IC Switch",IFERROR(INDEX('IC Switch Scenarios'!$X$36:$X$170,MATCH($C14,'IC Switch Scenarios'!$A$36:$A$170,0)+7),""),IFERROR(INDEX('PM After Switch'!$AF$51:$AF$350,MATCH($C14,'PM After Switch'!$A$51:$A$350,0)+7),"")))</f>
        <v/>
      </c>
      <c r="AE14" s="506">
        <f>IF($B14="Stay at Jump",INDEX('Savings Projection'!$AI$19:$AI$33,9),IF($B14="IC Switch",IFERROR(INDEX('IC Switch Scenarios'!$X$36:$X$170,MATCH($C14,'IC Switch Scenarios'!$A$36:$A$170,0)+8),""),IFERROR(INDEX('PM After Switch'!$AF$51:$AF$350,MATCH($C14,'PM After Switch'!$A$51:$A$350,0)+8),"")))</f>
        <v/>
      </c>
      <c r="AF14" s="506">
        <f>IF($B14="Stay at Jump",INDEX('Savings Projection'!$AI$19:$AI$33,10),IF($B14="IC Switch",IFERROR(INDEX('IC Switch Scenarios'!$X$36:$X$170,MATCH($C14,'IC Switch Scenarios'!$A$36:$A$170,0)+9),""),IFERROR(INDEX('PM After Switch'!$AF$51:$AF$350,MATCH($C14,'PM After Switch'!$A$51:$A$350,0)+9),"")))</f>
        <v/>
      </c>
      <c r="AG14" s="506">
        <f>IF($B14="Stay at Jump",INDEX('Savings Projection'!$AI$19:$AI$33,11),IF($B14="IC Switch",IFERROR(INDEX('IC Switch Scenarios'!$X$36:$X$170,MATCH($C14,'IC Switch Scenarios'!$A$36:$A$170,0)+10),""),IFERROR(INDEX('PM After Switch'!$AF$51:$AF$350,MATCH($C14,'PM After Switch'!$A$51:$A$350,0)+10),"")))</f>
        <v/>
      </c>
      <c r="AH14" s="506">
        <f>IF($B14="Stay at Jump",INDEX('Savings Projection'!$AI$19:$AI$33,12),IF($B14="IC Switch",IFERROR(INDEX('IC Switch Scenarios'!$X$36:$X$170,MATCH($C14,'IC Switch Scenarios'!$A$36:$A$170,0)+11),""),IFERROR(INDEX('PM After Switch'!$AF$51:$AF$350,MATCH($C14,'PM After Switch'!$A$51:$A$350,0)+11),"")))</f>
        <v/>
      </c>
      <c r="AI14" s="506">
        <f>IF($B14="Stay at Jump",INDEX('Savings Projection'!$AI$19:$AI$33,13),IF($B14="IC Switch",IFERROR(INDEX('IC Switch Scenarios'!$X$36:$X$170,MATCH($C14,'IC Switch Scenarios'!$A$36:$A$170,0)+12),""),IFERROR(INDEX('PM After Switch'!$AF$51:$AF$350,MATCH($C14,'PM After Switch'!$A$51:$A$350,0)+12),"")))</f>
        <v/>
      </c>
      <c r="AJ14" s="506">
        <f>IF($B14="Stay at Jump",INDEX('Savings Projection'!$AI$19:$AI$33,14),IF($B14="IC Switch",IFERROR(INDEX('IC Switch Scenarios'!$X$36:$X$170,MATCH($C14,'IC Switch Scenarios'!$A$36:$A$170,0)+13),""),IFERROR(INDEX('PM After Switch'!$AF$51:$AF$350,MATCH($C14,'PM After Switch'!$A$51:$A$350,0)+13),"")))</f>
        <v/>
      </c>
      <c r="AK14" s="506">
        <f>IF($B14="Stay at Jump",INDEX('Savings Projection'!$AI$19:$AI$33,15),IF($B14="IC Switch",IFERROR(INDEX('IC Switch Scenarios'!$X$36:$X$170,MATCH($C14,'IC Switch Scenarios'!$A$36:$A$170,0)+14),""),IFERROR(INDEX('PM After Switch'!$AF$51:$AF$350,MATCH($C14,'PM After Switch'!$A$51:$A$350,0)+14),"")))</f>
        <v/>
      </c>
    </row>
    <row r="15" ht="20" customHeight="1" s="326">
      <c r="A15" s="426">
        <f>$B15&amp;" | "&amp;$C15&amp;" | "&amp;$H15</f>
        <v/>
      </c>
      <c r="B15" s="426" t="inlineStr">
        <is>
          <t>IC Switch</t>
        </is>
      </c>
      <c r="C15" s="426">
        <f>'IC Switch Scenarios'!$A$27</f>
        <v/>
      </c>
      <c r="D15" s="427">
        <f>'IC Switch Scenarios'!$B$27</f>
        <v/>
      </c>
      <c r="E15" s="435">
        <f>'IC Switch Scenarios'!$C$27</f>
        <v/>
      </c>
      <c r="F15" s="427" t="inlineStr"/>
      <c r="G15" s="426" t="inlineStr"/>
      <c r="H15" s="429" t="inlineStr">
        <is>
          <t>Y10</t>
        </is>
      </c>
      <c r="I15" s="436">
        <f>'IC Switch Scenarios'!$E$27</f>
        <v/>
      </c>
      <c r="J15" s="436">
        <f>'IC Switch Scenarios'!$F$27</f>
        <v/>
      </c>
      <c r="K15" s="436">
        <f>'IC Switch Scenarios'!$G$27</f>
        <v/>
      </c>
      <c r="L15" s="436">
        <f>'IC Switch Scenarios'!$H$27</f>
        <v/>
      </c>
      <c r="M15" s="436">
        <f>'IC Switch Scenarios'!$I$27</f>
        <v/>
      </c>
      <c r="N15" s="436">
        <f>'IC Switch Scenarios'!$J$27</f>
        <v/>
      </c>
      <c r="O15" s="436">
        <f>'IC Switch Scenarios'!$K$27</f>
        <v/>
      </c>
      <c r="P15" s="436">
        <f>'IC Switch Scenarios'!$L$27</f>
        <v/>
      </c>
      <c r="Q15" s="426">
        <f>'IC Switch Scenarios'!$M$27</f>
        <v/>
      </c>
      <c r="R15" s="429">
        <f>'IC Switch Scenarios'!$W$27</f>
        <v/>
      </c>
      <c r="S15" s="429">
        <f>'IC Switch Scenarios'!$X$27</f>
        <v/>
      </c>
      <c r="T15" s="429">
        <f>'IC Switch Scenarios'!$Y$27</f>
        <v/>
      </c>
      <c r="U15" s="429">
        <f>'IC Switch Scenarios'!$Z$27</f>
        <v/>
      </c>
      <c r="V15" s="505" t="n"/>
      <c r="W15" s="506">
        <f>IF($B15="Stay at Jump",INDEX('Savings Projection'!$AI$19:$AI$33,1),IF($B15="IC Switch",IFERROR(INDEX('IC Switch Scenarios'!$X$36:$X$170,MATCH($C15,'IC Switch Scenarios'!$A$36:$A$170,0)+0),""),IFERROR(INDEX('PM After Switch'!$AF$51:$AF$350,MATCH($C15,'PM After Switch'!$A$51:$A$350,0)+0),"")))</f>
        <v/>
      </c>
      <c r="X15" s="506">
        <f>IF($B15="Stay at Jump",INDEX('Savings Projection'!$AI$19:$AI$33,2),IF($B15="IC Switch",IFERROR(INDEX('IC Switch Scenarios'!$X$36:$X$170,MATCH($C15,'IC Switch Scenarios'!$A$36:$A$170,0)+1),""),IFERROR(INDEX('PM After Switch'!$AF$51:$AF$350,MATCH($C15,'PM After Switch'!$A$51:$A$350,0)+1),"")))</f>
        <v/>
      </c>
      <c r="Y15" s="506">
        <f>IF($B15="Stay at Jump",INDEX('Savings Projection'!$AI$19:$AI$33,3),IF($B15="IC Switch",IFERROR(INDEX('IC Switch Scenarios'!$X$36:$X$170,MATCH($C15,'IC Switch Scenarios'!$A$36:$A$170,0)+2),""),IFERROR(INDEX('PM After Switch'!$AF$51:$AF$350,MATCH($C15,'PM After Switch'!$A$51:$A$350,0)+2),"")))</f>
        <v/>
      </c>
      <c r="Z15" s="506">
        <f>IF($B15="Stay at Jump",INDEX('Savings Projection'!$AI$19:$AI$33,4),IF($B15="IC Switch",IFERROR(INDEX('IC Switch Scenarios'!$X$36:$X$170,MATCH($C15,'IC Switch Scenarios'!$A$36:$A$170,0)+3),""),IFERROR(INDEX('PM After Switch'!$AF$51:$AF$350,MATCH($C15,'PM After Switch'!$A$51:$A$350,0)+3),"")))</f>
        <v/>
      </c>
      <c r="AA15" s="506">
        <f>IF($B15="Stay at Jump",INDEX('Savings Projection'!$AI$19:$AI$33,5),IF($B15="IC Switch",IFERROR(INDEX('IC Switch Scenarios'!$X$36:$X$170,MATCH($C15,'IC Switch Scenarios'!$A$36:$A$170,0)+4),""),IFERROR(INDEX('PM After Switch'!$AF$51:$AF$350,MATCH($C15,'PM After Switch'!$A$51:$A$350,0)+4),"")))</f>
        <v/>
      </c>
      <c r="AB15" s="506">
        <f>IF($B15="Stay at Jump",INDEX('Savings Projection'!$AI$19:$AI$33,6),IF($B15="IC Switch",IFERROR(INDEX('IC Switch Scenarios'!$X$36:$X$170,MATCH($C15,'IC Switch Scenarios'!$A$36:$A$170,0)+5),""),IFERROR(INDEX('PM After Switch'!$AF$51:$AF$350,MATCH($C15,'PM After Switch'!$A$51:$A$350,0)+5),"")))</f>
        <v/>
      </c>
      <c r="AC15" s="506">
        <f>IF($B15="Stay at Jump",INDEX('Savings Projection'!$AI$19:$AI$33,7),IF($B15="IC Switch",IFERROR(INDEX('IC Switch Scenarios'!$X$36:$X$170,MATCH($C15,'IC Switch Scenarios'!$A$36:$A$170,0)+6),""),IFERROR(INDEX('PM After Switch'!$AF$51:$AF$350,MATCH($C15,'PM After Switch'!$A$51:$A$350,0)+6),"")))</f>
        <v/>
      </c>
      <c r="AD15" s="506">
        <f>IF($B15="Stay at Jump",INDEX('Savings Projection'!$AI$19:$AI$33,8),IF($B15="IC Switch",IFERROR(INDEX('IC Switch Scenarios'!$X$36:$X$170,MATCH($C15,'IC Switch Scenarios'!$A$36:$A$170,0)+7),""),IFERROR(INDEX('PM After Switch'!$AF$51:$AF$350,MATCH($C15,'PM After Switch'!$A$51:$A$350,0)+7),"")))</f>
        <v/>
      </c>
      <c r="AE15" s="506">
        <f>IF($B15="Stay at Jump",INDEX('Savings Projection'!$AI$19:$AI$33,9),IF($B15="IC Switch",IFERROR(INDEX('IC Switch Scenarios'!$X$36:$X$170,MATCH($C15,'IC Switch Scenarios'!$A$36:$A$170,0)+8),""),IFERROR(INDEX('PM After Switch'!$AF$51:$AF$350,MATCH($C15,'PM After Switch'!$A$51:$A$350,0)+8),"")))</f>
        <v/>
      </c>
      <c r="AF15" s="506">
        <f>IF($B15="Stay at Jump",INDEX('Savings Projection'!$AI$19:$AI$33,10),IF($B15="IC Switch",IFERROR(INDEX('IC Switch Scenarios'!$X$36:$X$170,MATCH($C15,'IC Switch Scenarios'!$A$36:$A$170,0)+9),""),IFERROR(INDEX('PM After Switch'!$AF$51:$AF$350,MATCH($C15,'PM After Switch'!$A$51:$A$350,0)+9),"")))</f>
        <v/>
      </c>
      <c r="AG15" s="506">
        <f>IF($B15="Stay at Jump",INDEX('Savings Projection'!$AI$19:$AI$33,11),IF($B15="IC Switch",IFERROR(INDEX('IC Switch Scenarios'!$X$36:$X$170,MATCH($C15,'IC Switch Scenarios'!$A$36:$A$170,0)+10),""),IFERROR(INDEX('PM After Switch'!$AF$51:$AF$350,MATCH($C15,'PM After Switch'!$A$51:$A$350,0)+10),"")))</f>
        <v/>
      </c>
      <c r="AH15" s="506">
        <f>IF($B15="Stay at Jump",INDEX('Savings Projection'!$AI$19:$AI$33,12),IF($B15="IC Switch",IFERROR(INDEX('IC Switch Scenarios'!$X$36:$X$170,MATCH($C15,'IC Switch Scenarios'!$A$36:$A$170,0)+11),""),IFERROR(INDEX('PM After Switch'!$AF$51:$AF$350,MATCH($C15,'PM After Switch'!$A$51:$A$350,0)+11),"")))</f>
        <v/>
      </c>
      <c r="AI15" s="506">
        <f>IF($B15="Stay at Jump",INDEX('Savings Projection'!$AI$19:$AI$33,13),IF($B15="IC Switch",IFERROR(INDEX('IC Switch Scenarios'!$X$36:$X$170,MATCH($C15,'IC Switch Scenarios'!$A$36:$A$170,0)+12),""),IFERROR(INDEX('PM After Switch'!$AF$51:$AF$350,MATCH($C15,'PM After Switch'!$A$51:$A$350,0)+12),"")))</f>
        <v/>
      </c>
      <c r="AJ15" s="506">
        <f>IF($B15="Stay at Jump",INDEX('Savings Projection'!$AI$19:$AI$33,14),IF($B15="IC Switch",IFERROR(INDEX('IC Switch Scenarios'!$X$36:$X$170,MATCH($C15,'IC Switch Scenarios'!$A$36:$A$170,0)+13),""),IFERROR(INDEX('PM After Switch'!$AF$51:$AF$350,MATCH($C15,'PM After Switch'!$A$51:$A$350,0)+13),"")))</f>
        <v/>
      </c>
      <c r="AK15" s="506">
        <f>IF($B15="Stay at Jump",INDEX('Savings Projection'!$AI$19:$AI$33,15),IF($B15="IC Switch",IFERROR(INDEX('IC Switch Scenarios'!$X$36:$X$170,MATCH($C15,'IC Switch Scenarios'!$A$36:$A$170,0)+14),""),IFERROR(INDEX('PM After Switch'!$AF$51:$AF$350,MATCH($C15,'PM After Switch'!$A$51:$A$350,0)+14),"")))</f>
        <v/>
      </c>
    </row>
    <row r="16" ht="20" customHeight="1" s="326">
      <c r="A16" s="426">
        <f>$B16&amp;" | "&amp;$C16&amp;" | "&amp;$H16</f>
        <v/>
      </c>
      <c r="B16" s="426" t="inlineStr">
        <is>
          <t>IC Switch</t>
        </is>
      </c>
      <c r="C16" s="426">
        <f>'IC Switch Scenarios'!$A$27</f>
        <v/>
      </c>
      <c r="D16" s="427">
        <f>'IC Switch Scenarios'!$B$27</f>
        <v/>
      </c>
      <c r="E16" s="435">
        <f>'IC Switch Scenarios'!$C$27</f>
        <v/>
      </c>
      <c r="F16" s="427" t="inlineStr"/>
      <c r="G16" s="426" t="inlineStr"/>
      <c r="H16" s="429" t="inlineStr">
        <is>
          <t>Y15</t>
        </is>
      </c>
      <c r="I16" s="436">
        <f>'IC Switch Scenarios'!$N$27</f>
        <v/>
      </c>
      <c r="J16" s="436">
        <f>'IC Switch Scenarios'!$O$27</f>
        <v/>
      </c>
      <c r="K16" s="436">
        <f>'IC Switch Scenarios'!$P$27</f>
        <v/>
      </c>
      <c r="L16" s="436">
        <f>'IC Switch Scenarios'!$Q$27</f>
        <v/>
      </c>
      <c r="M16" s="436">
        <f>'IC Switch Scenarios'!$R$27</f>
        <v/>
      </c>
      <c r="N16" s="436">
        <f>'IC Switch Scenarios'!$S$27</f>
        <v/>
      </c>
      <c r="O16" s="436">
        <f>'IC Switch Scenarios'!$T$27</f>
        <v/>
      </c>
      <c r="P16" s="436">
        <f>'IC Switch Scenarios'!$U$27</f>
        <v/>
      </c>
      <c r="Q16" s="426">
        <f>'IC Switch Scenarios'!$V$27</f>
        <v/>
      </c>
      <c r="R16" s="429">
        <f>'IC Switch Scenarios'!$W$27</f>
        <v/>
      </c>
      <c r="S16" s="429">
        <f>'IC Switch Scenarios'!$X$27</f>
        <v/>
      </c>
      <c r="T16" s="429">
        <f>'IC Switch Scenarios'!$Y$27</f>
        <v/>
      </c>
      <c r="U16" s="429">
        <f>'IC Switch Scenarios'!$Z$27</f>
        <v/>
      </c>
      <c r="V16" s="505" t="n"/>
      <c r="W16" s="506">
        <f>IF($B16="Stay at Jump",INDEX('Savings Projection'!$AI$19:$AI$33,1),IF($B16="IC Switch",IFERROR(INDEX('IC Switch Scenarios'!$X$36:$X$170,MATCH($C16,'IC Switch Scenarios'!$A$36:$A$170,0)+0),""),IFERROR(INDEX('PM After Switch'!$AF$51:$AF$350,MATCH($C16,'PM After Switch'!$A$51:$A$350,0)+0),"")))</f>
        <v/>
      </c>
      <c r="X16" s="506">
        <f>IF($B16="Stay at Jump",INDEX('Savings Projection'!$AI$19:$AI$33,2),IF($B16="IC Switch",IFERROR(INDEX('IC Switch Scenarios'!$X$36:$X$170,MATCH($C16,'IC Switch Scenarios'!$A$36:$A$170,0)+1),""),IFERROR(INDEX('PM After Switch'!$AF$51:$AF$350,MATCH($C16,'PM After Switch'!$A$51:$A$350,0)+1),"")))</f>
        <v/>
      </c>
      <c r="Y16" s="506">
        <f>IF($B16="Stay at Jump",INDEX('Savings Projection'!$AI$19:$AI$33,3),IF($B16="IC Switch",IFERROR(INDEX('IC Switch Scenarios'!$X$36:$X$170,MATCH($C16,'IC Switch Scenarios'!$A$36:$A$170,0)+2),""),IFERROR(INDEX('PM After Switch'!$AF$51:$AF$350,MATCH($C16,'PM After Switch'!$A$51:$A$350,0)+2),"")))</f>
        <v/>
      </c>
      <c r="Z16" s="506">
        <f>IF($B16="Stay at Jump",INDEX('Savings Projection'!$AI$19:$AI$33,4),IF($B16="IC Switch",IFERROR(INDEX('IC Switch Scenarios'!$X$36:$X$170,MATCH($C16,'IC Switch Scenarios'!$A$36:$A$170,0)+3),""),IFERROR(INDEX('PM After Switch'!$AF$51:$AF$350,MATCH($C16,'PM After Switch'!$A$51:$A$350,0)+3),"")))</f>
        <v/>
      </c>
      <c r="AA16" s="506">
        <f>IF($B16="Stay at Jump",INDEX('Savings Projection'!$AI$19:$AI$33,5),IF($B16="IC Switch",IFERROR(INDEX('IC Switch Scenarios'!$X$36:$X$170,MATCH($C16,'IC Switch Scenarios'!$A$36:$A$170,0)+4),""),IFERROR(INDEX('PM After Switch'!$AF$51:$AF$350,MATCH($C16,'PM After Switch'!$A$51:$A$350,0)+4),"")))</f>
        <v/>
      </c>
      <c r="AB16" s="506">
        <f>IF($B16="Stay at Jump",INDEX('Savings Projection'!$AI$19:$AI$33,6),IF($B16="IC Switch",IFERROR(INDEX('IC Switch Scenarios'!$X$36:$X$170,MATCH($C16,'IC Switch Scenarios'!$A$36:$A$170,0)+5),""),IFERROR(INDEX('PM After Switch'!$AF$51:$AF$350,MATCH($C16,'PM After Switch'!$A$51:$A$350,0)+5),"")))</f>
        <v/>
      </c>
      <c r="AC16" s="506">
        <f>IF($B16="Stay at Jump",INDEX('Savings Projection'!$AI$19:$AI$33,7),IF($B16="IC Switch",IFERROR(INDEX('IC Switch Scenarios'!$X$36:$X$170,MATCH($C16,'IC Switch Scenarios'!$A$36:$A$170,0)+6),""),IFERROR(INDEX('PM After Switch'!$AF$51:$AF$350,MATCH($C16,'PM After Switch'!$A$51:$A$350,0)+6),"")))</f>
        <v/>
      </c>
      <c r="AD16" s="506">
        <f>IF($B16="Stay at Jump",INDEX('Savings Projection'!$AI$19:$AI$33,8),IF($B16="IC Switch",IFERROR(INDEX('IC Switch Scenarios'!$X$36:$X$170,MATCH($C16,'IC Switch Scenarios'!$A$36:$A$170,0)+7),""),IFERROR(INDEX('PM After Switch'!$AF$51:$AF$350,MATCH($C16,'PM After Switch'!$A$51:$A$350,0)+7),"")))</f>
        <v/>
      </c>
      <c r="AE16" s="506">
        <f>IF($B16="Stay at Jump",INDEX('Savings Projection'!$AI$19:$AI$33,9),IF($B16="IC Switch",IFERROR(INDEX('IC Switch Scenarios'!$X$36:$X$170,MATCH($C16,'IC Switch Scenarios'!$A$36:$A$170,0)+8),""),IFERROR(INDEX('PM After Switch'!$AF$51:$AF$350,MATCH($C16,'PM After Switch'!$A$51:$A$350,0)+8),"")))</f>
        <v/>
      </c>
      <c r="AF16" s="506">
        <f>IF($B16="Stay at Jump",INDEX('Savings Projection'!$AI$19:$AI$33,10),IF($B16="IC Switch",IFERROR(INDEX('IC Switch Scenarios'!$X$36:$X$170,MATCH($C16,'IC Switch Scenarios'!$A$36:$A$170,0)+9),""),IFERROR(INDEX('PM After Switch'!$AF$51:$AF$350,MATCH($C16,'PM After Switch'!$A$51:$A$350,0)+9),"")))</f>
        <v/>
      </c>
      <c r="AG16" s="506">
        <f>IF($B16="Stay at Jump",INDEX('Savings Projection'!$AI$19:$AI$33,11),IF($B16="IC Switch",IFERROR(INDEX('IC Switch Scenarios'!$X$36:$X$170,MATCH($C16,'IC Switch Scenarios'!$A$36:$A$170,0)+10),""),IFERROR(INDEX('PM After Switch'!$AF$51:$AF$350,MATCH($C16,'PM After Switch'!$A$51:$A$350,0)+10),"")))</f>
        <v/>
      </c>
      <c r="AH16" s="506">
        <f>IF($B16="Stay at Jump",INDEX('Savings Projection'!$AI$19:$AI$33,12),IF($B16="IC Switch",IFERROR(INDEX('IC Switch Scenarios'!$X$36:$X$170,MATCH($C16,'IC Switch Scenarios'!$A$36:$A$170,0)+11),""),IFERROR(INDEX('PM After Switch'!$AF$51:$AF$350,MATCH($C16,'PM After Switch'!$A$51:$A$350,0)+11),"")))</f>
        <v/>
      </c>
      <c r="AI16" s="506">
        <f>IF($B16="Stay at Jump",INDEX('Savings Projection'!$AI$19:$AI$33,13),IF($B16="IC Switch",IFERROR(INDEX('IC Switch Scenarios'!$X$36:$X$170,MATCH($C16,'IC Switch Scenarios'!$A$36:$A$170,0)+12),""),IFERROR(INDEX('PM After Switch'!$AF$51:$AF$350,MATCH($C16,'PM After Switch'!$A$51:$A$350,0)+12),"")))</f>
        <v/>
      </c>
      <c r="AJ16" s="506">
        <f>IF($B16="Stay at Jump",INDEX('Savings Projection'!$AI$19:$AI$33,14),IF($B16="IC Switch",IFERROR(INDEX('IC Switch Scenarios'!$X$36:$X$170,MATCH($C16,'IC Switch Scenarios'!$A$36:$A$170,0)+13),""),IFERROR(INDEX('PM After Switch'!$AF$51:$AF$350,MATCH($C16,'PM After Switch'!$A$51:$A$350,0)+13),"")))</f>
        <v/>
      </c>
      <c r="AK16" s="506">
        <f>IF($B16="Stay at Jump",INDEX('Savings Projection'!$AI$19:$AI$33,15),IF($B16="IC Switch",IFERROR(INDEX('IC Switch Scenarios'!$X$36:$X$170,MATCH($C16,'IC Switch Scenarios'!$A$36:$A$170,0)+14),""),IFERROR(INDEX('PM After Switch'!$AF$51:$AF$350,MATCH($C16,'PM After Switch'!$A$51:$A$350,0)+14),"")))</f>
        <v/>
      </c>
    </row>
    <row r="17" ht="20" customHeight="1" s="326">
      <c r="A17" s="426">
        <f>$B17&amp;" | "&amp;$C17&amp;" | "&amp;$H17</f>
        <v/>
      </c>
      <c r="B17" s="426" t="inlineStr">
        <is>
          <t>IC Switch</t>
        </is>
      </c>
      <c r="C17" s="426">
        <f>'IC Switch Scenarios'!$A$28</f>
        <v/>
      </c>
      <c r="D17" s="427">
        <f>'IC Switch Scenarios'!$B$28</f>
        <v/>
      </c>
      <c r="E17" s="435">
        <f>'IC Switch Scenarios'!$C$28</f>
        <v/>
      </c>
      <c r="F17" s="427" t="inlineStr"/>
      <c r="G17" s="426" t="inlineStr"/>
      <c r="H17" s="429" t="inlineStr">
        <is>
          <t>Y10</t>
        </is>
      </c>
      <c r="I17" s="436">
        <f>'IC Switch Scenarios'!$E$28</f>
        <v/>
      </c>
      <c r="J17" s="436">
        <f>'IC Switch Scenarios'!$F$28</f>
        <v/>
      </c>
      <c r="K17" s="436">
        <f>'IC Switch Scenarios'!$G$28</f>
        <v/>
      </c>
      <c r="L17" s="436">
        <f>'IC Switch Scenarios'!$H$28</f>
        <v/>
      </c>
      <c r="M17" s="436">
        <f>'IC Switch Scenarios'!$I$28</f>
        <v/>
      </c>
      <c r="N17" s="436">
        <f>'IC Switch Scenarios'!$J$28</f>
        <v/>
      </c>
      <c r="O17" s="436">
        <f>'IC Switch Scenarios'!$K$28</f>
        <v/>
      </c>
      <c r="P17" s="436">
        <f>'IC Switch Scenarios'!$L$28</f>
        <v/>
      </c>
      <c r="Q17" s="426">
        <f>'IC Switch Scenarios'!$M$28</f>
        <v/>
      </c>
      <c r="R17" s="429">
        <f>'IC Switch Scenarios'!$W$28</f>
        <v/>
      </c>
      <c r="S17" s="429">
        <f>'IC Switch Scenarios'!$X$28</f>
        <v/>
      </c>
      <c r="T17" s="429">
        <f>'IC Switch Scenarios'!$Y$28</f>
        <v/>
      </c>
      <c r="U17" s="429">
        <f>'IC Switch Scenarios'!$Z$28</f>
        <v/>
      </c>
      <c r="V17" s="505" t="n"/>
      <c r="W17" s="506">
        <f>IF($B17="Stay at Jump",INDEX('Savings Projection'!$AI$19:$AI$33,1),IF($B17="IC Switch",IFERROR(INDEX('IC Switch Scenarios'!$X$36:$X$170,MATCH($C17,'IC Switch Scenarios'!$A$36:$A$170,0)+0),""),IFERROR(INDEX('PM After Switch'!$AF$51:$AF$350,MATCH($C17,'PM After Switch'!$A$51:$A$350,0)+0),"")))</f>
        <v/>
      </c>
      <c r="X17" s="506">
        <f>IF($B17="Stay at Jump",INDEX('Savings Projection'!$AI$19:$AI$33,2),IF($B17="IC Switch",IFERROR(INDEX('IC Switch Scenarios'!$X$36:$X$170,MATCH($C17,'IC Switch Scenarios'!$A$36:$A$170,0)+1),""),IFERROR(INDEX('PM After Switch'!$AF$51:$AF$350,MATCH($C17,'PM After Switch'!$A$51:$A$350,0)+1),"")))</f>
        <v/>
      </c>
      <c r="Y17" s="506">
        <f>IF($B17="Stay at Jump",INDEX('Savings Projection'!$AI$19:$AI$33,3),IF($B17="IC Switch",IFERROR(INDEX('IC Switch Scenarios'!$X$36:$X$170,MATCH($C17,'IC Switch Scenarios'!$A$36:$A$170,0)+2),""),IFERROR(INDEX('PM After Switch'!$AF$51:$AF$350,MATCH($C17,'PM After Switch'!$A$51:$A$350,0)+2),"")))</f>
        <v/>
      </c>
      <c r="Z17" s="506">
        <f>IF($B17="Stay at Jump",INDEX('Savings Projection'!$AI$19:$AI$33,4),IF($B17="IC Switch",IFERROR(INDEX('IC Switch Scenarios'!$X$36:$X$170,MATCH($C17,'IC Switch Scenarios'!$A$36:$A$170,0)+3),""),IFERROR(INDEX('PM After Switch'!$AF$51:$AF$350,MATCH($C17,'PM After Switch'!$A$51:$A$350,0)+3),"")))</f>
        <v/>
      </c>
      <c r="AA17" s="506">
        <f>IF($B17="Stay at Jump",INDEX('Savings Projection'!$AI$19:$AI$33,5),IF($B17="IC Switch",IFERROR(INDEX('IC Switch Scenarios'!$X$36:$X$170,MATCH($C17,'IC Switch Scenarios'!$A$36:$A$170,0)+4),""),IFERROR(INDEX('PM After Switch'!$AF$51:$AF$350,MATCH($C17,'PM After Switch'!$A$51:$A$350,0)+4),"")))</f>
        <v/>
      </c>
      <c r="AB17" s="506">
        <f>IF($B17="Stay at Jump",INDEX('Savings Projection'!$AI$19:$AI$33,6),IF($B17="IC Switch",IFERROR(INDEX('IC Switch Scenarios'!$X$36:$X$170,MATCH($C17,'IC Switch Scenarios'!$A$36:$A$170,0)+5),""),IFERROR(INDEX('PM After Switch'!$AF$51:$AF$350,MATCH($C17,'PM After Switch'!$A$51:$A$350,0)+5),"")))</f>
        <v/>
      </c>
      <c r="AC17" s="506">
        <f>IF($B17="Stay at Jump",INDEX('Savings Projection'!$AI$19:$AI$33,7),IF($B17="IC Switch",IFERROR(INDEX('IC Switch Scenarios'!$X$36:$X$170,MATCH($C17,'IC Switch Scenarios'!$A$36:$A$170,0)+6),""),IFERROR(INDEX('PM After Switch'!$AF$51:$AF$350,MATCH($C17,'PM After Switch'!$A$51:$A$350,0)+6),"")))</f>
        <v/>
      </c>
      <c r="AD17" s="506">
        <f>IF($B17="Stay at Jump",INDEX('Savings Projection'!$AI$19:$AI$33,8),IF($B17="IC Switch",IFERROR(INDEX('IC Switch Scenarios'!$X$36:$X$170,MATCH($C17,'IC Switch Scenarios'!$A$36:$A$170,0)+7),""),IFERROR(INDEX('PM After Switch'!$AF$51:$AF$350,MATCH($C17,'PM After Switch'!$A$51:$A$350,0)+7),"")))</f>
        <v/>
      </c>
      <c r="AE17" s="506">
        <f>IF($B17="Stay at Jump",INDEX('Savings Projection'!$AI$19:$AI$33,9),IF($B17="IC Switch",IFERROR(INDEX('IC Switch Scenarios'!$X$36:$X$170,MATCH($C17,'IC Switch Scenarios'!$A$36:$A$170,0)+8),""),IFERROR(INDEX('PM After Switch'!$AF$51:$AF$350,MATCH($C17,'PM After Switch'!$A$51:$A$350,0)+8),"")))</f>
        <v/>
      </c>
      <c r="AF17" s="506">
        <f>IF($B17="Stay at Jump",INDEX('Savings Projection'!$AI$19:$AI$33,10),IF($B17="IC Switch",IFERROR(INDEX('IC Switch Scenarios'!$X$36:$X$170,MATCH($C17,'IC Switch Scenarios'!$A$36:$A$170,0)+9),""),IFERROR(INDEX('PM After Switch'!$AF$51:$AF$350,MATCH($C17,'PM After Switch'!$A$51:$A$350,0)+9),"")))</f>
        <v/>
      </c>
      <c r="AG17" s="506">
        <f>IF($B17="Stay at Jump",INDEX('Savings Projection'!$AI$19:$AI$33,11),IF($B17="IC Switch",IFERROR(INDEX('IC Switch Scenarios'!$X$36:$X$170,MATCH($C17,'IC Switch Scenarios'!$A$36:$A$170,0)+10),""),IFERROR(INDEX('PM After Switch'!$AF$51:$AF$350,MATCH($C17,'PM After Switch'!$A$51:$A$350,0)+10),"")))</f>
        <v/>
      </c>
      <c r="AH17" s="506">
        <f>IF($B17="Stay at Jump",INDEX('Savings Projection'!$AI$19:$AI$33,12),IF($B17="IC Switch",IFERROR(INDEX('IC Switch Scenarios'!$X$36:$X$170,MATCH($C17,'IC Switch Scenarios'!$A$36:$A$170,0)+11),""),IFERROR(INDEX('PM After Switch'!$AF$51:$AF$350,MATCH($C17,'PM After Switch'!$A$51:$A$350,0)+11),"")))</f>
        <v/>
      </c>
      <c r="AI17" s="506">
        <f>IF($B17="Stay at Jump",INDEX('Savings Projection'!$AI$19:$AI$33,13),IF($B17="IC Switch",IFERROR(INDEX('IC Switch Scenarios'!$X$36:$X$170,MATCH($C17,'IC Switch Scenarios'!$A$36:$A$170,0)+12),""),IFERROR(INDEX('PM After Switch'!$AF$51:$AF$350,MATCH($C17,'PM After Switch'!$A$51:$A$350,0)+12),"")))</f>
        <v/>
      </c>
      <c r="AJ17" s="506">
        <f>IF($B17="Stay at Jump",INDEX('Savings Projection'!$AI$19:$AI$33,14),IF($B17="IC Switch",IFERROR(INDEX('IC Switch Scenarios'!$X$36:$X$170,MATCH($C17,'IC Switch Scenarios'!$A$36:$A$170,0)+13),""),IFERROR(INDEX('PM After Switch'!$AF$51:$AF$350,MATCH($C17,'PM After Switch'!$A$51:$A$350,0)+13),"")))</f>
        <v/>
      </c>
      <c r="AK17" s="506">
        <f>IF($B17="Stay at Jump",INDEX('Savings Projection'!$AI$19:$AI$33,15),IF($B17="IC Switch",IFERROR(INDEX('IC Switch Scenarios'!$X$36:$X$170,MATCH($C17,'IC Switch Scenarios'!$A$36:$A$170,0)+14),""),IFERROR(INDEX('PM After Switch'!$AF$51:$AF$350,MATCH($C17,'PM After Switch'!$A$51:$A$350,0)+14),"")))</f>
        <v/>
      </c>
    </row>
    <row r="18" ht="20" customHeight="1" s="326">
      <c r="A18" s="426">
        <f>$B18&amp;" | "&amp;$C18&amp;" | "&amp;$H18</f>
        <v/>
      </c>
      <c r="B18" s="426" t="inlineStr">
        <is>
          <t>IC Switch</t>
        </is>
      </c>
      <c r="C18" s="426">
        <f>'IC Switch Scenarios'!$A$28</f>
        <v/>
      </c>
      <c r="D18" s="427">
        <f>'IC Switch Scenarios'!$B$28</f>
        <v/>
      </c>
      <c r="E18" s="435">
        <f>'IC Switch Scenarios'!$C$28</f>
        <v/>
      </c>
      <c r="F18" s="427" t="inlineStr"/>
      <c r="G18" s="426" t="inlineStr"/>
      <c r="H18" s="429" t="inlineStr">
        <is>
          <t>Y15</t>
        </is>
      </c>
      <c r="I18" s="436">
        <f>'IC Switch Scenarios'!$N$28</f>
        <v/>
      </c>
      <c r="J18" s="436">
        <f>'IC Switch Scenarios'!$O$28</f>
        <v/>
      </c>
      <c r="K18" s="436">
        <f>'IC Switch Scenarios'!$P$28</f>
        <v/>
      </c>
      <c r="L18" s="436">
        <f>'IC Switch Scenarios'!$Q$28</f>
        <v/>
      </c>
      <c r="M18" s="436">
        <f>'IC Switch Scenarios'!$R$28</f>
        <v/>
      </c>
      <c r="N18" s="436">
        <f>'IC Switch Scenarios'!$S$28</f>
        <v/>
      </c>
      <c r="O18" s="436">
        <f>'IC Switch Scenarios'!$T$28</f>
        <v/>
      </c>
      <c r="P18" s="436">
        <f>'IC Switch Scenarios'!$U$28</f>
        <v/>
      </c>
      <c r="Q18" s="426">
        <f>'IC Switch Scenarios'!$V$28</f>
        <v/>
      </c>
      <c r="R18" s="429">
        <f>'IC Switch Scenarios'!$W$28</f>
        <v/>
      </c>
      <c r="S18" s="429">
        <f>'IC Switch Scenarios'!$X$28</f>
        <v/>
      </c>
      <c r="T18" s="429">
        <f>'IC Switch Scenarios'!$Y$28</f>
        <v/>
      </c>
      <c r="U18" s="429">
        <f>'IC Switch Scenarios'!$Z$28</f>
        <v/>
      </c>
      <c r="V18" s="505" t="n"/>
      <c r="W18" s="506">
        <f>IF($B18="Stay at Jump",INDEX('Savings Projection'!$AI$19:$AI$33,1),IF($B18="IC Switch",IFERROR(INDEX('IC Switch Scenarios'!$X$36:$X$170,MATCH($C18,'IC Switch Scenarios'!$A$36:$A$170,0)+0),""),IFERROR(INDEX('PM After Switch'!$AF$51:$AF$350,MATCH($C18,'PM After Switch'!$A$51:$A$350,0)+0),"")))</f>
        <v/>
      </c>
      <c r="X18" s="506">
        <f>IF($B18="Stay at Jump",INDEX('Savings Projection'!$AI$19:$AI$33,2),IF($B18="IC Switch",IFERROR(INDEX('IC Switch Scenarios'!$X$36:$X$170,MATCH($C18,'IC Switch Scenarios'!$A$36:$A$170,0)+1),""),IFERROR(INDEX('PM After Switch'!$AF$51:$AF$350,MATCH($C18,'PM After Switch'!$A$51:$A$350,0)+1),"")))</f>
        <v/>
      </c>
      <c r="Y18" s="506">
        <f>IF($B18="Stay at Jump",INDEX('Savings Projection'!$AI$19:$AI$33,3),IF($B18="IC Switch",IFERROR(INDEX('IC Switch Scenarios'!$X$36:$X$170,MATCH($C18,'IC Switch Scenarios'!$A$36:$A$170,0)+2),""),IFERROR(INDEX('PM After Switch'!$AF$51:$AF$350,MATCH($C18,'PM After Switch'!$A$51:$A$350,0)+2),"")))</f>
        <v/>
      </c>
      <c r="Z18" s="506">
        <f>IF($B18="Stay at Jump",INDEX('Savings Projection'!$AI$19:$AI$33,4),IF($B18="IC Switch",IFERROR(INDEX('IC Switch Scenarios'!$X$36:$X$170,MATCH($C18,'IC Switch Scenarios'!$A$36:$A$170,0)+3),""),IFERROR(INDEX('PM After Switch'!$AF$51:$AF$350,MATCH($C18,'PM After Switch'!$A$51:$A$350,0)+3),"")))</f>
        <v/>
      </c>
      <c r="AA18" s="506">
        <f>IF($B18="Stay at Jump",INDEX('Savings Projection'!$AI$19:$AI$33,5),IF($B18="IC Switch",IFERROR(INDEX('IC Switch Scenarios'!$X$36:$X$170,MATCH($C18,'IC Switch Scenarios'!$A$36:$A$170,0)+4),""),IFERROR(INDEX('PM After Switch'!$AF$51:$AF$350,MATCH($C18,'PM After Switch'!$A$51:$A$350,0)+4),"")))</f>
        <v/>
      </c>
      <c r="AB18" s="506">
        <f>IF($B18="Stay at Jump",INDEX('Savings Projection'!$AI$19:$AI$33,6),IF($B18="IC Switch",IFERROR(INDEX('IC Switch Scenarios'!$X$36:$X$170,MATCH($C18,'IC Switch Scenarios'!$A$36:$A$170,0)+5),""),IFERROR(INDEX('PM After Switch'!$AF$51:$AF$350,MATCH($C18,'PM After Switch'!$A$51:$A$350,0)+5),"")))</f>
        <v/>
      </c>
      <c r="AC18" s="506">
        <f>IF($B18="Stay at Jump",INDEX('Savings Projection'!$AI$19:$AI$33,7),IF($B18="IC Switch",IFERROR(INDEX('IC Switch Scenarios'!$X$36:$X$170,MATCH($C18,'IC Switch Scenarios'!$A$36:$A$170,0)+6),""),IFERROR(INDEX('PM After Switch'!$AF$51:$AF$350,MATCH($C18,'PM After Switch'!$A$51:$A$350,0)+6),"")))</f>
        <v/>
      </c>
      <c r="AD18" s="506">
        <f>IF($B18="Stay at Jump",INDEX('Savings Projection'!$AI$19:$AI$33,8),IF($B18="IC Switch",IFERROR(INDEX('IC Switch Scenarios'!$X$36:$X$170,MATCH($C18,'IC Switch Scenarios'!$A$36:$A$170,0)+7),""),IFERROR(INDEX('PM After Switch'!$AF$51:$AF$350,MATCH($C18,'PM After Switch'!$A$51:$A$350,0)+7),"")))</f>
        <v/>
      </c>
      <c r="AE18" s="506">
        <f>IF($B18="Stay at Jump",INDEX('Savings Projection'!$AI$19:$AI$33,9),IF($B18="IC Switch",IFERROR(INDEX('IC Switch Scenarios'!$X$36:$X$170,MATCH($C18,'IC Switch Scenarios'!$A$36:$A$170,0)+8),""),IFERROR(INDEX('PM After Switch'!$AF$51:$AF$350,MATCH($C18,'PM After Switch'!$A$51:$A$350,0)+8),"")))</f>
        <v/>
      </c>
      <c r="AF18" s="506">
        <f>IF($B18="Stay at Jump",INDEX('Savings Projection'!$AI$19:$AI$33,10),IF($B18="IC Switch",IFERROR(INDEX('IC Switch Scenarios'!$X$36:$X$170,MATCH($C18,'IC Switch Scenarios'!$A$36:$A$170,0)+9),""),IFERROR(INDEX('PM After Switch'!$AF$51:$AF$350,MATCH($C18,'PM After Switch'!$A$51:$A$350,0)+9),"")))</f>
        <v/>
      </c>
      <c r="AG18" s="506">
        <f>IF($B18="Stay at Jump",INDEX('Savings Projection'!$AI$19:$AI$33,11),IF($B18="IC Switch",IFERROR(INDEX('IC Switch Scenarios'!$X$36:$X$170,MATCH($C18,'IC Switch Scenarios'!$A$36:$A$170,0)+10),""),IFERROR(INDEX('PM After Switch'!$AF$51:$AF$350,MATCH($C18,'PM After Switch'!$A$51:$A$350,0)+10),"")))</f>
        <v/>
      </c>
      <c r="AH18" s="506">
        <f>IF($B18="Stay at Jump",INDEX('Savings Projection'!$AI$19:$AI$33,12),IF($B18="IC Switch",IFERROR(INDEX('IC Switch Scenarios'!$X$36:$X$170,MATCH($C18,'IC Switch Scenarios'!$A$36:$A$170,0)+11),""),IFERROR(INDEX('PM After Switch'!$AF$51:$AF$350,MATCH($C18,'PM After Switch'!$A$51:$A$350,0)+11),"")))</f>
        <v/>
      </c>
      <c r="AI18" s="506">
        <f>IF($B18="Stay at Jump",INDEX('Savings Projection'!$AI$19:$AI$33,13),IF($B18="IC Switch",IFERROR(INDEX('IC Switch Scenarios'!$X$36:$X$170,MATCH($C18,'IC Switch Scenarios'!$A$36:$A$170,0)+12),""),IFERROR(INDEX('PM After Switch'!$AF$51:$AF$350,MATCH($C18,'PM After Switch'!$A$51:$A$350,0)+12),"")))</f>
        <v/>
      </c>
      <c r="AJ18" s="506">
        <f>IF($B18="Stay at Jump",INDEX('Savings Projection'!$AI$19:$AI$33,14),IF($B18="IC Switch",IFERROR(INDEX('IC Switch Scenarios'!$X$36:$X$170,MATCH($C18,'IC Switch Scenarios'!$A$36:$A$170,0)+13),""),IFERROR(INDEX('PM After Switch'!$AF$51:$AF$350,MATCH($C18,'PM After Switch'!$A$51:$A$350,0)+13),"")))</f>
        <v/>
      </c>
      <c r="AK18" s="506">
        <f>IF($B18="Stay at Jump",INDEX('Savings Projection'!$AI$19:$AI$33,15),IF($B18="IC Switch",IFERROR(INDEX('IC Switch Scenarios'!$X$36:$X$170,MATCH($C18,'IC Switch Scenarios'!$A$36:$A$170,0)+14),""),IFERROR(INDEX('PM After Switch'!$AF$51:$AF$350,MATCH($C18,'PM After Switch'!$A$51:$A$350,0)+14),"")))</f>
        <v/>
      </c>
    </row>
    <row r="19" ht="20" customHeight="1" s="326">
      <c r="A19" s="426">
        <f>$B19&amp;" | "&amp;$C19&amp;" | "&amp;$H19</f>
        <v/>
      </c>
      <c r="B19" s="426" t="inlineStr">
        <is>
          <t>IC Switch</t>
        </is>
      </c>
      <c r="C19" s="426">
        <f>'IC Switch Scenarios'!$A$29</f>
        <v/>
      </c>
      <c r="D19" s="427">
        <f>'IC Switch Scenarios'!$B$29</f>
        <v/>
      </c>
      <c r="E19" s="435">
        <f>'IC Switch Scenarios'!$C$29</f>
        <v/>
      </c>
      <c r="F19" s="427" t="inlineStr"/>
      <c r="G19" s="426" t="inlineStr"/>
      <c r="H19" s="429" t="inlineStr">
        <is>
          <t>Y10</t>
        </is>
      </c>
      <c r="I19" s="436">
        <f>'IC Switch Scenarios'!$E$29</f>
        <v/>
      </c>
      <c r="J19" s="436">
        <f>'IC Switch Scenarios'!$F$29</f>
        <v/>
      </c>
      <c r="K19" s="436">
        <f>'IC Switch Scenarios'!$G$29</f>
        <v/>
      </c>
      <c r="L19" s="436">
        <f>'IC Switch Scenarios'!$H$29</f>
        <v/>
      </c>
      <c r="M19" s="436">
        <f>'IC Switch Scenarios'!$I$29</f>
        <v/>
      </c>
      <c r="N19" s="436">
        <f>'IC Switch Scenarios'!$J$29</f>
        <v/>
      </c>
      <c r="O19" s="436">
        <f>'IC Switch Scenarios'!$K$29</f>
        <v/>
      </c>
      <c r="P19" s="436">
        <f>'IC Switch Scenarios'!$L$29</f>
        <v/>
      </c>
      <c r="Q19" s="426">
        <f>'IC Switch Scenarios'!$M$29</f>
        <v/>
      </c>
      <c r="R19" s="429">
        <f>'IC Switch Scenarios'!$W$29</f>
        <v/>
      </c>
      <c r="S19" s="429">
        <f>'IC Switch Scenarios'!$X$29</f>
        <v/>
      </c>
      <c r="T19" s="429">
        <f>'IC Switch Scenarios'!$Y$29</f>
        <v/>
      </c>
      <c r="U19" s="429">
        <f>'IC Switch Scenarios'!$Z$29</f>
        <v/>
      </c>
      <c r="V19" s="505" t="n"/>
      <c r="W19" s="506">
        <f>IF($B19="Stay at Jump",INDEX('Savings Projection'!$AI$19:$AI$33,1),IF($B19="IC Switch",IFERROR(INDEX('IC Switch Scenarios'!$X$36:$X$170,MATCH($C19,'IC Switch Scenarios'!$A$36:$A$170,0)+0),""),IFERROR(INDEX('PM After Switch'!$AF$51:$AF$350,MATCH($C19,'PM After Switch'!$A$51:$A$350,0)+0),"")))</f>
        <v/>
      </c>
      <c r="X19" s="506">
        <f>IF($B19="Stay at Jump",INDEX('Savings Projection'!$AI$19:$AI$33,2),IF($B19="IC Switch",IFERROR(INDEX('IC Switch Scenarios'!$X$36:$X$170,MATCH($C19,'IC Switch Scenarios'!$A$36:$A$170,0)+1),""),IFERROR(INDEX('PM After Switch'!$AF$51:$AF$350,MATCH($C19,'PM After Switch'!$A$51:$A$350,0)+1),"")))</f>
        <v/>
      </c>
      <c r="Y19" s="506">
        <f>IF($B19="Stay at Jump",INDEX('Savings Projection'!$AI$19:$AI$33,3),IF($B19="IC Switch",IFERROR(INDEX('IC Switch Scenarios'!$X$36:$X$170,MATCH($C19,'IC Switch Scenarios'!$A$36:$A$170,0)+2),""),IFERROR(INDEX('PM After Switch'!$AF$51:$AF$350,MATCH($C19,'PM After Switch'!$A$51:$A$350,0)+2),"")))</f>
        <v/>
      </c>
      <c r="Z19" s="506">
        <f>IF($B19="Stay at Jump",INDEX('Savings Projection'!$AI$19:$AI$33,4),IF($B19="IC Switch",IFERROR(INDEX('IC Switch Scenarios'!$X$36:$X$170,MATCH($C19,'IC Switch Scenarios'!$A$36:$A$170,0)+3),""),IFERROR(INDEX('PM After Switch'!$AF$51:$AF$350,MATCH($C19,'PM After Switch'!$A$51:$A$350,0)+3),"")))</f>
        <v/>
      </c>
      <c r="AA19" s="506">
        <f>IF($B19="Stay at Jump",INDEX('Savings Projection'!$AI$19:$AI$33,5),IF($B19="IC Switch",IFERROR(INDEX('IC Switch Scenarios'!$X$36:$X$170,MATCH($C19,'IC Switch Scenarios'!$A$36:$A$170,0)+4),""),IFERROR(INDEX('PM After Switch'!$AF$51:$AF$350,MATCH($C19,'PM After Switch'!$A$51:$A$350,0)+4),"")))</f>
        <v/>
      </c>
      <c r="AB19" s="506">
        <f>IF($B19="Stay at Jump",INDEX('Savings Projection'!$AI$19:$AI$33,6),IF($B19="IC Switch",IFERROR(INDEX('IC Switch Scenarios'!$X$36:$X$170,MATCH($C19,'IC Switch Scenarios'!$A$36:$A$170,0)+5),""),IFERROR(INDEX('PM After Switch'!$AF$51:$AF$350,MATCH($C19,'PM After Switch'!$A$51:$A$350,0)+5),"")))</f>
        <v/>
      </c>
      <c r="AC19" s="506">
        <f>IF($B19="Stay at Jump",INDEX('Savings Projection'!$AI$19:$AI$33,7),IF($B19="IC Switch",IFERROR(INDEX('IC Switch Scenarios'!$X$36:$X$170,MATCH($C19,'IC Switch Scenarios'!$A$36:$A$170,0)+6),""),IFERROR(INDEX('PM After Switch'!$AF$51:$AF$350,MATCH($C19,'PM After Switch'!$A$51:$A$350,0)+6),"")))</f>
        <v/>
      </c>
      <c r="AD19" s="506">
        <f>IF($B19="Stay at Jump",INDEX('Savings Projection'!$AI$19:$AI$33,8),IF($B19="IC Switch",IFERROR(INDEX('IC Switch Scenarios'!$X$36:$X$170,MATCH($C19,'IC Switch Scenarios'!$A$36:$A$170,0)+7),""),IFERROR(INDEX('PM After Switch'!$AF$51:$AF$350,MATCH($C19,'PM After Switch'!$A$51:$A$350,0)+7),"")))</f>
        <v/>
      </c>
      <c r="AE19" s="506">
        <f>IF($B19="Stay at Jump",INDEX('Savings Projection'!$AI$19:$AI$33,9),IF($B19="IC Switch",IFERROR(INDEX('IC Switch Scenarios'!$X$36:$X$170,MATCH($C19,'IC Switch Scenarios'!$A$36:$A$170,0)+8),""),IFERROR(INDEX('PM After Switch'!$AF$51:$AF$350,MATCH($C19,'PM After Switch'!$A$51:$A$350,0)+8),"")))</f>
        <v/>
      </c>
      <c r="AF19" s="506">
        <f>IF($B19="Stay at Jump",INDEX('Savings Projection'!$AI$19:$AI$33,10),IF($B19="IC Switch",IFERROR(INDEX('IC Switch Scenarios'!$X$36:$X$170,MATCH($C19,'IC Switch Scenarios'!$A$36:$A$170,0)+9),""),IFERROR(INDEX('PM After Switch'!$AF$51:$AF$350,MATCH($C19,'PM After Switch'!$A$51:$A$350,0)+9),"")))</f>
        <v/>
      </c>
      <c r="AG19" s="506">
        <f>IF($B19="Stay at Jump",INDEX('Savings Projection'!$AI$19:$AI$33,11),IF($B19="IC Switch",IFERROR(INDEX('IC Switch Scenarios'!$X$36:$X$170,MATCH($C19,'IC Switch Scenarios'!$A$36:$A$170,0)+10),""),IFERROR(INDEX('PM After Switch'!$AF$51:$AF$350,MATCH($C19,'PM After Switch'!$A$51:$A$350,0)+10),"")))</f>
        <v/>
      </c>
      <c r="AH19" s="506">
        <f>IF($B19="Stay at Jump",INDEX('Savings Projection'!$AI$19:$AI$33,12),IF($B19="IC Switch",IFERROR(INDEX('IC Switch Scenarios'!$X$36:$X$170,MATCH($C19,'IC Switch Scenarios'!$A$36:$A$170,0)+11),""),IFERROR(INDEX('PM After Switch'!$AF$51:$AF$350,MATCH($C19,'PM After Switch'!$A$51:$A$350,0)+11),"")))</f>
        <v/>
      </c>
      <c r="AI19" s="506">
        <f>IF($B19="Stay at Jump",INDEX('Savings Projection'!$AI$19:$AI$33,13),IF($B19="IC Switch",IFERROR(INDEX('IC Switch Scenarios'!$X$36:$X$170,MATCH($C19,'IC Switch Scenarios'!$A$36:$A$170,0)+12),""),IFERROR(INDEX('PM After Switch'!$AF$51:$AF$350,MATCH($C19,'PM After Switch'!$A$51:$A$350,0)+12),"")))</f>
        <v/>
      </c>
      <c r="AJ19" s="506">
        <f>IF($B19="Stay at Jump",INDEX('Savings Projection'!$AI$19:$AI$33,14),IF($B19="IC Switch",IFERROR(INDEX('IC Switch Scenarios'!$X$36:$X$170,MATCH($C19,'IC Switch Scenarios'!$A$36:$A$170,0)+13),""),IFERROR(INDEX('PM After Switch'!$AF$51:$AF$350,MATCH($C19,'PM After Switch'!$A$51:$A$350,0)+13),"")))</f>
        <v/>
      </c>
      <c r="AK19" s="506">
        <f>IF($B19="Stay at Jump",INDEX('Savings Projection'!$AI$19:$AI$33,15),IF($B19="IC Switch",IFERROR(INDEX('IC Switch Scenarios'!$X$36:$X$170,MATCH($C19,'IC Switch Scenarios'!$A$36:$A$170,0)+14),""),IFERROR(INDEX('PM After Switch'!$AF$51:$AF$350,MATCH($C19,'PM After Switch'!$A$51:$A$350,0)+14),"")))</f>
        <v/>
      </c>
    </row>
    <row r="20" ht="20" customHeight="1" s="326">
      <c r="A20" s="426">
        <f>$B20&amp;" | "&amp;$C20&amp;" | "&amp;$H20</f>
        <v/>
      </c>
      <c r="B20" s="426" t="inlineStr">
        <is>
          <t>IC Switch</t>
        </is>
      </c>
      <c r="C20" s="426">
        <f>'IC Switch Scenarios'!$A$29</f>
        <v/>
      </c>
      <c r="D20" s="427">
        <f>'IC Switch Scenarios'!$B$29</f>
        <v/>
      </c>
      <c r="E20" s="435">
        <f>'IC Switch Scenarios'!$C$29</f>
        <v/>
      </c>
      <c r="F20" s="427" t="inlineStr"/>
      <c r="G20" s="426" t="inlineStr"/>
      <c r="H20" s="429" t="inlineStr">
        <is>
          <t>Y15</t>
        </is>
      </c>
      <c r="I20" s="436">
        <f>'IC Switch Scenarios'!$N$29</f>
        <v/>
      </c>
      <c r="J20" s="436">
        <f>'IC Switch Scenarios'!$O$29</f>
        <v/>
      </c>
      <c r="K20" s="436">
        <f>'IC Switch Scenarios'!$P$29</f>
        <v/>
      </c>
      <c r="L20" s="436">
        <f>'IC Switch Scenarios'!$Q$29</f>
        <v/>
      </c>
      <c r="M20" s="436">
        <f>'IC Switch Scenarios'!$R$29</f>
        <v/>
      </c>
      <c r="N20" s="436">
        <f>'IC Switch Scenarios'!$S$29</f>
        <v/>
      </c>
      <c r="O20" s="436">
        <f>'IC Switch Scenarios'!$T$29</f>
        <v/>
      </c>
      <c r="P20" s="436">
        <f>'IC Switch Scenarios'!$U$29</f>
        <v/>
      </c>
      <c r="Q20" s="426">
        <f>'IC Switch Scenarios'!$V$29</f>
        <v/>
      </c>
      <c r="R20" s="429">
        <f>'IC Switch Scenarios'!$W$29</f>
        <v/>
      </c>
      <c r="S20" s="429">
        <f>'IC Switch Scenarios'!$X$29</f>
        <v/>
      </c>
      <c r="T20" s="429">
        <f>'IC Switch Scenarios'!$Y$29</f>
        <v/>
      </c>
      <c r="U20" s="429">
        <f>'IC Switch Scenarios'!$Z$29</f>
        <v/>
      </c>
      <c r="V20" s="505" t="n"/>
      <c r="W20" s="506">
        <f>IF($B20="Stay at Jump",INDEX('Savings Projection'!$AI$19:$AI$33,1),IF($B20="IC Switch",IFERROR(INDEX('IC Switch Scenarios'!$X$36:$X$170,MATCH($C20,'IC Switch Scenarios'!$A$36:$A$170,0)+0),""),IFERROR(INDEX('PM After Switch'!$AF$51:$AF$350,MATCH($C20,'PM After Switch'!$A$51:$A$350,0)+0),"")))</f>
        <v/>
      </c>
      <c r="X20" s="506">
        <f>IF($B20="Stay at Jump",INDEX('Savings Projection'!$AI$19:$AI$33,2),IF($B20="IC Switch",IFERROR(INDEX('IC Switch Scenarios'!$X$36:$X$170,MATCH($C20,'IC Switch Scenarios'!$A$36:$A$170,0)+1),""),IFERROR(INDEX('PM After Switch'!$AF$51:$AF$350,MATCH($C20,'PM After Switch'!$A$51:$A$350,0)+1),"")))</f>
        <v/>
      </c>
      <c r="Y20" s="506">
        <f>IF($B20="Stay at Jump",INDEX('Savings Projection'!$AI$19:$AI$33,3),IF($B20="IC Switch",IFERROR(INDEX('IC Switch Scenarios'!$X$36:$X$170,MATCH($C20,'IC Switch Scenarios'!$A$36:$A$170,0)+2),""),IFERROR(INDEX('PM After Switch'!$AF$51:$AF$350,MATCH($C20,'PM After Switch'!$A$51:$A$350,0)+2),"")))</f>
        <v/>
      </c>
      <c r="Z20" s="506">
        <f>IF($B20="Stay at Jump",INDEX('Savings Projection'!$AI$19:$AI$33,4),IF($B20="IC Switch",IFERROR(INDEX('IC Switch Scenarios'!$X$36:$X$170,MATCH($C20,'IC Switch Scenarios'!$A$36:$A$170,0)+3),""),IFERROR(INDEX('PM After Switch'!$AF$51:$AF$350,MATCH($C20,'PM After Switch'!$A$51:$A$350,0)+3),"")))</f>
        <v/>
      </c>
      <c r="AA20" s="506">
        <f>IF($B20="Stay at Jump",INDEX('Savings Projection'!$AI$19:$AI$33,5),IF($B20="IC Switch",IFERROR(INDEX('IC Switch Scenarios'!$X$36:$X$170,MATCH($C20,'IC Switch Scenarios'!$A$36:$A$170,0)+4),""),IFERROR(INDEX('PM After Switch'!$AF$51:$AF$350,MATCH($C20,'PM After Switch'!$A$51:$A$350,0)+4),"")))</f>
        <v/>
      </c>
      <c r="AB20" s="506">
        <f>IF($B20="Stay at Jump",INDEX('Savings Projection'!$AI$19:$AI$33,6),IF($B20="IC Switch",IFERROR(INDEX('IC Switch Scenarios'!$X$36:$X$170,MATCH($C20,'IC Switch Scenarios'!$A$36:$A$170,0)+5),""),IFERROR(INDEX('PM After Switch'!$AF$51:$AF$350,MATCH($C20,'PM After Switch'!$A$51:$A$350,0)+5),"")))</f>
        <v/>
      </c>
      <c r="AC20" s="506">
        <f>IF($B20="Stay at Jump",INDEX('Savings Projection'!$AI$19:$AI$33,7),IF($B20="IC Switch",IFERROR(INDEX('IC Switch Scenarios'!$X$36:$X$170,MATCH($C20,'IC Switch Scenarios'!$A$36:$A$170,0)+6),""),IFERROR(INDEX('PM After Switch'!$AF$51:$AF$350,MATCH($C20,'PM After Switch'!$A$51:$A$350,0)+6),"")))</f>
        <v/>
      </c>
      <c r="AD20" s="506">
        <f>IF($B20="Stay at Jump",INDEX('Savings Projection'!$AI$19:$AI$33,8),IF($B20="IC Switch",IFERROR(INDEX('IC Switch Scenarios'!$X$36:$X$170,MATCH($C20,'IC Switch Scenarios'!$A$36:$A$170,0)+7),""),IFERROR(INDEX('PM After Switch'!$AF$51:$AF$350,MATCH($C20,'PM After Switch'!$A$51:$A$350,0)+7),"")))</f>
        <v/>
      </c>
      <c r="AE20" s="506">
        <f>IF($B20="Stay at Jump",INDEX('Savings Projection'!$AI$19:$AI$33,9),IF($B20="IC Switch",IFERROR(INDEX('IC Switch Scenarios'!$X$36:$X$170,MATCH($C20,'IC Switch Scenarios'!$A$36:$A$170,0)+8),""),IFERROR(INDEX('PM After Switch'!$AF$51:$AF$350,MATCH($C20,'PM After Switch'!$A$51:$A$350,0)+8),"")))</f>
        <v/>
      </c>
      <c r="AF20" s="506">
        <f>IF($B20="Stay at Jump",INDEX('Savings Projection'!$AI$19:$AI$33,10),IF($B20="IC Switch",IFERROR(INDEX('IC Switch Scenarios'!$X$36:$X$170,MATCH($C20,'IC Switch Scenarios'!$A$36:$A$170,0)+9),""),IFERROR(INDEX('PM After Switch'!$AF$51:$AF$350,MATCH($C20,'PM After Switch'!$A$51:$A$350,0)+9),"")))</f>
        <v/>
      </c>
      <c r="AG20" s="506">
        <f>IF($B20="Stay at Jump",INDEX('Savings Projection'!$AI$19:$AI$33,11),IF($B20="IC Switch",IFERROR(INDEX('IC Switch Scenarios'!$X$36:$X$170,MATCH($C20,'IC Switch Scenarios'!$A$36:$A$170,0)+10),""),IFERROR(INDEX('PM After Switch'!$AF$51:$AF$350,MATCH($C20,'PM After Switch'!$A$51:$A$350,0)+10),"")))</f>
        <v/>
      </c>
      <c r="AH20" s="506">
        <f>IF($B20="Stay at Jump",INDEX('Savings Projection'!$AI$19:$AI$33,12),IF($B20="IC Switch",IFERROR(INDEX('IC Switch Scenarios'!$X$36:$X$170,MATCH($C20,'IC Switch Scenarios'!$A$36:$A$170,0)+11),""),IFERROR(INDEX('PM After Switch'!$AF$51:$AF$350,MATCH($C20,'PM After Switch'!$A$51:$A$350,0)+11),"")))</f>
        <v/>
      </c>
      <c r="AI20" s="506">
        <f>IF($B20="Stay at Jump",INDEX('Savings Projection'!$AI$19:$AI$33,13),IF($B20="IC Switch",IFERROR(INDEX('IC Switch Scenarios'!$X$36:$X$170,MATCH($C20,'IC Switch Scenarios'!$A$36:$A$170,0)+12),""),IFERROR(INDEX('PM After Switch'!$AF$51:$AF$350,MATCH($C20,'PM After Switch'!$A$51:$A$350,0)+12),"")))</f>
        <v/>
      </c>
      <c r="AJ20" s="506">
        <f>IF($B20="Stay at Jump",INDEX('Savings Projection'!$AI$19:$AI$33,14),IF($B20="IC Switch",IFERROR(INDEX('IC Switch Scenarios'!$X$36:$X$170,MATCH($C20,'IC Switch Scenarios'!$A$36:$A$170,0)+13),""),IFERROR(INDEX('PM After Switch'!$AF$51:$AF$350,MATCH($C20,'PM After Switch'!$A$51:$A$350,0)+13),"")))</f>
        <v/>
      </c>
      <c r="AK20" s="506">
        <f>IF($B20="Stay at Jump",INDEX('Savings Projection'!$AI$19:$AI$33,15),IF($B20="IC Switch",IFERROR(INDEX('IC Switch Scenarios'!$X$36:$X$170,MATCH($C20,'IC Switch Scenarios'!$A$36:$A$170,0)+14),""),IFERROR(INDEX('PM After Switch'!$AF$51:$AF$350,MATCH($C20,'PM After Switch'!$A$51:$A$350,0)+14),"")))</f>
        <v/>
      </c>
    </row>
    <row r="21" ht="20" customHeight="1" s="326">
      <c r="A21" s="426">
        <f>$B21&amp;" | "&amp;$C21&amp;" | "&amp;$H21</f>
        <v/>
      </c>
      <c r="B21" s="426" t="inlineStr">
        <is>
          <t>IC Switch</t>
        </is>
      </c>
      <c r="C21" s="426">
        <f>'IC Switch Scenarios'!$A$30</f>
        <v/>
      </c>
      <c r="D21" s="427">
        <f>'IC Switch Scenarios'!$B$30</f>
        <v/>
      </c>
      <c r="E21" s="435">
        <f>'IC Switch Scenarios'!$C$30</f>
        <v/>
      </c>
      <c r="F21" s="427" t="inlineStr"/>
      <c r="G21" s="426" t="inlineStr"/>
      <c r="H21" s="429" t="inlineStr">
        <is>
          <t>Y10</t>
        </is>
      </c>
      <c r="I21" s="436">
        <f>'IC Switch Scenarios'!$E$30</f>
        <v/>
      </c>
      <c r="J21" s="436">
        <f>'IC Switch Scenarios'!$F$30</f>
        <v/>
      </c>
      <c r="K21" s="436">
        <f>'IC Switch Scenarios'!$G$30</f>
        <v/>
      </c>
      <c r="L21" s="436">
        <f>'IC Switch Scenarios'!$H$30</f>
        <v/>
      </c>
      <c r="M21" s="436">
        <f>'IC Switch Scenarios'!$I$30</f>
        <v/>
      </c>
      <c r="N21" s="436">
        <f>'IC Switch Scenarios'!$J$30</f>
        <v/>
      </c>
      <c r="O21" s="436">
        <f>'IC Switch Scenarios'!$K$30</f>
        <v/>
      </c>
      <c r="P21" s="436">
        <f>'IC Switch Scenarios'!$L$30</f>
        <v/>
      </c>
      <c r="Q21" s="426">
        <f>'IC Switch Scenarios'!$M$30</f>
        <v/>
      </c>
      <c r="R21" s="429">
        <f>'IC Switch Scenarios'!$W$30</f>
        <v/>
      </c>
      <c r="S21" s="429">
        <f>'IC Switch Scenarios'!$X$30</f>
        <v/>
      </c>
      <c r="T21" s="429">
        <f>'IC Switch Scenarios'!$Y$30</f>
        <v/>
      </c>
      <c r="U21" s="429">
        <f>'IC Switch Scenarios'!$Z$30</f>
        <v/>
      </c>
      <c r="V21" s="505" t="n"/>
      <c r="W21" s="506">
        <f>IF($B21="Stay at Jump",INDEX('Savings Projection'!$AI$19:$AI$33,1),IF($B21="IC Switch",IFERROR(INDEX('IC Switch Scenarios'!$X$36:$X$170,MATCH($C21,'IC Switch Scenarios'!$A$36:$A$170,0)+0),""),IFERROR(INDEX('PM After Switch'!$AF$51:$AF$350,MATCH($C21,'PM After Switch'!$A$51:$A$350,0)+0),"")))</f>
        <v/>
      </c>
      <c r="X21" s="506">
        <f>IF($B21="Stay at Jump",INDEX('Savings Projection'!$AI$19:$AI$33,2),IF($B21="IC Switch",IFERROR(INDEX('IC Switch Scenarios'!$X$36:$X$170,MATCH($C21,'IC Switch Scenarios'!$A$36:$A$170,0)+1),""),IFERROR(INDEX('PM After Switch'!$AF$51:$AF$350,MATCH($C21,'PM After Switch'!$A$51:$A$350,0)+1),"")))</f>
        <v/>
      </c>
      <c r="Y21" s="506">
        <f>IF($B21="Stay at Jump",INDEX('Savings Projection'!$AI$19:$AI$33,3),IF($B21="IC Switch",IFERROR(INDEX('IC Switch Scenarios'!$X$36:$X$170,MATCH($C21,'IC Switch Scenarios'!$A$36:$A$170,0)+2),""),IFERROR(INDEX('PM After Switch'!$AF$51:$AF$350,MATCH($C21,'PM After Switch'!$A$51:$A$350,0)+2),"")))</f>
        <v/>
      </c>
      <c r="Z21" s="506">
        <f>IF($B21="Stay at Jump",INDEX('Savings Projection'!$AI$19:$AI$33,4),IF($B21="IC Switch",IFERROR(INDEX('IC Switch Scenarios'!$X$36:$X$170,MATCH($C21,'IC Switch Scenarios'!$A$36:$A$170,0)+3),""),IFERROR(INDEX('PM After Switch'!$AF$51:$AF$350,MATCH($C21,'PM After Switch'!$A$51:$A$350,0)+3),"")))</f>
        <v/>
      </c>
      <c r="AA21" s="506">
        <f>IF($B21="Stay at Jump",INDEX('Savings Projection'!$AI$19:$AI$33,5),IF($B21="IC Switch",IFERROR(INDEX('IC Switch Scenarios'!$X$36:$X$170,MATCH($C21,'IC Switch Scenarios'!$A$36:$A$170,0)+4),""),IFERROR(INDEX('PM After Switch'!$AF$51:$AF$350,MATCH($C21,'PM After Switch'!$A$51:$A$350,0)+4),"")))</f>
        <v/>
      </c>
      <c r="AB21" s="506">
        <f>IF($B21="Stay at Jump",INDEX('Savings Projection'!$AI$19:$AI$33,6),IF($B21="IC Switch",IFERROR(INDEX('IC Switch Scenarios'!$X$36:$X$170,MATCH($C21,'IC Switch Scenarios'!$A$36:$A$170,0)+5),""),IFERROR(INDEX('PM After Switch'!$AF$51:$AF$350,MATCH($C21,'PM After Switch'!$A$51:$A$350,0)+5),"")))</f>
        <v/>
      </c>
      <c r="AC21" s="506">
        <f>IF($B21="Stay at Jump",INDEX('Savings Projection'!$AI$19:$AI$33,7),IF($B21="IC Switch",IFERROR(INDEX('IC Switch Scenarios'!$X$36:$X$170,MATCH($C21,'IC Switch Scenarios'!$A$36:$A$170,0)+6),""),IFERROR(INDEX('PM After Switch'!$AF$51:$AF$350,MATCH($C21,'PM After Switch'!$A$51:$A$350,0)+6),"")))</f>
        <v/>
      </c>
      <c r="AD21" s="506">
        <f>IF($B21="Stay at Jump",INDEX('Savings Projection'!$AI$19:$AI$33,8),IF($B21="IC Switch",IFERROR(INDEX('IC Switch Scenarios'!$X$36:$X$170,MATCH($C21,'IC Switch Scenarios'!$A$36:$A$170,0)+7),""),IFERROR(INDEX('PM After Switch'!$AF$51:$AF$350,MATCH($C21,'PM After Switch'!$A$51:$A$350,0)+7),"")))</f>
        <v/>
      </c>
      <c r="AE21" s="506">
        <f>IF($B21="Stay at Jump",INDEX('Savings Projection'!$AI$19:$AI$33,9),IF($B21="IC Switch",IFERROR(INDEX('IC Switch Scenarios'!$X$36:$X$170,MATCH($C21,'IC Switch Scenarios'!$A$36:$A$170,0)+8),""),IFERROR(INDEX('PM After Switch'!$AF$51:$AF$350,MATCH($C21,'PM After Switch'!$A$51:$A$350,0)+8),"")))</f>
        <v/>
      </c>
      <c r="AF21" s="506">
        <f>IF($B21="Stay at Jump",INDEX('Savings Projection'!$AI$19:$AI$33,10),IF($B21="IC Switch",IFERROR(INDEX('IC Switch Scenarios'!$X$36:$X$170,MATCH($C21,'IC Switch Scenarios'!$A$36:$A$170,0)+9),""),IFERROR(INDEX('PM After Switch'!$AF$51:$AF$350,MATCH($C21,'PM After Switch'!$A$51:$A$350,0)+9),"")))</f>
        <v/>
      </c>
      <c r="AG21" s="506">
        <f>IF($B21="Stay at Jump",INDEX('Savings Projection'!$AI$19:$AI$33,11),IF($B21="IC Switch",IFERROR(INDEX('IC Switch Scenarios'!$X$36:$X$170,MATCH($C21,'IC Switch Scenarios'!$A$36:$A$170,0)+10),""),IFERROR(INDEX('PM After Switch'!$AF$51:$AF$350,MATCH($C21,'PM After Switch'!$A$51:$A$350,0)+10),"")))</f>
        <v/>
      </c>
      <c r="AH21" s="506">
        <f>IF($B21="Stay at Jump",INDEX('Savings Projection'!$AI$19:$AI$33,12),IF($B21="IC Switch",IFERROR(INDEX('IC Switch Scenarios'!$X$36:$X$170,MATCH($C21,'IC Switch Scenarios'!$A$36:$A$170,0)+11),""),IFERROR(INDEX('PM After Switch'!$AF$51:$AF$350,MATCH($C21,'PM After Switch'!$A$51:$A$350,0)+11),"")))</f>
        <v/>
      </c>
      <c r="AI21" s="506">
        <f>IF($B21="Stay at Jump",INDEX('Savings Projection'!$AI$19:$AI$33,13),IF($B21="IC Switch",IFERROR(INDEX('IC Switch Scenarios'!$X$36:$X$170,MATCH($C21,'IC Switch Scenarios'!$A$36:$A$170,0)+12),""),IFERROR(INDEX('PM After Switch'!$AF$51:$AF$350,MATCH($C21,'PM After Switch'!$A$51:$A$350,0)+12),"")))</f>
        <v/>
      </c>
      <c r="AJ21" s="506">
        <f>IF($B21="Stay at Jump",INDEX('Savings Projection'!$AI$19:$AI$33,14),IF($B21="IC Switch",IFERROR(INDEX('IC Switch Scenarios'!$X$36:$X$170,MATCH($C21,'IC Switch Scenarios'!$A$36:$A$170,0)+13),""),IFERROR(INDEX('PM After Switch'!$AF$51:$AF$350,MATCH($C21,'PM After Switch'!$A$51:$A$350,0)+13),"")))</f>
        <v/>
      </c>
      <c r="AK21" s="506">
        <f>IF($B21="Stay at Jump",INDEX('Savings Projection'!$AI$19:$AI$33,15),IF($B21="IC Switch",IFERROR(INDEX('IC Switch Scenarios'!$X$36:$X$170,MATCH($C21,'IC Switch Scenarios'!$A$36:$A$170,0)+14),""),IFERROR(INDEX('PM After Switch'!$AF$51:$AF$350,MATCH($C21,'PM After Switch'!$A$51:$A$350,0)+14),"")))</f>
        <v/>
      </c>
    </row>
    <row r="22" ht="20" customHeight="1" s="326">
      <c r="A22" s="426">
        <f>$B22&amp;" | "&amp;$C22&amp;" | "&amp;$H22</f>
        <v/>
      </c>
      <c r="B22" s="426" t="inlineStr">
        <is>
          <t>IC Switch</t>
        </is>
      </c>
      <c r="C22" s="426">
        <f>'IC Switch Scenarios'!$A$30</f>
        <v/>
      </c>
      <c r="D22" s="427">
        <f>'IC Switch Scenarios'!$B$30</f>
        <v/>
      </c>
      <c r="E22" s="435">
        <f>'IC Switch Scenarios'!$C$30</f>
        <v/>
      </c>
      <c r="F22" s="427" t="inlineStr"/>
      <c r="G22" s="426" t="inlineStr"/>
      <c r="H22" s="429" t="inlineStr">
        <is>
          <t>Y15</t>
        </is>
      </c>
      <c r="I22" s="436">
        <f>'IC Switch Scenarios'!$N$30</f>
        <v/>
      </c>
      <c r="J22" s="436">
        <f>'IC Switch Scenarios'!$O$30</f>
        <v/>
      </c>
      <c r="K22" s="436">
        <f>'IC Switch Scenarios'!$P$30</f>
        <v/>
      </c>
      <c r="L22" s="436">
        <f>'IC Switch Scenarios'!$Q$30</f>
        <v/>
      </c>
      <c r="M22" s="436">
        <f>'IC Switch Scenarios'!$R$30</f>
        <v/>
      </c>
      <c r="N22" s="436">
        <f>'IC Switch Scenarios'!$S$30</f>
        <v/>
      </c>
      <c r="O22" s="436">
        <f>'IC Switch Scenarios'!$T$30</f>
        <v/>
      </c>
      <c r="P22" s="436">
        <f>'IC Switch Scenarios'!$U$30</f>
        <v/>
      </c>
      <c r="Q22" s="426">
        <f>'IC Switch Scenarios'!$V$30</f>
        <v/>
      </c>
      <c r="R22" s="429">
        <f>'IC Switch Scenarios'!$W$30</f>
        <v/>
      </c>
      <c r="S22" s="429">
        <f>'IC Switch Scenarios'!$X$30</f>
        <v/>
      </c>
      <c r="T22" s="429">
        <f>'IC Switch Scenarios'!$Y$30</f>
        <v/>
      </c>
      <c r="U22" s="429">
        <f>'IC Switch Scenarios'!$Z$30</f>
        <v/>
      </c>
      <c r="V22" s="505" t="n"/>
      <c r="W22" s="506">
        <f>IF($B22="Stay at Jump",INDEX('Savings Projection'!$AI$19:$AI$33,1),IF($B22="IC Switch",IFERROR(INDEX('IC Switch Scenarios'!$X$36:$X$170,MATCH($C22,'IC Switch Scenarios'!$A$36:$A$170,0)+0),""),IFERROR(INDEX('PM After Switch'!$AF$51:$AF$350,MATCH($C22,'PM After Switch'!$A$51:$A$350,0)+0),"")))</f>
        <v/>
      </c>
      <c r="X22" s="506">
        <f>IF($B22="Stay at Jump",INDEX('Savings Projection'!$AI$19:$AI$33,2),IF($B22="IC Switch",IFERROR(INDEX('IC Switch Scenarios'!$X$36:$X$170,MATCH($C22,'IC Switch Scenarios'!$A$36:$A$170,0)+1),""),IFERROR(INDEX('PM After Switch'!$AF$51:$AF$350,MATCH($C22,'PM After Switch'!$A$51:$A$350,0)+1),"")))</f>
        <v/>
      </c>
      <c r="Y22" s="506">
        <f>IF($B22="Stay at Jump",INDEX('Savings Projection'!$AI$19:$AI$33,3),IF($B22="IC Switch",IFERROR(INDEX('IC Switch Scenarios'!$X$36:$X$170,MATCH($C22,'IC Switch Scenarios'!$A$36:$A$170,0)+2),""),IFERROR(INDEX('PM After Switch'!$AF$51:$AF$350,MATCH($C22,'PM After Switch'!$A$51:$A$350,0)+2),"")))</f>
        <v/>
      </c>
      <c r="Z22" s="506">
        <f>IF($B22="Stay at Jump",INDEX('Savings Projection'!$AI$19:$AI$33,4),IF($B22="IC Switch",IFERROR(INDEX('IC Switch Scenarios'!$X$36:$X$170,MATCH($C22,'IC Switch Scenarios'!$A$36:$A$170,0)+3),""),IFERROR(INDEX('PM After Switch'!$AF$51:$AF$350,MATCH($C22,'PM After Switch'!$A$51:$A$350,0)+3),"")))</f>
        <v/>
      </c>
      <c r="AA22" s="506">
        <f>IF($B22="Stay at Jump",INDEX('Savings Projection'!$AI$19:$AI$33,5),IF($B22="IC Switch",IFERROR(INDEX('IC Switch Scenarios'!$X$36:$X$170,MATCH($C22,'IC Switch Scenarios'!$A$36:$A$170,0)+4),""),IFERROR(INDEX('PM After Switch'!$AF$51:$AF$350,MATCH($C22,'PM After Switch'!$A$51:$A$350,0)+4),"")))</f>
        <v/>
      </c>
      <c r="AB22" s="506">
        <f>IF($B22="Stay at Jump",INDEX('Savings Projection'!$AI$19:$AI$33,6),IF($B22="IC Switch",IFERROR(INDEX('IC Switch Scenarios'!$X$36:$X$170,MATCH($C22,'IC Switch Scenarios'!$A$36:$A$170,0)+5),""),IFERROR(INDEX('PM After Switch'!$AF$51:$AF$350,MATCH($C22,'PM After Switch'!$A$51:$A$350,0)+5),"")))</f>
        <v/>
      </c>
      <c r="AC22" s="506">
        <f>IF($B22="Stay at Jump",INDEX('Savings Projection'!$AI$19:$AI$33,7),IF($B22="IC Switch",IFERROR(INDEX('IC Switch Scenarios'!$X$36:$X$170,MATCH($C22,'IC Switch Scenarios'!$A$36:$A$170,0)+6),""),IFERROR(INDEX('PM After Switch'!$AF$51:$AF$350,MATCH($C22,'PM After Switch'!$A$51:$A$350,0)+6),"")))</f>
        <v/>
      </c>
      <c r="AD22" s="506">
        <f>IF($B22="Stay at Jump",INDEX('Savings Projection'!$AI$19:$AI$33,8),IF($B22="IC Switch",IFERROR(INDEX('IC Switch Scenarios'!$X$36:$X$170,MATCH($C22,'IC Switch Scenarios'!$A$36:$A$170,0)+7),""),IFERROR(INDEX('PM After Switch'!$AF$51:$AF$350,MATCH($C22,'PM After Switch'!$A$51:$A$350,0)+7),"")))</f>
        <v/>
      </c>
      <c r="AE22" s="506">
        <f>IF($B22="Stay at Jump",INDEX('Savings Projection'!$AI$19:$AI$33,9),IF($B22="IC Switch",IFERROR(INDEX('IC Switch Scenarios'!$X$36:$X$170,MATCH($C22,'IC Switch Scenarios'!$A$36:$A$170,0)+8),""),IFERROR(INDEX('PM After Switch'!$AF$51:$AF$350,MATCH($C22,'PM After Switch'!$A$51:$A$350,0)+8),"")))</f>
        <v/>
      </c>
      <c r="AF22" s="506">
        <f>IF($B22="Stay at Jump",INDEX('Savings Projection'!$AI$19:$AI$33,10),IF($B22="IC Switch",IFERROR(INDEX('IC Switch Scenarios'!$X$36:$X$170,MATCH($C22,'IC Switch Scenarios'!$A$36:$A$170,0)+9),""),IFERROR(INDEX('PM After Switch'!$AF$51:$AF$350,MATCH($C22,'PM After Switch'!$A$51:$A$350,0)+9),"")))</f>
        <v/>
      </c>
      <c r="AG22" s="506">
        <f>IF($B22="Stay at Jump",INDEX('Savings Projection'!$AI$19:$AI$33,11),IF($B22="IC Switch",IFERROR(INDEX('IC Switch Scenarios'!$X$36:$X$170,MATCH($C22,'IC Switch Scenarios'!$A$36:$A$170,0)+10),""),IFERROR(INDEX('PM After Switch'!$AF$51:$AF$350,MATCH($C22,'PM After Switch'!$A$51:$A$350,0)+10),"")))</f>
        <v/>
      </c>
      <c r="AH22" s="506">
        <f>IF($B22="Stay at Jump",INDEX('Savings Projection'!$AI$19:$AI$33,12),IF($B22="IC Switch",IFERROR(INDEX('IC Switch Scenarios'!$X$36:$X$170,MATCH($C22,'IC Switch Scenarios'!$A$36:$A$170,0)+11),""),IFERROR(INDEX('PM After Switch'!$AF$51:$AF$350,MATCH($C22,'PM After Switch'!$A$51:$A$350,0)+11),"")))</f>
        <v/>
      </c>
      <c r="AI22" s="506">
        <f>IF($B22="Stay at Jump",INDEX('Savings Projection'!$AI$19:$AI$33,13),IF($B22="IC Switch",IFERROR(INDEX('IC Switch Scenarios'!$X$36:$X$170,MATCH($C22,'IC Switch Scenarios'!$A$36:$A$170,0)+12),""),IFERROR(INDEX('PM After Switch'!$AF$51:$AF$350,MATCH($C22,'PM After Switch'!$A$51:$A$350,0)+12),"")))</f>
        <v/>
      </c>
      <c r="AJ22" s="506">
        <f>IF($B22="Stay at Jump",INDEX('Savings Projection'!$AI$19:$AI$33,14),IF($B22="IC Switch",IFERROR(INDEX('IC Switch Scenarios'!$X$36:$X$170,MATCH($C22,'IC Switch Scenarios'!$A$36:$A$170,0)+13),""),IFERROR(INDEX('PM After Switch'!$AF$51:$AF$350,MATCH($C22,'PM After Switch'!$A$51:$A$350,0)+13),"")))</f>
        <v/>
      </c>
      <c r="AK22" s="506">
        <f>IF($B22="Stay at Jump",INDEX('Savings Projection'!$AI$19:$AI$33,15),IF($B22="IC Switch",IFERROR(INDEX('IC Switch Scenarios'!$X$36:$X$170,MATCH($C22,'IC Switch Scenarios'!$A$36:$A$170,0)+14),""),IFERROR(INDEX('PM After Switch'!$AF$51:$AF$350,MATCH($C22,'PM After Switch'!$A$51:$A$350,0)+14),"")))</f>
        <v/>
      </c>
    </row>
    <row r="23" ht="20" customHeight="1" s="326">
      <c r="A23" s="426">
        <f>$B23&amp;" | "&amp;$C23&amp;" | "&amp;$H23</f>
        <v/>
      </c>
      <c r="B23" s="426" t="inlineStr">
        <is>
          <t>PM After Switch</t>
        </is>
      </c>
      <c r="C23" s="426">
        <f>'PM After Switch'!$A$22</f>
        <v/>
      </c>
      <c r="D23" s="427">
        <f>'PM After Switch'!$B$22</f>
        <v/>
      </c>
      <c r="E23" s="435">
        <f>'PM After Switch'!$C$22</f>
        <v/>
      </c>
      <c r="F23" s="427">
        <f>'PM After Switch'!$D$22</f>
        <v/>
      </c>
      <c r="G23" s="426">
        <f>'PM After Switch'!$E$22</f>
        <v/>
      </c>
      <c r="H23" s="429" t="inlineStr">
        <is>
          <t>Y10</t>
        </is>
      </c>
      <c r="I23" s="436">
        <f>'PM After Switch'!$K$22</f>
        <v/>
      </c>
      <c r="J23" s="436">
        <f>'PM After Switch'!$L$22</f>
        <v/>
      </c>
      <c r="K23" s="436">
        <f>'PM After Switch'!$M$22</f>
        <v/>
      </c>
      <c r="L23" s="436">
        <f>'PM After Switch'!$N$22</f>
        <v/>
      </c>
      <c r="M23" s="436">
        <f>'PM After Switch'!$O$22</f>
        <v/>
      </c>
      <c r="N23" s="436">
        <f>'PM After Switch'!$P$22</f>
        <v/>
      </c>
      <c r="O23" s="436">
        <f>'PM After Switch'!$Q$22</f>
        <v/>
      </c>
      <c r="P23" s="436">
        <f>'PM After Switch'!$R$22</f>
        <v/>
      </c>
      <c r="Q23" s="426">
        <f>'PM After Switch'!$S$22</f>
        <v/>
      </c>
      <c r="R23" s="429">
        <f>'PM After Switch'!$AC$22</f>
        <v/>
      </c>
      <c r="S23" s="429">
        <f>'PM After Switch'!$AD$22</f>
        <v/>
      </c>
      <c r="T23" s="429">
        <f>'PM After Switch'!$AE$22</f>
        <v/>
      </c>
      <c r="U23" s="429">
        <f>'PM After Switch'!$AF$22</f>
        <v/>
      </c>
      <c r="V23" s="505" t="n"/>
      <c r="W23" s="506">
        <f>IF($B23="Stay at Jump",INDEX('Savings Projection'!$AI$19:$AI$33,1),IF($B23="IC Switch",IFERROR(INDEX('IC Switch Scenarios'!$X$36:$X$170,MATCH($C23,'IC Switch Scenarios'!$A$36:$A$170,0)+0),""),IFERROR(INDEX('PM After Switch'!$AF$51:$AF$350,MATCH($C23,'PM After Switch'!$A$51:$A$350,0)+0),"")))</f>
        <v/>
      </c>
      <c r="X23" s="506">
        <f>IF($B23="Stay at Jump",INDEX('Savings Projection'!$AI$19:$AI$33,2),IF($B23="IC Switch",IFERROR(INDEX('IC Switch Scenarios'!$X$36:$X$170,MATCH($C23,'IC Switch Scenarios'!$A$36:$A$170,0)+1),""),IFERROR(INDEX('PM After Switch'!$AF$51:$AF$350,MATCH($C23,'PM After Switch'!$A$51:$A$350,0)+1),"")))</f>
        <v/>
      </c>
      <c r="Y23" s="506">
        <f>IF($B23="Stay at Jump",INDEX('Savings Projection'!$AI$19:$AI$33,3),IF($B23="IC Switch",IFERROR(INDEX('IC Switch Scenarios'!$X$36:$X$170,MATCH($C23,'IC Switch Scenarios'!$A$36:$A$170,0)+2),""),IFERROR(INDEX('PM After Switch'!$AF$51:$AF$350,MATCH($C23,'PM After Switch'!$A$51:$A$350,0)+2),"")))</f>
        <v/>
      </c>
      <c r="Z23" s="506">
        <f>IF($B23="Stay at Jump",INDEX('Savings Projection'!$AI$19:$AI$33,4),IF($B23="IC Switch",IFERROR(INDEX('IC Switch Scenarios'!$X$36:$X$170,MATCH($C23,'IC Switch Scenarios'!$A$36:$A$170,0)+3),""),IFERROR(INDEX('PM After Switch'!$AF$51:$AF$350,MATCH($C23,'PM After Switch'!$A$51:$A$350,0)+3),"")))</f>
        <v/>
      </c>
      <c r="AA23" s="506">
        <f>IF($B23="Stay at Jump",INDEX('Savings Projection'!$AI$19:$AI$33,5),IF($B23="IC Switch",IFERROR(INDEX('IC Switch Scenarios'!$X$36:$X$170,MATCH($C23,'IC Switch Scenarios'!$A$36:$A$170,0)+4),""),IFERROR(INDEX('PM After Switch'!$AF$51:$AF$350,MATCH($C23,'PM After Switch'!$A$51:$A$350,0)+4),"")))</f>
        <v/>
      </c>
      <c r="AB23" s="506">
        <f>IF($B23="Stay at Jump",INDEX('Savings Projection'!$AI$19:$AI$33,6),IF($B23="IC Switch",IFERROR(INDEX('IC Switch Scenarios'!$X$36:$X$170,MATCH($C23,'IC Switch Scenarios'!$A$36:$A$170,0)+5),""),IFERROR(INDEX('PM After Switch'!$AF$51:$AF$350,MATCH($C23,'PM After Switch'!$A$51:$A$350,0)+5),"")))</f>
        <v/>
      </c>
      <c r="AC23" s="506">
        <f>IF($B23="Stay at Jump",INDEX('Savings Projection'!$AI$19:$AI$33,7),IF($B23="IC Switch",IFERROR(INDEX('IC Switch Scenarios'!$X$36:$X$170,MATCH($C23,'IC Switch Scenarios'!$A$36:$A$170,0)+6),""),IFERROR(INDEX('PM After Switch'!$AF$51:$AF$350,MATCH($C23,'PM After Switch'!$A$51:$A$350,0)+6),"")))</f>
        <v/>
      </c>
      <c r="AD23" s="506">
        <f>IF($B23="Stay at Jump",INDEX('Savings Projection'!$AI$19:$AI$33,8),IF($B23="IC Switch",IFERROR(INDEX('IC Switch Scenarios'!$X$36:$X$170,MATCH($C23,'IC Switch Scenarios'!$A$36:$A$170,0)+7),""),IFERROR(INDEX('PM After Switch'!$AF$51:$AF$350,MATCH($C23,'PM After Switch'!$A$51:$A$350,0)+7),"")))</f>
        <v/>
      </c>
      <c r="AE23" s="506">
        <f>IF($B23="Stay at Jump",INDEX('Savings Projection'!$AI$19:$AI$33,9),IF($B23="IC Switch",IFERROR(INDEX('IC Switch Scenarios'!$X$36:$X$170,MATCH($C23,'IC Switch Scenarios'!$A$36:$A$170,0)+8),""),IFERROR(INDEX('PM After Switch'!$AF$51:$AF$350,MATCH($C23,'PM After Switch'!$A$51:$A$350,0)+8),"")))</f>
        <v/>
      </c>
      <c r="AF23" s="506">
        <f>IF($B23="Stay at Jump",INDEX('Savings Projection'!$AI$19:$AI$33,10),IF($B23="IC Switch",IFERROR(INDEX('IC Switch Scenarios'!$X$36:$X$170,MATCH($C23,'IC Switch Scenarios'!$A$36:$A$170,0)+9),""),IFERROR(INDEX('PM After Switch'!$AF$51:$AF$350,MATCH($C23,'PM After Switch'!$A$51:$A$350,0)+9),"")))</f>
        <v/>
      </c>
      <c r="AG23" s="506">
        <f>IF($B23="Stay at Jump",INDEX('Savings Projection'!$AI$19:$AI$33,11),IF($B23="IC Switch",IFERROR(INDEX('IC Switch Scenarios'!$X$36:$X$170,MATCH($C23,'IC Switch Scenarios'!$A$36:$A$170,0)+10),""),IFERROR(INDEX('PM After Switch'!$AF$51:$AF$350,MATCH($C23,'PM After Switch'!$A$51:$A$350,0)+10),"")))</f>
        <v/>
      </c>
      <c r="AH23" s="506">
        <f>IF($B23="Stay at Jump",INDEX('Savings Projection'!$AI$19:$AI$33,12),IF($B23="IC Switch",IFERROR(INDEX('IC Switch Scenarios'!$X$36:$X$170,MATCH($C23,'IC Switch Scenarios'!$A$36:$A$170,0)+11),""),IFERROR(INDEX('PM After Switch'!$AF$51:$AF$350,MATCH($C23,'PM After Switch'!$A$51:$A$350,0)+11),"")))</f>
        <v/>
      </c>
      <c r="AI23" s="506">
        <f>IF($B23="Stay at Jump",INDEX('Savings Projection'!$AI$19:$AI$33,13),IF($B23="IC Switch",IFERROR(INDEX('IC Switch Scenarios'!$X$36:$X$170,MATCH($C23,'IC Switch Scenarios'!$A$36:$A$170,0)+12),""),IFERROR(INDEX('PM After Switch'!$AF$51:$AF$350,MATCH($C23,'PM After Switch'!$A$51:$A$350,0)+12),"")))</f>
        <v/>
      </c>
      <c r="AJ23" s="506">
        <f>IF($B23="Stay at Jump",INDEX('Savings Projection'!$AI$19:$AI$33,14),IF($B23="IC Switch",IFERROR(INDEX('IC Switch Scenarios'!$X$36:$X$170,MATCH($C23,'IC Switch Scenarios'!$A$36:$A$170,0)+13),""),IFERROR(INDEX('PM After Switch'!$AF$51:$AF$350,MATCH($C23,'PM After Switch'!$A$51:$A$350,0)+13),"")))</f>
        <v/>
      </c>
      <c r="AK23" s="506">
        <f>IF($B23="Stay at Jump",INDEX('Savings Projection'!$AI$19:$AI$33,15),IF($B23="IC Switch",IFERROR(INDEX('IC Switch Scenarios'!$X$36:$X$170,MATCH($C23,'IC Switch Scenarios'!$A$36:$A$170,0)+14),""),IFERROR(INDEX('PM After Switch'!$AF$51:$AF$350,MATCH($C23,'PM After Switch'!$A$51:$A$350,0)+14),"")))</f>
        <v/>
      </c>
    </row>
    <row r="24" ht="20" customHeight="1" s="326">
      <c r="A24" s="426">
        <f>$B24&amp;" | "&amp;$C24&amp;" | "&amp;$H24</f>
        <v/>
      </c>
      <c r="B24" s="426" t="inlineStr">
        <is>
          <t>PM After Switch</t>
        </is>
      </c>
      <c r="C24" s="426">
        <f>'PM After Switch'!$A$22</f>
        <v/>
      </c>
      <c r="D24" s="427">
        <f>'PM After Switch'!$B$22</f>
        <v/>
      </c>
      <c r="E24" s="435">
        <f>'PM After Switch'!$C$22</f>
        <v/>
      </c>
      <c r="F24" s="427">
        <f>'PM After Switch'!$D$22</f>
        <v/>
      </c>
      <c r="G24" s="426">
        <f>'PM After Switch'!$E$22</f>
        <v/>
      </c>
      <c r="H24" s="429" t="inlineStr">
        <is>
          <t>Y15</t>
        </is>
      </c>
      <c r="I24" s="436">
        <f>'PM After Switch'!$T$22</f>
        <v/>
      </c>
      <c r="J24" s="436">
        <f>'PM After Switch'!$U$22</f>
        <v/>
      </c>
      <c r="K24" s="436">
        <f>'PM After Switch'!$V$22</f>
        <v/>
      </c>
      <c r="L24" s="436">
        <f>'PM After Switch'!$W$22</f>
        <v/>
      </c>
      <c r="M24" s="436">
        <f>'PM After Switch'!$X$22</f>
        <v/>
      </c>
      <c r="N24" s="436">
        <f>'PM After Switch'!$Y$22</f>
        <v/>
      </c>
      <c r="O24" s="436">
        <f>'PM After Switch'!$Z$22</f>
        <v/>
      </c>
      <c r="P24" s="436">
        <f>'PM After Switch'!$AA$22</f>
        <v/>
      </c>
      <c r="Q24" s="426">
        <f>'PM After Switch'!$AB$22</f>
        <v/>
      </c>
      <c r="R24" s="429">
        <f>'PM After Switch'!$AC$22</f>
        <v/>
      </c>
      <c r="S24" s="429">
        <f>'PM After Switch'!$AD$22</f>
        <v/>
      </c>
      <c r="T24" s="429">
        <f>'PM After Switch'!$AE$22</f>
        <v/>
      </c>
      <c r="U24" s="429">
        <f>'PM After Switch'!$AF$22</f>
        <v/>
      </c>
      <c r="V24" s="505" t="n"/>
      <c r="W24" s="506">
        <f>IF($B24="Stay at Jump",INDEX('Savings Projection'!$AI$19:$AI$33,1),IF($B24="IC Switch",IFERROR(INDEX('IC Switch Scenarios'!$X$36:$X$170,MATCH($C24,'IC Switch Scenarios'!$A$36:$A$170,0)+0),""),IFERROR(INDEX('PM After Switch'!$AF$51:$AF$350,MATCH($C24,'PM After Switch'!$A$51:$A$350,0)+0),"")))</f>
        <v/>
      </c>
      <c r="X24" s="506">
        <f>IF($B24="Stay at Jump",INDEX('Savings Projection'!$AI$19:$AI$33,2),IF($B24="IC Switch",IFERROR(INDEX('IC Switch Scenarios'!$X$36:$X$170,MATCH($C24,'IC Switch Scenarios'!$A$36:$A$170,0)+1),""),IFERROR(INDEX('PM After Switch'!$AF$51:$AF$350,MATCH($C24,'PM After Switch'!$A$51:$A$350,0)+1),"")))</f>
        <v/>
      </c>
      <c r="Y24" s="506">
        <f>IF($B24="Stay at Jump",INDEX('Savings Projection'!$AI$19:$AI$33,3),IF($B24="IC Switch",IFERROR(INDEX('IC Switch Scenarios'!$X$36:$X$170,MATCH($C24,'IC Switch Scenarios'!$A$36:$A$170,0)+2),""),IFERROR(INDEX('PM After Switch'!$AF$51:$AF$350,MATCH($C24,'PM After Switch'!$A$51:$A$350,0)+2),"")))</f>
        <v/>
      </c>
      <c r="Z24" s="506">
        <f>IF($B24="Stay at Jump",INDEX('Savings Projection'!$AI$19:$AI$33,4),IF($B24="IC Switch",IFERROR(INDEX('IC Switch Scenarios'!$X$36:$X$170,MATCH($C24,'IC Switch Scenarios'!$A$36:$A$170,0)+3),""),IFERROR(INDEX('PM After Switch'!$AF$51:$AF$350,MATCH($C24,'PM After Switch'!$A$51:$A$350,0)+3),"")))</f>
        <v/>
      </c>
      <c r="AA24" s="506">
        <f>IF($B24="Stay at Jump",INDEX('Savings Projection'!$AI$19:$AI$33,5),IF($B24="IC Switch",IFERROR(INDEX('IC Switch Scenarios'!$X$36:$X$170,MATCH($C24,'IC Switch Scenarios'!$A$36:$A$170,0)+4),""),IFERROR(INDEX('PM After Switch'!$AF$51:$AF$350,MATCH($C24,'PM After Switch'!$A$51:$A$350,0)+4),"")))</f>
        <v/>
      </c>
      <c r="AB24" s="506">
        <f>IF($B24="Stay at Jump",INDEX('Savings Projection'!$AI$19:$AI$33,6),IF($B24="IC Switch",IFERROR(INDEX('IC Switch Scenarios'!$X$36:$X$170,MATCH($C24,'IC Switch Scenarios'!$A$36:$A$170,0)+5),""),IFERROR(INDEX('PM After Switch'!$AF$51:$AF$350,MATCH($C24,'PM After Switch'!$A$51:$A$350,0)+5),"")))</f>
        <v/>
      </c>
      <c r="AC24" s="506">
        <f>IF($B24="Stay at Jump",INDEX('Savings Projection'!$AI$19:$AI$33,7),IF($B24="IC Switch",IFERROR(INDEX('IC Switch Scenarios'!$X$36:$X$170,MATCH($C24,'IC Switch Scenarios'!$A$36:$A$170,0)+6),""),IFERROR(INDEX('PM After Switch'!$AF$51:$AF$350,MATCH($C24,'PM After Switch'!$A$51:$A$350,0)+6),"")))</f>
        <v/>
      </c>
      <c r="AD24" s="506">
        <f>IF($B24="Stay at Jump",INDEX('Savings Projection'!$AI$19:$AI$33,8),IF($B24="IC Switch",IFERROR(INDEX('IC Switch Scenarios'!$X$36:$X$170,MATCH($C24,'IC Switch Scenarios'!$A$36:$A$170,0)+7),""),IFERROR(INDEX('PM After Switch'!$AF$51:$AF$350,MATCH($C24,'PM After Switch'!$A$51:$A$350,0)+7),"")))</f>
        <v/>
      </c>
      <c r="AE24" s="506">
        <f>IF($B24="Stay at Jump",INDEX('Savings Projection'!$AI$19:$AI$33,9),IF($B24="IC Switch",IFERROR(INDEX('IC Switch Scenarios'!$X$36:$X$170,MATCH($C24,'IC Switch Scenarios'!$A$36:$A$170,0)+8),""),IFERROR(INDEX('PM After Switch'!$AF$51:$AF$350,MATCH($C24,'PM After Switch'!$A$51:$A$350,0)+8),"")))</f>
        <v/>
      </c>
      <c r="AF24" s="506">
        <f>IF($B24="Stay at Jump",INDEX('Savings Projection'!$AI$19:$AI$33,10),IF($B24="IC Switch",IFERROR(INDEX('IC Switch Scenarios'!$X$36:$X$170,MATCH($C24,'IC Switch Scenarios'!$A$36:$A$170,0)+9),""),IFERROR(INDEX('PM After Switch'!$AF$51:$AF$350,MATCH($C24,'PM After Switch'!$A$51:$A$350,0)+9),"")))</f>
        <v/>
      </c>
      <c r="AG24" s="506">
        <f>IF($B24="Stay at Jump",INDEX('Savings Projection'!$AI$19:$AI$33,11),IF($B24="IC Switch",IFERROR(INDEX('IC Switch Scenarios'!$X$36:$X$170,MATCH($C24,'IC Switch Scenarios'!$A$36:$A$170,0)+10),""),IFERROR(INDEX('PM After Switch'!$AF$51:$AF$350,MATCH($C24,'PM After Switch'!$A$51:$A$350,0)+10),"")))</f>
        <v/>
      </c>
      <c r="AH24" s="506">
        <f>IF($B24="Stay at Jump",INDEX('Savings Projection'!$AI$19:$AI$33,12),IF($B24="IC Switch",IFERROR(INDEX('IC Switch Scenarios'!$X$36:$X$170,MATCH($C24,'IC Switch Scenarios'!$A$36:$A$170,0)+11),""),IFERROR(INDEX('PM After Switch'!$AF$51:$AF$350,MATCH($C24,'PM After Switch'!$A$51:$A$350,0)+11),"")))</f>
        <v/>
      </c>
      <c r="AI24" s="506">
        <f>IF($B24="Stay at Jump",INDEX('Savings Projection'!$AI$19:$AI$33,13),IF($B24="IC Switch",IFERROR(INDEX('IC Switch Scenarios'!$X$36:$X$170,MATCH($C24,'IC Switch Scenarios'!$A$36:$A$170,0)+12),""),IFERROR(INDEX('PM After Switch'!$AF$51:$AF$350,MATCH($C24,'PM After Switch'!$A$51:$A$350,0)+12),"")))</f>
        <v/>
      </c>
      <c r="AJ24" s="506">
        <f>IF($B24="Stay at Jump",INDEX('Savings Projection'!$AI$19:$AI$33,14),IF($B24="IC Switch",IFERROR(INDEX('IC Switch Scenarios'!$X$36:$X$170,MATCH($C24,'IC Switch Scenarios'!$A$36:$A$170,0)+13),""),IFERROR(INDEX('PM After Switch'!$AF$51:$AF$350,MATCH($C24,'PM After Switch'!$A$51:$A$350,0)+13),"")))</f>
        <v/>
      </c>
      <c r="AK24" s="506">
        <f>IF($B24="Stay at Jump",INDEX('Savings Projection'!$AI$19:$AI$33,15),IF($B24="IC Switch",IFERROR(INDEX('IC Switch Scenarios'!$X$36:$X$170,MATCH($C24,'IC Switch Scenarios'!$A$36:$A$170,0)+14),""),IFERROR(INDEX('PM After Switch'!$AF$51:$AF$350,MATCH($C24,'PM After Switch'!$A$51:$A$350,0)+14),"")))</f>
        <v/>
      </c>
    </row>
    <row r="25" ht="20" customHeight="1" s="326">
      <c r="A25" s="426">
        <f>$B25&amp;" | "&amp;$C25&amp;" | "&amp;$H25</f>
        <v/>
      </c>
      <c r="B25" s="426" t="inlineStr">
        <is>
          <t>PM After Switch</t>
        </is>
      </c>
      <c r="C25" s="426">
        <f>'PM After Switch'!$A$23</f>
        <v/>
      </c>
      <c r="D25" s="427">
        <f>'PM After Switch'!$B$23</f>
        <v/>
      </c>
      <c r="E25" s="435">
        <f>'PM After Switch'!$C$23</f>
        <v/>
      </c>
      <c r="F25" s="427">
        <f>'PM After Switch'!$D$23</f>
        <v/>
      </c>
      <c r="G25" s="426">
        <f>'PM After Switch'!$E$23</f>
        <v/>
      </c>
      <c r="H25" s="429" t="inlineStr">
        <is>
          <t>Y10</t>
        </is>
      </c>
      <c r="I25" s="436">
        <f>'PM After Switch'!$K$23</f>
        <v/>
      </c>
      <c r="J25" s="436">
        <f>'PM After Switch'!$L$23</f>
        <v/>
      </c>
      <c r="K25" s="436">
        <f>'PM After Switch'!$M$23</f>
        <v/>
      </c>
      <c r="L25" s="436">
        <f>'PM After Switch'!$N$23</f>
        <v/>
      </c>
      <c r="M25" s="436">
        <f>'PM After Switch'!$O$23</f>
        <v/>
      </c>
      <c r="N25" s="436">
        <f>'PM After Switch'!$P$23</f>
        <v/>
      </c>
      <c r="O25" s="436">
        <f>'PM After Switch'!$Q$23</f>
        <v/>
      </c>
      <c r="P25" s="436">
        <f>'PM After Switch'!$R$23</f>
        <v/>
      </c>
      <c r="Q25" s="426">
        <f>'PM After Switch'!$S$23</f>
        <v/>
      </c>
      <c r="R25" s="429">
        <f>'PM After Switch'!$AC$23</f>
        <v/>
      </c>
      <c r="S25" s="429">
        <f>'PM After Switch'!$AD$23</f>
        <v/>
      </c>
      <c r="T25" s="429">
        <f>'PM After Switch'!$AE$23</f>
        <v/>
      </c>
      <c r="U25" s="429">
        <f>'PM After Switch'!$AF$23</f>
        <v/>
      </c>
      <c r="V25" s="505" t="n"/>
      <c r="W25" s="506">
        <f>IF($B25="Stay at Jump",INDEX('Savings Projection'!$AI$19:$AI$33,1),IF($B25="IC Switch",IFERROR(INDEX('IC Switch Scenarios'!$X$36:$X$170,MATCH($C25,'IC Switch Scenarios'!$A$36:$A$170,0)+0),""),IFERROR(INDEX('PM After Switch'!$AF$51:$AF$350,MATCH($C25,'PM After Switch'!$A$51:$A$350,0)+0),"")))</f>
        <v/>
      </c>
      <c r="X25" s="506">
        <f>IF($B25="Stay at Jump",INDEX('Savings Projection'!$AI$19:$AI$33,2),IF($B25="IC Switch",IFERROR(INDEX('IC Switch Scenarios'!$X$36:$X$170,MATCH($C25,'IC Switch Scenarios'!$A$36:$A$170,0)+1),""),IFERROR(INDEX('PM After Switch'!$AF$51:$AF$350,MATCH($C25,'PM After Switch'!$A$51:$A$350,0)+1),"")))</f>
        <v/>
      </c>
      <c r="Y25" s="506">
        <f>IF($B25="Stay at Jump",INDEX('Savings Projection'!$AI$19:$AI$33,3),IF($B25="IC Switch",IFERROR(INDEX('IC Switch Scenarios'!$X$36:$X$170,MATCH($C25,'IC Switch Scenarios'!$A$36:$A$170,0)+2),""),IFERROR(INDEX('PM After Switch'!$AF$51:$AF$350,MATCH($C25,'PM After Switch'!$A$51:$A$350,0)+2),"")))</f>
        <v/>
      </c>
      <c r="Z25" s="506">
        <f>IF($B25="Stay at Jump",INDEX('Savings Projection'!$AI$19:$AI$33,4),IF($B25="IC Switch",IFERROR(INDEX('IC Switch Scenarios'!$X$36:$X$170,MATCH($C25,'IC Switch Scenarios'!$A$36:$A$170,0)+3),""),IFERROR(INDEX('PM After Switch'!$AF$51:$AF$350,MATCH($C25,'PM After Switch'!$A$51:$A$350,0)+3),"")))</f>
        <v/>
      </c>
      <c r="AA25" s="506">
        <f>IF($B25="Stay at Jump",INDEX('Savings Projection'!$AI$19:$AI$33,5),IF($B25="IC Switch",IFERROR(INDEX('IC Switch Scenarios'!$X$36:$X$170,MATCH($C25,'IC Switch Scenarios'!$A$36:$A$170,0)+4),""),IFERROR(INDEX('PM After Switch'!$AF$51:$AF$350,MATCH($C25,'PM After Switch'!$A$51:$A$350,0)+4),"")))</f>
        <v/>
      </c>
      <c r="AB25" s="506">
        <f>IF($B25="Stay at Jump",INDEX('Savings Projection'!$AI$19:$AI$33,6),IF($B25="IC Switch",IFERROR(INDEX('IC Switch Scenarios'!$X$36:$X$170,MATCH($C25,'IC Switch Scenarios'!$A$36:$A$170,0)+5),""),IFERROR(INDEX('PM After Switch'!$AF$51:$AF$350,MATCH($C25,'PM After Switch'!$A$51:$A$350,0)+5),"")))</f>
        <v/>
      </c>
      <c r="AC25" s="506">
        <f>IF($B25="Stay at Jump",INDEX('Savings Projection'!$AI$19:$AI$33,7),IF($B25="IC Switch",IFERROR(INDEX('IC Switch Scenarios'!$X$36:$X$170,MATCH($C25,'IC Switch Scenarios'!$A$36:$A$170,0)+6),""),IFERROR(INDEX('PM After Switch'!$AF$51:$AF$350,MATCH($C25,'PM After Switch'!$A$51:$A$350,0)+6),"")))</f>
        <v/>
      </c>
      <c r="AD25" s="506">
        <f>IF($B25="Stay at Jump",INDEX('Savings Projection'!$AI$19:$AI$33,8),IF($B25="IC Switch",IFERROR(INDEX('IC Switch Scenarios'!$X$36:$X$170,MATCH($C25,'IC Switch Scenarios'!$A$36:$A$170,0)+7),""),IFERROR(INDEX('PM After Switch'!$AF$51:$AF$350,MATCH($C25,'PM After Switch'!$A$51:$A$350,0)+7),"")))</f>
        <v/>
      </c>
      <c r="AE25" s="506">
        <f>IF($B25="Stay at Jump",INDEX('Savings Projection'!$AI$19:$AI$33,9),IF($B25="IC Switch",IFERROR(INDEX('IC Switch Scenarios'!$X$36:$X$170,MATCH($C25,'IC Switch Scenarios'!$A$36:$A$170,0)+8),""),IFERROR(INDEX('PM After Switch'!$AF$51:$AF$350,MATCH($C25,'PM After Switch'!$A$51:$A$350,0)+8),"")))</f>
        <v/>
      </c>
      <c r="AF25" s="506">
        <f>IF($B25="Stay at Jump",INDEX('Savings Projection'!$AI$19:$AI$33,10),IF($B25="IC Switch",IFERROR(INDEX('IC Switch Scenarios'!$X$36:$X$170,MATCH($C25,'IC Switch Scenarios'!$A$36:$A$170,0)+9),""),IFERROR(INDEX('PM After Switch'!$AF$51:$AF$350,MATCH($C25,'PM After Switch'!$A$51:$A$350,0)+9),"")))</f>
        <v/>
      </c>
      <c r="AG25" s="506">
        <f>IF($B25="Stay at Jump",INDEX('Savings Projection'!$AI$19:$AI$33,11),IF($B25="IC Switch",IFERROR(INDEX('IC Switch Scenarios'!$X$36:$X$170,MATCH($C25,'IC Switch Scenarios'!$A$36:$A$170,0)+10),""),IFERROR(INDEX('PM After Switch'!$AF$51:$AF$350,MATCH($C25,'PM After Switch'!$A$51:$A$350,0)+10),"")))</f>
        <v/>
      </c>
      <c r="AH25" s="506">
        <f>IF($B25="Stay at Jump",INDEX('Savings Projection'!$AI$19:$AI$33,12),IF($B25="IC Switch",IFERROR(INDEX('IC Switch Scenarios'!$X$36:$X$170,MATCH($C25,'IC Switch Scenarios'!$A$36:$A$170,0)+11),""),IFERROR(INDEX('PM After Switch'!$AF$51:$AF$350,MATCH($C25,'PM After Switch'!$A$51:$A$350,0)+11),"")))</f>
        <v/>
      </c>
      <c r="AI25" s="506">
        <f>IF($B25="Stay at Jump",INDEX('Savings Projection'!$AI$19:$AI$33,13),IF($B25="IC Switch",IFERROR(INDEX('IC Switch Scenarios'!$X$36:$X$170,MATCH($C25,'IC Switch Scenarios'!$A$36:$A$170,0)+12),""),IFERROR(INDEX('PM After Switch'!$AF$51:$AF$350,MATCH($C25,'PM After Switch'!$A$51:$A$350,0)+12),"")))</f>
        <v/>
      </c>
      <c r="AJ25" s="506">
        <f>IF($B25="Stay at Jump",INDEX('Savings Projection'!$AI$19:$AI$33,14),IF($B25="IC Switch",IFERROR(INDEX('IC Switch Scenarios'!$X$36:$X$170,MATCH($C25,'IC Switch Scenarios'!$A$36:$A$170,0)+13),""),IFERROR(INDEX('PM After Switch'!$AF$51:$AF$350,MATCH($C25,'PM After Switch'!$A$51:$A$350,0)+13),"")))</f>
        <v/>
      </c>
      <c r="AK25" s="506">
        <f>IF($B25="Stay at Jump",INDEX('Savings Projection'!$AI$19:$AI$33,15),IF($B25="IC Switch",IFERROR(INDEX('IC Switch Scenarios'!$X$36:$X$170,MATCH($C25,'IC Switch Scenarios'!$A$36:$A$170,0)+14),""),IFERROR(INDEX('PM After Switch'!$AF$51:$AF$350,MATCH($C25,'PM After Switch'!$A$51:$A$350,0)+14),"")))</f>
        <v/>
      </c>
    </row>
    <row r="26" ht="20" customHeight="1" s="326">
      <c r="A26" s="426">
        <f>$B26&amp;" | "&amp;$C26&amp;" | "&amp;$H26</f>
        <v/>
      </c>
      <c r="B26" s="426" t="inlineStr">
        <is>
          <t>PM After Switch</t>
        </is>
      </c>
      <c r="C26" s="426">
        <f>'PM After Switch'!$A$23</f>
        <v/>
      </c>
      <c r="D26" s="427">
        <f>'PM After Switch'!$B$23</f>
        <v/>
      </c>
      <c r="E26" s="435">
        <f>'PM After Switch'!$C$23</f>
        <v/>
      </c>
      <c r="F26" s="427">
        <f>'PM After Switch'!$D$23</f>
        <v/>
      </c>
      <c r="G26" s="426">
        <f>'PM After Switch'!$E$23</f>
        <v/>
      </c>
      <c r="H26" s="429" t="inlineStr">
        <is>
          <t>Y15</t>
        </is>
      </c>
      <c r="I26" s="436">
        <f>'PM After Switch'!$T$23</f>
        <v/>
      </c>
      <c r="J26" s="436">
        <f>'PM After Switch'!$U$23</f>
        <v/>
      </c>
      <c r="K26" s="436">
        <f>'PM After Switch'!$V$23</f>
        <v/>
      </c>
      <c r="L26" s="436">
        <f>'PM After Switch'!$W$23</f>
        <v/>
      </c>
      <c r="M26" s="436">
        <f>'PM After Switch'!$X$23</f>
        <v/>
      </c>
      <c r="N26" s="436">
        <f>'PM After Switch'!$Y$23</f>
        <v/>
      </c>
      <c r="O26" s="436">
        <f>'PM After Switch'!$Z$23</f>
        <v/>
      </c>
      <c r="P26" s="436">
        <f>'PM After Switch'!$AA$23</f>
        <v/>
      </c>
      <c r="Q26" s="426">
        <f>'PM After Switch'!$AB$23</f>
        <v/>
      </c>
      <c r="R26" s="429">
        <f>'PM After Switch'!$AC$23</f>
        <v/>
      </c>
      <c r="S26" s="429">
        <f>'PM After Switch'!$AD$23</f>
        <v/>
      </c>
      <c r="T26" s="429">
        <f>'PM After Switch'!$AE$23</f>
        <v/>
      </c>
      <c r="U26" s="429">
        <f>'PM After Switch'!$AF$23</f>
        <v/>
      </c>
      <c r="V26" s="505" t="n"/>
      <c r="W26" s="506">
        <f>IF($B26="Stay at Jump",INDEX('Savings Projection'!$AI$19:$AI$33,1),IF($B26="IC Switch",IFERROR(INDEX('IC Switch Scenarios'!$X$36:$X$170,MATCH($C26,'IC Switch Scenarios'!$A$36:$A$170,0)+0),""),IFERROR(INDEX('PM After Switch'!$AF$51:$AF$350,MATCH($C26,'PM After Switch'!$A$51:$A$350,0)+0),"")))</f>
        <v/>
      </c>
      <c r="X26" s="506">
        <f>IF($B26="Stay at Jump",INDEX('Savings Projection'!$AI$19:$AI$33,2),IF($B26="IC Switch",IFERROR(INDEX('IC Switch Scenarios'!$X$36:$X$170,MATCH($C26,'IC Switch Scenarios'!$A$36:$A$170,0)+1),""),IFERROR(INDEX('PM After Switch'!$AF$51:$AF$350,MATCH($C26,'PM After Switch'!$A$51:$A$350,0)+1),"")))</f>
        <v/>
      </c>
      <c r="Y26" s="506">
        <f>IF($B26="Stay at Jump",INDEX('Savings Projection'!$AI$19:$AI$33,3),IF($B26="IC Switch",IFERROR(INDEX('IC Switch Scenarios'!$X$36:$X$170,MATCH($C26,'IC Switch Scenarios'!$A$36:$A$170,0)+2),""),IFERROR(INDEX('PM After Switch'!$AF$51:$AF$350,MATCH($C26,'PM After Switch'!$A$51:$A$350,0)+2),"")))</f>
        <v/>
      </c>
      <c r="Z26" s="506">
        <f>IF($B26="Stay at Jump",INDEX('Savings Projection'!$AI$19:$AI$33,4),IF($B26="IC Switch",IFERROR(INDEX('IC Switch Scenarios'!$X$36:$X$170,MATCH($C26,'IC Switch Scenarios'!$A$36:$A$170,0)+3),""),IFERROR(INDEX('PM After Switch'!$AF$51:$AF$350,MATCH($C26,'PM After Switch'!$A$51:$A$350,0)+3),"")))</f>
        <v/>
      </c>
      <c r="AA26" s="506">
        <f>IF($B26="Stay at Jump",INDEX('Savings Projection'!$AI$19:$AI$33,5),IF($B26="IC Switch",IFERROR(INDEX('IC Switch Scenarios'!$X$36:$X$170,MATCH($C26,'IC Switch Scenarios'!$A$36:$A$170,0)+4),""),IFERROR(INDEX('PM After Switch'!$AF$51:$AF$350,MATCH($C26,'PM After Switch'!$A$51:$A$350,0)+4),"")))</f>
        <v/>
      </c>
      <c r="AB26" s="506">
        <f>IF($B26="Stay at Jump",INDEX('Savings Projection'!$AI$19:$AI$33,6),IF($B26="IC Switch",IFERROR(INDEX('IC Switch Scenarios'!$X$36:$X$170,MATCH($C26,'IC Switch Scenarios'!$A$36:$A$170,0)+5),""),IFERROR(INDEX('PM After Switch'!$AF$51:$AF$350,MATCH($C26,'PM After Switch'!$A$51:$A$350,0)+5),"")))</f>
        <v/>
      </c>
      <c r="AC26" s="506">
        <f>IF($B26="Stay at Jump",INDEX('Savings Projection'!$AI$19:$AI$33,7),IF($B26="IC Switch",IFERROR(INDEX('IC Switch Scenarios'!$X$36:$X$170,MATCH($C26,'IC Switch Scenarios'!$A$36:$A$170,0)+6),""),IFERROR(INDEX('PM After Switch'!$AF$51:$AF$350,MATCH($C26,'PM After Switch'!$A$51:$A$350,0)+6),"")))</f>
        <v/>
      </c>
      <c r="AD26" s="506">
        <f>IF($B26="Stay at Jump",INDEX('Savings Projection'!$AI$19:$AI$33,8),IF($B26="IC Switch",IFERROR(INDEX('IC Switch Scenarios'!$X$36:$X$170,MATCH($C26,'IC Switch Scenarios'!$A$36:$A$170,0)+7),""),IFERROR(INDEX('PM After Switch'!$AF$51:$AF$350,MATCH($C26,'PM After Switch'!$A$51:$A$350,0)+7),"")))</f>
        <v/>
      </c>
      <c r="AE26" s="506">
        <f>IF($B26="Stay at Jump",INDEX('Savings Projection'!$AI$19:$AI$33,9),IF($B26="IC Switch",IFERROR(INDEX('IC Switch Scenarios'!$X$36:$X$170,MATCH($C26,'IC Switch Scenarios'!$A$36:$A$170,0)+8),""),IFERROR(INDEX('PM After Switch'!$AF$51:$AF$350,MATCH($C26,'PM After Switch'!$A$51:$A$350,0)+8),"")))</f>
        <v/>
      </c>
      <c r="AF26" s="506">
        <f>IF($B26="Stay at Jump",INDEX('Savings Projection'!$AI$19:$AI$33,10),IF($B26="IC Switch",IFERROR(INDEX('IC Switch Scenarios'!$X$36:$X$170,MATCH($C26,'IC Switch Scenarios'!$A$36:$A$170,0)+9),""),IFERROR(INDEX('PM After Switch'!$AF$51:$AF$350,MATCH($C26,'PM After Switch'!$A$51:$A$350,0)+9),"")))</f>
        <v/>
      </c>
      <c r="AG26" s="506">
        <f>IF($B26="Stay at Jump",INDEX('Savings Projection'!$AI$19:$AI$33,11),IF($B26="IC Switch",IFERROR(INDEX('IC Switch Scenarios'!$X$36:$X$170,MATCH($C26,'IC Switch Scenarios'!$A$36:$A$170,0)+10),""),IFERROR(INDEX('PM After Switch'!$AF$51:$AF$350,MATCH($C26,'PM After Switch'!$A$51:$A$350,0)+10),"")))</f>
        <v/>
      </c>
      <c r="AH26" s="506">
        <f>IF($B26="Stay at Jump",INDEX('Savings Projection'!$AI$19:$AI$33,12),IF($B26="IC Switch",IFERROR(INDEX('IC Switch Scenarios'!$X$36:$X$170,MATCH($C26,'IC Switch Scenarios'!$A$36:$A$170,0)+11),""),IFERROR(INDEX('PM After Switch'!$AF$51:$AF$350,MATCH($C26,'PM After Switch'!$A$51:$A$350,0)+11),"")))</f>
        <v/>
      </c>
      <c r="AI26" s="506">
        <f>IF($B26="Stay at Jump",INDEX('Savings Projection'!$AI$19:$AI$33,13),IF($B26="IC Switch",IFERROR(INDEX('IC Switch Scenarios'!$X$36:$X$170,MATCH($C26,'IC Switch Scenarios'!$A$36:$A$170,0)+12),""),IFERROR(INDEX('PM After Switch'!$AF$51:$AF$350,MATCH($C26,'PM After Switch'!$A$51:$A$350,0)+12),"")))</f>
        <v/>
      </c>
      <c r="AJ26" s="506">
        <f>IF($B26="Stay at Jump",INDEX('Savings Projection'!$AI$19:$AI$33,14),IF($B26="IC Switch",IFERROR(INDEX('IC Switch Scenarios'!$X$36:$X$170,MATCH($C26,'IC Switch Scenarios'!$A$36:$A$170,0)+13),""),IFERROR(INDEX('PM After Switch'!$AF$51:$AF$350,MATCH($C26,'PM After Switch'!$A$51:$A$350,0)+13),"")))</f>
        <v/>
      </c>
      <c r="AK26" s="506">
        <f>IF($B26="Stay at Jump",INDEX('Savings Projection'!$AI$19:$AI$33,15),IF($B26="IC Switch",IFERROR(INDEX('IC Switch Scenarios'!$X$36:$X$170,MATCH($C26,'IC Switch Scenarios'!$A$36:$A$170,0)+14),""),IFERROR(INDEX('PM After Switch'!$AF$51:$AF$350,MATCH($C26,'PM After Switch'!$A$51:$A$350,0)+14),"")))</f>
        <v/>
      </c>
    </row>
    <row r="27" ht="20" customHeight="1" s="326">
      <c r="A27" s="426">
        <f>$B27&amp;" | "&amp;$C27&amp;" | "&amp;$H27</f>
        <v/>
      </c>
      <c r="B27" s="426" t="inlineStr">
        <is>
          <t>PM After Switch</t>
        </is>
      </c>
      <c r="C27" s="426">
        <f>'PM After Switch'!$A$24</f>
        <v/>
      </c>
      <c r="D27" s="427">
        <f>'PM After Switch'!$B$24</f>
        <v/>
      </c>
      <c r="E27" s="435">
        <f>'PM After Switch'!$C$24</f>
        <v/>
      </c>
      <c r="F27" s="427">
        <f>'PM After Switch'!$D$24</f>
        <v/>
      </c>
      <c r="G27" s="426">
        <f>'PM After Switch'!$E$24</f>
        <v/>
      </c>
      <c r="H27" s="429" t="inlineStr">
        <is>
          <t>Y10</t>
        </is>
      </c>
      <c r="I27" s="436">
        <f>'PM After Switch'!$K$24</f>
        <v/>
      </c>
      <c r="J27" s="436">
        <f>'PM After Switch'!$L$24</f>
        <v/>
      </c>
      <c r="K27" s="436">
        <f>'PM After Switch'!$M$24</f>
        <v/>
      </c>
      <c r="L27" s="436">
        <f>'PM After Switch'!$N$24</f>
        <v/>
      </c>
      <c r="M27" s="436">
        <f>'PM After Switch'!$O$24</f>
        <v/>
      </c>
      <c r="N27" s="436">
        <f>'PM After Switch'!$P$24</f>
        <v/>
      </c>
      <c r="O27" s="436">
        <f>'PM After Switch'!$Q$24</f>
        <v/>
      </c>
      <c r="P27" s="436">
        <f>'PM After Switch'!$R$24</f>
        <v/>
      </c>
      <c r="Q27" s="426">
        <f>'PM After Switch'!$S$24</f>
        <v/>
      </c>
      <c r="R27" s="429">
        <f>'PM After Switch'!$AC$24</f>
        <v/>
      </c>
      <c r="S27" s="429">
        <f>'PM After Switch'!$AD$24</f>
        <v/>
      </c>
      <c r="T27" s="429">
        <f>'PM After Switch'!$AE$24</f>
        <v/>
      </c>
      <c r="U27" s="429">
        <f>'PM After Switch'!$AF$24</f>
        <v/>
      </c>
      <c r="V27" s="505" t="n"/>
      <c r="W27" s="506">
        <f>IF($B27="Stay at Jump",INDEX('Savings Projection'!$AI$19:$AI$33,1),IF($B27="IC Switch",IFERROR(INDEX('IC Switch Scenarios'!$X$36:$X$170,MATCH($C27,'IC Switch Scenarios'!$A$36:$A$170,0)+0),""),IFERROR(INDEX('PM After Switch'!$AF$51:$AF$350,MATCH($C27,'PM After Switch'!$A$51:$A$350,0)+0),"")))</f>
        <v/>
      </c>
      <c r="X27" s="506">
        <f>IF($B27="Stay at Jump",INDEX('Savings Projection'!$AI$19:$AI$33,2),IF($B27="IC Switch",IFERROR(INDEX('IC Switch Scenarios'!$X$36:$X$170,MATCH($C27,'IC Switch Scenarios'!$A$36:$A$170,0)+1),""),IFERROR(INDEX('PM After Switch'!$AF$51:$AF$350,MATCH($C27,'PM After Switch'!$A$51:$A$350,0)+1),"")))</f>
        <v/>
      </c>
      <c r="Y27" s="506">
        <f>IF($B27="Stay at Jump",INDEX('Savings Projection'!$AI$19:$AI$33,3),IF($B27="IC Switch",IFERROR(INDEX('IC Switch Scenarios'!$X$36:$X$170,MATCH($C27,'IC Switch Scenarios'!$A$36:$A$170,0)+2),""),IFERROR(INDEX('PM After Switch'!$AF$51:$AF$350,MATCH($C27,'PM After Switch'!$A$51:$A$350,0)+2),"")))</f>
        <v/>
      </c>
      <c r="Z27" s="506">
        <f>IF($B27="Stay at Jump",INDEX('Savings Projection'!$AI$19:$AI$33,4),IF($B27="IC Switch",IFERROR(INDEX('IC Switch Scenarios'!$X$36:$X$170,MATCH($C27,'IC Switch Scenarios'!$A$36:$A$170,0)+3),""),IFERROR(INDEX('PM After Switch'!$AF$51:$AF$350,MATCH($C27,'PM After Switch'!$A$51:$A$350,0)+3),"")))</f>
        <v/>
      </c>
      <c r="AA27" s="506">
        <f>IF($B27="Stay at Jump",INDEX('Savings Projection'!$AI$19:$AI$33,5),IF($B27="IC Switch",IFERROR(INDEX('IC Switch Scenarios'!$X$36:$X$170,MATCH($C27,'IC Switch Scenarios'!$A$36:$A$170,0)+4),""),IFERROR(INDEX('PM After Switch'!$AF$51:$AF$350,MATCH($C27,'PM After Switch'!$A$51:$A$350,0)+4),"")))</f>
        <v/>
      </c>
      <c r="AB27" s="506">
        <f>IF($B27="Stay at Jump",INDEX('Savings Projection'!$AI$19:$AI$33,6),IF($B27="IC Switch",IFERROR(INDEX('IC Switch Scenarios'!$X$36:$X$170,MATCH($C27,'IC Switch Scenarios'!$A$36:$A$170,0)+5),""),IFERROR(INDEX('PM After Switch'!$AF$51:$AF$350,MATCH($C27,'PM After Switch'!$A$51:$A$350,0)+5),"")))</f>
        <v/>
      </c>
      <c r="AC27" s="506">
        <f>IF($B27="Stay at Jump",INDEX('Savings Projection'!$AI$19:$AI$33,7),IF($B27="IC Switch",IFERROR(INDEX('IC Switch Scenarios'!$X$36:$X$170,MATCH($C27,'IC Switch Scenarios'!$A$36:$A$170,0)+6),""),IFERROR(INDEX('PM After Switch'!$AF$51:$AF$350,MATCH($C27,'PM After Switch'!$A$51:$A$350,0)+6),"")))</f>
        <v/>
      </c>
      <c r="AD27" s="506">
        <f>IF($B27="Stay at Jump",INDEX('Savings Projection'!$AI$19:$AI$33,8),IF($B27="IC Switch",IFERROR(INDEX('IC Switch Scenarios'!$X$36:$X$170,MATCH($C27,'IC Switch Scenarios'!$A$36:$A$170,0)+7),""),IFERROR(INDEX('PM After Switch'!$AF$51:$AF$350,MATCH($C27,'PM After Switch'!$A$51:$A$350,0)+7),"")))</f>
        <v/>
      </c>
      <c r="AE27" s="506">
        <f>IF($B27="Stay at Jump",INDEX('Savings Projection'!$AI$19:$AI$33,9),IF($B27="IC Switch",IFERROR(INDEX('IC Switch Scenarios'!$X$36:$X$170,MATCH($C27,'IC Switch Scenarios'!$A$36:$A$170,0)+8),""),IFERROR(INDEX('PM After Switch'!$AF$51:$AF$350,MATCH($C27,'PM After Switch'!$A$51:$A$350,0)+8),"")))</f>
        <v/>
      </c>
      <c r="AF27" s="506">
        <f>IF($B27="Stay at Jump",INDEX('Savings Projection'!$AI$19:$AI$33,10),IF($B27="IC Switch",IFERROR(INDEX('IC Switch Scenarios'!$X$36:$X$170,MATCH($C27,'IC Switch Scenarios'!$A$36:$A$170,0)+9),""),IFERROR(INDEX('PM After Switch'!$AF$51:$AF$350,MATCH($C27,'PM After Switch'!$A$51:$A$350,0)+9),"")))</f>
        <v/>
      </c>
      <c r="AG27" s="506">
        <f>IF($B27="Stay at Jump",INDEX('Savings Projection'!$AI$19:$AI$33,11),IF($B27="IC Switch",IFERROR(INDEX('IC Switch Scenarios'!$X$36:$X$170,MATCH($C27,'IC Switch Scenarios'!$A$36:$A$170,0)+10),""),IFERROR(INDEX('PM After Switch'!$AF$51:$AF$350,MATCH($C27,'PM After Switch'!$A$51:$A$350,0)+10),"")))</f>
        <v/>
      </c>
      <c r="AH27" s="506">
        <f>IF($B27="Stay at Jump",INDEX('Savings Projection'!$AI$19:$AI$33,12),IF($B27="IC Switch",IFERROR(INDEX('IC Switch Scenarios'!$X$36:$X$170,MATCH($C27,'IC Switch Scenarios'!$A$36:$A$170,0)+11),""),IFERROR(INDEX('PM After Switch'!$AF$51:$AF$350,MATCH($C27,'PM After Switch'!$A$51:$A$350,0)+11),"")))</f>
        <v/>
      </c>
      <c r="AI27" s="506">
        <f>IF($B27="Stay at Jump",INDEX('Savings Projection'!$AI$19:$AI$33,13),IF($B27="IC Switch",IFERROR(INDEX('IC Switch Scenarios'!$X$36:$X$170,MATCH($C27,'IC Switch Scenarios'!$A$36:$A$170,0)+12),""),IFERROR(INDEX('PM After Switch'!$AF$51:$AF$350,MATCH($C27,'PM After Switch'!$A$51:$A$350,0)+12),"")))</f>
        <v/>
      </c>
      <c r="AJ27" s="506">
        <f>IF($B27="Stay at Jump",INDEX('Savings Projection'!$AI$19:$AI$33,14),IF($B27="IC Switch",IFERROR(INDEX('IC Switch Scenarios'!$X$36:$X$170,MATCH($C27,'IC Switch Scenarios'!$A$36:$A$170,0)+13),""),IFERROR(INDEX('PM After Switch'!$AF$51:$AF$350,MATCH($C27,'PM After Switch'!$A$51:$A$350,0)+13),"")))</f>
        <v/>
      </c>
      <c r="AK27" s="506">
        <f>IF($B27="Stay at Jump",INDEX('Savings Projection'!$AI$19:$AI$33,15),IF($B27="IC Switch",IFERROR(INDEX('IC Switch Scenarios'!$X$36:$X$170,MATCH($C27,'IC Switch Scenarios'!$A$36:$A$170,0)+14),""),IFERROR(INDEX('PM After Switch'!$AF$51:$AF$350,MATCH($C27,'PM After Switch'!$A$51:$A$350,0)+14),"")))</f>
        <v/>
      </c>
    </row>
    <row r="28" ht="20" customHeight="1" s="326">
      <c r="A28" s="426">
        <f>$B28&amp;" | "&amp;$C28&amp;" | "&amp;$H28</f>
        <v/>
      </c>
      <c r="B28" s="426" t="inlineStr">
        <is>
          <t>PM After Switch</t>
        </is>
      </c>
      <c r="C28" s="426">
        <f>'PM After Switch'!$A$24</f>
        <v/>
      </c>
      <c r="D28" s="427">
        <f>'PM After Switch'!$B$24</f>
        <v/>
      </c>
      <c r="E28" s="435">
        <f>'PM After Switch'!$C$24</f>
        <v/>
      </c>
      <c r="F28" s="427">
        <f>'PM After Switch'!$D$24</f>
        <v/>
      </c>
      <c r="G28" s="426">
        <f>'PM After Switch'!$E$24</f>
        <v/>
      </c>
      <c r="H28" s="429" t="inlineStr">
        <is>
          <t>Y15</t>
        </is>
      </c>
      <c r="I28" s="436">
        <f>'PM After Switch'!$T$24</f>
        <v/>
      </c>
      <c r="J28" s="436">
        <f>'PM After Switch'!$U$24</f>
        <v/>
      </c>
      <c r="K28" s="436">
        <f>'PM After Switch'!$V$24</f>
        <v/>
      </c>
      <c r="L28" s="436">
        <f>'PM After Switch'!$W$24</f>
        <v/>
      </c>
      <c r="M28" s="436">
        <f>'PM After Switch'!$X$24</f>
        <v/>
      </c>
      <c r="N28" s="436">
        <f>'PM After Switch'!$Y$24</f>
        <v/>
      </c>
      <c r="O28" s="436">
        <f>'PM After Switch'!$Z$24</f>
        <v/>
      </c>
      <c r="P28" s="436">
        <f>'PM After Switch'!$AA$24</f>
        <v/>
      </c>
      <c r="Q28" s="426">
        <f>'PM After Switch'!$AB$24</f>
        <v/>
      </c>
      <c r="R28" s="429">
        <f>'PM After Switch'!$AC$24</f>
        <v/>
      </c>
      <c r="S28" s="429">
        <f>'PM After Switch'!$AD$24</f>
        <v/>
      </c>
      <c r="T28" s="429">
        <f>'PM After Switch'!$AE$24</f>
        <v/>
      </c>
      <c r="U28" s="429">
        <f>'PM After Switch'!$AF$24</f>
        <v/>
      </c>
      <c r="V28" s="505" t="n"/>
      <c r="W28" s="506">
        <f>IF($B28="Stay at Jump",INDEX('Savings Projection'!$AI$19:$AI$33,1),IF($B28="IC Switch",IFERROR(INDEX('IC Switch Scenarios'!$X$36:$X$170,MATCH($C28,'IC Switch Scenarios'!$A$36:$A$170,0)+0),""),IFERROR(INDEX('PM After Switch'!$AF$51:$AF$350,MATCH($C28,'PM After Switch'!$A$51:$A$350,0)+0),"")))</f>
        <v/>
      </c>
      <c r="X28" s="506">
        <f>IF($B28="Stay at Jump",INDEX('Savings Projection'!$AI$19:$AI$33,2),IF($B28="IC Switch",IFERROR(INDEX('IC Switch Scenarios'!$X$36:$X$170,MATCH($C28,'IC Switch Scenarios'!$A$36:$A$170,0)+1),""),IFERROR(INDEX('PM After Switch'!$AF$51:$AF$350,MATCH($C28,'PM After Switch'!$A$51:$A$350,0)+1),"")))</f>
        <v/>
      </c>
      <c r="Y28" s="506">
        <f>IF($B28="Stay at Jump",INDEX('Savings Projection'!$AI$19:$AI$33,3),IF($B28="IC Switch",IFERROR(INDEX('IC Switch Scenarios'!$X$36:$X$170,MATCH($C28,'IC Switch Scenarios'!$A$36:$A$170,0)+2),""),IFERROR(INDEX('PM After Switch'!$AF$51:$AF$350,MATCH($C28,'PM After Switch'!$A$51:$A$350,0)+2),"")))</f>
        <v/>
      </c>
      <c r="Z28" s="506">
        <f>IF($B28="Stay at Jump",INDEX('Savings Projection'!$AI$19:$AI$33,4),IF($B28="IC Switch",IFERROR(INDEX('IC Switch Scenarios'!$X$36:$X$170,MATCH($C28,'IC Switch Scenarios'!$A$36:$A$170,0)+3),""),IFERROR(INDEX('PM After Switch'!$AF$51:$AF$350,MATCH($C28,'PM After Switch'!$A$51:$A$350,0)+3),"")))</f>
        <v/>
      </c>
      <c r="AA28" s="506">
        <f>IF($B28="Stay at Jump",INDEX('Savings Projection'!$AI$19:$AI$33,5),IF($B28="IC Switch",IFERROR(INDEX('IC Switch Scenarios'!$X$36:$X$170,MATCH($C28,'IC Switch Scenarios'!$A$36:$A$170,0)+4),""),IFERROR(INDEX('PM After Switch'!$AF$51:$AF$350,MATCH($C28,'PM After Switch'!$A$51:$A$350,0)+4),"")))</f>
        <v/>
      </c>
      <c r="AB28" s="506">
        <f>IF($B28="Stay at Jump",INDEX('Savings Projection'!$AI$19:$AI$33,6),IF($B28="IC Switch",IFERROR(INDEX('IC Switch Scenarios'!$X$36:$X$170,MATCH($C28,'IC Switch Scenarios'!$A$36:$A$170,0)+5),""),IFERROR(INDEX('PM After Switch'!$AF$51:$AF$350,MATCH($C28,'PM After Switch'!$A$51:$A$350,0)+5),"")))</f>
        <v/>
      </c>
      <c r="AC28" s="506">
        <f>IF($B28="Stay at Jump",INDEX('Savings Projection'!$AI$19:$AI$33,7),IF($B28="IC Switch",IFERROR(INDEX('IC Switch Scenarios'!$X$36:$X$170,MATCH($C28,'IC Switch Scenarios'!$A$36:$A$170,0)+6),""),IFERROR(INDEX('PM After Switch'!$AF$51:$AF$350,MATCH($C28,'PM After Switch'!$A$51:$A$350,0)+6),"")))</f>
        <v/>
      </c>
      <c r="AD28" s="506">
        <f>IF($B28="Stay at Jump",INDEX('Savings Projection'!$AI$19:$AI$33,8),IF($B28="IC Switch",IFERROR(INDEX('IC Switch Scenarios'!$X$36:$X$170,MATCH($C28,'IC Switch Scenarios'!$A$36:$A$170,0)+7),""),IFERROR(INDEX('PM After Switch'!$AF$51:$AF$350,MATCH($C28,'PM After Switch'!$A$51:$A$350,0)+7),"")))</f>
        <v/>
      </c>
      <c r="AE28" s="506">
        <f>IF($B28="Stay at Jump",INDEX('Savings Projection'!$AI$19:$AI$33,9),IF($B28="IC Switch",IFERROR(INDEX('IC Switch Scenarios'!$X$36:$X$170,MATCH($C28,'IC Switch Scenarios'!$A$36:$A$170,0)+8),""),IFERROR(INDEX('PM After Switch'!$AF$51:$AF$350,MATCH($C28,'PM After Switch'!$A$51:$A$350,0)+8),"")))</f>
        <v/>
      </c>
      <c r="AF28" s="506">
        <f>IF($B28="Stay at Jump",INDEX('Savings Projection'!$AI$19:$AI$33,10),IF($B28="IC Switch",IFERROR(INDEX('IC Switch Scenarios'!$X$36:$X$170,MATCH($C28,'IC Switch Scenarios'!$A$36:$A$170,0)+9),""),IFERROR(INDEX('PM After Switch'!$AF$51:$AF$350,MATCH($C28,'PM After Switch'!$A$51:$A$350,0)+9),"")))</f>
        <v/>
      </c>
      <c r="AG28" s="506">
        <f>IF($B28="Stay at Jump",INDEX('Savings Projection'!$AI$19:$AI$33,11),IF($B28="IC Switch",IFERROR(INDEX('IC Switch Scenarios'!$X$36:$X$170,MATCH($C28,'IC Switch Scenarios'!$A$36:$A$170,0)+10),""),IFERROR(INDEX('PM After Switch'!$AF$51:$AF$350,MATCH($C28,'PM After Switch'!$A$51:$A$350,0)+10),"")))</f>
        <v/>
      </c>
      <c r="AH28" s="506">
        <f>IF($B28="Stay at Jump",INDEX('Savings Projection'!$AI$19:$AI$33,12),IF($B28="IC Switch",IFERROR(INDEX('IC Switch Scenarios'!$X$36:$X$170,MATCH($C28,'IC Switch Scenarios'!$A$36:$A$170,0)+11),""),IFERROR(INDEX('PM After Switch'!$AF$51:$AF$350,MATCH($C28,'PM After Switch'!$A$51:$A$350,0)+11),"")))</f>
        <v/>
      </c>
      <c r="AI28" s="506">
        <f>IF($B28="Stay at Jump",INDEX('Savings Projection'!$AI$19:$AI$33,13),IF($B28="IC Switch",IFERROR(INDEX('IC Switch Scenarios'!$X$36:$X$170,MATCH($C28,'IC Switch Scenarios'!$A$36:$A$170,0)+12),""),IFERROR(INDEX('PM After Switch'!$AF$51:$AF$350,MATCH($C28,'PM After Switch'!$A$51:$A$350,0)+12),"")))</f>
        <v/>
      </c>
      <c r="AJ28" s="506">
        <f>IF($B28="Stay at Jump",INDEX('Savings Projection'!$AI$19:$AI$33,14),IF($B28="IC Switch",IFERROR(INDEX('IC Switch Scenarios'!$X$36:$X$170,MATCH($C28,'IC Switch Scenarios'!$A$36:$A$170,0)+13),""),IFERROR(INDEX('PM After Switch'!$AF$51:$AF$350,MATCH($C28,'PM After Switch'!$A$51:$A$350,0)+13),"")))</f>
        <v/>
      </c>
      <c r="AK28" s="506">
        <f>IF($B28="Stay at Jump",INDEX('Savings Projection'!$AI$19:$AI$33,15),IF($B28="IC Switch",IFERROR(INDEX('IC Switch Scenarios'!$X$36:$X$170,MATCH($C28,'IC Switch Scenarios'!$A$36:$A$170,0)+14),""),IFERROR(INDEX('PM After Switch'!$AF$51:$AF$350,MATCH($C28,'PM After Switch'!$A$51:$A$350,0)+14),"")))</f>
        <v/>
      </c>
    </row>
    <row r="29" ht="20" customHeight="1" s="326">
      <c r="A29" s="426">
        <f>$B29&amp;" | "&amp;$C29&amp;" | "&amp;$H29</f>
        <v/>
      </c>
      <c r="B29" s="426" t="inlineStr">
        <is>
          <t>PM After Switch</t>
        </is>
      </c>
      <c r="C29" s="426">
        <f>'PM After Switch'!$A$25</f>
        <v/>
      </c>
      <c r="D29" s="427">
        <f>'PM After Switch'!$B$25</f>
        <v/>
      </c>
      <c r="E29" s="435">
        <f>'PM After Switch'!$C$25</f>
        <v/>
      </c>
      <c r="F29" s="427">
        <f>'PM After Switch'!$D$25</f>
        <v/>
      </c>
      <c r="G29" s="426">
        <f>'PM After Switch'!$E$25</f>
        <v/>
      </c>
      <c r="H29" s="429" t="inlineStr">
        <is>
          <t>Y10</t>
        </is>
      </c>
      <c r="I29" s="436">
        <f>'PM After Switch'!$K$25</f>
        <v/>
      </c>
      <c r="J29" s="436">
        <f>'PM After Switch'!$L$25</f>
        <v/>
      </c>
      <c r="K29" s="436">
        <f>'PM After Switch'!$M$25</f>
        <v/>
      </c>
      <c r="L29" s="436">
        <f>'PM After Switch'!$N$25</f>
        <v/>
      </c>
      <c r="M29" s="436">
        <f>'PM After Switch'!$O$25</f>
        <v/>
      </c>
      <c r="N29" s="436">
        <f>'PM After Switch'!$P$25</f>
        <v/>
      </c>
      <c r="O29" s="436">
        <f>'PM After Switch'!$Q$25</f>
        <v/>
      </c>
      <c r="P29" s="436">
        <f>'PM After Switch'!$R$25</f>
        <v/>
      </c>
      <c r="Q29" s="426">
        <f>'PM After Switch'!$S$25</f>
        <v/>
      </c>
      <c r="R29" s="429">
        <f>'PM After Switch'!$AC$25</f>
        <v/>
      </c>
      <c r="S29" s="429">
        <f>'PM After Switch'!$AD$25</f>
        <v/>
      </c>
      <c r="T29" s="429">
        <f>'PM After Switch'!$AE$25</f>
        <v/>
      </c>
      <c r="U29" s="429">
        <f>'PM After Switch'!$AF$25</f>
        <v/>
      </c>
      <c r="V29" s="505" t="n"/>
      <c r="W29" s="506">
        <f>IF($B29="Stay at Jump",INDEX('Savings Projection'!$AI$19:$AI$33,1),IF($B29="IC Switch",IFERROR(INDEX('IC Switch Scenarios'!$X$36:$X$170,MATCH($C29,'IC Switch Scenarios'!$A$36:$A$170,0)+0),""),IFERROR(INDEX('PM After Switch'!$AF$51:$AF$350,MATCH($C29,'PM After Switch'!$A$51:$A$350,0)+0),"")))</f>
        <v/>
      </c>
      <c r="X29" s="506">
        <f>IF($B29="Stay at Jump",INDEX('Savings Projection'!$AI$19:$AI$33,2),IF($B29="IC Switch",IFERROR(INDEX('IC Switch Scenarios'!$X$36:$X$170,MATCH($C29,'IC Switch Scenarios'!$A$36:$A$170,0)+1),""),IFERROR(INDEX('PM After Switch'!$AF$51:$AF$350,MATCH($C29,'PM After Switch'!$A$51:$A$350,0)+1),"")))</f>
        <v/>
      </c>
      <c r="Y29" s="506">
        <f>IF($B29="Stay at Jump",INDEX('Savings Projection'!$AI$19:$AI$33,3),IF($B29="IC Switch",IFERROR(INDEX('IC Switch Scenarios'!$X$36:$X$170,MATCH($C29,'IC Switch Scenarios'!$A$36:$A$170,0)+2),""),IFERROR(INDEX('PM After Switch'!$AF$51:$AF$350,MATCH($C29,'PM After Switch'!$A$51:$A$350,0)+2),"")))</f>
        <v/>
      </c>
      <c r="Z29" s="506">
        <f>IF($B29="Stay at Jump",INDEX('Savings Projection'!$AI$19:$AI$33,4),IF($B29="IC Switch",IFERROR(INDEX('IC Switch Scenarios'!$X$36:$X$170,MATCH($C29,'IC Switch Scenarios'!$A$36:$A$170,0)+3),""),IFERROR(INDEX('PM After Switch'!$AF$51:$AF$350,MATCH($C29,'PM After Switch'!$A$51:$A$350,0)+3),"")))</f>
        <v/>
      </c>
      <c r="AA29" s="506">
        <f>IF($B29="Stay at Jump",INDEX('Savings Projection'!$AI$19:$AI$33,5),IF($B29="IC Switch",IFERROR(INDEX('IC Switch Scenarios'!$X$36:$X$170,MATCH($C29,'IC Switch Scenarios'!$A$36:$A$170,0)+4),""),IFERROR(INDEX('PM After Switch'!$AF$51:$AF$350,MATCH($C29,'PM After Switch'!$A$51:$A$350,0)+4),"")))</f>
        <v/>
      </c>
      <c r="AB29" s="506">
        <f>IF($B29="Stay at Jump",INDEX('Savings Projection'!$AI$19:$AI$33,6),IF($B29="IC Switch",IFERROR(INDEX('IC Switch Scenarios'!$X$36:$X$170,MATCH($C29,'IC Switch Scenarios'!$A$36:$A$170,0)+5),""),IFERROR(INDEX('PM After Switch'!$AF$51:$AF$350,MATCH($C29,'PM After Switch'!$A$51:$A$350,0)+5),"")))</f>
        <v/>
      </c>
      <c r="AC29" s="506">
        <f>IF($B29="Stay at Jump",INDEX('Savings Projection'!$AI$19:$AI$33,7),IF($B29="IC Switch",IFERROR(INDEX('IC Switch Scenarios'!$X$36:$X$170,MATCH($C29,'IC Switch Scenarios'!$A$36:$A$170,0)+6),""),IFERROR(INDEX('PM After Switch'!$AF$51:$AF$350,MATCH($C29,'PM After Switch'!$A$51:$A$350,0)+6),"")))</f>
        <v/>
      </c>
      <c r="AD29" s="506">
        <f>IF($B29="Stay at Jump",INDEX('Savings Projection'!$AI$19:$AI$33,8),IF($B29="IC Switch",IFERROR(INDEX('IC Switch Scenarios'!$X$36:$X$170,MATCH($C29,'IC Switch Scenarios'!$A$36:$A$170,0)+7),""),IFERROR(INDEX('PM After Switch'!$AF$51:$AF$350,MATCH($C29,'PM After Switch'!$A$51:$A$350,0)+7),"")))</f>
        <v/>
      </c>
      <c r="AE29" s="506">
        <f>IF($B29="Stay at Jump",INDEX('Savings Projection'!$AI$19:$AI$33,9),IF($B29="IC Switch",IFERROR(INDEX('IC Switch Scenarios'!$X$36:$X$170,MATCH($C29,'IC Switch Scenarios'!$A$36:$A$170,0)+8),""),IFERROR(INDEX('PM After Switch'!$AF$51:$AF$350,MATCH($C29,'PM After Switch'!$A$51:$A$350,0)+8),"")))</f>
        <v/>
      </c>
      <c r="AF29" s="506">
        <f>IF($B29="Stay at Jump",INDEX('Savings Projection'!$AI$19:$AI$33,10),IF($B29="IC Switch",IFERROR(INDEX('IC Switch Scenarios'!$X$36:$X$170,MATCH($C29,'IC Switch Scenarios'!$A$36:$A$170,0)+9),""),IFERROR(INDEX('PM After Switch'!$AF$51:$AF$350,MATCH($C29,'PM After Switch'!$A$51:$A$350,0)+9),"")))</f>
        <v/>
      </c>
      <c r="AG29" s="506">
        <f>IF($B29="Stay at Jump",INDEX('Savings Projection'!$AI$19:$AI$33,11),IF($B29="IC Switch",IFERROR(INDEX('IC Switch Scenarios'!$X$36:$X$170,MATCH($C29,'IC Switch Scenarios'!$A$36:$A$170,0)+10),""),IFERROR(INDEX('PM After Switch'!$AF$51:$AF$350,MATCH($C29,'PM After Switch'!$A$51:$A$350,0)+10),"")))</f>
        <v/>
      </c>
      <c r="AH29" s="506">
        <f>IF($B29="Stay at Jump",INDEX('Savings Projection'!$AI$19:$AI$33,12),IF($B29="IC Switch",IFERROR(INDEX('IC Switch Scenarios'!$X$36:$X$170,MATCH($C29,'IC Switch Scenarios'!$A$36:$A$170,0)+11),""),IFERROR(INDEX('PM After Switch'!$AF$51:$AF$350,MATCH($C29,'PM After Switch'!$A$51:$A$350,0)+11),"")))</f>
        <v/>
      </c>
      <c r="AI29" s="506">
        <f>IF($B29="Stay at Jump",INDEX('Savings Projection'!$AI$19:$AI$33,13),IF($B29="IC Switch",IFERROR(INDEX('IC Switch Scenarios'!$X$36:$X$170,MATCH($C29,'IC Switch Scenarios'!$A$36:$A$170,0)+12),""),IFERROR(INDEX('PM After Switch'!$AF$51:$AF$350,MATCH($C29,'PM After Switch'!$A$51:$A$350,0)+12),"")))</f>
        <v/>
      </c>
      <c r="AJ29" s="506">
        <f>IF($B29="Stay at Jump",INDEX('Savings Projection'!$AI$19:$AI$33,14),IF($B29="IC Switch",IFERROR(INDEX('IC Switch Scenarios'!$X$36:$X$170,MATCH($C29,'IC Switch Scenarios'!$A$36:$A$170,0)+13),""),IFERROR(INDEX('PM After Switch'!$AF$51:$AF$350,MATCH($C29,'PM After Switch'!$A$51:$A$350,0)+13),"")))</f>
        <v/>
      </c>
      <c r="AK29" s="506">
        <f>IF($B29="Stay at Jump",INDEX('Savings Projection'!$AI$19:$AI$33,15),IF($B29="IC Switch",IFERROR(INDEX('IC Switch Scenarios'!$X$36:$X$170,MATCH($C29,'IC Switch Scenarios'!$A$36:$A$170,0)+14),""),IFERROR(INDEX('PM After Switch'!$AF$51:$AF$350,MATCH($C29,'PM After Switch'!$A$51:$A$350,0)+14),"")))</f>
        <v/>
      </c>
    </row>
    <row r="30" ht="20" customHeight="1" s="326">
      <c r="A30" s="426">
        <f>$B30&amp;" | "&amp;$C30&amp;" | "&amp;$H30</f>
        <v/>
      </c>
      <c r="B30" s="426" t="inlineStr">
        <is>
          <t>PM After Switch</t>
        </is>
      </c>
      <c r="C30" s="426">
        <f>'PM After Switch'!$A$25</f>
        <v/>
      </c>
      <c r="D30" s="427">
        <f>'PM After Switch'!$B$25</f>
        <v/>
      </c>
      <c r="E30" s="435">
        <f>'PM After Switch'!$C$25</f>
        <v/>
      </c>
      <c r="F30" s="427">
        <f>'PM After Switch'!$D$25</f>
        <v/>
      </c>
      <c r="G30" s="426">
        <f>'PM After Switch'!$E$25</f>
        <v/>
      </c>
      <c r="H30" s="429" t="inlineStr">
        <is>
          <t>Y15</t>
        </is>
      </c>
      <c r="I30" s="436">
        <f>'PM After Switch'!$T$25</f>
        <v/>
      </c>
      <c r="J30" s="436">
        <f>'PM After Switch'!$U$25</f>
        <v/>
      </c>
      <c r="K30" s="436">
        <f>'PM After Switch'!$V$25</f>
        <v/>
      </c>
      <c r="L30" s="436">
        <f>'PM After Switch'!$W$25</f>
        <v/>
      </c>
      <c r="M30" s="436">
        <f>'PM After Switch'!$X$25</f>
        <v/>
      </c>
      <c r="N30" s="436">
        <f>'PM After Switch'!$Y$25</f>
        <v/>
      </c>
      <c r="O30" s="436">
        <f>'PM After Switch'!$Z$25</f>
        <v/>
      </c>
      <c r="P30" s="436">
        <f>'PM After Switch'!$AA$25</f>
        <v/>
      </c>
      <c r="Q30" s="426">
        <f>'PM After Switch'!$AB$25</f>
        <v/>
      </c>
      <c r="R30" s="429">
        <f>'PM After Switch'!$AC$25</f>
        <v/>
      </c>
      <c r="S30" s="429">
        <f>'PM After Switch'!$AD$25</f>
        <v/>
      </c>
      <c r="T30" s="429">
        <f>'PM After Switch'!$AE$25</f>
        <v/>
      </c>
      <c r="U30" s="429">
        <f>'PM After Switch'!$AF$25</f>
        <v/>
      </c>
      <c r="V30" s="505" t="n"/>
      <c r="W30" s="506">
        <f>IF($B30="Stay at Jump",INDEX('Savings Projection'!$AI$19:$AI$33,1),IF($B30="IC Switch",IFERROR(INDEX('IC Switch Scenarios'!$X$36:$X$170,MATCH($C30,'IC Switch Scenarios'!$A$36:$A$170,0)+0),""),IFERROR(INDEX('PM After Switch'!$AF$51:$AF$350,MATCH($C30,'PM After Switch'!$A$51:$A$350,0)+0),"")))</f>
        <v/>
      </c>
      <c r="X30" s="506">
        <f>IF($B30="Stay at Jump",INDEX('Savings Projection'!$AI$19:$AI$33,2),IF($B30="IC Switch",IFERROR(INDEX('IC Switch Scenarios'!$X$36:$X$170,MATCH($C30,'IC Switch Scenarios'!$A$36:$A$170,0)+1),""),IFERROR(INDEX('PM After Switch'!$AF$51:$AF$350,MATCH($C30,'PM After Switch'!$A$51:$A$350,0)+1),"")))</f>
        <v/>
      </c>
      <c r="Y30" s="506">
        <f>IF($B30="Stay at Jump",INDEX('Savings Projection'!$AI$19:$AI$33,3),IF($B30="IC Switch",IFERROR(INDEX('IC Switch Scenarios'!$X$36:$X$170,MATCH($C30,'IC Switch Scenarios'!$A$36:$A$170,0)+2),""),IFERROR(INDEX('PM After Switch'!$AF$51:$AF$350,MATCH($C30,'PM After Switch'!$A$51:$A$350,0)+2),"")))</f>
        <v/>
      </c>
      <c r="Z30" s="506">
        <f>IF($B30="Stay at Jump",INDEX('Savings Projection'!$AI$19:$AI$33,4),IF($B30="IC Switch",IFERROR(INDEX('IC Switch Scenarios'!$X$36:$X$170,MATCH($C30,'IC Switch Scenarios'!$A$36:$A$170,0)+3),""),IFERROR(INDEX('PM After Switch'!$AF$51:$AF$350,MATCH($C30,'PM After Switch'!$A$51:$A$350,0)+3),"")))</f>
        <v/>
      </c>
      <c r="AA30" s="506">
        <f>IF($B30="Stay at Jump",INDEX('Savings Projection'!$AI$19:$AI$33,5),IF($B30="IC Switch",IFERROR(INDEX('IC Switch Scenarios'!$X$36:$X$170,MATCH($C30,'IC Switch Scenarios'!$A$36:$A$170,0)+4),""),IFERROR(INDEX('PM After Switch'!$AF$51:$AF$350,MATCH($C30,'PM After Switch'!$A$51:$A$350,0)+4),"")))</f>
        <v/>
      </c>
      <c r="AB30" s="506">
        <f>IF($B30="Stay at Jump",INDEX('Savings Projection'!$AI$19:$AI$33,6),IF($B30="IC Switch",IFERROR(INDEX('IC Switch Scenarios'!$X$36:$X$170,MATCH($C30,'IC Switch Scenarios'!$A$36:$A$170,0)+5),""),IFERROR(INDEX('PM After Switch'!$AF$51:$AF$350,MATCH($C30,'PM After Switch'!$A$51:$A$350,0)+5),"")))</f>
        <v/>
      </c>
      <c r="AC30" s="506">
        <f>IF($B30="Stay at Jump",INDEX('Savings Projection'!$AI$19:$AI$33,7),IF($B30="IC Switch",IFERROR(INDEX('IC Switch Scenarios'!$X$36:$X$170,MATCH($C30,'IC Switch Scenarios'!$A$36:$A$170,0)+6),""),IFERROR(INDEX('PM After Switch'!$AF$51:$AF$350,MATCH($C30,'PM After Switch'!$A$51:$A$350,0)+6),"")))</f>
        <v/>
      </c>
      <c r="AD30" s="506">
        <f>IF($B30="Stay at Jump",INDEX('Savings Projection'!$AI$19:$AI$33,8),IF($B30="IC Switch",IFERROR(INDEX('IC Switch Scenarios'!$X$36:$X$170,MATCH($C30,'IC Switch Scenarios'!$A$36:$A$170,0)+7),""),IFERROR(INDEX('PM After Switch'!$AF$51:$AF$350,MATCH($C30,'PM After Switch'!$A$51:$A$350,0)+7),"")))</f>
        <v/>
      </c>
      <c r="AE30" s="506">
        <f>IF($B30="Stay at Jump",INDEX('Savings Projection'!$AI$19:$AI$33,9),IF($B30="IC Switch",IFERROR(INDEX('IC Switch Scenarios'!$X$36:$X$170,MATCH($C30,'IC Switch Scenarios'!$A$36:$A$170,0)+8),""),IFERROR(INDEX('PM After Switch'!$AF$51:$AF$350,MATCH($C30,'PM After Switch'!$A$51:$A$350,0)+8),"")))</f>
        <v/>
      </c>
      <c r="AF30" s="506">
        <f>IF($B30="Stay at Jump",INDEX('Savings Projection'!$AI$19:$AI$33,10),IF($B30="IC Switch",IFERROR(INDEX('IC Switch Scenarios'!$X$36:$X$170,MATCH($C30,'IC Switch Scenarios'!$A$36:$A$170,0)+9),""),IFERROR(INDEX('PM After Switch'!$AF$51:$AF$350,MATCH($C30,'PM After Switch'!$A$51:$A$350,0)+9),"")))</f>
        <v/>
      </c>
      <c r="AG30" s="506">
        <f>IF($B30="Stay at Jump",INDEX('Savings Projection'!$AI$19:$AI$33,11),IF($B30="IC Switch",IFERROR(INDEX('IC Switch Scenarios'!$X$36:$X$170,MATCH($C30,'IC Switch Scenarios'!$A$36:$A$170,0)+10),""),IFERROR(INDEX('PM After Switch'!$AF$51:$AF$350,MATCH($C30,'PM After Switch'!$A$51:$A$350,0)+10),"")))</f>
        <v/>
      </c>
      <c r="AH30" s="506">
        <f>IF($B30="Stay at Jump",INDEX('Savings Projection'!$AI$19:$AI$33,12),IF($B30="IC Switch",IFERROR(INDEX('IC Switch Scenarios'!$X$36:$X$170,MATCH($C30,'IC Switch Scenarios'!$A$36:$A$170,0)+11),""),IFERROR(INDEX('PM After Switch'!$AF$51:$AF$350,MATCH($C30,'PM After Switch'!$A$51:$A$350,0)+11),"")))</f>
        <v/>
      </c>
      <c r="AI30" s="506">
        <f>IF($B30="Stay at Jump",INDEX('Savings Projection'!$AI$19:$AI$33,13),IF($B30="IC Switch",IFERROR(INDEX('IC Switch Scenarios'!$X$36:$X$170,MATCH($C30,'IC Switch Scenarios'!$A$36:$A$170,0)+12),""),IFERROR(INDEX('PM After Switch'!$AF$51:$AF$350,MATCH($C30,'PM After Switch'!$A$51:$A$350,0)+12),"")))</f>
        <v/>
      </c>
      <c r="AJ30" s="506">
        <f>IF($B30="Stay at Jump",INDEX('Savings Projection'!$AI$19:$AI$33,14),IF($B30="IC Switch",IFERROR(INDEX('IC Switch Scenarios'!$X$36:$X$170,MATCH($C30,'IC Switch Scenarios'!$A$36:$A$170,0)+13),""),IFERROR(INDEX('PM After Switch'!$AF$51:$AF$350,MATCH($C30,'PM After Switch'!$A$51:$A$350,0)+13),"")))</f>
        <v/>
      </c>
      <c r="AK30" s="506">
        <f>IF($B30="Stay at Jump",INDEX('Savings Projection'!$AI$19:$AI$33,15),IF($B30="IC Switch",IFERROR(INDEX('IC Switch Scenarios'!$X$36:$X$170,MATCH($C30,'IC Switch Scenarios'!$A$36:$A$170,0)+14),""),IFERROR(INDEX('PM After Switch'!$AF$51:$AF$350,MATCH($C30,'PM After Switch'!$A$51:$A$350,0)+14),"")))</f>
        <v/>
      </c>
    </row>
    <row r="31" ht="20" customHeight="1" s="326">
      <c r="A31" s="426">
        <f>$B31&amp;" | "&amp;$C31&amp;" | "&amp;$H31</f>
        <v/>
      </c>
      <c r="B31" s="426" t="inlineStr">
        <is>
          <t>PM After Switch</t>
        </is>
      </c>
      <c r="C31" s="426">
        <f>'PM After Switch'!$A$26</f>
        <v/>
      </c>
      <c r="D31" s="427">
        <f>'PM After Switch'!$B$26</f>
        <v/>
      </c>
      <c r="E31" s="435">
        <f>'PM After Switch'!$C$26</f>
        <v/>
      </c>
      <c r="F31" s="427">
        <f>'PM After Switch'!$D$26</f>
        <v/>
      </c>
      <c r="G31" s="426">
        <f>'PM After Switch'!$E$26</f>
        <v/>
      </c>
      <c r="H31" s="429" t="inlineStr">
        <is>
          <t>Y10</t>
        </is>
      </c>
      <c r="I31" s="436">
        <f>'PM After Switch'!$K$26</f>
        <v/>
      </c>
      <c r="J31" s="436">
        <f>'PM After Switch'!$L$26</f>
        <v/>
      </c>
      <c r="K31" s="436">
        <f>'PM After Switch'!$M$26</f>
        <v/>
      </c>
      <c r="L31" s="436">
        <f>'PM After Switch'!$N$26</f>
        <v/>
      </c>
      <c r="M31" s="436">
        <f>'PM After Switch'!$O$26</f>
        <v/>
      </c>
      <c r="N31" s="436">
        <f>'PM After Switch'!$P$26</f>
        <v/>
      </c>
      <c r="O31" s="436">
        <f>'PM After Switch'!$Q$26</f>
        <v/>
      </c>
      <c r="P31" s="436">
        <f>'PM After Switch'!$R$26</f>
        <v/>
      </c>
      <c r="Q31" s="426">
        <f>'PM After Switch'!$S$26</f>
        <v/>
      </c>
      <c r="R31" s="429">
        <f>'PM After Switch'!$AC$26</f>
        <v/>
      </c>
      <c r="S31" s="429">
        <f>'PM After Switch'!$AD$26</f>
        <v/>
      </c>
      <c r="T31" s="429">
        <f>'PM After Switch'!$AE$26</f>
        <v/>
      </c>
      <c r="U31" s="429">
        <f>'PM After Switch'!$AF$26</f>
        <v/>
      </c>
      <c r="V31" s="505" t="n"/>
      <c r="W31" s="506">
        <f>IF($B31="Stay at Jump",INDEX('Savings Projection'!$AI$19:$AI$33,1),IF($B31="IC Switch",IFERROR(INDEX('IC Switch Scenarios'!$X$36:$X$170,MATCH($C31,'IC Switch Scenarios'!$A$36:$A$170,0)+0),""),IFERROR(INDEX('PM After Switch'!$AF$51:$AF$350,MATCH($C31,'PM After Switch'!$A$51:$A$350,0)+0),"")))</f>
        <v/>
      </c>
      <c r="X31" s="506">
        <f>IF($B31="Stay at Jump",INDEX('Savings Projection'!$AI$19:$AI$33,2),IF($B31="IC Switch",IFERROR(INDEX('IC Switch Scenarios'!$X$36:$X$170,MATCH($C31,'IC Switch Scenarios'!$A$36:$A$170,0)+1),""),IFERROR(INDEX('PM After Switch'!$AF$51:$AF$350,MATCH($C31,'PM After Switch'!$A$51:$A$350,0)+1),"")))</f>
        <v/>
      </c>
      <c r="Y31" s="506">
        <f>IF($B31="Stay at Jump",INDEX('Savings Projection'!$AI$19:$AI$33,3),IF($B31="IC Switch",IFERROR(INDEX('IC Switch Scenarios'!$X$36:$X$170,MATCH($C31,'IC Switch Scenarios'!$A$36:$A$170,0)+2),""),IFERROR(INDEX('PM After Switch'!$AF$51:$AF$350,MATCH($C31,'PM After Switch'!$A$51:$A$350,0)+2),"")))</f>
        <v/>
      </c>
      <c r="Z31" s="506">
        <f>IF($B31="Stay at Jump",INDEX('Savings Projection'!$AI$19:$AI$33,4),IF($B31="IC Switch",IFERROR(INDEX('IC Switch Scenarios'!$X$36:$X$170,MATCH($C31,'IC Switch Scenarios'!$A$36:$A$170,0)+3),""),IFERROR(INDEX('PM After Switch'!$AF$51:$AF$350,MATCH($C31,'PM After Switch'!$A$51:$A$350,0)+3),"")))</f>
        <v/>
      </c>
      <c r="AA31" s="506">
        <f>IF($B31="Stay at Jump",INDEX('Savings Projection'!$AI$19:$AI$33,5),IF($B31="IC Switch",IFERROR(INDEX('IC Switch Scenarios'!$X$36:$X$170,MATCH($C31,'IC Switch Scenarios'!$A$36:$A$170,0)+4),""),IFERROR(INDEX('PM After Switch'!$AF$51:$AF$350,MATCH($C31,'PM After Switch'!$A$51:$A$350,0)+4),"")))</f>
        <v/>
      </c>
      <c r="AB31" s="506">
        <f>IF($B31="Stay at Jump",INDEX('Savings Projection'!$AI$19:$AI$33,6),IF($B31="IC Switch",IFERROR(INDEX('IC Switch Scenarios'!$X$36:$X$170,MATCH($C31,'IC Switch Scenarios'!$A$36:$A$170,0)+5),""),IFERROR(INDEX('PM After Switch'!$AF$51:$AF$350,MATCH($C31,'PM After Switch'!$A$51:$A$350,0)+5),"")))</f>
        <v/>
      </c>
      <c r="AC31" s="506">
        <f>IF($B31="Stay at Jump",INDEX('Savings Projection'!$AI$19:$AI$33,7),IF($B31="IC Switch",IFERROR(INDEX('IC Switch Scenarios'!$X$36:$X$170,MATCH($C31,'IC Switch Scenarios'!$A$36:$A$170,0)+6),""),IFERROR(INDEX('PM After Switch'!$AF$51:$AF$350,MATCH($C31,'PM After Switch'!$A$51:$A$350,0)+6),"")))</f>
        <v/>
      </c>
      <c r="AD31" s="506">
        <f>IF($B31="Stay at Jump",INDEX('Savings Projection'!$AI$19:$AI$33,8),IF($B31="IC Switch",IFERROR(INDEX('IC Switch Scenarios'!$X$36:$X$170,MATCH($C31,'IC Switch Scenarios'!$A$36:$A$170,0)+7),""),IFERROR(INDEX('PM After Switch'!$AF$51:$AF$350,MATCH($C31,'PM After Switch'!$A$51:$A$350,0)+7),"")))</f>
        <v/>
      </c>
      <c r="AE31" s="506">
        <f>IF($B31="Stay at Jump",INDEX('Savings Projection'!$AI$19:$AI$33,9),IF($B31="IC Switch",IFERROR(INDEX('IC Switch Scenarios'!$X$36:$X$170,MATCH($C31,'IC Switch Scenarios'!$A$36:$A$170,0)+8),""),IFERROR(INDEX('PM After Switch'!$AF$51:$AF$350,MATCH($C31,'PM After Switch'!$A$51:$A$350,0)+8),"")))</f>
        <v/>
      </c>
      <c r="AF31" s="506">
        <f>IF($B31="Stay at Jump",INDEX('Savings Projection'!$AI$19:$AI$33,10),IF($B31="IC Switch",IFERROR(INDEX('IC Switch Scenarios'!$X$36:$X$170,MATCH($C31,'IC Switch Scenarios'!$A$36:$A$170,0)+9),""),IFERROR(INDEX('PM After Switch'!$AF$51:$AF$350,MATCH($C31,'PM After Switch'!$A$51:$A$350,0)+9),"")))</f>
        <v/>
      </c>
      <c r="AG31" s="506">
        <f>IF($B31="Stay at Jump",INDEX('Savings Projection'!$AI$19:$AI$33,11),IF($B31="IC Switch",IFERROR(INDEX('IC Switch Scenarios'!$X$36:$X$170,MATCH($C31,'IC Switch Scenarios'!$A$36:$A$170,0)+10),""),IFERROR(INDEX('PM After Switch'!$AF$51:$AF$350,MATCH($C31,'PM After Switch'!$A$51:$A$350,0)+10),"")))</f>
        <v/>
      </c>
      <c r="AH31" s="506">
        <f>IF($B31="Stay at Jump",INDEX('Savings Projection'!$AI$19:$AI$33,12),IF($B31="IC Switch",IFERROR(INDEX('IC Switch Scenarios'!$X$36:$X$170,MATCH($C31,'IC Switch Scenarios'!$A$36:$A$170,0)+11),""),IFERROR(INDEX('PM After Switch'!$AF$51:$AF$350,MATCH($C31,'PM After Switch'!$A$51:$A$350,0)+11),"")))</f>
        <v/>
      </c>
      <c r="AI31" s="506">
        <f>IF($B31="Stay at Jump",INDEX('Savings Projection'!$AI$19:$AI$33,13),IF($B31="IC Switch",IFERROR(INDEX('IC Switch Scenarios'!$X$36:$X$170,MATCH($C31,'IC Switch Scenarios'!$A$36:$A$170,0)+12),""),IFERROR(INDEX('PM After Switch'!$AF$51:$AF$350,MATCH($C31,'PM After Switch'!$A$51:$A$350,0)+12),"")))</f>
        <v/>
      </c>
      <c r="AJ31" s="506">
        <f>IF($B31="Stay at Jump",INDEX('Savings Projection'!$AI$19:$AI$33,14),IF($B31="IC Switch",IFERROR(INDEX('IC Switch Scenarios'!$X$36:$X$170,MATCH($C31,'IC Switch Scenarios'!$A$36:$A$170,0)+13),""),IFERROR(INDEX('PM After Switch'!$AF$51:$AF$350,MATCH($C31,'PM After Switch'!$A$51:$A$350,0)+13),"")))</f>
        <v/>
      </c>
      <c r="AK31" s="506">
        <f>IF($B31="Stay at Jump",INDEX('Savings Projection'!$AI$19:$AI$33,15),IF($B31="IC Switch",IFERROR(INDEX('IC Switch Scenarios'!$X$36:$X$170,MATCH($C31,'IC Switch Scenarios'!$A$36:$A$170,0)+14),""),IFERROR(INDEX('PM After Switch'!$AF$51:$AF$350,MATCH($C31,'PM After Switch'!$A$51:$A$350,0)+14),"")))</f>
        <v/>
      </c>
    </row>
    <row r="32" ht="20" customHeight="1" s="326">
      <c r="A32" s="426">
        <f>$B32&amp;" | "&amp;$C32&amp;" | "&amp;$H32</f>
        <v/>
      </c>
      <c r="B32" s="426" t="inlineStr">
        <is>
          <t>PM After Switch</t>
        </is>
      </c>
      <c r="C32" s="426">
        <f>'PM After Switch'!$A$26</f>
        <v/>
      </c>
      <c r="D32" s="427">
        <f>'PM After Switch'!$B$26</f>
        <v/>
      </c>
      <c r="E32" s="435">
        <f>'PM After Switch'!$C$26</f>
        <v/>
      </c>
      <c r="F32" s="427">
        <f>'PM After Switch'!$D$26</f>
        <v/>
      </c>
      <c r="G32" s="426">
        <f>'PM After Switch'!$E$26</f>
        <v/>
      </c>
      <c r="H32" s="429" t="inlineStr">
        <is>
          <t>Y15</t>
        </is>
      </c>
      <c r="I32" s="436">
        <f>'PM After Switch'!$T$26</f>
        <v/>
      </c>
      <c r="J32" s="436">
        <f>'PM After Switch'!$U$26</f>
        <v/>
      </c>
      <c r="K32" s="436">
        <f>'PM After Switch'!$V$26</f>
        <v/>
      </c>
      <c r="L32" s="436">
        <f>'PM After Switch'!$W$26</f>
        <v/>
      </c>
      <c r="M32" s="436">
        <f>'PM After Switch'!$X$26</f>
        <v/>
      </c>
      <c r="N32" s="436">
        <f>'PM After Switch'!$Y$26</f>
        <v/>
      </c>
      <c r="O32" s="436">
        <f>'PM After Switch'!$Z$26</f>
        <v/>
      </c>
      <c r="P32" s="436">
        <f>'PM After Switch'!$AA$26</f>
        <v/>
      </c>
      <c r="Q32" s="426">
        <f>'PM After Switch'!$AB$26</f>
        <v/>
      </c>
      <c r="R32" s="429">
        <f>'PM After Switch'!$AC$26</f>
        <v/>
      </c>
      <c r="S32" s="429">
        <f>'PM After Switch'!$AD$26</f>
        <v/>
      </c>
      <c r="T32" s="429">
        <f>'PM After Switch'!$AE$26</f>
        <v/>
      </c>
      <c r="U32" s="429">
        <f>'PM After Switch'!$AF$26</f>
        <v/>
      </c>
      <c r="V32" s="505" t="n"/>
      <c r="W32" s="506">
        <f>IF($B32="Stay at Jump",INDEX('Savings Projection'!$AI$19:$AI$33,1),IF($B32="IC Switch",IFERROR(INDEX('IC Switch Scenarios'!$X$36:$X$170,MATCH($C32,'IC Switch Scenarios'!$A$36:$A$170,0)+0),""),IFERROR(INDEX('PM After Switch'!$AF$51:$AF$350,MATCH($C32,'PM After Switch'!$A$51:$A$350,0)+0),"")))</f>
        <v/>
      </c>
      <c r="X32" s="506">
        <f>IF($B32="Stay at Jump",INDEX('Savings Projection'!$AI$19:$AI$33,2),IF($B32="IC Switch",IFERROR(INDEX('IC Switch Scenarios'!$X$36:$X$170,MATCH($C32,'IC Switch Scenarios'!$A$36:$A$170,0)+1),""),IFERROR(INDEX('PM After Switch'!$AF$51:$AF$350,MATCH($C32,'PM After Switch'!$A$51:$A$350,0)+1),"")))</f>
        <v/>
      </c>
      <c r="Y32" s="506">
        <f>IF($B32="Stay at Jump",INDEX('Savings Projection'!$AI$19:$AI$33,3),IF($B32="IC Switch",IFERROR(INDEX('IC Switch Scenarios'!$X$36:$X$170,MATCH($C32,'IC Switch Scenarios'!$A$36:$A$170,0)+2),""),IFERROR(INDEX('PM After Switch'!$AF$51:$AF$350,MATCH($C32,'PM After Switch'!$A$51:$A$350,0)+2),"")))</f>
        <v/>
      </c>
      <c r="Z32" s="506">
        <f>IF($B32="Stay at Jump",INDEX('Savings Projection'!$AI$19:$AI$33,4),IF($B32="IC Switch",IFERROR(INDEX('IC Switch Scenarios'!$X$36:$X$170,MATCH($C32,'IC Switch Scenarios'!$A$36:$A$170,0)+3),""),IFERROR(INDEX('PM After Switch'!$AF$51:$AF$350,MATCH($C32,'PM After Switch'!$A$51:$A$350,0)+3),"")))</f>
        <v/>
      </c>
      <c r="AA32" s="506">
        <f>IF($B32="Stay at Jump",INDEX('Savings Projection'!$AI$19:$AI$33,5),IF($B32="IC Switch",IFERROR(INDEX('IC Switch Scenarios'!$X$36:$X$170,MATCH($C32,'IC Switch Scenarios'!$A$36:$A$170,0)+4),""),IFERROR(INDEX('PM After Switch'!$AF$51:$AF$350,MATCH($C32,'PM After Switch'!$A$51:$A$350,0)+4),"")))</f>
        <v/>
      </c>
      <c r="AB32" s="506">
        <f>IF($B32="Stay at Jump",INDEX('Savings Projection'!$AI$19:$AI$33,6),IF($B32="IC Switch",IFERROR(INDEX('IC Switch Scenarios'!$X$36:$X$170,MATCH($C32,'IC Switch Scenarios'!$A$36:$A$170,0)+5),""),IFERROR(INDEX('PM After Switch'!$AF$51:$AF$350,MATCH($C32,'PM After Switch'!$A$51:$A$350,0)+5),"")))</f>
        <v/>
      </c>
      <c r="AC32" s="506">
        <f>IF($B32="Stay at Jump",INDEX('Savings Projection'!$AI$19:$AI$33,7),IF($B32="IC Switch",IFERROR(INDEX('IC Switch Scenarios'!$X$36:$X$170,MATCH($C32,'IC Switch Scenarios'!$A$36:$A$170,0)+6),""),IFERROR(INDEX('PM After Switch'!$AF$51:$AF$350,MATCH($C32,'PM After Switch'!$A$51:$A$350,0)+6),"")))</f>
        <v/>
      </c>
      <c r="AD32" s="506">
        <f>IF($B32="Stay at Jump",INDEX('Savings Projection'!$AI$19:$AI$33,8),IF($B32="IC Switch",IFERROR(INDEX('IC Switch Scenarios'!$X$36:$X$170,MATCH($C32,'IC Switch Scenarios'!$A$36:$A$170,0)+7),""),IFERROR(INDEX('PM After Switch'!$AF$51:$AF$350,MATCH($C32,'PM After Switch'!$A$51:$A$350,0)+7),"")))</f>
        <v/>
      </c>
      <c r="AE32" s="506">
        <f>IF($B32="Stay at Jump",INDEX('Savings Projection'!$AI$19:$AI$33,9),IF($B32="IC Switch",IFERROR(INDEX('IC Switch Scenarios'!$X$36:$X$170,MATCH($C32,'IC Switch Scenarios'!$A$36:$A$170,0)+8),""),IFERROR(INDEX('PM After Switch'!$AF$51:$AF$350,MATCH($C32,'PM After Switch'!$A$51:$A$350,0)+8),"")))</f>
        <v/>
      </c>
      <c r="AF32" s="506">
        <f>IF($B32="Stay at Jump",INDEX('Savings Projection'!$AI$19:$AI$33,10),IF($B32="IC Switch",IFERROR(INDEX('IC Switch Scenarios'!$X$36:$X$170,MATCH($C32,'IC Switch Scenarios'!$A$36:$A$170,0)+9),""),IFERROR(INDEX('PM After Switch'!$AF$51:$AF$350,MATCH($C32,'PM After Switch'!$A$51:$A$350,0)+9),"")))</f>
        <v/>
      </c>
      <c r="AG32" s="506">
        <f>IF($B32="Stay at Jump",INDEX('Savings Projection'!$AI$19:$AI$33,11),IF($B32="IC Switch",IFERROR(INDEX('IC Switch Scenarios'!$X$36:$X$170,MATCH($C32,'IC Switch Scenarios'!$A$36:$A$170,0)+10),""),IFERROR(INDEX('PM After Switch'!$AF$51:$AF$350,MATCH($C32,'PM After Switch'!$A$51:$A$350,0)+10),"")))</f>
        <v/>
      </c>
      <c r="AH32" s="506">
        <f>IF($B32="Stay at Jump",INDEX('Savings Projection'!$AI$19:$AI$33,12),IF($B32="IC Switch",IFERROR(INDEX('IC Switch Scenarios'!$X$36:$X$170,MATCH($C32,'IC Switch Scenarios'!$A$36:$A$170,0)+11),""),IFERROR(INDEX('PM After Switch'!$AF$51:$AF$350,MATCH($C32,'PM After Switch'!$A$51:$A$350,0)+11),"")))</f>
        <v/>
      </c>
      <c r="AI32" s="506">
        <f>IF($B32="Stay at Jump",INDEX('Savings Projection'!$AI$19:$AI$33,13),IF($B32="IC Switch",IFERROR(INDEX('IC Switch Scenarios'!$X$36:$X$170,MATCH($C32,'IC Switch Scenarios'!$A$36:$A$170,0)+12),""),IFERROR(INDEX('PM After Switch'!$AF$51:$AF$350,MATCH($C32,'PM After Switch'!$A$51:$A$350,0)+12),"")))</f>
        <v/>
      </c>
      <c r="AJ32" s="506">
        <f>IF($B32="Stay at Jump",INDEX('Savings Projection'!$AI$19:$AI$33,14),IF($B32="IC Switch",IFERROR(INDEX('IC Switch Scenarios'!$X$36:$X$170,MATCH($C32,'IC Switch Scenarios'!$A$36:$A$170,0)+13),""),IFERROR(INDEX('PM After Switch'!$AF$51:$AF$350,MATCH($C32,'PM After Switch'!$A$51:$A$350,0)+13),"")))</f>
        <v/>
      </c>
      <c r="AK32" s="506">
        <f>IF($B32="Stay at Jump",INDEX('Savings Projection'!$AI$19:$AI$33,15),IF($B32="IC Switch",IFERROR(INDEX('IC Switch Scenarios'!$X$36:$X$170,MATCH($C32,'IC Switch Scenarios'!$A$36:$A$170,0)+14),""),IFERROR(INDEX('PM After Switch'!$AF$51:$AF$350,MATCH($C32,'PM After Switch'!$A$51:$A$350,0)+14),"")))</f>
        <v/>
      </c>
    </row>
    <row r="33" ht="20" customHeight="1" s="326">
      <c r="A33" s="426">
        <f>$B33&amp;" | "&amp;$C33&amp;" | "&amp;$H33</f>
        <v/>
      </c>
      <c r="B33" s="426" t="inlineStr">
        <is>
          <t>PM After Switch</t>
        </is>
      </c>
      <c r="C33" s="426">
        <f>'PM After Switch'!$A$27</f>
        <v/>
      </c>
      <c r="D33" s="427">
        <f>'PM After Switch'!$B$27</f>
        <v/>
      </c>
      <c r="E33" s="435">
        <f>'PM After Switch'!$C$27</f>
        <v/>
      </c>
      <c r="F33" s="427">
        <f>'PM After Switch'!$D$27</f>
        <v/>
      </c>
      <c r="G33" s="426">
        <f>'PM After Switch'!$E$27</f>
        <v/>
      </c>
      <c r="H33" s="429" t="inlineStr">
        <is>
          <t>Y10</t>
        </is>
      </c>
      <c r="I33" s="436">
        <f>'PM After Switch'!$K$27</f>
        <v/>
      </c>
      <c r="J33" s="436">
        <f>'PM After Switch'!$L$27</f>
        <v/>
      </c>
      <c r="K33" s="436">
        <f>'PM After Switch'!$M$27</f>
        <v/>
      </c>
      <c r="L33" s="436">
        <f>'PM After Switch'!$N$27</f>
        <v/>
      </c>
      <c r="M33" s="436">
        <f>'PM After Switch'!$O$27</f>
        <v/>
      </c>
      <c r="N33" s="436">
        <f>'PM After Switch'!$P$27</f>
        <v/>
      </c>
      <c r="O33" s="436">
        <f>'PM After Switch'!$Q$27</f>
        <v/>
      </c>
      <c r="P33" s="436">
        <f>'PM After Switch'!$R$27</f>
        <v/>
      </c>
      <c r="Q33" s="426">
        <f>'PM After Switch'!$S$27</f>
        <v/>
      </c>
      <c r="R33" s="429">
        <f>'PM After Switch'!$AC$27</f>
        <v/>
      </c>
      <c r="S33" s="429">
        <f>'PM After Switch'!$AD$27</f>
        <v/>
      </c>
      <c r="T33" s="429">
        <f>'PM After Switch'!$AE$27</f>
        <v/>
      </c>
      <c r="U33" s="429">
        <f>'PM After Switch'!$AF$27</f>
        <v/>
      </c>
      <c r="V33" s="505" t="n"/>
      <c r="W33" s="506">
        <f>IF($B33="Stay at Jump",INDEX('Savings Projection'!$AI$19:$AI$33,1),IF($B33="IC Switch",IFERROR(INDEX('IC Switch Scenarios'!$X$36:$X$170,MATCH($C33,'IC Switch Scenarios'!$A$36:$A$170,0)+0),""),IFERROR(INDEX('PM After Switch'!$AF$51:$AF$350,MATCH($C33,'PM After Switch'!$A$51:$A$350,0)+0),"")))</f>
        <v/>
      </c>
      <c r="X33" s="506">
        <f>IF($B33="Stay at Jump",INDEX('Savings Projection'!$AI$19:$AI$33,2),IF($B33="IC Switch",IFERROR(INDEX('IC Switch Scenarios'!$X$36:$X$170,MATCH($C33,'IC Switch Scenarios'!$A$36:$A$170,0)+1),""),IFERROR(INDEX('PM After Switch'!$AF$51:$AF$350,MATCH($C33,'PM After Switch'!$A$51:$A$350,0)+1),"")))</f>
        <v/>
      </c>
      <c r="Y33" s="506">
        <f>IF($B33="Stay at Jump",INDEX('Savings Projection'!$AI$19:$AI$33,3),IF($B33="IC Switch",IFERROR(INDEX('IC Switch Scenarios'!$X$36:$X$170,MATCH($C33,'IC Switch Scenarios'!$A$36:$A$170,0)+2),""),IFERROR(INDEX('PM After Switch'!$AF$51:$AF$350,MATCH($C33,'PM After Switch'!$A$51:$A$350,0)+2),"")))</f>
        <v/>
      </c>
      <c r="Z33" s="506">
        <f>IF($B33="Stay at Jump",INDEX('Savings Projection'!$AI$19:$AI$33,4),IF($B33="IC Switch",IFERROR(INDEX('IC Switch Scenarios'!$X$36:$X$170,MATCH($C33,'IC Switch Scenarios'!$A$36:$A$170,0)+3),""),IFERROR(INDEX('PM After Switch'!$AF$51:$AF$350,MATCH($C33,'PM After Switch'!$A$51:$A$350,0)+3),"")))</f>
        <v/>
      </c>
      <c r="AA33" s="506">
        <f>IF($B33="Stay at Jump",INDEX('Savings Projection'!$AI$19:$AI$33,5),IF($B33="IC Switch",IFERROR(INDEX('IC Switch Scenarios'!$X$36:$X$170,MATCH($C33,'IC Switch Scenarios'!$A$36:$A$170,0)+4),""),IFERROR(INDEX('PM After Switch'!$AF$51:$AF$350,MATCH($C33,'PM After Switch'!$A$51:$A$350,0)+4),"")))</f>
        <v/>
      </c>
      <c r="AB33" s="506">
        <f>IF($B33="Stay at Jump",INDEX('Savings Projection'!$AI$19:$AI$33,6),IF($B33="IC Switch",IFERROR(INDEX('IC Switch Scenarios'!$X$36:$X$170,MATCH($C33,'IC Switch Scenarios'!$A$36:$A$170,0)+5),""),IFERROR(INDEX('PM After Switch'!$AF$51:$AF$350,MATCH($C33,'PM After Switch'!$A$51:$A$350,0)+5),"")))</f>
        <v/>
      </c>
      <c r="AC33" s="506">
        <f>IF($B33="Stay at Jump",INDEX('Savings Projection'!$AI$19:$AI$33,7),IF($B33="IC Switch",IFERROR(INDEX('IC Switch Scenarios'!$X$36:$X$170,MATCH($C33,'IC Switch Scenarios'!$A$36:$A$170,0)+6),""),IFERROR(INDEX('PM After Switch'!$AF$51:$AF$350,MATCH($C33,'PM After Switch'!$A$51:$A$350,0)+6),"")))</f>
        <v/>
      </c>
      <c r="AD33" s="506">
        <f>IF($B33="Stay at Jump",INDEX('Savings Projection'!$AI$19:$AI$33,8),IF($B33="IC Switch",IFERROR(INDEX('IC Switch Scenarios'!$X$36:$X$170,MATCH($C33,'IC Switch Scenarios'!$A$36:$A$170,0)+7),""),IFERROR(INDEX('PM After Switch'!$AF$51:$AF$350,MATCH($C33,'PM After Switch'!$A$51:$A$350,0)+7),"")))</f>
        <v/>
      </c>
      <c r="AE33" s="506">
        <f>IF($B33="Stay at Jump",INDEX('Savings Projection'!$AI$19:$AI$33,9),IF($B33="IC Switch",IFERROR(INDEX('IC Switch Scenarios'!$X$36:$X$170,MATCH($C33,'IC Switch Scenarios'!$A$36:$A$170,0)+8),""),IFERROR(INDEX('PM After Switch'!$AF$51:$AF$350,MATCH($C33,'PM After Switch'!$A$51:$A$350,0)+8),"")))</f>
        <v/>
      </c>
      <c r="AF33" s="506">
        <f>IF($B33="Stay at Jump",INDEX('Savings Projection'!$AI$19:$AI$33,10),IF($B33="IC Switch",IFERROR(INDEX('IC Switch Scenarios'!$X$36:$X$170,MATCH($C33,'IC Switch Scenarios'!$A$36:$A$170,0)+9),""),IFERROR(INDEX('PM After Switch'!$AF$51:$AF$350,MATCH($C33,'PM After Switch'!$A$51:$A$350,0)+9),"")))</f>
        <v/>
      </c>
      <c r="AG33" s="506">
        <f>IF($B33="Stay at Jump",INDEX('Savings Projection'!$AI$19:$AI$33,11),IF($B33="IC Switch",IFERROR(INDEX('IC Switch Scenarios'!$X$36:$X$170,MATCH($C33,'IC Switch Scenarios'!$A$36:$A$170,0)+10),""),IFERROR(INDEX('PM After Switch'!$AF$51:$AF$350,MATCH($C33,'PM After Switch'!$A$51:$A$350,0)+10),"")))</f>
        <v/>
      </c>
      <c r="AH33" s="506">
        <f>IF($B33="Stay at Jump",INDEX('Savings Projection'!$AI$19:$AI$33,12),IF($B33="IC Switch",IFERROR(INDEX('IC Switch Scenarios'!$X$36:$X$170,MATCH($C33,'IC Switch Scenarios'!$A$36:$A$170,0)+11),""),IFERROR(INDEX('PM After Switch'!$AF$51:$AF$350,MATCH($C33,'PM After Switch'!$A$51:$A$350,0)+11),"")))</f>
        <v/>
      </c>
      <c r="AI33" s="506">
        <f>IF($B33="Stay at Jump",INDEX('Savings Projection'!$AI$19:$AI$33,13),IF($B33="IC Switch",IFERROR(INDEX('IC Switch Scenarios'!$X$36:$X$170,MATCH($C33,'IC Switch Scenarios'!$A$36:$A$170,0)+12),""),IFERROR(INDEX('PM After Switch'!$AF$51:$AF$350,MATCH($C33,'PM After Switch'!$A$51:$A$350,0)+12),"")))</f>
        <v/>
      </c>
      <c r="AJ33" s="506">
        <f>IF($B33="Stay at Jump",INDEX('Savings Projection'!$AI$19:$AI$33,14),IF($B33="IC Switch",IFERROR(INDEX('IC Switch Scenarios'!$X$36:$X$170,MATCH($C33,'IC Switch Scenarios'!$A$36:$A$170,0)+13),""),IFERROR(INDEX('PM After Switch'!$AF$51:$AF$350,MATCH($C33,'PM After Switch'!$A$51:$A$350,0)+13),"")))</f>
        <v/>
      </c>
      <c r="AK33" s="506">
        <f>IF($B33="Stay at Jump",INDEX('Savings Projection'!$AI$19:$AI$33,15),IF($B33="IC Switch",IFERROR(INDEX('IC Switch Scenarios'!$X$36:$X$170,MATCH($C33,'IC Switch Scenarios'!$A$36:$A$170,0)+14),""),IFERROR(INDEX('PM After Switch'!$AF$51:$AF$350,MATCH($C33,'PM After Switch'!$A$51:$A$350,0)+14),"")))</f>
        <v/>
      </c>
    </row>
    <row r="34" ht="20" customHeight="1" s="326">
      <c r="A34" s="426">
        <f>$B34&amp;" | "&amp;$C34&amp;" | "&amp;$H34</f>
        <v/>
      </c>
      <c r="B34" s="426" t="inlineStr">
        <is>
          <t>PM After Switch</t>
        </is>
      </c>
      <c r="C34" s="426">
        <f>'PM After Switch'!$A$27</f>
        <v/>
      </c>
      <c r="D34" s="427">
        <f>'PM After Switch'!$B$27</f>
        <v/>
      </c>
      <c r="E34" s="435">
        <f>'PM After Switch'!$C$27</f>
        <v/>
      </c>
      <c r="F34" s="427">
        <f>'PM After Switch'!$D$27</f>
        <v/>
      </c>
      <c r="G34" s="426">
        <f>'PM After Switch'!$E$27</f>
        <v/>
      </c>
      <c r="H34" s="429" t="inlineStr">
        <is>
          <t>Y15</t>
        </is>
      </c>
      <c r="I34" s="436">
        <f>'PM After Switch'!$T$27</f>
        <v/>
      </c>
      <c r="J34" s="436">
        <f>'PM After Switch'!$U$27</f>
        <v/>
      </c>
      <c r="K34" s="436">
        <f>'PM After Switch'!$V$27</f>
        <v/>
      </c>
      <c r="L34" s="436">
        <f>'PM After Switch'!$W$27</f>
        <v/>
      </c>
      <c r="M34" s="436">
        <f>'PM After Switch'!$X$27</f>
        <v/>
      </c>
      <c r="N34" s="436">
        <f>'PM After Switch'!$Y$27</f>
        <v/>
      </c>
      <c r="O34" s="436">
        <f>'PM After Switch'!$Z$27</f>
        <v/>
      </c>
      <c r="P34" s="436">
        <f>'PM After Switch'!$AA$27</f>
        <v/>
      </c>
      <c r="Q34" s="426">
        <f>'PM After Switch'!$AB$27</f>
        <v/>
      </c>
      <c r="R34" s="429">
        <f>'PM After Switch'!$AC$27</f>
        <v/>
      </c>
      <c r="S34" s="429">
        <f>'PM After Switch'!$AD$27</f>
        <v/>
      </c>
      <c r="T34" s="429">
        <f>'PM After Switch'!$AE$27</f>
        <v/>
      </c>
      <c r="U34" s="429">
        <f>'PM After Switch'!$AF$27</f>
        <v/>
      </c>
      <c r="V34" s="505" t="n"/>
      <c r="W34" s="506">
        <f>IF($B34="Stay at Jump",INDEX('Savings Projection'!$AI$19:$AI$33,1),IF($B34="IC Switch",IFERROR(INDEX('IC Switch Scenarios'!$X$36:$X$170,MATCH($C34,'IC Switch Scenarios'!$A$36:$A$170,0)+0),""),IFERROR(INDEX('PM After Switch'!$AF$51:$AF$350,MATCH($C34,'PM After Switch'!$A$51:$A$350,0)+0),"")))</f>
        <v/>
      </c>
      <c r="X34" s="506">
        <f>IF($B34="Stay at Jump",INDEX('Savings Projection'!$AI$19:$AI$33,2),IF($B34="IC Switch",IFERROR(INDEX('IC Switch Scenarios'!$X$36:$X$170,MATCH($C34,'IC Switch Scenarios'!$A$36:$A$170,0)+1),""),IFERROR(INDEX('PM After Switch'!$AF$51:$AF$350,MATCH($C34,'PM After Switch'!$A$51:$A$350,0)+1),"")))</f>
        <v/>
      </c>
      <c r="Y34" s="506">
        <f>IF($B34="Stay at Jump",INDEX('Savings Projection'!$AI$19:$AI$33,3),IF($B34="IC Switch",IFERROR(INDEX('IC Switch Scenarios'!$X$36:$X$170,MATCH($C34,'IC Switch Scenarios'!$A$36:$A$170,0)+2),""),IFERROR(INDEX('PM After Switch'!$AF$51:$AF$350,MATCH($C34,'PM After Switch'!$A$51:$A$350,0)+2),"")))</f>
        <v/>
      </c>
      <c r="Z34" s="506">
        <f>IF($B34="Stay at Jump",INDEX('Savings Projection'!$AI$19:$AI$33,4),IF($B34="IC Switch",IFERROR(INDEX('IC Switch Scenarios'!$X$36:$X$170,MATCH($C34,'IC Switch Scenarios'!$A$36:$A$170,0)+3),""),IFERROR(INDEX('PM After Switch'!$AF$51:$AF$350,MATCH($C34,'PM After Switch'!$A$51:$A$350,0)+3),"")))</f>
        <v/>
      </c>
      <c r="AA34" s="506">
        <f>IF($B34="Stay at Jump",INDEX('Savings Projection'!$AI$19:$AI$33,5),IF($B34="IC Switch",IFERROR(INDEX('IC Switch Scenarios'!$X$36:$X$170,MATCH($C34,'IC Switch Scenarios'!$A$36:$A$170,0)+4),""),IFERROR(INDEX('PM After Switch'!$AF$51:$AF$350,MATCH($C34,'PM After Switch'!$A$51:$A$350,0)+4),"")))</f>
        <v/>
      </c>
      <c r="AB34" s="506">
        <f>IF($B34="Stay at Jump",INDEX('Savings Projection'!$AI$19:$AI$33,6),IF($B34="IC Switch",IFERROR(INDEX('IC Switch Scenarios'!$X$36:$X$170,MATCH($C34,'IC Switch Scenarios'!$A$36:$A$170,0)+5),""),IFERROR(INDEX('PM After Switch'!$AF$51:$AF$350,MATCH($C34,'PM After Switch'!$A$51:$A$350,0)+5),"")))</f>
        <v/>
      </c>
      <c r="AC34" s="506">
        <f>IF($B34="Stay at Jump",INDEX('Savings Projection'!$AI$19:$AI$33,7),IF($B34="IC Switch",IFERROR(INDEX('IC Switch Scenarios'!$X$36:$X$170,MATCH($C34,'IC Switch Scenarios'!$A$36:$A$170,0)+6),""),IFERROR(INDEX('PM After Switch'!$AF$51:$AF$350,MATCH($C34,'PM After Switch'!$A$51:$A$350,0)+6),"")))</f>
        <v/>
      </c>
      <c r="AD34" s="506">
        <f>IF($B34="Stay at Jump",INDEX('Savings Projection'!$AI$19:$AI$33,8),IF($B34="IC Switch",IFERROR(INDEX('IC Switch Scenarios'!$X$36:$X$170,MATCH($C34,'IC Switch Scenarios'!$A$36:$A$170,0)+7),""),IFERROR(INDEX('PM After Switch'!$AF$51:$AF$350,MATCH($C34,'PM After Switch'!$A$51:$A$350,0)+7),"")))</f>
        <v/>
      </c>
      <c r="AE34" s="506">
        <f>IF($B34="Stay at Jump",INDEX('Savings Projection'!$AI$19:$AI$33,9),IF($B34="IC Switch",IFERROR(INDEX('IC Switch Scenarios'!$X$36:$X$170,MATCH($C34,'IC Switch Scenarios'!$A$36:$A$170,0)+8),""),IFERROR(INDEX('PM After Switch'!$AF$51:$AF$350,MATCH($C34,'PM After Switch'!$A$51:$A$350,0)+8),"")))</f>
        <v/>
      </c>
      <c r="AF34" s="506">
        <f>IF($B34="Stay at Jump",INDEX('Savings Projection'!$AI$19:$AI$33,10),IF($B34="IC Switch",IFERROR(INDEX('IC Switch Scenarios'!$X$36:$X$170,MATCH($C34,'IC Switch Scenarios'!$A$36:$A$170,0)+9),""),IFERROR(INDEX('PM After Switch'!$AF$51:$AF$350,MATCH($C34,'PM After Switch'!$A$51:$A$350,0)+9),"")))</f>
        <v/>
      </c>
      <c r="AG34" s="506">
        <f>IF($B34="Stay at Jump",INDEX('Savings Projection'!$AI$19:$AI$33,11),IF($B34="IC Switch",IFERROR(INDEX('IC Switch Scenarios'!$X$36:$X$170,MATCH($C34,'IC Switch Scenarios'!$A$36:$A$170,0)+10),""),IFERROR(INDEX('PM After Switch'!$AF$51:$AF$350,MATCH($C34,'PM After Switch'!$A$51:$A$350,0)+10),"")))</f>
        <v/>
      </c>
      <c r="AH34" s="506">
        <f>IF($B34="Stay at Jump",INDEX('Savings Projection'!$AI$19:$AI$33,12),IF($B34="IC Switch",IFERROR(INDEX('IC Switch Scenarios'!$X$36:$X$170,MATCH($C34,'IC Switch Scenarios'!$A$36:$A$170,0)+11),""),IFERROR(INDEX('PM After Switch'!$AF$51:$AF$350,MATCH($C34,'PM After Switch'!$A$51:$A$350,0)+11),"")))</f>
        <v/>
      </c>
      <c r="AI34" s="506">
        <f>IF($B34="Stay at Jump",INDEX('Savings Projection'!$AI$19:$AI$33,13),IF($B34="IC Switch",IFERROR(INDEX('IC Switch Scenarios'!$X$36:$X$170,MATCH($C34,'IC Switch Scenarios'!$A$36:$A$170,0)+12),""),IFERROR(INDEX('PM After Switch'!$AF$51:$AF$350,MATCH($C34,'PM After Switch'!$A$51:$A$350,0)+12),"")))</f>
        <v/>
      </c>
      <c r="AJ34" s="506">
        <f>IF($B34="Stay at Jump",INDEX('Savings Projection'!$AI$19:$AI$33,14),IF($B34="IC Switch",IFERROR(INDEX('IC Switch Scenarios'!$X$36:$X$170,MATCH($C34,'IC Switch Scenarios'!$A$36:$A$170,0)+13),""),IFERROR(INDEX('PM After Switch'!$AF$51:$AF$350,MATCH($C34,'PM After Switch'!$A$51:$A$350,0)+13),"")))</f>
        <v/>
      </c>
      <c r="AK34" s="506">
        <f>IF($B34="Stay at Jump",INDEX('Savings Projection'!$AI$19:$AI$33,15),IF($B34="IC Switch",IFERROR(INDEX('IC Switch Scenarios'!$X$36:$X$170,MATCH($C34,'IC Switch Scenarios'!$A$36:$A$170,0)+14),""),IFERROR(INDEX('PM After Switch'!$AF$51:$AF$350,MATCH($C34,'PM After Switch'!$A$51:$A$350,0)+14),"")))</f>
        <v/>
      </c>
    </row>
    <row r="35" ht="20" customHeight="1" s="326">
      <c r="A35" s="426">
        <f>$B35&amp;" | "&amp;$C35&amp;" | "&amp;$H35</f>
        <v/>
      </c>
      <c r="B35" s="426" t="inlineStr">
        <is>
          <t>PM After Switch</t>
        </is>
      </c>
      <c r="C35" s="426">
        <f>'PM After Switch'!$A$28</f>
        <v/>
      </c>
      <c r="D35" s="427">
        <f>'PM After Switch'!$B$28</f>
        <v/>
      </c>
      <c r="E35" s="435">
        <f>'PM After Switch'!$C$28</f>
        <v/>
      </c>
      <c r="F35" s="427">
        <f>'PM After Switch'!$D$28</f>
        <v/>
      </c>
      <c r="G35" s="426">
        <f>'PM After Switch'!$E$28</f>
        <v/>
      </c>
      <c r="H35" s="429" t="inlineStr">
        <is>
          <t>Y10</t>
        </is>
      </c>
      <c r="I35" s="436">
        <f>'PM After Switch'!$K$28</f>
        <v/>
      </c>
      <c r="J35" s="436">
        <f>'PM After Switch'!$L$28</f>
        <v/>
      </c>
      <c r="K35" s="436">
        <f>'PM After Switch'!$M$28</f>
        <v/>
      </c>
      <c r="L35" s="436">
        <f>'PM After Switch'!$N$28</f>
        <v/>
      </c>
      <c r="M35" s="436">
        <f>'PM After Switch'!$O$28</f>
        <v/>
      </c>
      <c r="N35" s="436">
        <f>'PM After Switch'!$P$28</f>
        <v/>
      </c>
      <c r="O35" s="436">
        <f>'PM After Switch'!$Q$28</f>
        <v/>
      </c>
      <c r="P35" s="436">
        <f>'PM After Switch'!$R$28</f>
        <v/>
      </c>
      <c r="Q35" s="426">
        <f>'PM After Switch'!$S$28</f>
        <v/>
      </c>
      <c r="R35" s="429">
        <f>'PM After Switch'!$AC$28</f>
        <v/>
      </c>
      <c r="S35" s="429">
        <f>'PM After Switch'!$AD$28</f>
        <v/>
      </c>
      <c r="T35" s="429">
        <f>'PM After Switch'!$AE$28</f>
        <v/>
      </c>
      <c r="U35" s="429">
        <f>'PM After Switch'!$AF$28</f>
        <v/>
      </c>
      <c r="V35" s="505" t="n"/>
      <c r="W35" s="506">
        <f>IF($B35="Stay at Jump",INDEX('Savings Projection'!$AI$19:$AI$33,1),IF($B35="IC Switch",IFERROR(INDEX('IC Switch Scenarios'!$X$36:$X$170,MATCH($C35,'IC Switch Scenarios'!$A$36:$A$170,0)+0),""),IFERROR(INDEX('PM After Switch'!$AF$51:$AF$350,MATCH($C35,'PM After Switch'!$A$51:$A$350,0)+0),"")))</f>
        <v/>
      </c>
      <c r="X35" s="506">
        <f>IF($B35="Stay at Jump",INDEX('Savings Projection'!$AI$19:$AI$33,2),IF($B35="IC Switch",IFERROR(INDEX('IC Switch Scenarios'!$X$36:$X$170,MATCH($C35,'IC Switch Scenarios'!$A$36:$A$170,0)+1),""),IFERROR(INDEX('PM After Switch'!$AF$51:$AF$350,MATCH($C35,'PM After Switch'!$A$51:$A$350,0)+1),"")))</f>
        <v/>
      </c>
      <c r="Y35" s="506">
        <f>IF($B35="Stay at Jump",INDEX('Savings Projection'!$AI$19:$AI$33,3),IF($B35="IC Switch",IFERROR(INDEX('IC Switch Scenarios'!$X$36:$X$170,MATCH($C35,'IC Switch Scenarios'!$A$36:$A$170,0)+2),""),IFERROR(INDEX('PM After Switch'!$AF$51:$AF$350,MATCH($C35,'PM After Switch'!$A$51:$A$350,0)+2),"")))</f>
        <v/>
      </c>
      <c r="Z35" s="506">
        <f>IF($B35="Stay at Jump",INDEX('Savings Projection'!$AI$19:$AI$33,4),IF($B35="IC Switch",IFERROR(INDEX('IC Switch Scenarios'!$X$36:$X$170,MATCH($C35,'IC Switch Scenarios'!$A$36:$A$170,0)+3),""),IFERROR(INDEX('PM After Switch'!$AF$51:$AF$350,MATCH($C35,'PM After Switch'!$A$51:$A$350,0)+3),"")))</f>
        <v/>
      </c>
      <c r="AA35" s="506">
        <f>IF($B35="Stay at Jump",INDEX('Savings Projection'!$AI$19:$AI$33,5),IF($B35="IC Switch",IFERROR(INDEX('IC Switch Scenarios'!$X$36:$X$170,MATCH($C35,'IC Switch Scenarios'!$A$36:$A$170,0)+4),""),IFERROR(INDEX('PM After Switch'!$AF$51:$AF$350,MATCH($C35,'PM After Switch'!$A$51:$A$350,0)+4),"")))</f>
        <v/>
      </c>
      <c r="AB35" s="506">
        <f>IF($B35="Stay at Jump",INDEX('Savings Projection'!$AI$19:$AI$33,6),IF($B35="IC Switch",IFERROR(INDEX('IC Switch Scenarios'!$X$36:$X$170,MATCH($C35,'IC Switch Scenarios'!$A$36:$A$170,0)+5),""),IFERROR(INDEX('PM After Switch'!$AF$51:$AF$350,MATCH($C35,'PM After Switch'!$A$51:$A$350,0)+5),"")))</f>
        <v/>
      </c>
      <c r="AC35" s="506">
        <f>IF($B35="Stay at Jump",INDEX('Savings Projection'!$AI$19:$AI$33,7),IF($B35="IC Switch",IFERROR(INDEX('IC Switch Scenarios'!$X$36:$X$170,MATCH($C35,'IC Switch Scenarios'!$A$36:$A$170,0)+6),""),IFERROR(INDEX('PM After Switch'!$AF$51:$AF$350,MATCH($C35,'PM After Switch'!$A$51:$A$350,0)+6),"")))</f>
        <v/>
      </c>
      <c r="AD35" s="506">
        <f>IF($B35="Stay at Jump",INDEX('Savings Projection'!$AI$19:$AI$33,8),IF($B35="IC Switch",IFERROR(INDEX('IC Switch Scenarios'!$X$36:$X$170,MATCH($C35,'IC Switch Scenarios'!$A$36:$A$170,0)+7),""),IFERROR(INDEX('PM After Switch'!$AF$51:$AF$350,MATCH($C35,'PM After Switch'!$A$51:$A$350,0)+7),"")))</f>
        <v/>
      </c>
      <c r="AE35" s="506">
        <f>IF($B35="Stay at Jump",INDEX('Savings Projection'!$AI$19:$AI$33,9),IF($B35="IC Switch",IFERROR(INDEX('IC Switch Scenarios'!$X$36:$X$170,MATCH($C35,'IC Switch Scenarios'!$A$36:$A$170,0)+8),""),IFERROR(INDEX('PM After Switch'!$AF$51:$AF$350,MATCH($C35,'PM After Switch'!$A$51:$A$350,0)+8),"")))</f>
        <v/>
      </c>
      <c r="AF35" s="506">
        <f>IF($B35="Stay at Jump",INDEX('Savings Projection'!$AI$19:$AI$33,10),IF($B35="IC Switch",IFERROR(INDEX('IC Switch Scenarios'!$X$36:$X$170,MATCH($C35,'IC Switch Scenarios'!$A$36:$A$170,0)+9),""),IFERROR(INDEX('PM After Switch'!$AF$51:$AF$350,MATCH($C35,'PM After Switch'!$A$51:$A$350,0)+9),"")))</f>
        <v/>
      </c>
      <c r="AG35" s="506">
        <f>IF($B35="Stay at Jump",INDEX('Savings Projection'!$AI$19:$AI$33,11),IF($B35="IC Switch",IFERROR(INDEX('IC Switch Scenarios'!$X$36:$X$170,MATCH($C35,'IC Switch Scenarios'!$A$36:$A$170,0)+10),""),IFERROR(INDEX('PM After Switch'!$AF$51:$AF$350,MATCH($C35,'PM After Switch'!$A$51:$A$350,0)+10),"")))</f>
        <v/>
      </c>
      <c r="AH35" s="506">
        <f>IF($B35="Stay at Jump",INDEX('Savings Projection'!$AI$19:$AI$33,12),IF($B35="IC Switch",IFERROR(INDEX('IC Switch Scenarios'!$X$36:$X$170,MATCH($C35,'IC Switch Scenarios'!$A$36:$A$170,0)+11),""),IFERROR(INDEX('PM After Switch'!$AF$51:$AF$350,MATCH($C35,'PM After Switch'!$A$51:$A$350,0)+11),"")))</f>
        <v/>
      </c>
      <c r="AI35" s="506">
        <f>IF($B35="Stay at Jump",INDEX('Savings Projection'!$AI$19:$AI$33,13),IF($B35="IC Switch",IFERROR(INDEX('IC Switch Scenarios'!$X$36:$X$170,MATCH($C35,'IC Switch Scenarios'!$A$36:$A$170,0)+12),""),IFERROR(INDEX('PM After Switch'!$AF$51:$AF$350,MATCH($C35,'PM After Switch'!$A$51:$A$350,0)+12),"")))</f>
        <v/>
      </c>
      <c r="AJ35" s="506">
        <f>IF($B35="Stay at Jump",INDEX('Savings Projection'!$AI$19:$AI$33,14),IF($B35="IC Switch",IFERROR(INDEX('IC Switch Scenarios'!$X$36:$X$170,MATCH($C35,'IC Switch Scenarios'!$A$36:$A$170,0)+13),""),IFERROR(INDEX('PM After Switch'!$AF$51:$AF$350,MATCH($C35,'PM After Switch'!$A$51:$A$350,0)+13),"")))</f>
        <v/>
      </c>
      <c r="AK35" s="506">
        <f>IF($B35="Stay at Jump",INDEX('Savings Projection'!$AI$19:$AI$33,15),IF($B35="IC Switch",IFERROR(INDEX('IC Switch Scenarios'!$X$36:$X$170,MATCH($C35,'IC Switch Scenarios'!$A$36:$A$170,0)+14),""),IFERROR(INDEX('PM After Switch'!$AF$51:$AF$350,MATCH($C35,'PM After Switch'!$A$51:$A$350,0)+14),"")))</f>
        <v/>
      </c>
    </row>
    <row r="36" ht="20" customHeight="1" s="326">
      <c r="A36" s="426">
        <f>$B36&amp;" | "&amp;$C36&amp;" | "&amp;$H36</f>
        <v/>
      </c>
      <c r="B36" s="426" t="inlineStr">
        <is>
          <t>PM After Switch</t>
        </is>
      </c>
      <c r="C36" s="426">
        <f>'PM After Switch'!$A$28</f>
        <v/>
      </c>
      <c r="D36" s="427">
        <f>'PM After Switch'!$B$28</f>
        <v/>
      </c>
      <c r="E36" s="435">
        <f>'PM After Switch'!$C$28</f>
        <v/>
      </c>
      <c r="F36" s="427">
        <f>'PM After Switch'!$D$28</f>
        <v/>
      </c>
      <c r="G36" s="426">
        <f>'PM After Switch'!$E$28</f>
        <v/>
      </c>
      <c r="H36" s="429" t="inlineStr">
        <is>
          <t>Y15</t>
        </is>
      </c>
      <c r="I36" s="436">
        <f>'PM After Switch'!$T$28</f>
        <v/>
      </c>
      <c r="J36" s="436">
        <f>'PM After Switch'!$U$28</f>
        <v/>
      </c>
      <c r="K36" s="436">
        <f>'PM After Switch'!$V$28</f>
        <v/>
      </c>
      <c r="L36" s="436">
        <f>'PM After Switch'!$W$28</f>
        <v/>
      </c>
      <c r="M36" s="436">
        <f>'PM After Switch'!$X$28</f>
        <v/>
      </c>
      <c r="N36" s="436">
        <f>'PM After Switch'!$Y$28</f>
        <v/>
      </c>
      <c r="O36" s="436">
        <f>'PM After Switch'!$Z$28</f>
        <v/>
      </c>
      <c r="P36" s="436">
        <f>'PM After Switch'!$AA$28</f>
        <v/>
      </c>
      <c r="Q36" s="426">
        <f>'PM After Switch'!$AB$28</f>
        <v/>
      </c>
      <c r="R36" s="429">
        <f>'PM After Switch'!$AC$28</f>
        <v/>
      </c>
      <c r="S36" s="429">
        <f>'PM After Switch'!$AD$28</f>
        <v/>
      </c>
      <c r="T36" s="429">
        <f>'PM After Switch'!$AE$28</f>
        <v/>
      </c>
      <c r="U36" s="429">
        <f>'PM After Switch'!$AF$28</f>
        <v/>
      </c>
      <c r="V36" s="505" t="n"/>
      <c r="W36" s="506">
        <f>IF($B36="Stay at Jump",INDEX('Savings Projection'!$AI$19:$AI$33,1),IF($B36="IC Switch",IFERROR(INDEX('IC Switch Scenarios'!$X$36:$X$170,MATCH($C36,'IC Switch Scenarios'!$A$36:$A$170,0)+0),""),IFERROR(INDEX('PM After Switch'!$AF$51:$AF$350,MATCH($C36,'PM After Switch'!$A$51:$A$350,0)+0),"")))</f>
        <v/>
      </c>
      <c r="X36" s="506">
        <f>IF($B36="Stay at Jump",INDEX('Savings Projection'!$AI$19:$AI$33,2),IF($B36="IC Switch",IFERROR(INDEX('IC Switch Scenarios'!$X$36:$X$170,MATCH($C36,'IC Switch Scenarios'!$A$36:$A$170,0)+1),""),IFERROR(INDEX('PM After Switch'!$AF$51:$AF$350,MATCH($C36,'PM After Switch'!$A$51:$A$350,0)+1),"")))</f>
        <v/>
      </c>
      <c r="Y36" s="506">
        <f>IF($B36="Stay at Jump",INDEX('Savings Projection'!$AI$19:$AI$33,3),IF($B36="IC Switch",IFERROR(INDEX('IC Switch Scenarios'!$X$36:$X$170,MATCH($C36,'IC Switch Scenarios'!$A$36:$A$170,0)+2),""),IFERROR(INDEX('PM After Switch'!$AF$51:$AF$350,MATCH($C36,'PM After Switch'!$A$51:$A$350,0)+2),"")))</f>
        <v/>
      </c>
      <c r="Z36" s="506">
        <f>IF($B36="Stay at Jump",INDEX('Savings Projection'!$AI$19:$AI$33,4),IF($B36="IC Switch",IFERROR(INDEX('IC Switch Scenarios'!$X$36:$X$170,MATCH($C36,'IC Switch Scenarios'!$A$36:$A$170,0)+3),""),IFERROR(INDEX('PM After Switch'!$AF$51:$AF$350,MATCH($C36,'PM After Switch'!$A$51:$A$350,0)+3),"")))</f>
        <v/>
      </c>
      <c r="AA36" s="506">
        <f>IF($B36="Stay at Jump",INDEX('Savings Projection'!$AI$19:$AI$33,5),IF($B36="IC Switch",IFERROR(INDEX('IC Switch Scenarios'!$X$36:$X$170,MATCH($C36,'IC Switch Scenarios'!$A$36:$A$170,0)+4),""),IFERROR(INDEX('PM After Switch'!$AF$51:$AF$350,MATCH($C36,'PM After Switch'!$A$51:$A$350,0)+4),"")))</f>
        <v/>
      </c>
      <c r="AB36" s="506">
        <f>IF($B36="Stay at Jump",INDEX('Savings Projection'!$AI$19:$AI$33,6),IF($B36="IC Switch",IFERROR(INDEX('IC Switch Scenarios'!$X$36:$X$170,MATCH($C36,'IC Switch Scenarios'!$A$36:$A$170,0)+5),""),IFERROR(INDEX('PM After Switch'!$AF$51:$AF$350,MATCH($C36,'PM After Switch'!$A$51:$A$350,0)+5),"")))</f>
        <v/>
      </c>
      <c r="AC36" s="506">
        <f>IF($B36="Stay at Jump",INDEX('Savings Projection'!$AI$19:$AI$33,7),IF($B36="IC Switch",IFERROR(INDEX('IC Switch Scenarios'!$X$36:$X$170,MATCH($C36,'IC Switch Scenarios'!$A$36:$A$170,0)+6),""),IFERROR(INDEX('PM After Switch'!$AF$51:$AF$350,MATCH($C36,'PM After Switch'!$A$51:$A$350,0)+6),"")))</f>
        <v/>
      </c>
      <c r="AD36" s="506">
        <f>IF($B36="Stay at Jump",INDEX('Savings Projection'!$AI$19:$AI$33,8),IF($B36="IC Switch",IFERROR(INDEX('IC Switch Scenarios'!$X$36:$X$170,MATCH($C36,'IC Switch Scenarios'!$A$36:$A$170,0)+7),""),IFERROR(INDEX('PM After Switch'!$AF$51:$AF$350,MATCH($C36,'PM After Switch'!$A$51:$A$350,0)+7),"")))</f>
        <v/>
      </c>
      <c r="AE36" s="506">
        <f>IF($B36="Stay at Jump",INDEX('Savings Projection'!$AI$19:$AI$33,9),IF($B36="IC Switch",IFERROR(INDEX('IC Switch Scenarios'!$X$36:$X$170,MATCH($C36,'IC Switch Scenarios'!$A$36:$A$170,0)+8),""),IFERROR(INDEX('PM After Switch'!$AF$51:$AF$350,MATCH($C36,'PM After Switch'!$A$51:$A$350,0)+8),"")))</f>
        <v/>
      </c>
      <c r="AF36" s="506">
        <f>IF($B36="Stay at Jump",INDEX('Savings Projection'!$AI$19:$AI$33,10),IF($B36="IC Switch",IFERROR(INDEX('IC Switch Scenarios'!$X$36:$X$170,MATCH($C36,'IC Switch Scenarios'!$A$36:$A$170,0)+9),""),IFERROR(INDEX('PM After Switch'!$AF$51:$AF$350,MATCH($C36,'PM After Switch'!$A$51:$A$350,0)+9),"")))</f>
        <v/>
      </c>
      <c r="AG36" s="506">
        <f>IF($B36="Stay at Jump",INDEX('Savings Projection'!$AI$19:$AI$33,11),IF($B36="IC Switch",IFERROR(INDEX('IC Switch Scenarios'!$X$36:$X$170,MATCH($C36,'IC Switch Scenarios'!$A$36:$A$170,0)+10),""),IFERROR(INDEX('PM After Switch'!$AF$51:$AF$350,MATCH($C36,'PM After Switch'!$A$51:$A$350,0)+10),"")))</f>
        <v/>
      </c>
      <c r="AH36" s="506">
        <f>IF($B36="Stay at Jump",INDEX('Savings Projection'!$AI$19:$AI$33,12),IF($B36="IC Switch",IFERROR(INDEX('IC Switch Scenarios'!$X$36:$X$170,MATCH($C36,'IC Switch Scenarios'!$A$36:$A$170,0)+11),""),IFERROR(INDEX('PM After Switch'!$AF$51:$AF$350,MATCH($C36,'PM After Switch'!$A$51:$A$350,0)+11),"")))</f>
        <v/>
      </c>
      <c r="AI36" s="506">
        <f>IF($B36="Stay at Jump",INDEX('Savings Projection'!$AI$19:$AI$33,13),IF($B36="IC Switch",IFERROR(INDEX('IC Switch Scenarios'!$X$36:$X$170,MATCH($C36,'IC Switch Scenarios'!$A$36:$A$170,0)+12),""),IFERROR(INDEX('PM After Switch'!$AF$51:$AF$350,MATCH($C36,'PM After Switch'!$A$51:$A$350,0)+12),"")))</f>
        <v/>
      </c>
      <c r="AJ36" s="506">
        <f>IF($B36="Stay at Jump",INDEX('Savings Projection'!$AI$19:$AI$33,14),IF($B36="IC Switch",IFERROR(INDEX('IC Switch Scenarios'!$X$36:$X$170,MATCH($C36,'IC Switch Scenarios'!$A$36:$A$170,0)+13),""),IFERROR(INDEX('PM After Switch'!$AF$51:$AF$350,MATCH($C36,'PM After Switch'!$A$51:$A$350,0)+13),"")))</f>
        <v/>
      </c>
      <c r="AK36" s="506">
        <f>IF($B36="Stay at Jump",INDEX('Savings Projection'!$AI$19:$AI$33,15),IF($B36="IC Switch",IFERROR(INDEX('IC Switch Scenarios'!$X$36:$X$170,MATCH($C36,'IC Switch Scenarios'!$A$36:$A$170,0)+14),""),IFERROR(INDEX('PM After Switch'!$AF$51:$AF$350,MATCH($C36,'PM After Switch'!$A$51:$A$350,0)+14),"")))</f>
        <v/>
      </c>
    </row>
    <row r="37" ht="20" customHeight="1" s="326">
      <c r="A37" s="426">
        <f>$B37&amp;" | "&amp;$C37&amp;" | "&amp;$H37</f>
        <v/>
      </c>
      <c r="B37" s="426" t="inlineStr">
        <is>
          <t>PM After Switch</t>
        </is>
      </c>
      <c r="C37" s="426">
        <f>'PM After Switch'!$A$29</f>
        <v/>
      </c>
      <c r="D37" s="427">
        <f>'PM After Switch'!$B$29</f>
        <v/>
      </c>
      <c r="E37" s="435">
        <f>'PM After Switch'!$C$29</f>
        <v/>
      </c>
      <c r="F37" s="427">
        <f>'PM After Switch'!$D$29</f>
        <v/>
      </c>
      <c r="G37" s="426">
        <f>'PM After Switch'!$E$29</f>
        <v/>
      </c>
      <c r="H37" s="429" t="inlineStr">
        <is>
          <t>Y10</t>
        </is>
      </c>
      <c r="I37" s="436">
        <f>'PM After Switch'!$K$29</f>
        <v/>
      </c>
      <c r="J37" s="436">
        <f>'PM After Switch'!$L$29</f>
        <v/>
      </c>
      <c r="K37" s="436">
        <f>'PM After Switch'!$M$29</f>
        <v/>
      </c>
      <c r="L37" s="436">
        <f>'PM After Switch'!$N$29</f>
        <v/>
      </c>
      <c r="M37" s="436">
        <f>'PM After Switch'!$O$29</f>
        <v/>
      </c>
      <c r="N37" s="436">
        <f>'PM After Switch'!$P$29</f>
        <v/>
      </c>
      <c r="O37" s="436">
        <f>'PM After Switch'!$Q$29</f>
        <v/>
      </c>
      <c r="P37" s="436">
        <f>'PM After Switch'!$R$29</f>
        <v/>
      </c>
      <c r="Q37" s="426">
        <f>'PM After Switch'!$S$29</f>
        <v/>
      </c>
      <c r="R37" s="429">
        <f>'PM After Switch'!$AC$29</f>
        <v/>
      </c>
      <c r="S37" s="429">
        <f>'PM After Switch'!$AD$29</f>
        <v/>
      </c>
      <c r="T37" s="429">
        <f>'PM After Switch'!$AE$29</f>
        <v/>
      </c>
      <c r="U37" s="429">
        <f>'PM After Switch'!$AF$29</f>
        <v/>
      </c>
      <c r="V37" s="505" t="n"/>
      <c r="W37" s="506">
        <f>IF($B37="Stay at Jump",INDEX('Savings Projection'!$AI$19:$AI$33,1),IF($B37="IC Switch",IFERROR(INDEX('IC Switch Scenarios'!$X$36:$X$170,MATCH($C37,'IC Switch Scenarios'!$A$36:$A$170,0)+0),""),IFERROR(INDEX('PM After Switch'!$AF$51:$AF$350,MATCH($C37,'PM After Switch'!$A$51:$A$350,0)+0),"")))</f>
        <v/>
      </c>
      <c r="X37" s="506">
        <f>IF($B37="Stay at Jump",INDEX('Savings Projection'!$AI$19:$AI$33,2),IF($B37="IC Switch",IFERROR(INDEX('IC Switch Scenarios'!$X$36:$X$170,MATCH($C37,'IC Switch Scenarios'!$A$36:$A$170,0)+1),""),IFERROR(INDEX('PM After Switch'!$AF$51:$AF$350,MATCH($C37,'PM After Switch'!$A$51:$A$350,0)+1),"")))</f>
        <v/>
      </c>
      <c r="Y37" s="506">
        <f>IF($B37="Stay at Jump",INDEX('Savings Projection'!$AI$19:$AI$33,3),IF($B37="IC Switch",IFERROR(INDEX('IC Switch Scenarios'!$X$36:$X$170,MATCH($C37,'IC Switch Scenarios'!$A$36:$A$170,0)+2),""),IFERROR(INDEX('PM After Switch'!$AF$51:$AF$350,MATCH($C37,'PM After Switch'!$A$51:$A$350,0)+2),"")))</f>
        <v/>
      </c>
      <c r="Z37" s="506">
        <f>IF($B37="Stay at Jump",INDEX('Savings Projection'!$AI$19:$AI$33,4),IF($B37="IC Switch",IFERROR(INDEX('IC Switch Scenarios'!$X$36:$X$170,MATCH($C37,'IC Switch Scenarios'!$A$36:$A$170,0)+3),""),IFERROR(INDEX('PM After Switch'!$AF$51:$AF$350,MATCH($C37,'PM After Switch'!$A$51:$A$350,0)+3),"")))</f>
        <v/>
      </c>
      <c r="AA37" s="506">
        <f>IF($B37="Stay at Jump",INDEX('Savings Projection'!$AI$19:$AI$33,5),IF($B37="IC Switch",IFERROR(INDEX('IC Switch Scenarios'!$X$36:$X$170,MATCH($C37,'IC Switch Scenarios'!$A$36:$A$170,0)+4),""),IFERROR(INDEX('PM After Switch'!$AF$51:$AF$350,MATCH($C37,'PM After Switch'!$A$51:$A$350,0)+4),"")))</f>
        <v/>
      </c>
      <c r="AB37" s="506">
        <f>IF($B37="Stay at Jump",INDEX('Savings Projection'!$AI$19:$AI$33,6),IF($B37="IC Switch",IFERROR(INDEX('IC Switch Scenarios'!$X$36:$X$170,MATCH($C37,'IC Switch Scenarios'!$A$36:$A$170,0)+5),""),IFERROR(INDEX('PM After Switch'!$AF$51:$AF$350,MATCH($C37,'PM After Switch'!$A$51:$A$350,0)+5),"")))</f>
        <v/>
      </c>
      <c r="AC37" s="506">
        <f>IF($B37="Stay at Jump",INDEX('Savings Projection'!$AI$19:$AI$33,7),IF($B37="IC Switch",IFERROR(INDEX('IC Switch Scenarios'!$X$36:$X$170,MATCH($C37,'IC Switch Scenarios'!$A$36:$A$170,0)+6),""),IFERROR(INDEX('PM After Switch'!$AF$51:$AF$350,MATCH($C37,'PM After Switch'!$A$51:$A$350,0)+6),"")))</f>
        <v/>
      </c>
      <c r="AD37" s="506">
        <f>IF($B37="Stay at Jump",INDEX('Savings Projection'!$AI$19:$AI$33,8),IF($B37="IC Switch",IFERROR(INDEX('IC Switch Scenarios'!$X$36:$X$170,MATCH($C37,'IC Switch Scenarios'!$A$36:$A$170,0)+7),""),IFERROR(INDEX('PM After Switch'!$AF$51:$AF$350,MATCH($C37,'PM After Switch'!$A$51:$A$350,0)+7),"")))</f>
        <v/>
      </c>
      <c r="AE37" s="506">
        <f>IF($B37="Stay at Jump",INDEX('Savings Projection'!$AI$19:$AI$33,9),IF($B37="IC Switch",IFERROR(INDEX('IC Switch Scenarios'!$X$36:$X$170,MATCH($C37,'IC Switch Scenarios'!$A$36:$A$170,0)+8),""),IFERROR(INDEX('PM After Switch'!$AF$51:$AF$350,MATCH($C37,'PM After Switch'!$A$51:$A$350,0)+8),"")))</f>
        <v/>
      </c>
      <c r="AF37" s="506">
        <f>IF($B37="Stay at Jump",INDEX('Savings Projection'!$AI$19:$AI$33,10),IF($B37="IC Switch",IFERROR(INDEX('IC Switch Scenarios'!$X$36:$X$170,MATCH($C37,'IC Switch Scenarios'!$A$36:$A$170,0)+9),""),IFERROR(INDEX('PM After Switch'!$AF$51:$AF$350,MATCH($C37,'PM After Switch'!$A$51:$A$350,0)+9),"")))</f>
        <v/>
      </c>
      <c r="AG37" s="506">
        <f>IF($B37="Stay at Jump",INDEX('Savings Projection'!$AI$19:$AI$33,11),IF($B37="IC Switch",IFERROR(INDEX('IC Switch Scenarios'!$X$36:$X$170,MATCH($C37,'IC Switch Scenarios'!$A$36:$A$170,0)+10),""),IFERROR(INDEX('PM After Switch'!$AF$51:$AF$350,MATCH($C37,'PM After Switch'!$A$51:$A$350,0)+10),"")))</f>
        <v/>
      </c>
      <c r="AH37" s="506">
        <f>IF($B37="Stay at Jump",INDEX('Savings Projection'!$AI$19:$AI$33,12),IF($B37="IC Switch",IFERROR(INDEX('IC Switch Scenarios'!$X$36:$X$170,MATCH($C37,'IC Switch Scenarios'!$A$36:$A$170,0)+11),""),IFERROR(INDEX('PM After Switch'!$AF$51:$AF$350,MATCH($C37,'PM After Switch'!$A$51:$A$350,0)+11),"")))</f>
        <v/>
      </c>
      <c r="AI37" s="506">
        <f>IF($B37="Stay at Jump",INDEX('Savings Projection'!$AI$19:$AI$33,13),IF($B37="IC Switch",IFERROR(INDEX('IC Switch Scenarios'!$X$36:$X$170,MATCH($C37,'IC Switch Scenarios'!$A$36:$A$170,0)+12),""),IFERROR(INDEX('PM After Switch'!$AF$51:$AF$350,MATCH($C37,'PM After Switch'!$A$51:$A$350,0)+12),"")))</f>
        <v/>
      </c>
      <c r="AJ37" s="506">
        <f>IF($B37="Stay at Jump",INDEX('Savings Projection'!$AI$19:$AI$33,14),IF($B37="IC Switch",IFERROR(INDEX('IC Switch Scenarios'!$X$36:$X$170,MATCH($C37,'IC Switch Scenarios'!$A$36:$A$170,0)+13),""),IFERROR(INDEX('PM After Switch'!$AF$51:$AF$350,MATCH($C37,'PM After Switch'!$A$51:$A$350,0)+13),"")))</f>
        <v/>
      </c>
      <c r="AK37" s="506">
        <f>IF($B37="Stay at Jump",INDEX('Savings Projection'!$AI$19:$AI$33,15),IF($B37="IC Switch",IFERROR(INDEX('IC Switch Scenarios'!$X$36:$X$170,MATCH($C37,'IC Switch Scenarios'!$A$36:$A$170,0)+14),""),IFERROR(INDEX('PM After Switch'!$AF$51:$AF$350,MATCH($C37,'PM After Switch'!$A$51:$A$350,0)+14),"")))</f>
        <v/>
      </c>
    </row>
    <row r="38" ht="20" customHeight="1" s="326">
      <c r="A38" s="426">
        <f>$B38&amp;" | "&amp;$C38&amp;" | "&amp;$H38</f>
        <v/>
      </c>
      <c r="B38" s="426" t="inlineStr">
        <is>
          <t>PM After Switch</t>
        </is>
      </c>
      <c r="C38" s="426">
        <f>'PM After Switch'!$A$29</f>
        <v/>
      </c>
      <c r="D38" s="427">
        <f>'PM After Switch'!$B$29</f>
        <v/>
      </c>
      <c r="E38" s="435">
        <f>'PM After Switch'!$C$29</f>
        <v/>
      </c>
      <c r="F38" s="427">
        <f>'PM After Switch'!$D$29</f>
        <v/>
      </c>
      <c r="G38" s="426">
        <f>'PM After Switch'!$E$29</f>
        <v/>
      </c>
      <c r="H38" s="429" t="inlineStr">
        <is>
          <t>Y15</t>
        </is>
      </c>
      <c r="I38" s="436">
        <f>'PM After Switch'!$T$29</f>
        <v/>
      </c>
      <c r="J38" s="436">
        <f>'PM After Switch'!$U$29</f>
        <v/>
      </c>
      <c r="K38" s="436">
        <f>'PM After Switch'!$V$29</f>
        <v/>
      </c>
      <c r="L38" s="436">
        <f>'PM After Switch'!$W$29</f>
        <v/>
      </c>
      <c r="M38" s="436">
        <f>'PM After Switch'!$X$29</f>
        <v/>
      </c>
      <c r="N38" s="436">
        <f>'PM After Switch'!$Y$29</f>
        <v/>
      </c>
      <c r="O38" s="436">
        <f>'PM After Switch'!$Z$29</f>
        <v/>
      </c>
      <c r="P38" s="436">
        <f>'PM After Switch'!$AA$29</f>
        <v/>
      </c>
      <c r="Q38" s="426">
        <f>'PM After Switch'!$AB$29</f>
        <v/>
      </c>
      <c r="R38" s="429">
        <f>'PM After Switch'!$AC$29</f>
        <v/>
      </c>
      <c r="S38" s="429">
        <f>'PM After Switch'!$AD$29</f>
        <v/>
      </c>
      <c r="T38" s="429">
        <f>'PM After Switch'!$AE$29</f>
        <v/>
      </c>
      <c r="U38" s="429">
        <f>'PM After Switch'!$AF$29</f>
        <v/>
      </c>
      <c r="V38" s="505" t="n"/>
      <c r="W38" s="506">
        <f>IF($B38="Stay at Jump",INDEX('Savings Projection'!$AI$19:$AI$33,1),IF($B38="IC Switch",IFERROR(INDEX('IC Switch Scenarios'!$X$36:$X$170,MATCH($C38,'IC Switch Scenarios'!$A$36:$A$170,0)+0),""),IFERROR(INDEX('PM After Switch'!$AF$51:$AF$350,MATCH($C38,'PM After Switch'!$A$51:$A$350,0)+0),"")))</f>
        <v/>
      </c>
      <c r="X38" s="506">
        <f>IF($B38="Stay at Jump",INDEX('Savings Projection'!$AI$19:$AI$33,2),IF($B38="IC Switch",IFERROR(INDEX('IC Switch Scenarios'!$X$36:$X$170,MATCH($C38,'IC Switch Scenarios'!$A$36:$A$170,0)+1),""),IFERROR(INDEX('PM After Switch'!$AF$51:$AF$350,MATCH($C38,'PM After Switch'!$A$51:$A$350,0)+1),"")))</f>
        <v/>
      </c>
      <c r="Y38" s="506">
        <f>IF($B38="Stay at Jump",INDEX('Savings Projection'!$AI$19:$AI$33,3),IF($B38="IC Switch",IFERROR(INDEX('IC Switch Scenarios'!$X$36:$X$170,MATCH($C38,'IC Switch Scenarios'!$A$36:$A$170,0)+2),""),IFERROR(INDEX('PM After Switch'!$AF$51:$AF$350,MATCH($C38,'PM After Switch'!$A$51:$A$350,0)+2),"")))</f>
        <v/>
      </c>
      <c r="Z38" s="506">
        <f>IF($B38="Stay at Jump",INDEX('Savings Projection'!$AI$19:$AI$33,4),IF($B38="IC Switch",IFERROR(INDEX('IC Switch Scenarios'!$X$36:$X$170,MATCH($C38,'IC Switch Scenarios'!$A$36:$A$170,0)+3),""),IFERROR(INDEX('PM After Switch'!$AF$51:$AF$350,MATCH($C38,'PM After Switch'!$A$51:$A$350,0)+3),"")))</f>
        <v/>
      </c>
      <c r="AA38" s="506">
        <f>IF($B38="Stay at Jump",INDEX('Savings Projection'!$AI$19:$AI$33,5),IF($B38="IC Switch",IFERROR(INDEX('IC Switch Scenarios'!$X$36:$X$170,MATCH($C38,'IC Switch Scenarios'!$A$36:$A$170,0)+4),""),IFERROR(INDEX('PM After Switch'!$AF$51:$AF$350,MATCH($C38,'PM After Switch'!$A$51:$A$350,0)+4),"")))</f>
        <v/>
      </c>
      <c r="AB38" s="506">
        <f>IF($B38="Stay at Jump",INDEX('Savings Projection'!$AI$19:$AI$33,6),IF($B38="IC Switch",IFERROR(INDEX('IC Switch Scenarios'!$X$36:$X$170,MATCH($C38,'IC Switch Scenarios'!$A$36:$A$170,0)+5),""),IFERROR(INDEX('PM After Switch'!$AF$51:$AF$350,MATCH($C38,'PM After Switch'!$A$51:$A$350,0)+5),"")))</f>
        <v/>
      </c>
      <c r="AC38" s="506">
        <f>IF($B38="Stay at Jump",INDEX('Savings Projection'!$AI$19:$AI$33,7),IF($B38="IC Switch",IFERROR(INDEX('IC Switch Scenarios'!$X$36:$X$170,MATCH($C38,'IC Switch Scenarios'!$A$36:$A$170,0)+6),""),IFERROR(INDEX('PM After Switch'!$AF$51:$AF$350,MATCH($C38,'PM After Switch'!$A$51:$A$350,0)+6),"")))</f>
        <v/>
      </c>
      <c r="AD38" s="506">
        <f>IF($B38="Stay at Jump",INDEX('Savings Projection'!$AI$19:$AI$33,8),IF($B38="IC Switch",IFERROR(INDEX('IC Switch Scenarios'!$X$36:$X$170,MATCH($C38,'IC Switch Scenarios'!$A$36:$A$170,0)+7),""),IFERROR(INDEX('PM After Switch'!$AF$51:$AF$350,MATCH($C38,'PM After Switch'!$A$51:$A$350,0)+7),"")))</f>
        <v/>
      </c>
      <c r="AE38" s="506">
        <f>IF($B38="Stay at Jump",INDEX('Savings Projection'!$AI$19:$AI$33,9),IF($B38="IC Switch",IFERROR(INDEX('IC Switch Scenarios'!$X$36:$X$170,MATCH($C38,'IC Switch Scenarios'!$A$36:$A$170,0)+8),""),IFERROR(INDEX('PM After Switch'!$AF$51:$AF$350,MATCH($C38,'PM After Switch'!$A$51:$A$350,0)+8),"")))</f>
        <v/>
      </c>
      <c r="AF38" s="506">
        <f>IF($B38="Stay at Jump",INDEX('Savings Projection'!$AI$19:$AI$33,10),IF($B38="IC Switch",IFERROR(INDEX('IC Switch Scenarios'!$X$36:$X$170,MATCH($C38,'IC Switch Scenarios'!$A$36:$A$170,0)+9),""),IFERROR(INDEX('PM After Switch'!$AF$51:$AF$350,MATCH($C38,'PM After Switch'!$A$51:$A$350,0)+9),"")))</f>
        <v/>
      </c>
      <c r="AG38" s="506">
        <f>IF($B38="Stay at Jump",INDEX('Savings Projection'!$AI$19:$AI$33,11),IF($B38="IC Switch",IFERROR(INDEX('IC Switch Scenarios'!$X$36:$X$170,MATCH($C38,'IC Switch Scenarios'!$A$36:$A$170,0)+10),""),IFERROR(INDEX('PM After Switch'!$AF$51:$AF$350,MATCH($C38,'PM After Switch'!$A$51:$A$350,0)+10),"")))</f>
        <v/>
      </c>
      <c r="AH38" s="506">
        <f>IF($B38="Stay at Jump",INDEX('Savings Projection'!$AI$19:$AI$33,12),IF($B38="IC Switch",IFERROR(INDEX('IC Switch Scenarios'!$X$36:$X$170,MATCH($C38,'IC Switch Scenarios'!$A$36:$A$170,0)+11),""),IFERROR(INDEX('PM After Switch'!$AF$51:$AF$350,MATCH($C38,'PM After Switch'!$A$51:$A$350,0)+11),"")))</f>
        <v/>
      </c>
      <c r="AI38" s="506">
        <f>IF($B38="Stay at Jump",INDEX('Savings Projection'!$AI$19:$AI$33,13),IF($B38="IC Switch",IFERROR(INDEX('IC Switch Scenarios'!$X$36:$X$170,MATCH($C38,'IC Switch Scenarios'!$A$36:$A$170,0)+12),""),IFERROR(INDEX('PM After Switch'!$AF$51:$AF$350,MATCH($C38,'PM After Switch'!$A$51:$A$350,0)+12),"")))</f>
        <v/>
      </c>
      <c r="AJ38" s="506">
        <f>IF($B38="Stay at Jump",INDEX('Savings Projection'!$AI$19:$AI$33,14),IF($B38="IC Switch",IFERROR(INDEX('IC Switch Scenarios'!$X$36:$X$170,MATCH($C38,'IC Switch Scenarios'!$A$36:$A$170,0)+13),""),IFERROR(INDEX('PM After Switch'!$AF$51:$AF$350,MATCH($C38,'PM After Switch'!$A$51:$A$350,0)+13),"")))</f>
        <v/>
      </c>
      <c r="AK38" s="506">
        <f>IF($B38="Stay at Jump",INDEX('Savings Projection'!$AI$19:$AI$33,15),IF($B38="IC Switch",IFERROR(INDEX('IC Switch Scenarios'!$X$36:$X$170,MATCH($C38,'IC Switch Scenarios'!$A$36:$A$170,0)+14),""),IFERROR(INDEX('PM After Switch'!$AF$51:$AF$350,MATCH($C38,'PM After Switch'!$A$51:$A$350,0)+14),"")))</f>
        <v/>
      </c>
    </row>
    <row r="39" ht="20" customHeight="1" s="326">
      <c r="A39" s="426">
        <f>$B39&amp;" | "&amp;$C39&amp;" | "&amp;$H39</f>
        <v/>
      </c>
      <c r="B39" s="426" t="inlineStr">
        <is>
          <t>PM After Switch</t>
        </is>
      </c>
      <c r="C39" s="426">
        <f>'PM After Switch'!$A$30</f>
        <v/>
      </c>
      <c r="D39" s="427">
        <f>'PM After Switch'!$B$30</f>
        <v/>
      </c>
      <c r="E39" s="435">
        <f>'PM After Switch'!$C$30</f>
        <v/>
      </c>
      <c r="F39" s="427">
        <f>'PM After Switch'!$D$30</f>
        <v/>
      </c>
      <c r="G39" s="426">
        <f>'PM After Switch'!$E$30</f>
        <v/>
      </c>
      <c r="H39" s="429" t="inlineStr">
        <is>
          <t>Y10</t>
        </is>
      </c>
      <c r="I39" s="436">
        <f>'PM After Switch'!$K$30</f>
        <v/>
      </c>
      <c r="J39" s="436">
        <f>'PM After Switch'!$L$30</f>
        <v/>
      </c>
      <c r="K39" s="436">
        <f>'PM After Switch'!$M$30</f>
        <v/>
      </c>
      <c r="L39" s="436">
        <f>'PM After Switch'!$N$30</f>
        <v/>
      </c>
      <c r="M39" s="436">
        <f>'PM After Switch'!$O$30</f>
        <v/>
      </c>
      <c r="N39" s="436">
        <f>'PM After Switch'!$P$30</f>
        <v/>
      </c>
      <c r="O39" s="436">
        <f>'PM After Switch'!$Q$30</f>
        <v/>
      </c>
      <c r="P39" s="436">
        <f>'PM After Switch'!$R$30</f>
        <v/>
      </c>
      <c r="Q39" s="426">
        <f>'PM After Switch'!$S$30</f>
        <v/>
      </c>
      <c r="R39" s="429">
        <f>'PM After Switch'!$AC$30</f>
        <v/>
      </c>
      <c r="S39" s="429">
        <f>'PM After Switch'!$AD$30</f>
        <v/>
      </c>
      <c r="T39" s="429">
        <f>'PM After Switch'!$AE$30</f>
        <v/>
      </c>
      <c r="U39" s="429">
        <f>'PM After Switch'!$AF$30</f>
        <v/>
      </c>
      <c r="V39" s="505" t="n"/>
      <c r="W39" s="506">
        <f>IF($B39="Stay at Jump",INDEX('Savings Projection'!$AI$19:$AI$33,1),IF($B39="IC Switch",IFERROR(INDEX('IC Switch Scenarios'!$X$36:$X$170,MATCH($C39,'IC Switch Scenarios'!$A$36:$A$170,0)+0),""),IFERROR(INDEX('PM After Switch'!$AF$51:$AF$350,MATCH($C39,'PM After Switch'!$A$51:$A$350,0)+0),"")))</f>
        <v/>
      </c>
      <c r="X39" s="506">
        <f>IF($B39="Stay at Jump",INDEX('Savings Projection'!$AI$19:$AI$33,2),IF($B39="IC Switch",IFERROR(INDEX('IC Switch Scenarios'!$X$36:$X$170,MATCH($C39,'IC Switch Scenarios'!$A$36:$A$170,0)+1),""),IFERROR(INDEX('PM After Switch'!$AF$51:$AF$350,MATCH($C39,'PM After Switch'!$A$51:$A$350,0)+1),"")))</f>
        <v/>
      </c>
      <c r="Y39" s="506">
        <f>IF($B39="Stay at Jump",INDEX('Savings Projection'!$AI$19:$AI$33,3),IF($B39="IC Switch",IFERROR(INDEX('IC Switch Scenarios'!$X$36:$X$170,MATCH($C39,'IC Switch Scenarios'!$A$36:$A$170,0)+2),""),IFERROR(INDEX('PM After Switch'!$AF$51:$AF$350,MATCH($C39,'PM After Switch'!$A$51:$A$350,0)+2),"")))</f>
        <v/>
      </c>
      <c r="Z39" s="506">
        <f>IF($B39="Stay at Jump",INDEX('Savings Projection'!$AI$19:$AI$33,4),IF($B39="IC Switch",IFERROR(INDEX('IC Switch Scenarios'!$X$36:$X$170,MATCH($C39,'IC Switch Scenarios'!$A$36:$A$170,0)+3),""),IFERROR(INDEX('PM After Switch'!$AF$51:$AF$350,MATCH($C39,'PM After Switch'!$A$51:$A$350,0)+3),"")))</f>
        <v/>
      </c>
      <c r="AA39" s="506">
        <f>IF($B39="Stay at Jump",INDEX('Savings Projection'!$AI$19:$AI$33,5),IF($B39="IC Switch",IFERROR(INDEX('IC Switch Scenarios'!$X$36:$X$170,MATCH($C39,'IC Switch Scenarios'!$A$36:$A$170,0)+4),""),IFERROR(INDEX('PM After Switch'!$AF$51:$AF$350,MATCH($C39,'PM After Switch'!$A$51:$A$350,0)+4),"")))</f>
        <v/>
      </c>
      <c r="AB39" s="506">
        <f>IF($B39="Stay at Jump",INDEX('Savings Projection'!$AI$19:$AI$33,6),IF($B39="IC Switch",IFERROR(INDEX('IC Switch Scenarios'!$X$36:$X$170,MATCH($C39,'IC Switch Scenarios'!$A$36:$A$170,0)+5),""),IFERROR(INDEX('PM After Switch'!$AF$51:$AF$350,MATCH($C39,'PM After Switch'!$A$51:$A$350,0)+5),"")))</f>
        <v/>
      </c>
      <c r="AC39" s="506">
        <f>IF($B39="Stay at Jump",INDEX('Savings Projection'!$AI$19:$AI$33,7),IF($B39="IC Switch",IFERROR(INDEX('IC Switch Scenarios'!$X$36:$X$170,MATCH($C39,'IC Switch Scenarios'!$A$36:$A$170,0)+6),""),IFERROR(INDEX('PM After Switch'!$AF$51:$AF$350,MATCH($C39,'PM After Switch'!$A$51:$A$350,0)+6),"")))</f>
        <v/>
      </c>
      <c r="AD39" s="506">
        <f>IF($B39="Stay at Jump",INDEX('Savings Projection'!$AI$19:$AI$33,8),IF($B39="IC Switch",IFERROR(INDEX('IC Switch Scenarios'!$X$36:$X$170,MATCH($C39,'IC Switch Scenarios'!$A$36:$A$170,0)+7),""),IFERROR(INDEX('PM After Switch'!$AF$51:$AF$350,MATCH($C39,'PM After Switch'!$A$51:$A$350,0)+7),"")))</f>
        <v/>
      </c>
      <c r="AE39" s="506">
        <f>IF($B39="Stay at Jump",INDEX('Savings Projection'!$AI$19:$AI$33,9),IF($B39="IC Switch",IFERROR(INDEX('IC Switch Scenarios'!$X$36:$X$170,MATCH($C39,'IC Switch Scenarios'!$A$36:$A$170,0)+8),""),IFERROR(INDEX('PM After Switch'!$AF$51:$AF$350,MATCH($C39,'PM After Switch'!$A$51:$A$350,0)+8),"")))</f>
        <v/>
      </c>
      <c r="AF39" s="506">
        <f>IF($B39="Stay at Jump",INDEX('Savings Projection'!$AI$19:$AI$33,10),IF($B39="IC Switch",IFERROR(INDEX('IC Switch Scenarios'!$X$36:$X$170,MATCH($C39,'IC Switch Scenarios'!$A$36:$A$170,0)+9),""),IFERROR(INDEX('PM After Switch'!$AF$51:$AF$350,MATCH($C39,'PM After Switch'!$A$51:$A$350,0)+9),"")))</f>
        <v/>
      </c>
      <c r="AG39" s="506">
        <f>IF($B39="Stay at Jump",INDEX('Savings Projection'!$AI$19:$AI$33,11),IF($B39="IC Switch",IFERROR(INDEX('IC Switch Scenarios'!$X$36:$X$170,MATCH($C39,'IC Switch Scenarios'!$A$36:$A$170,0)+10),""),IFERROR(INDEX('PM After Switch'!$AF$51:$AF$350,MATCH($C39,'PM After Switch'!$A$51:$A$350,0)+10),"")))</f>
        <v/>
      </c>
      <c r="AH39" s="506">
        <f>IF($B39="Stay at Jump",INDEX('Savings Projection'!$AI$19:$AI$33,12),IF($B39="IC Switch",IFERROR(INDEX('IC Switch Scenarios'!$X$36:$X$170,MATCH($C39,'IC Switch Scenarios'!$A$36:$A$170,0)+11),""),IFERROR(INDEX('PM After Switch'!$AF$51:$AF$350,MATCH($C39,'PM After Switch'!$A$51:$A$350,0)+11),"")))</f>
        <v/>
      </c>
      <c r="AI39" s="506">
        <f>IF($B39="Stay at Jump",INDEX('Savings Projection'!$AI$19:$AI$33,13),IF($B39="IC Switch",IFERROR(INDEX('IC Switch Scenarios'!$X$36:$X$170,MATCH($C39,'IC Switch Scenarios'!$A$36:$A$170,0)+12),""),IFERROR(INDEX('PM After Switch'!$AF$51:$AF$350,MATCH($C39,'PM After Switch'!$A$51:$A$350,0)+12),"")))</f>
        <v/>
      </c>
      <c r="AJ39" s="506">
        <f>IF($B39="Stay at Jump",INDEX('Savings Projection'!$AI$19:$AI$33,14),IF($B39="IC Switch",IFERROR(INDEX('IC Switch Scenarios'!$X$36:$X$170,MATCH($C39,'IC Switch Scenarios'!$A$36:$A$170,0)+13),""),IFERROR(INDEX('PM After Switch'!$AF$51:$AF$350,MATCH($C39,'PM After Switch'!$A$51:$A$350,0)+13),"")))</f>
        <v/>
      </c>
      <c r="AK39" s="506">
        <f>IF($B39="Stay at Jump",INDEX('Savings Projection'!$AI$19:$AI$33,15),IF($B39="IC Switch",IFERROR(INDEX('IC Switch Scenarios'!$X$36:$X$170,MATCH($C39,'IC Switch Scenarios'!$A$36:$A$170,0)+14),""),IFERROR(INDEX('PM After Switch'!$AF$51:$AF$350,MATCH($C39,'PM After Switch'!$A$51:$A$350,0)+14),"")))</f>
        <v/>
      </c>
    </row>
    <row r="40" ht="20" customHeight="1" s="326">
      <c r="A40" s="426">
        <f>$B40&amp;" | "&amp;$C40&amp;" | "&amp;$H40</f>
        <v/>
      </c>
      <c r="B40" s="426" t="inlineStr">
        <is>
          <t>PM After Switch</t>
        </is>
      </c>
      <c r="C40" s="426">
        <f>'PM After Switch'!$A$30</f>
        <v/>
      </c>
      <c r="D40" s="427">
        <f>'PM After Switch'!$B$30</f>
        <v/>
      </c>
      <c r="E40" s="435">
        <f>'PM After Switch'!$C$30</f>
        <v/>
      </c>
      <c r="F40" s="427">
        <f>'PM After Switch'!$D$30</f>
        <v/>
      </c>
      <c r="G40" s="426">
        <f>'PM After Switch'!$E$30</f>
        <v/>
      </c>
      <c r="H40" s="429" t="inlineStr">
        <is>
          <t>Y15</t>
        </is>
      </c>
      <c r="I40" s="436">
        <f>'PM After Switch'!$T$30</f>
        <v/>
      </c>
      <c r="J40" s="436">
        <f>'PM After Switch'!$U$30</f>
        <v/>
      </c>
      <c r="K40" s="436">
        <f>'PM After Switch'!$V$30</f>
        <v/>
      </c>
      <c r="L40" s="436">
        <f>'PM After Switch'!$W$30</f>
        <v/>
      </c>
      <c r="M40" s="436">
        <f>'PM After Switch'!$X$30</f>
        <v/>
      </c>
      <c r="N40" s="436">
        <f>'PM After Switch'!$Y$30</f>
        <v/>
      </c>
      <c r="O40" s="436">
        <f>'PM After Switch'!$Z$30</f>
        <v/>
      </c>
      <c r="P40" s="436">
        <f>'PM After Switch'!$AA$30</f>
        <v/>
      </c>
      <c r="Q40" s="426">
        <f>'PM After Switch'!$AB$30</f>
        <v/>
      </c>
      <c r="R40" s="429">
        <f>'PM After Switch'!$AC$30</f>
        <v/>
      </c>
      <c r="S40" s="429">
        <f>'PM After Switch'!$AD$30</f>
        <v/>
      </c>
      <c r="T40" s="429">
        <f>'PM After Switch'!$AE$30</f>
        <v/>
      </c>
      <c r="U40" s="429">
        <f>'PM After Switch'!$AF$30</f>
        <v/>
      </c>
      <c r="V40" s="505" t="n"/>
      <c r="W40" s="506">
        <f>IF($B40="Stay at Jump",INDEX('Savings Projection'!$AI$19:$AI$33,1),IF($B40="IC Switch",IFERROR(INDEX('IC Switch Scenarios'!$X$36:$X$170,MATCH($C40,'IC Switch Scenarios'!$A$36:$A$170,0)+0),""),IFERROR(INDEX('PM After Switch'!$AF$51:$AF$350,MATCH($C40,'PM After Switch'!$A$51:$A$350,0)+0),"")))</f>
        <v/>
      </c>
      <c r="X40" s="506">
        <f>IF($B40="Stay at Jump",INDEX('Savings Projection'!$AI$19:$AI$33,2),IF($B40="IC Switch",IFERROR(INDEX('IC Switch Scenarios'!$X$36:$X$170,MATCH($C40,'IC Switch Scenarios'!$A$36:$A$170,0)+1),""),IFERROR(INDEX('PM After Switch'!$AF$51:$AF$350,MATCH($C40,'PM After Switch'!$A$51:$A$350,0)+1),"")))</f>
        <v/>
      </c>
      <c r="Y40" s="506">
        <f>IF($B40="Stay at Jump",INDEX('Savings Projection'!$AI$19:$AI$33,3),IF($B40="IC Switch",IFERROR(INDEX('IC Switch Scenarios'!$X$36:$X$170,MATCH($C40,'IC Switch Scenarios'!$A$36:$A$170,0)+2),""),IFERROR(INDEX('PM After Switch'!$AF$51:$AF$350,MATCH($C40,'PM After Switch'!$A$51:$A$350,0)+2),"")))</f>
        <v/>
      </c>
      <c r="Z40" s="506">
        <f>IF($B40="Stay at Jump",INDEX('Savings Projection'!$AI$19:$AI$33,4),IF($B40="IC Switch",IFERROR(INDEX('IC Switch Scenarios'!$X$36:$X$170,MATCH($C40,'IC Switch Scenarios'!$A$36:$A$170,0)+3),""),IFERROR(INDEX('PM After Switch'!$AF$51:$AF$350,MATCH($C40,'PM After Switch'!$A$51:$A$350,0)+3),"")))</f>
        <v/>
      </c>
      <c r="AA40" s="506">
        <f>IF($B40="Stay at Jump",INDEX('Savings Projection'!$AI$19:$AI$33,5),IF($B40="IC Switch",IFERROR(INDEX('IC Switch Scenarios'!$X$36:$X$170,MATCH($C40,'IC Switch Scenarios'!$A$36:$A$170,0)+4),""),IFERROR(INDEX('PM After Switch'!$AF$51:$AF$350,MATCH($C40,'PM After Switch'!$A$51:$A$350,0)+4),"")))</f>
        <v/>
      </c>
      <c r="AB40" s="506">
        <f>IF($B40="Stay at Jump",INDEX('Savings Projection'!$AI$19:$AI$33,6),IF($B40="IC Switch",IFERROR(INDEX('IC Switch Scenarios'!$X$36:$X$170,MATCH($C40,'IC Switch Scenarios'!$A$36:$A$170,0)+5),""),IFERROR(INDEX('PM After Switch'!$AF$51:$AF$350,MATCH($C40,'PM After Switch'!$A$51:$A$350,0)+5),"")))</f>
        <v/>
      </c>
      <c r="AC40" s="506">
        <f>IF($B40="Stay at Jump",INDEX('Savings Projection'!$AI$19:$AI$33,7),IF($B40="IC Switch",IFERROR(INDEX('IC Switch Scenarios'!$X$36:$X$170,MATCH($C40,'IC Switch Scenarios'!$A$36:$A$170,0)+6),""),IFERROR(INDEX('PM After Switch'!$AF$51:$AF$350,MATCH($C40,'PM After Switch'!$A$51:$A$350,0)+6),"")))</f>
        <v/>
      </c>
      <c r="AD40" s="506">
        <f>IF($B40="Stay at Jump",INDEX('Savings Projection'!$AI$19:$AI$33,8),IF($B40="IC Switch",IFERROR(INDEX('IC Switch Scenarios'!$X$36:$X$170,MATCH($C40,'IC Switch Scenarios'!$A$36:$A$170,0)+7),""),IFERROR(INDEX('PM After Switch'!$AF$51:$AF$350,MATCH($C40,'PM After Switch'!$A$51:$A$350,0)+7),"")))</f>
        <v/>
      </c>
      <c r="AE40" s="506">
        <f>IF($B40="Stay at Jump",INDEX('Savings Projection'!$AI$19:$AI$33,9),IF($B40="IC Switch",IFERROR(INDEX('IC Switch Scenarios'!$X$36:$X$170,MATCH($C40,'IC Switch Scenarios'!$A$36:$A$170,0)+8),""),IFERROR(INDEX('PM After Switch'!$AF$51:$AF$350,MATCH($C40,'PM After Switch'!$A$51:$A$350,0)+8),"")))</f>
        <v/>
      </c>
      <c r="AF40" s="506">
        <f>IF($B40="Stay at Jump",INDEX('Savings Projection'!$AI$19:$AI$33,10),IF($B40="IC Switch",IFERROR(INDEX('IC Switch Scenarios'!$X$36:$X$170,MATCH($C40,'IC Switch Scenarios'!$A$36:$A$170,0)+9),""),IFERROR(INDEX('PM After Switch'!$AF$51:$AF$350,MATCH($C40,'PM After Switch'!$A$51:$A$350,0)+9),"")))</f>
        <v/>
      </c>
      <c r="AG40" s="506">
        <f>IF($B40="Stay at Jump",INDEX('Savings Projection'!$AI$19:$AI$33,11),IF($B40="IC Switch",IFERROR(INDEX('IC Switch Scenarios'!$X$36:$X$170,MATCH($C40,'IC Switch Scenarios'!$A$36:$A$170,0)+10),""),IFERROR(INDEX('PM After Switch'!$AF$51:$AF$350,MATCH($C40,'PM After Switch'!$A$51:$A$350,0)+10),"")))</f>
        <v/>
      </c>
      <c r="AH40" s="506">
        <f>IF($B40="Stay at Jump",INDEX('Savings Projection'!$AI$19:$AI$33,12),IF($B40="IC Switch",IFERROR(INDEX('IC Switch Scenarios'!$X$36:$X$170,MATCH($C40,'IC Switch Scenarios'!$A$36:$A$170,0)+11),""),IFERROR(INDEX('PM After Switch'!$AF$51:$AF$350,MATCH($C40,'PM After Switch'!$A$51:$A$350,0)+11),"")))</f>
        <v/>
      </c>
      <c r="AI40" s="506">
        <f>IF($B40="Stay at Jump",INDEX('Savings Projection'!$AI$19:$AI$33,13),IF($B40="IC Switch",IFERROR(INDEX('IC Switch Scenarios'!$X$36:$X$170,MATCH($C40,'IC Switch Scenarios'!$A$36:$A$170,0)+12),""),IFERROR(INDEX('PM After Switch'!$AF$51:$AF$350,MATCH($C40,'PM After Switch'!$A$51:$A$350,0)+12),"")))</f>
        <v/>
      </c>
      <c r="AJ40" s="506">
        <f>IF($B40="Stay at Jump",INDEX('Savings Projection'!$AI$19:$AI$33,14),IF($B40="IC Switch",IFERROR(INDEX('IC Switch Scenarios'!$X$36:$X$170,MATCH($C40,'IC Switch Scenarios'!$A$36:$A$170,0)+13),""),IFERROR(INDEX('PM After Switch'!$AF$51:$AF$350,MATCH($C40,'PM After Switch'!$A$51:$A$350,0)+13),"")))</f>
        <v/>
      </c>
      <c r="AK40" s="506">
        <f>IF($B40="Stay at Jump",INDEX('Savings Projection'!$AI$19:$AI$33,15),IF($B40="IC Switch",IFERROR(INDEX('IC Switch Scenarios'!$X$36:$X$170,MATCH($C40,'IC Switch Scenarios'!$A$36:$A$170,0)+14),""),IFERROR(INDEX('PM After Switch'!$AF$51:$AF$350,MATCH($C40,'PM After Switch'!$A$51:$A$350,0)+14),"")))</f>
        <v/>
      </c>
    </row>
    <row r="41" ht="20" customHeight="1" s="326">
      <c r="A41" s="426">
        <f>$B41&amp;" | "&amp;$C41&amp;" | "&amp;$H41</f>
        <v/>
      </c>
      <c r="B41" s="426" t="inlineStr">
        <is>
          <t>PM After Switch</t>
        </is>
      </c>
      <c r="C41" s="426">
        <f>'PM After Switch'!$A$31</f>
        <v/>
      </c>
      <c r="D41" s="427">
        <f>'PM After Switch'!$B$31</f>
        <v/>
      </c>
      <c r="E41" s="435">
        <f>'PM After Switch'!$C$31</f>
        <v/>
      </c>
      <c r="F41" s="427">
        <f>'PM After Switch'!$D$31</f>
        <v/>
      </c>
      <c r="G41" s="426">
        <f>'PM After Switch'!$E$31</f>
        <v/>
      </c>
      <c r="H41" s="429" t="inlineStr">
        <is>
          <t>Y10</t>
        </is>
      </c>
      <c r="I41" s="436">
        <f>'PM After Switch'!$K$31</f>
        <v/>
      </c>
      <c r="J41" s="436">
        <f>'PM After Switch'!$L$31</f>
        <v/>
      </c>
      <c r="K41" s="436">
        <f>'PM After Switch'!$M$31</f>
        <v/>
      </c>
      <c r="L41" s="436">
        <f>'PM After Switch'!$N$31</f>
        <v/>
      </c>
      <c r="M41" s="436">
        <f>'PM After Switch'!$O$31</f>
        <v/>
      </c>
      <c r="N41" s="436">
        <f>'PM After Switch'!$P$31</f>
        <v/>
      </c>
      <c r="O41" s="436">
        <f>'PM After Switch'!$Q$31</f>
        <v/>
      </c>
      <c r="P41" s="436">
        <f>'PM After Switch'!$R$31</f>
        <v/>
      </c>
      <c r="Q41" s="426">
        <f>'PM After Switch'!$S$31</f>
        <v/>
      </c>
      <c r="R41" s="429">
        <f>'PM After Switch'!$AC$31</f>
        <v/>
      </c>
      <c r="S41" s="429">
        <f>'PM After Switch'!$AD$31</f>
        <v/>
      </c>
      <c r="T41" s="429">
        <f>'PM After Switch'!$AE$31</f>
        <v/>
      </c>
      <c r="U41" s="429">
        <f>'PM After Switch'!$AF$31</f>
        <v/>
      </c>
      <c r="V41" s="505" t="n"/>
      <c r="W41" s="506">
        <f>IF($B41="Stay at Jump",INDEX('Savings Projection'!$AI$19:$AI$33,1),IF($B41="IC Switch",IFERROR(INDEX('IC Switch Scenarios'!$X$36:$X$170,MATCH($C41,'IC Switch Scenarios'!$A$36:$A$170,0)+0),""),IFERROR(INDEX('PM After Switch'!$AF$51:$AF$350,MATCH($C41,'PM After Switch'!$A$51:$A$350,0)+0),"")))</f>
        <v/>
      </c>
      <c r="X41" s="506">
        <f>IF($B41="Stay at Jump",INDEX('Savings Projection'!$AI$19:$AI$33,2),IF($B41="IC Switch",IFERROR(INDEX('IC Switch Scenarios'!$X$36:$X$170,MATCH($C41,'IC Switch Scenarios'!$A$36:$A$170,0)+1),""),IFERROR(INDEX('PM After Switch'!$AF$51:$AF$350,MATCH($C41,'PM After Switch'!$A$51:$A$350,0)+1),"")))</f>
        <v/>
      </c>
      <c r="Y41" s="506">
        <f>IF($B41="Stay at Jump",INDEX('Savings Projection'!$AI$19:$AI$33,3),IF($B41="IC Switch",IFERROR(INDEX('IC Switch Scenarios'!$X$36:$X$170,MATCH($C41,'IC Switch Scenarios'!$A$36:$A$170,0)+2),""),IFERROR(INDEX('PM After Switch'!$AF$51:$AF$350,MATCH($C41,'PM After Switch'!$A$51:$A$350,0)+2),"")))</f>
        <v/>
      </c>
      <c r="Z41" s="506">
        <f>IF($B41="Stay at Jump",INDEX('Savings Projection'!$AI$19:$AI$33,4),IF($B41="IC Switch",IFERROR(INDEX('IC Switch Scenarios'!$X$36:$X$170,MATCH($C41,'IC Switch Scenarios'!$A$36:$A$170,0)+3),""),IFERROR(INDEX('PM After Switch'!$AF$51:$AF$350,MATCH($C41,'PM After Switch'!$A$51:$A$350,0)+3),"")))</f>
        <v/>
      </c>
      <c r="AA41" s="506">
        <f>IF($B41="Stay at Jump",INDEX('Savings Projection'!$AI$19:$AI$33,5),IF($B41="IC Switch",IFERROR(INDEX('IC Switch Scenarios'!$X$36:$X$170,MATCH($C41,'IC Switch Scenarios'!$A$36:$A$170,0)+4),""),IFERROR(INDEX('PM After Switch'!$AF$51:$AF$350,MATCH($C41,'PM After Switch'!$A$51:$A$350,0)+4),"")))</f>
        <v/>
      </c>
      <c r="AB41" s="506">
        <f>IF($B41="Stay at Jump",INDEX('Savings Projection'!$AI$19:$AI$33,6),IF($B41="IC Switch",IFERROR(INDEX('IC Switch Scenarios'!$X$36:$X$170,MATCH($C41,'IC Switch Scenarios'!$A$36:$A$170,0)+5),""),IFERROR(INDEX('PM After Switch'!$AF$51:$AF$350,MATCH($C41,'PM After Switch'!$A$51:$A$350,0)+5),"")))</f>
        <v/>
      </c>
      <c r="AC41" s="506">
        <f>IF($B41="Stay at Jump",INDEX('Savings Projection'!$AI$19:$AI$33,7),IF($B41="IC Switch",IFERROR(INDEX('IC Switch Scenarios'!$X$36:$X$170,MATCH($C41,'IC Switch Scenarios'!$A$36:$A$170,0)+6),""),IFERROR(INDEX('PM After Switch'!$AF$51:$AF$350,MATCH($C41,'PM After Switch'!$A$51:$A$350,0)+6),"")))</f>
        <v/>
      </c>
      <c r="AD41" s="506">
        <f>IF($B41="Stay at Jump",INDEX('Savings Projection'!$AI$19:$AI$33,8),IF($B41="IC Switch",IFERROR(INDEX('IC Switch Scenarios'!$X$36:$X$170,MATCH($C41,'IC Switch Scenarios'!$A$36:$A$170,0)+7),""),IFERROR(INDEX('PM After Switch'!$AF$51:$AF$350,MATCH($C41,'PM After Switch'!$A$51:$A$350,0)+7),"")))</f>
        <v/>
      </c>
      <c r="AE41" s="506">
        <f>IF($B41="Stay at Jump",INDEX('Savings Projection'!$AI$19:$AI$33,9),IF($B41="IC Switch",IFERROR(INDEX('IC Switch Scenarios'!$X$36:$X$170,MATCH($C41,'IC Switch Scenarios'!$A$36:$A$170,0)+8),""),IFERROR(INDEX('PM After Switch'!$AF$51:$AF$350,MATCH($C41,'PM After Switch'!$A$51:$A$350,0)+8),"")))</f>
        <v/>
      </c>
      <c r="AF41" s="506">
        <f>IF($B41="Stay at Jump",INDEX('Savings Projection'!$AI$19:$AI$33,10),IF($B41="IC Switch",IFERROR(INDEX('IC Switch Scenarios'!$X$36:$X$170,MATCH($C41,'IC Switch Scenarios'!$A$36:$A$170,0)+9),""),IFERROR(INDEX('PM After Switch'!$AF$51:$AF$350,MATCH($C41,'PM After Switch'!$A$51:$A$350,0)+9),"")))</f>
        <v/>
      </c>
      <c r="AG41" s="506">
        <f>IF($B41="Stay at Jump",INDEX('Savings Projection'!$AI$19:$AI$33,11),IF($B41="IC Switch",IFERROR(INDEX('IC Switch Scenarios'!$X$36:$X$170,MATCH($C41,'IC Switch Scenarios'!$A$36:$A$170,0)+10),""),IFERROR(INDEX('PM After Switch'!$AF$51:$AF$350,MATCH($C41,'PM After Switch'!$A$51:$A$350,0)+10),"")))</f>
        <v/>
      </c>
      <c r="AH41" s="506">
        <f>IF($B41="Stay at Jump",INDEX('Savings Projection'!$AI$19:$AI$33,12),IF($B41="IC Switch",IFERROR(INDEX('IC Switch Scenarios'!$X$36:$X$170,MATCH($C41,'IC Switch Scenarios'!$A$36:$A$170,0)+11),""),IFERROR(INDEX('PM After Switch'!$AF$51:$AF$350,MATCH($C41,'PM After Switch'!$A$51:$A$350,0)+11),"")))</f>
        <v/>
      </c>
      <c r="AI41" s="506">
        <f>IF($B41="Stay at Jump",INDEX('Savings Projection'!$AI$19:$AI$33,13),IF($B41="IC Switch",IFERROR(INDEX('IC Switch Scenarios'!$X$36:$X$170,MATCH($C41,'IC Switch Scenarios'!$A$36:$A$170,0)+12),""),IFERROR(INDEX('PM After Switch'!$AF$51:$AF$350,MATCH($C41,'PM After Switch'!$A$51:$A$350,0)+12),"")))</f>
        <v/>
      </c>
      <c r="AJ41" s="506">
        <f>IF($B41="Stay at Jump",INDEX('Savings Projection'!$AI$19:$AI$33,14),IF($B41="IC Switch",IFERROR(INDEX('IC Switch Scenarios'!$X$36:$X$170,MATCH($C41,'IC Switch Scenarios'!$A$36:$A$170,0)+13),""),IFERROR(INDEX('PM After Switch'!$AF$51:$AF$350,MATCH($C41,'PM After Switch'!$A$51:$A$350,0)+13),"")))</f>
        <v/>
      </c>
      <c r="AK41" s="506">
        <f>IF($B41="Stay at Jump",INDEX('Savings Projection'!$AI$19:$AI$33,15),IF($B41="IC Switch",IFERROR(INDEX('IC Switch Scenarios'!$X$36:$X$170,MATCH($C41,'IC Switch Scenarios'!$A$36:$A$170,0)+14),""),IFERROR(INDEX('PM After Switch'!$AF$51:$AF$350,MATCH($C41,'PM After Switch'!$A$51:$A$350,0)+14),"")))</f>
        <v/>
      </c>
    </row>
    <row r="42" ht="20" customHeight="1" s="326">
      <c r="A42" s="426">
        <f>$B42&amp;" | "&amp;$C42&amp;" | "&amp;$H42</f>
        <v/>
      </c>
      <c r="B42" s="426" t="inlineStr">
        <is>
          <t>PM After Switch</t>
        </is>
      </c>
      <c r="C42" s="426">
        <f>'PM After Switch'!$A$31</f>
        <v/>
      </c>
      <c r="D42" s="427">
        <f>'PM After Switch'!$B$31</f>
        <v/>
      </c>
      <c r="E42" s="435">
        <f>'PM After Switch'!$C$31</f>
        <v/>
      </c>
      <c r="F42" s="427">
        <f>'PM After Switch'!$D$31</f>
        <v/>
      </c>
      <c r="G42" s="426">
        <f>'PM After Switch'!$E$31</f>
        <v/>
      </c>
      <c r="H42" s="429" t="inlineStr">
        <is>
          <t>Y15</t>
        </is>
      </c>
      <c r="I42" s="436">
        <f>'PM After Switch'!$T$31</f>
        <v/>
      </c>
      <c r="J42" s="436">
        <f>'PM After Switch'!$U$31</f>
        <v/>
      </c>
      <c r="K42" s="436">
        <f>'PM After Switch'!$V$31</f>
        <v/>
      </c>
      <c r="L42" s="436">
        <f>'PM After Switch'!$W$31</f>
        <v/>
      </c>
      <c r="M42" s="436">
        <f>'PM After Switch'!$X$31</f>
        <v/>
      </c>
      <c r="N42" s="436">
        <f>'PM After Switch'!$Y$31</f>
        <v/>
      </c>
      <c r="O42" s="436">
        <f>'PM After Switch'!$Z$31</f>
        <v/>
      </c>
      <c r="P42" s="436">
        <f>'PM After Switch'!$AA$31</f>
        <v/>
      </c>
      <c r="Q42" s="426">
        <f>'PM After Switch'!$AB$31</f>
        <v/>
      </c>
      <c r="R42" s="429">
        <f>'PM After Switch'!$AC$31</f>
        <v/>
      </c>
      <c r="S42" s="429">
        <f>'PM After Switch'!$AD$31</f>
        <v/>
      </c>
      <c r="T42" s="429">
        <f>'PM After Switch'!$AE$31</f>
        <v/>
      </c>
      <c r="U42" s="429">
        <f>'PM After Switch'!$AF$31</f>
        <v/>
      </c>
      <c r="V42" s="505" t="n"/>
      <c r="W42" s="506">
        <f>IF($B42="Stay at Jump",INDEX('Savings Projection'!$AI$19:$AI$33,1),IF($B42="IC Switch",IFERROR(INDEX('IC Switch Scenarios'!$X$36:$X$170,MATCH($C42,'IC Switch Scenarios'!$A$36:$A$170,0)+0),""),IFERROR(INDEX('PM After Switch'!$AF$51:$AF$350,MATCH($C42,'PM After Switch'!$A$51:$A$350,0)+0),"")))</f>
        <v/>
      </c>
      <c r="X42" s="506">
        <f>IF($B42="Stay at Jump",INDEX('Savings Projection'!$AI$19:$AI$33,2),IF($B42="IC Switch",IFERROR(INDEX('IC Switch Scenarios'!$X$36:$X$170,MATCH($C42,'IC Switch Scenarios'!$A$36:$A$170,0)+1),""),IFERROR(INDEX('PM After Switch'!$AF$51:$AF$350,MATCH($C42,'PM After Switch'!$A$51:$A$350,0)+1),"")))</f>
        <v/>
      </c>
      <c r="Y42" s="506">
        <f>IF($B42="Stay at Jump",INDEX('Savings Projection'!$AI$19:$AI$33,3),IF($B42="IC Switch",IFERROR(INDEX('IC Switch Scenarios'!$X$36:$X$170,MATCH($C42,'IC Switch Scenarios'!$A$36:$A$170,0)+2),""),IFERROR(INDEX('PM After Switch'!$AF$51:$AF$350,MATCH($C42,'PM After Switch'!$A$51:$A$350,0)+2),"")))</f>
        <v/>
      </c>
      <c r="Z42" s="506">
        <f>IF($B42="Stay at Jump",INDEX('Savings Projection'!$AI$19:$AI$33,4),IF($B42="IC Switch",IFERROR(INDEX('IC Switch Scenarios'!$X$36:$X$170,MATCH($C42,'IC Switch Scenarios'!$A$36:$A$170,0)+3),""),IFERROR(INDEX('PM After Switch'!$AF$51:$AF$350,MATCH($C42,'PM After Switch'!$A$51:$A$350,0)+3),"")))</f>
        <v/>
      </c>
      <c r="AA42" s="506">
        <f>IF($B42="Stay at Jump",INDEX('Savings Projection'!$AI$19:$AI$33,5),IF($B42="IC Switch",IFERROR(INDEX('IC Switch Scenarios'!$X$36:$X$170,MATCH($C42,'IC Switch Scenarios'!$A$36:$A$170,0)+4),""),IFERROR(INDEX('PM After Switch'!$AF$51:$AF$350,MATCH($C42,'PM After Switch'!$A$51:$A$350,0)+4),"")))</f>
        <v/>
      </c>
      <c r="AB42" s="506">
        <f>IF($B42="Stay at Jump",INDEX('Savings Projection'!$AI$19:$AI$33,6),IF($B42="IC Switch",IFERROR(INDEX('IC Switch Scenarios'!$X$36:$X$170,MATCH($C42,'IC Switch Scenarios'!$A$36:$A$170,0)+5),""),IFERROR(INDEX('PM After Switch'!$AF$51:$AF$350,MATCH($C42,'PM After Switch'!$A$51:$A$350,0)+5),"")))</f>
        <v/>
      </c>
      <c r="AC42" s="506">
        <f>IF($B42="Stay at Jump",INDEX('Savings Projection'!$AI$19:$AI$33,7),IF($B42="IC Switch",IFERROR(INDEX('IC Switch Scenarios'!$X$36:$X$170,MATCH($C42,'IC Switch Scenarios'!$A$36:$A$170,0)+6),""),IFERROR(INDEX('PM After Switch'!$AF$51:$AF$350,MATCH($C42,'PM After Switch'!$A$51:$A$350,0)+6),"")))</f>
        <v/>
      </c>
      <c r="AD42" s="506">
        <f>IF($B42="Stay at Jump",INDEX('Savings Projection'!$AI$19:$AI$33,8),IF($B42="IC Switch",IFERROR(INDEX('IC Switch Scenarios'!$X$36:$X$170,MATCH($C42,'IC Switch Scenarios'!$A$36:$A$170,0)+7),""),IFERROR(INDEX('PM After Switch'!$AF$51:$AF$350,MATCH($C42,'PM After Switch'!$A$51:$A$350,0)+7),"")))</f>
        <v/>
      </c>
      <c r="AE42" s="506">
        <f>IF($B42="Stay at Jump",INDEX('Savings Projection'!$AI$19:$AI$33,9),IF($B42="IC Switch",IFERROR(INDEX('IC Switch Scenarios'!$X$36:$X$170,MATCH($C42,'IC Switch Scenarios'!$A$36:$A$170,0)+8),""),IFERROR(INDEX('PM After Switch'!$AF$51:$AF$350,MATCH($C42,'PM After Switch'!$A$51:$A$350,0)+8),"")))</f>
        <v/>
      </c>
      <c r="AF42" s="506">
        <f>IF($B42="Stay at Jump",INDEX('Savings Projection'!$AI$19:$AI$33,10),IF($B42="IC Switch",IFERROR(INDEX('IC Switch Scenarios'!$X$36:$X$170,MATCH($C42,'IC Switch Scenarios'!$A$36:$A$170,0)+9),""),IFERROR(INDEX('PM After Switch'!$AF$51:$AF$350,MATCH($C42,'PM After Switch'!$A$51:$A$350,0)+9),"")))</f>
        <v/>
      </c>
      <c r="AG42" s="506">
        <f>IF($B42="Stay at Jump",INDEX('Savings Projection'!$AI$19:$AI$33,11),IF($B42="IC Switch",IFERROR(INDEX('IC Switch Scenarios'!$X$36:$X$170,MATCH($C42,'IC Switch Scenarios'!$A$36:$A$170,0)+10),""),IFERROR(INDEX('PM After Switch'!$AF$51:$AF$350,MATCH($C42,'PM After Switch'!$A$51:$A$350,0)+10),"")))</f>
        <v/>
      </c>
      <c r="AH42" s="506">
        <f>IF($B42="Stay at Jump",INDEX('Savings Projection'!$AI$19:$AI$33,12),IF($B42="IC Switch",IFERROR(INDEX('IC Switch Scenarios'!$X$36:$X$170,MATCH($C42,'IC Switch Scenarios'!$A$36:$A$170,0)+11),""),IFERROR(INDEX('PM After Switch'!$AF$51:$AF$350,MATCH($C42,'PM After Switch'!$A$51:$A$350,0)+11),"")))</f>
        <v/>
      </c>
      <c r="AI42" s="506">
        <f>IF($B42="Stay at Jump",INDEX('Savings Projection'!$AI$19:$AI$33,13),IF($B42="IC Switch",IFERROR(INDEX('IC Switch Scenarios'!$X$36:$X$170,MATCH($C42,'IC Switch Scenarios'!$A$36:$A$170,0)+12),""),IFERROR(INDEX('PM After Switch'!$AF$51:$AF$350,MATCH($C42,'PM After Switch'!$A$51:$A$350,0)+12),"")))</f>
        <v/>
      </c>
      <c r="AJ42" s="506">
        <f>IF($B42="Stay at Jump",INDEX('Savings Projection'!$AI$19:$AI$33,14),IF($B42="IC Switch",IFERROR(INDEX('IC Switch Scenarios'!$X$36:$X$170,MATCH($C42,'IC Switch Scenarios'!$A$36:$A$170,0)+13),""),IFERROR(INDEX('PM After Switch'!$AF$51:$AF$350,MATCH($C42,'PM After Switch'!$A$51:$A$350,0)+13),"")))</f>
        <v/>
      </c>
      <c r="AK42" s="506">
        <f>IF($B42="Stay at Jump",INDEX('Savings Projection'!$AI$19:$AI$33,15),IF($B42="IC Switch",IFERROR(INDEX('IC Switch Scenarios'!$X$36:$X$170,MATCH($C42,'IC Switch Scenarios'!$A$36:$A$170,0)+14),""),IFERROR(INDEX('PM After Switch'!$AF$51:$AF$350,MATCH($C42,'PM After Switch'!$A$51:$A$350,0)+14),"")))</f>
        <v/>
      </c>
    </row>
    <row r="43" ht="20" customHeight="1" s="326">
      <c r="A43" s="426">
        <f>$B43&amp;" | "&amp;$C43&amp;" | "&amp;$H43</f>
        <v/>
      </c>
      <c r="B43" s="426" t="inlineStr">
        <is>
          <t>PM After Switch</t>
        </is>
      </c>
      <c r="C43" s="426">
        <f>'PM After Switch'!$A$32</f>
        <v/>
      </c>
      <c r="D43" s="427">
        <f>'PM After Switch'!$B$32</f>
        <v/>
      </c>
      <c r="E43" s="435">
        <f>'PM After Switch'!$C$32</f>
        <v/>
      </c>
      <c r="F43" s="427">
        <f>'PM After Switch'!$D$32</f>
        <v/>
      </c>
      <c r="G43" s="426">
        <f>'PM After Switch'!$E$32</f>
        <v/>
      </c>
      <c r="H43" s="429" t="inlineStr">
        <is>
          <t>Y10</t>
        </is>
      </c>
      <c r="I43" s="436">
        <f>'PM After Switch'!$K$32</f>
        <v/>
      </c>
      <c r="J43" s="436">
        <f>'PM After Switch'!$L$32</f>
        <v/>
      </c>
      <c r="K43" s="436">
        <f>'PM After Switch'!$M$32</f>
        <v/>
      </c>
      <c r="L43" s="436">
        <f>'PM After Switch'!$N$32</f>
        <v/>
      </c>
      <c r="M43" s="436">
        <f>'PM After Switch'!$O$32</f>
        <v/>
      </c>
      <c r="N43" s="436">
        <f>'PM After Switch'!$P$32</f>
        <v/>
      </c>
      <c r="O43" s="436">
        <f>'PM After Switch'!$Q$32</f>
        <v/>
      </c>
      <c r="P43" s="436">
        <f>'PM After Switch'!$R$32</f>
        <v/>
      </c>
      <c r="Q43" s="426">
        <f>'PM After Switch'!$S$32</f>
        <v/>
      </c>
      <c r="R43" s="429">
        <f>'PM After Switch'!$AC$32</f>
        <v/>
      </c>
      <c r="S43" s="429">
        <f>'PM After Switch'!$AD$32</f>
        <v/>
      </c>
      <c r="T43" s="429">
        <f>'PM After Switch'!$AE$32</f>
        <v/>
      </c>
      <c r="U43" s="429">
        <f>'PM After Switch'!$AF$32</f>
        <v/>
      </c>
      <c r="V43" s="505" t="n"/>
      <c r="W43" s="506">
        <f>IF($B43="Stay at Jump",INDEX('Savings Projection'!$AI$19:$AI$33,1),IF($B43="IC Switch",IFERROR(INDEX('IC Switch Scenarios'!$X$36:$X$170,MATCH($C43,'IC Switch Scenarios'!$A$36:$A$170,0)+0),""),IFERROR(INDEX('PM After Switch'!$AF$51:$AF$350,MATCH($C43,'PM After Switch'!$A$51:$A$350,0)+0),"")))</f>
        <v/>
      </c>
      <c r="X43" s="506">
        <f>IF($B43="Stay at Jump",INDEX('Savings Projection'!$AI$19:$AI$33,2),IF($B43="IC Switch",IFERROR(INDEX('IC Switch Scenarios'!$X$36:$X$170,MATCH($C43,'IC Switch Scenarios'!$A$36:$A$170,0)+1),""),IFERROR(INDEX('PM After Switch'!$AF$51:$AF$350,MATCH($C43,'PM After Switch'!$A$51:$A$350,0)+1),"")))</f>
        <v/>
      </c>
      <c r="Y43" s="506">
        <f>IF($B43="Stay at Jump",INDEX('Savings Projection'!$AI$19:$AI$33,3),IF($B43="IC Switch",IFERROR(INDEX('IC Switch Scenarios'!$X$36:$X$170,MATCH($C43,'IC Switch Scenarios'!$A$36:$A$170,0)+2),""),IFERROR(INDEX('PM After Switch'!$AF$51:$AF$350,MATCH($C43,'PM After Switch'!$A$51:$A$350,0)+2),"")))</f>
        <v/>
      </c>
      <c r="Z43" s="506">
        <f>IF($B43="Stay at Jump",INDEX('Savings Projection'!$AI$19:$AI$33,4),IF($B43="IC Switch",IFERROR(INDEX('IC Switch Scenarios'!$X$36:$X$170,MATCH($C43,'IC Switch Scenarios'!$A$36:$A$170,0)+3),""),IFERROR(INDEX('PM After Switch'!$AF$51:$AF$350,MATCH($C43,'PM After Switch'!$A$51:$A$350,0)+3),"")))</f>
        <v/>
      </c>
      <c r="AA43" s="506">
        <f>IF($B43="Stay at Jump",INDEX('Savings Projection'!$AI$19:$AI$33,5),IF($B43="IC Switch",IFERROR(INDEX('IC Switch Scenarios'!$X$36:$X$170,MATCH($C43,'IC Switch Scenarios'!$A$36:$A$170,0)+4),""),IFERROR(INDEX('PM After Switch'!$AF$51:$AF$350,MATCH($C43,'PM After Switch'!$A$51:$A$350,0)+4),"")))</f>
        <v/>
      </c>
      <c r="AB43" s="506">
        <f>IF($B43="Stay at Jump",INDEX('Savings Projection'!$AI$19:$AI$33,6),IF($B43="IC Switch",IFERROR(INDEX('IC Switch Scenarios'!$X$36:$X$170,MATCH($C43,'IC Switch Scenarios'!$A$36:$A$170,0)+5),""),IFERROR(INDEX('PM After Switch'!$AF$51:$AF$350,MATCH($C43,'PM After Switch'!$A$51:$A$350,0)+5),"")))</f>
        <v/>
      </c>
      <c r="AC43" s="506">
        <f>IF($B43="Stay at Jump",INDEX('Savings Projection'!$AI$19:$AI$33,7),IF($B43="IC Switch",IFERROR(INDEX('IC Switch Scenarios'!$X$36:$X$170,MATCH($C43,'IC Switch Scenarios'!$A$36:$A$170,0)+6),""),IFERROR(INDEX('PM After Switch'!$AF$51:$AF$350,MATCH($C43,'PM After Switch'!$A$51:$A$350,0)+6),"")))</f>
        <v/>
      </c>
      <c r="AD43" s="506">
        <f>IF($B43="Stay at Jump",INDEX('Savings Projection'!$AI$19:$AI$33,8),IF($B43="IC Switch",IFERROR(INDEX('IC Switch Scenarios'!$X$36:$X$170,MATCH($C43,'IC Switch Scenarios'!$A$36:$A$170,0)+7),""),IFERROR(INDEX('PM After Switch'!$AF$51:$AF$350,MATCH($C43,'PM After Switch'!$A$51:$A$350,0)+7),"")))</f>
        <v/>
      </c>
      <c r="AE43" s="506">
        <f>IF($B43="Stay at Jump",INDEX('Savings Projection'!$AI$19:$AI$33,9),IF($B43="IC Switch",IFERROR(INDEX('IC Switch Scenarios'!$X$36:$X$170,MATCH($C43,'IC Switch Scenarios'!$A$36:$A$170,0)+8),""),IFERROR(INDEX('PM After Switch'!$AF$51:$AF$350,MATCH($C43,'PM After Switch'!$A$51:$A$350,0)+8),"")))</f>
        <v/>
      </c>
      <c r="AF43" s="506">
        <f>IF($B43="Stay at Jump",INDEX('Savings Projection'!$AI$19:$AI$33,10),IF($B43="IC Switch",IFERROR(INDEX('IC Switch Scenarios'!$X$36:$X$170,MATCH($C43,'IC Switch Scenarios'!$A$36:$A$170,0)+9),""),IFERROR(INDEX('PM After Switch'!$AF$51:$AF$350,MATCH($C43,'PM After Switch'!$A$51:$A$350,0)+9),"")))</f>
        <v/>
      </c>
      <c r="AG43" s="506">
        <f>IF($B43="Stay at Jump",INDEX('Savings Projection'!$AI$19:$AI$33,11),IF($B43="IC Switch",IFERROR(INDEX('IC Switch Scenarios'!$X$36:$X$170,MATCH($C43,'IC Switch Scenarios'!$A$36:$A$170,0)+10),""),IFERROR(INDEX('PM After Switch'!$AF$51:$AF$350,MATCH($C43,'PM After Switch'!$A$51:$A$350,0)+10),"")))</f>
        <v/>
      </c>
      <c r="AH43" s="506">
        <f>IF($B43="Stay at Jump",INDEX('Savings Projection'!$AI$19:$AI$33,12),IF($B43="IC Switch",IFERROR(INDEX('IC Switch Scenarios'!$X$36:$X$170,MATCH($C43,'IC Switch Scenarios'!$A$36:$A$170,0)+11),""),IFERROR(INDEX('PM After Switch'!$AF$51:$AF$350,MATCH($C43,'PM After Switch'!$A$51:$A$350,0)+11),"")))</f>
        <v/>
      </c>
      <c r="AI43" s="506">
        <f>IF($B43="Stay at Jump",INDEX('Savings Projection'!$AI$19:$AI$33,13),IF($B43="IC Switch",IFERROR(INDEX('IC Switch Scenarios'!$X$36:$X$170,MATCH($C43,'IC Switch Scenarios'!$A$36:$A$170,0)+12),""),IFERROR(INDEX('PM After Switch'!$AF$51:$AF$350,MATCH($C43,'PM After Switch'!$A$51:$A$350,0)+12),"")))</f>
        <v/>
      </c>
      <c r="AJ43" s="506">
        <f>IF($B43="Stay at Jump",INDEX('Savings Projection'!$AI$19:$AI$33,14),IF($B43="IC Switch",IFERROR(INDEX('IC Switch Scenarios'!$X$36:$X$170,MATCH($C43,'IC Switch Scenarios'!$A$36:$A$170,0)+13),""),IFERROR(INDEX('PM After Switch'!$AF$51:$AF$350,MATCH($C43,'PM After Switch'!$A$51:$A$350,0)+13),"")))</f>
        <v/>
      </c>
      <c r="AK43" s="506">
        <f>IF($B43="Stay at Jump",INDEX('Savings Projection'!$AI$19:$AI$33,15),IF($B43="IC Switch",IFERROR(INDEX('IC Switch Scenarios'!$X$36:$X$170,MATCH($C43,'IC Switch Scenarios'!$A$36:$A$170,0)+14),""),IFERROR(INDEX('PM After Switch'!$AF$51:$AF$350,MATCH($C43,'PM After Switch'!$A$51:$A$350,0)+14),"")))</f>
        <v/>
      </c>
    </row>
    <row r="44" ht="20" customHeight="1" s="326">
      <c r="A44" s="426">
        <f>$B44&amp;" | "&amp;$C44&amp;" | "&amp;$H44</f>
        <v/>
      </c>
      <c r="B44" s="426" t="inlineStr">
        <is>
          <t>PM After Switch</t>
        </is>
      </c>
      <c r="C44" s="426">
        <f>'PM After Switch'!$A$32</f>
        <v/>
      </c>
      <c r="D44" s="427">
        <f>'PM After Switch'!$B$32</f>
        <v/>
      </c>
      <c r="E44" s="435">
        <f>'PM After Switch'!$C$32</f>
        <v/>
      </c>
      <c r="F44" s="427">
        <f>'PM After Switch'!$D$32</f>
        <v/>
      </c>
      <c r="G44" s="426">
        <f>'PM After Switch'!$E$32</f>
        <v/>
      </c>
      <c r="H44" s="429" t="inlineStr">
        <is>
          <t>Y15</t>
        </is>
      </c>
      <c r="I44" s="436">
        <f>'PM After Switch'!$T$32</f>
        <v/>
      </c>
      <c r="J44" s="436">
        <f>'PM After Switch'!$U$32</f>
        <v/>
      </c>
      <c r="K44" s="436">
        <f>'PM After Switch'!$V$32</f>
        <v/>
      </c>
      <c r="L44" s="436">
        <f>'PM After Switch'!$W$32</f>
        <v/>
      </c>
      <c r="M44" s="436">
        <f>'PM After Switch'!$X$32</f>
        <v/>
      </c>
      <c r="N44" s="436">
        <f>'PM After Switch'!$Y$32</f>
        <v/>
      </c>
      <c r="O44" s="436">
        <f>'PM After Switch'!$Z$32</f>
        <v/>
      </c>
      <c r="P44" s="436">
        <f>'PM After Switch'!$AA$32</f>
        <v/>
      </c>
      <c r="Q44" s="426">
        <f>'PM After Switch'!$AB$32</f>
        <v/>
      </c>
      <c r="R44" s="429">
        <f>'PM After Switch'!$AC$32</f>
        <v/>
      </c>
      <c r="S44" s="429">
        <f>'PM After Switch'!$AD$32</f>
        <v/>
      </c>
      <c r="T44" s="429">
        <f>'PM After Switch'!$AE$32</f>
        <v/>
      </c>
      <c r="U44" s="429">
        <f>'PM After Switch'!$AF$32</f>
        <v/>
      </c>
      <c r="V44" s="505" t="n"/>
      <c r="W44" s="506">
        <f>IF($B44="Stay at Jump",INDEX('Savings Projection'!$AI$19:$AI$33,1),IF($B44="IC Switch",IFERROR(INDEX('IC Switch Scenarios'!$X$36:$X$170,MATCH($C44,'IC Switch Scenarios'!$A$36:$A$170,0)+0),""),IFERROR(INDEX('PM After Switch'!$AF$51:$AF$350,MATCH($C44,'PM After Switch'!$A$51:$A$350,0)+0),"")))</f>
        <v/>
      </c>
      <c r="X44" s="506">
        <f>IF($B44="Stay at Jump",INDEX('Savings Projection'!$AI$19:$AI$33,2),IF($B44="IC Switch",IFERROR(INDEX('IC Switch Scenarios'!$X$36:$X$170,MATCH($C44,'IC Switch Scenarios'!$A$36:$A$170,0)+1),""),IFERROR(INDEX('PM After Switch'!$AF$51:$AF$350,MATCH($C44,'PM After Switch'!$A$51:$A$350,0)+1),"")))</f>
        <v/>
      </c>
      <c r="Y44" s="506">
        <f>IF($B44="Stay at Jump",INDEX('Savings Projection'!$AI$19:$AI$33,3),IF($B44="IC Switch",IFERROR(INDEX('IC Switch Scenarios'!$X$36:$X$170,MATCH($C44,'IC Switch Scenarios'!$A$36:$A$170,0)+2),""),IFERROR(INDEX('PM After Switch'!$AF$51:$AF$350,MATCH($C44,'PM After Switch'!$A$51:$A$350,0)+2),"")))</f>
        <v/>
      </c>
      <c r="Z44" s="506">
        <f>IF($B44="Stay at Jump",INDEX('Savings Projection'!$AI$19:$AI$33,4),IF($B44="IC Switch",IFERROR(INDEX('IC Switch Scenarios'!$X$36:$X$170,MATCH($C44,'IC Switch Scenarios'!$A$36:$A$170,0)+3),""),IFERROR(INDEX('PM After Switch'!$AF$51:$AF$350,MATCH($C44,'PM After Switch'!$A$51:$A$350,0)+3),"")))</f>
        <v/>
      </c>
      <c r="AA44" s="506">
        <f>IF($B44="Stay at Jump",INDEX('Savings Projection'!$AI$19:$AI$33,5),IF($B44="IC Switch",IFERROR(INDEX('IC Switch Scenarios'!$X$36:$X$170,MATCH($C44,'IC Switch Scenarios'!$A$36:$A$170,0)+4),""),IFERROR(INDEX('PM After Switch'!$AF$51:$AF$350,MATCH($C44,'PM After Switch'!$A$51:$A$350,0)+4),"")))</f>
        <v/>
      </c>
      <c r="AB44" s="506">
        <f>IF($B44="Stay at Jump",INDEX('Savings Projection'!$AI$19:$AI$33,6),IF($B44="IC Switch",IFERROR(INDEX('IC Switch Scenarios'!$X$36:$X$170,MATCH($C44,'IC Switch Scenarios'!$A$36:$A$170,0)+5),""),IFERROR(INDEX('PM After Switch'!$AF$51:$AF$350,MATCH($C44,'PM After Switch'!$A$51:$A$350,0)+5),"")))</f>
        <v/>
      </c>
      <c r="AC44" s="506">
        <f>IF($B44="Stay at Jump",INDEX('Savings Projection'!$AI$19:$AI$33,7),IF($B44="IC Switch",IFERROR(INDEX('IC Switch Scenarios'!$X$36:$X$170,MATCH($C44,'IC Switch Scenarios'!$A$36:$A$170,0)+6),""),IFERROR(INDEX('PM After Switch'!$AF$51:$AF$350,MATCH($C44,'PM After Switch'!$A$51:$A$350,0)+6),"")))</f>
        <v/>
      </c>
      <c r="AD44" s="506">
        <f>IF($B44="Stay at Jump",INDEX('Savings Projection'!$AI$19:$AI$33,8),IF($B44="IC Switch",IFERROR(INDEX('IC Switch Scenarios'!$X$36:$X$170,MATCH($C44,'IC Switch Scenarios'!$A$36:$A$170,0)+7),""),IFERROR(INDEX('PM After Switch'!$AF$51:$AF$350,MATCH($C44,'PM After Switch'!$A$51:$A$350,0)+7),"")))</f>
        <v/>
      </c>
      <c r="AE44" s="506">
        <f>IF($B44="Stay at Jump",INDEX('Savings Projection'!$AI$19:$AI$33,9),IF($B44="IC Switch",IFERROR(INDEX('IC Switch Scenarios'!$X$36:$X$170,MATCH($C44,'IC Switch Scenarios'!$A$36:$A$170,0)+8),""),IFERROR(INDEX('PM After Switch'!$AF$51:$AF$350,MATCH($C44,'PM After Switch'!$A$51:$A$350,0)+8),"")))</f>
        <v/>
      </c>
      <c r="AF44" s="506">
        <f>IF($B44="Stay at Jump",INDEX('Savings Projection'!$AI$19:$AI$33,10),IF($B44="IC Switch",IFERROR(INDEX('IC Switch Scenarios'!$X$36:$X$170,MATCH($C44,'IC Switch Scenarios'!$A$36:$A$170,0)+9),""),IFERROR(INDEX('PM After Switch'!$AF$51:$AF$350,MATCH($C44,'PM After Switch'!$A$51:$A$350,0)+9),"")))</f>
        <v/>
      </c>
      <c r="AG44" s="506">
        <f>IF($B44="Stay at Jump",INDEX('Savings Projection'!$AI$19:$AI$33,11),IF($B44="IC Switch",IFERROR(INDEX('IC Switch Scenarios'!$X$36:$X$170,MATCH($C44,'IC Switch Scenarios'!$A$36:$A$170,0)+10),""),IFERROR(INDEX('PM After Switch'!$AF$51:$AF$350,MATCH($C44,'PM After Switch'!$A$51:$A$350,0)+10),"")))</f>
        <v/>
      </c>
      <c r="AH44" s="506">
        <f>IF($B44="Stay at Jump",INDEX('Savings Projection'!$AI$19:$AI$33,12),IF($B44="IC Switch",IFERROR(INDEX('IC Switch Scenarios'!$X$36:$X$170,MATCH($C44,'IC Switch Scenarios'!$A$36:$A$170,0)+11),""),IFERROR(INDEX('PM After Switch'!$AF$51:$AF$350,MATCH($C44,'PM After Switch'!$A$51:$A$350,0)+11),"")))</f>
        <v/>
      </c>
      <c r="AI44" s="506">
        <f>IF($B44="Stay at Jump",INDEX('Savings Projection'!$AI$19:$AI$33,13),IF($B44="IC Switch",IFERROR(INDEX('IC Switch Scenarios'!$X$36:$X$170,MATCH($C44,'IC Switch Scenarios'!$A$36:$A$170,0)+12),""),IFERROR(INDEX('PM After Switch'!$AF$51:$AF$350,MATCH($C44,'PM After Switch'!$A$51:$A$350,0)+12),"")))</f>
        <v/>
      </c>
      <c r="AJ44" s="506">
        <f>IF($B44="Stay at Jump",INDEX('Savings Projection'!$AI$19:$AI$33,14),IF($B44="IC Switch",IFERROR(INDEX('IC Switch Scenarios'!$X$36:$X$170,MATCH($C44,'IC Switch Scenarios'!$A$36:$A$170,0)+13),""),IFERROR(INDEX('PM After Switch'!$AF$51:$AF$350,MATCH($C44,'PM After Switch'!$A$51:$A$350,0)+13),"")))</f>
        <v/>
      </c>
      <c r="AK44" s="506">
        <f>IF($B44="Stay at Jump",INDEX('Savings Projection'!$AI$19:$AI$33,15),IF($B44="IC Switch",IFERROR(INDEX('IC Switch Scenarios'!$X$36:$X$170,MATCH($C44,'IC Switch Scenarios'!$A$36:$A$170,0)+14),""),IFERROR(INDEX('PM After Switch'!$AF$51:$AF$350,MATCH($C44,'PM After Switch'!$A$51:$A$350,0)+14),"")))</f>
        <v/>
      </c>
    </row>
    <row r="45" ht="20" customHeight="1" s="326">
      <c r="A45" s="426">
        <f>$B45&amp;" | "&amp;$C45&amp;" | "&amp;$H45</f>
        <v/>
      </c>
      <c r="B45" s="426" t="inlineStr">
        <is>
          <t>PM After Switch</t>
        </is>
      </c>
      <c r="C45" s="426">
        <f>'PM After Switch'!$A$33</f>
        <v/>
      </c>
      <c r="D45" s="427">
        <f>'PM After Switch'!$B$33</f>
        <v/>
      </c>
      <c r="E45" s="435">
        <f>'PM After Switch'!$C$33</f>
        <v/>
      </c>
      <c r="F45" s="427">
        <f>'PM After Switch'!$D$33</f>
        <v/>
      </c>
      <c r="G45" s="426">
        <f>'PM After Switch'!$E$33</f>
        <v/>
      </c>
      <c r="H45" s="429" t="inlineStr">
        <is>
          <t>Y10</t>
        </is>
      </c>
      <c r="I45" s="436">
        <f>'PM After Switch'!$K$33</f>
        <v/>
      </c>
      <c r="J45" s="436">
        <f>'PM After Switch'!$L$33</f>
        <v/>
      </c>
      <c r="K45" s="436">
        <f>'PM After Switch'!$M$33</f>
        <v/>
      </c>
      <c r="L45" s="436">
        <f>'PM After Switch'!$N$33</f>
        <v/>
      </c>
      <c r="M45" s="436">
        <f>'PM After Switch'!$O$33</f>
        <v/>
      </c>
      <c r="N45" s="436">
        <f>'PM After Switch'!$P$33</f>
        <v/>
      </c>
      <c r="O45" s="436">
        <f>'PM After Switch'!$Q$33</f>
        <v/>
      </c>
      <c r="P45" s="436">
        <f>'PM After Switch'!$R$33</f>
        <v/>
      </c>
      <c r="Q45" s="426">
        <f>'PM After Switch'!$S$33</f>
        <v/>
      </c>
      <c r="R45" s="429">
        <f>'PM After Switch'!$AC$33</f>
        <v/>
      </c>
      <c r="S45" s="429">
        <f>'PM After Switch'!$AD$33</f>
        <v/>
      </c>
      <c r="T45" s="429">
        <f>'PM After Switch'!$AE$33</f>
        <v/>
      </c>
      <c r="U45" s="429">
        <f>'PM After Switch'!$AF$33</f>
        <v/>
      </c>
      <c r="V45" s="505" t="n"/>
      <c r="W45" s="506">
        <f>IF($B45="Stay at Jump",INDEX('Savings Projection'!$AI$19:$AI$33,1),IF($B45="IC Switch",IFERROR(INDEX('IC Switch Scenarios'!$X$36:$X$170,MATCH($C45,'IC Switch Scenarios'!$A$36:$A$170,0)+0),""),IFERROR(INDEX('PM After Switch'!$AF$51:$AF$350,MATCH($C45,'PM After Switch'!$A$51:$A$350,0)+0),"")))</f>
        <v/>
      </c>
      <c r="X45" s="506">
        <f>IF($B45="Stay at Jump",INDEX('Savings Projection'!$AI$19:$AI$33,2),IF($B45="IC Switch",IFERROR(INDEX('IC Switch Scenarios'!$X$36:$X$170,MATCH($C45,'IC Switch Scenarios'!$A$36:$A$170,0)+1),""),IFERROR(INDEX('PM After Switch'!$AF$51:$AF$350,MATCH($C45,'PM After Switch'!$A$51:$A$350,0)+1),"")))</f>
        <v/>
      </c>
      <c r="Y45" s="506">
        <f>IF($B45="Stay at Jump",INDEX('Savings Projection'!$AI$19:$AI$33,3),IF($B45="IC Switch",IFERROR(INDEX('IC Switch Scenarios'!$X$36:$X$170,MATCH($C45,'IC Switch Scenarios'!$A$36:$A$170,0)+2),""),IFERROR(INDEX('PM After Switch'!$AF$51:$AF$350,MATCH($C45,'PM After Switch'!$A$51:$A$350,0)+2),"")))</f>
        <v/>
      </c>
      <c r="Z45" s="506">
        <f>IF($B45="Stay at Jump",INDEX('Savings Projection'!$AI$19:$AI$33,4),IF($B45="IC Switch",IFERROR(INDEX('IC Switch Scenarios'!$X$36:$X$170,MATCH($C45,'IC Switch Scenarios'!$A$36:$A$170,0)+3),""),IFERROR(INDEX('PM After Switch'!$AF$51:$AF$350,MATCH($C45,'PM After Switch'!$A$51:$A$350,0)+3),"")))</f>
        <v/>
      </c>
      <c r="AA45" s="506">
        <f>IF($B45="Stay at Jump",INDEX('Savings Projection'!$AI$19:$AI$33,5),IF($B45="IC Switch",IFERROR(INDEX('IC Switch Scenarios'!$X$36:$X$170,MATCH($C45,'IC Switch Scenarios'!$A$36:$A$170,0)+4),""),IFERROR(INDEX('PM After Switch'!$AF$51:$AF$350,MATCH($C45,'PM After Switch'!$A$51:$A$350,0)+4),"")))</f>
        <v/>
      </c>
      <c r="AB45" s="506">
        <f>IF($B45="Stay at Jump",INDEX('Savings Projection'!$AI$19:$AI$33,6),IF($B45="IC Switch",IFERROR(INDEX('IC Switch Scenarios'!$X$36:$X$170,MATCH($C45,'IC Switch Scenarios'!$A$36:$A$170,0)+5),""),IFERROR(INDEX('PM After Switch'!$AF$51:$AF$350,MATCH($C45,'PM After Switch'!$A$51:$A$350,0)+5),"")))</f>
        <v/>
      </c>
      <c r="AC45" s="506">
        <f>IF($B45="Stay at Jump",INDEX('Savings Projection'!$AI$19:$AI$33,7),IF($B45="IC Switch",IFERROR(INDEX('IC Switch Scenarios'!$X$36:$X$170,MATCH($C45,'IC Switch Scenarios'!$A$36:$A$170,0)+6),""),IFERROR(INDEX('PM After Switch'!$AF$51:$AF$350,MATCH($C45,'PM After Switch'!$A$51:$A$350,0)+6),"")))</f>
        <v/>
      </c>
      <c r="AD45" s="506">
        <f>IF($B45="Stay at Jump",INDEX('Savings Projection'!$AI$19:$AI$33,8),IF($B45="IC Switch",IFERROR(INDEX('IC Switch Scenarios'!$X$36:$X$170,MATCH($C45,'IC Switch Scenarios'!$A$36:$A$170,0)+7),""),IFERROR(INDEX('PM After Switch'!$AF$51:$AF$350,MATCH($C45,'PM After Switch'!$A$51:$A$350,0)+7),"")))</f>
        <v/>
      </c>
      <c r="AE45" s="506">
        <f>IF($B45="Stay at Jump",INDEX('Savings Projection'!$AI$19:$AI$33,9),IF($B45="IC Switch",IFERROR(INDEX('IC Switch Scenarios'!$X$36:$X$170,MATCH($C45,'IC Switch Scenarios'!$A$36:$A$170,0)+8),""),IFERROR(INDEX('PM After Switch'!$AF$51:$AF$350,MATCH($C45,'PM After Switch'!$A$51:$A$350,0)+8),"")))</f>
        <v/>
      </c>
      <c r="AF45" s="506">
        <f>IF($B45="Stay at Jump",INDEX('Savings Projection'!$AI$19:$AI$33,10),IF($B45="IC Switch",IFERROR(INDEX('IC Switch Scenarios'!$X$36:$X$170,MATCH($C45,'IC Switch Scenarios'!$A$36:$A$170,0)+9),""),IFERROR(INDEX('PM After Switch'!$AF$51:$AF$350,MATCH($C45,'PM After Switch'!$A$51:$A$350,0)+9),"")))</f>
        <v/>
      </c>
      <c r="AG45" s="506">
        <f>IF($B45="Stay at Jump",INDEX('Savings Projection'!$AI$19:$AI$33,11),IF($B45="IC Switch",IFERROR(INDEX('IC Switch Scenarios'!$X$36:$X$170,MATCH($C45,'IC Switch Scenarios'!$A$36:$A$170,0)+10),""),IFERROR(INDEX('PM After Switch'!$AF$51:$AF$350,MATCH($C45,'PM After Switch'!$A$51:$A$350,0)+10),"")))</f>
        <v/>
      </c>
      <c r="AH45" s="506">
        <f>IF($B45="Stay at Jump",INDEX('Savings Projection'!$AI$19:$AI$33,12),IF($B45="IC Switch",IFERROR(INDEX('IC Switch Scenarios'!$X$36:$X$170,MATCH($C45,'IC Switch Scenarios'!$A$36:$A$170,0)+11),""),IFERROR(INDEX('PM After Switch'!$AF$51:$AF$350,MATCH($C45,'PM After Switch'!$A$51:$A$350,0)+11),"")))</f>
        <v/>
      </c>
      <c r="AI45" s="506">
        <f>IF($B45="Stay at Jump",INDEX('Savings Projection'!$AI$19:$AI$33,13),IF($B45="IC Switch",IFERROR(INDEX('IC Switch Scenarios'!$X$36:$X$170,MATCH($C45,'IC Switch Scenarios'!$A$36:$A$170,0)+12),""),IFERROR(INDEX('PM After Switch'!$AF$51:$AF$350,MATCH($C45,'PM After Switch'!$A$51:$A$350,0)+12),"")))</f>
        <v/>
      </c>
      <c r="AJ45" s="506">
        <f>IF($B45="Stay at Jump",INDEX('Savings Projection'!$AI$19:$AI$33,14),IF($B45="IC Switch",IFERROR(INDEX('IC Switch Scenarios'!$X$36:$X$170,MATCH($C45,'IC Switch Scenarios'!$A$36:$A$170,0)+13),""),IFERROR(INDEX('PM After Switch'!$AF$51:$AF$350,MATCH($C45,'PM After Switch'!$A$51:$A$350,0)+13),"")))</f>
        <v/>
      </c>
      <c r="AK45" s="506">
        <f>IF($B45="Stay at Jump",INDEX('Savings Projection'!$AI$19:$AI$33,15),IF($B45="IC Switch",IFERROR(INDEX('IC Switch Scenarios'!$X$36:$X$170,MATCH($C45,'IC Switch Scenarios'!$A$36:$A$170,0)+14),""),IFERROR(INDEX('PM After Switch'!$AF$51:$AF$350,MATCH($C45,'PM After Switch'!$A$51:$A$350,0)+14),"")))</f>
        <v/>
      </c>
    </row>
    <row r="46" ht="20" customHeight="1" s="326">
      <c r="A46" s="426">
        <f>$B46&amp;" | "&amp;$C46&amp;" | "&amp;$H46</f>
        <v/>
      </c>
      <c r="B46" s="426" t="inlineStr">
        <is>
          <t>PM After Switch</t>
        </is>
      </c>
      <c r="C46" s="426">
        <f>'PM After Switch'!$A$33</f>
        <v/>
      </c>
      <c r="D46" s="427">
        <f>'PM After Switch'!$B$33</f>
        <v/>
      </c>
      <c r="E46" s="435">
        <f>'PM After Switch'!$C$33</f>
        <v/>
      </c>
      <c r="F46" s="427">
        <f>'PM After Switch'!$D$33</f>
        <v/>
      </c>
      <c r="G46" s="426">
        <f>'PM After Switch'!$E$33</f>
        <v/>
      </c>
      <c r="H46" s="429" t="inlineStr">
        <is>
          <t>Y15</t>
        </is>
      </c>
      <c r="I46" s="436">
        <f>'PM After Switch'!$T$33</f>
        <v/>
      </c>
      <c r="J46" s="436">
        <f>'PM After Switch'!$U$33</f>
        <v/>
      </c>
      <c r="K46" s="436">
        <f>'PM After Switch'!$V$33</f>
        <v/>
      </c>
      <c r="L46" s="436">
        <f>'PM After Switch'!$W$33</f>
        <v/>
      </c>
      <c r="M46" s="436">
        <f>'PM After Switch'!$X$33</f>
        <v/>
      </c>
      <c r="N46" s="436">
        <f>'PM After Switch'!$Y$33</f>
        <v/>
      </c>
      <c r="O46" s="436">
        <f>'PM After Switch'!$Z$33</f>
        <v/>
      </c>
      <c r="P46" s="436">
        <f>'PM After Switch'!$AA$33</f>
        <v/>
      </c>
      <c r="Q46" s="426">
        <f>'PM After Switch'!$AB$33</f>
        <v/>
      </c>
      <c r="R46" s="429">
        <f>'PM After Switch'!$AC$33</f>
        <v/>
      </c>
      <c r="S46" s="429">
        <f>'PM After Switch'!$AD$33</f>
        <v/>
      </c>
      <c r="T46" s="429">
        <f>'PM After Switch'!$AE$33</f>
        <v/>
      </c>
      <c r="U46" s="429">
        <f>'PM After Switch'!$AF$33</f>
        <v/>
      </c>
      <c r="V46" s="505" t="n"/>
      <c r="W46" s="506">
        <f>IF($B46="Stay at Jump",INDEX('Savings Projection'!$AI$19:$AI$33,1),IF($B46="IC Switch",IFERROR(INDEX('IC Switch Scenarios'!$X$36:$X$170,MATCH($C46,'IC Switch Scenarios'!$A$36:$A$170,0)+0),""),IFERROR(INDEX('PM After Switch'!$AF$51:$AF$350,MATCH($C46,'PM After Switch'!$A$51:$A$350,0)+0),"")))</f>
        <v/>
      </c>
      <c r="X46" s="506">
        <f>IF($B46="Stay at Jump",INDEX('Savings Projection'!$AI$19:$AI$33,2),IF($B46="IC Switch",IFERROR(INDEX('IC Switch Scenarios'!$X$36:$X$170,MATCH($C46,'IC Switch Scenarios'!$A$36:$A$170,0)+1),""),IFERROR(INDEX('PM After Switch'!$AF$51:$AF$350,MATCH($C46,'PM After Switch'!$A$51:$A$350,0)+1),"")))</f>
        <v/>
      </c>
      <c r="Y46" s="506">
        <f>IF($B46="Stay at Jump",INDEX('Savings Projection'!$AI$19:$AI$33,3),IF($B46="IC Switch",IFERROR(INDEX('IC Switch Scenarios'!$X$36:$X$170,MATCH($C46,'IC Switch Scenarios'!$A$36:$A$170,0)+2),""),IFERROR(INDEX('PM After Switch'!$AF$51:$AF$350,MATCH($C46,'PM After Switch'!$A$51:$A$350,0)+2),"")))</f>
        <v/>
      </c>
      <c r="Z46" s="506">
        <f>IF($B46="Stay at Jump",INDEX('Savings Projection'!$AI$19:$AI$33,4),IF($B46="IC Switch",IFERROR(INDEX('IC Switch Scenarios'!$X$36:$X$170,MATCH($C46,'IC Switch Scenarios'!$A$36:$A$170,0)+3),""),IFERROR(INDEX('PM After Switch'!$AF$51:$AF$350,MATCH($C46,'PM After Switch'!$A$51:$A$350,0)+3),"")))</f>
        <v/>
      </c>
      <c r="AA46" s="506">
        <f>IF($B46="Stay at Jump",INDEX('Savings Projection'!$AI$19:$AI$33,5),IF($B46="IC Switch",IFERROR(INDEX('IC Switch Scenarios'!$X$36:$X$170,MATCH($C46,'IC Switch Scenarios'!$A$36:$A$170,0)+4),""),IFERROR(INDEX('PM After Switch'!$AF$51:$AF$350,MATCH($C46,'PM After Switch'!$A$51:$A$350,0)+4),"")))</f>
        <v/>
      </c>
      <c r="AB46" s="506">
        <f>IF($B46="Stay at Jump",INDEX('Savings Projection'!$AI$19:$AI$33,6),IF($B46="IC Switch",IFERROR(INDEX('IC Switch Scenarios'!$X$36:$X$170,MATCH($C46,'IC Switch Scenarios'!$A$36:$A$170,0)+5),""),IFERROR(INDEX('PM After Switch'!$AF$51:$AF$350,MATCH($C46,'PM After Switch'!$A$51:$A$350,0)+5),"")))</f>
        <v/>
      </c>
      <c r="AC46" s="506">
        <f>IF($B46="Stay at Jump",INDEX('Savings Projection'!$AI$19:$AI$33,7),IF($B46="IC Switch",IFERROR(INDEX('IC Switch Scenarios'!$X$36:$X$170,MATCH($C46,'IC Switch Scenarios'!$A$36:$A$170,0)+6),""),IFERROR(INDEX('PM After Switch'!$AF$51:$AF$350,MATCH($C46,'PM After Switch'!$A$51:$A$350,0)+6),"")))</f>
        <v/>
      </c>
      <c r="AD46" s="506">
        <f>IF($B46="Stay at Jump",INDEX('Savings Projection'!$AI$19:$AI$33,8),IF($B46="IC Switch",IFERROR(INDEX('IC Switch Scenarios'!$X$36:$X$170,MATCH($C46,'IC Switch Scenarios'!$A$36:$A$170,0)+7),""),IFERROR(INDEX('PM After Switch'!$AF$51:$AF$350,MATCH($C46,'PM After Switch'!$A$51:$A$350,0)+7),"")))</f>
        <v/>
      </c>
      <c r="AE46" s="506">
        <f>IF($B46="Stay at Jump",INDEX('Savings Projection'!$AI$19:$AI$33,9),IF($B46="IC Switch",IFERROR(INDEX('IC Switch Scenarios'!$X$36:$X$170,MATCH($C46,'IC Switch Scenarios'!$A$36:$A$170,0)+8),""),IFERROR(INDEX('PM After Switch'!$AF$51:$AF$350,MATCH($C46,'PM After Switch'!$A$51:$A$350,0)+8),"")))</f>
        <v/>
      </c>
      <c r="AF46" s="506">
        <f>IF($B46="Stay at Jump",INDEX('Savings Projection'!$AI$19:$AI$33,10),IF($B46="IC Switch",IFERROR(INDEX('IC Switch Scenarios'!$X$36:$X$170,MATCH($C46,'IC Switch Scenarios'!$A$36:$A$170,0)+9),""),IFERROR(INDEX('PM After Switch'!$AF$51:$AF$350,MATCH($C46,'PM After Switch'!$A$51:$A$350,0)+9),"")))</f>
        <v/>
      </c>
      <c r="AG46" s="506">
        <f>IF($B46="Stay at Jump",INDEX('Savings Projection'!$AI$19:$AI$33,11),IF($B46="IC Switch",IFERROR(INDEX('IC Switch Scenarios'!$X$36:$X$170,MATCH($C46,'IC Switch Scenarios'!$A$36:$A$170,0)+10),""),IFERROR(INDEX('PM After Switch'!$AF$51:$AF$350,MATCH($C46,'PM After Switch'!$A$51:$A$350,0)+10),"")))</f>
        <v/>
      </c>
      <c r="AH46" s="506">
        <f>IF($B46="Stay at Jump",INDEX('Savings Projection'!$AI$19:$AI$33,12),IF($B46="IC Switch",IFERROR(INDEX('IC Switch Scenarios'!$X$36:$X$170,MATCH($C46,'IC Switch Scenarios'!$A$36:$A$170,0)+11),""),IFERROR(INDEX('PM After Switch'!$AF$51:$AF$350,MATCH($C46,'PM After Switch'!$A$51:$A$350,0)+11),"")))</f>
        <v/>
      </c>
      <c r="AI46" s="506">
        <f>IF($B46="Stay at Jump",INDEX('Savings Projection'!$AI$19:$AI$33,13),IF($B46="IC Switch",IFERROR(INDEX('IC Switch Scenarios'!$X$36:$X$170,MATCH($C46,'IC Switch Scenarios'!$A$36:$A$170,0)+12),""),IFERROR(INDEX('PM After Switch'!$AF$51:$AF$350,MATCH($C46,'PM After Switch'!$A$51:$A$350,0)+12),"")))</f>
        <v/>
      </c>
      <c r="AJ46" s="506">
        <f>IF($B46="Stay at Jump",INDEX('Savings Projection'!$AI$19:$AI$33,14),IF($B46="IC Switch",IFERROR(INDEX('IC Switch Scenarios'!$X$36:$X$170,MATCH($C46,'IC Switch Scenarios'!$A$36:$A$170,0)+13),""),IFERROR(INDEX('PM After Switch'!$AF$51:$AF$350,MATCH($C46,'PM After Switch'!$A$51:$A$350,0)+13),"")))</f>
        <v/>
      </c>
      <c r="AK46" s="506">
        <f>IF($B46="Stay at Jump",INDEX('Savings Projection'!$AI$19:$AI$33,15),IF($B46="IC Switch",IFERROR(INDEX('IC Switch Scenarios'!$X$36:$X$170,MATCH($C46,'IC Switch Scenarios'!$A$36:$A$170,0)+14),""),IFERROR(INDEX('PM After Switch'!$AF$51:$AF$350,MATCH($C46,'PM After Switch'!$A$51:$A$350,0)+14),"")))</f>
        <v/>
      </c>
    </row>
    <row r="47" ht="20" customHeight="1" s="326">
      <c r="A47" s="426">
        <f>$B47&amp;" | "&amp;$C47&amp;" | "&amp;$H47</f>
        <v/>
      </c>
      <c r="B47" s="426" t="inlineStr">
        <is>
          <t>PM After Switch</t>
        </is>
      </c>
      <c r="C47" s="426">
        <f>'PM After Switch'!$A$34</f>
        <v/>
      </c>
      <c r="D47" s="427">
        <f>'PM After Switch'!$B$34</f>
        <v/>
      </c>
      <c r="E47" s="435">
        <f>'PM After Switch'!$C$34</f>
        <v/>
      </c>
      <c r="F47" s="427">
        <f>'PM After Switch'!$D$34</f>
        <v/>
      </c>
      <c r="G47" s="426">
        <f>'PM After Switch'!$E$34</f>
        <v/>
      </c>
      <c r="H47" s="429" t="inlineStr">
        <is>
          <t>Y10</t>
        </is>
      </c>
      <c r="I47" s="436">
        <f>'PM After Switch'!$K$34</f>
        <v/>
      </c>
      <c r="J47" s="436">
        <f>'PM After Switch'!$L$34</f>
        <v/>
      </c>
      <c r="K47" s="436">
        <f>'PM After Switch'!$M$34</f>
        <v/>
      </c>
      <c r="L47" s="436">
        <f>'PM After Switch'!$N$34</f>
        <v/>
      </c>
      <c r="M47" s="436">
        <f>'PM After Switch'!$O$34</f>
        <v/>
      </c>
      <c r="N47" s="436">
        <f>'PM After Switch'!$P$34</f>
        <v/>
      </c>
      <c r="O47" s="436">
        <f>'PM After Switch'!$Q$34</f>
        <v/>
      </c>
      <c r="P47" s="436">
        <f>'PM After Switch'!$R$34</f>
        <v/>
      </c>
      <c r="Q47" s="426">
        <f>'PM After Switch'!$S$34</f>
        <v/>
      </c>
      <c r="R47" s="429">
        <f>'PM After Switch'!$AC$34</f>
        <v/>
      </c>
      <c r="S47" s="429">
        <f>'PM After Switch'!$AD$34</f>
        <v/>
      </c>
      <c r="T47" s="429">
        <f>'PM After Switch'!$AE$34</f>
        <v/>
      </c>
      <c r="U47" s="429">
        <f>'PM After Switch'!$AF$34</f>
        <v/>
      </c>
      <c r="V47" s="505" t="n"/>
      <c r="W47" s="506">
        <f>IF($B47="Stay at Jump",INDEX('Savings Projection'!$AI$19:$AI$33,1),IF($B47="IC Switch",IFERROR(INDEX('IC Switch Scenarios'!$X$36:$X$170,MATCH($C47,'IC Switch Scenarios'!$A$36:$A$170,0)+0),""),IFERROR(INDEX('PM After Switch'!$AF$51:$AF$350,MATCH($C47,'PM After Switch'!$A$51:$A$350,0)+0),"")))</f>
        <v/>
      </c>
      <c r="X47" s="506">
        <f>IF($B47="Stay at Jump",INDEX('Savings Projection'!$AI$19:$AI$33,2),IF($B47="IC Switch",IFERROR(INDEX('IC Switch Scenarios'!$X$36:$X$170,MATCH($C47,'IC Switch Scenarios'!$A$36:$A$170,0)+1),""),IFERROR(INDEX('PM After Switch'!$AF$51:$AF$350,MATCH($C47,'PM After Switch'!$A$51:$A$350,0)+1),"")))</f>
        <v/>
      </c>
      <c r="Y47" s="506">
        <f>IF($B47="Stay at Jump",INDEX('Savings Projection'!$AI$19:$AI$33,3),IF($B47="IC Switch",IFERROR(INDEX('IC Switch Scenarios'!$X$36:$X$170,MATCH($C47,'IC Switch Scenarios'!$A$36:$A$170,0)+2),""),IFERROR(INDEX('PM After Switch'!$AF$51:$AF$350,MATCH($C47,'PM After Switch'!$A$51:$A$350,0)+2),"")))</f>
        <v/>
      </c>
      <c r="Z47" s="506">
        <f>IF($B47="Stay at Jump",INDEX('Savings Projection'!$AI$19:$AI$33,4),IF($B47="IC Switch",IFERROR(INDEX('IC Switch Scenarios'!$X$36:$X$170,MATCH($C47,'IC Switch Scenarios'!$A$36:$A$170,0)+3),""),IFERROR(INDEX('PM After Switch'!$AF$51:$AF$350,MATCH($C47,'PM After Switch'!$A$51:$A$350,0)+3),"")))</f>
        <v/>
      </c>
      <c r="AA47" s="506">
        <f>IF($B47="Stay at Jump",INDEX('Savings Projection'!$AI$19:$AI$33,5),IF($B47="IC Switch",IFERROR(INDEX('IC Switch Scenarios'!$X$36:$X$170,MATCH($C47,'IC Switch Scenarios'!$A$36:$A$170,0)+4),""),IFERROR(INDEX('PM After Switch'!$AF$51:$AF$350,MATCH($C47,'PM After Switch'!$A$51:$A$350,0)+4),"")))</f>
        <v/>
      </c>
      <c r="AB47" s="506">
        <f>IF($B47="Stay at Jump",INDEX('Savings Projection'!$AI$19:$AI$33,6),IF($B47="IC Switch",IFERROR(INDEX('IC Switch Scenarios'!$X$36:$X$170,MATCH($C47,'IC Switch Scenarios'!$A$36:$A$170,0)+5),""),IFERROR(INDEX('PM After Switch'!$AF$51:$AF$350,MATCH($C47,'PM After Switch'!$A$51:$A$350,0)+5),"")))</f>
        <v/>
      </c>
      <c r="AC47" s="506">
        <f>IF($B47="Stay at Jump",INDEX('Savings Projection'!$AI$19:$AI$33,7),IF($B47="IC Switch",IFERROR(INDEX('IC Switch Scenarios'!$X$36:$X$170,MATCH($C47,'IC Switch Scenarios'!$A$36:$A$170,0)+6),""),IFERROR(INDEX('PM After Switch'!$AF$51:$AF$350,MATCH($C47,'PM After Switch'!$A$51:$A$350,0)+6),"")))</f>
        <v/>
      </c>
      <c r="AD47" s="506">
        <f>IF($B47="Stay at Jump",INDEX('Savings Projection'!$AI$19:$AI$33,8),IF($B47="IC Switch",IFERROR(INDEX('IC Switch Scenarios'!$X$36:$X$170,MATCH($C47,'IC Switch Scenarios'!$A$36:$A$170,0)+7),""),IFERROR(INDEX('PM After Switch'!$AF$51:$AF$350,MATCH($C47,'PM After Switch'!$A$51:$A$350,0)+7),"")))</f>
        <v/>
      </c>
      <c r="AE47" s="506">
        <f>IF($B47="Stay at Jump",INDEX('Savings Projection'!$AI$19:$AI$33,9),IF($B47="IC Switch",IFERROR(INDEX('IC Switch Scenarios'!$X$36:$X$170,MATCH($C47,'IC Switch Scenarios'!$A$36:$A$170,0)+8),""),IFERROR(INDEX('PM After Switch'!$AF$51:$AF$350,MATCH($C47,'PM After Switch'!$A$51:$A$350,0)+8),"")))</f>
        <v/>
      </c>
      <c r="AF47" s="506">
        <f>IF($B47="Stay at Jump",INDEX('Savings Projection'!$AI$19:$AI$33,10),IF($B47="IC Switch",IFERROR(INDEX('IC Switch Scenarios'!$X$36:$X$170,MATCH($C47,'IC Switch Scenarios'!$A$36:$A$170,0)+9),""),IFERROR(INDEX('PM After Switch'!$AF$51:$AF$350,MATCH($C47,'PM After Switch'!$A$51:$A$350,0)+9),"")))</f>
        <v/>
      </c>
      <c r="AG47" s="506">
        <f>IF($B47="Stay at Jump",INDEX('Savings Projection'!$AI$19:$AI$33,11),IF($B47="IC Switch",IFERROR(INDEX('IC Switch Scenarios'!$X$36:$X$170,MATCH($C47,'IC Switch Scenarios'!$A$36:$A$170,0)+10),""),IFERROR(INDEX('PM After Switch'!$AF$51:$AF$350,MATCH($C47,'PM After Switch'!$A$51:$A$350,0)+10),"")))</f>
        <v/>
      </c>
      <c r="AH47" s="506">
        <f>IF($B47="Stay at Jump",INDEX('Savings Projection'!$AI$19:$AI$33,12),IF($B47="IC Switch",IFERROR(INDEX('IC Switch Scenarios'!$X$36:$X$170,MATCH($C47,'IC Switch Scenarios'!$A$36:$A$170,0)+11),""),IFERROR(INDEX('PM After Switch'!$AF$51:$AF$350,MATCH($C47,'PM After Switch'!$A$51:$A$350,0)+11),"")))</f>
        <v/>
      </c>
      <c r="AI47" s="506">
        <f>IF($B47="Stay at Jump",INDEX('Savings Projection'!$AI$19:$AI$33,13),IF($B47="IC Switch",IFERROR(INDEX('IC Switch Scenarios'!$X$36:$X$170,MATCH($C47,'IC Switch Scenarios'!$A$36:$A$170,0)+12),""),IFERROR(INDEX('PM After Switch'!$AF$51:$AF$350,MATCH($C47,'PM After Switch'!$A$51:$A$350,0)+12),"")))</f>
        <v/>
      </c>
      <c r="AJ47" s="506">
        <f>IF($B47="Stay at Jump",INDEX('Savings Projection'!$AI$19:$AI$33,14),IF($B47="IC Switch",IFERROR(INDEX('IC Switch Scenarios'!$X$36:$X$170,MATCH($C47,'IC Switch Scenarios'!$A$36:$A$170,0)+13),""),IFERROR(INDEX('PM After Switch'!$AF$51:$AF$350,MATCH($C47,'PM After Switch'!$A$51:$A$350,0)+13),"")))</f>
        <v/>
      </c>
      <c r="AK47" s="506">
        <f>IF($B47="Stay at Jump",INDEX('Savings Projection'!$AI$19:$AI$33,15),IF($B47="IC Switch",IFERROR(INDEX('IC Switch Scenarios'!$X$36:$X$170,MATCH($C47,'IC Switch Scenarios'!$A$36:$A$170,0)+14),""),IFERROR(INDEX('PM After Switch'!$AF$51:$AF$350,MATCH($C47,'PM After Switch'!$A$51:$A$350,0)+14),"")))</f>
        <v/>
      </c>
    </row>
    <row r="48" ht="20" customHeight="1" s="326">
      <c r="A48" s="426">
        <f>$B48&amp;" | "&amp;$C48&amp;" | "&amp;$H48</f>
        <v/>
      </c>
      <c r="B48" s="426" t="inlineStr">
        <is>
          <t>PM After Switch</t>
        </is>
      </c>
      <c r="C48" s="426">
        <f>'PM After Switch'!$A$34</f>
        <v/>
      </c>
      <c r="D48" s="427">
        <f>'PM After Switch'!$B$34</f>
        <v/>
      </c>
      <c r="E48" s="435">
        <f>'PM After Switch'!$C$34</f>
        <v/>
      </c>
      <c r="F48" s="427">
        <f>'PM After Switch'!$D$34</f>
        <v/>
      </c>
      <c r="G48" s="426">
        <f>'PM After Switch'!$E$34</f>
        <v/>
      </c>
      <c r="H48" s="429" t="inlineStr">
        <is>
          <t>Y15</t>
        </is>
      </c>
      <c r="I48" s="436">
        <f>'PM After Switch'!$T$34</f>
        <v/>
      </c>
      <c r="J48" s="436">
        <f>'PM After Switch'!$U$34</f>
        <v/>
      </c>
      <c r="K48" s="436">
        <f>'PM After Switch'!$V$34</f>
        <v/>
      </c>
      <c r="L48" s="436">
        <f>'PM After Switch'!$W$34</f>
        <v/>
      </c>
      <c r="M48" s="436">
        <f>'PM After Switch'!$X$34</f>
        <v/>
      </c>
      <c r="N48" s="436">
        <f>'PM After Switch'!$Y$34</f>
        <v/>
      </c>
      <c r="O48" s="436">
        <f>'PM After Switch'!$Z$34</f>
        <v/>
      </c>
      <c r="P48" s="436">
        <f>'PM After Switch'!$AA$34</f>
        <v/>
      </c>
      <c r="Q48" s="426">
        <f>'PM After Switch'!$AB$34</f>
        <v/>
      </c>
      <c r="R48" s="429">
        <f>'PM After Switch'!$AC$34</f>
        <v/>
      </c>
      <c r="S48" s="429">
        <f>'PM After Switch'!$AD$34</f>
        <v/>
      </c>
      <c r="T48" s="429">
        <f>'PM After Switch'!$AE$34</f>
        <v/>
      </c>
      <c r="U48" s="429">
        <f>'PM After Switch'!$AF$34</f>
        <v/>
      </c>
      <c r="V48" s="505" t="n"/>
      <c r="W48" s="506">
        <f>IF($B48="Stay at Jump",INDEX('Savings Projection'!$AI$19:$AI$33,1),IF($B48="IC Switch",IFERROR(INDEX('IC Switch Scenarios'!$X$36:$X$170,MATCH($C48,'IC Switch Scenarios'!$A$36:$A$170,0)+0),""),IFERROR(INDEX('PM After Switch'!$AF$51:$AF$350,MATCH($C48,'PM After Switch'!$A$51:$A$350,0)+0),"")))</f>
        <v/>
      </c>
      <c r="X48" s="506">
        <f>IF($B48="Stay at Jump",INDEX('Savings Projection'!$AI$19:$AI$33,2),IF($B48="IC Switch",IFERROR(INDEX('IC Switch Scenarios'!$X$36:$X$170,MATCH($C48,'IC Switch Scenarios'!$A$36:$A$170,0)+1),""),IFERROR(INDEX('PM After Switch'!$AF$51:$AF$350,MATCH($C48,'PM After Switch'!$A$51:$A$350,0)+1),"")))</f>
        <v/>
      </c>
      <c r="Y48" s="506">
        <f>IF($B48="Stay at Jump",INDEX('Savings Projection'!$AI$19:$AI$33,3),IF($B48="IC Switch",IFERROR(INDEX('IC Switch Scenarios'!$X$36:$X$170,MATCH($C48,'IC Switch Scenarios'!$A$36:$A$170,0)+2),""),IFERROR(INDEX('PM After Switch'!$AF$51:$AF$350,MATCH($C48,'PM After Switch'!$A$51:$A$350,0)+2),"")))</f>
        <v/>
      </c>
      <c r="Z48" s="506">
        <f>IF($B48="Stay at Jump",INDEX('Savings Projection'!$AI$19:$AI$33,4),IF($B48="IC Switch",IFERROR(INDEX('IC Switch Scenarios'!$X$36:$X$170,MATCH($C48,'IC Switch Scenarios'!$A$36:$A$170,0)+3),""),IFERROR(INDEX('PM After Switch'!$AF$51:$AF$350,MATCH($C48,'PM After Switch'!$A$51:$A$350,0)+3),"")))</f>
        <v/>
      </c>
      <c r="AA48" s="506">
        <f>IF($B48="Stay at Jump",INDEX('Savings Projection'!$AI$19:$AI$33,5),IF($B48="IC Switch",IFERROR(INDEX('IC Switch Scenarios'!$X$36:$X$170,MATCH($C48,'IC Switch Scenarios'!$A$36:$A$170,0)+4),""),IFERROR(INDEX('PM After Switch'!$AF$51:$AF$350,MATCH($C48,'PM After Switch'!$A$51:$A$350,0)+4),"")))</f>
        <v/>
      </c>
      <c r="AB48" s="506">
        <f>IF($B48="Stay at Jump",INDEX('Savings Projection'!$AI$19:$AI$33,6),IF($B48="IC Switch",IFERROR(INDEX('IC Switch Scenarios'!$X$36:$X$170,MATCH($C48,'IC Switch Scenarios'!$A$36:$A$170,0)+5),""),IFERROR(INDEX('PM After Switch'!$AF$51:$AF$350,MATCH($C48,'PM After Switch'!$A$51:$A$350,0)+5),"")))</f>
        <v/>
      </c>
      <c r="AC48" s="506">
        <f>IF($B48="Stay at Jump",INDEX('Savings Projection'!$AI$19:$AI$33,7),IF($B48="IC Switch",IFERROR(INDEX('IC Switch Scenarios'!$X$36:$X$170,MATCH($C48,'IC Switch Scenarios'!$A$36:$A$170,0)+6),""),IFERROR(INDEX('PM After Switch'!$AF$51:$AF$350,MATCH($C48,'PM After Switch'!$A$51:$A$350,0)+6),"")))</f>
        <v/>
      </c>
      <c r="AD48" s="506">
        <f>IF($B48="Stay at Jump",INDEX('Savings Projection'!$AI$19:$AI$33,8),IF($B48="IC Switch",IFERROR(INDEX('IC Switch Scenarios'!$X$36:$X$170,MATCH($C48,'IC Switch Scenarios'!$A$36:$A$170,0)+7),""),IFERROR(INDEX('PM After Switch'!$AF$51:$AF$350,MATCH($C48,'PM After Switch'!$A$51:$A$350,0)+7),"")))</f>
        <v/>
      </c>
      <c r="AE48" s="506">
        <f>IF($B48="Stay at Jump",INDEX('Savings Projection'!$AI$19:$AI$33,9),IF($B48="IC Switch",IFERROR(INDEX('IC Switch Scenarios'!$X$36:$X$170,MATCH($C48,'IC Switch Scenarios'!$A$36:$A$170,0)+8),""),IFERROR(INDEX('PM After Switch'!$AF$51:$AF$350,MATCH($C48,'PM After Switch'!$A$51:$A$350,0)+8),"")))</f>
        <v/>
      </c>
      <c r="AF48" s="506">
        <f>IF($B48="Stay at Jump",INDEX('Savings Projection'!$AI$19:$AI$33,10),IF($B48="IC Switch",IFERROR(INDEX('IC Switch Scenarios'!$X$36:$X$170,MATCH($C48,'IC Switch Scenarios'!$A$36:$A$170,0)+9),""),IFERROR(INDEX('PM After Switch'!$AF$51:$AF$350,MATCH($C48,'PM After Switch'!$A$51:$A$350,0)+9),"")))</f>
        <v/>
      </c>
      <c r="AG48" s="506">
        <f>IF($B48="Stay at Jump",INDEX('Savings Projection'!$AI$19:$AI$33,11),IF($B48="IC Switch",IFERROR(INDEX('IC Switch Scenarios'!$X$36:$X$170,MATCH($C48,'IC Switch Scenarios'!$A$36:$A$170,0)+10),""),IFERROR(INDEX('PM After Switch'!$AF$51:$AF$350,MATCH($C48,'PM After Switch'!$A$51:$A$350,0)+10),"")))</f>
        <v/>
      </c>
      <c r="AH48" s="506">
        <f>IF($B48="Stay at Jump",INDEX('Savings Projection'!$AI$19:$AI$33,12),IF($B48="IC Switch",IFERROR(INDEX('IC Switch Scenarios'!$X$36:$X$170,MATCH($C48,'IC Switch Scenarios'!$A$36:$A$170,0)+11),""),IFERROR(INDEX('PM After Switch'!$AF$51:$AF$350,MATCH($C48,'PM After Switch'!$A$51:$A$350,0)+11),"")))</f>
        <v/>
      </c>
      <c r="AI48" s="506">
        <f>IF($B48="Stay at Jump",INDEX('Savings Projection'!$AI$19:$AI$33,13),IF($B48="IC Switch",IFERROR(INDEX('IC Switch Scenarios'!$X$36:$X$170,MATCH($C48,'IC Switch Scenarios'!$A$36:$A$170,0)+12),""),IFERROR(INDEX('PM After Switch'!$AF$51:$AF$350,MATCH($C48,'PM After Switch'!$A$51:$A$350,0)+12),"")))</f>
        <v/>
      </c>
      <c r="AJ48" s="506">
        <f>IF($B48="Stay at Jump",INDEX('Savings Projection'!$AI$19:$AI$33,14),IF($B48="IC Switch",IFERROR(INDEX('IC Switch Scenarios'!$X$36:$X$170,MATCH($C48,'IC Switch Scenarios'!$A$36:$A$170,0)+13),""),IFERROR(INDEX('PM After Switch'!$AF$51:$AF$350,MATCH($C48,'PM After Switch'!$A$51:$A$350,0)+13),"")))</f>
        <v/>
      </c>
      <c r="AK48" s="506">
        <f>IF($B48="Stay at Jump",INDEX('Savings Projection'!$AI$19:$AI$33,15),IF($B48="IC Switch",IFERROR(INDEX('IC Switch Scenarios'!$X$36:$X$170,MATCH($C48,'IC Switch Scenarios'!$A$36:$A$170,0)+14),""),IFERROR(INDEX('PM After Switch'!$AF$51:$AF$350,MATCH($C48,'PM After Switch'!$A$51:$A$350,0)+14),"")))</f>
        <v/>
      </c>
    </row>
    <row r="49" ht="20" customHeight="1" s="326">
      <c r="A49" s="426">
        <f>$B49&amp;" | "&amp;$C49&amp;" | "&amp;$H49</f>
        <v/>
      </c>
      <c r="B49" s="426" t="inlineStr">
        <is>
          <t>PM After Switch</t>
        </is>
      </c>
      <c r="C49" s="426">
        <f>'PM After Switch'!$A$35</f>
        <v/>
      </c>
      <c r="D49" s="427">
        <f>'PM After Switch'!$B$35</f>
        <v/>
      </c>
      <c r="E49" s="435">
        <f>'PM After Switch'!$C$35</f>
        <v/>
      </c>
      <c r="F49" s="427">
        <f>'PM After Switch'!$D$35</f>
        <v/>
      </c>
      <c r="G49" s="426">
        <f>'PM After Switch'!$E$35</f>
        <v/>
      </c>
      <c r="H49" s="429" t="inlineStr">
        <is>
          <t>Y10</t>
        </is>
      </c>
      <c r="I49" s="436">
        <f>'PM After Switch'!$K$35</f>
        <v/>
      </c>
      <c r="J49" s="436">
        <f>'PM After Switch'!$L$35</f>
        <v/>
      </c>
      <c r="K49" s="436">
        <f>'PM After Switch'!$M$35</f>
        <v/>
      </c>
      <c r="L49" s="436">
        <f>'PM After Switch'!$N$35</f>
        <v/>
      </c>
      <c r="M49" s="436">
        <f>'PM After Switch'!$O$35</f>
        <v/>
      </c>
      <c r="N49" s="436">
        <f>'PM After Switch'!$P$35</f>
        <v/>
      </c>
      <c r="O49" s="436">
        <f>'PM After Switch'!$Q$35</f>
        <v/>
      </c>
      <c r="P49" s="436">
        <f>'PM After Switch'!$R$35</f>
        <v/>
      </c>
      <c r="Q49" s="426">
        <f>'PM After Switch'!$S$35</f>
        <v/>
      </c>
      <c r="R49" s="429">
        <f>'PM After Switch'!$AC$35</f>
        <v/>
      </c>
      <c r="S49" s="429">
        <f>'PM After Switch'!$AD$35</f>
        <v/>
      </c>
      <c r="T49" s="429">
        <f>'PM After Switch'!$AE$35</f>
        <v/>
      </c>
      <c r="U49" s="429">
        <f>'PM After Switch'!$AF$35</f>
        <v/>
      </c>
      <c r="V49" s="505" t="n"/>
      <c r="W49" s="506">
        <f>IF($B49="Stay at Jump",INDEX('Savings Projection'!$AI$19:$AI$33,1),IF($B49="IC Switch",IFERROR(INDEX('IC Switch Scenarios'!$X$36:$X$170,MATCH($C49,'IC Switch Scenarios'!$A$36:$A$170,0)+0),""),IFERROR(INDEX('PM After Switch'!$AF$51:$AF$350,MATCH($C49,'PM After Switch'!$A$51:$A$350,0)+0),"")))</f>
        <v/>
      </c>
      <c r="X49" s="506">
        <f>IF($B49="Stay at Jump",INDEX('Savings Projection'!$AI$19:$AI$33,2),IF($B49="IC Switch",IFERROR(INDEX('IC Switch Scenarios'!$X$36:$X$170,MATCH($C49,'IC Switch Scenarios'!$A$36:$A$170,0)+1),""),IFERROR(INDEX('PM After Switch'!$AF$51:$AF$350,MATCH($C49,'PM After Switch'!$A$51:$A$350,0)+1),"")))</f>
        <v/>
      </c>
      <c r="Y49" s="506">
        <f>IF($B49="Stay at Jump",INDEX('Savings Projection'!$AI$19:$AI$33,3),IF($B49="IC Switch",IFERROR(INDEX('IC Switch Scenarios'!$X$36:$X$170,MATCH($C49,'IC Switch Scenarios'!$A$36:$A$170,0)+2),""),IFERROR(INDEX('PM After Switch'!$AF$51:$AF$350,MATCH($C49,'PM After Switch'!$A$51:$A$350,0)+2),"")))</f>
        <v/>
      </c>
      <c r="Z49" s="506">
        <f>IF($B49="Stay at Jump",INDEX('Savings Projection'!$AI$19:$AI$33,4),IF($B49="IC Switch",IFERROR(INDEX('IC Switch Scenarios'!$X$36:$X$170,MATCH($C49,'IC Switch Scenarios'!$A$36:$A$170,0)+3),""),IFERROR(INDEX('PM After Switch'!$AF$51:$AF$350,MATCH($C49,'PM After Switch'!$A$51:$A$350,0)+3),"")))</f>
        <v/>
      </c>
      <c r="AA49" s="506">
        <f>IF($B49="Stay at Jump",INDEX('Savings Projection'!$AI$19:$AI$33,5),IF($B49="IC Switch",IFERROR(INDEX('IC Switch Scenarios'!$X$36:$X$170,MATCH($C49,'IC Switch Scenarios'!$A$36:$A$170,0)+4),""),IFERROR(INDEX('PM After Switch'!$AF$51:$AF$350,MATCH($C49,'PM After Switch'!$A$51:$A$350,0)+4),"")))</f>
        <v/>
      </c>
      <c r="AB49" s="506">
        <f>IF($B49="Stay at Jump",INDEX('Savings Projection'!$AI$19:$AI$33,6),IF($B49="IC Switch",IFERROR(INDEX('IC Switch Scenarios'!$X$36:$X$170,MATCH($C49,'IC Switch Scenarios'!$A$36:$A$170,0)+5),""),IFERROR(INDEX('PM After Switch'!$AF$51:$AF$350,MATCH($C49,'PM After Switch'!$A$51:$A$350,0)+5),"")))</f>
        <v/>
      </c>
      <c r="AC49" s="506">
        <f>IF($B49="Stay at Jump",INDEX('Savings Projection'!$AI$19:$AI$33,7),IF($B49="IC Switch",IFERROR(INDEX('IC Switch Scenarios'!$X$36:$X$170,MATCH($C49,'IC Switch Scenarios'!$A$36:$A$170,0)+6),""),IFERROR(INDEX('PM After Switch'!$AF$51:$AF$350,MATCH($C49,'PM After Switch'!$A$51:$A$350,0)+6),"")))</f>
        <v/>
      </c>
      <c r="AD49" s="506">
        <f>IF($B49="Stay at Jump",INDEX('Savings Projection'!$AI$19:$AI$33,8),IF($B49="IC Switch",IFERROR(INDEX('IC Switch Scenarios'!$X$36:$X$170,MATCH($C49,'IC Switch Scenarios'!$A$36:$A$170,0)+7),""),IFERROR(INDEX('PM After Switch'!$AF$51:$AF$350,MATCH($C49,'PM After Switch'!$A$51:$A$350,0)+7),"")))</f>
        <v/>
      </c>
      <c r="AE49" s="506">
        <f>IF($B49="Stay at Jump",INDEX('Savings Projection'!$AI$19:$AI$33,9),IF($B49="IC Switch",IFERROR(INDEX('IC Switch Scenarios'!$X$36:$X$170,MATCH($C49,'IC Switch Scenarios'!$A$36:$A$170,0)+8),""),IFERROR(INDEX('PM After Switch'!$AF$51:$AF$350,MATCH($C49,'PM After Switch'!$A$51:$A$350,0)+8),"")))</f>
        <v/>
      </c>
      <c r="AF49" s="506">
        <f>IF($B49="Stay at Jump",INDEX('Savings Projection'!$AI$19:$AI$33,10),IF($B49="IC Switch",IFERROR(INDEX('IC Switch Scenarios'!$X$36:$X$170,MATCH($C49,'IC Switch Scenarios'!$A$36:$A$170,0)+9),""),IFERROR(INDEX('PM After Switch'!$AF$51:$AF$350,MATCH($C49,'PM After Switch'!$A$51:$A$350,0)+9),"")))</f>
        <v/>
      </c>
      <c r="AG49" s="506">
        <f>IF($B49="Stay at Jump",INDEX('Savings Projection'!$AI$19:$AI$33,11),IF($B49="IC Switch",IFERROR(INDEX('IC Switch Scenarios'!$X$36:$X$170,MATCH($C49,'IC Switch Scenarios'!$A$36:$A$170,0)+10),""),IFERROR(INDEX('PM After Switch'!$AF$51:$AF$350,MATCH($C49,'PM After Switch'!$A$51:$A$350,0)+10),"")))</f>
        <v/>
      </c>
      <c r="AH49" s="506">
        <f>IF($B49="Stay at Jump",INDEX('Savings Projection'!$AI$19:$AI$33,12),IF($B49="IC Switch",IFERROR(INDEX('IC Switch Scenarios'!$X$36:$X$170,MATCH($C49,'IC Switch Scenarios'!$A$36:$A$170,0)+11),""),IFERROR(INDEX('PM After Switch'!$AF$51:$AF$350,MATCH($C49,'PM After Switch'!$A$51:$A$350,0)+11),"")))</f>
        <v/>
      </c>
      <c r="AI49" s="506">
        <f>IF($B49="Stay at Jump",INDEX('Savings Projection'!$AI$19:$AI$33,13),IF($B49="IC Switch",IFERROR(INDEX('IC Switch Scenarios'!$X$36:$X$170,MATCH($C49,'IC Switch Scenarios'!$A$36:$A$170,0)+12),""),IFERROR(INDEX('PM After Switch'!$AF$51:$AF$350,MATCH($C49,'PM After Switch'!$A$51:$A$350,0)+12),"")))</f>
        <v/>
      </c>
      <c r="AJ49" s="506">
        <f>IF($B49="Stay at Jump",INDEX('Savings Projection'!$AI$19:$AI$33,14),IF($B49="IC Switch",IFERROR(INDEX('IC Switch Scenarios'!$X$36:$X$170,MATCH($C49,'IC Switch Scenarios'!$A$36:$A$170,0)+13),""),IFERROR(INDEX('PM After Switch'!$AF$51:$AF$350,MATCH($C49,'PM After Switch'!$A$51:$A$350,0)+13),"")))</f>
        <v/>
      </c>
      <c r="AK49" s="506">
        <f>IF($B49="Stay at Jump",INDEX('Savings Projection'!$AI$19:$AI$33,15),IF($B49="IC Switch",IFERROR(INDEX('IC Switch Scenarios'!$X$36:$X$170,MATCH($C49,'IC Switch Scenarios'!$A$36:$A$170,0)+14),""),IFERROR(INDEX('PM After Switch'!$AF$51:$AF$350,MATCH($C49,'PM After Switch'!$A$51:$A$350,0)+14),"")))</f>
        <v/>
      </c>
    </row>
    <row r="50" ht="20" customHeight="1" s="326">
      <c r="A50" s="426">
        <f>$B50&amp;" | "&amp;$C50&amp;" | "&amp;$H50</f>
        <v/>
      </c>
      <c r="B50" s="426" t="inlineStr">
        <is>
          <t>PM After Switch</t>
        </is>
      </c>
      <c r="C50" s="426">
        <f>'PM After Switch'!$A$35</f>
        <v/>
      </c>
      <c r="D50" s="427">
        <f>'PM After Switch'!$B$35</f>
        <v/>
      </c>
      <c r="E50" s="435">
        <f>'PM After Switch'!$C$35</f>
        <v/>
      </c>
      <c r="F50" s="427">
        <f>'PM After Switch'!$D$35</f>
        <v/>
      </c>
      <c r="G50" s="426">
        <f>'PM After Switch'!$E$35</f>
        <v/>
      </c>
      <c r="H50" s="429" t="inlineStr">
        <is>
          <t>Y15</t>
        </is>
      </c>
      <c r="I50" s="436">
        <f>'PM After Switch'!$T$35</f>
        <v/>
      </c>
      <c r="J50" s="436">
        <f>'PM After Switch'!$U$35</f>
        <v/>
      </c>
      <c r="K50" s="436">
        <f>'PM After Switch'!$V$35</f>
        <v/>
      </c>
      <c r="L50" s="436">
        <f>'PM After Switch'!$W$35</f>
        <v/>
      </c>
      <c r="M50" s="436">
        <f>'PM After Switch'!$X$35</f>
        <v/>
      </c>
      <c r="N50" s="436">
        <f>'PM After Switch'!$Y$35</f>
        <v/>
      </c>
      <c r="O50" s="436">
        <f>'PM After Switch'!$Z$35</f>
        <v/>
      </c>
      <c r="P50" s="436">
        <f>'PM After Switch'!$AA$35</f>
        <v/>
      </c>
      <c r="Q50" s="426">
        <f>'PM After Switch'!$AB$35</f>
        <v/>
      </c>
      <c r="R50" s="429">
        <f>'PM After Switch'!$AC$35</f>
        <v/>
      </c>
      <c r="S50" s="429">
        <f>'PM After Switch'!$AD$35</f>
        <v/>
      </c>
      <c r="T50" s="429">
        <f>'PM After Switch'!$AE$35</f>
        <v/>
      </c>
      <c r="U50" s="429">
        <f>'PM After Switch'!$AF$35</f>
        <v/>
      </c>
      <c r="V50" s="505" t="n"/>
      <c r="W50" s="506">
        <f>IF($B50="Stay at Jump",INDEX('Savings Projection'!$AI$19:$AI$33,1),IF($B50="IC Switch",IFERROR(INDEX('IC Switch Scenarios'!$X$36:$X$170,MATCH($C50,'IC Switch Scenarios'!$A$36:$A$170,0)+0),""),IFERROR(INDEX('PM After Switch'!$AF$51:$AF$350,MATCH($C50,'PM After Switch'!$A$51:$A$350,0)+0),"")))</f>
        <v/>
      </c>
      <c r="X50" s="506">
        <f>IF($B50="Stay at Jump",INDEX('Savings Projection'!$AI$19:$AI$33,2),IF($B50="IC Switch",IFERROR(INDEX('IC Switch Scenarios'!$X$36:$X$170,MATCH($C50,'IC Switch Scenarios'!$A$36:$A$170,0)+1),""),IFERROR(INDEX('PM After Switch'!$AF$51:$AF$350,MATCH($C50,'PM After Switch'!$A$51:$A$350,0)+1),"")))</f>
        <v/>
      </c>
      <c r="Y50" s="506">
        <f>IF($B50="Stay at Jump",INDEX('Savings Projection'!$AI$19:$AI$33,3),IF($B50="IC Switch",IFERROR(INDEX('IC Switch Scenarios'!$X$36:$X$170,MATCH($C50,'IC Switch Scenarios'!$A$36:$A$170,0)+2),""),IFERROR(INDEX('PM After Switch'!$AF$51:$AF$350,MATCH($C50,'PM After Switch'!$A$51:$A$350,0)+2),"")))</f>
        <v/>
      </c>
      <c r="Z50" s="506">
        <f>IF($B50="Stay at Jump",INDEX('Savings Projection'!$AI$19:$AI$33,4),IF($B50="IC Switch",IFERROR(INDEX('IC Switch Scenarios'!$X$36:$X$170,MATCH($C50,'IC Switch Scenarios'!$A$36:$A$170,0)+3),""),IFERROR(INDEX('PM After Switch'!$AF$51:$AF$350,MATCH($C50,'PM After Switch'!$A$51:$A$350,0)+3),"")))</f>
        <v/>
      </c>
      <c r="AA50" s="506">
        <f>IF($B50="Stay at Jump",INDEX('Savings Projection'!$AI$19:$AI$33,5),IF($B50="IC Switch",IFERROR(INDEX('IC Switch Scenarios'!$X$36:$X$170,MATCH($C50,'IC Switch Scenarios'!$A$36:$A$170,0)+4),""),IFERROR(INDEX('PM After Switch'!$AF$51:$AF$350,MATCH($C50,'PM After Switch'!$A$51:$A$350,0)+4),"")))</f>
        <v/>
      </c>
      <c r="AB50" s="506">
        <f>IF($B50="Stay at Jump",INDEX('Savings Projection'!$AI$19:$AI$33,6),IF($B50="IC Switch",IFERROR(INDEX('IC Switch Scenarios'!$X$36:$X$170,MATCH($C50,'IC Switch Scenarios'!$A$36:$A$170,0)+5),""),IFERROR(INDEX('PM After Switch'!$AF$51:$AF$350,MATCH($C50,'PM After Switch'!$A$51:$A$350,0)+5),"")))</f>
        <v/>
      </c>
      <c r="AC50" s="506">
        <f>IF($B50="Stay at Jump",INDEX('Savings Projection'!$AI$19:$AI$33,7),IF($B50="IC Switch",IFERROR(INDEX('IC Switch Scenarios'!$X$36:$X$170,MATCH($C50,'IC Switch Scenarios'!$A$36:$A$170,0)+6),""),IFERROR(INDEX('PM After Switch'!$AF$51:$AF$350,MATCH($C50,'PM After Switch'!$A$51:$A$350,0)+6),"")))</f>
        <v/>
      </c>
      <c r="AD50" s="506">
        <f>IF($B50="Stay at Jump",INDEX('Savings Projection'!$AI$19:$AI$33,8),IF($B50="IC Switch",IFERROR(INDEX('IC Switch Scenarios'!$X$36:$X$170,MATCH($C50,'IC Switch Scenarios'!$A$36:$A$170,0)+7),""),IFERROR(INDEX('PM After Switch'!$AF$51:$AF$350,MATCH($C50,'PM After Switch'!$A$51:$A$350,0)+7),"")))</f>
        <v/>
      </c>
      <c r="AE50" s="506">
        <f>IF($B50="Stay at Jump",INDEX('Savings Projection'!$AI$19:$AI$33,9),IF($B50="IC Switch",IFERROR(INDEX('IC Switch Scenarios'!$X$36:$X$170,MATCH($C50,'IC Switch Scenarios'!$A$36:$A$170,0)+8),""),IFERROR(INDEX('PM After Switch'!$AF$51:$AF$350,MATCH($C50,'PM After Switch'!$A$51:$A$350,0)+8),"")))</f>
        <v/>
      </c>
      <c r="AF50" s="506">
        <f>IF($B50="Stay at Jump",INDEX('Savings Projection'!$AI$19:$AI$33,10),IF($B50="IC Switch",IFERROR(INDEX('IC Switch Scenarios'!$X$36:$X$170,MATCH($C50,'IC Switch Scenarios'!$A$36:$A$170,0)+9),""),IFERROR(INDEX('PM After Switch'!$AF$51:$AF$350,MATCH($C50,'PM After Switch'!$A$51:$A$350,0)+9),"")))</f>
        <v/>
      </c>
      <c r="AG50" s="506">
        <f>IF($B50="Stay at Jump",INDEX('Savings Projection'!$AI$19:$AI$33,11),IF($B50="IC Switch",IFERROR(INDEX('IC Switch Scenarios'!$X$36:$X$170,MATCH($C50,'IC Switch Scenarios'!$A$36:$A$170,0)+10),""),IFERROR(INDEX('PM After Switch'!$AF$51:$AF$350,MATCH($C50,'PM After Switch'!$A$51:$A$350,0)+10),"")))</f>
        <v/>
      </c>
      <c r="AH50" s="506">
        <f>IF($B50="Stay at Jump",INDEX('Savings Projection'!$AI$19:$AI$33,12),IF($B50="IC Switch",IFERROR(INDEX('IC Switch Scenarios'!$X$36:$X$170,MATCH($C50,'IC Switch Scenarios'!$A$36:$A$170,0)+11),""),IFERROR(INDEX('PM After Switch'!$AF$51:$AF$350,MATCH($C50,'PM After Switch'!$A$51:$A$350,0)+11),"")))</f>
        <v/>
      </c>
      <c r="AI50" s="506">
        <f>IF($B50="Stay at Jump",INDEX('Savings Projection'!$AI$19:$AI$33,13),IF($B50="IC Switch",IFERROR(INDEX('IC Switch Scenarios'!$X$36:$X$170,MATCH($C50,'IC Switch Scenarios'!$A$36:$A$170,0)+12),""),IFERROR(INDEX('PM After Switch'!$AF$51:$AF$350,MATCH($C50,'PM After Switch'!$A$51:$A$350,0)+12),"")))</f>
        <v/>
      </c>
      <c r="AJ50" s="506">
        <f>IF($B50="Stay at Jump",INDEX('Savings Projection'!$AI$19:$AI$33,14),IF($B50="IC Switch",IFERROR(INDEX('IC Switch Scenarios'!$X$36:$X$170,MATCH($C50,'IC Switch Scenarios'!$A$36:$A$170,0)+13),""),IFERROR(INDEX('PM After Switch'!$AF$51:$AF$350,MATCH($C50,'PM After Switch'!$A$51:$A$350,0)+13),"")))</f>
        <v/>
      </c>
      <c r="AK50" s="506">
        <f>IF($B50="Stay at Jump",INDEX('Savings Projection'!$AI$19:$AI$33,15),IF($B50="IC Switch",IFERROR(INDEX('IC Switch Scenarios'!$X$36:$X$170,MATCH($C50,'IC Switch Scenarios'!$A$36:$A$170,0)+14),""),IFERROR(INDEX('PM After Switch'!$AF$51:$AF$350,MATCH($C50,'PM After Switch'!$A$51:$A$350,0)+14),"")))</f>
        <v/>
      </c>
    </row>
    <row r="51" ht="20" customHeight="1" s="326">
      <c r="A51" s="426">
        <f>$B51&amp;" | "&amp;$C51&amp;" | "&amp;$H51</f>
        <v/>
      </c>
      <c r="B51" s="426" t="inlineStr">
        <is>
          <t>PM After Switch</t>
        </is>
      </c>
      <c r="C51" s="426">
        <f>'PM After Switch'!$A$36</f>
        <v/>
      </c>
      <c r="D51" s="427">
        <f>'PM After Switch'!$B$36</f>
        <v/>
      </c>
      <c r="E51" s="435">
        <f>'PM After Switch'!$C$36</f>
        <v/>
      </c>
      <c r="F51" s="427">
        <f>'PM After Switch'!$D$36</f>
        <v/>
      </c>
      <c r="G51" s="426">
        <f>'PM After Switch'!$E$36</f>
        <v/>
      </c>
      <c r="H51" s="429" t="inlineStr">
        <is>
          <t>Y10</t>
        </is>
      </c>
      <c r="I51" s="436">
        <f>'PM After Switch'!$K$36</f>
        <v/>
      </c>
      <c r="J51" s="436">
        <f>'PM After Switch'!$L$36</f>
        <v/>
      </c>
      <c r="K51" s="436">
        <f>'PM After Switch'!$M$36</f>
        <v/>
      </c>
      <c r="L51" s="436">
        <f>'PM After Switch'!$N$36</f>
        <v/>
      </c>
      <c r="M51" s="436">
        <f>'PM After Switch'!$O$36</f>
        <v/>
      </c>
      <c r="N51" s="436">
        <f>'PM After Switch'!$P$36</f>
        <v/>
      </c>
      <c r="O51" s="436">
        <f>'PM After Switch'!$Q$36</f>
        <v/>
      </c>
      <c r="P51" s="436">
        <f>'PM After Switch'!$R$36</f>
        <v/>
      </c>
      <c r="Q51" s="426">
        <f>'PM After Switch'!$S$36</f>
        <v/>
      </c>
      <c r="R51" s="429">
        <f>'PM After Switch'!$AC$36</f>
        <v/>
      </c>
      <c r="S51" s="429">
        <f>'PM After Switch'!$AD$36</f>
        <v/>
      </c>
      <c r="T51" s="429">
        <f>'PM After Switch'!$AE$36</f>
        <v/>
      </c>
      <c r="U51" s="429">
        <f>'PM After Switch'!$AF$36</f>
        <v/>
      </c>
      <c r="V51" s="505" t="n"/>
      <c r="W51" s="506">
        <f>IF($B51="Stay at Jump",INDEX('Savings Projection'!$AI$19:$AI$33,1),IF($B51="IC Switch",IFERROR(INDEX('IC Switch Scenarios'!$X$36:$X$170,MATCH($C51,'IC Switch Scenarios'!$A$36:$A$170,0)+0),""),IFERROR(INDEX('PM After Switch'!$AF$51:$AF$350,MATCH($C51,'PM After Switch'!$A$51:$A$350,0)+0),"")))</f>
        <v/>
      </c>
      <c r="X51" s="506">
        <f>IF($B51="Stay at Jump",INDEX('Savings Projection'!$AI$19:$AI$33,2),IF($B51="IC Switch",IFERROR(INDEX('IC Switch Scenarios'!$X$36:$X$170,MATCH($C51,'IC Switch Scenarios'!$A$36:$A$170,0)+1),""),IFERROR(INDEX('PM After Switch'!$AF$51:$AF$350,MATCH($C51,'PM After Switch'!$A$51:$A$350,0)+1),"")))</f>
        <v/>
      </c>
      <c r="Y51" s="506">
        <f>IF($B51="Stay at Jump",INDEX('Savings Projection'!$AI$19:$AI$33,3),IF($B51="IC Switch",IFERROR(INDEX('IC Switch Scenarios'!$X$36:$X$170,MATCH($C51,'IC Switch Scenarios'!$A$36:$A$170,0)+2),""),IFERROR(INDEX('PM After Switch'!$AF$51:$AF$350,MATCH($C51,'PM After Switch'!$A$51:$A$350,0)+2),"")))</f>
        <v/>
      </c>
      <c r="Z51" s="506">
        <f>IF($B51="Stay at Jump",INDEX('Savings Projection'!$AI$19:$AI$33,4),IF($B51="IC Switch",IFERROR(INDEX('IC Switch Scenarios'!$X$36:$X$170,MATCH($C51,'IC Switch Scenarios'!$A$36:$A$170,0)+3),""),IFERROR(INDEX('PM After Switch'!$AF$51:$AF$350,MATCH($C51,'PM After Switch'!$A$51:$A$350,0)+3),"")))</f>
        <v/>
      </c>
      <c r="AA51" s="506">
        <f>IF($B51="Stay at Jump",INDEX('Savings Projection'!$AI$19:$AI$33,5),IF($B51="IC Switch",IFERROR(INDEX('IC Switch Scenarios'!$X$36:$X$170,MATCH($C51,'IC Switch Scenarios'!$A$36:$A$170,0)+4),""),IFERROR(INDEX('PM After Switch'!$AF$51:$AF$350,MATCH($C51,'PM After Switch'!$A$51:$A$350,0)+4),"")))</f>
        <v/>
      </c>
      <c r="AB51" s="506">
        <f>IF($B51="Stay at Jump",INDEX('Savings Projection'!$AI$19:$AI$33,6),IF($B51="IC Switch",IFERROR(INDEX('IC Switch Scenarios'!$X$36:$X$170,MATCH($C51,'IC Switch Scenarios'!$A$36:$A$170,0)+5),""),IFERROR(INDEX('PM After Switch'!$AF$51:$AF$350,MATCH($C51,'PM After Switch'!$A$51:$A$350,0)+5),"")))</f>
        <v/>
      </c>
      <c r="AC51" s="506">
        <f>IF($B51="Stay at Jump",INDEX('Savings Projection'!$AI$19:$AI$33,7),IF($B51="IC Switch",IFERROR(INDEX('IC Switch Scenarios'!$X$36:$X$170,MATCH($C51,'IC Switch Scenarios'!$A$36:$A$170,0)+6),""),IFERROR(INDEX('PM After Switch'!$AF$51:$AF$350,MATCH($C51,'PM After Switch'!$A$51:$A$350,0)+6),"")))</f>
        <v/>
      </c>
      <c r="AD51" s="506">
        <f>IF($B51="Stay at Jump",INDEX('Savings Projection'!$AI$19:$AI$33,8),IF($B51="IC Switch",IFERROR(INDEX('IC Switch Scenarios'!$X$36:$X$170,MATCH($C51,'IC Switch Scenarios'!$A$36:$A$170,0)+7),""),IFERROR(INDEX('PM After Switch'!$AF$51:$AF$350,MATCH($C51,'PM After Switch'!$A$51:$A$350,0)+7),"")))</f>
        <v/>
      </c>
      <c r="AE51" s="506">
        <f>IF($B51="Stay at Jump",INDEX('Savings Projection'!$AI$19:$AI$33,9),IF($B51="IC Switch",IFERROR(INDEX('IC Switch Scenarios'!$X$36:$X$170,MATCH($C51,'IC Switch Scenarios'!$A$36:$A$170,0)+8),""),IFERROR(INDEX('PM After Switch'!$AF$51:$AF$350,MATCH($C51,'PM After Switch'!$A$51:$A$350,0)+8),"")))</f>
        <v/>
      </c>
      <c r="AF51" s="506">
        <f>IF($B51="Stay at Jump",INDEX('Savings Projection'!$AI$19:$AI$33,10),IF($B51="IC Switch",IFERROR(INDEX('IC Switch Scenarios'!$X$36:$X$170,MATCH($C51,'IC Switch Scenarios'!$A$36:$A$170,0)+9),""),IFERROR(INDEX('PM After Switch'!$AF$51:$AF$350,MATCH($C51,'PM After Switch'!$A$51:$A$350,0)+9),"")))</f>
        <v/>
      </c>
      <c r="AG51" s="506">
        <f>IF($B51="Stay at Jump",INDEX('Savings Projection'!$AI$19:$AI$33,11),IF($B51="IC Switch",IFERROR(INDEX('IC Switch Scenarios'!$X$36:$X$170,MATCH($C51,'IC Switch Scenarios'!$A$36:$A$170,0)+10),""),IFERROR(INDEX('PM After Switch'!$AF$51:$AF$350,MATCH($C51,'PM After Switch'!$A$51:$A$350,0)+10),"")))</f>
        <v/>
      </c>
      <c r="AH51" s="506">
        <f>IF($B51="Stay at Jump",INDEX('Savings Projection'!$AI$19:$AI$33,12),IF($B51="IC Switch",IFERROR(INDEX('IC Switch Scenarios'!$X$36:$X$170,MATCH($C51,'IC Switch Scenarios'!$A$36:$A$170,0)+11),""),IFERROR(INDEX('PM After Switch'!$AF$51:$AF$350,MATCH($C51,'PM After Switch'!$A$51:$A$350,0)+11),"")))</f>
        <v/>
      </c>
      <c r="AI51" s="506">
        <f>IF($B51="Stay at Jump",INDEX('Savings Projection'!$AI$19:$AI$33,13),IF($B51="IC Switch",IFERROR(INDEX('IC Switch Scenarios'!$X$36:$X$170,MATCH($C51,'IC Switch Scenarios'!$A$36:$A$170,0)+12),""),IFERROR(INDEX('PM After Switch'!$AF$51:$AF$350,MATCH($C51,'PM After Switch'!$A$51:$A$350,0)+12),"")))</f>
        <v/>
      </c>
      <c r="AJ51" s="506">
        <f>IF($B51="Stay at Jump",INDEX('Savings Projection'!$AI$19:$AI$33,14),IF($B51="IC Switch",IFERROR(INDEX('IC Switch Scenarios'!$X$36:$X$170,MATCH($C51,'IC Switch Scenarios'!$A$36:$A$170,0)+13),""),IFERROR(INDEX('PM After Switch'!$AF$51:$AF$350,MATCH($C51,'PM After Switch'!$A$51:$A$350,0)+13),"")))</f>
        <v/>
      </c>
      <c r="AK51" s="506">
        <f>IF($B51="Stay at Jump",INDEX('Savings Projection'!$AI$19:$AI$33,15),IF($B51="IC Switch",IFERROR(INDEX('IC Switch Scenarios'!$X$36:$X$170,MATCH($C51,'IC Switch Scenarios'!$A$36:$A$170,0)+14),""),IFERROR(INDEX('PM After Switch'!$AF$51:$AF$350,MATCH($C51,'PM After Switch'!$A$51:$A$350,0)+14),"")))</f>
        <v/>
      </c>
    </row>
    <row r="52" ht="20" customHeight="1" s="326">
      <c r="A52" s="426">
        <f>$B52&amp;" | "&amp;$C52&amp;" | "&amp;$H52</f>
        <v/>
      </c>
      <c r="B52" s="426" t="inlineStr">
        <is>
          <t>PM After Switch</t>
        </is>
      </c>
      <c r="C52" s="426">
        <f>'PM After Switch'!$A$36</f>
        <v/>
      </c>
      <c r="D52" s="427">
        <f>'PM After Switch'!$B$36</f>
        <v/>
      </c>
      <c r="E52" s="435">
        <f>'PM After Switch'!$C$36</f>
        <v/>
      </c>
      <c r="F52" s="427">
        <f>'PM After Switch'!$D$36</f>
        <v/>
      </c>
      <c r="G52" s="426">
        <f>'PM After Switch'!$E$36</f>
        <v/>
      </c>
      <c r="H52" s="429" t="inlineStr">
        <is>
          <t>Y15</t>
        </is>
      </c>
      <c r="I52" s="436">
        <f>'PM After Switch'!$T$36</f>
        <v/>
      </c>
      <c r="J52" s="436">
        <f>'PM After Switch'!$U$36</f>
        <v/>
      </c>
      <c r="K52" s="436">
        <f>'PM After Switch'!$V$36</f>
        <v/>
      </c>
      <c r="L52" s="436">
        <f>'PM After Switch'!$W$36</f>
        <v/>
      </c>
      <c r="M52" s="436">
        <f>'PM After Switch'!$X$36</f>
        <v/>
      </c>
      <c r="N52" s="436">
        <f>'PM After Switch'!$Y$36</f>
        <v/>
      </c>
      <c r="O52" s="436">
        <f>'PM After Switch'!$Z$36</f>
        <v/>
      </c>
      <c r="P52" s="436">
        <f>'PM After Switch'!$AA$36</f>
        <v/>
      </c>
      <c r="Q52" s="426">
        <f>'PM After Switch'!$AB$36</f>
        <v/>
      </c>
      <c r="R52" s="429">
        <f>'PM After Switch'!$AC$36</f>
        <v/>
      </c>
      <c r="S52" s="429">
        <f>'PM After Switch'!$AD$36</f>
        <v/>
      </c>
      <c r="T52" s="429">
        <f>'PM After Switch'!$AE$36</f>
        <v/>
      </c>
      <c r="U52" s="429">
        <f>'PM After Switch'!$AF$36</f>
        <v/>
      </c>
      <c r="V52" s="505" t="n"/>
      <c r="W52" s="506">
        <f>IF($B52="Stay at Jump",INDEX('Savings Projection'!$AI$19:$AI$33,1),IF($B52="IC Switch",IFERROR(INDEX('IC Switch Scenarios'!$X$36:$X$170,MATCH($C52,'IC Switch Scenarios'!$A$36:$A$170,0)+0),""),IFERROR(INDEX('PM After Switch'!$AF$51:$AF$350,MATCH($C52,'PM After Switch'!$A$51:$A$350,0)+0),"")))</f>
        <v/>
      </c>
      <c r="X52" s="506">
        <f>IF($B52="Stay at Jump",INDEX('Savings Projection'!$AI$19:$AI$33,2),IF($B52="IC Switch",IFERROR(INDEX('IC Switch Scenarios'!$X$36:$X$170,MATCH($C52,'IC Switch Scenarios'!$A$36:$A$170,0)+1),""),IFERROR(INDEX('PM After Switch'!$AF$51:$AF$350,MATCH($C52,'PM After Switch'!$A$51:$A$350,0)+1),"")))</f>
        <v/>
      </c>
      <c r="Y52" s="506">
        <f>IF($B52="Stay at Jump",INDEX('Savings Projection'!$AI$19:$AI$33,3),IF($B52="IC Switch",IFERROR(INDEX('IC Switch Scenarios'!$X$36:$X$170,MATCH($C52,'IC Switch Scenarios'!$A$36:$A$170,0)+2),""),IFERROR(INDEX('PM After Switch'!$AF$51:$AF$350,MATCH($C52,'PM After Switch'!$A$51:$A$350,0)+2),"")))</f>
        <v/>
      </c>
      <c r="Z52" s="506">
        <f>IF($B52="Stay at Jump",INDEX('Savings Projection'!$AI$19:$AI$33,4),IF($B52="IC Switch",IFERROR(INDEX('IC Switch Scenarios'!$X$36:$X$170,MATCH($C52,'IC Switch Scenarios'!$A$36:$A$170,0)+3),""),IFERROR(INDEX('PM After Switch'!$AF$51:$AF$350,MATCH($C52,'PM After Switch'!$A$51:$A$350,0)+3),"")))</f>
        <v/>
      </c>
      <c r="AA52" s="506">
        <f>IF($B52="Stay at Jump",INDEX('Savings Projection'!$AI$19:$AI$33,5),IF($B52="IC Switch",IFERROR(INDEX('IC Switch Scenarios'!$X$36:$X$170,MATCH($C52,'IC Switch Scenarios'!$A$36:$A$170,0)+4),""),IFERROR(INDEX('PM After Switch'!$AF$51:$AF$350,MATCH($C52,'PM After Switch'!$A$51:$A$350,0)+4),"")))</f>
        <v/>
      </c>
      <c r="AB52" s="506">
        <f>IF($B52="Stay at Jump",INDEX('Savings Projection'!$AI$19:$AI$33,6),IF($B52="IC Switch",IFERROR(INDEX('IC Switch Scenarios'!$X$36:$X$170,MATCH($C52,'IC Switch Scenarios'!$A$36:$A$170,0)+5),""),IFERROR(INDEX('PM After Switch'!$AF$51:$AF$350,MATCH($C52,'PM After Switch'!$A$51:$A$350,0)+5),"")))</f>
        <v/>
      </c>
      <c r="AC52" s="506">
        <f>IF($B52="Stay at Jump",INDEX('Savings Projection'!$AI$19:$AI$33,7),IF($B52="IC Switch",IFERROR(INDEX('IC Switch Scenarios'!$X$36:$X$170,MATCH($C52,'IC Switch Scenarios'!$A$36:$A$170,0)+6),""),IFERROR(INDEX('PM After Switch'!$AF$51:$AF$350,MATCH($C52,'PM After Switch'!$A$51:$A$350,0)+6),"")))</f>
        <v/>
      </c>
      <c r="AD52" s="506">
        <f>IF($B52="Stay at Jump",INDEX('Savings Projection'!$AI$19:$AI$33,8),IF($B52="IC Switch",IFERROR(INDEX('IC Switch Scenarios'!$X$36:$X$170,MATCH($C52,'IC Switch Scenarios'!$A$36:$A$170,0)+7),""),IFERROR(INDEX('PM After Switch'!$AF$51:$AF$350,MATCH($C52,'PM After Switch'!$A$51:$A$350,0)+7),"")))</f>
        <v/>
      </c>
      <c r="AE52" s="506">
        <f>IF($B52="Stay at Jump",INDEX('Savings Projection'!$AI$19:$AI$33,9),IF($B52="IC Switch",IFERROR(INDEX('IC Switch Scenarios'!$X$36:$X$170,MATCH($C52,'IC Switch Scenarios'!$A$36:$A$170,0)+8),""),IFERROR(INDEX('PM After Switch'!$AF$51:$AF$350,MATCH($C52,'PM After Switch'!$A$51:$A$350,0)+8),"")))</f>
        <v/>
      </c>
      <c r="AF52" s="506">
        <f>IF($B52="Stay at Jump",INDEX('Savings Projection'!$AI$19:$AI$33,10),IF($B52="IC Switch",IFERROR(INDEX('IC Switch Scenarios'!$X$36:$X$170,MATCH($C52,'IC Switch Scenarios'!$A$36:$A$170,0)+9),""),IFERROR(INDEX('PM After Switch'!$AF$51:$AF$350,MATCH($C52,'PM After Switch'!$A$51:$A$350,0)+9),"")))</f>
        <v/>
      </c>
      <c r="AG52" s="506">
        <f>IF($B52="Stay at Jump",INDEX('Savings Projection'!$AI$19:$AI$33,11),IF($B52="IC Switch",IFERROR(INDEX('IC Switch Scenarios'!$X$36:$X$170,MATCH($C52,'IC Switch Scenarios'!$A$36:$A$170,0)+10),""),IFERROR(INDEX('PM After Switch'!$AF$51:$AF$350,MATCH($C52,'PM After Switch'!$A$51:$A$350,0)+10),"")))</f>
        <v/>
      </c>
      <c r="AH52" s="506">
        <f>IF($B52="Stay at Jump",INDEX('Savings Projection'!$AI$19:$AI$33,12),IF($B52="IC Switch",IFERROR(INDEX('IC Switch Scenarios'!$X$36:$X$170,MATCH($C52,'IC Switch Scenarios'!$A$36:$A$170,0)+11),""),IFERROR(INDEX('PM After Switch'!$AF$51:$AF$350,MATCH($C52,'PM After Switch'!$A$51:$A$350,0)+11),"")))</f>
        <v/>
      </c>
      <c r="AI52" s="506">
        <f>IF($B52="Stay at Jump",INDEX('Savings Projection'!$AI$19:$AI$33,13),IF($B52="IC Switch",IFERROR(INDEX('IC Switch Scenarios'!$X$36:$X$170,MATCH($C52,'IC Switch Scenarios'!$A$36:$A$170,0)+12),""),IFERROR(INDEX('PM After Switch'!$AF$51:$AF$350,MATCH($C52,'PM After Switch'!$A$51:$A$350,0)+12),"")))</f>
        <v/>
      </c>
      <c r="AJ52" s="506">
        <f>IF($B52="Stay at Jump",INDEX('Savings Projection'!$AI$19:$AI$33,14),IF($B52="IC Switch",IFERROR(INDEX('IC Switch Scenarios'!$X$36:$X$170,MATCH($C52,'IC Switch Scenarios'!$A$36:$A$170,0)+13),""),IFERROR(INDEX('PM After Switch'!$AF$51:$AF$350,MATCH($C52,'PM After Switch'!$A$51:$A$350,0)+13),"")))</f>
        <v/>
      </c>
      <c r="AK52" s="506">
        <f>IF($B52="Stay at Jump",INDEX('Savings Projection'!$AI$19:$AI$33,15),IF($B52="IC Switch",IFERROR(INDEX('IC Switch Scenarios'!$X$36:$X$170,MATCH($C52,'IC Switch Scenarios'!$A$36:$A$170,0)+14),""),IFERROR(INDEX('PM After Switch'!$AF$51:$AF$350,MATCH($C52,'PM After Switch'!$A$51:$A$350,0)+14),"")))</f>
        <v/>
      </c>
    </row>
    <row r="53" ht="20" customHeight="1" s="326">
      <c r="A53" s="426">
        <f>$B53&amp;" | "&amp;$C53&amp;" | "&amp;$H53</f>
        <v/>
      </c>
      <c r="B53" s="426" t="inlineStr">
        <is>
          <t>PM After Switch</t>
        </is>
      </c>
      <c r="C53" s="426">
        <f>'PM After Switch'!$A$37</f>
        <v/>
      </c>
      <c r="D53" s="427">
        <f>'PM After Switch'!$B$37</f>
        <v/>
      </c>
      <c r="E53" s="435">
        <f>'PM After Switch'!$C$37</f>
        <v/>
      </c>
      <c r="F53" s="427">
        <f>'PM After Switch'!$D$37</f>
        <v/>
      </c>
      <c r="G53" s="426">
        <f>'PM After Switch'!$E$37</f>
        <v/>
      </c>
      <c r="H53" s="429" t="inlineStr">
        <is>
          <t>Y10</t>
        </is>
      </c>
      <c r="I53" s="436">
        <f>'PM After Switch'!$K$37</f>
        <v/>
      </c>
      <c r="J53" s="436">
        <f>'PM After Switch'!$L$37</f>
        <v/>
      </c>
      <c r="K53" s="436">
        <f>'PM After Switch'!$M$37</f>
        <v/>
      </c>
      <c r="L53" s="436">
        <f>'PM After Switch'!$N$37</f>
        <v/>
      </c>
      <c r="M53" s="436">
        <f>'PM After Switch'!$O$37</f>
        <v/>
      </c>
      <c r="N53" s="436">
        <f>'PM After Switch'!$P$37</f>
        <v/>
      </c>
      <c r="O53" s="436">
        <f>'PM After Switch'!$Q$37</f>
        <v/>
      </c>
      <c r="P53" s="436">
        <f>'PM After Switch'!$R$37</f>
        <v/>
      </c>
      <c r="Q53" s="426">
        <f>'PM After Switch'!$S$37</f>
        <v/>
      </c>
      <c r="R53" s="429">
        <f>'PM After Switch'!$AC$37</f>
        <v/>
      </c>
      <c r="S53" s="429">
        <f>'PM After Switch'!$AD$37</f>
        <v/>
      </c>
      <c r="T53" s="429">
        <f>'PM After Switch'!$AE$37</f>
        <v/>
      </c>
      <c r="U53" s="429">
        <f>'PM After Switch'!$AF$37</f>
        <v/>
      </c>
      <c r="V53" s="505" t="n"/>
      <c r="W53" s="506">
        <f>IF($B53="Stay at Jump",INDEX('Savings Projection'!$AI$19:$AI$33,1),IF($B53="IC Switch",IFERROR(INDEX('IC Switch Scenarios'!$X$36:$X$170,MATCH($C53,'IC Switch Scenarios'!$A$36:$A$170,0)+0),""),IFERROR(INDEX('PM After Switch'!$AF$51:$AF$350,MATCH($C53,'PM After Switch'!$A$51:$A$350,0)+0),"")))</f>
        <v/>
      </c>
      <c r="X53" s="506">
        <f>IF($B53="Stay at Jump",INDEX('Savings Projection'!$AI$19:$AI$33,2),IF($B53="IC Switch",IFERROR(INDEX('IC Switch Scenarios'!$X$36:$X$170,MATCH($C53,'IC Switch Scenarios'!$A$36:$A$170,0)+1),""),IFERROR(INDEX('PM After Switch'!$AF$51:$AF$350,MATCH($C53,'PM After Switch'!$A$51:$A$350,0)+1),"")))</f>
        <v/>
      </c>
      <c r="Y53" s="506">
        <f>IF($B53="Stay at Jump",INDEX('Savings Projection'!$AI$19:$AI$33,3),IF($B53="IC Switch",IFERROR(INDEX('IC Switch Scenarios'!$X$36:$X$170,MATCH($C53,'IC Switch Scenarios'!$A$36:$A$170,0)+2),""),IFERROR(INDEX('PM After Switch'!$AF$51:$AF$350,MATCH($C53,'PM After Switch'!$A$51:$A$350,0)+2),"")))</f>
        <v/>
      </c>
      <c r="Z53" s="506">
        <f>IF($B53="Stay at Jump",INDEX('Savings Projection'!$AI$19:$AI$33,4),IF($B53="IC Switch",IFERROR(INDEX('IC Switch Scenarios'!$X$36:$X$170,MATCH($C53,'IC Switch Scenarios'!$A$36:$A$170,0)+3),""),IFERROR(INDEX('PM After Switch'!$AF$51:$AF$350,MATCH($C53,'PM After Switch'!$A$51:$A$350,0)+3),"")))</f>
        <v/>
      </c>
      <c r="AA53" s="506">
        <f>IF($B53="Stay at Jump",INDEX('Savings Projection'!$AI$19:$AI$33,5),IF($B53="IC Switch",IFERROR(INDEX('IC Switch Scenarios'!$X$36:$X$170,MATCH($C53,'IC Switch Scenarios'!$A$36:$A$170,0)+4),""),IFERROR(INDEX('PM After Switch'!$AF$51:$AF$350,MATCH($C53,'PM After Switch'!$A$51:$A$350,0)+4),"")))</f>
        <v/>
      </c>
      <c r="AB53" s="506">
        <f>IF($B53="Stay at Jump",INDEX('Savings Projection'!$AI$19:$AI$33,6),IF($B53="IC Switch",IFERROR(INDEX('IC Switch Scenarios'!$X$36:$X$170,MATCH($C53,'IC Switch Scenarios'!$A$36:$A$170,0)+5),""),IFERROR(INDEX('PM After Switch'!$AF$51:$AF$350,MATCH($C53,'PM After Switch'!$A$51:$A$350,0)+5),"")))</f>
        <v/>
      </c>
      <c r="AC53" s="506">
        <f>IF($B53="Stay at Jump",INDEX('Savings Projection'!$AI$19:$AI$33,7),IF($B53="IC Switch",IFERROR(INDEX('IC Switch Scenarios'!$X$36:$X$170,MATCH($C53,'IC Switch Scenarios'!$A$36:$A$170,0)+6),""),IFERROR(INDEX('PM After Switch'!$AF$51:$AF$350,MATCH($C53,'PM After Switch'!$A$51:$A$350,0)+6),"")))</f>
        <v/>
      </c>
      <c r="AD53" s="506">
        <f>IF($B53="Stay at Jump",INDEX('Savings Projection'!$AI$19:$AI$33,8),IF($B53="IC Switch",IFERROR(INDEX('IC Switch Scenarios'!$X$36:$X$170,MATCH($C53,'IC Switch Scenarios'!$A$36:$A$170,0)+7),""),IFERROR(INDEX('PM After Switch'!$AF$51:$AF$350,MATCH($C53,'PM After Switch'!$A$51:$A$350,0)+7),"")))</f>
        <v/>
      </c>
      <c r="AE53" s="506">
        <f>IF($B53="Stay at Jump",INDEX('Savings Projection'!$AI$19:$AI$33,9),IF($B53="IC Switch",IFERROR(INDEX('IC Switch Scenarios'!$X$36:$X$170,MATCH($C53,'IC Switch Scenarios'!$A$36:$A$170,0)+8),""),IFERROR(INDEX('PM After Switch'!$AF$51:$AF$350,MATCH($C53,'PM After Switch'!$A$51:$A$350,0)+8),"")))</f>
        <v/>
      </c>
      <c r="AF53" s="506">
        <f>IF($B53="Stay at Jump",INDEX('Savings Projection'!$AI$19:$AI$33,10),IF($B53="IC Switch",IFERROR(INDEX('IC Switch Scenarios'!$X$36:$X$170,MATCH($C53,'IC Switch Scenarios'!$A$36:$A$170,0)+9),""),IFERROR(INDEX('PM After Switch'!$AF$51:$AF$350,MATCH($C53,'PM After Switch'!$A$51:$A$350,0)+9),"")))</f>
        <v/>
      </c>
      <c r="AG53" s="506">
        <f>IF($B53="Stay at Jump",INDEX('Savings Projection'!$AI$19:$AI$33,11),IF($B53="IC Switch",IFERROR(INDEX('IC Switch Scenarios'!$X$36:$X$170,MATCH($C53,'IC Switch Scenarios'!$A$36:$A$170,0)+10),""),IFERROR(INDEX('PM After Switch'!$AF$51:$AF$350,MATCH($C53,'PM After Switch'!$A$51:$A$350,0)+10),"")))</f>
        <v/>
      </c>
      <c r="AH53" s="506">
        <f>IF($B53="Stay at Jump",INDEX('Savings Projection'!$AI$19:$AI$33,12),IF($B53="IC Switch",IFERROR(INDEX('IC Switch Scenarios'!$X$36:$X$170,MATCH($C53,'IC Switch Scenarios'!$A$36:$A$170,0)+11),""),IFERROR(INDEX('PM After Switch'!$AF$51:$AF$350,MATCH($C53,'PM After Switch'!$A$51:$A$350,0)+11),"")))</f>
        <v/>
      </c>
      <c r="AI53" s="506">
        <f>IF($B53="Stay at Jump",INDEX('Savings Projection'!$AI$19:$AI$33,13),IF($B53="IC Switch",IFERROR(INDEX('IC Switch Scenarios'!$X$36:$X$170,MATCH($C53,'IC Switch Scenarios'!$A$36:$A$170,0)+12),""),IFERROR(INDEX('PM After Switch'!$AF$51:$AF$350,MATCH($C53,'PM After Switch'!$A$51:$A$350,0)+12),"")))</f>
        <v/>
      </c>
      <c r="AJ53" s="506">
        <f>IF($B53="Stay at Jump",INDEX('Savings Projection'!$AI$19:$AI$33,14),IF($B53="IC Switch",IFERROR(INDEX('IC Switch Scenarios'!$X$36:$X$170,MATCH($C53,'IC Switch Scenarios'!$A$36:$A$170,0)+13),""),IFERROR(INDEX('PM After Switch'!$AF$51:$AF$350,MATCH($C53,'PM After Switch'!$A$51:$A$350,0)+13),"")))</f>
        <v/>
      </c>
      <c r="AK53" s="506">
        <f>IF($B53="Stay at Jump",INDEX('Savings Projection'!$AI$19:$AI$33,15),IF($B53="IC Switch",IFERROR(INDEX('IC Switch Scenarios'!$X$36:$X$170,MATCH($C53,'IC Switch Scenarios'!$A$36:$A$170,0)+14),""),IFERROR(INDEX('PM After Switch'!$AF$51:$AF$350,MATCH($C53,'PM After Switch'!$A$51:$A$350,0)+14),"")))</f>
        <v/>
      </c>
    </row>
    <row r="54" ht="20" customHeight="1" s="326">
      <c r="A54" s="426">
        <f>$B54&amp;" | "&amp;$C54&amp;" | "&amp;$H54</f>
        <v/>
      </c>
      <c r="B54" s="426" t="inlineStr">
        <is>
          <t>PM After Switch</t>
        </is>
      </c>
      <c r="C54" s="426">
        <f>'PM After Switch'!$A$37</f>
        <v/>
      </c>
      <c r="D54" s="427">
        <f>'PM After Switch'!$B$37</f>
        <v/>
      </c>
      <c r="E54" s="435">
        <f>'PM After Switch'!$C$37</f>
        <v/>
      </c>
      <c r="F54" s="427">
        <f>'PM After Switch'!$D$37</f>
        <v/>
      </c>
      <c r="G54" s="426">
        <f>'PM After Switch'!$E$37</f>
        <v/>
      </c>
      <c r="H54" s="429" t="inlineStr">
        <is>
          <t>Y15</t>
        </is>
      </c>
      <c r="I54" s="436">
        <f>'PM After Switch'!$T$37</f>
        <v/>
      </c>
      <c r="J54" s="436">
        <f>'PM After Switch'!$U$37</f>
        <v/>
      </c>
      <c r="K54" s="436">
        <f>'PM After Switch'!$V$37</f>
        <v/>
      </c>
      <c r="L54" s="436">
        <f>'PM After Switch'!$W$37</f>
        <v/>
      </c>
      <c r="M54" s="436">
        <f>'PM After Switch'!$X$37</f>
        <v/>
      </c>
      <c r="N54" s="436">
        <f>'PM After Switch'!$Y$37</f>
        <v/>
      </c>
      <c r="O54" s="436">
        <f>'PM After Switch'!$Z$37</f>
        <v/>
      </c>
      <c r="P54" s="436">
        <f>'PM After Switch'!$AA$37</f>
        <v/>
      </c>
      <c r="Q54" s="426">
        <f>'PM After Switch'!$AB$37</f>
        <v/>
      </c>
      <c r="R54" s="429">
        <f>'PM After Switch'!$AC$37</f>
        <v/>
      </c>
      <c r="S54" s="429">
        <f>'PM After Switch'!$AD$37</f>
        <v/>
      </c>
      <c r="T54" s="429">
        <f>'PM After Switch'!$AE$37</f>
        <v/>
      </c>
      <c r="U54" s="429">
        <f>'PM After Switch'!$AF$37</f>
        <v/>
      </c>
      <c r="V54" s="505" t="n"/>
      <c r="W54" s="506">
        <f>IF($B54="Stay at Jump",INDEX('Savings Projection'!$AI$19:$AI$33,1),IF($B54="IC Switch",IFERROR(INDEX('IC Switch Scenarios'!$X$36:$X$170,MATCH($C54,'IC Switch Scenarios'!$A$36:$A$170,0)+0),""),IFERROR(INDEX('PM After Switch'!$AF$51:$AF$350,MATCH($C54,'PM After Switch'!$A$51:$A$350,0)+0),"")))</f>
        <v/>
      </c>
      <c r="X54" s="506">
        <f>IF($B54="Stay at Jump",INDEX('Savings Projection'!$AI$19:$AI$33,2),IF($B54="IC Switch",IFERROR(INDEX('IC Switch Scenarios'!$X$36:$X$170,MATCH($C54,'IC Switch Scenarios'!$A$36:$A$170,0)+1),""),IFERROR(INDEX('PM After Switch'!$AF$51:$AF$350,MATCH($C54,'PM After Switch'!$A$51:$A$350,0)+1),"")))</f>
        <v/>
      </c>
      <c r="Y54" s="506">
        <f>IF($B54="Stay at Jump",INDEX('Savings Projection'!$AI$19:$AI$33,3),IF($B54="IC Switch",IFERROR(INDEX('IC Switch Scenarios'!$X$36:$X$170,MATCH($C54,'IC Switch Scenarios'!$A$36:$A$170,0)+2),""),IFERROR(INDEX('PM After Switch'!$AF$51:$AF$350,MATCH($C54,'PM After Switch'!$A$51:$A$350,0)+2),"")))</f>
        <v/>
      </c>
      <c r="Z54" s="506">
        <f>IF($B54="Stay at Jump",INDEX('Savings Projection'!$AI$19:$AI$33,4),IF($B54="IC Switch",IFERROR(INDEX('IC Switch Scenarios'!$X$36:$X$170,MATCH($C54,'IC Switch Scenarios'!$A$36:$A$170,0)+3),""),IFERROR(INDEX('PM After Switch'!$AF$51:$AF$350,MATCH($C54,'PM After Switch'!$A$51:$A$350,0)+3),"")))</f>
        <v/>
      </c>
      <c r="AA54" s="506">
        <f>IF($B54="Stay at Jump",INDEX('Savings Projection'!$AI$19:$AI$33,5),IF($B54="IC Switch",IFERROR(INDEX('IC Switch Scenarios'!$X$36:$X$170,MATCH($C54,'IC Switch Scenarios'!$A$36:$A$170,0)+4),""),IFERROR(INDEX('PM After Switch'!$AF$51:$AF$350,MATCH($C54,'PM After Switch'!$A$51:$A$350,0)+4),"")))</f>
        <v/>
      </c>
      <c r="AB54" s="506">
        <f>IF($B54="Stay at Jump",INDEX('Savings Projection'!$AI$19:$AI$33,6),IF($B54="IC Switch",IFERROR(INDEX('IC Switch Scenarios'!$X$36:$X$170,MATCH($C54,'IC Switch Scenarios'!$A$36:$A$170,0)+5),""),IFERROR(INDEX('PM After Switch'!$AF$51:$AF$350,MATCH($C54,'PM After Switch'!$A$51:$A$350,0)+5),"")))</f>
        <v/>
      </c>
      <c r="AC54" s="506">
        <f>IF($B54="Stay at Jump",INDEX('Savings Projection'!$AI$19:$AI$33,7),IF($B54="IC Switch",IFERROR(INDEX('IC Switch Scenarios'!$X$36:$X$170,MATCH($C54,'IC Switch Scenarios'!$A$36:$A$170,0)+6),""),IFERROR(INDEX('PM After Switch'!$AF$51:$AF$350,MATCH($C54,'PM After Switch'!$A$51:$A$350,0)+6),"")))</f>
        <v/>
      </c>
      <c r="AD54" s="506">
        <f>IF($B54="Stay at Jump",INDEX('Savings Projection'!$AI$19:$AI$33,8),IF($B54="IC Switch",IFERROR(INDEX('IC Switch Scenarios'!$X$36:$X$170,MATCH($C54,'IC Switch Scenarios'!$A$36:$A$170,0)+7),""),IFERROR(INDEX('PM After Switch'!$AF$51:$AF$350,MATCH($C54,'PM After Switch'!$A$51:$A$350,0)+7),"")))</f>
        <v/>
      </c>
      <c r="AE54" s="506">
        <f>IF($B54="Stay at Jump",INDEX('Savings Projection'!$AI$19:$AI$33,9),IF($B54="IC Switch",IFERROR(INDEX('IC Switch Scenarios'!$X$36:$X$170,MATCH($C54,'IC Switch Scenarios'!$A$36:$A$170,0)+8),""),IFERROR(INDEX('PM After Switch'!$AF$51:$AF$350,MATCH($C54,'PM After Switch'!$A$51:$A$350,0)+8),"")))</f>
        <v/>
      </c>
      <c r="AF54" s="506">
        <f>IF($B54="Stay at Jump",INDEX('Savings Projection'!$AI$19:$AI$33,10),IF($B54="IC Switch",IFERROR(INDEX('IC Switch Scenarios'!$X$36:$X$170,MATCH($C54,'IC Switch Scenarios'!$A$36:$A$170,0)+9),""),IFERROR(INDEX('PM After Switch'!$AF$51:$AF$350,MATCH($C54,'PM After Switch'!$A$51:$A$350,0)+9),"")))</f>
        <v/>
      </c>
      <c r="AG54" s="506">
        <f>IF($B54="Stay at Jump",INDEX('Savings Projection'!$AI$19:$AI$33,11),IF($B54="IC Switch",IFERROR(INDEX('IC Switch Scenarios'!$X$36:$X$170,MATCH($C54,'IC Switch Scenarios'!$A$36:$A$170,0)+10),""),IFERROR(INDEX('PM After Switch'!$AF$51:$AF$350,MATCH($C54,'PM After Switch'!$A$51:$A$350,0)+10),"")))</f>
        <v/>
      </c>
      <c r="AH54" s="506">
        <f>IF($B54="Stay at Jump",INDEX('Savings Projection'!$AI$19:$AI$33,12),IF($B54="IC Switch",IFERROR(INDEX('IC Switch Scenarios'!$X$36:$X$170,MATCH($C54,'IC Switch Scenarios'!$A$36:$A$170,0)+11),""),IFERROR(INDEX('PM After Switch'!$AF$51:$AF$350,MATCH($C54,'PM After Switch'!$A$51:$A$350,0)+11),"")))</f>
        <v/>
      </c>
      <c r="AI54" s="506">
        <f>IF($B54="Stay at Jump",INDEX('Savings Projection'!$AI$19:$AI$33,13),IF($B54="IC Switch",IFERROR(INDEX('IC Switch Scenarios'!$X$36:$X$170,MATCH($C54,'IC Switch Scenarios'!$A$36:$A$170,0)+12),""),IFERROR(INDEX('PM After Switch'!$AF$51:$AF$350,MATCH($C54,'PM After Switch'!$A$51:$A$350,0)+12),"")))</f>
        <v/>
      </c>
      <c r="AJ54" s="506">
        <f>IF($B54="Stay at Jump",INDEX('Savings Projection'!$AI$19:$AI$33,14),IF($B54="IC Switch",IFERROR(INDEX('IC Switch Scenarios'!$X$36:$X$170,MATCH($C54,'IC Switch Scenarios'!$A$36:$A$170,0)+13),""),IFERROR(INDEX('PM After Switch'!$AF$51:$AF$350,MATCH($C54,'PM After Switch'!$A$51:$A$350,0)+13),"")))</f>
        <v/>
      </c>
      <c r="AK54" s="506">
        <f>IF($B54="Stay at Jump",INDEX('Savings Projection'!$AI$19:$AI$33,15),IF($B54="IC Switch",IFERROR(INDEX('IC Switch Scenarios'!$X$36:$X$170,MATCH($C54,'IC Switch Scenarios'!$A$36:$A$170,0)+14),""),IFERROR(INDEX('PM After Switch'!$AF$51:$AF$350,MATCH($C54,'PM After Switch'!$A$51:$A$350,0)+14),"")))</f>
        <v/>
      </c>
    </row>
    <row r="55" ht="20" customHeight="1" s="326">
      <c r="A55" s="426">
        <f>$B55&amp;" | "&amp;$C55&amp;" | "&amp;$H55</f>
        <v/>
      </c>
      <c r="B55" s="426" t="inlineStr">
        <is>
          <t>PM After Switch</t>
        </is>
      </c>
      <c r="C55" s="426">
        <f>'PM After Switch'!$A$38</f>
        <v/>
      </c>
      <c r="D55" s="427">
        <f>'PM After Switch'!$B$38</f>
        <v/>
      </c>
      <c r="E55" s="435">
        <f>'PM After Switch'!$C$38</f>
        <v/>
      </c>
      <c r="F55" s="427">
        <f>'PM After Switch'!$D$38</f>
        <v/>
      </c>
      <c r="G55" s="426">
        <f>'PM After Switch'!$E$38</f>
        <v/>
      </c>
      <c r="H55" s="429" t="inlineStr">
        <is>
          <t>Y10</t>
        </is>
      </c>
      <c r="I55" s="436">
        <f>'PM After Switch'!$K$38</f>
        <v/>
      </c>
      <c r="J55" s="436">
        <f>'PM After Switch'!$L$38</f>
        <v/>
      </c>
      <c r="K55" s="436">
        <f>'PM After Switch'!$M$38</f>
        <v/>
      </c>
      <c r="L55" s="436">
        <f>'PM After Switch'!$N$38</f>
        <v/>
      </c>
      <c r="M55" s="436">
        <f>'PM After Switch'!$O$38</f>
        <v/>
      </c>
      <c r="N55" s="436">
        <f>'PM After Switch'!$P$38</f>
        <v/>
      </c>
      <c r="O55" s="436">
        <f>'PM After Switch'!$Q$38</f>
        <v/>
      </c>
      <c r="P55" s="436">
        <f>'PM After Switch'!$R$38</f>
        <v/>
      </c>
      <c r="Q55" s="426">
        <f>'PM After Switch'!$S$38</f>
        <v/>
      </c>
      <c r="R55" s="429">
        <f>'PM After Switch'!$AC$38</f>
        <v/>
      </c>
      <c r="S55" s="429">
        <f>'PM After Switch'!$AD$38</f>
        <v/>
      </c>
      <c r="T55" s="429">
        <f>'PM After Switch'!$AE$38</f>
        <v/>
      </c>
      <c r="U55" s="429">
        <f>'PM After Switch'!$AF$38</f>
        <v/>
      </c>
      <c r="V55" s="505" t="n"/>
      <c r="W55" s="506">
        <f>IF($B55="Stay at Jump",INDEX('Savings Projection'!$AI$19:$AI$33,1),IF($B55="IC Switch",IFERROR(INDEX('IC Switch Scenarios'!$X$36:$X$170,MATCH($C55,'IC Switch Scenarios'!$A$36:$A$170,0)+0),""),IFERROR(INDEX('PM After Switch'!$AF$51:$AF$350,MATCH($C55,'PM After Switch'!$A$51:$A$350,0)+0),"")))</f>
        <v/>
      </c>
      <c r="X55" s="506">
        <f>IF($B55="Stay at Jump",INDEX('Savings Projection'!$AI$19:$AI$33,2),IF($B55="IC Switch",IFERROR(INDEX('IC Switch Scenarios'!$X$36:$X$170,MATCH($C55,'IC Switch Scenarios'!$A$36:$A$170,0)+1),""),IFERROR(INDEX('PM After Switch'!$AF$51:$AF$350,MATCH($C55,'PM After Switch'!$A$51:$A$350,0)+1),"")))</f>
        <v/>
      </c>
      <c r="Y55" s="506">
        <f>IF($B55="Stay at Jump",INDEX('Savings Projection'!$AI$19:$AI$33,3),IF($B55="IC Switch",IFERROR(INDEX('IC Switch Scenarios'!$X$36:$X$170,MATCH($C55,'IC Switch Scenarios'!$A$36:$A$170,0)+2),""),IFERROR(INDEX('PM After Switch'!$AF$51:$AF$350,MATCH($C55,'PM After Switch'!$A$51:$A$350,0)+2),"")))</f>
        <v/>
      </c>
      <c r="Z55" s="506">
        <f>IF($B55="Stay at Jump",INDEX('Savings Projection'!$AI$19:$AI$33,4),IF($B55="IC Switch",IFERROR(INDEX('IC Switch Scenarios'!$X$36:$X$170,MATCH($C55,'IC Switch Scenarios'!$A$36:$A$170,0)+3),""),IFERROR(INDEX('PM After Switch'!$AF$51:$AF$350,MATCH($C55,'PM After Switch'!$A$51:$A$350,0)+3),"")))</f>
        <v/>
      </c>
      <c r="AA55" s="506">
        <f>IF($B55="Stay at Jump",INDEX('Savings Projection'!$AI$19:$AI$33,5),IF($B55="IC Switch",IFERROR(INDEX('IC Switch Scenarios'!$X$36:$X$170,MATCH($C55,'IC Switch Scenarios'!$A$36:$A$170,0)+4),""),IFERROR(INDEX('PM After Switch'!$AF$51:$AF$350,MATCH($C55,'PM After Switch'!$A$51:$A$350,0)+4),"")))</f>
        <v/>
      </c>
      <c r="AB55" s="506">
        <f>IF($B55="Stay at Jump",INDEX('Savings Projection'!$AI$19:$AI$33,6),IF($B55="IC Switch",IFERROR(INDEX('IC Switch Scenarios'!$X$36:$X$170,MATCH($C55,'IC Switch Scenarios'!$A$36:$A$170,0)+5),""),IFERROR(INDEX('PM After Switch'!$AF$51:$AF$350,MATCH($C55,'PM After Switch'!$A$51:$A$350,0)+5),"")))</f>
        <v/>
      </c>
      <c r="AC55" s="506">
        <f>IF($B55="Stay at Jump",INDEX('Savings Projection'!$AI$19:$AI$33,7),IF($B55="IC Switch",IFERROR(INDEX('IC Switch Scenarios'!$X$36:$X$170,MATCH($C55,'IC Switch Scenarios'!$A$36:$A$170,0)+6),""),IFERROR(INDEX('PM After Switch'!$AF$51:$AF$350,MATCH($C55,'PM After Switch'!$A$51:$A$350,0)+6),"")))</f>
        <v/>
      </c>
      <c r="AD55" s="506">
        <f>IF($B55="Stay at Jump",INDEX('Savings Projection'!$AI$19:$AI$33,8),IF($B55="IC Switch",IFERROR(INDEX('IC Switch Scenarios'!$X$36:$X$170,MATCH($C55,'IC Switch Scenarios'!$A$36:$A$170,0)+7),""),IFERROR(INDEX('PM After Switch'!$AF$51:$AF$350,MATCH($C55,'PM After Switch'!$A$51:$A$350,0)+7),"")))</f>
        <v/>
      </c>
      <c r="AE55" s="506">
        <f>IF($B55="Stay at Jump",INDEX('Savings Projection'!$AI$19:$AI$33,9),IF($B55="IC Switch",IFERROR(INDEX('IC Switch Scenarios'!$X$36:$X$170,MATCH($C55,'IC Switch Scenarios'!$A$36:$A$170,0)+8),""),IFERROR(INDEX('PM After Switch'!$AF$51:$AF$350,MATCH($C55,'PM After Switch'!$A$51:$A$350,0)+8),"")))</f>
        <v/>
      </c>
      <c r="AF55" s="506">
        <f>IF($B55="Stay at Jump",INDEX('Savings Projection'!$AI$19:$AI$33,10),IF($B55="IC Switch",IFERROR(INDEX('IC Switch Scenarios'!$X$36:$X$170,MATCH($C55,'IC Switch Scenarios'!$A$36:$A$170,0)+9),""),IFERROR(INDEX('PM After Switch'!$AF$51:$AF$350,MATCH($C55,'PM After Switch'!$A$51:$A$350,0)+9),"")))</f>
        <v/>
      </c>
      <c r="AG55" s="506">
        <f>IF($B55="Stay at Jump",INDEX('Savings Projection'!$AI$19:$AI$33,11),IF($B55="IC Switch",IFERROR(INDEX('IC Switch Scenarios'!$X$36:$X$170,MATCH($C55,'IC Switch Scenarios'!$A$36:$A$170,0)+10),""),IFERROR(INDEX('PM After Switch'!$AF$51:$AF$350,MATCH($C55,'PM After Switch'!$A$51:$A$350,0)+10),"")))</f>
        <v/>
      </c>
      <c r="AH55" s="506">
        <f>IF($B55="Stay at Jump",INDEX('Savings Projection'!$AI$19:$AI$33,12),IF($B55="IC Switch",IFERROR(INDEX('IC Switch Scenarios'!$X$36:$X$170,MATCH($C55,'IC Switch Scenarios'!$A$36:$A$170,0)+11),""),IFERROR(INDEX('PM After Switch'!$AF$51:$AF$350,MATCH($C55,'PM After Switch'!$A$51:$A$350,0)+11),"")))</f>
        <v/>
      </c>
      <c r="AI55" s="506">
        <f>IF($B55="Stay at Jump",INDEX('Savings Projection'!$AI$19:$AI$33,13),IF($B55="IC Switch",IFERROR(INDEX('IC Switch Scenarios'!$X$36:$X$170,MATCH($C55,'IC Switch Scenarios'!$A$36:$A$170,0)+12),""),IFERROR(INDEX('PM After Switch'!$AF$51:$AF$350,MATCH($C55,'PM After Switch'!$A$51:$A$350,0)+12),"")))</f>
        <v/>
      </c>
      <c r="AJ55" s="506">
        <f>IF($B55="Stay at Jump",INDEX('Savings Projection'!$AI$19:$AI$33,14),IF($B55="IC Switch",IFERROR(INDEX('IC Switch Scenarios'!$X$36:$X$170,MATCH($C55,'IC Switch Scenarios'!$A$36:$A$170,0)+13),""),IFERROR(INDEX('PM After Switch'!$AF$51:$AF$350,MATCH($C55,'PM After Switch'!$A$51:$A$350,0)+13),"")))</f>
        <v/>
      </c>
      <c r="AK55" s="506">
        <f>IF($B55="Stay at Jump",INDEX('Savings Projection'!$AI$19:$AI$33,15),IF($B55="IC Switch",IFERROR(INDEX('IC Switch Scenarios'!$X$36:$X$170,MATCH($C55,'IC Switch Scenarios'!$A$36:$A$170,0)+14),""),IFERROR(INDEX('PM After Switch'!$AF$51:$AF$350,MATCH($C55,'PM After Switch'!$A$51:$A$350,0)+14),"")))</f>
        <v/>
      </c>
    </row>
    <row r="56" ht="20" customHeight="1" s="326">
      <c r="A56" s="426">
        <f>$B56&amp;" | "&amp;$C56&amp;" | "&amp;$H56</f>
        <v/>
      </c>
      <c r="B56" s="426" t="inlineStr">
        <is>
          <t>PM After Switch</t>
        </is>
      </c>
      <c r="C56" s="426">
        <f>'PM After Switch'!$A$38</f>
        <v/>
      </c>
      <c r="D56" s="427">
        <f>'PM After Switch'!$B$38</f>
        <v/>
      </c>
      <c r="E56" s="435">
        <f>'PM After Switch'!$C$38</f>
        <v/>
      </c>
      <c r="F56" s="427">
        <f>'PM After Switch'!$D$38</f>
        <v/>
      </c>
      <c r="G56" s="426">
        <f>'PM After Switch'!$E$38</f>
        <v/>
      </c>
      <c r="H56" s="429" t="inlineStr">
        <is>
          <t>Y15</t>
        </is>
      </c>
      <c r="I56" s="436">
        <f>'PM After Switch'!$T$38</f>
        <v/>
      </c>
      <c r="J56" s="436">
        <f>'PM After Switch'!$U$38</f>
        <v/>
      </c>
      <c r="K56" s="436">
        <f>'PM After Switch'!$V$38</f>
        <v/>
      </c>
      <c r="L56" s="436">
        <f>'PM After Switch'!$W$38</f>
        <v/>
      </c>
      <c r="M56" s="436">
        <f>'PM After Switch'!$X$38</f>
        <v/>
      </c>
      <c r="N56" s="436">
        <f>'PM After Switch'!$Y$38</f>
        <v/>
      </c>
      <c r="O56" s="436">
        <f>'PM After Switch'!$Z$38</f>
        <v/>
      </c>
      <c r="P56" s="436">
        <f>'PM After Switch'!$AA$38</f>
        <v/>
      </c>
      <c r="Q56" s="426">
        <f>'PM After Switch'!$AB$38</f>
        <v/>
      </c>
      <c r="R56" s="429">
        <f>'PM After Switch'!$AC$38</f>
        <v/>
      </c>
      <c r="S56" s="429">
        <f>'PM After Switch'!$AD$38</f>
        <v/>
      </c>
      <c r="T56" s="429">
        <f>'PM After Switch'!$AE$38</f>
        <v/>
      </c>
      <c r="U56" s="429">
        <f>'PM After Switch'!$AF$38</f>
        <v/>
      </c>
      <c r="V56" s="505" t="n"/>
      <c r="W56" s="506">
        <f>IF($B56="Stay at Jump",INDEX('Savings Projection'!$AI$19:$AI$33,1),IF($B56="IC Switch",IFERROR(INDEX('IC Switch Scenarios'!$X$36:$X$170,MATCH($C56,'IC Switch Scenarios'!$A$36:$A$170,0)+0),""),IFERROR(INDEX('PM After Switch'!$AF$51:$AF$350,MATCH($C56,'PM After Switch'!$A$51:$A$350,0)+0),"")))</f>
        <v/>
      </c>
      <c r="X56" s="506">
        <f>IF($B56="Stay at Jump",INDEX('Savings Projection'!$AI$19:$AI$33,2),IF($B56="IC Switch",IFERROR(INDEX('IC Switch Scenarios'!$X$36:$X$170,MATCH($C56,'IC Switch Scenarios'!$A$36:$A$170,0)+1),""),IFERROR(INDEX('PM After Switch'!$AF$51:$AF$350,MATCH($C56,'PM After Switch'!$A$51:$A$350,0)+1),"")))</f>
        <v/>
      </c>
      <c r="Y56" s="506">
        <f>IF($B56="Stay at Jump",INDEX('Savings Projection'!$AI$19:$AI$33,3),IF($B56="IC Switch",IFERROR(INDEX('IC Switch Scenarios'!$X$36:$X$170,MATCH($C56,'IC Switch Scenarios'!$A$36:$A$170,0)+2),""),IFERROR(INDEX('PM After Switch'!$AF$51:$AF$350,MATCH($C56,'PM After Switch'!$A$51:$A$350,0)+2),"")))</f>
        <v/>
      </c>
      <c r="Z56" s="506">
        <f>IF($B56="Stay at Jump",INDEX('Savings Projection'!$AI$19:$AI$33,4),IF($B56="IC Switch",IFERROR(INDEX('IC Switch Scenarios'!$X$36:$X$170,MATCH($C56,'IC Switch Scenarios'!$A$36:$A$170,0)+3),""),IFERROR(INDEX('PM After Switch'!$AF$51:$AF$350,MATCH($C56,'PM After Switch'!$A$51:$A$350,0)+3),"")))</f>
        <v/>
      </c>
      <c r="AA56" s="506">
        <f>IF($B56="Stay at Jump",INDEX('Savings Projection'!$AI$19:$AI$33,5),IF($B56="IC Switch",IFERROR(INDEX('IC Switch Scenarios'!$X$36:$X$170,MATCH($C56,'IC Switch Scenarios'!$A$36:$A$170,0)+4),""),IFERROR(INDEX('PM After Switch'!$AF$51:$AF$350,MATCH($C56,'PM After Switch'!$A$51:$A$350,0)+4),"")))</f>
        <v/>
      </c>
      <c r="AB56" s="506">
        <f>IF($B56="Stay at Jump",INDEX('Savings Projection'!$AI$19:$AI$33,6),IF($B56="IC Switch",IFERROR(INDEX('IC Switch Scenarios'!$X$36:$X$170,MATCH($C56,'IC Switch Scenarios'!$A$36:$A$170,0)+5),""),IFERROR(INDEX('PM After Switch'!$AF$51:$AF$350,MATCH($C56,'PM After Switch'!$A$51:$A$350,0)+5),"")))</f>
        <v/>
      </c>
      <c r="AC56" s="506">
        <f>IF($B56="Stay at Jump",INDEX('Savings Projection'!$AI$19:$AI$33,7),IF($B56="IC Switch",IFERROR(INDEX('IC Switch Scenarios'!$X$36:$X$170,MATCH($C56,'IC Switch Scenarios'!$A$36:$A$170,0)+6),""),IFERROR(INDEX('PM After Switch'!$AF$51:$AF$350,MATCH($C56,'PM After Switch'!$A$51:$A$350,0)+6),"")))</f>
        <v/>
      </c>
      <c r="AD56" s="506">
        <f>IF($B56="Stay at Jump",INDEX('Savings Projection'!$AI$19:$AI$33,8),IF($B56="IC Switch",IFERROR(INDEX('IC Switch Scenarios'!$X$36:$X$170,MATCH($C56,'IC Switch Scenarios'!$A$36:$A$170,0)+7),""),IFERROR(INDEX('PM After Switch'!$AF$51:$AF$350,MATCH($C56,'PM After Switch'!$A$51:$A$350,0)+7),"")))</f>
        <v/>
      </c>
      <c r="AE56" s="506">
        <f>IF($B56="Stay at Jump",INDEX('Savings Projection'!$AI$19:$AI$33,9),IF($B56="IC Switch",IFERROR(INDEX('IC Switch Scenarios'!$X$36:$X$170,MATCH($C56,'IC Switch Scenarios'!$A$36:$A$170,0)+8),""),IFERROR(INDEX('PM After Switch'!$AF$51:$AF$350,MATCH($C56,'PM After Switch'!$A$51:$A$350,0)+8),"")))</f>
        <v/>
      </c>
      <c r="AF56" s="506">
        <f>IF($B56="Stay at Jump",INDEX('Savings Projection'!$AI$19:$AI$33,10),IF($B56="IC Switch",IFERROR(INDEX('IC Switch Scenarios'!$X$36:$X$170,MATCH($C56,'IC Switch Scenarios'!$A$36:$A$170,0)+9),""),IFERROR(INDEX('PM After Switch'!$AF$51:$AF$350,MATCH($C56,'PM After Switch'!$A$51:$A$350,0)+9),"")))</f>
        <v/>
      </c>
      <c r="AG56" s="506">
        <f>IF($B56="Stay at Jump",INDEX('Savings Projection'!$AI$19:$AI$33,11),IF($B56="IC Switch",IFERROR(INDEX('IC Switch Scenarios'!$X$36:$X$170,MATCH($C56,'IC Switch Scenarios'!$A$36:$A$170,0)+10),""),IFERROR(INDEX('PM After Switch'!$AF$51:$AF$350,MATCH($C56,'PM After Switch'!$A$51:$A$350,0)+10),"")))</f>
        <v/>
      </c>
      <c r="AH56" s="506">
        <f>IF($B56="Stay at Jump",INDEX('Savings Projection'!$AI$19:$AI$33,12),IF($B56="IC Switch",IFERROR(INDEX('IC Switch Scenarios'!$X$36:$X$170,MATCH($C56,'IC Switch Scenarios'!$A$36:$A$170,0)+11),""),IFERROR(INDEX('PM After Switch'!$AF$51:$AF$350,MATCH($C56,'PM After Switch'!$A$51:$A$350,0)+11),"")))</f>
        <v/>
      </c>
      <c r="AI56" s="506">
        <f>IF($B56="Stay at Jump",INDEX('Savings Projection'!$AI$19:$AI$33,13),IF($B56="IC Switch",IFERROR(INDEX('IC Switch Scenarios'!$X$36:$X$170,MATCH($C56,'IC Switch Scenarios'!$A$36:$A$170,0)+12),""),IFERROR(INDEX('PM After Switch'!$AF$51:$AF$350,MATCH($C56,'PM After Switch'!$A$51:$A$350,0)+12),"")))</f>
        <v/>
      </c>
      <c r="AJ56" s="506">
        <f>IF($B56="Stay at Jump",INDEX('Savings Projection'!$AI$19:$AI$33,14),IF($B56="IC Switch",IFERROR(INDEX('IC Switch Scenarios'!$X$36:$X$170,MATCH($C56,'IC Switch Scenarios'!$A$36:$A$170,0)+13),""),IFERROR(INDEX('PM After Switch'!$AF$51:$AF$350,MATCH($C56,'PM After Switch'!$A$51:$A$350,0)+13),"")))</f>
        <v/>
      </c>
      <c r="AK56" s="506">
        <f>IF($B56="Stay at Jump",INDEX('Savings Projection'!$AI$19:$AI$33,15),IF($B56="IC Switch",IFERROR(INDEX('IC Switch Scenarios'!$X$36:$X$170,MATCH($C56,'IC Switch Scenarios'!$A$36:$A$170,0)+14),""),IFERROR(INDEX('PM After Switch'!$AF$51:$AF$350,MATCH($C56,'PM After Switch'!$A$51:$A$350,0)+14),"")))</f>
        <v/>
      </c>
    </row>
    <row r="57" ht="20" customHeight="1" s="326">
      <c r="A57" s="426">
        <f>$B57&amp;" | "&amp;$C57&amp;" | "&amp;$H57</f>
        <v/>
      </c>
      <c r="B57" s="426" t="inlineStr">
        <is>
          <t>PM After Switch</t>
        </is>
      </c>
      <c r="C57" s="426">
        <f>'PM After Switch'!$A$39</f>
        <v/>
      </c>
      <c r="D57" s="427">
        <f>'PM After Switch'!$B$39</f>
        <v/>
      </c>
      <c r="E57" s="435">
        <f>'PM After Switch'!$C$39</f>
        <v/>
      </c>
      <c r="F57" s="427">
        <f>'PM After Switch'!$D$39</f>
        <v/>
      </c>
      <c r="G57" s="426">
        <f>'PM After Switch'!$E$39</f>
        <v/>
      </c>
      <c r="H57" s="429" t="inlineStr">
        <is>
          <t>Y10</t>
        </is>
      </c>
      <c r="I57" s="436">
        <f>'PM After Switch'!$K$39</f>
        <v/>
      </c>
      <c r="J57" s="436">
        <f>'PM After Switch'!$L$39</f>
        <v/>
      </c>
      <c r="K57" s="436">
        <f>'PM After Switch'!$M$39</f>
        <v/>
      </c>
      <c r="L57" s="436">
        <f>'PM After Switch'!$N$39</f>
        <v/>
      </c>
      <c r="M57" s="436">
        <f>'PM After Switch'!$O$39</f>
        <v/>
      </c>
      <c r="N57" s="436">
        <f>'PM After Switch'!$P$39</f>
        <v/>
      </c>
      <c r="O57" s="436">
        <f>'PM After Switch'!$Q$39</f>
        <v/>
      </c>
      <c r="P57" s="436">
        <f>'PM After Switch'!$R$39</f>
        <v/>
      </c>
      <c r="Q57" s="426">
        <f>'PM After Switch'!$S$39</f>
        <v/>
      </c>
      <c r="R57" s="429">
        <f>'PM After Switch'!$AC$39</f>
        <v/>
      </c>
      <c r="S57" s="429">
        <f>'PM After Switch'!$AD$39</f>
        <v/>
      </c>
      <c r="T57" s="429">
        <f>'PM After Switch'!$AE$39</f>
        <v/>
      </c>
      <c r="U57" s="429">
        <f>'PM After Switch'!$AF$39</f>
        <v/>
      </c>
      <c r="V57" s="505" t="n"/>
      <c r="W57" s="506">
        <f>IF($B57="Stay at Jump",INDEX('Savings Projection'!$AI$19:$AI$33,1),IF($B57="IC Switch",IFERROR(INDEX('IC Switch Scenarios'!$X$36:$X$170,MATCH($C57,'IC Switch Scenarios'!$A$36:$A$170,0)+0),""),IFERROR(INDEX('PM After Switch'!$AF$51:$AF$350,MATCH($C57,'PM After Switch'!$A$51:$A$350,0)+0),"")))</f>
        <v/>
      </c>
      <c r="X57" s="506">
        <f>IF($B57="Stay at Jump",INDEX('Savings Projection'!$AI$19:$AI$33,2),IF($B57="IC Switch",IFERROR(INDEX('IC Switch Scenarios'!$X$36:$X$170,MATCH($C57,'IC Switch Scenarios'!$A$36:$A$170,0)+1),""),IFERROR(INDEX('PM After Switch'!$AF$51:$AF$350,MATCH($C57,'PM After Switch'!$A$51:$A$350,0)+1),"")))</f>
        <v/>
      </c>
      <c r="Y57" s="506">
        <f>IF($B57="Stay at Jump",INDEX('Savings Projection'!$AI$19:$AI$33,3),IF($B57="IC Switch",IFERROR(INDEX('IC Switch Scenarios'!$X$36:$X$170,MATCH($C57,'IC Switch Scenarios'!$A$36:$A$170,0)+2),""),IFERROR(INDEX('PM After Switch'!$AF$51:$AF$350,MATCH($C57,'PM After Switch'!$A$51:$A$350,0)+2),"")))</f>
        <v/>
      </c>
      <c r="Z57" s="506">
        <f>IF($B57="Stay at Jump",INDEX('Savings Projection'!$AI$19:$AI$33,4),IF($B57="IC Switch",IFERROR(INDEX('IC Switch Scenarios'!$X$36:$X$170,MATCH($C57,'IC Switch Scenarios'!$A$36:$A$170,0)+3),""),IFERROR(INDEX('PM After Switch'!$AF$51:$AF$350,MATCH($C57,'PM After Switch'!$A$51:$A$350,0)+3),"")))</f>
        <v/>
      </c>
      <c r="AA57" s="506">
        <f>IF($B57="Stay at Jump",INDEX('Savings Projection'!$AI$19:$AI$33,5),IF($B57="IC Switch",IFERROR(INDEX('IC Switch Scenarios'!$X$36:$X$170,MATCH($C57,'IC Switch Scenarios'!$A$36:$A$170,0)+4),""),IFERROR(INDEX('PM After Switch'!$AF$51:$AF$350,MATCH($C57,'PM After Switch'!$A$51:$A$350,0)+4),"")))</f>
        <v/>
      </c>
      <c r="AB57" s="506">
        <f>IF($B57="Stay at Jump",INDEX('Savings Projection'!$AI$19:$AI$33,6),IF($B57="IC Switch",IFERROR(INDEX('IC Switch Scenarios'!$X$36:$X$170,MATCH($C57,'IC Switch Scenarios'!$A$36:$A$170,0)+5),""),IFERROR(INDEX('PM After Switch'!$AF$51:$AF$350,MATCH($C57,'PM After Switch'!$A$51:$A$350,0)+5),"")))</f>
        <v/>
      </c>
      <c r="AC57" s="506">
        <f>IF($B57="Stay at Jump",INDEX('Savings Projection'!$AI$19:$AI$33,7),IF($B57="IC Switch",IFERROR(INDEX('IC Switch Scenarios'!$X$36:$X$170,MATCH($C57,'IC Switch Scenarios'!$A$36:$A$170,0)+6),""),IFERROR(INDEX('PM After Switch'!$AF$51:$AF$350,MATCH($C57,'PM After Switch'!$A$51:$A$350,0)+6),"")))</f>
        <v/>
      </c>
      <c r="AD57" s="506">
        <f>IF($B57="Stay at Jump",INDEX('Savings Projection'!$AI$19:$AI$33,8),IF($B57="IC Switch",IFERROR(INDEX('IC Switch Scenarios'!$X$36:$X$170,MATCH($C57,'IC Switch Scenarios'!$A$36:$A$170,0)+7),""),IFERROR(INDEX('PM After Switch'!$AF$51:$AF$350,MATCH($C57,'PM After Switch'!$A$51:$A$350,0)+7),"")))</f>
        <v/>
      </c>
      <c r="AE57" s="506">
        <f>IF($B57="Stay at Jump",INDEX('Savings Projection'!$AI$19:$AI$33,9),IF($B57="IC Switch",IFERROR(INDEX('IC Switch Scenarios'!$X$36:$X$170,MATCH($C57,'IC Switch Scenarios'!$A$36:$A$170,0)+8),""),IFERROR(INDEX('PM After Switch'!$AF$51:$AF$350,MATCH($C57,'PM After Switch'!$A$51:$A$350,0)+8),"")))</f>
        <v/>
      </c>
      <c r="AF57" s="506">
        <f>IF($B57="Stay at Jump",INDEX('Savings Projection'!$AI$19:$AI$33,10),IF($B57="IC Switch",IFERROR(INDEX('IC Switch Scenarios'!$X$36:$X$170,MATCH($C57,'IC Switch Scenarios'!$A$36:$A$170,0)+9),""),IFERROR(INDEX('PM After Switch'!$AF$51:$AF$350,MATCH($C57,'PM After Switch'!$A$51:$A$350,0)+9),"")))</f>
        <v/>
      </c>
      <c r="AG57" s="506">
        <f>IF($B57="Stay at Jump",INDEX('Savings Projection'!$AI$19:$AI$33,11),IF($B57="IC Switch",IFERROR(INDEX('IC Switch Scenarios'!$X$36:$X$170,MATCH($C57,'IC Switch Scenarios'!$A$36:$A$170,0)+10),""),IFERROR(INDEX('PM After Switch'!$AF$51:$AF$350,MATCH($C57,'PM After Switch'!$A$51:$A$350,0)+10),"")))</f>
        <v/>
      </c>
      <c r="AH57" s="506">
        <f>IF($B57="Stay at Jump",INDEX('Savings Projection'!$AI$19:$AI$33,12),IF($B57="IC Switch",IFERROR(INDEX('IC Switch Scenarios'!$X$36:$X$170,MATCH($C57,'IC Switch Scenarios'!$A$36:$A$170,0)+11),""),IFERROR(INDEX('PM After Switch'!$AF$51:$AF$350,MATCH($C57,'PM After Switch'!$A$51:$A$350,0)+11),"")))</f>
        <v/>
      </c>
      <c r="AI57" s="506">
        <f>IF($B57="Stay at Jump",INDEX('Savings Projection'!$AI$19:$AI$33,13),IF($B57="IC Switch",IFERROR(INDEX('IC Switch Scenarios'!$X$36:$X$170,MATCH($C57,'IC Switch Scenarios'!$A$36:$A$170,0)+12),""),IFERROR(INDEX('PM After Switch'!$AF$51:$AF$350,MATCH($C57,'PM After Switch'!$A$51:$A$350,0)+12),"")))</f>
        <v/>
      </c>
      <c r="AJ57" s="506">
        <f>IF($B57="Stay at Jump",INDEX('Savings Projection'!$AI$19:$AI$33,14),IF($B57="IC Switch",IFERROR(INDEX('IC Switch Scenarios'!$X$36:$X$170,MATCH($C57,'IC Switch Scenarios'!$A$36:$A$170,0)+13),""),IFERROR(INDEX('PM After Switch'!$AF$51:$AF$350,MATCH($C57,'PM After Switch'!$A$51:$A$350,0)+13),"")))</f>
        <v/>
      </c>
      <c r="AK57" s="506">
        <f>IF($B57="Stay at Jump",INDEX('Savings Projection'!$AI$19:$AI$33,15),IF($B57="IC Switch",IFERROR(INDEX('IC Switch Scenarios'!$X$36:$X$170,MATCH($C57,'IC Switch Scenarios'!$A$36:$A$170,0)+14),""),IFERROR(INDEX('PM After Switch'!$AF$51:$AF$350,MATCH($C57,'PM After Switch'!$A$51:$A$350,0)+14),"")))</f>
        <v/>
      </c>
    </row>
    <row r="58" ht="20" customHeight="1" s="326">
      <c r="A58" s="426">
        <f>$B58&amp;" | "&amp;$C58&amp;" | "&amp;$H58</f>
        <v/>
      </c>
      <c r="B58" s="426" t="inlineStr">
        <is>
          <t>PM After Switch</t>
        </is>
      </c>
      <c r="C58" s="426">
        <f>'PM After Switch'!$A$39</f>
        <v/>
      </c>
      <c r="D58" s="427">
        <f>'PM After Switch'!$B$39</f>
        <v/>
      </c>
      <c r="E58" s="435">
        <f>'PM After Switch'!$C$39</f>
        <v/>
      </c>
      <c r="F58" s="427">
        <f>'PM After Switch'!$D$39</f>
        <v/>
      </c>
      <c r="G58" s="426">
        <f>'PM After Switch'!$E$39</f>
        <v/>
      </c>
      <c r="H58" s="429" t="inlineStr">
        <is>
          <t>Y15</t>
        </is>
      </c>
      <c r="I58" s="436">
        <f>'PM After Switch'!$T$39</f>
        <v/>
      </c>
      <c r="J58" s="436">
        <f>'PM After Switch'!$U$39</f>
        <v/>
      </c>
      <c r="K58" s="436">
        <f>'PM After Switch'!$V$39</f>
        <v/>
      </c>
      <c r="L58" s="436">
        <f>'PM After Switch'!$W$39</f>
        <v/>
      </c>
      <c r="M58" s="436">
        <f>'PM After Switch'!$X$39</f>
        <v/>
      </c>
      <c r="N58" s="436">
        <f>'PM After Switch'!$Y$39</f>
        <v/>
      </c>
      <c r="O58" s="436">
        <f>'PM After Switch'!$Z$39</f>
        <v/>
      </c>
      <c r="P58" s="436">
        <f>'PM After Switch'!$AA$39</f>
        <v/>
      </c>
      <c r="Q58" s="426">
        <f>'PM After Switch'!$AB$39</f>
        <v/>
      </c>
      <c r="R58" s="429">
        <f>'PM After Switch'!$AC$39</f>
        <v/>
      </c>
      <c r="S58" s="429">
        <f>'PM After Switch'!$AD$39</f>
        <v/>
      </c>
      <c r="T58" s="429">
        <f>'PM After Switch'!$AE$39</f>
        <v/>
      </c>
      <c r="U58" s="429">
        <f>'PM After Switch'!$AF$39</f>
        <v/>
      </c>
      <c r="V58" s="505" t="n"/>
      <c r="W58" s="506">
        <f>IF($B58="Stay at Jump",INDEX('Savings Projection'!$AI$19:$AI$33,1),IF($B58="IC Switch",IFERROR(INDEX('IC Switch Scenarios'!$X$36:$X$170,MATCH($C58,'IC Switch Scenarios'!$A$36:$A$170,0)+0),""),IFERROR(INDEX('PM After Switch'!$AF$51:$AF$350,MATCH($C58,'PM After Switch'!$A$51:$A$350,0)+0),"")))</f>
        <v/>
      </c>
      <c r="X58" s="506">
        <f>IF($B58="Stay at Jump",INDEX('Savings Projection'!$AI$19:$AI$33,2),IF($B58="IC Switch",IFERROR(INDEX('IC Switch Scenarios'!$X$36:$X$170,MATCH($C58,'IC Switch Scenarios'!$A$36:$A$170,0)+1),""),IFERROR(INDEX('PM After Switch'!$AF$51:$AF$350,MATCH($C58,'PM After Switch'!$A$51:$A$350,0)+1),"")))</f>
        <v/>
      </c>
      <c r="Y58" s="506">
        <f>IF($B58="Stay at Jump",INDEX('Savings Projection'!$AI$19:$AI$33,3),IF($B58="IC Switch",IFERROR(INDEX('IC Switch Scenarios'!$X$36:$X$170,MATCH($C58,'IC Switch Scenarios'!$A$36:$A$170,0)+2),""),IFERROR(INDEX('PM After Switch'!$AF$51:$AF$350,MATCH($C58,'PM After Switch'!$A$51:$A$350,0)+2),"")))</f>
        <v/>
      </c>
      <c r="Z58" s="506">
        <f>IF($B58="Stay at Jump",INDEX('Savings Projection'!$AI$19:$AI$33,4),IF($B58="IC Switch",IFERROR(INDEX('IC Switch Scenarios'!$X$36:$X$170,MATCH($C58,'IC Switch Scenarios'!$A$36:$A$170,0)+3),""),IFERROR(INDEX('PM After Switch'!$AF$51:$AF$350,MATCH($C58,'PM After Switch'!$A$51:$A$350,0)+3),"")))</f>
        <v/>
      </c>
      <c r="AA58" s="506">
        <f>IF($B58="Stay at Jump",INDEX('Savings Projection'!$AI$19:$AI$33,5),IF($B58="IC Switch",IFERROR(INDEX('IC Switch Scenarios'!$X$36:$X$170,MATCH($C58,'IC Switch Scenarios'!$A$36:$A$170,0)+4),""),IFERROR(INDEX('PM After Switch'!$AF$51:$AF$350,MATCH($C58,'PM After Switch'!$A$51:$A$350,0)+4),"")))</f>
        <v/>
      </c>
      <c r="AB58" s="506">
        <f>IF($B58="Stay at Jump",INDEX('Savings Projection'!$AI$19:$AI$33,6),IF($B58="IC Switch",IFERROR(INDEX('IC Switch Scenarios'!$X$36:$X$170,MATCH($C58,'IC Switch Scenarios'!$A$36:$A$170,0)+5),""),IFERROR(INDEX('PM After Switch'!$AF$51:$AF$350,MATCH($C58,'PM After Switch'!$A$51:$A$350,0)+5),"")))</f>
        <v/>
      </c>
      <c r="AC58" s="506">
        <f>IF($B58="Stay at Jump",INDEX('Savings Projection'!$AI$19:$AI$33,7),IF($B58="IC Switch",IFERROR(INDEX('IC Switch Scenarios'!$X$36:$X$170,MATCH($C58,'IC Switch Scenarios'!$A$36:$A$170,0)+6),""),IFERROR(INDEX('PM After Switch'!$AF$51:$AF$350,MATCH($C58,'PM After Switch'!$A$51:$A$350,0)+6),"")))</f>
        <v/>
      </c>
      <c r="AD58" s="506">
        <f>IF($B58="Stay at Jump",INDEX('Savings Projection'!$AI$19:$AI$33,8),IF($B58="IC Switch",IFERROR(INDEX('IC Switch Scenarios'!$X$36:$X$170,MATCH($C58,'IC Switch Scenarios'!$A$36:$A$170,0)+7),""),IFERROR(INDEX('PM After Switch'!$AF$51:$AF$350,MATCH($C58,'PM After Switch'!$A$51:$A$350,0)+7),"")))</f>
        <v/>
      </c>
      <c r="AE58" s="506">
        <f>IF($B58="Stay at Jump",INDEX('Savings Projection'!$AI$19:$AI$33,9),IF($B58="IC Switch",IFERROR(INDEX('IC Switch Scenarios'!$X$36:$X$170,MATCH($C58,'IC Switch Scenarios'!$A$36:$A$170,0)+8),""),IFERROR(INDEX('PM After Switch'!$AF$51:$AF$350,MATCH($C58,'PM After Switch'!$A$51:$A$350,0)+8),"")))</f>
        <v/>
      </c>
      <c r="AF58" s="506">
        <f>IF($B58="Stay at Jump",INDEX('Savings Projection'!$AI$19:$AI$33,10),IF($B58="IC Switch",IFERROR(INDEX('IC Switch Scenarios'!$X$36:$X$170,MATCH($C58,'IC Switch Scenarios'!$A$36:$A$170,0)+9),""),IFERROR(INDEX('PM After Switch'!$AF$51:$AF$350,MATCH($C58,'PM After Switch'!$A$51:$A$350,0)+9),"")))</f>
        <v/>
      </c>
      <c r="AG58" s="506">
        <f>IF($B58="Stay at Jump",INDEX('Savings Projection'!$AI$19:$AI$33,11),IF($B58="IC Switch",IFERROR(INDEX('IC Switch Scenarios'!$X$36:$X$170,MATCH($C58,'IC Switch Scenarios'!$A$36:$A$170,0)+10),""),IFERROR(INDEX('PM After Switch'!$AF$51:$AF$350,MATCH($C58,'PM After Switch'!$A$51:$A$350,0)+10),"")))</f>
        <v/>
      </c>
      <c r="AH58" s="506">
        <f>IF($B58="Stay at Jump",INDEX('Savings Projection'!$AI$19:$AI$33,12),IF($B58="IC Switch",IFERROR(INDEX('IC Switch Scenarios'!$X$36:$X$170,MATCH($C58,'IC Switch Scenarios'!$A$36:$A$170,0)+11),""),IFERROR(INDEX('PM After Switch'!$AF$51:$AF$350,MATCH($C58,'PM After Switch'!$A$51:$A$350,0)+11),"")))</f>
        <v/>
      </c>
      <c r="AI58" s="506">
        <f>IF($B58="Stay at Jump",INDEX('Savings Projection'!$AI$19:$AI$33,13),IF($B58="IC Switch",IFERROR(INDEX('IC Switch Scenarios'!$X$36:$X$170,MATCH($C58,'IC Switch Scenarios'!$A$36:$A$170,0)+12),""),IFERROR(INDEX('PM After Switch'!$AF$51:$AF$350,MATCH($C58,'PM After Switch'!$A$51:$A$350,0)+12),"")))</f>
        <v/>
      </c>
      <c r="AJ58" s="506">
        <f>IF($B58="Stay at Jump",INDEX('Savings Projection'!$AI$19:$AI$33,14),IF($B58="IC Switch",IFERROR(INDEX('IC Switch Scenarios'!$X$36:$X$170,MATCH($C58,'IC Switch Scenarios'!$A$36:$A$170,0)+13),""),IFERROR(INDEX('PM After Switch'!$AF$51:$AF$350,MATCH($C58,'PM After Switch'!$A$51:$A$350,0)+13),"")))</f>
        <v/>
      </c>
      <c r="AK58" s="506">
        <f>IF($B58="Stay at Jump",INDEX('Savings Projection'!$AI$19:$AI$33,15),IF($B58="IC Switch",IFERROR(INDEX('IC Switch Scenarios'!$X$36:$X$170,MATCH($C58,'IC Switch Scenarios'!$A$36:$A$170,0)+14),""),IFERROR(INDEX('PM After Switch'!$AF$51:$AF$350,MATCH($C58,'PM After Switch'!$A$51:$A$350,0)+14),"")))</f>
        <v/>
      </c>
    </row>
    <row r="59" ht="20" customHeight="1" s="326">
      <c r="A59" s="426">
        <f>$B59&amp;" | "&amp;$C59&amp;" | "&amp;$H59</f>
        <v/>
      </c>
      <c r="B59" s="426" t="inlineStr">
        <is>
          <t>PM After Switch</t>
        </is>
      </c>
      <c r="C59" s="426">
        <f>'PM After Switch'!$A$40</f>
        <v/>
      </c>
      <c r="D59" s="427">
        <f>'PM After Switch'!$B$40</f>
        <v/>
      </c>
      <c r="E59" s="435">
        <f>'PM After Switch'!$C$40</f>
        <v/>
      </c>
      <c r="F59" s="427">
        <f>'PM After Switch'!$D$40</f>
        <v/>
      </c>
      <c r="G59" s="426">
        <f>'PM After Switch'!$E$40</f>
        <v/>
      </c>
      <c r="H59" s="429" t="inlineStr">
        <is>
          <t>Y10</t>
        </is>
      </c>
      <c r="I59" s="436">
        <f>'PM After Switch'!$K$40</f>
        <v/>
      </c>
      <c r="J59" s="436">
        <f>'PM After Switch'!$L$40</f>
        <v/>
      </c>
      <c r="K59" s="436">
        <f>'PM After Switch'!$M$40</f>
        <v/>
      </c>
      <c r="L59" s="436">
        <f>'PM After Switch'!$N$40</f>
        <v/>
      </c>
      <c r="M59" s="436">
        <f>'PM After Switch'!$O$40</f>
        <v/>
      </c>
      <c r="N59" s="436">
        <f>'PM After Switch'!$P$40</f>
        <v/>
      </c>
      <c r="O59" s="436">
        <f>'PM After Switch'!$Q$40</f>
        <v/>
      </c>
      <c r="P59" s="436">
        <f>'PM After Switch'!$R$40</f>
        <v/>
      </c>
      <c r="Q59" s="426">
        <f>'PM After Switch'!$S$40</f>
        <v/>
      </c>
      <c r="R59" s="429">
        <f>'PM After Switch'!$AC$40</f>
        <v/>
      </c>
      <c r="S59" s="429">
        <f>'PM After Switch'!$AD$40</f>
        <v/>
      </c>
      <c r="T59" s="429">
        <f>'PM After Switch'!$AE$40</f>
        <v/>
      </c>
      <c r="U59" s="429">
        <f>'PM After Switch'!$AF$40</f>
        <v/>
      </c>
      <c r="V59" s="505" t="n"/>
      <c r="W59" s="506">
        <f>IF($B59="Stay at Jump",INDEX('Savings Projection'!$AI$19:$AI$33,1),IF($B59="IC Switch",IFERROR(INDEX('IC Switch Scenarios'!$X$36:$X$170,MATCH($C59,'IC Switch Scenarios'!$A$36:$A$170,0)+0),""),IFERROR(INDEX('PM After Switch'!$AF$51:$AF$350,MATCH($C59,'PM After Switch'!$A$51:$A$350,0)+0),"")))</f>
        <v/>
      </c>
      <c r="X59" s="506">
        <f>IF($B59="Stay at Jump",INDEX('Savings Projection'!$AI$19:$AI$33,2),IF($B59="IC Switch",IFERROR(INDEX('IC Switch Scenarios'!$X$36:$X$170,MATCH($C59,'IC Switch Scenarios'!$A$36:$A$170,0)+1),""),IFERROR(INDEX('PM After Switch'!$AF$51:$AF$350,MATCH($C59,'PM After Switch'!$A$51:$A$350,0)+1),"")))</f>
        <v/>
      </c>
      <c r="Y59" s="506">
        <f>IF($B59="Stay at Jump",INDEX('Savings Projection'!$AI$19:$AI$33,3),IF($B59="IC Switch",IFERROR(INDEX('IC Switch Scenarios'!$X$36:$X$170,MATCH($C59,'IC Switch Scenarios'!$A$36:$A$170,0)+2),""),IFERROR(INDEX('PM After Switch'!$AF$51:$AF$350,MATCH($C59,'PM After Switch'!$A$51:$A$350,0)+2),"")))</f>
        <v/>
      </c>
      <c r="Z59" s="506">
        <f>IF($B59="Stay at Jump",INDEX('Savings Projection'!$AI$19:$AI$33,4),IF($B59="IC Switch",IFERROR(INDEX('IC Switch Scenarios'!$X$36:$X$170,MATCH($C59,'IC Switch Scenarios'!$A$36:$A$170,0)+3),""),IFERROR(INDEX('PM After Switch'!$AF$51:$AF$350,MATCH($C59,'PM After Switch'!$A$51:$A$350,0)+3),"")))</f>
        <v/>
      </c>
      <c r="AA59" s="506">
        <f>IF($B59="Stay at Jump",INDEX('Savings Projection'!$AI$19:$AI$33,5),IF($B59="IC Switch",IFERROR(INDEX('IC Switch Scenarios'!$X$36:$X$170,MATCH($C59,'IC Switch Scenarios'!$A$36:$A$170,0)+4),""),IFERROR(INDEX('PM After Switch'!$AF$51:$AF$350,MATCH($C59,'PM After Switch'!$A$51:$A$350,0)+4),"")))</f>
        <v/>
      </c>
      <c r="AB59" s="506">
        <f>IF($B59="Stay at Jump",INDEX('Savings Projection'!$AI$19:$AI$33,6),IF($B59="IC Switch",IFERROR(INDEX('IC Switch Scenarios'!$X$36:$X$170,MATCH($C59,'IC Switch Scenarios'!$A$36:$A$170,0)+5),""),IFERROR(INDEX('PM After Switch'!$AF$51:$AF$350,MATCH($C59,'PM After Switch'!$A$51:$A$350,0)+5),"")))</f>
        <v/>
      </c>
      <c r="AC59" s="506">
        <f>IF($B59="Stay at Jump",INDEX('Savings Projection'!$AI$19:$AI$33,7),IF($B59="IC Switch",IFERROR(INDEX('IC Switch Scenarios'!$X$36:$X$170,MATCH($C59,'IC Switch Scenarios'!$A$36:$A$170,0)+6),""),IFERROR(INDEX('PM After Switch'!$AF$51:$AF$350,MATCH($C59,'PM After Switch'!$A$51:$A$350,0)+6),"")))</f>
        <v/>
      </c>
      <c r="AD59" s="506">
        <f>IF($B59="Stay at Jump",INDEX('Savings Projection'!$AI$19:$AI$33,8),IF($B59="IC Switch",IFERROR(INDEX('IC Switch Scenarios'!$X$36:$X$170,MATCH($C59,'IC Switch Scenarios'!$A$36:$A$170,0)+7),""),IFERROR(INDEX('PM After Switch'!$AF$51:$AF$350,MATCH($C59,'PM After Switch'!$A$51:$A$350,0)+7),"")))</f>
        <v/>
      </c>
      <c r="AE59" s="506">
        <f>IF($B59="Stay at Jump",INDEX('Savings Projection'!$AI$19:$AI$33,9),IF($B59="IC Switch",IFERROR(INDEX('IC Switch Scenarios'!$X$36:$X$170,MATCH($C59,'IC Switch Scenarios'!$A$36:$A$170,0)+8),""),IFERROR(INDEX('PM After Switch'!$AF$51:$AF$350,MATCH($C59,'PM After Switch'!$A$51:$A$350,0)+8),"")))</f>
        <v/>
      </c>
      <c r="AF59" s="506">
        <f>IF($B59="Stay at Jump",INDEX('Savings Projection'!$AI$19:$AI$33,10),IF($B59="IC Switch",IFERROR(INDEX('IC Switch Scenarios'!$X$36:$X$170,MATCH($C59,'IC Switch Scenarios'!$A$36:$A$170,0)+9),""),IFERROR(INDEX('PM After Switch'!$AF$51:$AF$350,MATCH($C59,'PM After Switch'!$A$51:$A$350,0)+9),"")))</f>
        <v/>
      </c>
      <c r="AG59" s="506">
        <f>IF($B59="Stay at Jump",INDEX('Savings Projection'!$AI$19:$AI$33,11),IF($B59="IC Switch",IFERROR(INDEX('IC Switch Scenarios'!$X$36:$X$170,MATCH($C59,'IC Switch Scenarios'!$A$36:$A$170,0)+10),""),IFERROR(INDEX('PM After Switch'!$AF$51:$AF$350,MATCH($C59,'PM After Switch'!$A$51:$A$350,0)+10),"")))</f>
        <v/>
      </c>
      <c r="AH59" s="506">
        <f>IF($B59="Stay at Jump",INDEX('Savings Projection'!$AI$19:$AI$33,12),IF($B59="IC Switch",IFERROR(INDEX('IC Switch Scenarios'!$X$36:$X$170,MATCH($C59,'IC Switch Scenarios'!$A$36:$A$170,0)+11),""),IFERROR(INDEX('PM After Switch'!$AF$51:$AF$350,MATCH($C59,'PM After Switch'!$A$51:$A$350,0)+11),"")))</f>
        <v/>
      </c>
      <c r="AI59" s="506">
        <f>IF($B59="Stay at Jump",INDEX('Savings Projection'!$AI$19:$AI$33,13),IF($B59="IC Switch",IFERROR(INDEX('IC Switch Scenarios'!$X$36:$X$170,MATCH($C59,'IC Switch Scenarios'!$A$36:$A$170,0)+12),""),IFERROR(INDEX('PM After Switch'!$AF$51:$AF$350,MATCH($C59,'PM After Switch'!$A$51:$A$350,0)+12),"")))</f>
        <v/>
      </c>
      <c r="AJ59" s="506">
        <f>IF($B59="Stay at Jump",INDEX('Savings Projection'!$AI$19:$AI$33,14),IF($B59="IC Switch",IFERROR(INDEX('IC Switch Scenarios'!$X$36:$X$170,MATCH($C59,'IC Switch Scenarios'!$A$36:$A$170,0)+13),""),IFERROR(INDEX('PM After Switch'!$AF$51:$AF$350,MATCH($C59,'PM After Switch'!$A$51:$A$350,0)+13),"")))</f>
        <v/>
      </c>
      <c r="AK59" s="506">
        <f>IF($B59="Stay at Jump",INDEX('Savings Projection'!$AI$19:$AI$33,15),IF($B59="IC Switch",IFERROR(INDEX('IC Switch Scenarios'!$X$36:$X$170,MATCH($C59,'IC Switch Scenarios'!$A$36:$A$170,0)+14),""),IFERROR(INDEX('PM After Switch'!$AF$51:$AF$350,MATCH($C59,'PM After Switch'!$A$51:$A$350,0)+14),"")))</f>
        <v/>
      </c>
    </row>
    <row r="60" ht="20" customHeight="1" s="326">
      <c r="A60" s="426">
        <f>$B60&amp;" | "&amp;$C60&amp;" | "&amp;$H60</f>
        <v/>
      </c>
      <c r="B60" s="426" t="inlineStr">
        <is>
          <t>PM After Switch</t>
        </is>
      </c>
      <c r="C60" s="426">
        <f>'PM After Switch'!$A$40</f>
        <v/>
      </c>
      <c r="D60" s="427">
        <f>'PM After Switch'!$B$40</f>
        <v/>
      </c>
      <c r="E60" s="435">
        <f>'PM After Switch'!$C$40</f>
        <v/>
      </c>
      <c r="F60" s="427">
        <f>'PM After Switch'!$D$40</f>
        <v/>
      </c>
      <c r="G60" s="426">
        <f>'PM After Switch'!$E$40</f>
        <v/>
      </c>
      <c r="H60" s="429" t="inlineStr">
        <is>
          <t>Y15</t>
        </is>
      </c>
      <c r="I60" s="436">
        <f>'PM After Switch'!$T$40</f>
        <v/>
      </c>
      <c r="J60" s="436">
        <f>'PM After Switch'!$U$40</f>
        <v/>
      </c>
      <c r="K60" s="436">
        <f>'PM After Switch'!$V$40</f>
        <v/>
      </c>
      <c r="L60" s="436">
        <f>'PM After Switch'!$W$40</f>
        <v/>
      </c>
      <c r="M60" s="436">
        <f>'PM After Switch'!$X$40</f>
        <v/>
      </c>
      <c r="N60" s="436">
        <f>'PM After Switch'!$Y$40</f>
        <v/>
      </c>
      <c r="O60" s="436">
        <f>'PM After Switch'!$Z$40</f>
        <v/>
      </c>
      <c r="P60" s="436">
        <f>'PM After Switch'!$AA$40</f>
        <v/>
      </c>
      <c r="Q60" s="426">
        <f>'PM After Switch'!$AB$40</f>
        <v/>
      </c>
      <c r="R60" s="429">
        <f>'PM After Switch'!$AC$40</f>
        <v/>
      </c>
      <c r="S60" s="429">
        <f>'PM After Switch'!$AD$40</f>
        <v/>
      </c>
      <c r="T60" s="429">
        <f>'PM After Switch'!$AE$40</f>
        <v/>
      </c>
      <c r="U60" s="429">
        <f>'PM After Switch'!$AF$40</f>
        <v/>
      </c>
      <c r="V60" s="505" t="n"/>
      <c r="W60" s="506">
        <f>IF($B60="Stay at Jump",INDEX('Savings Projection'!$AI$19:$AI$33,1),IF($B60="IC Switch",IFERROR(INDEX('IC Switch Scenarios'!$X$36:$X$170,MATCH($C60,'IC Switch Scenarios'!$A$36:$A$170,0)+0),""),IFERROR(INDEX('PM After Switch'!$AF$51:$AF$350,MATCH($C60,'PM After Switch'!$A$51:$A$350,0)+0),"")))</f>
        <v/>
      </c>
      <c r="X60" s="506">
        <f>IF($B60="Stay at Jump",INDEX('Savings Projection'!$AI$19:$AI$33,2),IF($B60="IC Switch",IFERROR(INDEX('IC Switch Scenarios'!$X$36:$X$170,MATCH($C60,'IC Switch Scenarios'!$A$36:$A$170,0)+1),""),IFERROR(INDEX('PM After Switch'!$AF$51:$AF$350,MATCH($C60,'PM After Switch'!$A$51:$A$350,0)+1),"")))</f>
        <v/>
      </c>
      <c r="Y60" s="506">
        <f>IF($B60="Stay at Jump",INDEX('Savings Projection'!$AI$19:$AI$33,3),IF($B60="IC Switch",IFERROR(INDEX('IC Switch Scenarios'!$X$36:$X$170,MATCH($C60,'IC Switch Scenarios'!$A$36:$A$170,0)+2),""),IFERROR(INDEX('PM After Switch'!$AF$51:$AF$350,MATCH($C60,'PM After Switch'!$A$51:$A$350,0)+2),"")))</f>
        <v/>
      </c>
      <c r="Z60" s="506">
        <f>IF($B60="Stay at Jump",INDEX('Savings Projection'!$AI$19:$AI$33,4),IF($B60="IC Switch",IFERROR(INDEX('IC Switch Scenarios'!$X$36:$X$170,MATCH($C60,'IC Switch Scenarios'!$A$36:$A$170,0)+3),""),IFERROR(INDEX('PM After Switch'!$AF$51:$AF$350,MATCH($C60,'PM After Switch'!$A$51:$A$350,0)+3),"")))</f>
        <v/>
      </c>
      <c r="AA60" s="506">
        <f>IF($B60="Stay at Jump",INDEX('Savings Projection'!$AI$19:$AI$33,5),IF($B60="IC Switch",IFERROR(INDEX('IC Switch Scenarios'!$X$36:$X$170,MATCH($C60,'IC Switch Scenarios'!$A$36:$A$170,0)+4),""),IFERROR(INDEX('PM After Switch'!$AF$51:$AF$350,MATCH($C60,'PM After Switch'!$A$51:$A$350,0)+4),"")))</f>
        <v/>
      </c>
      <c r="AB60" s="506">
        <f>IF($B60="Stay at Jump",INDEX('Savings Projection'!$AI$19:$AI$33,6),IF($B60="IC Switch",IFERROR(INDEX('IC Switch Scenarios'!$X$36:$X$170,MATCH($C60,'IC Switch Scenarios'!$A$36:$A$170,0)+5),""),IFERROR(INDEX('PM After Switch'!$AF$51:$AF$350,MATCH($C60,'PM After Switch'!$A$51:$A$350,0)+5),"")))</f>
        <v/>
      </c>
      <c r="AC60" s="506">
        <f>IF($B60="Stay at Jump",INDEX('Savings Projection'!$AI$19:$AI$33,7),IF($B60="IC Switch",IFERROR(INDEX('IC Switch Scenarios'!$X$36:$X$170,MATCH($C60,'IC Switch Scenarios'!$A$36:$A$170,0)+6),""),IFERROR(INDEX('PM After Switch'!$AF$51:$AF$350,MATCH($C60,'PM After Switch'!$A$51:$A$350,0)+6),"")))</f>
        <v/>
      </c>
      <c r="AD60" s="506">
        <f>IF($B60="Stay at Jump",INDEX('Savings Projection'!$AI$19:$AI$33,8),IF($B60="IC Switch",IFERROR(INDEX('IC Switch Scenarios'!$X$36:$X$170,MATCH($C60,'IC Switch Scenarios'!$A$36:$A$170,0)+7),""),IFERROR(INDEX('PM After Switch'!$AF$51:$AF$350,MATCH($C60,'PM After Switch'!$A$51:$A$350,0)+7),"")))</f>
        <v/>
      </c>
      <c r="AE60" s="506">
        <f>IF($B60="Stay at Jump",INDEX('Savings Projection'!$AI$19:$AI$33,9),IF($B60="IC Switch",IFERROR(INDEX('IC Switch Scenarios'!$X$36:$X$170,MATCH($C60,'IC Switch Scenarios'!$A$36:$A$170,0)+8),""),IFERROR(INDEX('PM After Switch'!$AF$51:$AF$350,MATCH($C60,'PM After Switch'!$A$51:$A$350,0)+8),"")))</f>
        <v/>
      </c>
      <c r="AF60" s="506">
        <f>IF($B60="Stay at Jump",INDEX('Savings Projection'!$AI$19:$AI$33,10),IF($B60="IC Switch",IFERROR(INDEX('IC Switch Scenarios'!$X$36:$X$170,MATCH($C60,'IC Switch Scenarios'!$A$36:$A$170,0)+9),""),IFERROR(INDEX('PM After Switch'!$AF$51:$AF$350,MATCH($C60,'PM After Switch'!$A$51:$A$350,0)+9),"")))</f>
        <v/>
      </c>
      <c r="AG60" s="506">
        <f>IF($B60="Stay at Jump",INDEX('Savings Projection'!$AI$19:$AI$33,11),IF($B60="IC Switch",IFERROR(INDEX('IC Switch Scenarios'!$X$36:$X$170,MATCH($C60,'IC Switch Scenarios'!$A$36:$A$170,0)+10),""),IFERROR(INDEX('PM After Switch'!$AF$51:$AF$350,MATCH($C60,'PM After Switch'!$A$51:$A$350,0)+10),"")))</f>
        <v/>
      </c>
      <c r="AH60" s="506">
        <f>IF($B60="Stay at Jump",INDEX('Savings Projection'!$AI$19:$AI$33,12),IF($B60="IC Switch",IFERROR(INDEX('IC Switch Scenarios'!$X$36:$X$170,MATCH($C60,'IC Switch Scenarios'!$A$36:$A$170,0)+11),""),IFERROR(INDEX('PM After Switch'!$AF$51:$AF$350,MATCH($C60,'PM After Switch'!$A$51:$A$350,0)+11),"")))</f>
        <v/>
      </c>
      <c r="AI60" s="506">
        <f>IF($B60="Stay at Jump",INDEX('Savings Projection'!$AI$19:$AI$33,13),IF($B60="IC Switch",IFERROR(INDEX('IC Switch Scenarios'!$X$36:$X$170,MATCH($C60,'IC Switch Scenarios'!$A$36:$A$170,0)+12),""),IFERROR(INDEX('PM After Switch'!$AF$51:$AF$350,MATCH($C60,'PM After Switch'!$A$51:$A$350,0)+12),"")))</f>
        <v/>
      </c>
      <c r="AJ60" s="506">
        <f>IF($B60="Stay at Jump",INDEX('Savings Projection'!$AI$19:$AI$33,14),IF($B60="IC Switch",IFERROR(INDEX('IC Switch Scenarios'!$X$36:$X$170,MATCH($C60,'IC Switch Scenarios'!$A$36:$A$170,0)+13),""),IFERROR(INDEX('PM After Switch'!$AF$51:$AF$350,MATCH($C60,'PM After Switch'!$A$51:$A$350,0)+13),"")))</f>
        <v/>
      </c>
      <c r="AK60" s="506">
        <f>IF($B60="Stay at Jump",INDEX('Savings Projection'!$AI$19:$AI$33,15),IF($B60="IC Switch",IFERROR(INDEX('IC Switch Scenarios'!$X$36:$X$170,MATCH($C60,'IC Switch Scenarios'!$A$36:$A$170,0)+14),""),IFERROR(INDEX('PM After Switch'!$AF$51:$AF$350,MATCH($C60,'PM After Switch'!$A$51:$A$350,0)+14),"")))</f>
        <v/>
      </c>
    </row>
    <row r="61" ht="20" customHeight="1" s="326">
      <c r="A61" s="426">
        <f>$B61&amp;" | "&amp;$C61&amp;" | "&amp;$H61</f>
        <v/>
      </c>
      <c r="B61" s="426" t="inlineStr">
        <is>
          <t>PM After Switch</t>
        </is>
      </c>
      <c r="C61" s="426">
        <f>'PM After Switch'!$A$41</f>
        <v/>
      </c>
      <c r="D61" s="427">
        <f>'PM After Switch'!$B$41</f>
        <v/>
      </c>
      <c r="E61" s="435">
        <f>'PM After Switch'!$C$41</f>
        <v/>
      </c>
      <c r="F61" s="427">
        <f>'PM After Switch'!$D$41</f>
        <v/>
      </c>
      <c r="G61" s="426">
        <f>'PM After Switch'!$E$41</f>
        <v/>
      </c>
      <c r="H61" s="429" t="inlineStr">
        <is>
          <t>Y10</t>
        </is>
      </c>
      <c r="I61" s="436">
        <f>'PM After Switch'!$K$41</f>
        <v/>
      </c>
      <c r="J61" s="436">
        <f>'PM After Switch'!$L$41</f>
        <v/>
      </c>
      <c r="K61" s="436">
        <f>'PM After Switch'!$M$41</f>
        <v/>
      </c>
      <c r="L61" s="436">
        <f>'PM After Switch'!$N$41</f>
        <v/>
      </c>
      <c r="M61" s="436">
        <f>'PM After Switch'!$O$41</f>
        <v/>
      </c>
      <c r="N61" s="436">
        <f>'PM After Switch'!$P$41</f>
        <v/>
      </c>
      <c r="O61" s="436">
        <f>'PM After Switch'!$Q$41</f>
        <v/>
      </c>
      <c r="P61" s="436">
        <f>'PM After Switch'!$R$41</f>
        <v/>
      </c>
      <c r="Q61" s="426">
        <f>'PM After Switch'!$S$41</f>
        <v/>
      </c>
      <c r="R61" s="429">
        <f>'PM After Switch'!$AC$41</f>
        <v/>
      </c>
      <c r="S61" s="429">
        <f>'PM After Switch'!$AD$41</f>
        <v/>
      </c>
      <c r="T61" s="429">
        <f>'PM After Switch'!$AE$41</f>
        <v/>
      </c>
      <c r="U61" s="429">
        <f>'PM After Switch'!$AF$41</f>
        <v/>
      </c>
      <c r="V61" s="505" t="n"/>
      <c r="W61" s="506">
        <f>IF($B61="Stay at Jump",INDEX('Savings Projection'!$AI$19:$AI$33,1),IF($B61="IC Switch",IFERROR(INDEX('IC Switch Scenarios'!$X$36:$X$170,MATCH($C61,'IC Switch Scenarios'!$A$36:$A$170,0)+0),""),IFERROR(INDEX('PM After Switch'!$AF$51:$AF$350,MATCH($C61,'PM After Switch'!$A$51:$A$350,0)+0),"")))</f>
        <v/>
      </c>
      <c r="X61" s="506">
        <f>IF($B61="Stay at Jump",INDEX('Savings Projection'!$AI$19:$AI$33,2),IF($B61="IC Switch",IFERROR(INDEX('IC Switch Scenarios'!$X$36:$X$170,MATCH($C61,'IC Switch Scenarios'!$A$36:$A$170,0)+1),""),IFERROR(INDEX('PM After Switch'!$AF$51:$AF$350,MATCH($C61,'PM After Switch'!$A$51:$A$350,0)+1),"")))</f>
        <v/>
      </c>
      <c r="Y61" s="506">
        <f>IF($B61="Stay at Jump",INDEX('Savings Projection'!$AI$19:$AI$33,3),IF($B61="IC Switch",IFERROR(INDEX('IC Switch Scenarios'!$X$36:$X$170,MATCH($C61,'IC Switch Scenarios'!$A$36:$A$170,0)+2),""),IFERROR(INDEX('PM After Switch'!$AF$51:$AF$350,MATCH($C61,'PM After Switch'!$A$51:$A$350,0)+2),"")))</f>
        <v/>
      </c>
      <c r="Z61" s="506">
        <f>IF($B61="Stay at Jump",INDEX('Savings Projection'!$AI$19:$AI$33,4),IF($B61="IC Switch",IFERROR(INDEX('IC Switch Scenarios'!$X$36:$X$170,MATCH($C61,'IC Switch Scenarios'!$A$36:$A$170,0)+3),""),IFERROR(INDEX('PM After Switch'!$AF$51:$AF$350,MATCH($C61,'PM After Switch'!$A$51:$A$350,0)+3),"")))</f>
        <v/>
      </c>
      <c r="AA61" s="506">
        <f>IF($B61="Stay at Jump",INDEX('Savings Projection'!$AI$19:$AI$33,5),IF($B61="IC Switch",IFERROR(INDEX('IC Switch Scenarios'!$X$36:$X$170,MATCH($C61,'IC Switch Scenarios'!$A$36:$A$170,0)+4),""),IFERROR(INDEX('PM After Switch'!$AF$51:$AF$350,MATCH($C61,'PM After Switch'!$A$51:$A$350,0)+4),"")))</f>
        <v/>
      </c>
      <c r="AB61" s="506">
        <f>IF($B61="Stay at Jump",INDEX('Savings Projection'!$AI$19:$AI$33,6),IF($B61="IC Switch",IFERROR(INDEX('IC Switch Scenarios'!$X$36:$X$170,MATCH($C61,'IC Switch Scenarios'!$A$36:$A$170,0)+5),""),IFERROR(INDEX('PM After Switch'!$AF$51:$AF$350,MATCH($C61,'PM After Switch'!$A$51:$A$350,0)+5),"")))</f>
        <v/>
      </c>
      <c r="AC61" s="506">
        <f>IF($B61="Stay at Jump",INDEX('Savings Projection'!$AI$19:$AI$33,7),IF($B61="IC Switch",IFERROR(INDEX('IC Switch Scenarios'!$X$36:$X$170,MATCH($C61,'IC Switch Scenarios'!$A$36:$A$170,0)+6),""),IFERROR(INDEX('PM After Switch'!$AF$51:$AF$350,MATCH($C61,'PM After Switch'!$A$51:$A$350,0)+6),"")))</f>
        <v/>
      </c>
      <c r="AD61" s="506">
        <f>IF($B61="Stay at Jump",INDEX('Savings Projection'!$AI$19:$AI$33,8),IF($B61="IC Switch",IFERROR(INDEX('IC Switch Scenarios'!$X$36:$X$170,MATCH($C61,'IC Switch Scenarios'!$A$36:$A$170,0)+7),""),IFERROR(INDEX('PM After Switch'!$AF$51:$AF$350,MATCH($C61,'PM After Switch'!$A$51:$A$350,0)+7),"")))</f>
        <v/>
      </c>
      <c r="AE61" s="506">
        <f>IF($B61="Stay at Jump",INDEX('Savings Projection'!$AI$19:$AI$33,9),IF($B61="IC Switch",IFERROR(INDEX('IC Switch Scenarios'!$X$36:$X$170,MATCH($C61,'IC Switch Scenarios'!$A$36:$A$170,0)+8),""),IFERROR(INDEX('PM After Switch'!$AF$51:$AF$350,MATCH($C61,'PM After Switch'!$A$51:$A$350,0)+8),"")))</f>
        <v/>
      </c>
      <c r="AF61" s="506">
        <f>IF($B61="Stay at Jump",INDEX('Savings Projection'!$AI$19:$AI$33,10),IF($B61="IC Switch",IFERROR(INDEX('IC Switch Scenarios'!$X$36:$X$170,MATCH($C61,'IC Switch Scenarios'!$A$36:$A$170,0)+9),""),IFERROR(INDEX('PM After Switch'!$AF$51:$AF$350,MATCH($C61,'PM After Switch'!$A$51:$A$350,0)+9),"")))</f>
        <v/>
      </c>
      <c r="AG61" s="506">
        <f>IF($B61="Stay at Jump",INDEX('Savings Projection'!$AI$19:$AI$33,11),IF($B61="IC Switch",IFERROR(INDEX('IC Switch Scenarios'!$X$36:$X$170,MATCH($C61,'IC Switch Scenarios'!$A$36:$A$170,0)+10),""),IFERROR(INDEX('PM After Switch'!$AF$51:$AF$350,MATCH($C61,'PM After Switch'!$A$51:$A$350,0)+10),"")))</f>
        <v/>
      </c>
      <c r="AH61" s="506">
        <f>IF($B61="Stay at Jump",INDEX('Savings Projection'!$AI$19:$AI$33,12),IF($B61="IC Switch",IFERROR(INDEX('IC Switch Scenarios'!$X$36:$X$170,MATCH($C61,'IC Switch Scenarios'!$A$36:$A$170,0)+11),""),IFERROR(INDEX('PM After Switch'!$AF$51:$AF$350,MATCH($C61,'PM After Switch'!$A$51:$A$350,0)+11),"")))</f>
        <v/>
      </c>
      <c r="AI61" s="506">
        <f>IF($B61="Stay at Jump",INDEX('Savings Projection'!$AI$19:$AI$33,13),IF($B61="IC Switch",IFERROR(INDEX('IC Switch Scenarios'!$X$36:$X$170,MATCH($C61,'IC Switch Scenarios'!$A$36:$A$170,0)+12),""),IFERROR(INDEX('PM After Switch'!$AF$51:$AF$350,MATCH($C61,'PM After Switch'!$A$51:$A$350,0)+12),"")))</f>
        <v/>
      </c>
      <c r="AJ61" s="506">
        <f>IF($B61="Stay at Jump",INDEX('Savings Projection'!$AI$19:$AI$33,14),IF($B61="IC Switch",IFERROR(INDEX('IC Switch Scenarios'!$X$36:$X$170,MATCH($C61,'IC Switch Scenarios'!$A$36:$A$170,0)+13),""),IFERROR(INDEX('PM After Switch'!$AF$51:$AF$350,MATCH($C61,'PM After Switch'!$A$51:$A$350,0)+13),"")))</f>
        <v/>
      </c>
      <c r="AK61" s="506">
        <f>IF($B61="Stay at Jump",INDEX('Savings Projection'!$AI$19:$AI$33,15),IF($B61="IC Switch",IFERROR(INDEX('IC Switch Scenarios'!$X$36:$X$170,MATCH($C61,'IC Switch Scenarios'!$A$36:$A$170,0)+14),""),IFERROR(INDEX('PM After Switch'!$AF$51:$AF$350,MATCH($C61,'PM After Switch'!$A$51:$A$350,0)+14),"")))</f>
        <v/>
      </c>
    </row>
    <row r="62" ht="20" customHeight="1" s="326">
      <c r="A62" s="426">
        <f>$B62&amp;" | "&amp;$C62&amp;" | "&amp;$H62</f>
        <v/>
      </c>
      <c r="B62" s="426" t="inlineStr">
        <is>
          <t>PM After Switch</t>
        </is>
      </c>
      <c r="C62" s="426">
        <f>'PM After Switch'!$A$41</f>
        <v/>
      </c>
      <c r="D62" s="427">
        <f>'PM After Switch'!$B$41</f>
        <v/>
      </c>
      <c r="E62" s="435">
        <f>'PM After Switch'!$C$41</f>
        <v/>
      </c>
      <c r="F62" s="427">
        <f>'PM After Switch'!$D$41</f>
        <v/>
      </c>
      <c r="G62" s="426">
        <f>'PM After Switch'!$E$41</f>
        <v/>
      </c>
      <c r="H62" s="429" t="inlineStr">
        <is>
          <t>Y15</t>
        </is>
      </c>
      <c r="I62" s="436">
        <f>'PM After Switch'!$T$41</f>
        <v/>
      </c>
      <c r="J62" s="436">
        <f>'PM After Switch'!$U$41</f>
        <v/>
      </c>
      <c r="K62" s="436">
        <f>'PM After Switch'!$V$41</f>
        <v/>
      </c>
      <c r="L62" s="436">
        <f>'PM After Switch'!$W$41</f>
        <v/>
      </c>
      <c r="M62" s="436">
        <f>'PM After Switch'!$X$41</f>
        <v/>
      </c>
      <c r="N62" s="436">
        <f>'PM After Switch'!$Y$41</f>
        <v/>
      </c>
      <c r="O62" s="436">
        <f>'PM After Switch'!$Z$41</f>
        <v/>
      </c>
      <c r="P62" s="436">
        <f>'PM After Switch'!$AA$41</f>
        <v/>
      </c>
      <c r="Q62" s="426">
        <f>'PM After Switch'!$AB$41</f>
        <v/>
      </c>
      <c r="R62" s="429">
        <f>'PM After Switch'!$AC$41</f>
        <v/>
      </c>
      <c r="S62" s="429">
        <f>'PM After Switch'!$AD$41</f>
        <v/>
      </c>
      <c r="T62" s="429">
        <f>'PM After Switch'!$AE$41</f>
        <v/>
      </c>
      <c r="U62" s="429">
        <f>'PM After Switch'!$AF$41</f>
        <v/>
      </c>
      <c r="V62" s="505" t="n"/>
      <c r="W62" s="506">
        <f>IF($B62="Stay at Jump",INDEX('Savings Projection'!$AI$19:$AI$33,1),IF($B62="IC Switch",IFERROR(INDEX('IC Switch Scenarios'!$X$36:$X$170,MATCH($C62,'IC Switch Scenarios'!$A$36:$A$170,0)+0),""),IFERROR(INDEX('PM After Switch'!$AF$51:$AF$350,MATCH($C62,'PM After Switch'!$A$51:$A$350,0)+0),"")))</f>
        <v/>
      </c>
      <c r="X62" s="506">
        <f>IF($B62="Stay at Jump",INDEX('Savings Projection'!$AI$19:$AI$33,2),IF($B62="IC Switch",IFERROR(INDEX('IC Switch Scenarios'!$X$36:$X$170,MATCH($C62,'IC Switch Scenarios'!$A$36:$A$170,0)+1),""),IFERROR(INDEX('PM After Switch'!$AF$51:$AF$350,MATCH($C62,'PM After Switch'!$A$51:$A$350,0)+1),"")))</f>
        <v/>
      </c>
      <c r="Y62" s="506">
        <f>IF($B62="Stay at Jump",INDEX('Savings Projection'!$AI$19:$AI$33,3),IF($B62="IC Switch",IFERROR(INDEX('IC Switch Scenarios'!$X$36:$X$170,MATCH($C62,'IC Switch Scenarios'!$A$36:$A$170,0)+2),""),IFERROR(INDEX('PM After Switch'!$AF$51:$AF$350,MATCH($C62,'PM After Switch'!$A$51:$A$350,0)+2),"")))</f>
        <v/>
      </c>
      <c r="Z62" s="506">
        <f>IF($B62="Stay at Jump",INDEX('Savings Projection'!$AI$19:$AI$33,4),IF($B62="IC Switch",IFERROR(INDEX('IC Switch Scenarios'!$X$36:$X$170,MATCH($C62,'IC Switch Scenarios'!$A$36:$A$170,0)+3),""),IFERROR(INDEX('PM After Switch'!$AF$51:$AF$350,MATCH($C62,'PM After Switch'!$A$51:$A$350,0)+3),"")))</f>
        <v/>
      </c>
      <c r="AA62" s="506">
        <f>IF($B62="Stay at Jump",INDEX('Savings Projection'!$AI$19:$AI$33,5),IF($B62="IC Switch",IFERROR(INDEX('IC Switch Scenarios'!$X$36:$X$170,MATCH($C62,'IC Switch Scenarios'!$A$36:$A$170,0)+4),""),IFERROR(INDEX('PM After Switch'!$AF$51:$AF$350,MATCH($C62,'PM After Switch'!$A$51:$A$350,0)+4),"")))</f>
        <v/>
      </c>
      <c r="AB62" s="506">
        <f>IF($B62="Stay at Jump",INDEX('Savings Projection'!$AI$19:$AI$33,6),IF($B62="IC Switch",IFERROR(INDEX('IC Switch Scenarios'!$X$36:$X$170,MATCH($C62,'IC Switch Scenarios'!$A$36:$A$170,0)+5),""),IFERROR(INDEX('PM After Switch'!$AF$51:$AF$350,MATCH($C62,'PM After Switch'!$A$51:$A$350,0)+5),"")))</f>
        <v/>
      </c>
      <c r="AC62" s="506">
        <f>IF($B62="Stay at Jump",INDEX('Savings Projection'!$AI$19:$AI$33,7),IF($B62="IC Switch",IFERROR(INDEX('IC Switch Scenarios'!$X$36:$X$170,MATCH($C62,'IC Switch Scenarios'!$A$36:$A$170,0)+6),""),IFERROR(INDEX('PM After Switch'!$AF$51:$AF$350,MATCH($C62,'PM After Switch'!$A$51:$A$350,0)+6),"")))</f>
        <v/>
      </c>
      <c r="AD62" s="506">
        <f>IF($B62="Stay at Jump",INDEX('Savings Projection'!$AI$19:$AI$33,8),IF($B62="IC Switch",IFERROR(INDEX('IC Switch Scenarios'!$X$36:$X$170,MATCH($C62,'IC Switch Scenarios'!$A$36:$A$170,0)+7),""),IFERROR(INDEX('PM After Switch'!$AF$51:$AF$350,MATCH($C62,'PM After Switch'!$A$51:$A$350,0)+7),"")))</f>
        <v/>
      </c>
      <c r="AE62" s="506">
        <f>IF($B62="Stay at Jump",INDEX('Savings Projection'!$AI$19:$AI$33,9),IF($B62="IC Switch",IFERROR(INDEX('IC Switch Scenarios'!$X$36:$X$170,MATCH($C62,'IC Switch Scenarios'!$A$36:$A$170,0)+8),""),IFERROR(INDEX('PM After Switch'!$AF$51:$AF$350,MATCH($C62,'PM After Switch'!$A$51:$A$350,0)+8),"")))</f>
        <v/>
      </c>
      <c r="AF62" s="506">
        <f>IF($B62="Stay at Jump",INDEX('Savings Projection'!$AI$19:$AI$33,10),IF($B62="IC Switch",IFERROR(INDEX('IC Switch Scenarios'!$X$36:$X$170,MATCH($C62,'IC Switch Scenarios'!$A$36:$A$170,0)+9),""),IFERROR(INDEX('PM After Switch'!$AF$51:$AF$350,MATCH($C62,'PM After Switch'!$A$51:$A$350,0)+9),"")))</f>
        <v/>
      </c>
      <c r="AG62" s="506">
        <f>IF($B62="Stay at Jump",INDEX('Savings Projection'!$AI$19:$AI$33,11),IF($B62="IC Switch",IFERROR(INDEX('IC Switch Scenarios'!$X$36:$X$170,MATCH($C62,'IC Switch Scenarios'!$A$36:$A$170,0)+10),""),IFERROR(INDEX('PM After Switch'!$AF$51:$AF$350,MATCH($C62,'PM After Switch'!$A$51:$A$350,0)+10),"")))</f>
        <v/>
      </c>
      <c r="AH62" s="506">
        <f>IF($B62="Stay at Jump",INDEX('Savings Projection'!$AI$19:$AI$33,12),IF($B62="IC Switch",IFERROR(INDEX('IC Switch Scenarios'!$X$36:$X$170,MATCH($C62,'IC Switch Scenarios'!$A$36:$A$170,0)+11),""),IFERROR(INDEX('PM After Switch'!$AF$51:$AF$350,MATCH($C62,'PM After Switch'!$A$51:$A$350,0)+11),"")))</f>
        <v/>
      </c>
      <c r="AI62" s="506">
        <f>IF($B62="Stay at Jump",INDEX('Savings Projection'!$AI$19:$AI$33,13),IF($B62="IC Switch",IFERROR(INDEX('IC Switch Scenarios'!$X$36:$X$170,MATCH($C62,'IC Switch Scenarios'!$A$36:$A$170,0)+12),""),IFERROR(INDEX('PM After Switch'!$AF$51:$AF$350,MATCH($C62,'PM After Switch'!$A$51:$A$350,0)+12),"")))</f>
        <v/>
      </c>
      <c r="AJ62" s="506">
        <f>IF($B62="Stay at Jump",INDEX('Savings Projection'!$AI$19:$AI$33,14),IF($B62="IC Switch",IFERROR(INDEX('IC Switch Scenarios'!$X$36:$X$170,MATCH($C62,'IC Switch Scenarios'!$A$36:$A$170,0)+13),""),IFERROR(INDEX('PM After Switch'!$AF$51:$AF$350,MATCH($C62,'PM After Switch'!$A$51:$A$350,0)+13),"")))</f>
        <v/>
      </c>
      <c r="AK62" s="506">
        <f>IF($B62="Stay at Jump",INDEX('Savings Projection'!$AI$19:$AI$33,15),IF($B62="IC Switch",IFERROR(INDEX('IC Switch Scenarios'!$X$36:$X$170,MATCH($C62,'IC Switch Scenarios'!$A$36:$A$170,0)+14),""),IFERROR(INDEX('PM After Switch'!$AF$51:$AF$350,MATCH($C62,'PM After Switch'!$A$51:$A$350,0)+14),"")))</f>
        <v/>
      </c>
    </row>
    <row r="63" ht="20" customHeight="1" s="326">
      <c r="A63" s="426">
        <f>$B63&amp;" | "&amp;$C63&amp;" | "&amp;$H63</f>
        <v/>
      </c>
      <c r="B63" s="426" t="inlineStr">
        <is>
          <t>Stay at Jump</t>
        </is>
      </c>
      <c r="C63" s="426" t="inlineStr">
        <is>
          <t>Base</t>
        </is>
      </c>
      <c r="D63" s="427" t="inlineStr"/>
      <c r="E63" s="435" t="inlineStr"/>
      <c r="F63" s="427" t="inlineStr"/>
      <c r="G63" s="426" t="inlineStr"/>
      <c r="H63" s="429" t="inlineStr">
        <is>
          <t>Y10</t>
        </is>
      </c>
      <c r="I63" s="436">
        <f>'Savings Projection'!$B$28</f>
        <v/>
      </c>
      <c r="J63" s="436">
        <f>'Savings Projection'!$AE$28</f>
        <v/>
      </c>
      <c r="K63" s="436">
        <f>'Savings Projection'!$AF$28+'Savings Projection'!$AG$28+'Savings Projection'!$AH$28</f>
        <v/>
      </c>
      <c r="L63" s="436">
        <f>'Savings Projection'!$AI$28</f>
        <v/>
      </c>
      <c r="M63" s="436">
        <f>'Savings Projection'!$AI$28-'IC Switch Scenarios'!$F$14</f>
        <v/>
      </c>
      <c r="N63" s="436">
        <f>'Savings Projection'!$AI$28-'IC Switch Scenarios'!$F$15</f>
        <v/>
      </c>
      <c r="O63" s="436">
        <f>'Savings Projection'!$AI$28-'IC Switch Scenarios'!$F$16</f>
        <v/>
      </c>
      <c r="P63" s="436">
        <f>'Savings Projection'!$AI$28-'IC Switch Scenarios'!$F$17</f>
        <v/>
      </c>
      <c r="Q63" s="426">
        <f>IF('Savings Projection'!$AI$28&gt;='IC Switch Scenarios'!$F$17,"Clears $7M 50% by Y10",IF('Savings Projection'!$AI$28&gt;='IC Switch Scenarios'!$F$16,"Clears $7M cash by Y10",IF('Savings Projection'!$AI$28&gt;='IC Switch Scenarios'!$F$15,"Clears $5M 50% by Y10",IF('Savings Projection'!$AI$28&gt;='IC Switch Scenarios'!$F$14,"Clears $5M cash by Y10","Short of $5M retire+house by Y10"))))</f>
        <v/>
      </c>
      <c r="R63" s="429">
        <f>IFERROR("Y"&amp;INDEX('Savings Projection'!$A$19:$A$33,MATCH(TRUE,INDEX('Savings Projection'!$AI$19:$AI$33&gt;='IC Switch Scenarios'!$F$14,0),0))&amp;" / "&amp;INDEX('Savings Projection'!$AO$19:$AO$33,MATCH(TRUE,INDEX('Savings Projection'!$AI$19:$AI$33&gt;='IC Switch Scenarios'!$F$14,0),0)),"Not by Y15")</f>
        <v/>
      </c>
      <c r="S63" s="429">
        <f>IFERROR("Y"&amp;INDEX('Savings Projection'!$A$19:$A$33,MATCH(TRUE,INDEX('Savings Projection'!$AI$19:$AI$33&gt;='IC Switch Scenarios'!$F$15,0),0))&amp;" / "&amp;INDEX('Savings Projection'!$AO$19:$AO$33,MATCH(TRUE,INDEX('Savings Projection'!$AI$19:$AI$33&gt;='IC Switch Scenarios'!$F$15,0),0)),"Not by Y15")</f>
        <v/>
      </c>
      <c r="T63" s="429">
        <f>IFERROR("Y"&amp;INDEX('Savings Projection'!$A$19:$A$33,MATCH(TRUE,INDEX('Savings Projection'!$AI$19:$AI$33&gt;='IC Switch Scenarios'!$F$16,0),0))&amp;" / "&amp;INDEX('Savings Projection'!$AO$19:$AO$33,MATCH(TRUE,INDEX('Savings Projection'!$AI$19:$AI$33&gt;='IC Switch Scenarios'!$F$16,0),0)),"Not by Y15")</f>
        <v/>
      </c>
      <c r="U63" s="429">
        <f>IFERROR("Y"&amp;INDEX('Savings Projection'!$A$19:$A$33,MATCH(TRUE,INDEX('Savings Projection'!$AI$19:$AI$33&gt;='IC Switch Scenarios'!$F$17,0),0))&amp;" / "&amp;INDEX('Savings Projection'!$AO$19:$AO$33,MATCH(TRUE,INDEX('Savings Projection'!$AI$19:$AI$33&gt;='IC Switch Scenarios'!$F$17,0),0)),"Not by Y15")</f>
        <v/>
      </c>
      <c r="V63" s="505" t="n"/>
      <c r="W63" s="506">
        <f>IF($B63="Stay at Jump",INDEX('Savings Projection'!$AI$19:$AI$33,1),IF($B63="IC Switch",IFERROR(INDEX('IC Switch Scenarios'!$X$36:$X$170,MATCH($C63,'IC Switch Scenarios'!$A$36:$A$170,0)+0),""),IFERROR(INDEX('PM After Switch'!$AF$51:$AF$350,MATCH($C63,'PM After Switch'!$A$51:$A$350,0)+0),"")))</f>
        <v/>
      </c>
      <c r="X63" s="506">
        <f>IF($B63="Stay at Jump",INDEX('Savings Projection'!$AI$19:$AI$33,2),IF($B63="IC Switch",IFERROR(INDEX('IC Switch Scenarios'!$X$36:$X$170,MATCH($C63,'IC Switch Scenarios'!$A$36:$A$170,0)+1),""),IFERROR(INDEX('PM After Switch'!$AF$51:$AF$350,MATCH($C63,'PM After Switch'!$A$51:$A$350,0)+1),"")))</f>
        <v/>
      </c>
      <c r="Y63" s="506">
        <f>IF($B63="Stay at Jump",INDEX('Savings Projection'!$AI$19:$AI$33,3),IF($B63="IC Switch",IFERROR(INDEX('IC Switch Scenarios'!$X$36:$X$170,MATCH($C63,'IC Switch Scenarios'!$A$36:$A$170,0)+2),""),IFERROR(INDEX('PM After Switch'!$AF$51:$AF$350,MATCH($C63,'PM After Switch'!$A$51:$A$350,0)+2),"")))</f>
        <v/>
      </c>
      <c r="Z63" s="506">
        <f>IF($B63="Stay at Jump",INDEX('Savings Projection'!$AI$19:$AI$33,4),IF($B63="IC Switch",IFERROR(INDEX('IC Switch Scenarios'!$X$36:$X$170,MATCH($C63,'IC Switch Scenarios'!$A$36:$A$170,0)+3),""),IFERROR(INDEX('PM After Switch'!$AF$51:$AF$350,MATCH($C63,'PM After Switch'!$A$51:$A$350,0)+3),"")))</f>
        <v/>
      </c>
      <c r="AA63" s="506">
        <f>IF($B63="Stay at Jump",INDEX('Savings Projection'!$AI$19:$AI$33,5),IF($B63="IC Switch",IFERROR(INDEX('IC Switch Scenarios'!$X$36:$X$170,MATCH($C63,'IC Switch Scenarios'!$A$36:$A$170,0)+4),""),IFERROR(INDEX('PM After Switch'!$AF$51:$AF$350,MATCH($C63,'PM After Switch'!$A$51:$A$350,0)+4),"")))</f>
        <v/>
      </c>
      <c r="AB63" s="506">
        <f>IF($B63="Stay at Jump",INDEX('Savings Projection'!$AI$19:$AI$33,6),IF($B63="IC Switch",IFERROR(INDEX('IC Switch Scenarios'!$X$36:$X$170,MATCH($C63,'IC Switch Scenarios'!$A$36:$A$170,0)+5),""),IFERROR(INDEX('PM After Switch'!$AF$51:$AF$350,MATCH($C63,'PM After Switch'!$A$51:$A$350,0)+5),"")))</f>
        <v/>
      </c>
      <c r="AC63" s="506">
        <f>IF($B63="Stay at Jump",INDEX('Savings Projection'!$AI$19:$AI$33,7),IF($B63="IC Switch",IFERROR(INDEX('IC Switch Scenarios'!$X$36:$X$170,MATCH($C63,'IC Switch Scenarios'!$A$36:$A$170,0)+6),""),IFERROR(INDEX('PM After Switch'!$AF$51:$AF$350,MATCH($C63,'PM After Switch'!$A$51:$A$350,0)+6),"")))</f>
        <v/>
      </c>
      <c r="AD63" s="506">
        <f>IF($B63="Stay at Jump",INDEX('Savings Projection'!$AI$19:$AI$33,8),IF($B63="IC Switch",IFERROR(INDEX('IC Switch Scenarios'!$X$36:$X$170,MATCH($C63,'IC Switch Scenarios'!$A$36:$A$170,0)+7),""),IFERROR(INDEX('PM After Switch'!$AF$51:$AF$350,MATCH($C63,'PM After Switch'!$A$51:$A$350,0)+7),"")))</f>
        <v/>
      </c>
      <c r="AE63" s="506">
        <f>IF($B63="Stay at Jump",INDEX('Savings Projection'!$AI$19:$AI$33,9),IF($B63="IC Switch",IFERROR(INDEX('IC Switch Scenarios'!$X$36:$X$170,MATCH($C63,'IC Switch Scenarios'!$A$36:$A$170,0)+8),""),IFERROR(INDEX('PM After Switch'!$AF$51:$AF$350,MATCH($C63,'PM After Switch'!$A$51:$A$350,0)+8),"")))</f>
        <v/>
      </c>
      <c r="AF63" s="506">
        <f>IF($B63="Stay at Jump",INDEX('Savings Projection'!$AI$19:$AI$33,10),IF($B63="IC Switch",IFERROR(INDEX('IC Switch Scenarios'!$X$36:$X$170,MATCH($C63,'IC Switch Scenarios'!$A$36:$A$170,0)+9),""),IFERROR(INDEX('PM After Switch'!$AF$51:$AF$350,MATCH($C63,'PM After Switch'!$A$51:$A$350,0)+9),"")))</f>
        <v/>
      </c>
      <c r="AG63" s="506">
        <f>IF($B63="Stay at Jump",INDEX('Savings Projection'!$AI$19:$AI$33,11),IF($B63="IC Switch",IFERROR(INDEX('IC Switch Scenarios'!$X$36:$X$170,MATCH($C63,'IC Switch Scenarios'!$A$36:$A$170,0)+10),""),IFERROR(INDEX('PM After Switch'!$AF$51:$AF$350,MATCH($C63,'PM After Switch'!$A$51:$A$350,0)+10),"")))</f>
        <v/>
      </c>
      <c r="AH63" s="506">
        <f>IF($B63="Stay at Jump",INDEX('Savings Projection'!$AI$19:$AI$33,12),IF($B63="IC Switch",IFERROR(INDEX('IC Switch Scenarios'!$X$36:$X$170,MATCH($C63,'IC Switch Scenarios'!$A$36:$A$170,0)+11),""),IFERROR(INDEX('PM After Switch'!$AF$51:$AF$350,MATCH($C63,'PM After Switch'!$A$51:$A$350,0)+11),"")))</f>
        <v/>
      </c>
      <c r="AI63" s="506">
        <f>IF($B63="Stay at Jump",INDEX('Savings Projection'!$AI$19:$AI$33,13),IF($B63="IC Switch",IFERROR(INDEX('IC Switch Scenarios'!$X$36:$X$170,MATCH($C63,'IC Switch Scenarios'!$A$36:$A$170,0)+12),""),IFERROR(INDEX('PM After Switch'!$AF$51:$AF$350,MATCH($C63,'PM After Switch'!$A$51:$A$350,0)+12),"")))</f>
        <v/>
      </c>
      <c r="AJ63" s="506">
        <f>IF($B63="Stay at Jump",INDEX('Savings Projection'!$AI$19:$AI$33,14),IF($B63="IC Switch",IFERROR(INDEX('IC Switch Scenarios'!$X$36:$X$170,MATCH($C63,'IC Switch Scenarios'!$A$36:$A$170,0)+13),""),IFERROR(INDEX('PM After Switch'!$AF$51:$AF$350,MATCH($C63,'PM After Switch'!$A$51:$A$350,0)+13),"")))</f>
        <v/>
      </c>
      <c r="AK63" s="506">
        <f>IF($B63="Stay at Jump",INDEX('Savings Projection'!$AI$19:$AI$33,15),IF($B63="IC Switch",IFERROR(INDEX('IC Switch Scenarios'!$X$36:$X$170,MATCH($C63,'IC Switch Scenarios'!$A$36:$A$170,0)+14),""),IFERROR(INDEX('PM After Switch'!$AF$51:$AF$350,MATCH($C63,'PM After Switch'!$A$51:$A$350,0)+14),"")))</f>
        <v/>
      </c>
    </row>
    <row r="64" ht="20" customHeight="1" s="326">
      <c r="A64" s="426">
        <f>$B64&amp;" | "&amp;$C64&amp;" | "&amp;$H64</f>
        <v/>
      </c>
      <c r="B64" s="426" t="inlineStr">
        <is>
          <t>Stay at Jump</t>
        </is>
      </c>
      <c r="C64" s="426" t="inlineStr">
        <is>
          <t>Base</t>
        </is>
      </c>
      <c r="D64" s="427" t="inlineStr"/>
      <c r="E64" s="435" t="inlineStr"/>
      <c r="F64" s="427" t="inlineStr"/>
      <c r="G64" s="426" t="inlineStr"/>
      <c r="H64" s="429" t="inlineStr">
        <is>
          <t>Y15</t>
        </is>
      </c>
      <c r="I64" s="436">
        <f>'Savings Projection'!$B$33</f>
        <v/>
      </c>
      <c r="J64" s="436">
        <f>'Savings Projection'!$AE$33</f>
        <v/>
      </c>
      <c r="K64" s="436">
        <f>'Savings Projection'!$AF$33+'Savings Projection'!$AG$33+'Savings Projection'!$AH$33</f>
        <v/>
      </c>
      <c r="L64" s="436">
        <f>'Savings Projection'!$AI$33</f>
        <v/>
      </c>
      <c r="M64" s="436">
        <f>'Savings Projection'!$AI$33-'IC Switch Scenarios'!$F$14</f>
        <v/>
      </c>
      <c r="N64" s="436">
        <f>'Savings Projection'!$AI$33-'IC Switch Scenarios'!$F$15</f>
        <v/>
      </c>
      <c r="O64" s="436">
        <f>'Savings Projection'!$AI$33-'IC Switch Scenarios'!$F$16</f>
        <v/>
      </c>
      <c r="P64" s="436">
        <f>'Savings Projection'!$AI$33-'IC Switch Scenarios'!$F$17</f>
        <v/>
      </c>
      <c r="Q64" s="426">
        <f>IF('Savings Projection'!$AI$33&gt;='IC Switch Scenarios'!$F$17,"Clears $7M 50% by Y15",IF('Savings Projection'!$AI$33&gt;='IC Switch Scenarios'!$F$16,"Clears $7M cash by Y15",IF('Savings Projection'!$AI$33&gt;='IC Switch Scenarios'!$F$15,"Clears $5M 50% by Y15",IF('Savings Projection'!$AI$33&gt;='IC Switch Scenarios'!$F$14,"Clears $5M cash by Y15","Short of $5M retire+house by Y15"))))</f>
        <v/>
      </c>
      <c r="R64" s="429">
        <f>IFERROR("Y"&amp;INDEX('Savings Projection'!$A$19:$A$33,MATCH(TRUE,INDEX('Savings Projection'!$AI$19:$AI$33&gt;='IC Switch Scenarios'!$F$14,0),0))&amp;" / "&amp;INDEX('Savings Projection'!$AO$19:$AO$33,MATCH(TRUE,INDEX('Savings Projection'!$AI$19:$AI$33&gt;='IC Switch Scenarios'!$F$14,0),0)),"Not by Y15")</f>
        <v/>
      </c>
      <c r="S64" s="429">
        <f>IFERROR("Y"&amp;INDEX('Savings Projection'!$A$19:$A$33,MATCH(TRUE,INDEX('Savings Projection'!$AI$19:$AI$33&gt;='IC Switch Scenarios'!$F$15,0),0))&amp;" / "&amp;INDEX('Savings Projection'!$AO$19:$AO$33,MATCH(TRUE,INDEX('Savings Projection'!$AI$19:$AI$33&gt;='IC Switch Scenarios'!$F$15,0),0)),"Not by Y15")</f>
        <v/>
      </c>
      <c r="T64" s="429">
        <f>IFERROR("Y"&amp;INDEX('Savings Projection'!$A$19:$A$33,MATCH(TRUE,INDEX('Savings Projection'!$AI$19:$AI$33&gt;='IC Switch Scenarios'!$F$16,0),0))&amp;" / "&amp;INDEX('Savings Projection'!$AO$19:$AO$33,MATCH(TRUE,INDEX('Savings Projection'!$AI$19:$AI$33&gt;='IC Switch Scenarios'!$F$16,0),0)),"Not by Y15")</f>
        <v/>
      </c>
      <c r="U64" s="429">
        <f>IFERROR("Y"&amp;INDEX('Savings Projection'!$A$19:$A$33,MATCH(TRUE,INDEX('Savings Projection'!$AI$19:$AI$33&gt;='IC Switch Scenarios'!$F$17,0),0))&amp;" / "&amp;INDEX('Savings Projection'!$AO$19:$AO$33,MATCH(TRUE,INDEX('Savings Projection'!$AI$19:$AI$33&gt;='IC Switch Scenarios'!$F$17,0),0)),"Not by Y15")</f>
        <v/>
      </c>
      <c r="V64" s="505" t="n"/>
      <c r="W64" s="506">
        <f>IF($B64="Stay at Jump",INDEX('Savings Projection'!$AI$19:$AI$33,1),IF($B64="IC Switch",IFERROR(INDEX('IC Switch Scenarios'!$X$36:$X$170,MATCH($C64,'IC Switch Scenarios'!$A$36:$A$170,0)+0),""),IFERROR(INDEX('PM After Switch'!$AF$51:$AF$350,MATCH($C64,'PM After Switch'!$A$51:$A$350,0)+0),"")))</f>
        <v/>
      </c>
      <c r="X64" s="506">
        <f>IF($B64="Stay at Jump",INDEX('Savings Projection'!$AI$19:$AI$33,2),IF($B64="IC Switch",IFERROR(INDEX('IC Switch Scenarios'!$X$36:$X$170,MATCH($C64,'IC Switch Scenarios'!$A$36:$A$170,0)+1),""),IFERROR(INDEX('PM After Switch'!$AF$51:$AF$350,MATCH($C64,'PM After Switch'!$A$51:$A$350,0)+1),"")))</f>
        <v/>
      </c>
      <c r="Y64" s="506">
        <f>IF($B64="Stay at Jump",INDEX('Savings Projection'!$AI$19:$AI$33,3),IF($B64="IC Switch",IFERROR(INDEX('IC Switch Scenarios'!$X$36:$X$170,MATCH($C64,'IC Switch Scenarios'!$A$36:$A$170,0)+2),""),IFERROR(INDEX('PM After Switch'!$AF$51:$AF$350,MATCH($C64,'PM After Switch'!$A$51:$A$350,0)+2),"")))</f>
        <v/>
      </c>
      <c r="Z64" s="506">
        <f>IF($B64="Stay at Jump",INDEX('Savings Projection'!$AI$19:$AI$33,4),IF($B64="IC Switch",IFERROR(INDEX('IC Switch Scenarios'!$X$36:$X$170,MATCH($C64,'IC Switch Scenarios'!$A$36:$A$170,0)+3),""),IFERROR(INDEX('PM After Switch'!$AF$51:$AF$350,MATCH($C64,'PM After Switch'!$A$51:$A$350,0)+3),"")))</f>
        <v/>
      </c>
      <c r="AA64" s="506">
        <f>IF($B64="Stay at Jump",INDEX('Savings Projection'!$AI$19:$AI$33,5),IF($B64="IC Switch",IFERROR(INDEX('IC Switch Scenarios'!$X$36:$X$170,MATCH($C64,'IC Switch Scenarios'!$A$36:$A$170,0)+4),""),IFERROR(INDEX('PM After Switch'!$AF$51:$AF$350,MATCH($C64,'PM After Switch'!$A$51:$A$350,0)+4),"")))</f>
        <v/>
      </c>
      <c r="AB64" s="506">
        <f>IF($B64="Stay at Jump",INDEX('Savings Projection'!$AI$19:$AI$33,6),IF($B64="IC Switch",IFERROR(INDEX('IC Switch Scenarios'!$X$36:$X$170,MATCH($C64,'IC Switch Scenarios'!$A$36:$A$170,0)+5),""),IFERROR(INDEX('PM After Switch'!$AF$51:$AF$350,MATCH($C64,'PM After Switch'!$A$51:$A$350,0)+5),"")))</f>
        <v/>
      </c>
      <c r="AC64" s="506">
        <f>IF($B64="Stay at Jump",INDEX('Savings Projection'!$AI$19:$AI$33,7),IF($B64="IC Switch",IFERROR(INDEX('IC Switch Scenarios'!$X$36:$X$170,MATCH($C64,'IC Switch Scenarios'!$A$36:$A$170,0)+6),""),IFERROR(INDEX('PM After Switch'!$AF$51:$AF$350,MATCH($C64,'PM After Switch'!$A$51:$A$350,0)+6),"")))</f>
        <v/>
      </c>
      <c r="AD64" s="506">
        <f>IF($B64="Stay at Jump",INDEX('Savings Projection'!$AI$19:$AI$33,8),IF($B64="IC Switch",IFERROR(INDEX('IC Switch Scenarios'!$X$36:$X$170,MATCH($C64,'IC Switch Scenarios'!$A$36:$A$170,0)+7),""),IFERROR(INDEX('PM After Switch'!$AF$51:$AF$350,MATCH($C64,'PM After Switch'!$A$51:$A$350,0)+7),"")))</f>
        <v/>
      </c>
      <c r="AE64" s="506">
        <f>IF($B64="Stay at Jump",INDEX('Savings Projection'!$AI$19:$AI$33,9),IF($B64="IC Switch",IFERROR(INDEX('IC Switch Scenarios'!$X$36:$X$170,MATCH($C64,'IC Switch Scenarios'!$A$36:$A$170,0)+8),""),IFERROR(INDEX('PM After Switch'!$AF$51:$AF$350,MATCH($C64,'PM After Switch'!$A$51:$A$350,0)+8),"")))</f>
        <v/>
      </c>
      <c r="AF64" s="506">
        <f>IF($B64="Stay at Jump",INDEX('Savings Projection'!$AI$19:$AI$33,10),IF($B64="IC Switch",IFERROR(INDEX('IC Switch Scenarios'!$X$36:$X$170,MATCH($C64,'IC Switch Scenarios'!$A$36:$A$170,0)+9),""),IFERROR(INDEX('PM After Switch'!$AF$51:$AF$350,MATCH($C64,'PM After Switch'!$A$51:$A$350,0)+9),"")))</f>
        <v/>
      </c>
      <c r="AG64" s="506">
        <f>IF($B64="Stay at Jump",INDEX('Savings Projection'!$AI$19:$AI$33,11),IF($B64="IC Switch",IFERROR(INDEX('IC Switch Scenarios'!$X$36:$X$170,MATCH($C64,'IC Switch Scenarios'!$A$36:$A$170,0)+10),""),IFERROR(INDEX('PM After Switch'!$AF$51:$AF$350,MATCH($C64,'PM After Switch'!$A$51:$A$350,0)+10),"")))</f>
        <v/>
      </c>
      <c r="AH64" s="506">
        <f>IF($B64="Stay at Jump",INDEX('Savings Projection'!$AI$19:$AI$33,12),IF($B64="IC Switch",IFERROR(INDEX('IC Switch Scenarios'!$X$36:$X$170,MATCH($C64,'IC Switch Scenarios'!$A$36:$A$170,0)+11),""),IFERROR(INDEX('PM After Switch'!$AF$51:$AF$350,MATCH($C64,'PM After Switch'!$A$51:$A$350,0)+11),"")))</f>
        <v/>
      </c>
      <c r="AI64" s="506">
        <f>IF($B64="Stay at Jump",INDEX('Savings Projection'!$AI$19:$AI$33,13),IF($B64="IC Switch",IFERROR(INDEX('IC Switch Scenarios'!$X$36:$X$170,MATCH($C64,'IC Switch Scenarios'!$A$36:$A$170,0)+12),""),IFERROR(INDEX('PM After Switch'!$AF$51:$AF$350,MATCH($C64,'PM After Switch'!$A$51:$A$350,0)+12),"")))</f>
        <v/>
      </c>
      <c r="AJ64" s="506">
        <f>IF($B64="Stay at Jump",INDEX('Savings Projection'!$AI$19:$AI$33,14),IF($B64="IC Switch",IFERROR(INDEX('IC Switch Scenarios'!$X$36:$X$170,MATCH($C64,'IC Switch Scenarios'!$A$36:$A$170,0)+13),""),IFERROR(INDEX('PM After Switch'!$AF$51:$AF$350,MATCH($C64,'PM After Switch'!$A$51:$A$350,0)+13),"")))</f>
        <v/>
      </c>
      <c r="AK64" s="506">
        <f>IF($B64="Stay at Jump",INDEX('Savings Projection'!$AI$19:$AI$33,15),IF($B64="IC Switch",IFERROR(INDEX('IC Switch Scenarios'!$X$36:$X$170,MATCH($C64,'IC Switch Scenarios'!$A$36:$A$170,0)+14),""),IFERROR(INDEX('PM After Switch'!$AF$51:$AF$350,MATCH($C64,'PM After Switch'!$A$51:$A$350,0)+14),"")))</f>
        <v/>
      </c>
    </row>
    <row r="65">
      <c r="A65" s="507" t="n"/>
      <c r="B65" s="507" t="n"/>
      <c r="C65" s="507" t="n"/>
      <c r="D65" s="507" t="n"/>
      <c r="E65" s="507" t="n"/>
      <c r="F65" s="507" t="n"/>
      <c r="G65" s="507" t="n"/>
      <c r="H65" s="507" t="n"/>
      <c r="I65" s="507" t="n"/>
      <c r="J65" s="507" t="n"/>
      <c r="K65" s="507" t="n"/>
      <c r="L65" s="507" t="n"/>
      <c r="M65" s="507" t="n"/>
      <c r="N65" s="507" t="n"/>
      <c r="O65" s="507" t="n"/>
      <c r="P65" s="507" t="n"/>
      <c r="Q65" s="507" t="n"/>
      <c r="R65" s="507" t="n"/>
      <c r="S65" s="507" t="n"/>
      <c r="T65" s="507" t="n"/>
      <c r="U65" s="507" t="n"/>
    </row>
    <row r="67">
      <c r="A67" s="431" t="inlineStr">
        <is>
          <t>Next-Pass Enhancements</t>
        </is>
      </c>
    </row>
    <row r="68" ht="28" customHeight="1" s="326">
      <c r="A68" s="405" t="inlineStr">
        <is>
          <t>PivotTables and slicers over tblScenarioResults, preferably created with native Excel automation after the normalized table settles.</t>
        </is>
      </c>
    </row>
    <row r="69" ht="28" customHeight="1" s="326">
      <c r="A69" s="405" t="inlineStr">
        <is>
          <t>Sparklines or compact trajectory charts for scenario Y1-Y15 paths, using visible helper rows as the source.</t>
        </is>
      </c>
    </row>
    <row r="70" ht="28" customHeight="1" s="326">
      <c r="A70" s="405" t="inlineStr">
        <is>
          <t>Named formulas or LET/LAMBDA cleanup for repeated phase-gating logic after a separate formula audit.</t>
        </is>
      </c>
    </row>
    <row r="71" ht="28" customHeight="1" s="326">
      <c r="A71" s="405" t="inlineStr">
        <is>
          <t>Power Query only if external data imports become part of the planning workflow.</t>
        </is>
      </c>
    </row>
  </sheetData>
  <mergeCells count="7">
    <mergeCell ref="A69:U69"/>
    <mergeCell ref="A2:U2"/>
    <mergeCell ref="A68:U68"/>
    <mergeCell ref="A71:U71"/>
    <mergeCell ref="A1:U1"/>
    <mergeCell ref="A70:U70"/>
    <mergeCell ref="A67:U67"/>
  </mergeCells>
  <conditionalFormatting sqref="M5:P64">
    <cfRule type="cellIs" priority="1" operator="greaterThanOrEqual" dxfId="36">
      <formula>0</formula>
    </cfRule>
    <cfRule type="cellIs" priority="2" operator="lessThan" dxfId="37">
      <formula>0</formula>
    </cfRule>
  </conditionalFormatting>
  <conditionalFormatting sqref="Q5:Q64">
    <cfRule type="expression" priority="3" dxfId="37">
      <formula>ISNUMBER(SEARCH("Short",Q5))</formula>
    </cfRule>
    <cfRule type="expression" priority="4" dxfId="36">
      <formula>ISNUMBER(SEARCH("Clears",Q5))</formula>
    </cfRule>
  </conditionalFormatting>
  <conditionalFormatting sqref="R5:U64">
    <cfRule type="expression" priority="5" dxfId="37">
      <formula>R5="Not by Y15"</formula>
    </cfRule>
  </conditionalFormatting>
  <conditionalFormatting sqref="L5:L64">
    <cfRule type="colorScale" priority="6">
      <colorScale>
        <cfvo type="min"/>
        <cfvo type="percentile" val="50"/>
        <cfvo type="max"/>
        <color rgb="00F4CCCC"/>
        <color rgb="00FFF2CC"/>
        <color rgb="00D9EAD3"/>
      </colorScale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  <tableParts count="1">
    <tablePart xmlns:r="http://schemas.openxmlformats.org/officeDocument/2006/relationships"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7E1924E-12FE-0E41-8568-8031474F17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'Scenario Results'!$W$5:$AK$5</xm:f>
              <xm:sqref>V5</xm:sqref>
            </x14:sparkline>
            <x14:sparkline>
              <xm:f>'Scenario Results'!$W$6:$AK$6</xm:f>
              <xm:sqref>V6</xm:sqref>
            </x14:sparkline>
            <x14:sparkline>
              <xm:f>'Scenario Results'!$W$7:$AK$7</xm:f>
              <xm:sqref>V7</xm:sqref>
            </x14:sparkline>
            <x14:sparkline>
              <xm:f>'Scenario Results'!$W$8:$AK$8</xm:f>
              <xm:sqref>V8</xm:sqref>
            </x14:sparkline>
            <x14:sparkline>
              <xm:f>'Scenario Results'!$W$9:$AK$9</xm:f>
              <xm:sqref>V9</xm:sqref>
            </x14:sparkline>
            <x14:sparkline>
              <xm:f>'Scenario Results'!$W$10:$AK$10</xm:f>
              <xm:sqref>V10</xm:sqref>
            </x14:sparkline>
            <x14:sparkline>
              <xm:f>'Scenario Results'!$W$11:$AK$11</xm:f>
              <xm:sqref>V11</xm:sqref>
            </x14:sparkline>
            <x14:sparkline>
              <xm:f>'Scenario Results'!$W$12:$AK$12</xm:f>
              <xm:sqref>V12</xm:sqref>
            </x14:sparkline>
            <x14:sparkline>
              <xm:f>'Scenario Results'!$W$13:$AK$13</xm:f>
              <xm:sqref>V13</xm:sqref>
            </x14:sparkline>
            <x14:sparkline>
              <xm:f>'Scenario Results'!$W$14:$AK$14</xm:f>
              <xm:sqref>V14</xm:sqref>
            </x14:sparkline>
            <x14:sparkline>
              <xm:f>'Scenario Results'!$W$15:$AK$15</xm:f>
              <xm:sqref>V15</xm:sqref>
            </x14:sparkline>
            <x14:sparkline>
              <xm:f>'Scenario Results'!$W$16:$AK$16</xm:f>
              <xm:sqref>V16</xm:sqref>
            </x14:sparkline>
            <x14:sparkline>
              <xm:f>'Scenario Results'!$W$17:$AK$17</xm:f>
              <xm:sqref>V17</xm:sqref>
            </x14:sparkline>
            <x14:sparkline>
              <xm:f>'Scenario Results'!$W$18:$AK$18</xm:f>
              <xm:sqref>V18</xm:sqref>
            </x14:sparkline>
            <x14:sparkline>
              <xm:f>'Scenario Results'!$W$19:$AK$19</xm:f>
              <xm:sqref>V19</xm:sqref>
            </x14:sparkline>
            <x14:sparkline>
              <xm:f>'Scenario Results'!$W$20:$AK$20</xm:f>
              <xm:sqref>V20</xm:sqref>
            </x14:sparkline>
            <x14:sparkline>
              <xm:f>'Scenario Results'!$W$21:$AK$21</xm:f>
              <xm:sqref>V21</xm:sqref>
            </x14:sparkline>
            <x14:sparkline>
              <xm:f>'Scenario Results'!$W$22:$AK$22</xm:f>
              <xm:sqref>V22</xm:sqref>
            </x14:sparkline>
            <x14:sparkline>
              <xm:f>'Scenario Results'!$W$23:$AK$23</xm:f>
              <xm:sqref>V23</xm:sqref>
            </x14:sparkline>
            <x14:sparkline>
              <xm:f>'Scenario Results'!$W$24:$AK$24</xm:f>
              <xm:sqref>V24</xm:sqref>
            </x14:sparkline>
            <x14:sparkline>
              <xm:f>'Scenario Results'!$W$25:$AK$25</xm:f>
              <xm:sqref>V25</xm:sqref>
            </x14:sparkline>
            <x14:sparkline>
              <xm:f>'Scenario Results'!$W$26:$AK$26</xm:f>
              <xm:sqref>V26</xm:sqref>
            </x14:sparkline>
            <x14:sparkline>
              <xm:f>'Scenario Results'!$W$27:$AK$27</xm:f>
              <xm:sqref>V27</xm:sqref>
            </x14:sparkline>
            <x14:sparkline>
              <xm:f>'Scenario Results'!$W$28:$AK$28</xm:f>
              <xm:sqref>V28</xm:sqref>
            </x14:sparkline>
            <x14:sparkline>
              <xm:f>'Scenario Results'!$W$29:$AK$29</xm:f>
              <xm:sqref>V29</xm:sqref>
            </x14:sparkline>
            <x14:sparkline>
              <xm:f>'Scenario Results'!$W$30:$AK$30</xm:f>
              <xm:sqref>V30</xm:sqref>
            </x14:sparkline>
            <x14:sparkline>
              <xm:f>'Scenario Results'!$W$31:$AK$31</xm:f>
              <xm:sqref>V31</xm:sqref>
            </x14:sparkline>
            <x14:sparkline>
              <xm:f>'Scenario Results'!$W$32:$AK$32</xm:f>
              <xm:sqref>V32</xm:sqref>
            </x14:sparkline>
            <x14:sparkline>
              <xm:f>'Scenario Results'!$W$33:$AK$33</xm:f>
              <xm:sqref>V33</xm:sqref>
            </x14:sparkline>
            <x14:sparkline>
              <xm:f>'Scenario Results'!$W$34:$AK$34</xm:f>
              <xm:sqref>V34</xm:sqref>
            </x14:sparkline>
            <x14:sparkline>
              <xm:f>'Scenario Results'!$W$35:$AK$35</xm:f>
              <xm:sqref>V35</xm:sqref>
            </x14:sparkline>
            <x14:sparkline>
              <xm:f>'Scenario Results'!$W$36:$AK$36</xm:f>
              <xm:sqref>V36</xm:sqref>
            </x14:sparkline>
            <x14:sparkline>
              <xm:f>'Scenario Results'!$W$37:$AK$37</xm:f>
              <xm:sqref>V37</xm:sqref>
            </x14:sparkline>
            <x14:sparkline>
              <xm:f>'Scenario Results'!$W$38:$AK$38</xm:f>
              <xm:sqref>V38</xm:sqref>
            </x14:sparkline>
            <x14:sparkline>
              <xm:f>'Scenario Results'!$W$39:$AK$39</xm:f>
              <xm:sqref>V39</xm:sqref>
            </x14:sparkline>
            <x14:sparkline>
              <xm:f>'Scenario Results'!$W$40:$AK$40</xm:f>
              <xm:sqref>V40</xm:sqref>
            </x14:sparkline>
            <x14:sparkline>
              <xm:f>'Scenario Results'!$W$41:$AK$41</xm:f>
              <xm:sqref>V41</xm:sqref>
            </x14:sparkline>
            <x14:sparkline>
              <xm:f>'Scenario Results'!$W$42:$AK$42</xm:f>
              <xm:sqref>V42</xm:sqref>
            </x14:sparkline>
            <x14:sparkline>
              <xm:f>'Scenario Results'!$W$43:$AK$43</xm:f>
              <xm:sqref>V43</xm:sqref>
            </x14:sparkline>
            <x14:sparkline>
              <xm:f>'Scenario Results'!$W$44:$AK$44</xm:f>
              <xm:sqref>V44</xm:sqref>
            </x14:sparkline>
            <x14:sparkline>
              <xm:f>'Scenario Results'!$W$45:$AK$45</xm:f>
              <xm:sqref>V45</xm:sqref>
            </x14:sparkline>
            <x14:sparkline>
              <xm:f>'Scenario Results'!$W$46:$AK$46</xm:f>
              <xm:sqref>V46</xm:sqref>
            </x14:sparkline>
            <x14:sparkline>
              <xm:f>'Scenario Results'!$W$47:$AK$47</xm:f>
              <xm:sqref>V47</xm:sqref>
            </x14:sparkline>
            <x14:sparkline>
              <xm:f>'Scenario Results'!$W$48:$AK$48</xm:f>
              <xm:sqref>V48</xm:sqref>
            </x14:sparkline>
            <x14:sparkline>
              <xm:f>'Scenario Results'!$W$49:$AK$49</xm:f>
              <xm:sqref>V49</xm:sqref>
            </x14:sparkline>
            <x14:sparkline>
              <xm:f>'Scenario Results'!$W$50:$AK$50</xm:f>
              <xm:sqref>V50</xm:sqref>
            </x14:sparkline>
            <x14:sparkline>
              <xm:f>'Scenario Results'!$W$51:$AK$51</xm:f>
              <xm:sqref>V51</xm:sqref>
            </x14:sparkline>
            <x14:sparkline>
              <xm:f>'Scenario Results'!$W$52:$AK$52</xm:f>
              <xm:sqref>V52</xm:sqref>
            </x14:sparkline>
            <x14:sparkline>
              <xm:f>'Scenario Results'!$W$53:$AK$53</xm:f>
              <xm:sqref>V53</xm:sqref>
            </x14:sparkline>
            <x14:sparkline>
              <xm:f>'Scenario Results'!$W$54:$AK$54</xm:f>
              <xm:sqref>V54</xm:sqref>
            </x14:sparkline>
            <x14:sparkline>
              <xm:f>'Scenario Results'!$W$55:$AK$55</xm:f>
              <xm:sqref>V55</xm:sqref>
            </x14:sparkline>
            <x14:sparkline>
              <xm:f>'Scenario Results'!$W$56:$AK$56</xm:f>
              <xm:sqref>V56</xm:sqref>
            </x14:sparkline>
            <x14:sparkline>
              <xm:f>'Scenario Results'!$W$57:$AK$57</xm:f>
              <xm:sqref>V57</xm:sqref>
            </x14:sparkline>
            <x14:sparkline>
              <xm:f>'Scenario Results'!$W$58:$AK$58</xm:f>
              <xm:sqref>V58</xm:sqref>
            </x14:sparkline>
            <x14:sparkline>
              <xm:f>'Scenario Results'!$W$59:$AK$59</xm:f>
              <xm:sqref>V59</xm:sqref>
            </x14:sparkline>
            <x14:sparkline>
              <xm:f>'Scenario Results'!$W$60:$AK$60</xm:f>
              <xm:sqref>V60</xm:sqref>
            </x14:sparkline>
            <x14:sparkline>
              <xm:f>'Scenario Results'!$W$61:$AK$61</xm:f>
              <xm:sqref>V61</xm:sqref>
            </x14:sparkline>
            <x14:sparkline>
              <xm:f>'Scenario Results'!$W$62:$AK$62</xm:f>
              <xm:sqref>V62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>
  <sheetPr>
    <tabColor rgb="005B9BD5"/>
    <outlinePr summaryBelow="1" summaryRight="1"/>
    <pageSetUpPr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/>
  <cols>
    <col width="18" customWidth="1" style="326" min="1" max="1"/>
    <col width="16" customWidth="1" style="326" min="2" max="2"/>
    <col width="18" customWidth="1" style="326" min="3" max="3"/>
    <col width="12" customWidth="1" style="326" min="4" max="4"/>
    <col width="16" customWidth="1" style="326" min="6" max="7"/>
    <col width="12" customWidth="1" style="326" min="8" max="8"/>
    <col width="14" customWidth="1" style="326" min="9" max="9"/>
    <col width="16" customWidth="1" style="326" min="11" max="12"/>
    <col width="12" customWidth="1" style="326" min="13" max="13"/>
    <col width="14" customWidth="1" style="326" min="14" max="14"/>
    <col width="16" customWidth="1" style="326" min="16" max="17"/>
    <col width="12" customWidth="1" style="326" min="18" max="18"/>
    <col width="14" customWidth="1" style="326" min="19" max="19"/>
  </cols>
  <sheetData>
    <row r="1" ht="26" customHeight="1" s="326">
      <c r="A1" s="453" t="inlineStr">
        <is>
          <t>Tax Assumptions</t>
        </is>
      </c>
    </row>
    <row r="2" ht="22" customHeight="1" s="326">
      <c r="A2" s="454" t="inlineStr">
        <is>
          <t>This workbook models employee-borne taxes and payroll deductions that reduce savings; employer payroll taxes are excluded.</t>
        </is>
      </c>
    </row>
    <row r="3" ht="22" customHeight="1" s="326">
      <c r="A3" s="454" t="inlineStr">
        <is>
          <t>NYC resident tax is modeled separately because the plan assumes full-year New York City residency.</t>
        </is>
      </c>
    </row>
    <row r="4" ht="22" customHeight="1" s="326">
      <c r="A4" s="454" t="inlineStr">
        <is>
          <t>At this income level, direct Roth IRA contributions are generally phased out, so the Roth line is treated as a backdoor Roth target.</t>
        </is>
      </c>
    </row>
    <row r="5" ht="22" customHeight="1" s="326">
      <c r="A5" s="454" t="inlineStr">
        <is>
          <t>Retirement withdrawals are modeled as gross portfolio withdrawals across taxable, 401(k), Roth, and HSA buckets in that order.</t>
        </is>
      </c>
    </row>
    <row r="7" ht="20" customHeight="1" s="326">
      <c r="A7" s="465" t="inlineStr">
        <is>
          <t>Core Constants</t>
        </is>
      </c>
      <c r="B7" s="467" t="n"/>
      <c r="C7" s="467" t="n"/>
      <c r="D7" s="466" t="n"/>
      <c r="E7" s="451" t="n"/>
      <c r="F7" s="465" t="inlineStr">
        <is>
          <t>Federal Brackets (2026 single)</t>
        </is>
      </c>
      <c r="G7" s="306" t="n"/>
      <c r="H7" s="306" t="n"/>
      <c r="I7" s="307" t="n"/>
      <c r="J7" s="451" t="n"/>
      <c r="K7" s="465" t="inlineStr">
        <is>
          <t>NY State Brackets</t>
        </is>
      </c>
      <c r="L7" s="306" t="n"/>
      <c r="M7" s="306" t="n"/>
      <c r="N7" s="307" t="n"/>
      <c r="O7" s="451" t="n"/>
      <c r="P7" s="465" t="inlineStr">
        <is>
          <t>NYC Resident Brackets</t>
        </is>
      </c>
      <c r="Q7" s="306" t="n"/>
      <c r="R7" s="306" t="n"/>
      <c r="S7" s="307" t="n"/>
    </row>
    <row r="8" ht="20" customHeight="1" s="326">
      <c r="A8" s="508" t="inlineStr">
        <is>
          <t>Federal standard deduction</t>
        </is>
      </c>
      <c r="B8" s="509" t="n">
        <v>16100</v>
      </c>
      <c r="C8" s="486" t="n"/>
      <c r="D8" s="510" t="n"/>
      <c r="E8" s="451" t="n"/>
      <c r="F8" s="508" t="inlineStr">
        <is>
          <t>Lower</t>
        </is>
      </c>
      <c r="G8" s="486" t="inlineStr">
        <is>
          <t>Upper</t>
        </is>
      </c>
      <c r="H8" s="486" t="inlineStr">
        <is>
          <t>Rate</t>
        </is>
      </c>
      <c r="I8" s="510" t="inlineStr">
        <is>
          <t>Base Tax</t>
        </is>
      </c>
      <c r="J8" s="451" t="n"/>
      <c r="K8" s="508" t="inlineStr">
        <is>
          <t>Lower</t>
        </is>
      </c>
      <c r="L8" s="486" t="inlineStr">
        <is>
          <t>Upper</t>
        </is>
      </c>
      <c r="M8" s="486" t="inlineStr">
        <is>
          <t>Rate</t>
        </is>
      </c>
      <c r="N8" s="510" t="inlineStr">
        <is>
          <t>Base Tax</t>
        </is>
      </c>
      <c r="O8" s="451" t="n"/>
      <c r="P8" s="508" t="inlineStr">
        <is>
          <t>Lower</t>
        </is>
      </c>
      <c r="Q8" s="486" t="inlineStr">
        <is>
          <t>Upper</t>
        </is>
      </c>
      <c r="R8" s="486" t="inlineStr">
        <is>
          <t>Rate</t>
        </is>
      </c>
      <c r="S8" s="510" t="inlineStr">
        <is>
          <t>Base Tax</t>
        </is>
      </c>
    </row>
    <row r="9" ht="20" customHeight="1" s="326">
      <c r="A9" s="38" t="inlineStr">
        <is>
          <t>NY standard deduction</t>
        </is>
      </c>
      <c r="B9" s="147" t="n">
        <v>8000</v>
      </c>
      <c r="C9" s="6" t="n"/>
      <c r="D9" s="11" t="n"/>
      <c r="F9" s="148" t="n">
        <v>0</v>
      </c>
      <c r="G9" s="147" t="n">
        <v>12400</v>
      </c>
      <c r="H9" s="149" t="n">
        <v>0.1</v>
      </c>
      <c r="I9" s="150" t="n">
        <v>0</v>
      </c>
      <c r="K9" s="148" t="n">
        <v>0</v>
      </c>
      <c r="L9" s="147" t="n">
        <v>8500</v>
      </c>
      <c r="M9" s="149" t="n">
        <v>0.039</v>
      </c>
      <c r="N9" s="150" t="n">
        <v>0</v>
      </c>
      <c r="P9" s="148" t="n">
        <v>0</v>
      </c>
      <c r="Q9" s="147" t="n">
        <v>12000</v>
      </c>
      <c r="R9" s="149" t="n">
        <v>0.03078</v>
      </c>
      <c r="S9" s="150" t="n">
        <v>0</v>
      </c>
    </row>
    <row r="10" ht="20" customHeight="1" s="326">
      <c r="A10" s="38" t="inlineStr">
        <is>
          <t>Social Security rate</t>
        </is>
      </c>
      <c r="B10" s="151" t="n">
        <v>0.062</v>
      </c>
      <c r="C10" s="6" t="n"/>
      <c r="D10" s="11" t="n"/>
      <c r="F10" s="152" t="n">
        <v>12400</v>
      </c>
      <c r="G10" s="73" t="n">
        <v>50400</v>
      </c>
      <c r="H10" s="153" t="n">
        <v>0.12</v>
      </c>
      <c r="I10" s="154" t="n">
        <v>1240</v>
      </c>
      <c r="K10" s="152" t="n">
        <v>8500</v>
      </c>
      <c r="L10" s="73" t="n">
        <v>11700</v>
      </c>
      <c r="M10" s="153" t="n">
        <v>0.044</v>
      </c>
      <c r="N10" s="154" t="n">
        <v>332</v>
      </c>
      <c r="P10" s="152" t="n">
        <v>12000</v>
      </c>
      <c r="Q10" s="73" t="n">
        <v>25000</v>
      </c>
      <c r="R10" s="153" t="n">
        <v>0.03762</v>
      </c>
      <c r="S10" s="154" t="n">
        <v>369.36</v>
      </c>
    </row>
    <row r="11" ht="20" customHeight="1" s="326">
      <c r="A11" s="38" t="inlineStr">
        <is>
          <t>Social Security wage base</t>
        </is>
      </c>
      <c r="B11" s="147" t="n">
        <v>184500</v>
      </c>
      <c r="C11" s="6" t="n"/>
      <c r="D11" s="11" t="n"/>
      <c r="F11" s="148" t="n">
        <v>50400</v>
      </c>
      <c r="G11" s="147" t="n">
        <v>105700</v>
      </c>
      <c r="H11" s="149" t="n">
        <v>0.22</v>
      </c>
      <c r="I11" s="150" t="n">
        <v>5800</v>
      </c>
      <c r="K11" s="148" t="n">
        <v>11700</v>
      </c>
      <c r="L11" s="147" t="n">
        <v>13900</v>
      </c>
      <c r="M11" s="149" t="n">
        <v>0.0515</v>
      </c>
      <c r="N11" s="150" t="n">
        <v>472.8</v>
      </c>
      <c r="P11" s="148" t="n">
        <v>25000</v>
      </c>
      <c r="Q11" s="147" t="n">
        <v>50000</v>
      </c>
      <c r="R11" s="149" t="n">
        <v>0.03819</v>
      </c>
      <c r="S11" s="150" t="n">
        <v>858.42</v>
      </c>
    </row>
    <row r="12" ht="20" customHeight="1" s="326">
      <c r="A12" s="38" t="inlineStr">
        <is>
          <t>Medicare rate</t>
        </is>
      </c>
      <c r="B12" s="149" t="n">
        <v>0.0145</v>
      </c>
      <c r="C12" s="6" t="n"/>
      <c r="D12" s="11" t="n"/>
      <c r="F12" s="152" t="n">
        <v>105700</v>
      </c>
      <c r="G12" s="73" t="n">
        <v>201775</v>
      </c>
      <c r="H12" s="153" t="n">
        <v>0.24</v>
      </c>
      <c r="I12" s="154" t="n">
        <v>17966</v>
      </c>
      <c r="K12" s="152" t="n">
        <v>13900</v>
      </c>
      <c r="L12" s="73" t="n">
        <v>80650</v>
      </c>
      <c r="M12" s="153" t="n">
        <v>0.054</v>
      </c>
      <c r="N12" s="154" t="n">
        <v>586.1</v>
      </c>
      <c r="P12" s="155" t="n">
        <v>50000</v>
      </c>
      <c r="Q12" s="156" t="n">
        <v>1000000000000</v>
      </c>
      <c r="R12" s="157" t="n">
        <v>0.03876</v>
      </c>
      <c r="S12" s="158" t="n">
        <v>1813.17</v>
      </c>
    </row>
    <row r="13" ht="20" customHeight="1" s="326">
      <c r="A13" s="38" t="inlineStr">
        <is>
          <t>Additional Medicare rate</t>
        </is>
      </c>
      <c r="B13" s="149" t="n">
        <v>0.008999999999999999</v>
      </c>
      <c r="C13" s="6" t="n"/>
      <c r="D13" s="11" t="n"/>
      <c r="F13" s="148" t="n">
        <v>201775</v>
      </c>
      <c r="G13" s="147" t="n">
        <v>256225</v>
      </c>
      <c r="H13" s="149" t="n">
        <v>0.32</v>
      </c>
      <c r="I13" s="150" t="n">
        <v>41024</v>
      </c>
      <c r="K13" s="148" t="n">
        <v>80650</v>
      </c>
      <c r="L13" s="147" t="n">
        <v>215400</v>
      </c>
      <c r="M13" s="149" t="n">
        <v>0.059</v>
      </c>
      <c r="N13" s="150" t="n">
        <v>4190.6</v>
      </c>
    </row>
    <row r="14" ht="20" customHeight="1" s="326">
      <c r="A14" s="38" t="inlineStr">
        <is>
          <t>Additional Medicare threshold</t>
        </is>
      </c>
      <c r="B14" s="147" t="n">
        <v>200000</v>
      </c>
      <c r="C14" s="6" t="n"/>
      <c r="D14" s="11" t="n"/>
      <c r="F14" s="152" t="n">
        <v>256225</v>
      </c>
      <c r="G14" s="73" t="n">
        <v>640600</v>
      </c>
      <c r="H14" s="153" t="n">
        <v>0.35</v>
      </c>
      <c r="I14" s="154" t="n">
        <v>58448</v>
      </c>
      <c r="K14" s="152" t="n">
        <v>215400</v>
      </c>
      <c r="L14" s="73" t="n">
        <v>1077550</v>
      </c>
      <c r="M14" s="153" t="n">
        <v>0.06850000000000001</v>
      </c>
      <c r="N14" s="154" t="n">
        <v>12140.85</v>
      </c>
    </row>
    <row r="15" ht="20" customHeight="1" s="326">
      <c r="A15" s="38" t="inlineStr">
        <is>
          <t>NY PFL rate</t>
        </is>
      </c>
      <c r="B15" s="159" t="n">
        <v>0.00432</v>
      </c>
      <c r="C15" s="6" t="n"/>
      <c r="D15" s="11" t="n"/>
      <c r="F15" s="160" t="n">
        <v>640600</v>
      </c>
      <c r="G15" s="161" t="n">
        <v>1000000000000</v>
      </c>
      <c r="H15" s="162" t="n">
        <v>0.37</v>
      </c>
      <c r="I15" s="163" t="n">
        <v>192979.25</v>
      </c>
      <c r="K15" s="148" t="n">
        <v>1077550</v>
      </c>
      <c r="L15" s="147" t="n">
        <v>5000000</v>
      </c>
      <c r="M15" s="149" t="n">
        <v>0.0965</v>
      </c>
      <c r="N15" s="150" t="n">
        <v>71197.63</v>
      </c>
    </row>
    <row r="16" ht="20" customHeight="1" s="326">
      <c r="A16" s="38" t="inlineStr">
        <is>
          <t>NY PFL annual cap</t>
        </is>
      </c>
      <c r="B16" s="164" t="n">
        <v>411.91</v>
      </c>
      <c r="C16" s="6" t="n"/>
      <c r="D16" s="11" t="n"/>
      <c r="K16" s="152" t="n">
        <v>5000000</v>
      </c>
      <c r="L16" s="73" t="n">
        <v>25000000</v>
      </c>
      <c r="M16" s="153" t="n">
        <v>0.103</v>
      </c>
      <c r="N16" s="154" t="n">
        <v>449717.21</v>
      </c>
    </row>
    <row r="17" ht="20" customHeight="1" s="326">
      <c r="A17" s="38" t="inlineStr">
        <is>
          <t>NY DBL rate</t>
        </is>
      </c>
      <c r="B17" s="151" t="n">
        <v>0.005</v>
      </c>
      <c r="C17" s="6" t="n"/>
      <c r="D17" s="11" t="n"/>
      <c r="K17" s="160" t="n">
        <v>25000000</v>
      </c>
      <c r="L17" s="161" t="n">
        <v>1000000000000</v>
      </c>
      <c r="M17" s="162" t="n">
        <v>0.109</v>
      </c>
      <c r="N17" s="163" t="n">
        <v>2509717.21</v>
      </c>
    </row>
    <row r="18" ht="20" customHeight="1" s="326">
      <c r="A18" s="38" t="inlineStr">
        <is>
          <t>NY DBL annual cap</t>
        </is>
      </c>
      <c r="B18" s="164" t="n">
        <v>31.2</v>
      </c>
      <c r="C18" s="6" t="n"/>
      <c r="D18" s="11" t="n"/>
      <c r="F18" s="37" t="inlineStr">
        <is>
          <t>Talent.com Reference</t>
        </is>
      </c>
      <c r="G18" s="1" t="n"/>
      <c r="H18" s="1" t="n"/>
      <c r="I18" s="2" t="n"/>
    </row>
    <row r="19" ht="20" customHeight="1" s="326">
      <c r="A19" s="38" t="inlineStr">
        <is>
          <t>401(k) elective deferral limit</t>
        </is>
      </c>
      <c r="B19" s="147" t="n">
        <v>24500</v>
      </c>
      <c r="C19" s="6" t="n"/>
      <c r="D19" s="11" t="n"/>
      <c r="F19" s="165" t="inlineStr">
        <is>
          <t>Fetched date</t>
        </is>
      </c>
      <c r="G19" s="166" t="inlineStr">
        <is>
          <t>2026-04-03</t>
        </is>
      </c>
      <c r="H19" s="6" t="n"/>
      <c r="I19" s="11" t="n"/>
    </row>
    <row r="20" ht="20" customHeight="1" s="326">
      <c r="A20" s="38" t="inlineStr">
        <is>
          <t>Roth IRA / backdoor target</t>
        </is>
      </c>
      <c r="B20" s="147" t="n">
        <v>7500</v>
      </c>
      <c r="C20" s="6" t="n"/>
      <c r="D20" s="11" t="n"/>
      <c r="F20" s="38" t="inlineStr">
        <is>
          <t>Gross comp used</t>
        </is>
      </c>
      <c r="G20" s="147" t="n">
        <v>1200000</v>
      </c>
      <c r="H20" s="6" t="n"/>
      <c r="I20" s="11" t="n"/>
    </row>
    <row r="21" ht="20" customHeight="1" s="326">
      <c r="A21" s="38" t="inlineStr">
        <is>
          <t>Direct Roth IRA phaseout start (single)</t>
        </is>
      </c>
      <c r="B21" s="147" t="n">
        <v>153000</v>
      </c>
      <c r="C21" s="6" t="n"/>
      <c r="D21" s="11" t="n"/>
      <c r="F21" s="165" t="inlineStr">
        <is>
          <t>Displayed total tax</t>
        </is>
      </c>
      <c r="G21" s="73" t="n">
        <v>525367</v>
      </c>
      <c r="H21" s="6" t="n"/>
      <c r="I21" s="11" t="n"/>
    </row>
    <row r="22" ht="20" customHeight="1" s="326">
      <c r="A22" s="39" t="inlineStr">
        <is>
          <t>Direct Roth IRA phaseout end (single)</t>
        </is>
      </c>
      <c r="B22" s="161" t="n">
        <v>168000</v>
      </c>
      <c r="C22" s="3" t="n"/>
      <c r="D22" s="4" t="n"/>
      <c r="F22" s="38" t="inlineStr">
        <is>
          <t>Displayed net pay</t>
        </is>
      </c>
      <c r="G22" s="147" t="n">
        <v>674633</v>
      </c>
      <c r="H22" s="6" t="n"/>
      <c r="I22" s="11" t="n"/>
    </row>
    <row r="23" ht="20" customHeight="1" s="326">
      <c r="F23" s="165" t="inlineStr">
        <is>
          <t>Displayed Social Security</t>
        </is>
      </c>
      <c r="G23" s="73" t="n">
        <v>9114</v>
      </c>
      <c r="H23" s="6" t="n"/>
      <c r="I23" s="11" t="n"/>
    </row>
    <row r="24" ht="20" customHeight="1" s="326">
      <c r="F24" s="38" t="inlineStr">
        <is>
          <t>Displayed Medicare</t>
        </is>
      </c>
      <c r="G24" s="147" t="n">
        <v>26400</v>
      </c>
      <c r="H24" s="6" t="n"/>
      <c r="I24" s="11" t="n"/>
    </row>
    <row r="25" ht="20" customHeight="1" s="326">
      <c r="F25" s="165" t="inlineStr">
        <is>
          <t>Displayed state tax</t>
        </is>
      </c>
      <c r="G25" s="73" t="n">
        <v>87234</v>
      </c>
      <c r="H25" s="6" t="n"/>
      <c r="I25" s="11" t="n"/>
    </row>
    <row r="26" ht="20" customHeight="1" s="326">
      <c r="F26" s="38" t="inlineStr">
        <is>
          <t>Displayed federal tax</t>
        </is>
      </c>
      <c r="G26" s="147" t="n">
        <v>402164</v>
      </c>
      <c r="H26" s="6" t="n"/>
      <c r="I26" s="11" t="n"/>
    </row>
    <row r="27" ht="96" customHeight="1" s="326">
      <c r="F27" s="167" t="inlineStr">
        <is>
          <t>Reference URL</t>
        </is>
      </c>
      <c r="G27" s="168" t="inlineStr">
        <is>
          <t>https://www.talent.com/tax-calculator?salary=1200000&amp;from=year&amp;region=New+York</t>
        </is>
      </c>
      <c r="H27" s="3" t="n"/>
      <c r="I27" s="4" t="n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2026-04-06T04:34:49Z</dcterms:created>
  <dcterms:modified xsi:type="dcterms:W3CDTF">2026-04-13T04:19:19Z</dcterms:modified>
  <cp:lastModifiedBy>Benjamin Shih</cp:lastModifiedBy>
</cp:coreProperties>
</file>